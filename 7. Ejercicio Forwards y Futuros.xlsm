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Derivados\"/>
    </mc:Choice>
  </mc:AlternateContent>
  <xr:revisionPtr revIDLastSave="0" documentId="13_ncr:1_{10A7C0AD-2798-487D-8437-9E21ED93FC6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Curvas Febrero" sheetId="4" r:id="rId1"/>
    <sheet name="Curvas Marzo" sheetId="9" r:id="rId2"/>
    <sheet name="Portafolio 28-Feb" sheetId="5" r:id="rId3"/>
    <sheet name="Portafolio 21-Mar" sheetId="8" r:id="rId4"/>
    <sheet name="Ejemplo Futuros" sheetId="7" r:id="rId5"/>
  </sheets>
  <definedNames>
    <definedName name="CURVAEU_1">'Curvas Febrero'!$K$4:$N$28</definedName>
    <definedName name="CURVAEUR" localSheetId="1">'Curvas Marzo'!$K$3:$N$28</definedName>
    <definedName name="CURVAEUR">'Curvas Febrero'!$K$3:$N$28</definedName>
    <definedName name="CURVAEUR_2">'Curvas Marzo'!$K$4:$N$28</definedName>
    <definedName name="CURVAMXN" localSheetId="1">'Curvas Marzo'!$A$3:$D$28</definedName>
    <definedName name="CURVAMXN">'Curvas Febrero'!$A$3:$D$28</definedName>
    <definedName name="CURVAMXP" localSheetId="1">'Curvas Marzo'!$A$3:$D$28</definedName>
    <definedName name="CURVAMXP">'Curvas Febrero'!$A$3:$D$28</definedName>
    <definedName name="CURVAMXP_1">'Curvas Febrero'!$A$4:$D$28</definedName>
    <definedName name="CURVAMXP_2">'Curvas Marzo'!$A$4:$D$28</definedName>
    <definedName name="curvaprueba" localSheetId="1">'Curvas Marzo'!$P$3:$S$28</definedName>
    <definedName name="curvaprueba">'Curvas Febrero'!$P$3:$S$28</definedName>
    <definedName name="CURVAUSD" localSheetId="1">'Curvas Marzo'!$F$3:$I$28</definedName>
    <definedName name="CURVAUSD">'Curvas Febrero'!$F$3:$I$28</definedName>
    <definedName name="CURVAUSD_1">'Curvas Febrero'!$F$4:$I$28</definedName>
    <definedName name="CURVAUSD_2">'Curvas Marzo'!$F$4:$I$28</definedName>
    <definedName name="VOL_EURUSD" localSheetId="1">'Curvas Marzo'!#REF!</definedName>
    <definedName name="VOL_EURUSD">'Curvas Febrero'!#REF!</definedName>
    <definedName name="VOL_MXNUSD" localSheetId="1">'Curvas Marzo'!#REF!</definedName>
    <definedName name="VOL_MXNUSD">'Curvas Febrero'!#REF!</definedName>
    <definedName name="VOL_PLATA" localSheetId="1">'Curvas Marzo'!#REF!</definedName>
    <definedName name="VOL_PLATA">'Curvas Febrero'!#REF!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" i="8" l="1"/>
  <c r="O10" i="8"/>
  <c r="O9" i="5"/>
  <c r="O2" i="5"/>
  <c r="D35" i="7"/>
  <c r="B35" i="7"/>
  <c r="B31" i="7"/>
  <c r="D31" i="7"/>
  <c r="D27" i="7"/>
  <c r="B27" i="7"/>
  <c r="D25" i="7"/>
  <c r="B25" i="7"/>
  <c r="D23" i="7"/>
  <c r="B23" i="7"/>
  <c r="B15" i="7"/>
  <c r="N9" i="8" a="1"/>
  <c r="N9" i="8" l="1"/>
  <c r="B37" i="7"/>
  <c r="D15" i="7"/>
  <c r="Q11" i="8"/>
  <c r="Q10" i="8"/>
  <c r="O9" i="8"/>
  <c r="R8" i="8"/>
  <c r="Q8" i="8"/>
  <c r="P8" i="8"/>
  <c r="O8" i="8"/>
  <c r="R7" i="8"/>
  <c r="P7" i="8"/>
  <c r="O7" i="8"/>
  <c r="R6" i="8"/>
  <c r="R3" i="8"/>
  <c r="R4" i="8"/>
  <c r="R5" i="8"/>
  <c r="Q4" i="8"/>
  <c r="Q5" i="8"/>
  <c r="Q3" i="8"/>
  <c r="P3" i="8"/>
  <c r="P4" i="8"/>
  <c r="P5" i="8"/>
  <c r="O3" i="8"/>
  <c r="O4" i="8"/>
  <c r="O5" i="8"/>
  <c r="Q2" i="8"/>
  <c r="O2" i="8"/>
  <c r="L2" i="8"/>
  <c r="R10" i="5"/>
  <c r="R11" i="5"/>
  <c r="R8" i="5"/>
  <c r="Q11" i="5"/>
  <c r="O8" i="5"/>
  <c r="Q8" i="5"/>
  <c r="R6" i="5"/>
  <c r="R7" i="5"/>
  <c r="P6" i="5"/>
  <c r="P7" i="5"/>
  <c r="O6" i="5"/>
  <c r="O7" i="5"/>
  <c r="R4" i="5"/>
  <c r="R5" i="5"/>
  <c r="P4" i="5"/>
  <c r="P5" i="5"/>
  <c r="Q4" i="5"/>
  <c r="Q5" i="5" s="1"/>
  <c r="O4" i="5"/>
  <c r="O5" i="5"/>
  <c r="R3" i="5"/>
  <c r="Q3" i="5"/>
  <c r="P3" i="5"/>
  <c r="O3" i="5"/>
  <c r="Q2" i="5"/>
  <c r="G10" i="8"/>
  <c r="G11" i="8"/>
  <c r="G9" i="8"/>
  <c r="F7" i="8"/>
  <c r="F8" i="8"/>
  <c r="F6" i="8"/>
  <c r="F3" i="8"/>
  <c r="F4" i="8"/>
  <c r="F5" i="8"/>
  <c r="F2" i="8"/>
  <c r="L11" i="8"/>
  <c r="L10" i="8"/>
  <c r="L9" i="8"/>
  <c r="L8" i="8"/>
  <c r="L7" i="8"/>
  <c r="L6" i="8"/>
  <c r="L5" i="8"/>
  <c r="L4" i="8"/>
  <c r="L3" i="8"/>
  <c r="F26" i="4"/>
  <c r="N11" i="8" a="1"/>
  <c r="M11" i="8" a="1"/>
  <c r="N10" i="8" a="1"/>
  <c r="M10" i="8" a="1"/>
  <c r="M9" i="8" a="1"/>
  <c r="M8" i="8" a="1"/>
  <c r="M7" i="8" a="1"/>
  <c r="M6" i="8" a="1"/>
  <c r="M3" i="8" a="1"/>
  <c r="M4" i="8" a="1"/>
  <c r="M5" i="8" a="1"/>
  <c r="M2" i="8" a="1"/>
  <c r="N11" i="5" a="1"/>
  <c r="M11" i="5" a="1"/>
  <c r="N10" i="5" a="1"/>
  <c r="M10" i="5" a="1"/>
  <c r="N9" i="5" a="1"/>
  <c r="M9" i="5" a="1"/>
  <c r="M8" i="5" a="1"/>
  <c r="M7" i="5" a="1"/>
  <c r="M6" i="5" a="1"/>
  <c r="M5" i="5" a="1"/>
  <c r="M4" i="5" a="1"/>
  <c r="M3" i="5" a="1"/>
  <c r="M2" i="5" a="1"/>
  <c r="N11" i="8" l="1"/>
  <c r="O11" i="8" s="1"/>
  <c r="P11" i="8" s="1"/>
  <c r="M11" i="8"/>
  <c r="N10" i="8"/>
  <c r="P10" i="8" s="1"/>
  <c r="R10" i="8" s="1"/>
  <c r="M10" i="8"/>
  <c r="M9" i="8"/>
  <c r="M8" i="8"/>
  <c r="M7" i="8"/>
  <c r="M6" i="8"/>
  <c r="O6" i="8" s="1"/>
  <c r="P6" i="8" s="1"/>
  <c r="M5" i="8"/>
  <c r="M4" i="8"/>
  <c r="M3" i="8"/>
  <c r="M2" i="8"/>
  <c r="N11" i="5"/>
  <c r="O11" i="5" s="1"/>
  <c r="M11" i="5"/>
  <c r="N10" i="5"/>
  <c r="O10" i="5" s="1"/>
  <c r="M10" i="5"/>
  <c r="N9" i="5"/>
  <c r="M9" i="5"/>
  <c r="M8" i="5"/>
  <c r="M7" i="5"/>
  <c r="M6" i="5"/>
  <c r="M5" i="5"/>
  <c r="M4" i="5"/>
  <c r="M3" i="5"/>
  <c r="M2" i="5"/>
  <c r="D16" i="4"/>
  <c r="D14" i="4"/>
  <c r="D12" i="4"/>
  <c r="D4" i="4"/>
  <c r="D20" i="4"/>
  <c r="C4" i="4"/>
  <c r="C5" i="4"/>
  <c r="D5" i="4"/>
  <c r="C6" i="4"/>
  <c r="D6" i="4"/>
  <c r="C7" i="4"/>
  <c r="D7" i="4"/>
  <c r="C8" i="4"/>
  <c r="D8" i="4"/>
  <c r="C9" i="4"/>
  <c r="D9" i="4"/>
  <c r="C10" i="4"/>
  <c r="D10" i="4"/>
  <c r="C11" i="4"/>
  <c r="D11" i="4"/>
  <c r="C12" i="4"/>
  <c r="C13" i="4"/>
  <c r="D13" i="4"/>
  <c r="C14" i="4"/>
  <c r="C15" i="4"/>
  <c r="D15" i="4"/>
  <c r="C16" i="4"/>
  <c r="C17" i="4"/>
  <c r="D17" i="4"/>
  <c r="C18" i="4"/>
  <c r="D18" i="4"/>
  <c r="C19" i="4"/>
  <c r="D19" i="4"/>
  <c r="C20" i="4"/>
  <c r="C21" i="4"/>
  <c r="D21" i="4"/>
  <c r="C22" i="4"/>
  <c r="D22" i="4"/>
  <c r="C23" i="4"/>
  <c r="D23" i="4"/>
  <c r="C24" i="4"/>
  <c r="D24" i="4"/>
  <c r="C25" i="4"/>
  <c r="D25" i="4"/>
  <c r="K28" i="9" l="1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J7" i="5" l="1"/>
  <c r="J6" i="5"/>
  <c r="N24" i="9" l="1"/>
  <c r="N23" i="9"/>
  <c r="N22" i="9"/>
  <c r="N21" i="9"/>
  <c r="N20" i="9"/>
  <c r="N7" i="9"/>
  <c r="N6" i="9"/>
  <c r="I28" i="9"/>
  <c r="I20" i="9"/>
  <c r="I16" i="9"/>
  <c r="I14" i="9"/>
  <c r="I10" i="9"/>
  <c r="I6" i="9"/>
  <c r="D9" i="9"/>
  <c r="D10" i="9"/>
  <c r="D12" i="9"/>
  <c r="D16" i="9"/>
  <c r="D19" i="9"/>
  <c r="D22" i="9"/>
  <c r="D24" i="9"/>
  <c r="D25" i="9"/>
  <c r="D6" i="9"/>
  <c r="N28" i="9"/>
  <c r="F28" i="9"/>
  <c r="D28" i="9"/>
  <c r="C28" i="9"/>
  <c r="H28" i="9" s="1"/>
  <c r="M28" i="9" s="1"/>
  <c r="N27" i="9"/>
  <c r="I26" i="9"/>
  <c r="F27" i="9"/>
  <c r="D27" i="9"/>
  <c r="C27" i="9"/>
  <c r="H27" i="9" s="1"/>
  <c r="M27" i="9" s="1"/>
  <c r="N26" i="9"/>
  <c r="F26" i="9"/>
  <c r="C26" i="9"/>
  <c r="H26" i="9" s="1"/>
  <c r="M26" i="9" s="1"/>
  <c r="N25" i="9"/>
  <c r="I25" i="9"/>
  <c r="I24" i="9"/>
  <c r="F25" i="9"/>
  <c r="C25" i="9"/>
  <c r="H25" i="9" s="1"/>
  <c r="M25" i="9" s="1"/>
  <c r="F24" i="9"/>
  <c r="C24" i="9"/>
  <c r="H24" i="9" s="1"/>
  <c r="M24" i="9" s="1"/>
  <c r="I23" i="9"/>
  <c r="F23" i="9"/>
  <c r="D23" i="9"/>
  <c r="C23" i="9"/>
  <c r="H23" i="9" s="1"/>
  <c r="M23" i="9" s="1"/>
  <c r="H22" i="9"/>
  <c r="M22" i="9" s="1"/>
  <c r="F22" i="9"/>
  <c r="C22" i="9"/>
  <c r="F21" i="9"/>
  <c r="C21" i="9"/>
  <c r="H21" i="9" s="1"/>
  <c r="M21" i="9" s="1"/>
  <c r="F20" i="9"/>
  <c r="D20" i="9"/>
  <c r="C20" i="9"/>
  <c r="H20" i="9" s="1"/>
  <c r="M20" i="9" s="1"/>
  <c r="N19" i="9"/>
  <c r="F19" i="9"/>
  <c r="C19" i="9"/>
  <c r="H19" i="9" s="1"/>
  <c r="M19" i="9" s="1"/>
  <c r="N18" i="9"/>
  <c r="I18" i="9"/>
  <c r="I17" i="9"/>
  <c r="F18" i="9"/>
  <c r="D18" i="9"/>
  <c r="C18" i="9"/>
  <c r="H18" i="9" s="1"/>
  <c r="M18" i="9" s="1"/>
  <c r="N17" i="9"/>
  <c r="N16" i="9"/>
  <c r="F17" i="9"/>
  <c r="C17" i="9"/>
  <c r="H17" i="9" s="1"/>
  <c r="M17" i="9" s="1"/>
  <c r="F16" i="9"/>
  <c r="C16" i="9"/>
  <c r="H16" i="9" s="1"/>
  <c r="M16" i="9" s="1"/>
  <c r="N15" i="9"/>
  <c r="N14" i="9"/>
  <c r="I15" i="9"/>
  <c r="F15" i="9"/>
  <c r="D15" i="9"/>
  <c r="C15" i="9"/>
  <c r="H15" i="9" s="1"/>
  <c r="M15" i="9" s="1"/>
  <c r="N13" i="9"/>
  <c r="I13" i="9"/>
  <c r="F14" i="9"/>
  <c r="C14" i="9"/>
  <c r="H14" i="9" s="1"/>
  <c r="M14" i="9" s="1"/>
  <c r="N12" i="9"/>
  <c r="F13" i="9"/>
  <c r="C13" i="9"/>
  <c r="H13" i="9" s="1"/>
  <c r="M13" i="9" s="1"/>
  <c r="F12" i="9"/>
  <c r="C12" i="9"/>
  <c r="H12" i="9" s="1"/>
  <c r="M12" i="9" s="1"/>
  <c r="N11" i="9"/>
  <c r="F11" i="9"/>
  <c r="C11" i="9"/>
  <c r="H11" i="9" s="1"/>
  <c r="M11" i="9" s="1"/>
  <c r="N10" i="9"/>
  <c r="N9" i="9"/>
  <c r="F10" i="9"/>
  <c r="C10" i="9"/>
  <c r="H10" i="9" s="1"/>
  <c r="M10" i="9" s="1"/>
  <c r="F9" i="9"/>
  <c r="C9" i="9"/>
  <c r="N8" i="9"/>
  <c r="F8" i="9"/>
  <c r="C8" i="9"/>
  <c r="I7" i="9"/>
  <c r="F7" i="9"/>
  <c r="C7" i="9"/>
  <c r="H7" i="9" s="1"/>
  <c r="M7" i="9" s="1"/>
  <c r="F6" i="9"/>
  <c r="C6" i="9"/>
  <c r="H6" i="9" s="1"/>
  <c r="M6" i="9" s="1"/>
  <c r="N5" i="9"/>
  <c r="I5" i="9"/>
  <c r="F5" i="9"/>
  <c r="D5" i="9"/>
  <c r="C5" i="9"/>
  <c r="H5" i="9" s="1"/>
  <c r="M5" i="9" s="1"/>
  <c r="N4" i="9"/>
  <c r="I4" i="9"/>
  <c r="F4" i="9"/>
  <c r="D4" i="9"/>
  <c r="C4" i="9"/>
  <c r="H4" i="9" s="1"/>
  <c r="M4" i="9" s="1"/>
  <c r="G8" i="8"/>
  <c r="G7" i="8"/>
  <c r="G6" i="8"/>
  <c r="G5" i="8"/>
  <c r="G4" i="8"/>
  <c r="G3" i="8"/>
  <c r="G2" i="8"/>
  <c r="N9" i="4"/>
  <c r="N10" i="4"/>
  <c r="N11" i="4"/>
  <c r="N17" i="4"/>
  <c r="N18" i="4"/>
  <c r="N19" i="4"/>
  <c r="N25" i="4"/>
  <c r="N26" i="4"/>
  <c r="N28" i="4"/>
  <c r="I24" i="4"/>
  <c r="I19" i="4"/>
  <c r="I22" i="4"/>
  <c r="I8" i="4"/>
  <c r="I9" i="4"/>
  <c r="I10" i="4"/>
  <c r="I11" i="4"/>
  <c r="I16" i="4"/>
  <c r="I17" i="4"/>
  <c r="I18" i="4"/>
  <c r="I25" i="4"/>
  <c r="I26" i="4"/>
  <c r="I27" i="4"/>
  <c r="F5" i="4"/>
  <c r="K5" i="4" s="1"/>
  <c r="F6" i="4"/>
  <c r="K6" i="4" s="1"/>
  <c r="F7" i="4"/>
  <c r="K7" i="4" s="1"/>
  <c r="F8" i="4"/>
  <c r="K8" i="4" s="1"/>
  <c r="F9" i="4"/>
  <c r="K9" i="4" s="1"/>
  <c r="F10" i="4"/>
  <c r="K10" i="4" s="1"/>
  <c r="F11" i="4"/>
  <c r="K11" i="4" s="1"/>
  <c r="F12" i="4"/>
  <c r="K12" i="4" s="1"/>
  <c r="F13" i="4"/>
  <c r="K13" i="4" s="1"/>
  <c r="F14" i="4"/>
  <c r="K14" i="4" s="1"/>
  <c r="F15" i="4"/>
  <c r="K15" i="4" s="1"/>
  <c r="F16" i="4"/>
  <c r="F17" i="4"/>
  <c r="K17" i="4" s="1"/>
  <c r="F18" i="4"/>
  <c r="K18" i="4" s="1"/>
  <c r="F19" i="4"/>
  <c r="K19" i="4" s="1"/>
  <c r="F20" i="4"/>
  <c r="K20" i="4" s="1"/>
  <c r="F21" i="4"/>
  <c r="K21" i="4" s="1"/>
  <c r="F22" i="4"/>
  <c r="K22" i="4" s="1"/>
  <c r="F23" i="4"/>
  <c r="K23" i="4" s="1"/>
  <c r="F24" i="4"/>
  <c r="K24" i="4" s="1"/>
  <c r="F25" i="4"/>
  <c r="K25" i="4" s="1"/>
  <c r="K26" i="4"/>
  <c r="F27" i="4"/>
  <c r="K27" i="4" s="1"/>
  <c r="F28" i="4"/>
  <c r="K28" i="4" s="1"/>
  <c r="H5" i="4"/>
  <c r="M5" i="4" s="1"/>
  <c r="H11" i="4"/>
  <c r="M11" i="4" s="1"/>
  <c r="H12" i="4"/>
  <c r="M12" i="4" s="1"/>
  <c r="H13" i="4"/>
  <c r="M13" i="4" s="1"/>
  <c r="H19" i="4"/>
  <c r="M19" i="4" s="1"/>
  <c r="H20" i="4"/>
  <c r="M20" i="4" s="1"/>
  <c r="H21" i="4"/>
  <c r="M21" i="4" s="1"/>
  <c r="H4" i="4"/>
  <c r="M4" i="4" s="1"/>
  <c r="F4" i="4"/>
  <c r="K4" i="4" s="1"/>
  <c r="C28" i="4"/>
  <c r="H28" i="4" s="1"/>
  <c r="M28" i="4" s="1"/>
  <c r="H6" i="4"/>
  <c r="M6" i="4" s="1"/>
  <c r="H7" i="4"/>
  <c r="M7" i="4" s="1"/>
  <c r="H8" i="4"/>
  <c r="M8" i="4" s="1"/>
  <c r="H9" i="4"/>
  <c r="M9" i="4" s="1"/>
  <c r="H10" i="4"/>
  <c r="M10" i="4" s="1"/>
  <c r="H14" i="4"/>
  <c r="M14" i="4" s="1"/>
  <c r="H15" i="4"/>
  <c r="M15" i="4" s="1"/>
  <c r="H16" i="4"/>
  <c r="M16" i="4" s="1"/>
  <c r="H17" i="4"/>
  <c r="M17" i="4" s="1"/>
  <c r="H18" i="4"/>
  <c r="M18" i="4" s="1"/>
  <c r="H22" i="4"/>
  <c r="M22" i="4" s="1"/>
  <c r="H23" i="4"/>
  <c r="M23" i="4" s="1"/>
  <c r="H24" i="4"/>
  <c r="M24" i="4" s="1"/>
  <c r="H25" i="4"/>
  <c r="M25" i="4" s="1"/>
  <c r="C26" i="4"/>
  <c r="H26" i="4" s="1"/>
  <c r="M26" i="4" s="1"/>
  <c r="C27" i="4"/>
  <c r="H27" i="4" s="1"/>
  <c r="M27" i="4" s="1"/>
  <c r="N24" i="4"/>
  <c r="N23" i="4"/>
  <c r="N22" i="4"/>
  <c r="N21" i="4"/>
  <c r="N20" i="4"/>
  <c r="N16" i="4"/>
  <c r="N15" i="4"/>
  <c r="N14" i="4"/>
  <c r="N13" i="4"/>
  <c r="N12" i="4"/>
  <c r="N8" i="4"/>
  <c r="N7" i="4"/>
  <c r="N6" i="4"/>
  <c r="N5" i="4"/>
  <c r="N4" i="4"/>
  <c r="I23" i="4"/>
  <c r="I21" i="4"/>
  <c r="I20" i="4"/>
  <c r="I15" i="4"/>
  <c r="I14" i="4"/>
  <c r="I13" i="4"/>
  <c r="I12" i="4"/>
  <c r="I7" i="4"/>
  <c r="I6" i="4"/>
  <c r="I5" i="4"/>
  <c r="I4" i="4"/>
  <c r="J8" i="5" l="1"/>
  <c r="P8" i="5" s="1"/>
  <c r="J5" i="5"/>
  <c r="J3" i="5"/>
  <c r="J9" i="8"/>
  <c r="P9" i="8" s="1"/>
  <c r="R9" i="8" s="1"/>
  <c r="H8" i="9"/>
  <c r="H9" i="9"/>
  <c r="M9" i="9" s="1"/>
  <c r="K16" i="4"/>
  <c r="I8" i="9"/>
  <c r="I9" i="9"/>
  <c r="I11" i="9"/>
  <c r="I12" i="9"/>
  <c r="I22" i="9"/>
  <c r="I21" i="9"/>
  <c r="I27" i="9"/>
  <c r="I19" i="9"/>
  <c r="D17" i="9"/>
  <c r="D13" i="9"/>
  <c r="D11" i="9"/>
  <c r="D7" i="9"/>
  <c r="D21" i="9"/>
  <c r="D14" i="9"/>
  <c r="D8" i="9"/>
  <c r="D26" i="9"/>
  <c r="N27" i="4"/>
  <c r="I28" i="4"/>
  <c r="D28" i="4"/>
  <c r="D26" i="4"/>
  <c r="D27" i="4"/>
  <c r="J9" i="5" l="1"/>
  <c r="P9" i="5" s="1"/>
  <c r="R9" i="5" s="1"/>
  <c r="M8" i="9"/>
  <c r="J10" i="5"/>
  <c r="P10" i="5" s="1"/>
  <c r="J11" i="5"/>
  <c r="P11" i="5" s="1"/>
  <c r="J2" i="5"/>
  <c r="P2" i="5" s="1"/>
  <c r="R2" i="5" s="1"/>
  <c r="J4" i="5"/>
  <c r="G8" i="5"/>
  <c r="G7" i="5"/>
  <c r="G6" i="5"/>
  <c r="G5" i="5"/>
  <c r="G4" i="5"/>
  <c r="G3" i="5"/>
  <c r="G2" i="5"/>
  <c r="R12" i="5" l="1"/>
  <c r="J6" i="8"/>
  <c r="J7" i="8"/>
  <c r="J5" i="8"/>
  <c r="J4" i="8"/>
  <c r="J3" i="8"/>
  <c r="J11" i="8"/>
  <c r="J2" i="8"/>
  <c r="P2" i="8" s="1"/>
  <c r="R2" i="8" s="1"/>
  <c r="J10" i="8"/>
  <c r="J8" i="8"/>
  <c r="R1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<sst xmlns="http://schemas.openxmlformats.org/spreadsheetml/2006/main" count="238" uniqueCount="92">
  <si>
    <t>MXP</t>
  </si>
  <si>
    <t>Inf</t>
  </si>
  <si>
    <t>Sup</t>
  </si>
  <si>
    <t>Divisas</t>
  </si>
  <si>
    <t>USD</t>
  </si>
  <si>
    <t>Tipo Subyacente</t>
  </si>
  <si>
    <t>Forward</t>
  </si>
  <si>
    <t>TC</t>
  </si>
  <si>
    <t>Perd/Gan Unit</t>
  </si>
  <si>
    <t>Commodities</t>
  </si>
  <si>
    <t>Plazo</t>
  </si>
  <si>
    <t>EUR</t>
  </si>
  <si>
    <t>Equity</t>
  </si>
  <si>
    <t>S&amp;P500</t>
  </si>
  <si>
    <t>Operación</t>
  </si>
  <si>
    <t>Curva de Tasas en Pesos (MXN)</t>
  </si>
  <si>
    <t>Curva de Tasas en Euros (EUR)</t>
  </si>
  <si>
    <t>AU</t>
  </si>
  <si>
    <t>Subyacente</t>
  </si>
  <si>
    <t>Títulos</t>
  </si>
  <si>
    <t>Nocional</t>
  </si>
  <si>
    <t>Spot</t>
  </si>
  <si>
    <t>Curva de Tasas en Dólares (USD)</t>
  </si>
  <si>
    <t>Perd/Gan Total (MXP)</t>
  </si>
  <si>
    <t>Largo</t>
  </si>
  <si>
    <t>Corto</t>
  </si>
  <si>
    <t>R</t>
  </si>
  <si>
    <t>q/r</t>
  </si>
  <si>
    <t>Precio Pactado 
(Strike)</t>
  </si>
  <si>
    <t>Moneda
 Nocional</t>
  </si>
  <si>
    <t>Moneda 
Liquidación</t>
  </si>
  <si>
    <t>Plazo a 
Vencimiento</t>
  </si>
  <si>
    <t>Tipo de
Derivado</t>
  </si>
  <si>
    <t>Ejemplo Cobertura con Futuros</t>
  </si>
  <si>
    <t>Tipo de Posición :</t>
  </si>
  <si>
    <t>No. de Contratos a operar:</t>
  </si>
  <si>
    <t>Valor de cada contrato :</t>
  </si>
  <si>
    <t>Nocional :</t>
  </si>
  <si>
    <t>INVERSIONISTA</t>
  </si>
  <si>
    <t>Vencimiento :</t>
  </si>
  <si>
    <t>6 meses</t>
  </si>
  <si>
    <t>CONTRAPARTE</t>
  </si>
  <si>
    <t>EAIM por Contrato :</t>
  </si>
  <si>
    <t xml:space="preserve">AIM por Contrato : </t>
  </si>
  <si>
    <t>AIM :</t>
  </si>
  <si>
    <t>EAIM :</t>
  </si>
  <si>
    <t>Margen Inicial :</t>
  </si>
  <si>
    <t xml:space="preserve"> % Margen de Mantenimiento :</t>
  </si>
  <si>
    <t xml:space="preserve"> $ Margen de Mantenimiento :</t>
  </si>
  <si>
    <t>AG</t>
  </si>
  <si>
    <t>Plazo a 
Vencimiento (T)</t>
  </si>
  <si>
    <t>Un inversionista tiene una deuda de $120,000 dólares a pagarse en 6 meses y quiere realizar una cobertura a través de contratos de Futuros de dólar (DA).</t>
  </si>
  <si>
    <t>Corta</t>
  </si>
  <si>
    <t>Larga</t>
  </si>
  <si>
    <t>AMX</t>
  </si>
  <si>
    <t>CEMEX</t>
  </si>
  <si>
    <t>3M</t>
  </si>
  <si>
    <t>6M</t>
  </si>
  <si>
    <t>1A</t>
  </si>
  <si>
    <t>2A</t>
  </si>
  <si>
    <t>3A</t>
  </si>
  <si>
    <t>5A</t>
  </si>
  <si>
    <t>7A</t>
  </si>
  <si>
    <t>10A</t>
  </si>
  <si>
    <t>30A</t>
  </si>
  <si>
    <t>9M</t>
  </si>
  <si>
    <t>4A</t>
  </si>
  <si>
    <t>6A</t>
  </si>
  <si>
    <t>8A</t>
  </si>
  <si>
    <t>9A</t>
  </si>
  <si>
    <t>15A</t>
  </si>
  <si>
    <t>25A</t>
  </si>
  <si>
    <t>Forward (F)</t>
  </si>
  <si>
    <t>20A</t>
  </si>
  <si>
    <t>Nota: En este día (28 de Febrero), es cuando se abrió este portafolio de Forwards</t>
  </si>
  <si>
    <t>AU (oro)</t>
  </si>
  <si>
    <t>AG (plata)</t>
  </si>
  <si>
    <t>Cual sera la tasas Foranea</t>
  </si>
  <si>
    <t>Quien sera la tasa local</t>
  </si>
  <si>
    <t>Tasa Loca</t>
  </si>
  <si>
    <t>Tasa Foranea</t>
  </si>
  <si>
    <t xml:space="preserve">Se movieron los precios </t>
  </si>
  <si>
    <t>Pestana anterior</t>
  </si>
  <si>
    <t>Liquida en?</t>
  </si>
  <si>
    <t>Aportacion Inicial Minima</t>
  </si>
  <si>
    <t>Estandarizados</t>
  </si>
  <si>
    <t>Excedente…</t>
  </si>
  <si>
    <t>Depende del nivel de riesgo valorado de cada contraparte</t>
  </si>
  <si>
    <t>Marrgen minimo que debo mantener en caso de que baje de ese nivel se realiza  una llamada de margen.</t>
  </si>
  <si>
    <t xml:space="preserve"> </t>
  </si>
  <si>
    <t>Por dólar</t>
  </si>
  <si>
    <t>Suponer un 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</si>
</sst>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#,##0_ ;\-#,##0\ "/>
    <numFmt numFmtId="166" formatCode="_-* #,##0.0000_-;\-* #,##0.0000_-;_-* &quot;-&quot;??_-;_-@_-"/>
    <numFmt numFmtId="167" formatCode="#,##0.00_ ;[Red]\-#,##0.00\ "/>
    <numFmt numFmtId="168" formatCode="0.000%"/>
    <numFmt numFmtId="169" formatCode="#,##0_ ;[Red]\-#,##0\ "/>
    <numFmt numFmtId="170" formatCode="0.000000000000000%"/>
    <numFmt numFmtId="171" formatCode="0.0%"/>
    <numFmt numFmtId="172" formatCode="0%\ &quot; de la AIM&quot;"/>
    <numFmt numFmtId="173" formatCode="#,##0_ &quot;MXN&quot;\ ;[Red]\-#,##0\ &quot;MXN&quot;"/>
    <numFmt numFmtId="174" formatCode="#,##0_ &quot;USD&quot;\ ;[Red]\-#,##0\ &quot;USD&quot;"/>
    <numFmt numFmtId="175" formatCode="#,##0.0000_ ;[Red]\-#,##0.0000\ "/>
    <numFmt numFmtId="176" formatCode="_-* #,##0.00000_-;\-* #,##0.00000_-;_-* &quot;-&quot;??_-;_-@_-"/>
    <numFmt numFmtId="177" formatCode="#,##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2" applyNumberFormat="1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2" fillId="0" borderId="0" xfId="0" applyNumberFormat="1" applyFont="1" applyAlignment="1">
      <alignment horizontal="center"/>
    </xf>
    <xf numFmtId="167" fontId="0" fillId="0" borderId="0" xfId="1" applyNumberFormat="1" applyFont="1" applyAlignment="1">
      <alignment horizontal="center"/>
    </xf>
    <xf numFmtId="165" fontId="0" fillId="3" borderId="0" xfId="1" applyNumberFormat="1" applyFont="1" applyFill="1" applyAlignment="1">
      <alignment horizontal="center"/>
    </xf>
    <xf numFmtId="0" fontId="0" fillId="2" borderId="0" xfId="0" applyFill="1"/>
    <xf numFmtId="165" fontId="0" fillId="5" borderId="0" xfId="1" applyNumberFormat="1" applyFont="1" applyFill="1" applyAlignment="1">
      <alignment horizontal="center"/>
    </xf>
    <xf numFmtId="165" fontId="0" fillId="3" borderId="0" xfId="1" applyNumberFormat="1" applyFont="1" applyFill="1" applyAlignment="1">
      <alignment horizontal="right"/>
    </xf>
    <xf numFmtId="165" fontId="0" fillId="4" borderId="0" xfId="1" applyNumberFormat="1" applyFont="1" applyFill="1" applyAlignment="1">
      <alignment horizontal="right"/>
    </xf>
    <xf numFmtId="165" fontId="0" fillId="2" borderId="0" xfId="1" applyNumberFormat="1" applyFont="1" applyFill="1" applyAlignment="1">
      <alignment horizontal="right"/>
    </xf>
    <xf numFmtId="168" fontId="0" fillId="0" borderId="0" xfId="2" applyNumberFormat="1" applyFont="1" applyAlignment="1">
      <alignment horizontal="center"/>
    </xf>
    <xf numFmtId="169" fontId="0" fillId="0" borderId="0" xfId="1" applyNumberFormat="1" applyFont="1" applyAlignment="1">
      <alignment horizontal="right"/>
    </xf>
    <xf numFmtId="0" fontId="0" fillId="3" borderId="0" xfId="0" applyFill="1" applyAlignment="1">
      <alignment horizontal="left" indent="1"/>
    </xf>
    <xf numFmtId="0" fontId="0" fillId="4" borderId="0" xfId="0" applyFill="1" applyAlignment="1">
      <alignment horizontal="left" indent="1"/>
    </xf>
    <xf numFmtId="0" fontId="0" fillId="2" borderId="0" xfId="0" applyFill="1" applyAlignment="1">
      <alignment horizontal="left" indent="1"/>
    </xf>
    <xf numFmtId="167" fontId="0" fillId="0" borderId="0" xfId="1" applyNumberFormat="1" applyFont="1" applyAlignment="1">
      <alignment horizontal="right"/>
    </xf>
    <xf numFmtId="43" fontId="0" fillId="0" borderId="0" xfId="0" applyNumberFormat="1"/>
    <xf numFmtId="165" fontId="0" fillId="2" borderId="0" xfId="1" applyNumberFormat="1" applyFont="1" applyFill="1" applyAlignment="1">
      <alignment horizontal="center"/>
    </xf>
    <xf numFmtId="43" fontId="0" fillId="2" borderId="0" xfId="1" applyFont="1" applyFill="1"/>
    <xf numFmtId="43" fontId="0" fillId="3" borderId="0" xfId="1" applyFont="1" applyFill="1"/>
    <xf numFmtId="166" fontId="0" fillId="4" borderId="0" xfId="1" applyNumberFormat="1" applyFont="1" applyFill="1"/>
    <xf numFmtId="43" fontId="0" fillId="4" borderId="0" xfId="1" applyFont="1" applyFill="1"/>
    <xf numFmtId="43" fontId="0" fillId="0" borderId="0" xfId="1" applyFont="1"/>
    <xf numFmtId="10" fontId="0" fillId="0" borderId="0" xfId="0" applyNumberFormat="1"/>
    <xf numFmtId="170" fontId="0" fillId="0" borderId="0" xfId="0" applyNumberFormat="1"/>
    <xf numFmtId="168" fontId="0" fillId="0" borderId="0" xfId="0" applyNumberFormat="1"/>
    <xf numFmtId="164" fontId="2" fillId="0" borderId="0" xfId="0" applyNumberFormat="1" applyFont="1" applyAlignment="1">
      <alignment horizontal="center" wrapText="1"/>
    </xf>
    <xf numFmtId="171" fontId="0" fillId="0" borderId="0" xfId="2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164" fontId="0" fillId="4" borderId="0" xfId="1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5" fillId="0" borderId="0" xfId="0" applyFont="1"/>
    <xf numFmtId="0" fontId="6" fillId="6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4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172" fontId="2" fillId="0" borderId="0" xfId="0" applyNumberFormat="1" applyFont="1" applyAlignment="1">
      <alignment horizontal="center"/>
    </xf>
    <xf numFmtId="173" fontId="2" fillId="0" borderId="0" xfId="3" applyNumberFormat="1" applyFont="1" applyFill="1" applyAlignment="1">
      <alignment horizontal="center"/>
    </xf>
    <xf numFmtId="174" fontId="2" fillId="0" borderId="0" xfId="3" applyNumberFormat="1" applyFont="1" applyFill="1" applyAlignment="1">
      <alignment horizontal="center"/>
    </xf>
    <xf numFmtId="174" fontId="2" fillId="7" borderId="0" xfId="3" applyNumberFormat="1" applyFont="1" applyFill="1" applyAlignment="1">
      <alignment horizontal="center"/>
    </xf>
    <xf numFmtId="173" fontId="2" fillId="7" borderId="0" xfId="3" applyNumberFormat="1" applyFont="1" applyFill="1" applyAlignment="1">
      <alignment horizontal="center"/>
    </xf>
    <xf numFmtId="169" fontId="2" fillId="0" borderId="1" xfId="0" applyNumberFormat="1" applyFont="1" applyBorder="1"/>
    <xf numFmtId="43" fontId="0" fillId="0" borderId="0" xfId="1" applyFont="1" applyFill="1"/>
    <xf numFmtId="10" fontId="0" fillId="6" borderId="0" xfId="2" applyNumberFormat="1" applyFont="1" applyFill="1" applyAlignment="1">
      <alignment horizontal="center"/>
    </xf>
    <xf numFmtId="166" fontId="0" fillId="0" borderId="0" xfId="1" applyNumberFormat="1" applyFont="1"/>
    <xf numFmtId="167" fontId="2" fillId="0" borderId="1" xfId="0" applyNumberFormat="1" applyFont="1" applyBorder="1" applyAlignment="1">
      <alignment horizontal="center"/>
    </xf>
    <xf numFmtId="0" fontId="4" fillId="8" borderId="0" xfId="0" applyFont="1" applyFill="1"/>
    <xf numFmtId="0" fontId="0" fillId="8" borderId="0" xfId="0" applyFill="1"/>
    <xf numFmtId="176" fontId="0" fillId="4" borderId="0" xfId="1" applyNumberFormat="1" applyFont="1" applyFill="1"/>
    <xf numFmtId="175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177" fontId="0" fillId="0" borderId="0" xfId="0" applyNumberFormat="1"/>
    <xf numFmtId="21" fontId="0" fillId="0" borderId="0" xfId="0" applyNumberFormat="1"/>
    <xf numFmtId="15" fontId="0" fillId="0" borderId="0" xfId="0" applyNumberFormat="1"/>
    <xf numFmtId="14" fontId="0" fillId="0" borderId="0" xfId="0" applyNumberFormat="1"/>
    <xf numFmtId="44" fontId="0" fillId="0" borderId="0" xfId="3" applyFont="1"/>
    <xf numFmtId="44" fontId="0" fillId="0" borderId="0" xfId="0" applyNumberFormat="1"/>
    <xf numFmtId="0" fontId="3" fillId="0" borderId="0" xfId="0" applyFont="1" applyAlignment="1">
      <alignment horizontal="left" vertical="center" wrapText="1"/>
    </xf>
  </cellXfs>
  <cellStyles count="4">
    <cellStyle name="Millares" xfId="1" builtinId="3"/>
    <cellStyle name="Moneda" xfId="3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49" Type="http://schemas.openxmlformats.org/officeDocument/2006/relationships/image" Target="../media/image422.png"/><Relationship Id="rId1" Type="http://schemas.openxmlformats.org/officeDocument/2006/relationships/customXml" Target="../ink/ink1.xml"/><Relationship Id="rId818" Type="http://schemas.openxmlformats.org/officeDocument/2006/relationships/customXml" Target="../ink/ink2.xml"/><Relationship Id="rId817" Type="http://schemas.openxmlformats.org/officeDocument/2006/relationships/image" Target="../media/image40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65520</xdr:colOff>
      <xdr:row>47</xdr:row>
      <xdr:rowOff>82208</xdr:rowOff>
    </xdr:from>
    <xdr:ext cx="9720" cy="5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5" name="Entrada de lápiz 24">
              <a:extLst>
                <a:ext uri="{FF2B5EF4-FFF2-40B4-BE49-F238E27FC236}">
                  <a16:creationId xmlns:a16="http://schemas.microsoft.com/office/drawing/2014/main" id="{11DCFBC4-E7D6-4020-90F4-30DDF8A3603C}"/>
                </a:ext>
              </a:extLst>
            </xdr14:cNvPr>
            <xdr14:cNvContentPartPr/>
          </xdr14:nvContentPartPr>
          <xdr14:nvPr macro=""/>
          <xdr14:xfrm>
            <a:off x="65520" y="3954960"/>
            <a:ext cx="9720" cy="5040"/>
          </xdr14:xfrm>
        </xdr:contentPart>
      </mc:Choice>
      <mc:Fallback xmlns="">
        <xdr:pic>
          <xdr:nvPicPr>
            <xdr:cNvPr id="440" name="Entrada de lápiz 439">
              <a:extLst>
                <a:ext uri="{FF2B5EF4-FFF2-40B4-BE49-F238E27FC236}">
                  <a16:creationId xmlns:a16="http://schemas.microsoft.com/office/drawing/2014/main" id="{67019A1B-2011-3240-BF43-26DA33D033E8}"/>
                </a:ext>
              </a:extLst>
            </xdr:cNvPr>
            <xdr:cNvPicPr/>
          </xdr:nvPicPr>
          <xdr:blipFill>
            <a:blip xmlns:r="http://schemas.openxmlformats.org/officeDocument/2006/relationships" r:embed="rId817"/>
            <a:stretch>
              <a:fillRect/>
            </a:stretch>
          </xdr:blipFill>
          <xdr:spPr>
            <a:xfrm>
              <a:off x="56880" y="3945960"/>
              <a:ext cx="27360" cy="226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10</xdr:col>
      <xdr:colOff>322560</xdr:colOff>
      <xdr:row>49</xdr:row>
      <xdr:rowOff>52052</xdr:rowOff>
    </xdr:from>
    <xdr:ext cx="98280" cy="2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8">
          <xdr14:nvContentPartPr>
            <xdr14:cNvPr id="26" name="Entrada de lápiz 25">
              <a:extLst>
                <a:ext uri="{FF2B5EF4-FFF2-40B4-BE49-F238E27FC236}">
                  <a16:creationId xmlns:a16="http://schemas.microsoft.com/office/drawing/2014/main" id="{D4D86912-42C0-4612-8836-A9444B8E0950}"/>
                </a:ext>
              </a:extLst>
            </xdr14:cNvPr>
            <xdr14:cNvContentPartPr/>
          </xdr14:nvContentPartPr>
          <xdr14:nvPr macro=""/>
          <xdr14:xfrm>
            <a:off x="322560" y="4312080"/>
            <a:ext cx="98280" cy="2520"/>
          </xdr14:xfrm>
        </xdr:contentPart>
      </mc:Choice>
      <mc:Fallback xmlns="">
        <xdr:pic>
          <xdr:nvPicPr>
            <xdr:cNvPr id="467" name="Entrada de lápiz 466">
              <a:extLst>
                <a:ext uri="{FF2B5EF4-FFF2-40B4-BE49-F238E27FC236}">
                  <a16:creationId xmlns:a16="http://schemas.microsoft.com/office/drawing/2014/main" id="{19DB9972-5D3C-C04C-8C52-C903F5D4E62E}"/>
                </a:ext>
              </a:extLst>
            </xdr:cNvPr>
            <xdr:cNvPicPr/>
          </xdr:nvPicPr>
          <xdr:blipFill>
            <a:blip xmlns:r="http://schemas.openxmlformats.org/officeDocument/2006/relationships" r:embed="rId849"/>
            <a:stretch>
              <a:fillRect/>
            </a:stretch>
          </xdr:blipFill>
          <xdr:spPr>
            <a:xfrm>
              <a:off x="313560" y="4303080"/>
              <a:ext cx="115920" cy="2016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6-09T17:56:56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0 7233,'0'0'0,"0"0"4265,0 0-3633,0 0-632,0 0 192,-2 0-96,2 0-40,0 0-56,-2 0 8,1 0 24,-1 0-16,2 0-16,-2 0 16,1 0-16,-1 0 0,2 0 0,-1 0-40,-1 0-16,0 0 8,2 0 48,-1 0-40,-1 0 40,0 0 0,1 0 0,1 0 0,-2 0-8,1 0-8,1 0 0,0 0 16,0 0-8,0 0 48,0 2 0,0-2 8,0 1-16,0 1-56,0 0 8,0-1-24,0 1-16,0-2 56,0 1-168,0 1-680,0-2-5457,0 0 6305,0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6-09T17:56:56.018"/>
    </inkml:context>
    <inkml:brush xml:id="br0">
      <inkml:brushProperty name="width" value="0.05" units="cm"/>
      <inkml:brushProperty name="height" value="0.05" units="cm"/>
      <inkml:brushProperty name="color" value="#ED1C24"/>
    </inkml:brush>
  </inkml:definitions>
  <inkml:trace contextRef="#ctx0" brushRef="#br0">20 7 10730,'0'0'0,"-2"0"2608,2 0-2608,-2 0 664,1 0-55,-3-3-65,4 3-544,-3 0 392,2-4-192,-3 4-112,4 0-88,-1 0 80,-1 0-24,2 0-16,0 0-40,0 0 48,0 0-8,3 0-24,-3 0-16,5 0-32,11 0-64,-11 0-88,-5 0 184,18 0-280,-13 0-72,14 0-56,-19 0 408,13 0-536,2 0-17,-10 0-79,-5 0 632,16 0-568,-11 0 56,13 0 56,-5 0 128,0 0-32,0 0 144,0 0 88,0 0 48,0 0 112,0 0-56,0 0 0,0 0-120,0 2-5962,-13-2 6106</inkml:trace>
</inkml: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S61"/>
  <sheetViews>
    <sheetView topLeftCell="G1" workbookViewId="0">
      <selection activeCell="K4" sqref="K4:N28"/>
    </sheetView>
  </sheetViews>
  <sheetFormatPr baseColWidth="10" defaultRowHeight="15" x14ac:dyDescent="0.25"/>
  <cols>
    <col min="7" max="7" width="12.28515625" customWidth="1"/>
  </cols>
  <sheetData>
    <row r="2" spans="1:19" x14ac:dyDescent="0.25">
      <c r="A2" s="8" t="s">
        <v>15</v>
      </c>
      <c r="F2" s="8" t="s">
        <v>22</v>
      </c>
      <c r="K2" s="8" t="s">
        <v>16</v>
      </c>
    </row>
    <row r="3" spans="1:19" x14ac:dyDescent="0.25">
      <c r="A3" s="7" t="s">
        <v>10</v>
      </c>
      <c r="B3" s="9" t="s">
        <v>1</v>
      </c>
      <c r="C3" s="7" t="s">
        <v>10</v>
      </c>
      <c r="D3" s="9" t="s">
        <v>2</v>
      </c>
      <c r="F3" s="7" t="s">
        <v>10</v>
      </c>
      <c r="G3" s="9" t="s">
        <v>1</v>
      </c>
      <c r="H3" s="7" t="s">
        <v>10</v>
      </c>
      <c r="I3" s="9" t="s">
        <v>2</v>
      </c>
      <c r="K3" s="7" t="s">
        <v>10</v>
      </c>
      <c r="L3" s="9" t="s">
        <v>1</v>
      </c>
      <c r="M3" s="7" t="s">
        <v>10</v>
      </c>
      <c r="N3" s="9" t="s">
        <v>2</v>
      </c>
      <c r="P3" s="7"/>
      <c r="Q3" s="9"/>
      <c r="R3" s="7"/>
      <c r="S3" s="9"/>
    </row>
    <row r="4" spans="1:19" x14ac:dyDescent="0.25">
      <c r="A4">
        <v>1</v>
      </c>
      <c r="B4" s="1">
        <v>9.5000000000000001E-2</v>
      </c>
      <c r="C4">
        <f>+A5</f>
        <v>7</v>
      </c>
      <c r="D4" s="1">
        <f>+B5</f>
        <v>9.5100000000000004E-2</v>
      </c>
      <c r="F4">
        <f>+A4</f>
        <v>1</v>
      </c>
      <c r="G4" s="1">
        <v>4.342E-2</v>
      </c>
      <c r="H4">
        <f>+C4</f>
        <v>7</v>
      </c>
      <c r="I4" s="1">
        <f>+G5</f>
        <v>4.2619999999999998E-2</v>
      </c>
      <c r="K4">
        <f>+F4</f>
        <v>1</v>
      </c>
      <c r="L4" s="1">
        <v>2.5400000000000002E-2</v>
      </c>
      <c r="M4">
        <f>+H4</f>
        <v>7</v>
      </c>
      <c r="N4" s="1">
        <f>+L5</f>
        <v>2.53E-2</v>
      </c>
      <c r="Q4" s="1"/>
      <c r="S4" s="1"/>
    </row>
    <row r="5" spans="1:19" x14ac:dyDescent="0.25">
      <c r="A5">
        <v>7</v>
      </c>
      <c r="B5" s="1">
        <v>9.5100000000000004E-2</v>
      </c>
      <c r="C5">
        <f t="shared" ref="C5:C27" si="0">+A6</f>
        <v>14</v>
      </c>
      <c r="D5" s="1">
        <f t="shared" ref="D5:D27" si="1">+B6</f>
        <v>9.4899999999999998E-2</v>
      </c>
      <c r="F5">
        <f t="shared" ref="F5:F28" si="2">+A5</f>
        <v>7</v>
      </c>
      <c r="G5" s="1">
        <v>4.2619999999999998E-2</v>
      </c>
      <c r="H5">
        <f t="shared" ref="H5:H28" si="3">+C5</f>
        <v>14</v>
      </c>
      <c r="I5" s="1">
        <f t="shared" ref="I5:I27" si="4">+G6</f>
        <v>4.2949999999999995E-2</v>
      </c>
      <c r="K5">
        <f t="shared" ref="K5:K28" si="5">+F5</f>
        <v>7</v>
      </c>
      <c r="L5" s="1">
        <v>2.53E-2</v>
      </c>
      <c r="M5">
        <f t="shared" ref="M5:M28" si="6">+H5</f>
        <v>14</v>
      </c>
      <c r="N5" s="1">
        <f t="shared" ref="N5:N27" si="7">+L6</f>
        <v>2.53E-2</v>
      </c>
      <c r="Q5" s="1"/>
      <c r="S5" s="1"/>
    </row>
    <row r="6" spans="1:19" x14ac:dyDescent="0.25">
      <c r="A6">
        <v>14</v>
      </c>
      <c r="B6" s="1">
        <v>9.4899999999999998E-2</v>
      </c>
      <c r="C6">
        <f t="shared" si="0"/>
        <v>28</v>
      </c>
      <c r="D6" s="1">
        <f t="shared" si="1"/>
        <v>9.5439999999999997E-2</v>
      </c>
      <c r="F6">
        <f t="shared" si="2"/>
        <v>14</v>
      </c>
      <c r="G6" s="1">
        <v>4.2949999999999995E-2</v>
      </c>
      <c r="H6">
        <f t="shared" si="3"/>
        <v>28</v>
      </c>
      <c r="I6" s="1">
        <f t="shared" si="4"/>
        <v>4.19E-2</v>
      </c>
      <c r="K6">
        <f t="shared" si="5"/>
        <v>14</v>
      </c>
      <c r="L6" s="1">
        <v>2.53E-2</v>
      </c>
      <c r="M6">
        <f t="shared" si="6"/>
        <v>28</v>
      </c>
      <c r="N6" s="1">
        <f t="shared" si="7"/>
        <v>2.3399999999999997E-2</v>
      </c>
      <c r="Q6" s="1"/>
      <c r="S6" s="1"/>
    </row>
    <row r="7" spans="1:19" x14ac:dyDescent="0.25">
      <c r="A7">
        <v>28</v>
      </c>
      <c r="B7" s="1">
        <v>9.5439999999999997E-2</v>
      </c>
      <c r="C7">
        <f t="shared" si="0"/>
        <v>56</v>
      </c>
      <c r="D7" s="1">
        <f t="shared" si="1"/>
        <v>9.5299999999999996E-2</v>
      </c>
      <c r="F7">
        <f t="shared" si="2"/>
        <v>28</v>
      </c>
      <c r="G7" s="1">
        <v>4.19E-2</v>
      </c>
      <c r="H7">
        <f t="shared" si="3"/>
        <v>56</v>
      </c>
      <c r="I7" s="1">
        <f t="shared" si="4"/>
        <v>4.2189999999999998E-2</v>
      </c>
      <c r="K7">
        <f t="shared" si="5"/>
        <v>28</v>
      </c>
      <c r="L7" s="1">
        <v>2.3399999999999997E-2</v>
      </c>
      <c r="M7">
        <f t="shared" si="6"/>
        <v>56</v>
      </c>
      <c r="N7" s="1">
        <f t="shared" si="7"/>
        <v>2.2700000000000001E-2</v>
      </c>
      <c r="Q7" s="1"/>
      <c r="S7" s="1"/>
    </row>
    <row r="8" spans="1:19" x14ac:dyDescent="0.25">
      <c r="A8">
        <v>56</v>
      </c>
      <c r="B8" s="1">
        <v>9.5299999999999996E-2</v>
      </c>
      <c r="C8">
        <f t="shared" si="0"/>
        <v>91</v>
      </c>
      <c r="D8" s="1">
        <f t="shared" si="1"/>
        <v>9.3100000000000002E-2</v>
      </c>
      <c r="F8">
        <f t="shared" si="2"/>
        <v>56</v>
      </c>
      <c r="G8" s="1">
        <v>4.2189999999999998E-2</v>
      </c>
      <c r="H8">
        <f t="shared" si="3"/>
        <v>91</v>
      </c>
      <c r="I8" s="1">
        <f t="shared" si="4"/>
        <v>4.2020000000000002E-2</v>
      </c>
      <c r="K8">
        <f t="shared" si="5"/>
        <v>56</v>
      </c>
      <c r="L8" s="1">
        <v>2.2700000000000001E-2</v>
      </c>
      <c r="M8">
        <f t="shared" si="6"/>
        <v>91</v>
      </c>
      <c r="N8" s="1">
        <f t="shared" si="7"/>
        <v>2.2210000000000001E-2</v>
      </c>
      <c r="Q8" s="1"/>
      <c r="S8" s="1"/>
    </row>
    <row r="9" spans="1:19" x14ac:dyDescent="0.25">
      <c r="A9">
        <v>91</v>
      </c>
      <c r="B9" s="1">
        <v>9.3100000000000002E-2</v>
      </c>
      <c r="C9">
        <f t="shared" si="0"/>
        <v>182</v>
      </c>
      <c r="D9" s="1">
        <f t="shared" si="1"/>
        <v>9.1230000000000006E-2</v>
      </c>
      <c r="F9">
        <f t="shared" si="2"/>
        <v>91</v>
      </c>
      <c r="G9" s="1">
        <v>4.2020000000000002E-2</v>
      </c>
      <c r="H9">
        <f t="shared" si="3"/>
        <v>182</v>
      </c>
      <c r="I9" s="1">
        <f t="shared" si="4"/>
        <v>4.1489999999999999E-2</v>
      </c>
      <c r="K9">
        <f t="shared" si="5"/>
        <v>91</v>
      </c>
      <c r="L9" s="1">
        <v>2.2210000000000001E-2</v>
      </c>
      <c r="M9">
        <f t="shared" si="6"/>
        <v>182</v>
      </c>
      <c r="N9" s="1">
        <f t="shared" si="7"/>
        <v>2.1569999999999999E-2</v>
      </c>
      <c r="Q9" s="1"/>
      <c r="S9" s="1"/>
    </row>
    <row r="10" spans="1:19" x14ac:dyDescent="0.25">
      <c r="A10">
        <v>182</v>
      </c>
      <c r="B10" s="1">
        <v>9.1230000000000006E-2</v>
      </c>
      <c r="C10">
        <f t="shared" si="0"/>
        <v>273</v>
      </c>
      <c r="D10" s="1">
        <f t="shared" si="1"/>
        <v>9.1399999999999995E-2</v>
      </c>
      <c r="F10">
        <f t="shared" si="2"/>
        <v>182</v>
      </c>
      <c r="G10" s="1">
        <v>4.1489999999999999E-2</v>
      </c>
      <c r="H10">
        <f t="shared" si="3"/>
        <v>273</v>
      </c>
      <c r="I10" s="1">
        <f t="shared" si="4"/>
        <v>4.1584999999999997E-2</v>
      </c>
      <c r="K10">
        <f t="shared" si="5"/>
        <v>182</v>
      </c>
      <c r="L10" s="1">
        <v>2.1569999999999999E-2</v>
      </c>
      <c r="M10">
        <f t="shared" si="6"/>
        <v>273</v>
      </c>
      <c r="N10" s="1">
        <f t="shared" si="7"/>
        <v>2.1350000000000001E-2</v>
      </c>
      <c r="Q10" s="1"/>
      <c r="S10" s="1"/>
    </row>
    <row r="11" spans="1:19" x14ac:dyDescent="0.25">
      <c r="A11">
        <v>273</v>
      </c>
      <c r="B11" s="1">
        <v>9.1399999999999995E-2</v>
      </c>
      <c r="C11">
        <f t="shared" si="0"/>
        <v>364</v>
      </c>
      <c r="D11" s="1">
        <f t="shared" si="1"/>
        <v>9.1300000000000006E-2</v>
      </c>
      <c r="F11">
        <f t="shared" si="2"/>
        <v>273</v>
      </c>
      <c r="G11" s="1">
        <v>4.1584999999999997E-2</v>
      </c>
      <c r="H11">
        <f t="shared" si="3"/>
        <v>364</v>
      </c>
      <c r="I11" s="1">
        <f t="shared" si="4"/>
        <v>4.018E-2</v>
      </c>
      <c r="K11">
        <f t="shared" si="5"/>
        <v>273</v>
      </c>
      <c r="L11" s="1">
        <v>2.1350000000000001E-2</v>
      </c>
      <c r="M11">
        <f t="shared" si="6"/>
        <v>364</v>
      </c>
      <c r="N11" s="1">
        <f t="shared" si="7"/>
        <v>2.1190000000000001E-2</v>
      </c>
      <c r="Q11" s="1"/>
      <c r="S11" s="1"/>
    </row>
    <row r="12" spans="1:19" x14ac:dyDescent="0.25">
      <c r="A12">
        <v>364</v>
      </c>
      <c r="B12" s="1">
        <v>9.1300000000000006E-2</v>
      </c>
      <c r="C12">
        <f t="shared" si="0"/>
        <v>580</v>
      </c>
      <c r="D12" s="1">
        <f t="shared" si="1"/>
        <v>9.0800000000000006E-2</v>
      </c>
      <c r="F12">
        <f t="shared" si="2"/>
        <v>364</v>
      </c>
      <c r="G12" s="1">
        <v>4.018E-2</v>
      </c>
      <c r="H12">
        <f t="shared" si="3"/>
        <v>580</v>
      </c>
      <c r="I12" s="1">
        <f t="shared" si="4"/>
        <v>4.0524999999999999E-2</v>
      </c>
      <c r="K12">
        <f t="shared" si="5"/>
        <v>364</v>
      </c>
      <c r="L12" s="1">
        <v>2.1190000000000001E-2</v>
      </c>
      <c r="M12">
        <f t="shared" si="6"/>
        <v>580</v>
      </c>
      <c r="N12" s="1">
        <f t="shared" si="7"/>
        <v>2.1174999999999999E-2</v>
      </c>
      <c r="Q12" s="1"/>
      <c r="S12" s="1"/>
    </row>
    <row r="13" spans="1:19" x14ac:dyDescent="0.25">
      <c r="A13">
        <v>580</v>
      </c>
      <c r="B13" s="1">
        <v>9.0800000000000006E-2</v>
      </c>
      <c r="C13">
        <f t="shared" si="0"/>
        <v>728</v>
      </c>
      <c r="D13" s="1">
        <f t="shared" si="1"/>
        <v>9.0700000000000003E-2</v>
      </c>
      <c r="F13">
        <f t="shared" si="2"/>
        <v>580</v>
      </c>
      <c r="G13" s="1">
        <v>4.0524999999999999E-2</v>
      </c>
      <c r="H13">
        <f t="shared" si="3"/>
        <v>728</v>
      </c>
      <c r="I13" s="1">
        <f t="shared" si="4"/>
        <v>4.0169999999999997E-2</v>
      </c>
      <c r="K13">
        <f t="shared" si="5"/>
        <v>580</v>
      </c>
      <c r="L13" s="1">
        <v>2.1174999999999999E-2</v>
      </c>
      <c r="M13">
        <f t="shared" si="6"/>
        <v>728</v>
      </c>
      <c r="N13" s="1">
        <f t="shared" si="7"/>
        <v>2.1559999999999999E-2</v>
      </c>
      <c r="Q13" s="1"/>
      <c r="S13" s="1"/>
    </row>
    <row r="14" spans="1:19" x14ac:dyDescent="0.25">
      <c r="A14">
        <v>728</v>
      </c>
      <c r="B14" s="1">
        <v>9.0700000000000003E-2</v>
      </c>
      <c r="C14">
        <f t="shared" si="0"/>
        <v>900</v>
      </c>
      <c r="D14" s="1">
        <f t="shared" si="1"/>
        <v>9.0399999999999994E-2</v>
      </c>
      <c r="F14">
        <f t="shared" si="2"/>
        <v>728</v>
      </c>
      <c r="G14" s="1">
        <v>4.0169999999999997E-2</v>
      </c>
      <c r="H14">
        <f t="shared" si="3"/>
        <v>900</v>
      </c>
      <c r="I14" s="1">
        <f t="shared" si="4"/>
        <v>3.9855000000000002E-2</v>
      </c>
      <c r="K14">
        <f t="shared" si="5"/>
        <v>728</v>
      </c>
      <c r="L14" s="1">
        <v>2.1559999999999999E-2</v>
      </c>
      <c r="M14">
        <f t="shared" si="6"/>
        <v>900</v>
      </c>
      <c r="N14" s="1">
        <f t="shared" si="7"/>
        <v>2.1454999999999998E-2</v>
      </c>
      <c r="Q14" s="1"/>
      <c r="S14" s="1"/>
    </row>
    <row r="15" spans="1:19" x14ac:dyDescent="0.25">
      <c r="A15">
        <v>900</v>
      </c>
      <c r="B15" s="1">
        <v>9.0399999999999994E-2</v>
      </c>
      <c r="C15">
        <f t="shared" si="0"/>
        <v>1092</v>
      </c>
      <c r="D15" s="1">
        <f t="shared" si="1"/>
        <v>8.8700000000000001E-2</v>
      </c>
      <c r="F15">
        <f t="shared" si="2"/>
        <v>900</v>
      </c>
      <c r="G15" s="1">
        <v>3.9855000000000002E-2</v>
      </c>
      <c r="H15">
        <f t="shared" si="3"/>
        <v>1092</v>
      </c>
      <c r="I15" s="1">
        <f t="shared" si="4"/>
        <v>3.9440000000000003E-2</v>
      </c>
      <c r="K15">
        <f t="shared" si="5"/>
        <v>900</v>
      </c>
      <c r="L15" s="1">
        <v>2.1454999999999998E-2</v>
      </c>
      <c r="M15">
        <f t="shared" si="6"/>
        <v>1092</v>
      </c>
      <c r="N15" s="1">
        <f t="shared" si="7"/>
        <v>2.1649999999999999E-2</v>
      </c>
      <c r="Q15" s="1"/>
      <c r="S15" s="1"/>
    </row>
    <row r="16" spans="1:19" x14ac:dyDescent="0.25">
      <c r="A16" s="4">
        <v>1092</v>
      </c>
      <c r="B16" s="1">
        <v>8.8700000000000001E-2</v>
      </c>
      <c r="C16">
        <f t="shared" si="0"/>
        <v>1260</v>
      </c>
      <c r="D16" s="1">
        <f t="shared" si="1"/>
        <v>8.9499999999999996E-2</v>
      </c>
      <c r="F16">
        <f t="shared" si="2"/>
        <v>1092</v>
      </c>
      <c r="G16" s="1">
        <v>3.9440000000000003E-2</v>
      </c>
      <c r="H16">
        <f t="shared" si="3"/>
        <v>1260</v>
      </c>
      <c r="I16" s="1">
        <f t="shared" si="4"/>
        <v>3.9600000000000003E-2</v>
      </c>
      <c r="K16">
        <f t="shared" si="5"/>
        <v>1092</v>
      </c>
      <c r="L16" s="1">
        <v>2.1649999999999999E-2</v>
      </c>
      <c r="M16">
        <f t="shared" si="6"/>
        <v>1260</v>
      </c>
      <c r="N16" s="1">
        <f t="shared" si="7"/>
        <v>2.2230000000000003E-2</v>
      </c>
      <c r="P16" s="4"/>
      <c r="Q16" s="1"/>
      <c r="S16" s="1"/>
    </row>
    <row r="17" spans="1:19" x14ac:dyDescent="0.25">
      <c r="A17" s="4">
        <v>1260</v>
      </c>
      <c r="B17" s="1">
        <v>8.9499999999999996E-2</v>
      </c>
      <c r="C17">
        <f t="shared" si="0"/>
        <v>1440</v>
      </c>
      <c r="D17" s="1">
        <f t="shared" si="1"/>
        <v>9.0300000000000005E-2</v>
      </c>
      <c r="F17">
        <f t="shared" si="2"/>
        <v>1260</v>
      </c>
      <c r="G17" s="1">
        <v>3.9600000000000003E-2</v>
      </c>
      <c r="H17">
        <f t="shared" si="3"/>
        <v>1440</v>
      </c>
      <c r="I17" s="1">
        <f t="shared" si="4"/>
        <v>3.9899999999999998E-2</v>
      </c>
      <c r="K17">
        <f t="shared" si="5"/>
        <v>1260</v>
      </c>
      <c r="L17" s="1">
        <v>2.2230000000000003E-2</v>
      </c>
      <c r="M17">
        <f t="shared" si="6"/>
        <v>1440</v>
      </c>
      <c r="N17" s="1">
        <f t="shared" si="7"/>
        <v>2.231E-2</v>
      </c>
      <c r="P17" s="4"/>
      <c r="Q17" s="1"/>
      <c r="S17" s="1"/>
    </row>
    <row r="18" spans="1:19" x14ac:dyDescent="0.25">
      <c r="A18" s="4">
        <v>1440</v>
      </c>
      <c r="B18" s="1">
        <v>9.0300000000000005E-2</v>
      </c>
      <c r="C18">
        <f t="shared" si="0"/>
        <v>1800</v>
      </c>
      <c r="D18" s="1">
        <f t="shared" si="1"/>
        <v>9.2299999999999993E-2</v>
      </c>
      <c r="F18">
        <f t="shared" si="2"/>
        <v>1440</v>
      </c>
      <c r="G18" s="1">
        <v>3.9899999999999998E-2</v>
      </c>
      <c r="H18">
        <f t="shared" si="3"/>
        <v>1800</v>
      </c>
      <c r="I18" s="1">
        <f t="shared" si="4"/>
        <v>4.0129999999999999E-2</v>
      </c>
      <c r="K18">
        <f t="shared" si="5"/>
        <v>1440</v>
      </c>
      <c r="L18" s="1">
        <v>2.231E-2</v>
      </c>
      <c r="M18">
        <f t="shared" si="6"/>
        <v>1800</v>
      </c>
      <c r="N18" s="1">
        <f t="shared" si="7"/>
        <v>2.4370000000000003E-2</v>
      </c>
      <c r="P18" s="4"/>
      <c r="Q18" s="1"/>
      <c r="S18" s="1"/>
    </row>
    <row r="19" spans="1:19" x14ac:dyDescent="0.25">
      <c r="A19" s="4">
        <v>1800</v>
      </c>
      <c r="B19" s="1">
        <v>9.2299999999999993E-2</v>
      </c>
      <c r="C19">
        <f t="shared" si="0"/>
        <v>2160</v>
      </c>
      <c r="D19" s="1">
        <f t="shared" si="1"/>
        <v>9.2799999999999994E-2</v>
      </c>
      <c r="F19">
        <f t="shared" si="2"/>
        <v>1800</v>
      </c>
      <c r="G19" s="1">
        <v>4.0129999999999999E-2</v>
      </c>
      <c r="H19">
        <f t="shared" si="3"/>
        <v>2160</v>
      </c>
      <c r="I19" s="1">
        <f t="shared" si="4"/>
        <v>4.1235000000000001E-2</v>
      </c>
      <c r="K19">
        <f t="shared" si="5"/>
        <v>1800</v>
      </c>
      <c r="L19" s="1">
        <v>2.4370000000000003E-2</v>
      </c>
      <c r="M19">
        <f t="shared" si="6"/>
        <v>2160</v>
      </c>
      <c r="N19" s="1">
        <f t="shared" si="7"/>
        <v>2.4559999999999998E-2</v>
      </c>
      <c r="P19" s="4"/>
      <c r="Q19" s="1"/>
      <c r="S19" s="1"/>
    </row>
    <row r="20" spans="1:19" x14ac:dyDescent="0.25">
      <c r="A20" s="4">
        <v>2160</v>
      </c>
      <c r="B20" s="1">
        <v>9.2799999999999994E-2</v>
      </c>
      <c r="C20">
        <f t="shared" si="0"/>
        <v>2520</v>
      </c>
      <c r="D20" s="1">
        <f t="shared" si="1"/>
        <v>9.3399999999999997E-2</v>
      </c>
      <c r="F20">
        <f t="shared" si="2"/>
        <v>2160</v>
      </c>
      <c r="G20" s="1">
        <v>4.1235000000000001E-2</v>
      </c>
      <c r="H20">
        <f t="shared" si="3"/>
        <v>2520</v>
      </c>
      <c r="I20" s="1">
        <f t="shared" si="4"/>
        <v>4.1640000000000003E-2</v>
      </c>
      <c r="K20">
        <f t="shared" si="5"/>
        <v>2160</v>
      </c>
      <c r="L20" s="1">
        <v>2.4559999999999998E-2</v>
      </c>
      <c r="M20">
        <f t="shared" si="6"/>
        <v>2520</v>
      </c>
      <c r="N20" s="1">
        <f t="shared" si="7"/>
        <v>2.5780000000000001E-2</v>
      </c>
      <c r="P20" s="4"/>
      <c r="Q20" s="1"/>
      <c r="S20" s="1"/>
    </row>
    <row r="21" spans="1:19" x14ac:dyDescent="0.25">
      <c r="A21" s="4">
        <v>2520</v>
      </c>
      <c r="B21" s="1">
        <v>9.3399999999999997E-2</v>
      </c>
      <c r="C21">
        <f t="shared" si="0"/>
        <v>2880</v>
      </c>
      <c r="D21" s="1">
        <f t="shared" si="1"/>
        <v>9.4100000000000003E-2</v>
      </c>
      <c r="F21">
        <f t="shared" si="2"/>
        <v>2520</v>
      </c>
      <c r="G21" s="1">
        <v>4.1640000000000003E-2</v>
      </c>
      <c r="H21">
        <f t="shared" si="3"/>
        <v>2880</v>
      </c>
      <c r="I21" s="1">
        <f t="shared" si="4"/>
        <v>4.2200000000000001E-2</v>
      </c>
      <c r="K21">
        <f t="shared" si="5"/>
        <v>2520</v>
      </c>
      <c r="L21" s="1">
        <v>2.5780000000000001E-2</v>
      </c>
      <c r="M21">
        <f t="shared" si="6"/>
        <v>2880</v>
      </c>
      <c r="N21" s="1">
        <f t="shared" si="7"/>
        <v>2.6809999999999997E-2</v>
      </c>
      <c r="P21" s="4"/>
      <c r="Q21" s="1"/>
      <c r="S21" s="1"/>
    </row>
    <row r="22" spans="1:19" x14ac:dyDescent="0.25">
      <c r="A22" s="4">
        <v>2880</v>
      </c>
      <c r="B22" s="1">
        <v>9.4100000000000003E-2</v>
      </c>
      <c r="C22">
        <f t="shared" si="0"/>
        <v>3240</v>
      </c>
      <c r="D22" s="1">
        <f t="shared" si="1"/>
        <v>9.4899999999999998E-2</v>
      </c>
      <c r="F22">
        <f t="shared" si="2"/>
        <v>2880</v>
      </c>
      <c r="G22" s="1">
        <v>4.2200000000000001E-2</v>
      </c>
      <c r="H22">
        <f t="shared" si="3"/>
        <v>3240</v>
      </c>
      <c r="I22" s="1">
        <f t="shared" si="4"/>
        <v>4.2099999999999999E-2</v>
      </c>
      <c r="K22">
        <f t="shared" si="5"/>
        <v>2880</v>
      </c>
      <c r="L22" s="1">
        <v>2.6809999999999997E-2</v>
      </c>
      <c r="M22">
        <f t="shared" si="6"/>
        <v>3240</v>
      </c>
      <c r="N22" s="1">
        <f t="shared" si="7"/>
        <v>2.7520000000000003E-2</v>
      </c>
      <c r="P22" s="4"/>
      <c r="Q22" s="1"/>
      <c r="S22" s="1"/>
    </row>
    <row r="23" spans="1:19" x14ac:dyDescent="0.25">
      <c r="A23" s="4">
        <v>3240</v>
      </c>
      <c r="B23" s="1">
        <v>9.4899999999999998E-2</v>
      </c>
      <c r="C23">
        <f t="shared" si="0"/>
        <v>3600</v>
      </c>
      <c r="D23" s="1">
        <f t="shared" si="1"/>
        <v>9.5299999999999996E-2</v>
      </c>
      <c r="F23">
        <f t="shared" si="2"/>
        <v>3240</v>
      </c>
      <c r="G23" s="1">
        <v>4.2099999999999999E-2</v>
      </c>
      <c r="H23">
        <f t="shared" si="3"/>
        <v>3600</v>
      </c>
      <c r="I23" s="1">
        <f t="shared" si="4"/>
        <v>4.231E-2</v>
      </c>
      <c r="K23">
        <f t="shared" si="5"/>
        <v>3240</v>
      </c>
      <c r="L23" s="1">
        <v>2.7520000000000003E-2</v>
      </c>
      <c r="M23">
        <f t="shared" si="6"/>
        <v>3600</v>
      </c>
      <c r="N23" s="1">
        <f t="shared" si="7"/>
        <v>2.8030000000000003E-2</v>
      </c>
      <c r="P23" s="4"/>
      <c r="Q23" s="1"/>
      <c r="S23" s="1"/>
    </row>
    <row r="24" spans="1:19" x14ac:dyDescent="0.25">
      <c r="A24" s="4">
        <v>3600</v>
      </c>
      <c r="B24" s="1">
        <v>9.5299999999999996E-2</v>
      </c>
      <c r="C24">
        <f t="shared" si="0"/>
        <v>5400</v>
      </c>
      <c r="D24" s="1">
        <f t="shared" si="1"/>
        <v>9.7299999999999998E-2</v>
      </c>
      <c r="F24">
        <f t="shared" si="2"/>
        <v>3600</v>
      </c>
      <c r="G24" s="1">
        <v>4.231E-2</v>
      </c>
      <c r="H24">
        <f t="shared" si="3"/>
        <v>5400</v>
      </c>
      <c r="I24" s="1">
        <f t="shared" si="4"/>
        <v>4.4879999999999996E-2</v>
      </c>
      <c r="K24">
        <f t="shared" si="5"/>
        <v>3600</v>
      </c>
      <c r="L24" s="1">
        <v>2.8030000000000003E-2</v>
      </c>
      <c r="M24">
        <f t="shared" si="6"/>
        <v>5400</v>
      </c>
      <c r="N24" s="1">
        <f t="shared" si="7"/>
        <v>3.1050000000000001E-2</v>
      </c>
      <c r="P24" s="4"/>
      <c r="Q24" s="1"/>
      <c r="S24" s="1"/>
    </row>
    <row r="25" spans="1:19" x14ac:dyDescent="0.25">
      <c r="A25" s="4">
        <v>5400</v>
      </c>
      <c r="B25" s="1">
        <v>9.7299999999999998E-2</v>
      </c>
      <c r="C25">
        <f t="shared" si="0"/>
        <v>7200</v>
      </c>
      <c r="D25" s="1">
        <f t="shared" si="1"/>
        <v>9.98E-2</v>
      </c>
      <c r="F25">
        <f t="shared" si="2"/>
        <v>5400</v>
      </c>
      <c r="G25" s="1">
        <v>4.4879999999999996E-2</v>
      </c>
      <c r="H25">
        <f t="shared" si="3"/>
        <v>7200</v>
      </c>
      <c r="I25" s="1">
        <f t="shared" si="4"/>
        <v>4.5600000000000002E-2</v>
      </c>
      <c r="K25">
        <f t="shared" si="5"/>
        <v>5400</v>
      </c>
      <c r="L25" s="1">
        <v>3.1050000000000001E-2</v>
      </c>
      <c r="M25">
        <f t="shared" si="6"/>
        <v>7200</v>
      </c>
      <c r="N25" s="1">
        <f t="shared" si="7"/>
        <v>3.1110000000000002E-2</v>
      </c>
      <c r="P25" s="4"/>
      <c r="Q25" s="1"/>
      <c r="S25" s="1"/>
    </row>
    <row r="26" spans="1:19" x14ac:dyDescent="0.25">
      <c r="A26" s="4">
        <v>7200</v>
      </c>
      <c r="B26" s="1">
        <v>9.98E-2</v>
      </c>
      <c r="C26">
        <f t="shared" si="0"/>
        <v>9000</v>
      </c>
      <c r="D26" s="1">
        <f t="shared" si="1"/>
        <v>0.10009999999999999</v>
      </c>
      <c r="F26">
        <f t="shared" si="2"/>
        <v>7200</v>
      </c>
      <c r="G26" s="1">
        <v>4.5600000000000002E-2</v>
      </c>
      <c r="H26">
        <f t="shared" si="3"/>
        <v>9000</v>
      </c>
      <c r="I26" s="1">
        <f t="shared" si="4"/>
        <v>4.5400000000000003E-2</v>
      </c>
      <c r="K26">
        <f t="shared" si="5"/>
        <v>7200</v>
      </c>
      <c r="L26" s="1">
        <v>3.1110000000000002E-2</v>
      </c>
      <c r="M26">
        <f t="shared" si="6"/>
        <v>9000</v>
      </c>
      <c r="N26" s="1">
        <f t="shared" si="7"/>
        <v>3.0819999999999997E-2</v>
      </c>
      <c r="P26" s="4"/>
      <c r="Q26" s="1"/>
      <c r="S26" s="1"/>
    </row>
    <row r="27" spans="1:19" x14ac:dyDescent="0.25">
      <c r="A27" s="4">
        <v>9000</v>
      </c>
      <c r="B27" s="1">
        <v>0.10009999999999999</v>
      </c>
      <c r="C27">
        <f t="shared" si="0"/>
        <v>10800</v>
      </c>
      <c r="D27" s="1">
        <f t="shared" si="1"/>
        <v>0.1003</v>
      </c>
      <c r="F27">
        <f t="shared" si="2"/>
        <v>9000</v>
      </c>
      <c r="G27" s="1">
        <v>4.5400000000000003E-2</v>
      </c>
      <c r="H27">
        <f t="shared" si="3"/>
        <v>10800</v>
      </c>
      <c r="I27" s="1">
        <f t="shared" si="4"/>
        <v>4.5100000000000001E-2</v>
      </c>
      <c r="K27">
        <f t="shared" si="5"/>
        <v>9000</v>
      </c>
      <c r="L27" s="1">
        <v>3.0819999999999997E-2</v>
      </c>
      <c r="M27">
        <f t="shared" si="6"/>
        <v>10800</v>
      </c>
      <c r="N27" s="1">
        <f t="shared" si="7"/>
        <v>3.1320000000000001E-2</v>
      </c>
      <c r="P27" s="4"/>
      <c r="Q27" s="1"/>
      <c r="S27" s="1"/>
    </row>
    <row r="28" spans="1:19" x14ac:dyDescent="0.25">
      <c r="A28" s="4">
        <v>10800</v>
      </c>
      <c r="B28" s="1">
        <v>0.1003</v>
      </c>
      <c r="C28" s="4">
        <f>+A28</f>
        <v>10800</v>
      </c>
      <c r="D28" s="1">
        <f>+B28</f>
        <v>0.1003</v>
      </c>
      <c r="F28">
        <f t="shared" si="2"/>
        <v>10800</v>
      </c>
      <c r="G28" s="1">
        <v>4.5100000000000001E-2</v>
      </c>
      <c r="H28">
        <f t="shared" si="3"/>
        <v>10800</v>
      </c>
      <c r="I28" s="1">
        <f>+G28</f>
        <v>4.5100000000000001E-2</v>
      </c>
      <c r="K28">
        <f t="shared" si="5"/>
        <v>10800</v>
      </c>
      <c r="L28" s="1">
        <v>3.1320000000000001E-2</v>
      </c>
      <c r="M28">
        <f t="shared" si="6"/>
        <v>10800</v>
      </c>
      <c r="N28" s="1">
        <f>+L28</f>
        <v>3.1320000000000001E-2</v>
      </c>
      <c r="P28" s="4"/>
      <c r="Q28" s="1"/>
      <c r="S28" s="1"/>
    </row>
    <row r="30" spans="1:19" x14ac:dyDescent="0.25">
      <c r="B30" s="30"/>
    </row>
    <row r="31" spans="1:19" x14ac:dyDescent="0.25">
      <c r="B31" s="30"/>
      <c r="K31" s="67"/>
    </row>
    <row r="32" spans="1:19" x14ac:dyDescent="0.25">
      <c r="B32" s="30"/>
      <c r="K32" s="67"/>
    </row>
    <row r="33" spans="2:12" x14ac:dyDescent="0.25">
      <c r="B33" s="30"/>
      <c r="K33" s="67"/>
    </row>
    <row r="34" spans="2:12" x14ac:dyDescent="0.25">
      <c r="B34" s="30"/>
      <c r="K34" s="67"/>
    </row>
    <row r="35" spans="2:12" x14ac:dyDescent="0.25">
      <c r="B35" s="30"/>
      <c r="K35" s="67"/>
    </row>
    <row r="36" spans="2:12" x14ac:dyDescent="0.25">
      <c r="B36" s="30"/>
      <c r="K36" s="67"/>
    </row>
    <row r="37" spans="2:12" x14ac:dyDescent="0.25">
      <c r="B37" s="30"/>
      <c r="K37" s="67"/>
    </row>
    <row r="38" spans="2:12" x14ac:dyDescent="0.25">
      <c r="B38" s="30"/>
      <c r="K38" s="67"/>
    </row>
    <row r="39" spans="2:12" x14ac:dyDescent="0.25">
      <c r="B39" s="30"/>
      <c r="K39" s="67"/>
    </row>
    <row r="40" spans="2:12" x14ac:dyDescent="0.25">
      <c r="B40" s="30"/>
      <c r="K40" s="67"/>
    </row>
    <row r="41" spans="2:12" x14ac:dyDescent="0.25">
      <c r="B41" s="30"/>
      <c r="K41" s="67"/>
      <c r="L41" s="68"/>
    </row>
    <row r="42" spans="2:12" x14ac:dyDescent="0.25">
      <c r="B42" s="30"/>
      <c r="K42" s="67"/>
      <c r="L42" s="68"/>
    </row>
    <row r="43" spans="2:12" x14ac:dyDescent="0.25">
      <c r="B43" s="30"/>
      <c r="K43" s="67"/>
      <c r="L43" s="68"/>
    </row>
    <row r="44" spans="2:12" x14ac:dyDescent="0.25">
      <c r="B44" s="30"/>
      <c r="K44" s="67"/>
      <c r="L44" s="68"/>
    </row>
    <row r="45" spans="2:12" x14ac:dyDescent="0.25">
      <c r="B45" s="30"/>
      <c r="K45" s="67"/>
      <c r="L45" s="68"/>
    </row>
    <row r="46" spans="2:12" x14ac:dyDescent="0.25">
      <c r="B46" s="30"/>
      <c r="K46" s="67"/>
      <c r="L46" s="68"/>
    </row>
    <row r="47" spans="2:12" x14ac:dyDescent="0.25">
      <c r="B47" s="30"/>
      <c r="K47" s="67"/>
      <c r="L47" s="68"/>
    </row>
    <row r="48" spans="2:12" x14ac:dyDescent="0.25">
      <c r="B48" s="30"/>
      <c r="K48" s="67"/>
      <c r="L48" s="4"/>
    </row>
    <row r="49" spans="2:12" x14ac:dyDescent="0.25">
      <c r="B49" s="30"/>
      <c r="K49" s="67"/>
      <c r="L49" s="4"/>
    </row>
    <row r="50" spans="2:12" x14ac:dyDescent="0.25">
      <c r="B50" s="30"/>
      <c r="K50" s="67"/>
      <c r="L50" s="4"/>
    </row>
    <row r="51" spans="2:12" x14ac:dyDescent="0.25">
      <c r="B51" s="30"/>
      <c r="K51" s="67"/>
      <c r="L51" s="4"/>
    </row>
    <row r="52" spans="2:12" x14ac:dyDescent="0.25">
      <c r="B52" s="30"/>
      <c r="K52" s="67"/>
      <c r="L52" s="4"/>
    </row>
    <row r="53" spans="2:12" x14ac:dyDescent="0.25">
      <c r="B53" s="30"/>
    </row>
    <row r="54" spans="2:12" x14ac:dyDescent="0.25">
      <c r="B54" s="30"/>
    </row>
    <row r="55" spans="2:12" x14ac:dyDescent="0.25">
      <c r="B55" s="30"/>
    </row>
    <row r="56" spans="2:12" x14ac:dyDescent="0.25">
      <c r="B56" s="30"/>
    </row>
    <row r="57" spans="2:12" x14ac:dyDescent="0.25">
      <c r="B57" s="30"/>
    </row>
    <row r="58" spans="2:12" x14ac:dyDescent="0.25">
      <c r="B58" s="30"/>
    </row>
    <row r="59" spans="2:12" x14ac:dyDescent="0.25">
      <c r="B59" s="30"/>
    </row>
    <row r="60" spans="2:12" x14ac:dyDescent="0.25">
      <c r="B60" s="30"/>
    </row>
    <row r="61" spans="2:12" x14ac:dyDescent="0.25">
      <c r="B61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8822D-DCA6-4902-A3ED-6449E4962372}">
  <sheetPr codeName="Hoja5"/>
  <dimension ref="A2:S51"/>
  <sheetViews>
    <sheetView topLeftCell="C2" workbookViewId="0">
      <selection activeCell="D32" sqref="D32:E33"/>
    </sheetView>
  </sheetViews>
  <sheetFormatPr baseColWidth="10" defaultRowHeight="15" x14ac:dyDescent="0.25"/>
  <sheetData>
    <row r="2" spans="1:19" x14ac:dyDescent="0.25">
      <c r="A2" s="8" t="s">
        <v>15</v>
      </c>
      <c r="F2" s="8" t="s">
        <v>22</v>
      </c>
      <c r="K2" s="8" t="s">
        <v>16</v>
      </c>
    </row>
    <row r="3" spans="1:19" x14ac:dyDescent="0.25">
      <c r="A3" s="7" t="s">
        <v>10</v>
      </c>
      <c r="B3" s="9" t="s">
        <v>1</v>
      </c>
      <c r="C3" s="7" t="s">
        <v>10</v>
      </c>
      <c r="D3" s="9" t="s">
        <v>2</v>
      </c>
      <c r="F3" s="7" t="s">
        <v>10</v>
      </c>
      <c r="G3" s="9" t="s">
        <v>1</v>
      </c>
      <c r="H3" s="7" t="s">
        <v>10</v>
      </c>
      <c r="I3" s="9" t="s">
        <v>2</v>
      </c>
      <c r="K3" s="7" t="s">
        <v>10</v>
      </c>
      <c r="L3" s="9" t="s">
        <v>1</v>
      </c>
      <c r="M3" s="7" t="s">
        <v>10</v>
      </c>
      <c r="N3" s="9" t="s">
        <v>2</v>
      </c>
      <c r="P3" s="7"/>
      <c r="Q3" s="9"/>
      <c r="R3" s="7"/>
      <c r="S3" s="9"/>
    </row>
    <row r="4" spans="1:19" x14ac:dyDescent="0.25">
      <c r="A4">
        <v>1</v>
      </c>
      <c r="B4" s="1">
        <v>9.5000000000000001E-2</v>
      </c>
      <c r="C4">
        <f>+A5</f>
        <v>7</v>
      </c>
      <c r="D4" s="1">
        <f>+B5</f>
        <v>9.4890000000000002E-2</v>
      </c>
      <c r="F4">
        <f>+A4</f>
        <v>1</v>
      </c>
      <c r="G4" s="1">
        <v>4.3520000000000003E-2</v>
      </c>
      <c r="H4">
        <f>+C4</f>
        <v>7</v>
      </c>
      <c r="I4" s="1">
        <f>+G5</f>
        <v>4.342E-2</v>
      </c>
      <c r="K4">
        <f>+F4</f>
        <v>1</v>
      </c>
      <c r="L4" s="1">
        <v>2.5000000000000001E-2</v>
      </c>
      <c r="M4">
        <f>+H4</f>
        <v>7</v>
      </c>
      <c r="N4" s="1">
        <f>+L5</f>
        <v>2.5100000000000001E-2</v>
      </c>
      <c r="Q4" s="1"/>
      <c r="S4" s="1"/>
    </row>
    <row r="5" spans="1:19" x14ac:dyDescent="0.25">
      <c r="A5">
        <v>7</v>
      </c>
      <c r="B5" s="1">
        <v>9.4890000000000002E-2</v>
      </c>
      <c r="C5">
        <f t="shared" ref="C5:D27" si="0">+A6</f>
        <v>14</v>
      </c>
      <c r="D5" s="1">
        <f t="shared" si="0"/>
        <v>9.4829999999999998E-2</v>
      </c>
      <c r="F5">
        <f t="shared" ref="F5:F28" si="1">+A5</f>
        <v>7</v>
      </c>
      <c r="G5" s="1">
        <v>4.342E-2</v>
      </c>
      <c r="H5">
        <f t="shared" ref="H5:H28" si="2">+C5</f>
        <v>14</v>
      </c>
      <c r="I5" s="1">
        <f t="shared" ref="I5:I27" si="3">+G6</f>
        <v>4.3249999999999997E-2</v>
      </c>
      <c r="K5">
        <f t="shared" ref="K5:K28" si="4">+F5</f>
        <v>7</v>
      </c>
      <c r="L5" s="1">
        <v>2.5100000000000001E-2</v>
      </c>
      <c r="M5">
        <f t="shared" ref="M5:M28" si="5">+H5</f>
        <v>14</v>
      </c>
      <c r="N5" s="1">
        <f t="shared" ref="N5:N27" si="6">+L6</f>
        <v>2.4799999999999999E-2</v>
      </c>
      <c r="Q5" s="1"/>
      <c r="S5" s="1"/>
    </row>
    <row r="6" spans="1:19" x14ac:dyDescent="0.25">
      <c r="A6">
        <v>14</v>
      </c>
      <c r="B6" s="1">
        <v>9.4829999999999998E-2</v>
      </c>
      <c r="C6">
        <f t="shared" si="0"/>
        <v>28</v>
      </c>
      <c r="D6" s="1">
        <f t="shared" si="0"/>
        <v>9.4600000000000004E-2</v>
      </c>
      <c r="F6">
        <f t="shared" si="1"/>
        <v>14</v>
      </c>
      <c r="G6" s="1">
        <v>4.3249999999999997E-2</v>
      </c>
      <c r="H6">
        <f t="shared" si="2"/>
        <v>28</v>
      </c>
      <c r="I6" s="1">
        <f t="shared" si="3"/>
        <v>4.2900000000000001E-2</v>
      </c>
      <c r="K6">
        <f t="shared" si="4"/>
        <v>14</v>
      </c>
      <c r="L6" s="1">
        <v>2.4799999999999999E-2</v>
      </c>
      <c r="M6">
        <f t="shared" si="5"/>
        <v>28</v>
      </c>
      <c r="N6" s="1">
        <f t="shared" si="6"/>
        <v>2.3199999999999998E-2</v>
      </c>
      <c r="Q6" s="1"/>
      <c r="S6" s="1"/>
    </row>
    <row r="7" spans="1:19" x14ac:dyDescent="0.25">
      <c r="A7">
        <v>28</v>
      </c>
      <c r="B7" s="1">
        <v>9.4600000000000004E-2</v>
      </c>
      <c r="C7">
        <f t="shared" si="0"/>
        <v>56</v>
      </c>
      <c r="D7" s="1">
        <f t="shared" si="0"/>
        <v>9.3400000000000011E-2</v>
      </c>
      <c r="F7">
        <f t="shared" si="1"/>
        <v>28</v>
      </c>
      <c r="G7" s="1">
        <v>4.2900000000000001E-2</v>
      </c>
      <c r="H7">
        <f t="shared" si="2"/>
        <v>56</v>
      </c>
      <c r="I7" s="1">
        <f t="shared" si="3"/>
        <v>4.299E-2</v>
      </c>
      <c r="K7">
        <f t="shared" si="4"/>
        <v>28</v>
      </c>
      <c r="L7" s="1">
        <v>2.3199999999999998E-2</v>
      </c>
      <c r="M7">
        <f t="shared" si="5"/>
        <v>56</v>
      </c>
      <c r="N7" s="1">
        <f t="shared" si="6"/>
        <v>2.2200000000000001E-2</v>
      </c>
      <c r="Q7" s="1"/>
      <c r="S7" s="1"/>
    </row>
    <row r="8" spans="1:19" x14ac:dyDescent="0.25">
      <c r="A8">
        <v>56</v>
      </c>
      <c r="B8" s="1">
        <v>9.3400000000000011E-2</v>
      </c>
      <c r="C8">
        <f t="shared" si="0"/>
        <v>91</v>
      </c>
      <c r="D8" s="1">
        <f t="shared" si="0"/>
        <v>9.2200000000000004E-2</v>
      </c>
      <c r="F8">
        <f t="shared" si="1"/>
        <v>56</v>
      </c>
      <c r="G8" s="1">
        <v>4.299E-2</v>
      </c>
      <c r="H8">
        <f t="shared" si="2"/>
        <v>91</v>
      </c>
      <c r="I8" s="1">
        <f t="shared" si="3"/>
        <v>4.292E-2</v>
      </c>
      <c r="K8">
        <f t="shared" si="4"/>
        <v>56</v>
      </c>
      <c r="L8" s="1">
        <v>2.2200000000000001E-2</v>
      </c>
      <c r="M8">
        <f t="shared" si="5"/>
        <v>91</v>
      </c>
      <c r="N8" s="1">
        <f t="shared" si="6"/>
        <v>2.1909999999999999E-2</v>
      </c>
      <c r="Q8" s="1"/>
      <c r="S8" s="1"/>
    </row>
    <row r="9" spans="1:19" x14ac:dyDescent="0.25">
      <c r="A9">
        <v>91</v>
      </c>
      <c r="B9" s="1">
        <v>9.2200000000000004E-2</v>
      </c>
      <c r="C9">
        <f t="shared" si="0"/>
        <v>182</v>
      </c>
      <c r="D9" s="1">
        <f t="shared" si="0"/>
        <v>9.11E-2</v>
      </c>
      <c r="F9">
        <f t="shared" si="1"/>
        <v>91</v>
      </c>
      <c r="G9" s="1">
        <v>4.292E-2</v>
      </c>
      <c r="H9">
        <f t="shared" si="2"/>
        <v>182</v>
      </c>
      <c r="I9" s="1">
        <f t="shared" si="3"/>
        <v>4.2290000000000001E-2</v>
      </c>
      <c r="K9">
        <f t="shared" si="4"/>
        <v>91</v>
      </c>
      <c r="L9" s="1">
        <v>2.1909999999999999E-2</v>
      </c>
      <c r="M9">
        <f t="shared" si="5"/>
        <v>182</v>
      </c>
      <c r="N9" s="1">
        <f t="shared" si="6"/>
        <v>2.137E-2</v>
      </c>
      <c r="Q9" s="1"/>
      <c r="S9" s="1"/>
    </row>
    <row r="10" spans="1:19" x14ac:dyDescent="0.25">
      <c r="A10">
        <v>182</v>
      </c>
      <c r="B10" s="1">
        <v>9.11E-2</v>
      </c>
      <c r="C10">
        <f t="shared" si="0"/>
        <v>273</v>
      </c>
      <c r="D10" s="1">
        <f t="shared" si="0"/>
        <v>9.0700000000000003E-2</v>
      </c>
      <c r="F10">
        <f t="shared" si="1"/>
        <v>182</v>
      </c>
      <c r="G10" s="1">
        <v>4.2290000000000001E-2</v>
      </c>
      <c r="H10">
        <f t="shared" si="2"/>
        <v>273</v>
      </c>
      <c r="I10" s="1">
        <f t="shared" si="3"/>
        <v>4.1685E-2</v>
      </c>
      <c r="K10">
        <f t="shared" si="4"/>
        <v>182</v>
      </c>
      <c r="L10" s="1">
        <v>2.137E-2</v>
      </c>
      <c r="M10">
        <f t="shared" si="5"/>
        <v>273</v>
      </c>
      <c r="N10" s="1">
        <f t="shared" si="6"/>
        <v>2.1150000000000002E-2</v>
      </c>
      <c r="Q10" s="1"/>
      <c r="S10" s="1"/>
    </row>
    <row r="11" spans="1:19" x14ac:dyDescent="0.25">
      <c r="A11">
        <v>273</v>
      </c>
      <c r="B11" s="1">
        <v>9.0700000000000003E-2</v>
      </c>
      <c r="C11">
        <f t="shared" si="0"/>
        <v>364</v>
      </c>
      <c r="D11" s="1">
        <f t="shared" si="0"/>
        <v>9.1300000000000006E-2</v>
      </c>
      <c r="F11">
        <f t="shared" si="1"/>
        <v>273</v>
      </c>
      <c r="G11" s="1">
        <v>4.1685E-2</v>
      </c>
      <c r="H11">
        <f t="shared" si="2"/>
        <v>364</v>
      </c>
      <c r="I11" s="1">
        <f t="shared" si="3"/>
        <v>4.1079999999999998E-2</v>
      </c>
      <c r="K11">
        <f t="shared" si="4"/>
        <v>273</v>
      </c>
      <c r="L11" s="1">
        <v>2.1150000000000002E-2</v>
      </c>
      <c r="M11">
        <f t="shared" si="5"/>
        <v>364</v>
      </c>
      <c r="N11" s="1">
        <f t="shared" si="6"/>
        <v>2.069E-2</v>
      </c>
      <c r="Q11" s="1"/>
      <c r="S11" s="1"/>
    </row>
    <row r="12" spans="1:19" x14ac:dyDescent="0.25">
      <c r="A12">
        <v>364</v>
      </c>
      <c r="B12" s="1">
        <v>9.1300000000000006E-2</v>
      </c>
      <c r="C12">
        <f t="shared" si="0"/>
        <v>580</v>
      </c>
      <c r="D12" s="1">
        <f t="shared" si="0"/>
        <v>9.0800000000000006E-2</v>
      </c>
      <c r="F12">
        <f t="shared" si="1"/>
        <v>364</v>
      </c>
      <c r="G12" s="1">
        <v>4.1079999999999998E-2</v>
      </c>
      <c r="H12">
        <f t="shared" si="2"/>
        <v>580</v>
      </c>
      <c r="I12" s="1">
        <f t="shared" si="3"/>
        <v>4.0724999999999997E-2</v>
      </c>
      <c r="K12">
        <f t="shared" si="4"/>
        <v>364</v>
      </c>
      <c r="L12" s="1">
        <v>2.069E-2</v>
      </c>
      <c r="M12">
        <f t="shared" si="5"/>
        <v>580</v>
      </c>
      <c r="N12" s="1">
        <f t="shared" si="6"/>
        <v>2.0975000000000001E-2</v>
      </c>
      <c r="Q12" s="1"/>
      <c r="S12" s="1"/>
    </row>
    <row r="13" spans="1:19" x14ac:dyDescent="0.25">
      <c r="A13">
        <v>580</v>
      </c>
      <c r="B13" s="1">
        <v>9.0800000000000006E-2</v>
      </c>
      <c r="C13">
        <f t="shared" si="0"/>
        <v>728</v>
      </c>
      <c r="D13" s="1">
        <f t="shared" si="0"/>
        <v>8.9870000000000005E-2</v>
      </c>
      <c r="F13">
        <f t="shared" si="1"/>
        <v>580</v>
      </c>
      <c r="G13" s="1">
        <v>4.0724999999999997E-2</v>
      </c>
      <c r="H13">
        <f t="shared" si="2"/>
        <v>728</v>
      </c>
      <c r="I13" s="1">
        <f t="shared" si="3"/>
        <v>4.0369999999999996E-2</v>
      </c>
      <c r="K13">
        <f t="shared" si="4"/>
        <v>580</v>
      </c>
      <c r="L13" s="1">
        <v>2.0975000000000001E-2</v>
      </c>
      <c r="M13">
        <f t="shared" si="5"/>
        <v>728</v>
      </c>
      <c r="N13" s="1">
        <f t="shared" si="6"/>
        <v>2.1259999999999998E-2</v>
      </c>
      <c r="Q13" s="1"/>
      <c r="S13" s="1"/>
    </row>
    <row r="14" spans="1:19" x14ac:dyDescent="0.25">
      <c r="A14">
        <v>728</v>
      </c>
      <c r="B14" s="1">
        <v>8.9870000000000005E-2</v>
      </c>
      <c r="C14">
        <f t="shared" si="0"/>
        <v>900</v>
      </c>
      <c r="D14" s="1">
        <f t="shared" si="0"/>
        <v>8.9429999999999996E-2</v>
      </c>
      <c r="F14">
        <f t="shared" si="1"/>
        <v>728</v>
      </c>
      <c r="G14" s="1">
        <v>4.0369999999999996E-2</v>
      </c>
      <c r="H14">
        <f t="shared" si="2"/>
        <v>900</v>
      </c>
      <c r="I14" s="1">
        <f t="shared" si="3"/>
        <v>4.0254999999999999E-2</v>
      </c>
      <c r="K14">
        <f t="shared" si="4"/>
        <v>728</v>
      </c>
      <c r="L14" s="1">
        <v>2.1259999999999998E-2</v>
      </c>
      <c r="M14">
        <f t="shared" si="5"/>
        <v>900</v>
      </c>
      <c r="N14" s="1">
        <f t="shared" si="6"/>
        <v>2.1354999999999999E-2</v>
      </c>
      <c r="Q14" s="1"/>
      <c r="S14" s="1"/>
    </row>
    <row r="15" spans="1:19" x14ac:dyDescent="0.25">
      <c r="A15">
        <v>900</v>
      </c>
      <c r="B15" s="1">
        <v>8.9429999999999996E-2</v>
      </c>
      <c r="C15">
        <f t="shared" si="0"/>
        <v>1092</v>
      </c>
      <c r="D15" s="1">
        <f t="shared" si="0"/>
        <v>8.8840000000000002E-2</v>
      </c>
      <c r="F15">
        <f t="shared" si="1"/>
        <v>900</v>
      </c>
      <c r="G15" s="1">
        <v>4.0254999999999999E-2</v>
      </c>
      <c r="H15">
        <f t="shared" si="2"/>
        <v>1092</v>
      </c>
      <c r="I15" s="1">
        <f t="shared" si="3"/>
        <v>4.0140000000000002E-2</v>
      </c>
      <c r="K15">
        <f t="shared" si="4"/>
        <v>900</v>
      </c>
      <c r="L15" s="1">
        <v>2.1354999999999999E-2</v>
      </c>
      <c r="M15">
        <f t="shared" si="5"/>
        <v>1092</v>
      </c>
      <c r="N15" s="1">
        <f t="shared" si="6"/>
        <v>2.145E-2</v>
      </c>
      <c r="Q15" s="1"/>
      <c r="S15" s="1"/>
    </row>
    <row r="16" spans="1:19" x14ac:dyDescent="0.25">
      <c r="A16" s="4">
        <v>1092</v>
      </c>
      <c r="B16" s="1">
        <v>8.8840000000000002E-2</v>
      </c>
      <c r="C16">
        <f t="shared" si="0"/>
        <v>1260</v>
      </c>
      <c r="D16" s="1">
        <f t="shared" si="0"/>
        <v>8.9130000000000001E-2</v>
      </c>
      <c r="F16">
        <f t="shared" si="1"/>
        <v>1092</v>
      </c>
      <c r="G16" s="1">
        <v>4.0140000000000002E-2</v>
      </c>
      <c r="H16">
        <f t="shared" si="2"/>
        <v>1260</v>
      </c>
      <c r="I16" s="1">
        <f t="shared" si="3"/>
        <v>4.0300000000000002E-2</v>
      </c>
      <c r="K16">
        <f t="shared" si="4"/>
        <v>1092</v>
      </c>
      <c r="L16" s="1">
        <v>2.145E-2</v>
      </c>
      <c r="M16">
        <f t="shared" si="5"/>
        <v>1260</v>
      </c>
      <c r="N16" s="1">
        <f t="shared" si="6"/>
        <v>2.1830000000000002E-2</v>
      </c>
      <c r="P16" s="4"/>
      <c r="Q16" s="1"/>
      <c r="S16" s="1"/>
    </row>
    <row r="17" spans="1:19" x14ac:dyDescent="0.25">
      <c r="A17" s="4">
        <v>1260</v>
      </c>
      <c r="B17" s="1">
        <v>8.9130000000000001E-2</v>
      </c>
      <c r="C17">
        <f t="shared" si="0"/>
        <v>1440</v>
      </c>
      <c r="D17" s="1">
        <f t="shared" si="0"/>
        <v>8.9873999999999996E-2</v>
      </c>
      <c r="F17">
        <f t="shared" si="1"/>
        <v>1260</v>
      </c>
      <c r="G17" s="1">
        <v>4.0300000000000002E-2</v>
      </c>
      <c r="H17">
        <f t="shared" si="2"/>
        <v>1440</v>
      </c>
      <c r="I17" s="1">
        <f t="shared" si="3"/>
        <v>4.0500000000000001E-2</v>
      </c>
      <c r="K17">
        <f t="shared" si="4"/>
        <v>1260</v>
      </c>
      <c r="L17" s="1">
        <v>2.1830000000000002E-2</v>
      </c>
      <c r="M17">
        <f t="shared" si="5"/>
        <v>1440</v>
      </c>
      <c r="N17" s="1">
        <f t="shared" si="6"/>
        <v>2.2210000000000001E-2</v>
      </c>
      <c r="P17" s="4"/>
      <c r="Q17" s="1"/>
      <c r="S17" s="1"/>
    </row>
    <row r="18" spans="1:19" x14ac:dyDescent="0.25">
      <c r="A18" s="4">
        <v>1440</v>
      </c>
      <c r="B18" s="1">
        <v>8.9873999999999996E-2</v>
      </c>
      <c r="C18">
        <f t="shared" si="0"/>
        <v>1800</v>
      </c>
      <c r="D18" s="1">
        <f t="shared" si="0"/>
        <v>9.1440000000000007E-2</v>
      </c>
      <c r="F18">
        <f t="shared" si="1"/>
        <v>1440</v>
      </c>
      <c r="G18" s="1">
        <v>4.0500000000000001E-2</v>
      </c>
      <c r="H18">
        <f t="shared" si="2"/>
        <v>1800</v>
      </c>
      <c r="I18" s="1">
        <f t="shared" si="3"/>
        <v>4.0930000000000001E-2</v>
      </c>
      <c r="K18">
        <f t="shared" si="4"/>
        <v>1440</v>
      </c>
      <c r="L18" s="1">
        <v>2.2210000000000001E-2</v>
      </c>
      <c r="M18">
        <f t="shared" si="5"/>
        <v>1800</v>
      </c>
      <c r="N18" s="1">
        <f t="shared" si="6"/>
        <v>2.4070000000000001E-2</v>
      </c>
      <c r="P18" s="4"/>
      <c r="Q18" s="1"/>
      <c r="S18" s="1"/>
    </row>
    <row r="19" spans="1:19" x14ac:dyDescent="0.25">
      <c r="A19" s="4">
        <v>1800</v>
      </c>
      <c r="B19" s="1">
        <v>9.1440000000000007E-2</v>
      </c>
      <c r="C19">
        <f t="shared" si="0"/>
        <v>2160</v>
      </c>
      <c r="D19" s="1">
        <f t="shared" si="0"/>
        <v>9.1889999999999999E-2</v>
      </c>
      <c r="F19">
        <f t="shared" si="1"/>
        <v>1800</v>
      </c>
      <c r="G19" s="1">
        <v>4.0930000000000001E-2</v>
      </c>
      <c r="H19">
        <f t="shared" si="2"/>
        <v>2160</v>
      </c>
      <c r="I19" s="1">
        <f t="shared" si="3"/>
        <v>4.1535000000000002E-2</v>
      </c>
      <c r="K19">
        <f t="shared" si="4"/>
        <v>1800</v>
      </c>
      <c r="L19" s="1">
        <v>2.4070000000000001E-2</v>
      </c>
      <c r="M19">
        <f t="shared" si="5"/>
        <v>2160</v>
      </c>
      <c r="N19" s="1">
        <f t="shared" si="6"/>
        <v>2.436E-2</v>
      </c>
      <c r="P19" s="4"/>
      <c r="Q19" s="1"/>
      <c r="S19" s="1"/>
    </row>
    <row r="20" spans="1:19" x14ac:dyDescent="0.25">
      <c r="A20" s="4">
        <v>2160</v>
      </c>
      <c r="B20" s="1">
        <v>9.1889999999999999E-2</v>
      </c>
      <c r="C20">
        <f t="shared" si="0"/>
        <v>2520</v>
      </c>
      <c r="D20" s="1">
        <f t="shared" si="0"/>
        <v>9.2340000000000005E-2</v>
      </c>
      <c r="F20">
        <f t="shared" si="1"/>
        <v>2160</v>
      </c>
      <c r="G20" s="1">
        <v>4.1535000000000002E-2</v>
      </c>
      <c r="H20">
        <f t="shared" si="2"/>
        <v>2520</v>
      </c>
      <c r="I20" s="1">
        <f t="shared" si="3"/>
        <v>4.2140000000000004E-2</v>
      </c>
      <c r="K20">
        <f t="shared" si="4"/>
        <v>2160</v>
      </c>
      <c r="L20" s="1">
        <v>2.436E-2</v>
      </c>
      <c r="M20">
        <f t="shared" si="5"/>
        <v>2520</v>
      </c>
      <c r="N20" s="1">
        <f t="shared" si="6"/>
        <v>2.538E-2</v>
      </c>
      <c r="P20" s="4"/>
      <c r="Q20" s="1"/>
      <c r="S20" s="1"/>
    </row>
    <row r="21" spans="1:19" x14ac:dyDescent="0.25">
      <c r="A21" s="4">
        <v>2520</v>
      </c>
      <c r="B21" s="1">
        <v>9.2340000000000005E-2</v>
      </c>
      <c r="C21">
        <f t="shared" si="0"/>
        <v>2880</v>
      </c>
      <c r="D21" s="1">
        <f t="shared" si="0"/>
        <v>9.2799999999999994E-2</v>
      </c>
      <c r="F21">
        <f t="shared" si="1"/>
        <v>2520</v>
      </c>
      <c r="G21" s="1">
        <v>4.2140000000000004E-2</v>
      </c>
      <c r="H21">
        <f t="shared" si="2"/>
        <v>2880</v>
      </c>
      <c r="I21" s="1">
        <f t="shared" si="3"/>
        <v>4.2500000000000003E-2</v>
      </c>
      <c r="K21">
        <f t="shared" si="4"/>
        <v>2520</v>
      </c>
      <c r="L21" s="1">
        <v>2.538E-2</v>
      </c>
      <c r="M21">
        <f t="shared" si="5"/>
        <v>2880</v>
      </c>
      <c r="N21" s="1">
        <f t="shared" si="6"/>
        <v>2.6309999999999997E-2</v>
      </c>
      <c r="P21" s="4"/>
      <c r="Q21" s="1"/>
      <c r="S21" s="1"/>
    </row>
    <row r="22" spans="1:19" x14ac:dyDescent="0.25">
      <c r="A22" s="4">
        <v>2880</v>
      </c>
      <c r="B22" s="1">
        <v>9.2799999999999994E-2</v>
      </c>
      <c r="C22">
        <f t="shared" si="0"/>
        <v>3240</v>
      </c>
      <c r="D22" s="1">
        <f t="shared" si="0"/>
        <v>9.3299999999999994E-2</v>
      </c>
      <c r="F22">
        <f t="shared" si="1"/>
        <v>2880</v>
      </c>
      <c r="G22" s="1">
        <v>4.2500000000000003E-2</v>
      </c>
      <c r="H22">
        <f t="shared" si="2"/>
        <v>3240</v>
      </c>
      <c r="I22" s="1">
        <f t="shared" si="3"/>
        <v>4.2999999999999997E-2</v>
      </c>
      <c r="K22">
        <f t="shared" si="4"/>
        <v>2880</v>
      </c>
      <c r="L22" s="1">
        <v>2.6309999999999997E-2</v>
      </c>
      <c r="M22">
        <f t="shared" si="5"/>
        <v>3240</v>
      </c>
      <c r="N22" s="1">
        <f t="shared" si="6"/>
        <v>2.7120000000000002E-2</v>
      </c>
      <c r="P22" s="4"/>
      <c r="Q22" s="1"/>
      <c r="S22" s="1"/>
    </row>
    <row r="23" spans="1:19" x14ac:dyDescent="0.25">
      <c r="A23" s="4">
        <v>3240</v>
      </c>
      <c r="B23" s="1">
        <v>9.3299999999999994E-2</v>
      </c>
      <c r="C23">
        <f t="shared" si="0"/>
        <v>3600</v>
      </c>
      <c r="D23" s="1">
        <f t="shared" si="0"/>
        <v>9.444000000000001E-2</v>
      </c>
      <c r="F23">
        <f t="shared" si="1"/>
        <v>3240</v>
      </c>
      <c r="G23" s="1">
        <v>4.2999999999999997E-2</v>
      </c>
      <c r="H23">
        <f t="shared" si="2"/>
        <v>3600</v>
      </c>
      <c r="I23" s="1">
        <f t="shared" si="3"/>
        <v>4.3310000000000001E-2</v>
      </c>
      <c r="K23">
        <f t="shared" si="4"/>
        <v>3240</v>
      </c>
      <c r="L23" s="1">
        <v>2.7120000000000002E-2</v>
      </c>
      <c r="M23">
        <f t="shared" si="5"/>
        <v>3600</v>
      </c>
      <c r="N23" s="1">
        <f t="shared" si="6"/>
        <v>2.7730000000000001E-2</v>
      </c>
      <c r="P23" s="4"/>
      <c r="Q23" s="1"/>
      <c r="S23" s="1"/>
    </row>
    <row r="24" spans="1:19" x14ac:dyDescent="0.25">
      <c r="A24" s="4">
        <v>3600</v>
      </c>
      <c r="B24" s="1">
        <v>9.444000000000001E-2</v>
      </c>
      <c r="C24">
        <f t="shared" si="0"/>
        <v>5400</v>
      </c>
      <c r="D24" s="1">
        <f t="shared" si="0"/>
        <v>9.6940000000000012E-2</v>
      </c>
      <c r="F24">
        <f t="shared" si="1"/>
        <v>3600</v>
      </c>
      <c r="G24" s="1">
        <v>4.3310000000000001E-2</v>
      </c>
      <c r="H24">
        <f t="shared" si="2"/>
        <v>5400</v>
      </c>
      <c r="I24" s="1">
        <f t="shared" si="3"/>
        <v>4.5079999999999995E-2</v>
      </c>
      <c r="K24">
        <f t="shared" si="4"/>
        <v>3600</v>
      </c>
      <c r="L24" s="1">
        <v>2.7730000000000001E-2</v>
      </c>
      <c r="M24">
        <f t="shared" si="5"/>
        <v>5400</v>
      </c>
      <c r="N24" s="1">
        <f t="shared" si="6"/>
        <v>3.065E-2</v>
      </c>
      <c r="P24" s="4"/>
      <c r="Q24" s="1"/>
      <c r="S24" s="1"/>
    </row>
    <row r="25" spans="1:19" x14ac:dyDescent="0.25">
      <c r="A25" s="4">
        <v>5400</v>
      </c>
      <c r="B25" s="1">
        <v>9.6940000000000012E-2</v>
      </c>
      <c r="C25">
        <f t="shared" si="0"/>
        <v>7200</v>
      </c>
      <c r="D25" s="1">
        <f t="shared" si="0"/>
        <v>9.9640000000000006E-2</v>
      </c>
      <c r="F25">
        <f t="shared" si="1"/>
        <v>5400</v>
      </c>
      <c r="G25" s="1">
        <v>4.5079999999999995E-2</v>
      </c>
      <c r="H25">
        <f t="shared" si="2"/>
        <v>7200</v>
      </c>
      <c r="I25" s="1">
        <f t="shared" si="3"/>
        <v>4.6849999999999996E-2</v>
      </c>
      <c r="K25">
        <f t="shared" si="4"/>
        <v>5400</v>
      </c>
      <c r="L25" s="1">
        <v>3.065E-2</v>
      </c>
      <c r="M25">
        <f t="shared" si="5"/>
        <v>7200</v>
      </c>
      <c r="N25" s="1">
        <f t="shared" si="6"/>
        <v>3.0810000000000001E-2</v>
      </c>
      <c r="P25" s="4"/>
      <c r="Q25" s="1"/>
      <c r="S25" s="1"/>
    </row>
    <row r="26" spans="1:19" x14ac:dyDescent="0.25">
      <c r="A26" s="4">
        <v>7200</v>
      </c>
      <c r="B26" s="1">
        <v>9.9640000000000006E-2</v>
      </c>
      <c r="C26">
        <f t="shared" si="0"/>
        <v>9000</v>
      </c>
      <c r="D26" s="1">
        <f t="shared" si="0"/>
        <v>9.9820000000000006E-2</v>
      </c>
      <c r="F26">
        <f t="shared" si="1"/>
        <v>7200</v>
      </c>
      <c r="G26" s="1">
        <v>4.6849999999999996E-2</v>
      </c>
      <c r="H26">
        <f t="shared" si="2"/>
        <v>9000</v>
      </c>
      <c r="I26" s="1">
        <f t="shared" si="3"/>
        <v>4.6704999999999997E-2</v>
      </c>
      <c r="K26">
        <f t="shared" si="4"/>
        <v>7200</v>
      </c>
      <c r="L26" s="1">
        <v>3.0810000000000001E-2</v>
      </c>
      <c r="M26">
        <f t="shared" si="5"/>
        <v>9000</v>
      </c>
      <c r="N26" s="1">
        <f t="shared" si="6"/>
        <v>3.0619999999999998E-2</v>
      </c>
      <c r="P26" s="4"/>
      <c r="Q26" s="1"/>
      <c r="S26" s="1"/>
    </row>
    <row r="27" spans="1:19" x14ac:dyDescent="0.25">
      <c r="A27" s="4">
        <v>9000</v>
      </c>
      <c r="B27" s="1">
        <v>9.9820000000000006E-2</v>
      </c>
      <c r="C27">
        <f t="shared" si="0"/>
        <v>10800</v>
      </c>
      <c r="D27" s="1">
        <f t="shared" si="0"/>
        <v>0.10003999999999999</v>
      </c>
      <c r="F27">
        <f t="shared" si="1"/>
        <v>9000</v>
      </c>
      <c r="G27" s="1">
        <v>4.6704999999999997E-2</v>
      </c>
      <c r="H27">
        <f t="shared" si="2"/>
        <v>10800</v>
      </c>
      <c r="I27" s="1">
        <f t="shared" si="3"/>
        <v>4.6559999999999997E-2</v>
      </c>
      <c r="K27">
        <f t="shared" si="4"/>
        <v>9000</v>
      </c>
      <c r="L27" s="1">
        <v>3.0619999999999998E-2</v>
      </c>
      <c r="M27">
        <f t="shared" si="5"/>
        <v>10800</v>
      </c>
      <c r="N27" s="1">
        <f t="shared" si="6"/>
        <v>3.1019999999999999E-2</v>
      </c>
      <c r="P27" s="4"/>
      <c r="Q27" s="1"/>
      <c r="S27" s="1"/>
    </row>
    <row r="28" spans="1:19" x14ac:dyDescent="0.25">
      <c r="A28" s="4">
        <v>10800</v>
      </c>
      <c r="B28" s="1">
        <v>0.10003999999999999</v>
      </c>
      <c r="C28" s="4">
        <f>+A28</f>
        <v>10800</v>
      </c>
      <c r="D28" s="1">
        <f>+B28</f>
        <v>0.10003999999999999</v>
      </c>
      <c r="F28">
        <f t="shared" si="1"/>
        <v>10800</v>
      </c>
      <c r="G28" s="1">
        <v>4.6559999999999997E-2</v>
      </c>
      <c r="H28">
        <f t="shared" si="2"/>
        <v>10800</v>
      </c>
      <c r="I28" s="1">
        <f>+G28</f>
        <v>4.6559999999999997E-2</v>
      </c>
      <c r="K28">
        <f t="shared" si="4"/>
        <v>10800</v>
      </c>
      <c r="L28" s="1">
        <v>3.1019999999999999E-2</v>
      </c>
      <c r="M28">
        <f t="shared" si="5"/>
        <v>10800</v>
      </c>
      <c r="N28" s="1">
        <f>+L28</f>
        <v>3.1019999999999999E-2</v>
      </c>
      <c r="P28" s="4"/>
      <c r="Q28" s="1"/>
      <c r="S28" s="1"/>
    </row>
    <row r="31" spans="1:19" x14ac:dyDescent="0.25">
      <c r="H31" s="30"/>
      <c r="I31" s="69"/>
    </row>
    <row r="32" spans="1:19" x14ac:dyDescent="0.25">
      <c r="H32" s="30"/>
      <c r="I32" s="69"/>
    </row>
    <row r="33" spans="8:15" x14ac:dyDescent="0.25">
      <c r="H33" s="30"/>
      <c r="I33" s="69"/>
    </row>
    <row r="34" spans="8:15" x14ac:dyDescent="0.25">
      <c r="H34" s="30"/>
      <c r="I34" s="69"/>
    </row>
    <row r="35" spans="8:15" x14ac:dyDescent="0.25">
      <c r="H35" t="s">
        <v>56</v>
      </c>
      <c r="I35">
        <v>2.16</v>
      </c>
      <c r="J35">
        <v>2.1909999999999998</v>
      </c>
      <c r="K35">
        <v>2.2400000000000002</v>
      </c>
      <c r="L35">
        <v>1.9750000000000001</v>
      </c>
      <c r="M35" s="30">
        <v>0.04</v>
      </c>
      <c r="N35" s="30">
        <v>1.89E-2</v>
      </c>
      <c r="O35" s="69">
        <v>0.48887731481481483</v>
      </c>
    </row>
    <row r="36" spans="8:15" x14ac:dyDescent="0.25">
      <c r="H36" t="s">
        <v>57</v>
      </c>
      <c r="I36">
        <v>2.12</v>
      </c>
      <c r="J36">
        <v>2.137</v>
      </c>
      <c r="K36">
        <v>2.1659999999999999</v>
      </c>
      <c r="L36">
        <v>1.4330000000000001</v>
      </c>
      <c r="M36" s="30">
        <v>0</v>
      </c>
      <c r="N36" s="30">
        <v>0</v>
      </c>
      <c r="O36" s="69">
        <v>0.48887731481481483</v>
      </c>
    </row>
    <row r="37" spans="8:15" x14ac:dyDescent="0.25">
      <c r="H37" t="s">
        <v>65</v>
      </c>
      <c r="I37">
        <v>2.0699999999999998</v>
      </c>
      <c r="J37">
        <v>2.1150000000000002</v>
      </c>
      <c r="K37">
        <v>2.1629999999999998</v>
      </c>
      <c r="L37">
        <v>1.421</v>
      </c>
      <c r="M37" s="30">
        <v>-0.01</v>
      </c>
      <c r="N37" s="30">
        <v>-4.7999999999999996E-3</v>
      </c>
      <c r="O37" s="69">
        <v>0.48887731481481483</v>
      </c>
    </row>
    <row r="38" spans="8:15" x14ac:dyDescent="0.25">
      <c r="H38" t="s">
        <v>58</v>
      </c>
      <c r="I38">
        <v>2.0409999999999999</v>
      </c>
      <c r="J38">
        <v>2.069</v>
      </c>
      <c r="K38">
        <v>2.4249999999999998</v>
      </c>
      <c r="L38">
        <v>2.0169999999999999</v>
      </c>
      <c r="M38" s="30">
        <v>-8.0000000000000002E-3</v>
      </c>
      <c r="N38" s="30">
        <v>-3.8999999999999998E-3</v>
      </c>
      <c r="O38" s="69">
        <v>0.48887731481481483</v>
      </c>
    </row>
    <row r="39" spans="8:15" x14ac:dyDescent="0.25">
      <c r="H39" t="s">
        <v>59</v>
      </c>
      <c r="I39">
        <v>2.1219999999999999</v>
      </c>
      <c r="J39">
        <v>2.1259999999999999</v>
      </c>
      <c r="K39">
        <v>2.1709999999999998</v>
      </c>
      <c r="L39">
        <v>2.125</v>
      </c>
      <c r="M39" s="30">
        <v>-7.0000000000000001E-3</v>
      </c>
      <c r="N39" s="30">
        <v>-3.3E-3</v>
      </c>
      <c r="O39" s="69">
        <v>0.48887731481481483</v>
      </c>
    </row>
    <row r="40" spans="8:15" x14ac:dyDescent="0.25">
      <c r="H40" t="s">
        <v>60</v>
      </c>
      <c r="I40">
        <v>2.14</v>
      </c>
      <c r="J40">
        <v>2.145</v>
      </c>
      <c r="K40">
        <v>2.169</v>
      </c>
      <c r="L40">
        <v>2.14</v>
      </c>
      <c r="M40" s="30">
        <v>-2E-3</v>
      </c>
      <c r="N40" s="30">
        <v>-8.9999999999999998E-4</v>
      </c>
      <c r="O40" s="69">
        <v>0.48887731481481483</v>
      </c>
    </row>
    <row r="41" spans="8:15" x14ac:dyDescent="0.25">
      <c r="H41" t="s">
        <v>66</v>
      </c>
      <c r="I41">
        <v>2.2170000000000001</v>
      </c>
      <c r="J41">
        <v>2.2210000000000001</v>
      </c>
      <c r="K41">
        <v>2.2480000000000002</v>
      </c>
      <c r="L41">
        <v>2.2160000000000002</v>
      </c>
      <c r="M41" s="30">
        <v>1E-3</v>
      </c>
      <c r="N41" s="30">
        <v>5.0000000000000001E-4</v>
      </c>
      <c r="O41" s="69">
        <v>0.48887731481481483</v>
      </c>
    </row>
    <row r="42" spans="8:15" x14ac:dyDescent="0.25">
      <c r="H42" t="s">
        <v>61</v>
      </c>
      <c r="I42">
        <v>2.4039999999999999</v>
      </c>
      <c r="J42">
        <v>2.407</v>
      </c>
      <c r="K42">
        <v>2.4329999999999998</v>
      </c>
      <c r="L42">
        <v>2.4009999999999998</v>
      </c>
      <c r="M42" s="30">
        <v>1E-3</v>
      </c>
      <c r="N42" s="30">
        <v>4.0000000000000002E-4</v>
      </c>
      <c r="O42" s="69">
        <v>0.48887731481481483</v>
      </c>
    </row>
    <row r="43" spans="8:15" x14ac:dyDescent="0.25">
      <c r="H43" t="s">
        <v>67</v>
      </c>
      <c r="I43">
        <v>2.4300000000000002</v>
      </c>
      <c r="J43">
        <v>2.4359999999999999</v>
      </c>
      <c r="K43">
        <v>2.4609999999999999</v>
      </c>
      <c r="L43">
        <v>2.4279999999999999</v>
      </c>
      <c r="M43" s="30">
        <v>2E-3</v>
      </c>
      <c r="N43" s="30">
        <v>8.0000000000000004E-4</v>
      </c>
      <c r="O43" s="69">
        <v>0.48887731481481483</v>
      </c>
    </row>
    <row r="44" spans="8:15" x14ac:dyDescent="0.25">
      <c r="H44" t="s">
        <v>62</v>
      </c>
      <c r="I44">
        <v>2.5339999999999998</v>
      </c>
      <c r="J44">
        <v>2.5379999999999998</v>
      </c>
      <c r="K44">
        <v>2.5649999999999999</v>
      </c>
      <c r="L44">
        <v>2.528</v>
      </c>
      <c r="M44" s="30">
        <v>5.0000000000000001E-3</v>
      </c>
      <c r="N44" s="30">
        <v>2E-3</v>
      </c>
      <c r="O44" s="69">
        <v>0.48887731481481483</v>
      </c>
    </row>
    <row r="45" spans="8:15" x14ac:dyDescent="0.25">
      <c r="H45" t="s">
        <v>68</v>
      </c>
      <c r="I45">
        <v>2.6269999999999998</v>
      </c>
      <c r="J45">
        <v>2.6309999999999998</v>
      </c>
      <c r="K45">
        <v>2.6589999999999998</v>
      </c>
      <c r="L45">
        <v>2.62</v>
      </c>
      <c r="M45" s="30">
        <v>4.0000000000000001E-3</v>
      </c>
      <c r="N45" s="30">
        <v>1.5E-3</v>
      </c>
      <c r="O45" s="69">
        <v>0.48887731481481483</v>
      </c>
    </row>
    <row r="46" spans="8:15" x14ac:dyDescent="0.25">
      <c r="H46" t="s">
        <v>69</v>
      </c>
      <c r="I46">
        <v>2.7080000000000002</v>
      </c>
      <c r="J46">
        <v>2.7120000000000002</v>
      </c>
      <c r="K46">
        <v>2.742</v>
      </c>
      <c r="L46">
        <v>2.7029999999999998</v>
      </c>
      <c r="M46" s="30">
        <v>3.0000000000000001E-3</v>
      </c>
      <c r="N46" s="30">
        <v>1.1000000000000001E-3</v>
      </c>
      <c r="O46" s="69">
        <v>0.48887731481481483</v>
      </c>
    </row>
    <row r="47" spans="8:15" x14ac:dyDescent="0.25">
      <c r="H47" t="s">
        <v>63</v>
      </c>
      <c r="I47">
        <v>2.77</v>
      </c>
      <c r="J47">
        <v>2.7730000000000001</v>
      </c>
      <c r="K47">
        <v>2.8</v>
      </c>
      <c r="L47">
        <v>2.7629999999999999</v>
      </c>
      <c r="M47" s="30">
        <v>5.0000000000000001E-3</v>
      </c>
      <c r="N47" s="30">
        <v>1.8E-3</v>
      </c>
      <c r="O47" s="69">
        <v>0.62429398148148152</v>
      </c>
    </row>
    <row r="48" spans="8:15" x14ac:dyDescent="0.25">
      <c r="H48" t="s">
        <v>70</v>
      </c>
      <c r="I48">
        <v>3.06</v>
      </c>
      <c r="J48">
        <v>3.0649999999999999</v>
      </c>
      <c r="K48">
        <v>3.089</v>
      </c>
      <c r="L48">
        <v>3.0529999999999999</v>
      </c>
      <c r="M48">
        <v>7.0000000000000001E-3</v>
      </c>
      <c r="N48" s="30">
        <v>2.3E-3</v>
      </c>
      <c r="O48" s="69">
        <v>0.48887731481481483</v>
      </c>
    </row>
    <row r="49" spans="8:15" x14ac:dyDescent="0.25">
      <c r="H49" t="s">
        <v>73</v>
      </c>
      <c r="I49">
        <v>3.0750000000000002</v>
      </c>
      <c r="J49">
        <v>3.081</v>
      </c>
      <c r="K49">
        <v>3.1080000000000001</v>
      </c>
      <c r="L49">
        <v>3.0720000000000001</v>
      </c>
      <c r="M49">
        <v>4.0000000000000001E-3</v>
      </c>
      <c r="N49" s="30">
        <v>1.2999999999999999E-3</v>
      </c>
      <c r="O49" s="69">
        <v>0.48887731481481483</v>
      </c>
    </row>
    <row r="50" spans="8:15" x14ac:dyDescent="0.25">
      <c r="H50" t="s">
        <v>71</v>
      </c>
      <c r="I50">
        <v>3.0569999999999999</v>
      </c>
      <c r="J50">
        <v>3.0619999999999998</v>
      </c>
      <c r="K50">
        <v>3.085</v>
      </c>
      <c r="L50">
        <v>3.048</v>
      </c>
      <c r="M50">
        <v>8.0000000000000002E-3</v>
      </c>
      <c r="N50" s="30">
        <v>2.5999999999999999E-3</v>
      </c>
      <c r="O50" s="69">
        <v>0.44373842592592594</v>
      </c>
    </row>
    <row r="51" spans="8:15" x14ac:dyDescent="0.25">
      <c r="H51" t="s">
        <v>64</v>
      </c>
      <c r="I51">
        <v>3.0990000000000002</v>
      </c>
      <c r="J51">
        <v>3.1019999999999999</v>
      </c>
      <c r="K51">
        <v>3.125</v>
      </c>
      <c r="L51">
        <v>3.0880000000000001</v>
      </c>
      <c r="M51">
        <v>-3.0000000000000001E-3</v>
      </c>
      <c r="N51" s="30">
        <v>-1E-3</v>
      </c>
      <c r="O51" s="69">
        <v>0.48887731481481483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1:S22"/>
  <sheetViews>
    <sheetView topLeftCell="B1" zoomScale="145" zoomScaleNormal="145" workbookViewId="0">
      <pane xSplit="3" ySplit="1" topLeftCell="H2" activePane="bottomRight" state="frozen"/>
      <selection activeCell="B1" sqref="B1"/>
      <selection pane="topRight" activeCell="F1" sqref="F1"/>
      <selection pane="bottomLeft" activeCell="B2" sqref="B2"/>
      <selection pane="bottomRight" activeCell="P10" sqref="P10"/>
    </sheetView>
  </sheetViews>
  <sheetFormatPr baseColWidth="10" defaultRowHeight="15" x14ac:dyDescent="0.25"/>
  <cols>
    <col min="2" max="2" width="10.85546875" customWidth="1"/>
    <col min="3" max="3" width="10.7109375" customWidth="1"/>
    <col min="4" max="4" width="15.7109375" bestFit="1" customWidth="1"/>
    <col min="10" max="10" width="14.5703125" bestFit="1" customWidth="1"/>
    <col min="11" max="11" width="11.140625" bestFit="1" customWidth="1"/>
    <col min="12" max="12" width="15.7109375" customWidth="1"/>
    <col min="13" max="13" width="13.28515625" customWidth="1"/>
    <col min="15" max="15" width="16.28515625" bestFit="1" customWidth="1"/>
    <col min="16" max="16" width="13.7109375" customWidth="1"/>
    <col min="18" max="18" width="19.7109375" bestFit="1" customWidth="1"/>
    <col min="19" max="19" width="17" bestFit="1" customWidth="1"/>
  </cols>
  <sheetData>
    <row r="1" spans="2:19" ht="30" x14ac:dyDescent="0.25">
      <c r="B1" s="45" t="s">
        <v>32</v>
      </c>
      <c r="C1" s="44" t="s">
        <v>14</v>
      </c>
      <c r="D1" s="42" t="s">
        <v>5</v>
      </c>
      <c r="E1" s="42" t="s">
        <v>18</v>
      </c>
      <c r="F1" s="43" t="s">
        <v>19</v>
      </c>
      <c r="G1" s="41" t="s">
        <v>20</v>
      </c>
      <c r="H1" s="33" t="s">
        <v>29</v>
      </c>
      <c r="I1" s="41" t="s">
        <v>21</v>
      </c>
      <c r="J1" s="33" t="s">
        <v>28</v>
      </c>
      <c r="K1" s="33" t="s">
        <v>30</v>
      </c>
      <c r="L1" s="33" t="s">
        <v>50</v>
      </c>
      <c r="M1" s="3" t="s">
        <v>26</v>
      </c>
      <c r="N1" s="3" t="s">
        <v>27</v>
      </c>
      <c r="O1" s="7" t="s">
        <v>72</v>
      </c>
      <c r="P1" s="7" t="s">
        <v>8</v>
      </c>
      <c r="Q1" s="7" t="s">
        <v>7</v>
      </c>
      <c r="R1" s="7" t="s">
        <v>23</v>
      </c>
    </row>
    <row r="2" spans="2:19" x14ac:dyDescent="0.25">
      <c r="B2" s="12" t="s">
        <v>6</v>
      </c>
      <c r="C2" s="12" t="s">
        <v>24</v>
      </c>
      <c r="D2" s="12" t="s">
        <v>9</v>
      </c>
      <c r="E2" s="12" t="s">
        <v>49</v>
      </c>
      <c r="F2" s="24">
        <v>8000</v>
      </c>
      <c r="G2" s="16">
        <f>+F2*I2</f>
        <v>249219.20000000001</v>
      </c>
      <c r="H2" s="21" t="s">
        <v>4</v>
      </c>
      <c r="I2" s="25">
        <v>31.1524</v>
      </c>
      <c r="J2" s="59">
        <f>O2</f>
        <v>31.372123669781285</v>
      </c>
      <c r="K2" s="35" t="s">
        <v>4</v>
      </c>
      <c r="L2" s="38">
        <v>60</v>
      </c>
      <c r="M2" s="17" cm="1">
        <f t="array" ref="M2">InterpolacionTasa(L2,'Curvas Febrero'!F4:I28)</f>
        <v>4.2170571428571425E-2</v>
      </c>
      <c r="N2" s="60">
        <v>0</v>
      </c>
      <c r="O2" s="10">
        <f>I2*EXP((M2-N2)*L2/360)</f>
        <v>31.372123669781285</v>
      </c>
      <c r="P2" s="10">
        <f>IF(C2="Largo",(O2-J2)/EXP(M2*L2/360),(J2-O2)/EXP(M2*L2/360))</f>
        <v>0</v>
      </c>
      <c r="Q2" s="61">
        <f>I9</f>
        <v>20.530999999999999</v>
      </c>
      <c r="R2" s="10">
        <f>Q2*P2*F2</f>
        <v>0</v>
      </c>
      <c r="S2" s="23"/>
    </row>
    <row r="3" spans="2:19" x14ac:dyDescent="0.25">
      <c r="B3" s="12" t="s">
        <v>6</v>
      </c>
      <c r="C3" s="12" t="s">
        <v>25</v>
      </c>
      <c r="D3" s="12" t="s">
        <v>9</v>
      </c>
      <c r="E3" s="12" t="s">
        <v>76</v>
      </c>
      <c r="F3" s="24">
        <v>11000</v>
      </c>
      <c r="G3" s="16">
        <f t="shared" ref="G3:G8" si="0">+F3*I3</f>
        <v>342676.4</v>
      </c>
      <c r="H3" s="21" t="s">
        <v>4</v>
      </c>
      <c r="I3" s="25">
        <v>31.1524</v>
      </c>
      <c r="J3" s="59">
        <f t="shared" ref="J3:J10" si="1">O3</f>
        <v>31.372123669781285</v>
      </c>
      <c r="K3" s="35" t="s">
        <v>4</v>
      </c>
      <c r="L3" s="38">
        <v>60</v>
      </c>
      <c r="M3" s="17" cm="1">
        <f t="array" ref="M3">InterpolacionTasa(L3,CURVAUSD_1)</f>
        <v>4.2170571428571425E-2</v>
      </c>
      <c r="N3" s="60">
        <v>0</v>
      </c>
      <c r="O3" s="10">
        <f>I3*EXP((M3-N3)*L3/360)</f>
        <v>31.372123669781285</v>
      </c>
      <c r="P3" s="10">
        <f>IF(C3="Largo",(O3-J3)/EXP(M3*L3/360),(J3-O3)/EXP(M3*L3/360))</f>
        <v>0</v>
      </c>
      <c r="Q3" s="61">
        <f>Q2</f>
        <v>20.530999999999999</v>
      </c>
      <c r="R3" s="10">
        <f>Q3*P3*F3</f>
        <v>0</v>
      </c>
      <c r="S3" s="23"/>
    </row>
    <row r="4" spans="2:19" x14ac:dyDescent="0.25">
      <c r="B4" s="12" t="s">
        <v>6</v>
      </c>
      <c r="C4" s="12" t="s">
        <v>24</v>
      </c>
      <c r="D4" s="12" t="s">
        <v>9</v>
      </c>
      <c r="E4" s="12" t="s">
        <v>75</v>
      </c>
      <c r="F4" s="24">
        <v>900</v>
      </c>
      <c r="G4" s="16">
        <f t="shared" si="0"/>
        <v>2572740</v>
      </c>
      <c r="H4" s="21" t="s">
        <v>4</v>
      </c>
      <c r="I4" s="25">
        <v>2858.6</v>
      </c>
      <c r="J4" s="59">
        <f t="shared" si="1"/>
        <v>2888.7913850262089</v>
      </c>
      <c r="K4" s="35" t="s">
        <v>4</v>
      </c>
      <c r="L4" s="38">
        <v>90</v>
      </c>
      <c r="M4" s="17" cm="1">
        <f t="array" ref="M4">InterpolacionTasa(L4,CURVAUSD_1)</f>
        <v>4.2024857142857142E-2</v>
      </c>
      <c r="N4" s="60">
        <v>0</v>
      </c>
      <c r="O4" s="10">
        <f t="shared" ref="O4:O7" si="2">I4*EXP((M4-N4)*L4/360)</f>
        <v>2888.7913850262089</v>
      </c>
      <c r="P4" s="10">
        <f t="shared" ref="P4:P8" si="3">IF(C4="Largo",(O4-J4)/EXP(M4*L4/360),(J4-O4)/EXP(M4*L4/360))</f>
        <v>0</v>
      </c>
      <c r="Q4" s="61">
        <f t="shared" ref="Q4:Q5" si="4">Q3</f>
        <v>20.530999999999999</v>
      </c>
      <c r="R4" s="10">
        <f t="shared" ref="R4:R7" si="5">Q4*P4*F4</f>
        <v>0</v>
      </c>
      <c r="S4" s="23"/>
    </row>
    <row r="5" spans="2:19" x14ac:dyDescent="0.25">
      <c r="B5" s="12" t="s">
        <v>6</v>
      </c>
      <c r="C5" s="12" t="s">
        <v>25</v>
      </c>
      <c r="D5" s="12" t="s">
        <v>9</v>
      </c>
      <c r="E5" s="12" t="s">
        <v>17</v>
      </c>
      <c r="F5" s="24">
        <v>500</v>
      </c>
      <c r="G5" s="16">
        <f t="shared" si="0"/>
        <v>1429300</v>
      </c>
      <c r="H5" s="21" t="s">
        <v>4</v>
      </c>
      <c r="I5" s="25">
        <v>2858.6</v>
      </c>
      <c r="J5" s="59">
        <f t="shared" si="1"/>
        <v>2888.7913850262089</v>
      </c>
      <c r="K5" s="35" t="s">
        <v>4</v>
      </c>
      <c r="L5" s="38">
        <v>90</v>
      </c>
      <c r="M5" s="17" cm="1">
        <f t="array" ref="M5">InterpolacionTasa(L5,CURVAUSD_1)</f>
        <v>4.2024857142857142E-2</v>
      </c>
      <c r="N5" s="60">
        <v>0</v>
      </c>
      <c r="O5" s="10">
        <f t="shared" si="2"/>
        <v>2888.7913850262089</v>
      </c>
      <c r="P5" s="10">
        <f t="shared" si="3"/>
        <v>0</v>
      </c>
      <c r="Q5" s="61">
        <f t="shared" si="4"/>
        <v>20.530999999999999</v>
      </c>
      <c r="R5" s="10">
        <f t="shared" si="5"/>
        <v>0</v>
      </c>
      <c r="S5" s="23"/>
    </row>
    <row r="6" spans="2:19" x14ac:dyDescent="0.25">
      <c r="B6" s="5" t="s">
        <v>6</v>
      </c>
      <c r="C6" s="5" t="s">
        <v>25</v>
      </c>
      <c r="D6" s="5" t="s">
        <v>12</v>
      </c>
      <c r="E6" s="5" t="s">
        <v>54</v>
      </c>
      <c r="F6" s="11">
        <v>1200000</v>
      </c>
      <c r="G6" s="14">
        <f t="shared" si="0"/>
        <v>17532000</v>
      </c>
      <c r="H6" s="19" t="s">
        <v>0</v>
      </c>
      <c r="I6" s="26">
        <v>14.61</v>
      </c>
      <c r="J6" s="59">
        <f t="shared" si="1"/>
        <v>14.917705042909814</v>
      </c>
      <c r="K6" s="36" t="s">
        <v>0</v>
      </c>
      <c r="L6" s="39">
        <v>80</v>
      </c>
      <c r="M6" s="17" cm="1">
        <f t="array" ref="M6">InterpolacionTasa(L6,CURVAMXP_1)</f>
        <v>9.3791428571428567E-2</v>
      </c>
      <c r="N6" s="60">
        <v>0</v>
      </c>
      <c r="O6" s="10">
        <f t="shared" si="2"/>
        <v>14.917705042909814</v>
      </c>
      <c r="P6" s="10">
        <f t="shared" si="3"/>
        <v>0</v>
      </c>
      <c r="Q6" s="29">
        <v>1</v>
      </c>
      <c r="R6" s="10">
        <f t="shared" si="5"/>
        <v>0</v>
      </c>
      <c r="S6" s="23"/>
    </row>
    <row r="7" spans="2:19" x14ac:dyDescent="0.25">
      <c r="B7" s="5" t="s">
        <v>6</v>
      </c>
      <c r="C7" s="5" t="s">
        <v>25</v>
      </c>
      <c r="D7" s="5" t="s">
        <v>12</v>
      </c>
      <c r="E7" s="5" t="s">
        <v>55</v>
      </c>
      <c r="F7" s="11">
        <v>1000000</v>
      </c>
      <c r="G7" s="14">
        <f t="shared" si="0"/>
        <v>12630000</v>
      </c>
      <c r="H7" s="19" t="s">
        <v>0</v>
      </c>
      <c r="I7" s="26">
        <v>12.63</v>
      </c>
      <c r="J7" s="59">
        <f t="shared" si="1"/>
        <v>12.864021461932591</v>
      </c>
      <c r="K7" s="36" t="s">
        <v>0</v>
      </c>
      <c r="L7" s="39">
        <v>70</v>
      </c>
      <c r="M7" s="17" cm="1">
        <f t="array" ref="M7">InterpolacionTasa(L7,CURVAMXP_1)</f>
        <v>9.4420000000000004E-2</v>
      </c>
      <c r="N7" s="60">
        <v>0</v>
      </c>
      <c r="O7" s="10">
        <f t="shared" si="2"/>
        <v>12.864021461932591</v>
      </c>
      <c r="P7" s="10">
        <f t="shared" si="3"/>
        <v>0</v>
      </c>
      <c r="Q7" s="29">
        <v>1</v>
      </c>
      <c r="R7" s="10">
        <f t="shared" si="5"/>
        <v>0</v>
      </c>
      <c r="S7" s="23"/>
    </row>
    <row r="8" spans="2:19" x14ac:dyDescent="0.25">
      <c r="B8" s="5" t="s">
        <v>6</v>
      </c>
      <c r="C8" s="5" t="s">
        <v>24</v>
      </c>
      <c r="D8" s="5" t="s">
        <v>12</v>
      </c>
      <c r="E8" s="5" t="s">
        <v>13</v>
      </c>
      <c r="F8" s="11">
        <v>300</v>
      </c>
      <c r="G8" s="14">
        <f t="shared" si="0"/>
        <v>1786350</v>
      </c>
      <c r="H8" s="19" t="s">
        <v>4</v>
      </c>
      <c r="I8" s="26">
        <v>5954.5</v>
      </c>
      <c r="J8" s="59">
        <f t="shared" si="1"/>
        <v>6080.2528038085993</v>
      </c>
      <c r="K8" s="36" t="s">
        <v>4</v>
      </c>
      <c r="L8" s="39">
        <v>350</v>
      </c>
      <c r="M8" s="17" cm="1">
        <f t="array" ref="M8">InterpolacionTasa(L8,CURVAUSD_1)</f>
        <v>4.0396153846153846E-2</v>
      </c>
      <c r="N8" s="60">
        <v>1.89E-2</v>
      </c>
      <c r="O8" s="10">
        <f>I8*EXP((M8-N8)*L8/360)</f>
        <v>6080.2528038085993</v>
      </c>
      <c r="P8" s="10">
        <f t="shared" si="3"/>
        <v>0</v>
      </c>
      <c r="Q8" s="61">
        <f>Q5</f>
        <v>20.530999999999999</v>
      </c>
      <c r="R8" s="10">
        <f>Q8*P8*F8</f>
        <v>0</v>
      </c>
      <c r="S8" s="23"/>
    </row>
    <row r="9" spans="2:19" x14ac:dyDescent="0.25">
      <c r="B9" s="6" t="s">
        <v>6</v>
      </c>
      <c r="C9" s="6" t="s">
        <v>24</v>
      </c>
      <c r="D9" s="6" t="s">
        <v>3</v>
      </c>
      <c r="E9" s="6" t="s">
        <v>4</v>
      </c>
      <c r="F9" s="13"/>
      <c r="G9" s="15">
        <v>1100000</v>
      </c>
      <c r="H9" s="20" t="s">
        <v>4</v>
      </c>
      <c r="I9" s="27">
        <v>20.530999999999999</v>
      </c>
      <c r="J9" s="59">
        <f t="shared" si="1"/>
        <v>21.048318260528912</v>
      </c>
      <c r="K9" s="37" t="s">
        <v>0</v>
      </c>
      <c r="L9" s="40">
        <v>180</v>
      </c>
      <c r="M9" s="17" cm="1">
        <f t="array" ref="M9">InterpolacionTasa(L9,CURVAMXP_1)</f>
        <v>9.1271098901098913E-2</v>
      </c>
      <c r="N9" s="1" cm="1">
        <f t="array" ref="N9">InterpolacionTasa(L9,CURVAUSD_1)</f>
        <v>4.1501648351648351E-2</v>
      </c>
      <c r="O9" s="10">
        <f>I9*EXP((M9-N9)*L9/360)</f>
        <v>21.048318260528912</v>
      </c>
      <c r="P9" s="10">
        <f t="shared" ref="P9:P11" si="6">IF(C9="Largo",(O9-J9)/EXP(M9*L9/360),(J9-O9)/EXP(M9*L9/360))</f>
        <v>0</v>
      </c>
      <c r="Q9" s="29">
        <v>1</v>
      </c>
      <c r="R9" s="10">
        <f>P9*Q9*G9</f>
        <v>0</v>
      </c>
    </row>
    <row r="10" spans="2:19" x14ac:dyDescent="0.25">
      <c r="B10" s="6" t="s">
        <v>6</v>
      </c>
      <c r="C10" s="6" t="s">
        <v>25</v>
      </c>
      <c r="D10" s="6" t="s">
        <v>3</v>
      </c>
      <c r="E10" s="6" t="s">
        <v>11</v>
      </c>
      <c r="F10" s="13"/>
      <c r="G10" s="15">
        <v>1500000</v>
      </c>
      <c r="H10" s="20" t="s">
        <v>11</v>
      </c>
      <c r="I10" s="27">
        <v>21.300899999999999</v>
      </c>
      <c r="J10" s="59">
        <f t="shared" si="1"/>
        <v>21.807384827873641</v>
      </c>
      <c r="K10" s="37" t="s">
        <v>0</v>
      </c>
      <c r="L10" s="40">
        <v>120</v>
      </c>
      <c r="M10" s="17" cm="1">
        <f t="array" ref="M10">InterpolacionTasa(L10,CURVAMXP_1)</f>
        <v>9.2504065934065932E-2</v>
      </c>
      <c r="N10" s="1" cm="1">
        <f t="array" ref="N10">InterpolacionTasa(L10,CURVAEU_1)</f>
        <v>2.2006043956043955E-2</v>
      </c>
      <c r="O10" s="66">
        <f t="shared" ref="O10:O11" si="7">I10*EXP((M10-N10)*L10/360)</f>
        <v>21.807384827873641</v>
      </c>
      <c r="P10" s="10">
        <f t="shared" si="6"/>
        <v>0</v>
      </c>
      <c r="Q10" s="29">
        <v>1</v>
      </c>
      <c r="R10" s="10">
        <f t="shared" ref="R10:R11" si="8">P10*Q10*G10</f>
        <v>0</v>
      </c>
    </row>
    <row r="11" spans="2:19" x14ac:dyDescent="0.25">
      <c r="B11" s="6" t="s">
        <v>6</v>
      </c>
      <c r="C11" s="6" t="s">
        <v>24</v>
      </c>
      <c r="D11" s="6" t="s">
        <v>3</v>
      </c>
      <c r="E11" s="6" t="s">
        <v>11</v>
      </c>
      <c r="F11" s="13"/>
      <c r="G11" s="15">
        <v>700000</v>
      </c>
      <c r="H11" s="20" t="s">
        <v>11</v>
      </c>
      <c r="I11" s="27">
        <v>1.0375000000000001</v>
      </c>
      <c r="J11" s="59">
        <f>O11</f>
        <v>1.0496854119214836</v>
      </c>
      <c r="K11" s="37" t="s">
        <v>4</v>
      </c>
      <c r="L11" s="40">
        <v>210</v>
      </c>
      <c r="M11" s="17" cm="1">
        <f t="array" ref="M11">InterpolacionTasa(L11,CURVAUSD_1)</f>
        <v>4.1519230769230767E-2</v>
      </c>
      <c r="N11" s="1" cm="1">
        <f t="array" ref="N11">InterpolacionTasa(L11,CURVAEU_1)</f>
        <v>2.1502307692307692E-2</v>
      </c>
      <c r="O11" s="66">
        <f t="shared" si="7"/>
        <v>1.0496854119214836</v>
      </c>
      <c r="P11" s="10">
        <f t="shared" si="6"/>
        <v>0</v>
      </c>
      <c r="Q11" s="61">
        <f>Q5</f>
        <v>20.530999999999999</v>
      </c>
      <c r="R11" s="10">
        <f t="shared" si="8"/>
        <v>0</v>
      </c>
    </row>
    <row r="12" spans="2:19" ht="15.75" thickBot="1" x14ac:dyDescent="0.3">
      <c r="M12" s="31"/>
      <c r="N12" s="30"/>
      <c r="O12" s="30"/>
      <c r="P12" s="30"/>
      <c r="R12" s="62">
        <f>SUM(R2:R11)</f>
        <v>0</v>
      </c>
    </row>
    <row r="13" spans="2:19" ht="15.75" thickTop="1" x14ac:dyDescent="0.25">
      <c r="B13" s="63" t="s">
        <v>74</v>
      </c>
      <c r="C13" s="64"/>
      <c r="D13" s="64"/>
      <c r="E13" s="64"/>
      <c r="F13" s="64"/>
      <c r="G13" s="64"/>
      <c r="J13" s="1"/>
      <c r="K13" s="37" t="s">
        <v>78</v>
      </c>
      <c r="M13" t="s">
        <v>79</v>
      </c>
      <c r="N13" s="30" t="s">
        <v>80</v>
      </c>
      <c r="O13" s="30"/>
      <c r="P13" s="30"/>
    </row>
    <row r="14" spans="2:19" x14ac:dyDescent="0.25">
      <c r="H14" s="20" t="s">
        <v>77</v>
      </c>
      <c r="J14" s="1"/>
      <c r="N14" s="30"/>
      <c r="O14" s="30"/>
      <c r="P14" s="32"/>
    </row>
    <row r="15" spans="2:19" x14ac:dyDescent="0.25">
      <c r="J15" s="1"/>
    </row>
    <row r="16" spans="2:19" x14ac:dyDescent="0.25">
      <c r="J16" s="1"/>
    </row>
    <row r="17" spans="10:10" x14ac:dyDescent="0.25">
      <c r="J17" s="1"/>
    </row>
    <row r="18" spans="10:10" x14ac:dyDescent="0.25">
      <c r="J18" s="1"/>
    </row>
    <row r="19" spans="10:10" x14ac:dyDescent="0.25">
      <c r="J19" s="1"/>
    </row>
    <row r="20" spans="10:10" x14ac:dyDescent="0.25">
      <c r="J20" s="1"/>
    </row>
    <row r="21" spans="10:10" x14ac:dyDescent="0.25">
      <c r="J21" s="1"/>
    </row>
    <row r="22" spans="10:10" x14ac:dyDescent="0.25">
      <c r="J2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BA744-934A-4726-96A3-2984C8927BCA}">
  <sheetPr codeName="Hoja4"/>
  <dimension ref="B1:S18"/>
  <sheetViews>
    <sheetView tabSelected="1" topLeftCell="B1" zoomScale="160" zoomScaleNormal="160" workbookViewId="0">
      <pane xSplit="3" ySplit="1" topLeftCell="J2" activePane="bottomRight" state="frozen"/>
      <selection activeCell="B1" sqref="B1"/>
      <selection pane="topRight" activeCell="F1" sqref="F1"/>
      <selection pane="bottomLeft" activeCell="B2" sqref="B2"/>
      <selection pane="bottomRight" activeCell="L16" sqref="L16"/>
    </sheetView>
  </sheetViews>
  <sheetFormatPr baseColWidth="10" defaultRowHeight="15" x14ac:dyDescent="0.25"/>
  <cols>
    <col min="2" max="2" width="10.85546875" customWidth="1"/>
    <col min="3" max="3" width="10.7109375" customWidth="1"/>
    <col min="4" max="4" width="15.7109375" bestFit="1" customWidth="1"/>
    <col min="10" max="10" width="14.5703125" bestFit="1" customWidth="1"/>
    <col min="11" max="11" width="11.140625" bestFit="1" customWidth="1"/>
    <col min="12" max="12" width="12.140625" bestFit="1" customWidth="1"/>
    <col min="13" max="13" width="12.42578125" customWidth="1"/>
    <col min="15" max="15" width="16.28515625" bestFit="1" customWidth="1"/>
    <col min="16" max="16" width="13.7109375" customWidth="1"/>
    <col min="18" max="18" width="19.7109375" bestFit="1" customWidth="1"/>
    <col min="19" max="19" width="17" bestFit="1" customWidth="1"/>
  </cols>
  <sheetData>
    <row r="1" spans="2:19" ht="45" x14ac:dyDescent="0.25">
      <c r="B1" s="45" t="s">
        <v>32</v>
      </c>
      <c r="C1" s="44" t="s">
        <v>14</v>
      </c>
      <c r="D1" s="42" t="s">
        <v>5</v>
      </c>
      <c r="E1" s="42" t="s">
        <v>18</v>
      </c>
      <c r="F1" s="43" t="s">
        <v>19</v>
      </c>
      <c r="G1" s="41" t="s">
        <v>20</v>
      </c>
      <c r="H1" s="33" t="s">
        <v>29</v>
      </c>
      <c r="I1" s="41" t="s">
        <v>21</v>
      </c>
      <c r="J1" s="33" t="s">
        <v>28</v>
      </c>
      <c r="K1" s="33" t="s">
        <v>30</v>
      </c>
      <c r="L1" s="33" t="s">
        <v>31</v>
      </c>
      <c r="M1" s="3" t="s">
        <v>26</v>
      </c>
      <c r="N1" s="3" t="s">
        <v>27</v>
      </c>
      <c r="O1" s="7" t="s">
        <v>6</v>
      </c>
      <c r="P1" s="7" t="s">
        <v>8</v>
      </c>
      <c r="Q1" s="7" t="s">
        <v>7</v>
      </c>
      <c r="R1" s="7" t="s">
        <v>23</v>
      </c>
    </row>
    <row r="2" spans="2:19" x14ac:dyDescent="0.25">
      <c r="B2" s="12" t="s">
        <v>6</v>
      </c>
      <c r="C2" s="12" t="s">
        <v>24</v>
      </c>
      <c r="D2" s="12" t="s">
        <v>9</v>
      </c>
      <c r="E2" s="12" t="s">
        <v>49</v>
      </c>
      <c r="F2" s="24">
        <f>+'Portafolio 28-Feb'!F2</f>
        <v>8000</v>
      </c>
      <c r="G2" s="16">
        <f>+F2*I2</f>
        <v>264280</v>
      </c>
      <c r="H2" s="21" t="s">
        <v>4</v>
      </c>
      <c r="I2" s="25">
        <v>33.034999999999997</v>
      </c>
      <c r="J2" s="25">
        <f>+'Portafolio 28-Feb'!O2</f>
        <v>31.372123669781285</v>
      </c>
      <c r="K2" s="35" t="s">
        <v>4</v>
      </c>
      <c r="L2" s="38">
        <f>+'Portafolio 28-Feb'!L2-21</f>
        <v>39</v>
      </c>
      <c r="M2" s="17" cm="1">
        <f t="array" ref="M2">InterpolacionTasa(L2,CURVAUSD_2)</f>
        <v>4.2935357142857143E-2</v>
      </c>
      <c r="N2" s="60">
        <v>0</v>
      </c>
      <c r="O2" s="22">
        <f>I2*EXP((M2-N2)*L2/360)</f>
        <v>33.189014607083109</v>
      </c>
      <c r="P2" s="10">
        <f>IF(C2="Largo",(O2-J2)/EXP(M2*L2/360),(J2-O2)/EXP(M2*L2/360))</f>
        <v>1.8084596009956937</v>
      </c>
      <c r="Q2" s="61">
        <f>I9</f>
        <v>20.222999999999999</v>
      </c>
      <c r="R2" s="18">
        <f>P2*Q2*F2</f>
        <v>292579.82808748726</v>
      </c>
      <c r="S2" s="23"/>
    </row>
    <row r="3" spans="2:19" x14ac:dyDescent="0.25">
      <c r="B3" s="12" t="s">
        <v>6</v>
      </c>
      <c r="C3" s="12" t="s">
        <v>25</v>
      </c>
      <c r="D3" s="12" t="s">
        <v>9</v>
      </c>
      <c r="E3" s="12" t="s">
        <v>49</v>
      </c>
      <c r="F3" s="24">
        <f>+'Portafolio 28-Feb'!F3</f>
        <v>11000</v>
      </c>
      <c r="G3" s="16">
        <f t="shared" ref="G3:G8" si="0">+F3*I3</f>
        <v>363384.99999999994</v>
      </c>
      <c r="H3" s="21" t="s">
        <v>4</v>
      </c>
      <c r="I3" s="25">
        <v>33.034999999999997</v>
      </c>
      <c r="J3" s="25">
        <f>+'Portafolio 28-Feb'!O3</f>
        <v>31.372123669781285</v>
      </c>
      <c r="K3" s="35" t="s">
        <v>4</v>
      </c>
      <c r="L3" s="38">
        <f>+'Portafolio 28-Feb'!L3-21</f>
        <v>39</v>
      </c>
      <c r="M3" s="17" cm="1">
        <f t="array" ref="M3">InterpolacionTasa(L3,CURVAUSD_2)</f>
        <v>4.2935357142857143E-2</v>
      </c>
      <c r="N3" s="60">
        <v>0</v>
      </c>
      <c r="O3" s="22">
        <f t="shared" ref="O3:O11" si="1">I3*EXP((M3-N3)*L3/360)</f>
        <v>33.189014607083109</v>
      </c>
      <c r="P3" s="10">
        <f t="shared" ref="P3:P11" si="2">IF(C3="Largo",(O3-J3)/EXP(M3*L3/360),(J3-O3)/EXP(M3*L3/360))</f>
        <v>-1.8084596009956937</v>
      </c>
      <c r="Q3" s="61">
        <f>Q2</f>
        <v>20.222999999999999</v>
      </c>
      <c r="R3" s="18">
        <f t="shared" ref="R3:R8" si="3">P3*Q3*F3</f>
        <v>-402297.26362029498</v>
      </c>
      <c r="S3" s="23"/>
    </row>
    <row r="4" spans="2:19" x14ac:dyDescent="0.25">
      <c r="B4" s="12" t="s">
        <v>6</v>
      </c>
      <c r="C4" s="12" t="s">
        <v>24</v>
      </c>
      <c r="D4" s="12" t="s">
        <v>9</v>
      </c>
      <c r="E4" s="12" t="s">
        <v>17</v>
      </c>
      <c r="F4" s="24">
        <f>+'Portafolio 28-Feb'!F4</f>
        <v>900</v>
      </c>
      <c r="G4" s="16">
        <f t="shared" si="0"/>
        <v>2721267</v>
      </c>
      <c r="H4" s="21" t="s">
        <v>4</v>
      </c>
      <c r="I4" s="25">
        <v>3023.63</v>
      </c>
      <c r="J4" s="25">
        <f>+'Portafolio 28-Feb'!O4</f>
        <v>2888.7913850262089</v>
      </c>
      <c r="K4" s="35" t="s">
        <v>4</v>
      </c>
      <c r="L4" s="38">
        <f>+'Portafolio 28-Feb'!L4-21</f>
        <v>69</v>
      </c>
      <c r="M4" s="17" cm="1">
        <f t="array" ref="M4">InterpolacionTasa(L4,CURVAUSD_2)</f>
        <v>4.2964000000000002E-2</v>
      </c>
      <c r="N4" s="60">
        <v>0</v>
      </c>
      <c r="O4" s="22">
        <f t="shared" si="1"/>
        <v>3048.6316877858376</v>
      </c>
      <c r="P4" s="10">
        <f t="shared" si="2"/>
        <v>158.529459812873</v>
      </c>
      <c r="Q4" s="61">
        <f t="shared" ref="Q4:Q5" si="4">Q3</f>
        <v>20.222999999999999</v>
      </c>
      <c r="R4" s="18">
        <f t="shared" si="3"/>
        <v>2885347.1392161576</v>
      </c>
      <c r="S4" s="23"/>
    </row>
    <row r="5" spans="2:19" x14ac:dyDescent="0.25">
      <c r="B5" s="12" t="s">
        <v>6</v>
      </c>
      <c r="C5" s="12" t="s">
        <v>25</v>
      </c>
      <c r="D5" s="12" t="s">
        <v>9</v>
      </c>
      <c r="E5" s="12" t="s">
        <v>17</v>
      </c>
      <c r="F5" s="24">
        <f>+'Portafolio 28-Feb'!F5</f>
        <v>500</v>
      </c>
      <c r="G5" s="16">
        <f t="shared" si="0"/>
        <v>1511815</v>
      </c>
      <c r="H5" s="21" t="s">
        <v>4</v>
      </c>
      <c r="I5" s="25">
        <v>3023.63</v>
      </c>
      <c r="J5" s="25">
        <f>+'Portafolio 28-Feb'!O5</f>
        <v>2888.7913850262089</v>
      </c>
      <c r="K5" s="35" t="s">
        <v>4</v>
      </c>
      <c r="L5" s="38">
        <f>+'Portafolio 28-Feb'!L5-21</f>
        <v>69</v>
      </c>
      <c r="M5" s="17" cm="1">
        <f t="array" ref="M5">InterpolacionTasa(L5,CURVAUSD_2)</f>
        <v>4.2964000000000002E-2</v>
      </c>
      <c r="N5" s="60">
        <v>0</v>
      </c>
      <c r="O5" s="22">
        <f t="shared" si="1"/>
        <v>3048.6316877858376</v>
      </c>
      <c r="P5" s="10">
        <f t="shared" si="2"/>
        <v>-158.529459812873</v>
      </c>
      <c r="Q5" s="61">
        <f t="shared" si="4"/>
        <v>20.222999999999999</v>
      </c>
      <c r="R5" s="18">
        <f t="shared" si="3"/>
        <v>-1602970.6328978653</v>
      </c>
      <c r="S5" s="23"/>
    </row>
    <row r="6" spans="2:19" x14ac:dyDescent="0.25">
      <c r="B6" s="5" t="s">
        <v>6</v>
      </c>
      <c r="C6" s="5" t="s">
        <v>25</v>
      </c>
      <c r="D6" s="5" t="s">
        <v>12</v>
      </c>
      <c r="E6" s="5" t="s">
        <v>54</v>
      </c>
      <c r="F6" s="11">
        <f>+'Portafolio 28-Feb'!F6</f>
        <v>1200000</v>
      </c>
      <c r="G6" s="14">
        <f t="shared" si="0"/>
        <v>17100000</v>
      </c>
      <c r="H6" s="19" t="s">
        <v>0</v>
      </c>
      <c r="I6" s="26">
        <v>14.25</v>
      </c>
      <c r="J6" s="26">
        <f>+'Portafolio 28-Feb'!O6</f>
        <v>14.917705042909814</v>
      </c>
      <c r="K6" s="36" t="s">
        <v>0</v>
      </c>
      <c r="L6" s="39">
        <f>+'Portafolio 28-Feb'!L6-21</f>
        <v>59</v>
      </c>
      <c r="M6" s="17" cm="1">
        <f t="array" ref="M6">InterpolacionTasa(L6,CURVAMXP_2)</f>
        <v>9.329714285714287E-2</v>
      </c>
      <c r="N6" s="60">
        <v>0</v>
      </c>
      <c r="O6" s="22">
        <f t="shared" si="1"/>
        <v>14.469562016378312</v>
      </c>
      <c r="P6" s="10">
        <f t="shared" si="2"/>
        <v>0.44134287691952639</v>
      </c>
      <c r="Q6" s="29">
        <v>1</v>
      </c>
      <c r="R6" s="18">
        <f t="shared" si="3"/>
        <v>529611.4523034317</v>
      </c>
      <c r="S6" s="23"/>
    </row>
    <row r="7" spans="2:19" x14ac:dyDescent="0.25">
      <c r="B7" s="5" t="s">
        <v>6</v>
      </c>
      <c r="C7" s="5" t="s">
        <v>25</v>
      </c>
      <c r="D7" s="5" t="s">
        <v>12</v>
      </c>
      <c r="E7" s="5" t="s">
        <v>55</v>
      </c>
      <c r="F7" s="11">
        <f>+'Portafolio 28-Feb'!F7</f>
        <v>1000000</v>
      </c>
      <c r="G7" s="14">
        <f t="shared" si="0"/>
        <v>11950000</v>
      </c>
      <c r="H7" s="19" t="s">
        <v>0</v>
      </c>
      <c r="I7" s="26">
        <v>11.95</v>
      </c>
      <c r="J7" s="26">
        <f>+'Portafolio 28-Feb'!O7</f>
        <v>12.864021461932591</v>
      </c>
      <c r="K7" s="36" t="s">
        <v>0</v>
      </c>
      <c r="L7" s="39">
        <f>+'Portafolio 28-Feb'!L7-21</f>
        <v>49</v>
      </c>
      <c r="M7" s="17" cm="1">
        <f t="array" ref="M7">InterpolacionTasa(L7,CURVAMXP_2)</f>
        <v>9.3700000000000006E-2</v>
      </c>
      <c r="N7" s="60">
        <v>0</v>
      </c>
      <c r="O7" s="22">
        <f t="shared" si="1"/>
        <v>12.103381658777911</v>
      </c>
      <c r="P7" s="10">
        <f t="shared" si="2"/>
        <v>0.75100049754328035</v>
      </c>
      <c r="Q7" s="29">
        <v>1</v>
      </c>
      <c r="R7" s="18">
        <f t="shared" si="3"/>
        <v>751000.49754328036</v>
      </c>
      <c r="S7" s="23"/>
    </row>
    <row r="8" spans="2:19" x14ac:dyDescent="0.25">
      <c r="B8" s="5" t="s">
        <v>6</v>
      </c>
      <c r="C8" s="5" t="s">
        <v>24</v>
      </c>
      <c r="D8" s="5" t="s">
        <v>12</v>
      </c>
      <c r="E8" s="5" t="s">
        <v>13</v>
      </c>
      <c r="F8" s="11">
        <f>+'Portafolio 28-Feb'!F8</f>
        <v>300</v>
      </c>
      <c r="G8" s="14">
        <f t="shared" si="0"/>
        <v>1700268.0000000002</v>
      </c>
      <c r="H8" s="19" t="s">
        <v>4</v>
      </c>
      <c r="I8" s="26">
        <v>5667.56</v>
      </c>
      <c r="J8" s="26">
        <f>+'Portafolio 28-Feb'!O8</f>
        <v>6080.2528038085993</v>
      </c>
      <c r="K8" s="36" t="s">
        <v>4</v>
      </c>
      <c r="L8" s="39">
        <f>+'Portafolio 28-Feb'!L8-21</f>
        <v>329</v>
      </c>
      <c r="M8" s="17" cm="1">
        <f t="array" ref="M8">InterpolacionTasa(L8,CURVAUSD_2)</f>
        <v>4.1312692307692307E-2</v>
      </c>
      <c r="N8" s="60">
        <v>1.89E-2</v>
      </c>
      <c r="O8" s="22">
        <f t="shared" si="1"/>
        <v>5784.8440376137241</v>
      </c>
      <c r="P8" s="10">
        <f t="shared" si="2"/>
        <v>-284.4634672248265</v>
      </c>
      <c r="Q8" s="61">
        <f>Q5</f>
        <v>20.222999999999999</v>
      </c>
      <c r="R8" s="18">
        <f t="shared" si="3"/>
        <v>-1725811.4093062999</v>
      </c>
      <c r="S8" s="23"/>
    </row>
    <row r="9" spans="2:19" x14ac:dyDescent="0.25">
      <c r="B9" s="6" t="s">
        <v>6</v>
      </c>
      <c r="C9" s="6" t="s">
        <v>24</v>
      </c>
      <c r="D9" s="6" t="s">
        <v>3</v>
      </c>
      <c r="E9" s="6" t="s">
        <v>4</v>
      </c>
      <c r="F9" s="13"/>
      <c r="G9" s="15">
        <f>+'Portafolio 28-Feb'!G9</f>
        <v>1100000</v>
      </c>
      <c r="H9" s="20" t="s">
        <v>4</v>
      </c>
      <c r="I9" s="27">
        <v>20.222999999999999</v>
      </c>
      <c r="J9" s="28">
        <f>+'Portafolio 28-Feb'!O9</f>
        <v>21.048318260528912</v>
      </c>
      <c r="K9" s="37" t="s">
        <v>0</v>
      </c>
      <c r="L9" s="40">
        <f>+'Portafolio 28-Feb'!L9-21</f>
        <v>159</v>
      </c>
      <c r="M9" s="17" cm="1">
        <f t="array" ref="M9">InterpolacionTasa(L9,CURVAMXP_2)</f>
        <v>9.1378021978021973E-2</v>
      </c>
      <c r="N9" s="1" cm="1">
        <f t="array" ref="N9">InterpolacionTasa(L9,CURVAUSD_2)</f>
        <v>4.2449230769230767E-2</v>
      </c>
      <c r="O9" s="22">
        <f t="shared" si="1"/>
        <v>20.664779685263863</v>
      </c>
      <c r="P9" s="10">
        <f t="shared" si="2"/>
        <v>-0.36836768256478319</v>
      </c>
      <c r="Q9" s="61">
        <v>1</v>
      </c>
      <c r="R9" s="18">
        <f>P9*Q9*G9</f>
        <v>-405204.4508212615</v>
      </c>
    </row>
    <row r="10" spans="2:19" x14ac:dyDescent="0.25">
      <c r="B10" s="6" t="s">
        <v>6</v>
      </c>
      <c r="C10" s="6" t="s">
        <v>25</v>
      </c>
      <c r="D10" s="6" t="s">
        <v>3</v>
      </c>
      <c r="E10" s="6" t="s">
        <v>11</v>
      </c>
      <c r="F10" s="13"/>
      <c r="G10" s="15">
        <f>+'Portafolio 28-Feb'!G10</f>
        <v>1500000</v>
      </c>
      <c r="H10" s="20" t="s">
        <v>11</v>
      </c>
      <c r="I10" s="27">
        <v>21.869199999999999</v>
      </c>
      <c r="J10" s="28">
        <f>+'Portafolio 28-Feb'!O10</f>
        <v>21.807384827873641</v>
      </c>
      <c r="K10" s="37" t="s">
        <v>0</v>
      </c>
      <c r="L10" s="40">
        <f>+'Portafolio 28-Feb'!L10-21</f>
        <v>99</v>
      </c>
      <c r="M10" s="17" cm="1">
        <f t="array" ref="M10">InterpolacionTasa(L10,CURVAMXP_2)</f>
        <v>9.2103296703296714E-2</v>
      </c>
      <c r="N10" s="1" cm="1">
        <f t="array" ref="N10">InterpolacionTasa(L10,CURVAEUR_2)</f>
        <v>2.1862527472527472E-2</v>
      </c>
      <c r="O10" s="22">
        <f>I10*EXP((M10-N10)*L10/360)</f>
        <v>22.29573636448584</v>
      </c>
      <c r="P10" s="10">
        <f t="shared" si="2"/>
        <v>-0.47613770177276549</v>
      </c>
      <c r="Q10" s="29">
        <f>Q9</f>
        <v>1</v>
      </c>
      <c r="R10" s="18">
        <f>P10*Q10*G10</f>
        <v>-714206.55265914823</v>
      </c>
    </row>
    <row r="11" spans="2:19" x14ac:dyDescent="0.25">
      <c r="B11" s="6" t="s">
        <v>6</v>
      </c>
      <c r="C11" s="6" t="s">
        <v>24</v>
      </c>
      <c r="D11" s="6" t="s">
        <v>3</v>
      </c>
      <c r="E11" s="6" t="s">
        <v>11</v>
      </c>
      <c r="F11" s="13"/>
      <c r="G11" s="15">
        <f>+'Portafolio 28-Feb'!G11</f>
        <v>700000</v>
      </c>
      <c r="H11" s="20" t="s">
        <v>11</v>
      </c>
      <c r="I11" s="27">
        <v>1.0813999999999999</v>
      </c>
      <c r="J11" s="65">
        <f>+'Portafolio 28-Feb'!O11</f>
        <v>1.0496854119214836</v>
      </c>
      <c r="K11" s="37" t="s">
        <v>4</v>
      </c>
      <c r="L11" s="40">
        <f>+'Portafolio 28-Feb'!L11-21</f>
        <v>189</v>
      </c>
      <c r="M11" s="17" cm="1">
        <f t="array" ref="M11">InterpolacionTasa(L11,CURVAUSD_2)</f>
        <v>4.2243461538461542E-2</v>
      </c>
      <c r="N11" s="1" cm="1">
        <f t="array" ref="N11">InterpolacionTasa(L11,CURVAEUR_2)</f>
        <v>2.1353076923076923E-2</v>
      </c>
      <c r="O11" s="22">
        <f t="shared" si="1"/>
        <v>1.0933254790307978</v>
      </c>
      <c r="P11" s="10">
        <f t="shared" si="2"/>
        <v>4.2682879077189206E-2</v>
      </c>
      <c r="Q11" s="61">
        <f>Q8</f>
        <v>20.222999999999999</v>
      </c>
      <c r="R11" s="18">
        <f>P11*Q11*G11</f>
        <v>604223.10450459807</v>
      </c>
    </row>
    <row r="12" spans="2:19" ht="15.75" thickBot="1" x14ac:dyDescent="0.3">
      <c r="M12" s="31"/>
      <c r="N12" s="30"/>
      <c r="O12" s="30"/>
      <c r="P12" s="30"/>
      <c r="R12" s="58">
        <f>SUM(R2:R11)</f>
        <v>212271.71235008514</v>
      </c>
    </row>
    <row r="13" spans="2:19" ht="15.75" thickTop="1" x14ac:dyDescent="0.25">
      <c r="B13" s="6" t="s">
        <v>81</v>
      </c>
      <c r="F13" t="s">
        <v>20</v>
      </c>
      <c r="H13" s="70"/>
      <c r="J13" s="34" t="s">
        <v>82</v>
      </c>
      <c r="N13" s="30"/>
      <c r="O13" s="30"/>
      <c r="P13" s="30"/>
    </row>
    <row r="14" spans="2:19" x14ac:dyDescent="0.25">
      <c r="H14" s="71"/>
      <c r="J14" s="34"/>
      <c r="N14" s="30"/>
      <c r="O14" s="30"/>
      <c r="P14" s="32"/>
      <c r="Q14" t="s">
        <v>83</v>
      </c>
    </row>
    <row r="15" spans="2:19" x14ac:dyDescent="0.25">
      <c r="H15" s="29"/>
      <c r="J15" s="34"/>
    </row>
    <row r="16" spans="2:19" x14ac:dyDescent="0.25">
      <c r="J16" s="34"/>
    </row>
    <row r="17" spans="10:10" x14ac:dyDescent="0.25">
      <c r="J17" s="34"/>
    </row>
    <row r="18" spans="10:10" x14ac:dyDescent="0.25">
      <c r="J18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F7E8-6AD4-4627-9D1B-C1CA18EE7B3E}">
  <sheetPr codeName="Hoja1"/>
  <dimension ref="A1:I37"/>
  <sheetViews>
    <sheetView zoomScaleNormal="100" workbookViewId="0">
      <selection activeCell="B21" sqref="B21"/>
    </sheetView>
  </sheetViews>
  <sheetFormatPr baseColWidth="10" defaultRowHeight="15" x14ac:dyDescent="0.25"/>
  <cols>
    <col min="1" max="1" width="27.140625" customWidth="1"/>
    <col min="2" max="2" width="14.7109375" customWidth="1"/>
    <col min="4" max="4" width="14.7109375" customWidth="1"/>
  </cols>
  <sheetData>
    <row r="1" spans="1:9" ht="26.25" x14ac:dyDescent="0.4">
      <c r="A1" s="46" t="s">
        <v>33</v>
      </c>
    </row>
    <row r="3" spans="1:9" x14ac:dyDescent="0.25">
      <c r="A3" s="74" t="s">
        <v>51</v>
      </c>
      <c r="B3" s="74"/>
      <c r="C3" s="74"/>
      <c r="D3" s="74"/>
      <c r="E3" s="74"/>
      <c r="F3" s="74"/>
      <c r="G3" s="74"/>
      <c r="H3" s="74"/>
      <c r="I3" s="74"/>
    </row>
    <row r="4" spans="1:9" x14ac:dyDescent="0.25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25">
      <c r="A5" s="74"/>
      <c r="B5" s="74"/>
      <c r="C5" s="74"/>
      <c r="D5" s="74"/>
      <c r="E5" s="74"/>
      <c r="F5" s="74"/>
      <c r="G5" s="74"/>
      <c r="H5" s="74"/>
      <c r="I5" s="74"/>
    </row>
    <row r="7" spans="1:9" x14ac:dyDescent="0.25">
      <c r="B7" s="49" t="s">
        <v>38</v>
      </c>
      <c r="D7" s="49" t="s">
        <v>41</v>
      </c>
    </row>
    <row r="9" spans="1:9" x14ac:dyDescent="0.25">
      <c r="A9" s="2" t="s">
        <v>34</v>
      </c>
      <c r="B9" s="47" t="s">
        <v>53</v>
      </c>
      <c r="D9" s="50" t="s">
        <v>52</v>
      </c>
    </row>
    <row r="11" spans="1:9" x14ac:dyDescent="0.25">
      <c r="A11" s="2" t="s">
        <v>36</v>
      </c>
      <c r="B11" s="55">
        <v>10000</v>
      </c>
      <c r="D11" s="55">
        <v>10000</v>
      </c>
      <c r="F11" t="s">
        <v>85</v>
      </c>
    </row>
    <row r="13" spans="1:9" x14ac:dyDescent="0.25">
      <c r="A13" s="2" t="s">
        <v>35</v>
      </c>
      <c r="B13" s="48">
        <v>12</v>
      </c>
      <c r="D13" s="51">
        <v>12</v>
      </c>
    </row>
    <row r="15" spans="1:9" x14ac:dyDescent="0.25">
      <c r="A15" s="2" t="s">
        <v>37</v>
      </c>
      <c r="B15" s="56">
        <f>+B11*B13</f>
        <v>120000</v>
      </c>
      <c r="D15" s="56">
        <f>-D13*D11</f>
        <v>-120000</v>
      </c>
    </row>
    <row r="17" spans="1:7" x14ac:dyDescent="0.25">
      <c r="A17" s="2" t="s">
        <v>39</v>
      </c>
      <c r="B17" s="7" t="s">
        <v>40</v>
      </c>
      <c r="D17" s="7" t="s">
        <v>40</v>
      </c>
    </row>
    <row r="19" spans="1:7" x14ac:dyDescent="0.25">
      <c r="A19" s="2" t="s">
        <v>43</v>
      </c>
      <c r="B19" s="54">
        <v>9000</v>
      </c>
      <c r="D19" s="54">
        <v>9000</v>
      </c>
      <c r="F19" t="s">
        <v>84</v>
      </c>
    </row>
    <row r="21" spans="1:7" x14ac:dyDescent="0.25">
      <c r="A21" s="2" t="s">
        <v>42</v>
      </c>
      <c r="B21" s="53">
        <v>1</v>
      </c>
      <c r="D21" s="53">
        <v>0.5</v>
      </c>
      <c r="F21" t="s">
        <v>86</v>
      </c>
      <c r="G21" t="s">
        <v>87</v>
      </c>
    </row>
    <row r="23" spans="1:7" x14ac:dyDescent="0.25">
      <c r="A23" s="2" t="s">
        <v>44</v>
      </c>
      <c r="B23" s="57">
        <f>+B19*B13</f>
        <v>108000</v>
      </c>
      <c r="D23" s="57">
        <f>D13*D19</f>
        <v>108000</v>
      </c>
    </row>
    <row r="25" spans="1:7" x14ac:dyDescent="0.25">
      <c r="A25" s="2" t="s">
        <v>45</v>
      </c>
      <c r="B25" s="57">
        <f>B23</f>
        <v>108000</v>
      </c>
      <c r="D25" s="57">
        <f>0.5*D23</f>
        <v>54000</v>
      </c>
    </row>
    <row r="27" spans="1:7" x14ac:dyDescent="0.25">
      <c r="A27" s="2" t="s">
        <v>46</v>
      </c>
      <c r="B27" s="57">
        <f>B25+B23</f>
        <v>216000</v>
      </c>
      <c r="D27" s="57">
        <f>D25+D23</f>
        <v>162000</v>
      </c>
    </row>
    <row r="29" spans="1:7" x14ac:dyDescent="0.25">
      <c r="A29" s="2" t="s">
        <v>47</v>
      </c>
      <c r="B29" s="52">
        <v>0.8</v>
      </c>
      <c r="D29" s="52">
        <v>0.8</v>
      </c>
    </row>
    <row r="31" spans="1:7" x14ac:dyDescent="0.25">
      <c r="A31" s="2" t="s">
        <v>48</v>
      </c>
      <c r="B31" s="57">
        <f>B27*0.8</f>
        <v>172800</v>
      </c>
      <c r="D31" s="57">
        <f>D27*0.8</f>
        <v>129600</v>
      </c>
      <c r="F31" t="s">
        <v>88</v>
      </c>
    </row>
    <row r="33" spans="1:4" x14ac:dyDescent="0.25">
      <c r="A33" t="s">
        <v>91</v>
      </c>
      <c r="B33">
        <v>20</v>
      </c>
      <c r="C33" t="s">
        <v>90</v>
      </c>
      <c r="D33">
        <v>20</v>
      </c>
    </row>
    <row r="34" spans="1:4" x14ac:dyDescent="0.25">
      <c r="B34" t="s">
        <v>89</v>
      </c>
    </row>
    <row r="35" spans="1:4" x14ac:dyDescent="0.25">
      <c r="B35" s="72">
        <f>B15*B33</f>
        <v>2400000</v>
      </c>
      <c r="D35" s="72">
        <f>D15*D33</f>
        <v>-2400000</v>
      </c>
    </row>
    <row r="37" spans="1:4" x14ac:dyDescent="0.25">
      <c r="B37" s="73">
        <f>B35/B27</f>
        <v>11.111111111111111</v>
      </c>
    </row>
  </sheetData>
  <mergeCells count="1">
    <mergeCell ref="A3:I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16</vt:i4>
      </vt:variant>
    </vt:vector>
  </HeadingPairs>
  <TitlesOfParts>
    <vt:vector size="21" baseType="lpstr">
      <vt:lpstr>Curvas Febrero</vt:lpstr>
      <vt:lpstr>Curvas Marzo</vt:lpstr>
      <vt:lpstr>Portafolio 28-Feb</vt:lpstr>
      <vt:lpstr>Portafolio 21-Mar</vt:lpstr>
      <vt:lpstr>Ejemplo Futuros</vt:lpstr>
      <vt:lpstr>CURVAEU_1</vt:lpstr>
      <vt:lpstr>'Curvas Marzo'!CURVAEUR</vt:lpstr>
      <vt:lpstr>CURVAEUR</vt:lpstr>
      <vt:lpstr>CURVAEUR_2</vt:lpstr>
      <vt:lpstr>'Curvas Marzo'!CURVAMXN</vt:lpstr>
      <vt:lpstr>CURVAMXN</vt:lpstr>
      <vt:lpstr>'Curvas Marzo'!CURVAMXP</vt:lpstr>
      <vt:lpstr>CURVAMXP</vt:lpstr>
      <vt:lpstr>CURVAMXP_1</vt:lpstr>
      <vt:lpstr>CURVAMXP_2</vt:lpstr>
      <vt:lpstr>'Curvas Marzo'!curvaprueba</vt:lpstr>
      <vt:lpstr>curvaprueba</vt:lpstr>
      <vt:lpstr>'Curvas Marzo'!CURVAUSD</vt:lpstr>
      <vt:lpstr>CURVAUSD</vt:lpstr>
      <vt:lpstr>CURVAUSD_1</vt:lpstr>
      <vt:lpstr>CURVAUSD_2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Luis Noe Torres Ferrer</cp:lastModifiedBy>
  <dcterms:created xsi:type="dcterms:W3CDTF">2019-04-23T01:31:49Z</dcterms:created>
  <dcterms:modified xsi:type="dcterms:W3CDTF">2025-05-26T04:35:55Z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19fd4690-19ad-4052-be9c-a7d2d6d287a6</vt:lpwstr>
  </property>
</Properties>
</file>
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t\OneDrive\Escritorio\Actuaria Acatlan\Derivados\"/>
    </mc:Choice>
  </mc:AlternateContent>
  <xr:revisionPtr revIDLastSave="0" documentId="13_ncr:1_{4CA6278F-01D1-4B12-BC42-641B4D02E66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Árboles Binomiales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45" i="4" l="1"/>
  <c r="U46" i="4"/>
  <c r="U47" i="4"/>
  <c r="U48" i="4"/>
  <c r="U49" i="4"/>
  <c r="U50" i="4"/>
  <c r="U51" i="4"/>
  <c r="U52" i="4"/>
  <c r="T53" i="4" s="1"/>
  <c r="U53" i="4"/>
  <c r="T54" i="4" s="1"/>
  <c r="U54" i="4"/>
  <c r="T49" i="4"/>
  <c r="T51" i="4"/>
  <c r="T46" i="4"/>
  <c r="S47" i="4" s="1"/>
  <c r="R48" i="4" s="1"/>
  <c r="T47" i="4"/>
  <c r="S48" i="4" s="1"/>
  <c r="T48" i="4"/>
  <c r="U44" i="4"/>
  <c r="T45" i="4" s="1"/>
  <c r="S46" i="4" s="1"/>
  <c r="U30" i="4"/>
  <c r="U31" i="4"/>
  <c r="U32" i="4"/>
  <c r="U33" i="4"/>
  <c r="U34" i="4"/>
  <c r="U35" i="4"/>
  <c r="U36" i="4"/>
  <c r="U37" i="4"/>
  <c r="T37" i="4" s="1"/>
  <c r="U38" i="4"/>
  <c r="T39" i="4" s="1"/>
  <c r="U39" i="4"/>
  <c r="U29" i="4"/>
  <c r="U13" i="4"/>
  <c r="S36" i="4"/>
  <c r="T31" i="4"/>
  <c r="S32" i="4" s="1"/>
  <c r="T32" i="4"/>
  <c r="S33" i="4" s="1"/>
  <c r="T33" i="4"/>
  <c r="S34" i="4" s="1"/>
  <c r="T34" i="4"/>
  <c r="S35" i="4" s="1"/>
  <c r="R36" i="4" s="1"/>
  <c r="T35" i="4"/>
  <c r="T36" i="4"/>
  <c r="T30" i="4"/>
  <c r="U15" i="4"/>
  <c r="T16" i="4"/>
  <c r="U16" i="4" s="1"/>
  <c r="S17" i="4"/>
  <c r="T17" i="4" s="1"/>
  <c r="U17" i="4" s="1"/>
  <c r="R18" i="4"/>
  <c r="S18" i="4" s="1"/>
  <c r="T18" i="4" s="1"/>
  <c r="U18" i="4" s="1"/>
  <c r="Q19" i="4"/>
  <c r="R19" i="4" s="1"/>
  <c r="S19" i="4" s="1"/>
  <c r="T19" i="4" s="1"/>
  <c r="U19" i="4" s="1"/>
  <c r="P20" i="4"/>
  <c r="Q20" i="4" s="1"/>
  <c r="R20" i="4" s="1"/>
  <c r="S20" i="4" s="1"/>
  <c r="T20" i="4" s="1"/>
  <c r="U20" i="4" s="1"/>
  <c r="O21" i="4"/>
  <c r="P21" i="4" s="1"/>
  <c r="Q21" i="4" s="1"/>
  <c r="R21" i="4" s="1"/>
  <c r="S21" i="4" s="1"/>
  <c r="T21" i="4" s="1"/>
  <c r="U21" i="4" s="1"/>
  <c r="U14" i="4"/>
  <c r="T15" i="4"/>
  <c r="S16" i="4"/>
  <c r="R17" i="4"/>
  <c r="Q18" i="4"/>
  <c r="P19" i="4"/>
  <c r="O20" i="4"/>
  <c r="N21" i="4"/>
  <c r="T14" i="4"/>
  <c r="S15" i="4"/>
  <c r="R16" i="4"/>
  <c r="Q17" i="4"/>
  <c r="P18" i="4"/>
  <c r="O19" i="4"/>
  <c r="N20" i="4"/>
  <c r="M21" i="4"/>
  <c r="L22" i="4"/>
  <c r="M22" i="4"/>
  <c r="N22" i="4" s="1"/>
  <c r="O22" i="4" s="1"/>
  <c r="P22" i="4" s="1"/>
  <c r="Q22" i="4" s="1"/>
  <c r="R22" i="4" s="1"/>
  <c r="S22" i="4" s="1"/>
  <c r="T22" i="4" s="1"/>
  <c r="U22" i="4" s="1"/>
  <c r="M23" i="4"/>
  <c r="N23" i="4" s="1"/>
  <c r="O23" i="4" s="1"/>
  <c r="P23" i="4" s="1"/>
  <c r="Q23" i="4" s="1"/>
  <c r="R23" i="4" s="1"/>
  <c r="S23" i="4" s="1"/>
  <c r="T23" i="4" s="1"/>
  <c r="U23" i="4" s="1"/>
  <c r="L23" i="4"/>
  <c r="K23" i="4"/>
  <c r="L8" i="4"/>
  <c r="L7" i="4"/>
  <c r="L5" i="4"/>
  <c r="L4" i="4"/>
  <c r="F12" i="4"/>
  <c r="C12" i="4"/>
  <c r="S54" i="4" l="1"/>
  <c r="S49" i="4"/>
  <c r="T52" i="4"/>
  <c r="S53" i="4" s="1"/>
  <c r="T50" i="4"/>
  <c r="S51" i="4" s="1"/>
  <c r="R54" i="4"/>
  <c r="R47" i="4"/>
  <c r="Q48" i="4" s="1"/>
  <c r="R34" i="4"/>
  <c r="S37" i="4"/>
  <c r="R35" i="4"/>
  <c r="Q36" i="4" s="1"/>
  <c r="R33" i="4"/>
  <c r="Q34" i="4" s="1"/>
  <c r="T38" i="4"/>
  <c r="S39" i="4" s="1"/>
  <c r="S31" i="4"/>
  <c r="R32" i="4" s="1"/>
  <c r="Q33" i="4" s="1"/>
  <c r="P34" i="4" s="1"/>
  <c r="J45" i="4"/>
  <c r="J46" i="4" s="1"/>
  <c r="J47" i="4" s="1"/>
  <c r="J48" i="4" s="1"/>
  <c r="J49" i="4" s="1"/>
  <c r="J50" i="4" s="1"/>
  <c r="J51" i="4" s="1"/>
  <c r="J52" i="4" s="1"/>
  <c r="J53" i="4" s="1"/>
  <c r="J54" i="4" s="1"/>
  <c r="S52" i="4" l="1"/>
  <c r="S50" i="4"/>
  <c r="R51" i="4" s="1"/>
  <c r="R49" i="4"/>
  <c r="Q35" i="4"/>
  <c r="P36" i="4" s="1"/>
  <c r="P35" i="4"/>
  <c r="O36" i="4" s="1"/>
  <c r="S38" i="4"/>
  <c r="R39" i="4" s="1"/>
  <c r="R38" i="4"/>
  <c r="Q39" i="4" s="1"/>
  <c r="R37" i="4"/>
  <c r="J30" i="4"/>
  <c r="J31" i="4" s="1"/>
  <c r="J32" i="4" s="1"/>
  <c r="J33" i="4" s="1"/>
  <c r="J34" i="4" s="1"/>
  <c r="J35" i="4" s="1"/>
  <c r="J36" i="4" s="1"/>
  <c r="J37" i="4" s="1"/>
  <c r="J38" i="4" s="1"/>
  <c r="J39" i="4" s="1"/>
  <c r="J14" i="4"/>
  <c r="J15" i="4" s="1"/>
  <c r="J16" i="4" s="1"/>
  <c r="J17" i="4" s="1"/>
  <c r="J18" i="4" s="1"/>
  <c r="J19" i="4" s="1"/>
  <c r="J20" i="4" s="1"/>
  <c r="J21" i="4" s="1"/>
  <c r="J22" i="4" s="1"/>
  <c r="J23" i="4" s="1"/>
  <c r="Q49" i="4" l="1"/>
  <c r="R52" i="4"/>
  <c r="R53" i="4"/>
  <c r="Q54" i="4" s="1"/>
  <c r="R50" i="4"/>
  <c r="Q51" i="4" s="1"/>
  <c r="Q38" i="4"/>
  <c r="P39" i="4" s="1"/>
  <c r="Q37" i="4"/>
  <c r="O35" i="4"/>
  <c r="N36" i="4" s="1"/>
  <c r="F20" i="4"/>
  <c r="H20" i="4"/>
  <c r="G20" i="4"/>
  <c r="H17" i="4"/>
  <c r="F21" i="4"/>
  <c r="F19" i="4"/>
  <c r="F17" i="4"/>
  <c r="F18" i="4"/>
  <c r="Q53" i="4" l="1"/>
  <c r="P54" i="4" s="1"/>
  <c r="P49" i="4"/>
  <c r="Q50" i="4"/>
  <c r="P51" i="4" s="1"/>
  <c r="Q52" i="4"/>
  <c r="P53" i="4" s="1"/>
  <c r="O54" i="4" s="1"/>
  <c r="P38" i="4"/>
  <c r="O39" i="4" s="1"/>
  <c r="P37" i="4"/>
  <c r="H18" i="4"/>
  <c r="H19" i="4"/>
  <c r="H22" i="4"/>
  <c r="G21" i="4"/>
  <c r="G18" i="4"/>
  <c r="G19" i="4"/>
  <c r="G17" i="4"/>
  <c r="F22" i="4"/>
  <c r="P50" i="4" l="1"/>
  <c r="O51" i="4" s="1"/>
  <c r="P52" i="4"/>
  <c r="O38" i="4"/>
  <c r="N39" i="4" s="1"/>
  <c r="O37" i="4"/>
  <c r="H21" i="4"/>
  <c r="H23" i="4"/>
  <c r="F23" i="4"/>
  <c r="G22" i="4"/>
  <c r="O52" i="4" l="1"/>
  <c r="O53" i="4"/>
  <c r="N54" i="4" s="1"/>
  <c r="O50" i="4"/>
  <c r="N51" i="4" s="1"/>
  <c r="N38" i="4"/>
  <c r="M39" i="4" s="1"/>
  <c r="N37" i="4"/>
  <c r="F24" i="4"/>
  <c r="G23" i="4"/>
  <c r="N52" i="4" l="1"/>
  <c r="N53" i="4"/>
  <c r="M54" i="4" s="1"/>
  <c r="M38" i="4"/>
  <c r="L39" i="4" s="1"/>
  <c r="M37" i="4"/>
  <c r="L38" i="4" s="1"/>
  <c r="K39" i="4" s="1"/>
  <c r="H24" i="4"/>
  <c r="H25" i="4"/>
  <c r="G24" i="4"/>
  <c r="F25" i="4"/>
  <c r="M53" i="4" l="1"/>
  <c r="L54" i="4" s="1"/>
  <c r="M52" i="4"/>
  <c r="L53" i="4" s="1"/>
  <c r="K54" i="4" s="1"/>
  <c r="H26" i="4"/>
  <c r="H27" i="4"/>
  <c r="G27" i="4"/>
  <c r="F26" i="4"/>
  <c r="F27" i="4"/>
  <c r="G25" i="4"/>
  <c r="G26" i="4" l="1"/>
  <c r="Q4" i="4" l="1"/>
  <c r="Q9" i="4" s="1"/>
  <c r="N4" i="4" l="1"/>
  <c r="N9" i="4" s="1"/>
</calcChain>
</file>

<file path=xl/sharedStrings.xml><?xml version="1.0" encoding="utf-8"?>
<sst xmlns="http://schemas.openxmlformats.org/spreadsheetml/2006/main" count="97" uniqueCount="67">
  <si>
    <t>Volatilidad (anual)</t>
  </si>
  <si>
    <t>Spot</t>
  </si>
  <si>
    <t>Strike</t>
  </si>
  <si>
    <t>Timestep</t>
  </si>
  <si>
    <t>No. de Escenarios</t>
  </si>
  <si>
    <t>Esc. 985</t>
  </si>
  <si>
    <t>Esc. 986</t>
  </si>
  <si>
    <t>Esc. 987</t>
  </si>
  <si>
    <t>Esc. 988</t>
  </si>
  <si>
    <t>Esc. 989</t>
  </si>
  <si>
    <t>Esc. 990</t>
  </si>
  <si>
    <t>Esc. 991</t>
  </si>
  <si>
    <t>Esc. 992</t>
  </si>
  <si>
    <t>Esc. 993</t>
  </si>
  <si>
    <t>Esc. 994</t>
  </si>
  <si>
    <t>Esc. 995</t>
  </si>
  <si>
    <t>Esc. 996</t>
  </si>
  <si>
    <t>Esc. 997</t>
  </si>
  <si>
    <t>Esc. 998</t>
  </si>
  <si>
    <t>Esc. 999</t>
  </si>
  <si>
    <t>Esc. 1000</t>
  </si>
  <si>
    <t>Put</t>
  </si>
  <si>
    <t>Call</t>
  </si>
  <si>
    <t>q =</t>
  </si>
  <si>
    <t>1- q =</t>
  </si>
  <si>
    <t>Día 0</t>
  </si>
  <si>
    <t>Día 1</t>
  </si>
  <si>
    <t>Día 2</t>
  </si>
  <si>
    <t>Día 3</t>
  </si>
  <si>
    <t>Día 4</t>
  </si>
  <si>
    <t>Día 5</t>
  </si>
  <si>
    <t>Día 6</t>
  </si>
  <si>
    <t>Día 7</t>
  </si>
  <si>
    <t>Día 8</t>
  </si>
  <si>
    <t>Día 9</t>
  </si>
  <si>
    <t>Día 10</t>
  </si>
  <si>
    <t>U =</t>
  </si>
  <si>
    <t>D =</t>
  </si>
  <si>
    <t>Esto lo hace en memoria VB</t>
  </si>
  <si>
    <t>Plazo (Días)</t>
  </si>
  <si>
    <t>Tasa</t>
  </si>
  <si>
    <t>Div. (q) o Tasa Ext. (TE)</t>
  </si>
  <si>
    <t>Payoff Call</t>
  </si>
  <si>
    <t>Payoff Put</t>
  </si>
  <si>
    <t>Precio C-R-R</t>
  </si>
  <si>
    <t>Prima Call</t>
  </si>
  <si>
    <t>Prima Put</t>
  </si>
  <si>
    <t>Primas Calculadas con Código en V.B.</t>
  </si>
  <si>
    <t>Paridad Put Call</t>
  </si>
  <si>
    <t>Información Generada Manualmente</t>
  </si>
  <si>
    <t>Información Generada con Visual Basic</t>
  </si>
  <si>
    <t>Primas Calculadas con las Matrices</t>
  </si>
  <si>
    <t>Cálculo de la Prima de una Opción con Árboles Binomiales C-R-R</t>
  </si>
  <si>
    <t xml:space="preserve">Matriz Subyacente </t>
  </si>
  <si>
    <t>Prima opcion Venta</t>
  </si>
  <si>
    <t>Esc.1</t>
  </si>
  <si>
    <t>Esc.2</t>
  </si>
  <si>
    <t>Esc.3</t>
  </si>
  <si>
    <t>Esc.4</t>
  </si>
  <si>
    <t>Esc.5</t>
  </si>
  <si>
    <t>Esc.6</t>
  </si>
  <si>
    <t>Esc.7</t>
  </si>
  <si>
    <t>Esc.8</t>
  </si>
  <si>
    <t>Esc.9</t>
  </si>
  <si>
    <t>Esc.10</t>
  </si>
  <si>
    <t>Esc.11</t>
  </si>
  <si>
    <t>Torres Ferrer Luis Noe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</si>
</sst>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;\-&quot;$&quot;#,##0.00"/>
    <numFmt numFmtId="164" formatCode="0.0000%"/>
    <numFmt numFmtId="165" formatCode="_(&quot;$&quot;* #,##0.00_);_(&quot;$&quot;* \(#,##0.00\);_(&quot;$&quot;* &quot;-&quot;??_);_(@_)"/>
    <numFmt numFmtId="166" formatCode="_(&quot;$&quot;* #,##0.0000_);_(&quot;$&quot;* \(#,##0.0000\);_(&quot;$&quot;* &quot;-&quot;??_);_(@_)"/>
    <numFmt numFmtId="167" formatCode="0.0000"/>
    <numFmt numFmtId="168" formatCode="&quot;$&quot;#,##0.00000;\-&quot;$&quot;#,##0.00000"/>
    <numFmt numFmtId="169" formatCode="&quot;$&quot;#,##0.000000;\-&quot;$&quot;#,##0.000000"/>
    <numFmt numFmtId="170" formatCode="0.000"/>
    <numFmt numFmtId="171" formatCode="&quot;$&quot;#,##0.000;\-&quot;$&quot;#,##0.000"/>
    <numFmt numFmtId="172" formatCode="_-&quot;$&quot;* #,##0.000000000000_-;\-&quot;$&quot;* #,##0.000000000000_-;_-&quot;$&quot;* &quot;-&quot;????_-;_-@_-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8"/>
      <name val="Arial"/>
      <family val="2"/>
    </font>
    <font>
      <b/>
      <sz val="10"/>
      <name val="Arial"/>
      <family val="2"/>
    </font>
    <font>
      <b/>
      <sz val="14"/>
      <color theme="4"/>
      <name val="Arial"/>
      <family val="2"/>
    </font>
    <font>
      <sz val="8"/>
      <name val="Calibri"/>
      <family val="2"/>
      <scheme val="minor"/>
    </font>
    <font>
      <b/>
      <sz val="14"/>
      <color theme="9"/>
      <name val="Arial"/>
      <family val="2"/>
    </font>
    <font>
      <b/>
      <u/>
      <sz val="10"/>
      <name val="Arial"/>
      <family val="2"/>
    </font>
    <font>
      <b/>
      <sz val="10"/>
      <color indexed="12"/>
      <name val="Arial"/>
      <family val="2"/>
    </font>
    <font>
      <b/>
      <sz val="10"/>
      <color rgb="FFFF0000"/>
      <name val="Arial"/>
      <family val="2"/>
    </font>
    <font>
      <b/>
      <sz val="11"/>
      <color rgb="FF00B05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u/>
      <sz val="11"/>
      <name val="Arial"/>
      <family val="2"/>
    </font>
    <font>
      <b/>
      <i/>
      <sz val="14"/>
      <name val="Times New Roman"/>
      <family val="1"/>
    </font>
    <font>
      <b/>
      <i/>
      <sz val="12"/>
      <color rgb="FF000080"/>
      <name val="Yu Mincho Demibold"/>
      <family val="1"/>
      <charset val="128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165" fontId="1" fillId="0" borderId="0" applyFont="0" applyFill="0" applyBorder="0" applyAlignment="0" applyProtection="0"/>
  </cellStyleXfs>
  <cellXfs count="64">
    <xf numFmtId="0" fontId="0" fillId="0" borderId="0" xfId="0"/>
    <xf numFmtId="0" fontId="2" fillId="0" borderId="0" xfId="1" applyFont="1"/>
    <xf numFmtId="0" fontId="1" fillId="0" borderId="0" xfId="1"/>
    <xf numFmtId="0" fontId="3" fillId="0" borderId="0" xfId="1" applyFont="1"/>
    <xf numFmtId="9" fontId="1" fillId="0" borderId="0" xfId="1" applyNumberFormat="1"/>
    <xf numFmtId="10" fontId="1" fillId="0" borderId="0" xfId="1" applyNumberFormat="1"/>
    <xf numFmtId="167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165" fontId="1" fillId="0" borderId="0" xfId="1" applyNumberFormat="1"/>
    <xf numFmtId="7" fontId="1" fillId="0" borderId="0" xfId="1" applyNumberFormat="1" applyAlignment="1">
      <alignment horizontal="center"/>
    </xf>
    <xf numFmtId="0" fontId="3" fillId="0" borderId="0" xfId="1" applyFont="1" applyAlignment="1">
      <alignment horizontal="center"/>
    </xf>
    <xf numFmtId="166" fontId="1" fillId="0" borderId="0" xfId="1" applyNumberFormat="1" applyAlignment="1">
      <alignment horizontal="center"/>
    </xf>
    <xf numFmtId="1" fontId="3" fillId="0" borderId="0" xfId="1" applyNumberFormat="1" applyFont="1" applyAlignment="1">
      <alignment horizontal="center"/>
    </xf>
    <xf numFmtId="7" fontId="1" fillId="3" borderId="0" xfId="1" applyNumberFormat="1" applyFill="1" applyAlignment="1">
      <alignment horizontal="center"/>
    </xf>
    <xf numFmtId="168" fontId="1" fillId="0" borderId="0" xfId="1" applyNumberFormat="1" applyAlignment="1">
      <alignment horizontal="center"/>
    </xf>
    <xf numFmtId="169" fontId="1" fillId="0" borderId="0" xfId="1" applyNumberFormat="1" applyAlignment="1">
      <alignment horizontal="center"/>
    </xf>
    <xf numFmtId="164" fontId="1" fillId="0" borderId="0" xfId="1" applyNumberFormat="1" applyAlignment="1">
      <alignment horizontal="center"/>
    </xf>
    <xf numFmtId="10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2" fontId="1" fillId="0" borderId="0" xfId="1" applyNumberFormat="1" applyAlignment="1">
      <alignment horizontal="center"/>
    </xf>
    <xf numFmtId="170" fontId="1" fillId="0" borderId="0" xfId="1" applyNumberFormat="1" applyAlignment="1">
      <alignment horizontal="center"/>
    </xf>
    <xf numFmtId="0" fontId="3" fillId="0" borderId="0" xfId="1" applyFont="1" applyAlignment="1">
      <alignment horizontal="center" wrapText="1"/>
    </xf>
    <xf numFmtId="167" fontId="8" fillId="0" borderId="0" xfId="0" applyNumberFormat="1" applyFont="1" applyAlignment="1">
      <alignment horizontal="center"/>
    </xf>
    <xf numFmtId="167" fontId="9" fillId="0" borderId="0" xfId="0" applyNumberFormat="1" applyFont="1" applyAlignment="1">
      <alignment horizontal="center"/>
    </xf>
    <xf numFmtId="170" fontId="10" fillId="0" borderId="0" xfId="0" applyNumberFormat="1" applyFont="1" applyAlignment="1">
      <alignment horizontal="center"/>
    </xf>
    <xf numFmtId="170" fontId="11" fillId="0" borderId="0" xfId="0" applyNumberFormat="1" applyFont="1" applyAlignment="1">
      <alignment horizontal="center"/>
    </xf>
    <xf numFmtId="167" fontId="8" fillId="3" borderId="0" xfId="0" applyNumberFormat="1" applyFont="1" applyFill="1" applyAlignment="1">
      <alignment horizontal="center"/>
    </xf>
    <xf numFmtId="170" fontId="10" fillId="3" borderId="0" xfId="0" applyNumberFormat="1" applyFont="1" applyFill="1" applyAlignment="1">
      <alignment horizontal="center"/>
    </xf>
    <xf numFmtId="170" fontId="11" fillId="3" borderId="0" xfId="0" applyNumberFormat="1" applyFont="1" applyFill="1" applyAlignment="1">
      <alignment horizontal="center"/>
    </xf>
    <xf numFmtId="0" fontId="12" fillId="0" borderId="0" xfId="1" applyFont="1"/>
    <xf numFmtId="168" fontId="1" fillId="0" borderId="0" xfId="1" applyNumberFormat="1"/>
    <xf numFmtId="172" fontId="1" fillId="0" borderId="0" xfId="1" applyNumberFormat="1"/>
    <xf numFmtId="7" fontId="1" fillId="0" borderId="0" xfId="1" applyNumberFormat="1"/>
    <xf numFmtId="167" fontId="1" fillId="0" borderId="0" xfId="1" applyNumberFormat="1"/>
    <xf numFmtId="171" fontId="1" fillId="0" borderId="0" xfId="1" applyNumberFormat="1"/>
    <xf numFmtId="0" fontId="13" fillId="5" borderId="7" xfId="1" applyFont="1" applyFill="1" applyBorder="1" applyAlignment="1">
      <alignment horizontal="center" vertical="center" wrapText="1"/>
    </xf>
    <xf numFmtId="0" fontId="13" fillId="5" borderId="8" xfId="1" applyFont="1" applyFill="1" applyBorder="1" applyAlignment="1">
      <alignment horizontal="center" vertical="center" wrapText="1"/>
    </xf>
    <xf numFmtId="0" fontId="13" fillId="5" borderId="9" xfId="1" applyFont="1" applyFill="1" applyBorder="1" applyAlignment="1">
      <alignment horizontal="center" vertical="center" wrapText="1"/>
    </xf>
    <xf numFmtId="0" fontId="13" fillId="5" borderId="10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center" vertical="center" wrapText="1"/>
    </xf>
    <xf numFmtId="0" fontId="13" fillId="5" borderId="11" xfId="1" applyFont="1" applyFill="1" applyBorder="1" applyAlignment="1">
      <alignment horizontal="center" vertical="center" wrapText="1"/>
    </xf>
    <xf numFmtId="0" fontId="13" fillId="5" borderId="12" xfId="1" applyFont="1" applyFill="1" applyBorder="1" applyAlignment="1">
      <alignment horizontal="center" vertical="center" wrapText="1"/>
    </xf>
    <xf numFmtId="0" fontId="13" fillId="5" borderId="13" xfId="1" applyFont="1" applyFill="1" applyBorder="1" applyAlignment="1">
      <alignment horizontal="center" vertical="center" wrapText="1"/>
    </xf>
    <xf numFmtId="0" fontId="13" fillId="5" borderId="14" xfId="1" applyFont="1" applyFill="1" applyBorder="1" applyAlignment="1">
      <alignment horizontal="center" vertical="center" wrapText="1"/>
    </xf>
    <xf numFmtId="0" fontId="7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wrapText="1"/>
    </xf>
    <xf numFmtId="0" fontId="3" fillId="0" borderId="2" xfId="1" applyFont="1" applyBorder="1" applyAlignment="1">
      <alignment horizontal="center" wrapText="1"/>
    </xf>
    <xf numFmtId="169" fontId="4" fillId="4" borderId="3" xfId="1" applyNumberFormat="1" applyFont="1" applyFill="1" applyBorder="1" applyAlignment="1">
      <alignment horizontal="center" vertical="center" wrapText="1"/>
    </xf>
    <xf numFmtId="169" fontId="4" fillId="4" borderId="4" xfId="1" applyNumberFormat="1" applyFont="1" applyFill="1" applyBorder="1" applyAlignment="1">
      <alignment horizontal="center" vertical="center" wrapText="1"/>
    </xf>
    <xf numFmtId="169" fontId="4" fillId="4" borderId="5" xfId="1" applyNumberFormat="1" applyFont="1" applyFill="1" applyBorder="1" applyAlignment="1">
      <alignment horizontal="center" vertical="center" wrapText="1"/>
    </xf>
    <xf numFmtId="169" fontId="4" fillId="4" borderId="6" xfId="1" applyNumberFormat="1" applyFont="1" applyFill="1" applyBorder="1" applyAlignment="1">
      <alignment horizontal="center" vertical="center" wrapText="1"/>
    </xf>
    <xf numFmtId="169" fontId="6" fillId="2" borderId="3" xfId="1" applyNumberFormat="1" applyFont="1" applyFill="1" applyBorder="1" applyAlignment="1">
      <alignment horizontal="center" vertical="center" wrapText="1"/>
    </xf>
    <xf numFmtId="169" fontId="6" fillId="2" borderId="4" xfId="1" applyNumberFormat="1" applyFont="1" applyFill="1" applyBorder="1" applyAlignment="1">
      <alignment horizontal="center" vertical="center" wrapText="1"/>
    </xf>
    <xf numFmtId="169" fontId="6" fillId="2" borderId="5" xfId="1" applyNumberFormat="1" applyFont="1" applyFill="1" applyBorder="1" applyAlignment="1">
      <alignment horizontal="center" vertical="center" wrapText="1"/>
    </xf>
    <xf numFmtId="169" fontId="6" fillId="2" borderId="6" xfId="1" applyNumberFormat="1" applyFont="1" applyFill="1" applyBorder="1" applyAlignment="1">
      <alignment horizontal="center" vertical="center" wrapText="1"/>
    </xf>
    <xf numFmtId="0" fontId="7" fillId="0" borderId="0" xfId="1" applyFont="1" applyAlignment="1">
      <alignment horizontal="center"/>
    </xf>
    <xf numFmtId="168" fontId="4" fillId="4" borderId="3" xfId="1" applyNumberFormat="1" applyFont="1" applyFill="1" applyBorder="1" applyAlignment="1">
      <alignment horizontal="center" vertical="center" wrapText="1"/>
    </xf>
    <xf numFmtId="168" fontId="4" fillId="4" borderId="4" xfId="1" applyNumberFormat="1" applyFont="1" applyFill="1" applyBorder="1" applyAlignment="1">
      <alignment horizontal="center" vertical="center" wrapText="1"/>
    </xf>
    <xf numFmtId="168" fontId="4" fillId="4" borderId="5" xfId="1" applyNumberFormat="1" applyFont="1" applyFill="1" applyBorder="1" applyAlignment="1">
      <alignment horizontal="center" vertical="center" wrapText="1"/>
    </xf>
    <xf numFmtId="168" fontId="4" fillId="4" borderId="6" xfId="1" applyNumberFormat="1" applyFont="1" applyFill="1" applyBorder="1" applyAlignment="1">
      <alignment horizontal="center" vertical="center" wrapText="1"/>
    </xf>
    <xf numFmtId="168" fontId="6" fillId="2" borderId="3" xfId="1" applyNumberFormat="1" applyFont="1" applyFill="1" applyBorder="1" applyAlignment="1">
      <alignment horizontal="center" vertical="center" wrapText="1"/>
    </xf>
    <xf numFmtId="168" fontId="6" fillId="2" borderId="4" xfId="1" applyNumberFormat="1" applyFont="1" applyFill="1" applyBorder="1" applyAlignment="1">
      <alignment horizontal="center" vertical="center" wrapText="1"/>
    </xf>
    <xf numFmtId="168" fontId="6" fillId="2" borderId="5" xfId="1" applyNumberFormat="1" applyFont="1" applyFill="1" applyBorder="1" applyAlignment="1">
      <alignment horizontal="center" vertical="center" wrapText="1"/>
    </xf>
    <xf numFmtId="168" fontId="6" fillId="2" borderId="6" xfId="1" applyNumberFormat="1" applyFont="1" applyFill="1" applyBorder="1" applyAlignment="1">
      <alignment horizontal="center" vertical="center" wrapText="1"/>
    </xf>
  </cellXfs>
  <cellStyles count="3">
    <cellStyle name="Moneda 2" xfId="2" xr:uid="{00000000-0005-0000-0000-000000000000}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</xdr:colOff>
      <xdr:row>22</xdr:row>
      <xdr:rowOff>152400</xdr:rowOff>
    </xdr:from>
    <xdr:to>
      <xdr:col>19</xdr:col>
      <xdr:colOff>701040</xdr:colOff>
      <xdr:row>24</xdr:row>
      <xdr:rowOff>76200</xdr:rowOff>
    </xdr:to>
    <xdr:sp macro="" textlink="">
      <xdr:nvSpPr>
        <xdr:cNvPr id="2" name="Cerrar llav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10820400" y="175260"/>
          <a:ext cx="259080" cy="722376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25400</xdr:colOff>
      <xdr:row>38</xdr:row>
      <xdr:rowOff>143933</xdr:rowOff>
    </xdr:from>
    <xdr:to>
      <xdr:col>19</xdr:col>
      <xdr:colOff>665480</xdr:colOff>
      <xdr:row>40</xdr:row>
      <xdr:rowOff>67732</xdr:rowOff>
    </xdr:to>
    <xdr:sp macro="" textlink="">
      <xdr:nvSpPr>
        <xdr:cNvPr id="3" name="Cerrar llav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5400000">
          <a:off x="10755207" y="2926926"/>
          <a:ext cx="262466" cy="719328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25400</xdr:colOff>
      <xdr:row>53</xdr:row>
      <xdr:rowOff>143933</xdr:rowOff>
    </xdr:from>
    <xdr:to>
      <xdr:col>19</xdr:col>
      <xdr:colOff>665480</xdr:colOff>
      <xdr:row>55</xdr:row>
      <xdr:rowOff>67732</xdr:rowOff>
    </xdr:to>
    <xdr:sp macro="" textlink="">
      <xdr:nvSpPr>
        <xdr:cNvPr id="4" name="Cerrar llav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5400000">
          <a:off x="12143740" y="3028526"/>
          <a:ext cx="262466" cy="719328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5</xdr:row>
          <xdr:rowOff>114300</xdr:rowOff>
        </xdr:from>
        <xdr:to>
          <xdr:col>9</xdr:col>
          <xdr:colOff>285750</xdr:colOff>
          <xdr:row>9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80"/>
                  </a:solidFill>
                  <a:latin typeface="Yu Mincho Demibold"/>
                  <a:ea typeface="Yu Mincho Demibold"/>
                </a:rPr>
                <a:t>Generar Valores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3C166-EAF7-4CB2-A756-3CFCAFAF989B}">
  <sheetPr codeName="Hoja3"/>
  <dimension ref="A1:XFB1016"/>
  <sheetViews>
    <sheetView tabSelected="1" zoomScaleNormal="100" workbookViewId="0"/>
  </sheetViews>
  <sheetFormatPr baseColWidth="10" defaultRowHeight="12.75" x14ac:dyDescent="0.2"/>
  <cols>
    <col min="1" max="1" width="22" style="2" customWidth="1"/>
    <col min="2" max="2" width="12.42578125" style="2" bestFit="1" customWidth="1"/>
    <col min="3" max="4" width="12.7109375" style="2" customWidth="1"/>
    <col min="5" max="5" width="2.42578125" style="2" customWidth="1"/>
    <col min="6" max="8" width="12.7109375" style="2" customWidth="1"/>
    <col min="9" max="10" width="10.7109375" style="2" bestFit="1" customWidth="1"/>
    <col min="11" max="11" width="20.42578125" style="2" bestFit="1" customWidth="1"/>
    <col min="12" max="12" width="10.7109375" style="2" customWidth="1"/>
    <col min="13" max="257" width="10.7109375" style="2" bestFit="1" customWidth="1"/>
    <col min="258" max="535" width="11.5703125" style="2"/>
    <col min="536" max="769" width="10.7109375" style="2" bestFit="1" customWidth="1"/>
    <col min="770" max="771" width="11.5703125" style="2"/>
    <col min="772" max="772" width="23.85546875" style="2" bestFit="1" customWidth="1"/>
    <col min="773" max="773" width="12.42578125" style="2" bestFit="1" customWidth="1"/>
    <col min="774" max="1025" width="10.7109375" style="2" bestFit="1" customWidth="1"/>
    <col min="1026" max="1027" width="11.5703125" style="2"/>
    <col min="1028" max="1028" width="23.85546875" style="2" bestFit="1" customWidth="1"/>
    <col min="1029" max="1029" width="12.42578125" style="2" bestFit="1" customWidth="1"/>
    <col min="1030" max="1281" width="10.7109375" style="2" bestFit="1" customWidth="1"/>
    <col min="1282" max="1283" width="11.5703125" style="2"/>
    <col min="1284" max="1284" width="23.85546875" style="2" bestFit="1" customWidth="1"/>
    <col min="1285" max="1285" width="12.42578125" style="2" bestFit="1" customWidth="1"/>
    <col min="1286" max="1537" width="10.7109375" style="2" bestFit="1" customWidth="1"/>
    <col min="1538" max="1539" width="11.5703125" style="2"/>
    <col min="1540" max="1540" width="23.85546875" style="2" bestFit="1" customWidth="1"/>
    <col min="1541" max="1541" width="12.42578125" style="2" bestFit="1" customWidth="1"/>
    <col min="1542" max="1793" width="10.7109375" style="2" bestFit="1" customWidth="1"/>
    <col min="1794" max="1795" width="11.5703125" style="2"/>
    <col min="1796" max="1796" width="23.85546875" style="2" bestFit="1" customWidth="1"/>
    <col min="1797" max="1797" width="12.42578125" style="2" bestFit="1" customWidth="1"/>
    <col min="1798" max="2049" width="10.7109375" style="2" bestFit="1" customWidth="1"/>
    <col min="2050" max="2051" width="11.5703125" style="2"/>
    <col min="2052" max="2052" width="23.85546875" style="2" bestFit="1" customWidth="1"/>
    <col min="2053" max="2053" width="12.42578125" style="2" bestFit="1" customWidth="1"/>
    <col min="2054" max="2305" width="10.7109375" style="2" bestFit="1" customWidth="1"/>
    <col min="2306" max="2307" width="11.5703125" style="2"/>
    <col min="2308" max="2308" width="23.85546875" style="2" bestFit="1" customWidth="1"/>
    <col min="2309" max="2309" width="12.42578125" style="2" bestFit="1" customWidth="1"/>
    <col min="2310" max="2561" width="10.7109375" style="2" bestFit="1" customWidth="1"/>
    <col min="2562" max="2563" width="11.5703125" style="2"/>
    <col min="2564" max="2564" width="23.85546875" style="2" bestFit="1" customWidth="1"/>
    <col min="2565" max="2565" width="12.42578125" style="2" bestFit="1" customWidth="1"/>
    <col min="2566" max="2817" width="10.7109375" style="2" bestFit="1" customWidth="1"/>
    <col min="2818" max="2819" width="11.5703125" style="2"/>
    <col min="2820" max="2820" width="23.85546875" style="2" bestFit="1" customWidth="1"/>
    <col min="2821" max="2821" width="12.42578125" style="2" bestFit="1" customWidth="1"/>
    <col min="2822" max="3073" width="10.7109375" style="2" bestFit="1" customWidth="1"/>
    <col min="3074" max="3075" width="11.5703125" style="2"/>
    <col min="3076" max="3076" width="23.85546875" style="2" bestFit="1" customWidth="1"/>
    <col min="3077" max="3077" width="12.42578125" style="2" bestFit="1" customWidth="1"/>
    <col min="3078" max="3329" width="10.7109375" style="2" bestFit="1" customWidth="1"/>
    <col min="3330" max="3331" width="11.5703125" style="2"/>
    <col min="3332" max="3332" width="23.85546875" style="2" bestFit="1" customWidth="1"/>
    <col min="3333" max="3333" width="12.42578125" style="2" bestFit="1" customWidth="1"/>
    <col min="3334" max="3585" width="10.7109375" style="2" bestFit="1" customWidth="1"/>
    <col min="3586" max="3587" width="11.5703125" style="2"/>
    <col min="3588" max="3588" width="23.85546875" style="2" bestFit="1" customWidth="1"/>
    <col min="3589" max="3589" width="12.42578125" style="2" bestFit="1" customWidth="1"/>
    <col min="3590" max="3841" width="10.7109375" style="2" bestFit="1" customWidth="1"/>
    <col min="3842" max="3843" width="11.5703125" style="2"/>
    <col min="3844" max="3844" width="23.85546875" style="2" bestFit="1" customWidth="1"/>
    <col min="3845" max="3845" width="12.42578125" style="2" bestFit="1" customWidth="1"/>
    <col min="3846" max="4097" width="10.7109375" style="2" bestFit="1" customWidth="1"/>
    <col min="4098" max="4099" width="11.5703125" style="2"/>
    <col min="4100" max="4100" width="23.85546875" style="2" bestFit="1" customWidth="1"/>
    <col min="4101" max="4101" width="12.42578125" style="2" bestFit="1" customWidth="1"/>
    <col min="4102" max="4353" width="10.7109375" style="2" bestFit="1" customWidth="1"/>
    <col min="4354" max="4355" width="11.5703125" style="2"/>
    <col min="4356" max="4356" width="23.85546875" style="2" bestFit="1" customWidth="1"/>
    <col min="4357" max="4357" width="12.42578125" style="2" bestFit="1" customWidth="1"/>
    <col min="4358" max="4609" width="10.7109375" style="2" bestFit="1" customWidth="1"/>
    <col min="4610" max="4611" width="11.5703125" style="2"/>
    <col min="4612" max="4612" width="23.85546875" style="2" bestFit="1" customWidth="1"/>
    <col min="4613" max="4613" width="12.42578125" style="2" bestFit="1" customWidth="1"/>
    <col min="4614" max="4865" width="10.7109375" style="2" bestFit="1" customWidth="1"/>
    <col min="4866" max="4867" width="11.5703125" style="2"/>
    <col min="4868" max="4868" width="23.85546875" style="2" bestFit="1" customWidth="1"/>
    <col min="4869" max="4869" width="12.42578125" style="2" bestFit="1" customWidth="1"/>
    <col min="4870" max="5121" width="10.7109375" style="2" bestFit="1" customWidth="1"/>
    <col min="5122" max="5123" width="11.5703125" style="2"/>
    <col min="5124" max="5124" width="23.85546875" style="2" bestFit="1" customWidth="1"/>
    <col min="5125" max="5125" width="12.42578125" style="2" bestFit="1" customWidth="1"/>
    <col min="5126" max="5377" width="10.7109375" style="2" bestFit="1" customWidth="1"/>
    <col min="5378" max="5379" width="11.5703125" style="2"/>
    <col min="5380" max="5380" width="23.85546875" style="2" bestFit="1" customWidth="1"/>
    <col min="5381" max="5381" width="12.42578125" style="2" bestFit="1" customWidth="1"/>
    <col min="5382" max="5633" width="10.7109375" style="2" bestFit="1" customWidth="1"/>
    <col min="5634" max="5635" width="11.5703125" style="2"/>
    <col min="5636" max="5636" width="23.85546875" style="2" bestFit="1" customWidth="1"/>
    <col min="5637" max="5637" width="12.42578125" style="2" bestFit="1" customWidth="1"/>
    <col min="5638" max="5889" width="10.7109375" style="2" bestFit="1" customWidth="1"/>
    <col min="5890" max="5891" width="11.5703125" style="2"/>
    <col min="5892" max="5892" width="23.85546875" style="2" bestFit="1" customWidth="1"/>
    <col min="5893" max="5893" width="12.42578125" style="2" bestFit="1" customWidth="1"/>
    <col min="5894" max="6145" width="10.7109375" style="2" bestFit="1" customWidth="1"/>
    <col min="6146" max="6147" width="11.5703125" style="2"/>
    <col min="6148" max="6148" width="23.85546875" style="2" bestFit="1" customWidth="1"/>
    <col min="6149" max="6149" width="12.42578125" style="2" bestFit="1" customWidth="1"/>
    <col min="6150" max="6401" width="10.7109375" style="2" bestFit="1" customWidth="1"/>
    <col min="6402" max="6403" width="11.5703125" style="2"/>
    <col min="6404" max="6404" width="23.85546875" style="2" bestFit="1" customWidth="1"/>
    <col min="6405" max="6405" width="12.42578125" style="2" bestFit="1" customWidth="1"/>
    <col min="6406" max="6657" width="10.7109375" style="2" bestFit="1" customWidth="1"/>
    <col min="6658" max="6659" width="11.5703125" style="2"/>
    <col min="6660" max="6660" width="23.85546875" style="2" bestFit="1" customWidth="1"/>
    <col min="6661" max="6661" width="12.42578125" style="2" bestFit="1" customWidth="1"/>
    <col min="6662" max="6913" width="10.7109375" style="2" bestFit="1" customWidth="1"/>
    <col min="6914" max="6915" width="11.5703125" style="2"/>
    <col min="6916" max="6916" width="23.85546875" style="2" bestFit="1" customWidth="1"/>
    <col min="6917" max="6917" width="12.42578125" style="2" bestFit="1" customWidth="1"/>
    <col min="6918" max="7169" width="10.7109375" style="2" bestFit="1" customWidth="1"/>
    <col min="7170" max="7171" width="11.5703125" style="2"/>
    <col min="7172" max="7172" width="23.85546875" style="2" bestFit="1" customWidth="1"/>
    <col min="7173" max="7173" width="12.42578125" style="2" bestFit="1" customWidth="1"/>
    <col min="7174" max="7425" width="10.7109375" style="2" bestFit="1" customWidth="1"/>
    <col min="7426" max="7427" width="11.5703125" style="2"/>
    <col min="7428" max="7428" width="23.85546875" style="2" bestFit="1" customWidth="1"/>
    <col min="7429" max="7429" width="12.42578125" style="2" bestFit="1" customWidth="1"/>
    <col min="7430" max="7681" width="10.7109375" style="2" bestFit="1" customWidth="1"/>
    <col min="7682" max="7683" width="11.5703125" style="2"/>
    <col min="7684" max="7684" width="23.85546875" style="2" bestFit="1" customWidth="1"/>
    <col min="7685" max="7685" width="12.42578125" style="2" bestFit="1" customWidth="1"/>
    <col min="7686" max="7937" width="10.7109375" style="2" bestFit="1" customWidth="1"/>
    <col min="7938" max="7939" width="11.5703125" style="2"/>
    <col min="7940" max="7940" width="23.85546875" style="2" bestFit="1" customWidth="1"/>
    <col min="7941" max="7941" width="12.42578125" style="2" bestFit="1" customWidth="1"/>
    <col min="7942" max="8193" width="10.7109375" style="2" bestFit="1" customWidth="1"/>
    <col min="8194" max="8195" width="11.5703125" style="2"/>
    <col min="8196" max="8196" width="23.85546875" style="2" bestFit="1" customWidth="1"/>
    <col min="8197" max="8197" width="12.42578125" style="2" bestFit="1" customWidth="1"/>
    <col min="8198" max="8449" width="10.7109375" style="2" bestFit="1" customWidth="1"/>
    <col min="8450" max="8451" width="11.5703125" style="2"/>
    <col min="8452" max="8452" width="23.85546875" style="2" bestFit="1" customWidth="1"/>
    <col min="8453" max="8453" width="12.42578125" style="2" bestFit="1" customWidth="1"/>
    <col min="8454" max="8705" width="10.7109375" style="2" bestFit="1" customWidth="1"/>
    <col min="8706" max="8707" width="11.5703125" style="2"/>
    <col min="8708" max="8708" width="23.85546875" style="2" bestFit="1" customWidth="1"/>
    <col min="8709" max="8709" width="12.42578125" style="2" bestFit="1" customWidth="1"/>
    <col min="8710" max="8961" width="10.7109375" style="2" bestFit="1" customWidth="1"/>
    <col min="8962" max="8963" width="11.5703125" style="2"/>
    <col min="8964" max="8964" width="23.85546875" style="2" bestFit="1" customWidth="1"/>
    <col min="8965" max="8965" width="12.42578125" style="2" bestFit="1" customWidth="1"/>
    <col min="8966" max="9217" width="10.7109375" style="2" bestFit="1" customWidth="1"/>
    <col min="9218" max="9219" width="11.5703125" style="2"/>
    <col min="9220" max="9220" width="23.85546875" style="2" bestFit="1" customWidth="1"/>
    <col min="9221" max="9221" width="12.42578125" style="2" bestFit="1" customWidth="1"/>
    <col min="9222" max="9473" width="10.7109375" style="2" bestFit="1" customWidth="1"/>
    <col min="9474" max="9475" width="11.5703125" style="2"/>
    <col min="9476" max="9476" width="23.85546875" style="2" bestFit="1" customWidth="1"/>
    <col min="9477" max="9477" width="12.42578125" style="2" bestFit="1" customWidth="1"/>
    <col min="9478" max="9729" width="10.7109375" style="2" bestFit="1" customWidth="1"/>
    <col min="9730" max="9731" width="11.5703125" style="2"/>
    <col min="9732" max="9732" width="23.85546875" style="2" bestFit="1" customWidth="1"/>
    <col min="9733" max="9733" width="12.42578125" style="2" bestFit="1" customWidth="1"/>
    <col min="9734" max="9985" width="10.7109375" style="2" bestFit="1" customWidth="1"/>
    <col min="9986" max="9987" width="11.5703125" style="2"/>
    <col min="9988" max="9988" width="23.85546875" style="2" bestFit="1" customWidth="1"/>
    <col min="9989" max="9989" width="12.42578125" style="2" bestFit="1" customWidth="1"/>
    <col min="9990" max="10241" width="10.7109375" style="2" bestFit="1" customWidth="1"/>
    <col min="10242" max="10243" width="11.5703125" style="2"/>
    <col min="10244" max="10244" width="23.85546875" style="2" bestFit="1" customWidth="1"/>
    <col min="10245" max="10245" width="12.42578125" style="2" bestFit="1" customWidth="1"/>
    <col min="10246" max="10497" width="10.7109375" style="2" bestFit="1" customWidth="1"/>
    <col min="10498" max="10499" width="11.5703125" style="2"/>
    <col min="10500" max="10500" width="23.85546875" style="2" bestFit="1" customWidth="1"/>
    <col min="10501" max="10501" width="12.42578125" style="2" bestFit="1" customWidth="1"/>
    <col min="10502" max="10753" width="10.7109375" style="2" bestFit="1" customWidth="1"/>
    <col min="10754" max="10755" width="11.5703125" style="2"/>
    <col min="10756" max="10756" width="23.85546875" style="2" bestFit="1" customWidth="1"/>
    <col min="10757" max="10757" width="12.42578125" style="2" bestFit="1" customWidth="1"/>
    <col min="10758" max="11009" width="10.7109375" style="2" bestFit="1" customWidth="1"/>
    <col min="11010" max="11011" width="11.5703125" style="2"/>
    <col min="11012" max="11012" width="23.85546875" style="2" bestFit="1" customWidth="1"/>
    <col min="11013" max="11013" width="12.42578125" style="2" bestFit="1" customWidth="1"/>
    <col min="11014" max="11265" width="10.7109375" style="2" bestFit="1" customWidth="1"/>
    <col min="11266" max="11267" width="11.5703125" style="2"/>
    <col min="11268" max="11268" width="23.85546875" style="2" bestFit="1" customWidth="1"/>
    <col min="11269" max="11269" width="12.42578125" style="2" bestFit="1" customWidth="1"/>
    <col min="11270" max="11521" width="10.7109375" style="2" bestFit="1" customWidth="1"/>
    <col min="11522" max="11523" width="11.5703125" style="2"/>
    <col min="11524" max="11524" width="23.85546875" style="2" bestFit="1" customWidth="1"/>
    <col min="11525" max="11525" width="12.42578125" style="2" bestFit="1" customWidth="1"/>
    <col min="11526" max="11777" width="10.7109375" style="2" bestFit="1" customWidth="1"/>
    <col min="11778" max="11779" width="11.5703125" style="2"/>
    <col min="11780" max="11780" width="23.85546875" style="2" bestFit="1" customWidth="1"/>
    <col min="11781" max="11781" width="12.42578125" style="2" bestFit="1" customWidth="1"/>
    <col min="11782" max="12033" width="10.7109375" style="2" bestFit="1" customWidth="1"/>
    <col min="12034" max="12035" width="11.5703125" style="2"/>
    <col min="12036" max="12036" width="23.85546875" style="2" bestFit="1" customWidth="1"/>
    <col min="12037" max="12037" width="12.42578125" style="2" bestFit="1" customWidth="1"/>
    <col min="12038" max="12289" width="10.7109375" style="2" bestFit="1" customWidth="1"/>
    <col min="12290" max="12291" width="11.5703125" style="2"/>
    <col min="12292" max="12292" width="23.85546875" style="2" bestFit="1" customWidth="1"/>
    <col min="12293" max="12293" width="12.42578125" style="2" bestFit="1" customWidth="1"/>
    <col min="12294" max="12545" width="10.7109375" style="2" bestFit="1" customWidth="1"/>
    <col min="12546" max="12547" width="11.5703125" style="2"/>
    <col min="12548" max="12548" width="23.85546875" style="2" bestFit="1" customWidth="1"/>
    <col min="12549" max="12549" width="12.42578125" style="2" bestFit="1" customWidth="1"/>
    <col min="12550" max="12801" width="10.7109375" style="2" bestFit="1" customWidth="1"/>
    <col min="12802" max="12803" width="11.5703125" style="2"/>
    <col min="12804" max="12804" width="23.85546875" style="2" bestFit="1" customWidth="1"/>
    <col min="12805" max="12805" width="12.42578125" style="2" bestFit="1" customWidth="1"/>
    <col min="12806" max="13057" width="10.7109375" style="2" bestFit="1" customWidth="1"/>
    <col min="13058" max="13059" width="11.5703125" style="2"/>
    <col min="13060" max="13060" width="23.85546875" style="2" bestFit="1" customWidth="1"/>
    <col min="13061" max="13061" width="12.42578125" style="2" bestFit="1" customWidth="1"/>
    <col min="13062" max="13313" width="10.7109375" style="2" bestFit="1" customWidth="1"/>
    <col min="13314" max="13315" width="11.5703125" style="2"/>
    <col min="13316" max="13316" width="23.85546875" style="2" bestFit="1" customWidth="1"/>
    <col min="13317" max="13317" width="12.42578125" style="2" bestFit="1" customWidth="1"/>
    <col min="13318" max="13569" width="10.7109375" style="2" bestFit="1" customWidth="1"/>
    <col min="13570" max="13571" width="11.5703125" style="2"/>
    <col min="13572" max="13572" width="23.85546875" style="2" bestFit="1" customWidth="1"/>
    <col min="13573" max="13573" width="12.42578125" style="2" bestFit="1" customWidth="1"/>
    <col min="13574" max="13825" width="10.7109375" style="2" bestFit="1" customWidth="1"/>
    <col min="13826" max="13827" width="11.5703125" style="2"/>
    <col min="13828" max="13828" width="23.85546875" style="2" bestFit="1" customWidth="1"/>
    <col min="13829" max="13829" width="12.42578125" style="2" bestFit="1" customWidth="1"/>
    <col min="13830" max="14081" width="10.7109375" style="2" bestFit="1" customWidth="1"/>
    <col min="14082" max="14083" width="11.5703125" style="2"/>
    <col min="14084" max="14084" width="23.85546875" style="2" bestFit="1" customWidth="1"/>
    <col min="14085" max="14085" width="12.42578125" style="2" bestFit="1" customWidth="1"/>
    <col min="14086" max="14337" width="10.7109375" style="2" bestFit="1" customWidth="1"/>
    <col min="14338" max="14339" width="11.5703125" style="2"/>
    <col min="14340" max="14340" width="23.85546875" style="2" bestFit="1" customWidth="1"/>
    <col min="14341" max="14341" width="12.42578125" style="2" bestFit="1" customWidth="1"/>
    <col min="14342" max="14593" width="10.7109375" style="2" bestFit="1" customWidth="1"/>
    <col min="14594" max="14595" width="11.5703125" style="2"/>
    <col min="14596" max="14596" width="23.85546875" style="2" bestFit="1" customWidth="1"/>
    <col min="14597" max="14597" width="12.42578125" style="2" bestFit="1" customWidth="1"/>
    <col min="14598" max="14849" width="10.7109375" style="2" bestFit="1" customWidth="1"/>
    <col min="14850" max="14851" width="11.5703125" style="2"/>
    <col min="14852" max="14852" width="23.85546875" style="2" bestFit="1" customWidth="1"/>
    <col min="14853" max="14853" width="12.42578125" style="2" bestFit="1" customWidth="1"/>
    <col min="14854" max="15105" width="10.7109375" style="2" bestFit="1" customWidth="1"/>
    <col min="15106" max="15107" width="11.5703125" style="2"/>
    <col min="15108" max="15108" width="23.85546875" style="2" bestFit="1" customWidth="1"/>
    <col min="15109" max="15109" width="12.42578125" style="2" bestFit="1" customWidth="1"/>
    <col min="15110" max="15361" width="10.7109375" style="2" bestFit="1" customWidth="1"/>
    <col min="15362" max="15363" width="11.5703125" style="2"/>
    <col min="15364" max="15364" width="23.85546875" style="2" bestFit="1" customWidth="1"/>
    <col min="15365" max="15365" width="12.42578125" style="2" bestFit="1" customWidth="1"/>
    <col min="15366" max="15617" width="10.7109375" style="2" bestFit="1" customWidth="1"/>
    <col min="15618" max="15619" width="11.5703125" style="2"/>
    <col min="15620" max="15620" width="23.85546875" style="2" bestFit="1" customWidth="1"/>
    <col min="15621" max="15621" width="12.42578125" style="2" bestFit="1" customWidth="1"/>
    <col min="15622" max="15873" width="10.7109375" style="2" bestFit="1" customWidth="1"/>
    <col min="15874" max="15875" width="11.5703125" style="2"/>
    <col min="15876" max="15876" width="23.85546875" style="2" bestFit="1" customWidth="1"/>
    <col min="15877" max="15877" width="12.42578125" style="2" bestFit="1" customWidth="1"/>
    <col min="15878" max="16129" width="10.7109375" style="2" bestFit="1" customWidth="1"/>
    <col min="16130" max="16131" width="11.5703125" style="2"/>
    <col min="16132" max="16132" width="23.85546875" style="2" bestFit="1" customWidth="1"/>
    <col min="16133" max="16133" width="12.42578125" style="2" bestFit="1" customWidth="1"/>
    <col min="16134" max="16384" width="10.7109375" style="2" bestFit="1" customWidth="1"/>
  </cols>
  <sheetData>
    <row r="1" spans="1:26 16382:16382" ht="24" thickBot="1" x14ac:dyDescent="0.4">
      <c r="A1" s="1" t="s">
        <v>52</v>
      </c>
      <c r="B1" s="1"/>
      <c r="N1" s="44" t="s">
        <v>51</v>
      </c>
      <c r="O1" s="44"/>
      <c r="P1" s="44"/>
      <c r="Q1" s="44"/>
      <c r="R1" s="44"/>
    </row>
    <row r="2" spans="1:26 16382:16382" ht="13.15" customHeight="1" x14ac:dyDescent="0.2">
      <c r="K2" s="10"/>
      <c r="T2" s="35" t="s">
        <v>66</v>
      </c>
      <c r="U2" s="36"/>
      <c r="V2" s="37"/>
      <c r="X2" s="9"/>
      <c r="Y2" s="15"/>
      <c r="Z2" s="14"/>
    </row>
    <row r="3" spans="1:26 16382:16382" ht="13.15" customHeight="1" x14ac:dyDescent="0.2">
      <c r="A3" s="3" t="s">
        <v>1</v>
      </c>
      <c r="B3" s="19">
        <v>17.5</v>
      </c>
      <c r="N3" s="45" t="s">
        <v>45</v>
      </c>
      <c r="O3" s="46"/>
      <c r="Q3" s="45" t="s">
        <v>46</v>
      </c>
      <c r="R3" s="46"/>
      <c r="T3" s="38"/>
      <c r="U3" s="39"/>
      <c r="V3" s="40"/>
      <c r="X3" s="9"/>
      <c r="Y3" s="15"/>
      <c r="Z3" s="14"/>
    </row>
    <row r="4" spans="1:26 16382:16382" ht="14.45" customHeight="1" thickBot="1" x14ac:dyDescent="0.25">
      <c r="A4" s="3" t="s">
        <v>2</v>
      </c>
      <c r="B4" s="19">
        <v>19.5</v>
      </c>
      <c r="C4" s="44" t="s">
        <v>47</v>
      </c>
      <c r="D4" s="44"/>
      <c r="E4" s="44"/>
      <c r="F4" s="44"/>
      <c r="G4" s="44"/>
      <c r="H4" s="21"/>
      <c r="K4" s="22" t="s">
        <v>36</v>
      </c>
      <c r="L4" s="26">
        <f>EXP(B8*SQRT(B11))</f>
        <v>1.020362651943161</v>
      </c>
      <c r="N4" s="47">
        <f>+K39</f>
        <v>2.3932613612116297E-2</v>
      </c>
      <c r="O4" s="48"/>
      <c r="Q4" s="51">
        <f>+K54</f>
        <v>1.9648275378792461</v>
      </c>
      <c r="R4" s="52"/>
      <c r="T4" s="41"/>
      <c r="U4" s="42"/>
      <c r="V4" s="43"/>
      <c r="XFB4" s="2" t="s">
        <v>22</v>
      </c>
    </row>
    <row r="5" spans="1:26 16382:16382" ht="13.15" customHeight="1" x14ac:dyDescent="0.2">
      <c r="H5" s="21"/>
      <c r="K5" s="23" t="s">
        <v>37</v>
      </c>
      <c r="L5" s="26">
        <f>EXP(-B8*SQRT(B11))</f>
        <v>0.98004371102334775</v>
      </c>
      <c r="N5" s="49"/>
      <c r="O5" s="50"/>
      <c r="Q5" s="53"/>
      <c r="R5" s="54"/>
      <c r="XFB5" s="2" t="s">
        <v>21</v>
      </c>
    </row>
    <row r="6" spans="1:26 16382:16382" ht="13.15" customHeight="1" x14ac:dyDescent="0.2">
      <c r="A6" s="3" t="s">
        <v>40</v>
      </c>
      <c r="B6" s="16">
        <v>0.09</v>
      </c>
      <c r="C6" s="45" t="s">
        <v>45</v>
      </c>
      <c r="D6" s="46"/>
      <c r="F6" s="45" t="s">
        <v>46</v>
      </c>
      <c r="G6" s="46"/>
      <c r="H6" s="21"/>
      <c r="K6" s="4"/>
      <c r="L6" s="33"/>
      <c r="M6" s="33"/>
    </row>
    <row r="7" spans="1:26 16382:16382" ht="14.45" customHeight="1" x14ac:dyDescent="0.25">
      <c r="A7" s="3" t="s">
        <v>41</v>
      </c>
      <c r="B7" s="16">
        <v>1.4999999999999999E-2</v>
      </c>
      <c r="C7" s="47">
        <v>2.3932613612115936E-2</v>
      </c>
      <c r="D7" s="48"/>
      <c r="F7" s="51">
        <v>1.9648275378792486</v>
      </c>
      <c r="G7" s="52"/>
      <c r="H7" s="5"/>
      <c r="K7" s="24" t="s">
        <v>23</v>
      </c>
      <c r="L7" s="27">
        <f>(EXP((B6-B7)*B11)-L5)/(L4-L5)</f>
        <v>0.50234336158519965</v>
      </c>
      <c r="O7" s="55" t="s">
        <v>48</v>
      </c>
      <c r="P7" s="55"/>
      <c r="Q7" s="55"/>
    </row>
    <row r="8" spans="1:26 16382:16382" ht="14.45" customHeight="1" x14ac:dyDescent="0.25">
      <c r="A8" s="3" t="s">
        <v>0</v>
      </c>
      <c r="B8" s="17">
        <v>0.32</v>
      </c>
      <c r="C8" s="49"/>
      <c r="D8" s="50"/>
      <c r="F8" s="53"/>
      <c r="G8" s="54"/>
      <c r="H8" s="5"/>
      <c r="K8" s="25" t="s">
        <v>24</v>
      </c>
      <c r="L8" s="28">
        <f>1-L7</f>
        <v>0.49765663841480035</v>
      </c>
    </row>
    <row r="9" spans="1:26 16382:16382" x14ac:dyDescent="0.2">
      <c r="J9" s="4"/>
      <c r="N9" s="56">
        <f>+N4+B4*EXP(-B6*B11*B10)</f>
        <v>19.454413970795962</v>
      </c>
      <c r="O9" s="57"/>
      <c r="Q9" s="60">
        <f>+Q4+B3*EXP(-B7*B11*B10)</f>
        <v>19.454413970795965</v>
      </c>
      <c r="R9" s="61"/>
    </row>
    <row r="10" spans="1:26 16382:16382" ht="13.15" customHeight="1" x14ac:dyDescent="0.2">
      <c r="A10" s="3" t="s">
        <v>39</v>
      </c>
      <c r="B10" s="18">
        <v>10</v>
      </c>
      <c r="D10" s="55" t="s">
        <v>48</v>
      </c>
      <c r="E10" s="55"/>
      <c r="F10" s="55"/>
      <c r="N10" s="58"/>
      <c r="O10" s="59"/>
      <c r="Q10" s="62"/>
      <c r="R10" s="63"/>
    </row>
    <row r="11" spans="1:26 16382:16382" ht="14.45" customHeight="1" x14ac:dyDescent="0.25">
      <c r="A11" s="3" t="s">
        <v>3</v>
      </c>
      <c r="B11" s="20">
        <v>3.968253968253968E-3</v>
      </c>
      <c r="K11" s="29" t="s">
        <v>53</v>
      </c>
    </row>
    <row r="12" spans="1:26 16382:16382" ht="14.45" customHeight="1" x14ac:dyDescent="0.2">
      <c r="C12" s="56">
        <f>+C7+B4*EXP(-B6*B11*B10)</f>
        <v>19.454413970795958</v>
      </c>
      <c r="D12" s="57"/>
      <c r="F12" s="60">
        <f>+F7+B3*EXP(-B7*B11*B10)</f>
        <v>19.454413970795969</v>
      </c>
      <c r="G12" s="61"/>
      <c r="J12" s="4"/>
      <c r="K12" s="10" t="s">
        <v>25</v>
      </c>
      <c r="L12" s="10" t="s">
        <v>26</v>
      </c>
      <c r="M12" s="10" t="s">
        <v>27</v>
      </c>
      <c r="N12" s="10" t="s">
        <v>28</v>
      </c>
      <c r="O12" s="10" t="s">
        <v>29</v>
      </c>
      <c r="P12" s="10" t="s">
        <v>30</v>
      </c>
      <c r="Q12" s="10" t="s">
        <v>31</v>
      </c>
      <c r="R12" s="10" t="s">
        <v>32</v>
      </c>
      <c r="S12" s="10" t="s">
        <v>33</v>
      </c>
      <c r="T12" s="10" t="s">
        <v>34</v>
      </c>
      <c r="U12" s="10" t="s">
        <v>35</v>
      </c>
    </row>
    <row r="13" spans="1:26 16382:16382" x14ac:dyDescent="0.2">
      <c r="C13" s="58"/>
      <c r="D13" s="59"/>
      <c r="F13" s="62"/>
      <c r="G13" s="63"/>
      <c r="J13" s="12">
        <v>1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13">
        <f>T14*$L$4</f>
        <v>21.408369275240993</v>
      </c>
    </row>
    <row r="14" spans="1:26 16382:16382" x14ac:dyDescent="0.2">
      <c r="A14" s="3"/>
      <c r="B14" s="3"/>
      <c r="C14" s="6"/>
      <c r="J14" s="12">
        <f>+J13+1</f>
        <v>2</v>
      </c>
      <c r="K14" s="9"/>
      <c r="L14" s="9"/>
      <c r="M14" s="9"/>
      <c r="N14" s="9"/>
      <c r="O14" s="9"/>
      <c r="P14" s="9"/>
      <c r="Q14" s="9"/>
      <c r="R14" s="9"/>
      <c r="S14" s="9"/>
      <c r="T14" s="9">
        <f>S15*$L$4</f>
        <v>20.981137671465401</v>
      </c>
      <c r="U14" s="9">
        <f>T14*$L$5</f>
        <v>20.562432025034713</v>
      </c>
    </row>
    <row r="15" spans="1:26 16382:16382" x14ac:dyDescent="0.2">
      <c r="A15" s="3"/>
      <c r="B15" s="44" t="s">
        <v>50</v>
      </c>
      <c r="C15" s="44"/>
      <c r="D15" s="44"/>
      <c r="F15" s="44" t="s">
        <v>49</v>
      </c>
      <c r="G15" s="44"/>
      <c r="H15" s="44"/>
      <c r="J15" s="12">
        <f t="shared" ref="J15:J23" si="0">+J14+1</f>
        <v>3</v>
      </c>
      <c r="S15" s="9">
        <f>R16*$L$4</f>
        <v>20.562432025034713</v>
      </c>
      <c r="T15" s="9">
        <f>S15*$L$5</f>
        <v>20.152082189480353</v>
      </c>
      <c r="U15" s="9">
        <f>T15*$L$5</f>
        <v>19.749921413825838</v>
      </c>
    </row>
    <row r="16" spans="1:26 16382:16382" x14ac:dyDescent="0.2">
      <c r="A16" s="10" t="s">
        <v>4</v>
      </c>
      <c r="B16" s="3" t="s">
        <v>44</v>
      </c>
      <c r="C16" s="10" t="s">
        <v>42</v>
      </c>
      <c r="D16" s="10" t="s">
        <v>43</v>
      </c>
      <c r="E16" s="10"/>
      <c r="F16" s="10" t="s">
        <v>44</v>
      </c>
      <c r="G16" s="10" t="s">
        <v>42</v>
      </c>
      <c r="H16" s="10" t="s">
        <v>43</v>
      </c>
      <c r="J16" s="12">
        <f t="shared" si="0"/>
        <v>4</v>
      </c>
      <c r="R16" s="9">
        <f>Q17*$L$4</f>
        <v>20.15208218948035</v>
      </c>
      <c r="S16" s="9">
        <f>R16*$L$5</f>
        <v>19.749921413825835</v>
      </c>
      <c r="T16" s="9">
        <f t="shared" ref="T16:U16" si="1">S16*$L$5</f>
        <v>19.355786274825356</v>
      </c>
      <c r="U16" s="9">
        <f t="shared" si="1"/>
        <v>18.969516610554621</v>
      </c>
    </row>
    <row r="17" spans="1:535" x14ac:dyDescent="0.2">
      <c r="A17" s="7" t="s">
        <v>55</v>
      </c>
      <c r="B17" s="15">
        <v>21.408369275240993</v>
      </c>
      <c r="C17" s="15">
        <v>1.9083692752409931</v>
      </c>
      <c r="D17" s="15">
        <v>0</v>
      </c>
      <c r="E17" s="15"/>
      <c r="F17" s="15">
        <f t="shared" ref="F17:F27" si="2">+U13</f>
        <v>21.408369275240993</v>
      </c>
      <c r="G17" s="15">
        <f t="shared" ref="G17:G27" si="3">+U29</f>
        <v>1.9083692752409931</v>
      </c>
      <c r="H17" s="15">
        <f t="shared" ref="H17:H27" si="4">+U44</f>
        <v>0</v>
      </c>
      <c r="J17" s="12">
        <f t="shared" si="0"/>
        <v>5</v>
      </c>
      <c r="K17" s="9"/>
      <c r="L17" s="9"/>
      <c r="M17" s="9"/>
      <c r="N17" s="9"/>
      <c r="O17" s="9"/>
      <c r="P17" s="9"/>
      <c r="Q17" s="9">
        <f>P18*$L$4</f>
        <v>19.749921413825831</v>
      </c>
      <c r="R17" s="9">
        <f>Q17*$L$5</f>
        <v>19.355786274825352</v>
      </c>
      <c r="S17" s="9">
        <f t="shared" ref="S17:U17" si="5">R17*$L$5</f>
        <v>18.969516610554617</v>
      </c>
      <c r="T17" s="9">
        <f t="shared" si="5"/>
        <v>18.590955455326984</v>
      </c>
      <c r="U17" s="9">
        <f t="shared" si="5"/>
        <v>18.219948975908409</v>
      </c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</row>
    <row r="18" spans="1:535" x14ac:dyDescent="0.2">
      <c r="A18" s="7" t="s">
        <v>56</v>
      </c>
      <c r="B18" s="15">
        <v>20.56243202503471</v>
      </c>
      <c r="C18" s="15">
        <v>1.0624320250347097</v>
      </c>
      <c r="D18" s="15">
        <v>0</v>
      </c>
      <c r="E18" s="15"/>
      <c r="F18" s="15">
        <f t="shared" si="2"/>
        <v>20.562432025034713</v>
      </c>
      <c r="G18" s="15">
        <f t="shared" si="3"/>
        <v>1.0624320250347132</v>
      </c>
      <c r="H18" s="15">
        <f t="shared" si="4"/>
        <v>0</v>
      </c>
      <c r="J18" s="12">
        <f t="shared" si="0"/>
        <v>6</v>
      </c>
      <c r="K18" s="9"/>
      <c r="L18" s="9"/>
      <c r="M18" s="9"/>
      <c r="N18" s="9"/>
      <c r="O18" s="9"/>
      <c r="P18" s="9">
        <f>O19*$L$4</f>
        <v>19.355786274825348</v>
      </c>
      <c r="Q18" s="9">
        <f>P18*$L$5</f>
        <v>18.969516610554614</v>
      </c>
      <c r="R18" s="9">
        <f t="shared" ref="R18:U18" si="6">Q18*$L$5</f>
        <v>18.590955455326981</v>
      </c>
      <c r="S18" s="9">
        <f t="shared" si="6"/>
        <v>18.219948975908405</v>
      </c>
      <c r="T18" s="9">
        <f t="shared" si="6"/>
        <v>17.856346409005319</v>
      </c>
      <c r="U18" s="9">
        <f t="shared" si="6"/>
        <v>17.500000000000004</v>
      </c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</row>
    <row r="19" spans="1:535" x14ac:dyDescent="0.2">
      <c r="A19" s="7" t="s">
        <v>57</v>
      </c>
      <c r="B19" s="15">
        <v>19.749921413825831</v>
      </c>
      <c r="C19" s="15">
        <v>0.249921413825831</v>
      </c>
      <c r="D19" s="15">
        <v>0</v>
      </c>
      <c r="E19" s="15"/>
      <c r="F19" s="15">
        <f t="shared" si="2"/>
        <v>19.749921413825838</v>
      </c>
      <c r="G19" s="15">
        <f t="shared" si="3"/>
        <v>0.2499214138258381</v>
      </c>
      <c r="H19" s="15">
        <f t="shared" si="4"/>
        <v>0</v>
      </c>
      <c r="J19" s="12">
        <f t="shared" si="0"/>
        <v>7</v>
      </c>
      <c r="K19" s="9"/>
      <c r="L19" s="9"/>
      <c r="M19" s="9"/>
      <c r="N19" s="9"/>
      <c r="O19" s="9">
        <f>N20*$L$4</f>
        <v>18.969516610554614</v>
      </c>
      <c r="P19" s="9">
        <f>O19*$L$5</f>
        <v>18.590955455326981</v>
      </c>
      <c r="Q19" s="9">
        <f t="shared" ref="Q19:U19" si="7">P19*$L$5</f>
        <v>18.219948975908405</v>
      </c>
      <c r="R19" s="9">
        <f t="shared" si="7"/>
        <v>17.856346409005319</v>
      </c>
      <c r="S19" s="9">
        <f t="shared" si="7"/>
        <v>17.500000000000004</v>
      </c>
      <c r="T19" s="9">
        <f t="shared" si="7"/>
        <v>17.150764942908591</v>
      </c>
      <c r="U19" s="9">
        <f t="shared" si="7"/>
        <v>16.808499321537269</v>
      </c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</row>
    <row r="20" spans="1:535" x14ac:dyDescent="0.2">
      <c r="A20" s="7" t="s">
        <v>58</v>
      </c>
      <c r="B20" s="15">
        <v>18.969516610554617</v>
      </c>
      <c r="C20" s="15">
        <v>0</v>
      </c>
      <c r="D20" s="15">
        <v>0.53048338944538287</v>
      </c>
      <c r="E20" s="15"/>
      <c r="F20" s="15">
        <f t="shared" si="2"/>
        <v>18.969516610554621</v>
      </c>
      <c r="G20" s="15">
        <f t="shared" si="3"/>
        <v>0</v>
      </c>
      <c r="H20" s="15">
        <f t="shared" si="4"/>
        <v>0.53048338944537932</v>
      </c>
      <c r="J20" s="12">
        <f t="shared" si="0"/>
        <v>8</v>
      </c>
      <c r="K20" s="9"/>
      <c r="L20" s="9"/>
      <c r="M20" s="9"/>
      <c r="N20" s="9">
        <f>M21*$L$4</f>
        <v>18.590955455326981</v>
      </c>
      <c r="O20" s="9">
        <f>N20*$L$5</f>
        <v>18.219948975908405</v>
      </c>
      <c r="P20" s="9">
        <f t="shared" ref="P20:U20" si="8">O20*$L$5</f>
        <v>17.856346409005319</v>
      </c>
      <c r="Q20" s="9">
        <f t="shared" si="8"/>
        <v>17.500000000000004</v>
      </c>
      <c r="R20" s="9">
        <f t="shared" si="8"/>
        <v>17.150764942908591</v>
      </c>
      <c r="S20" s="9">
        <f t="shared" si="8"/>
        <v>16.808499321537269</v>
      </c>
      <c r="T20" s="9">
        <f t="shared" si="8"/>
        <v>16.473064051812809</v>
      </c>
      <c r="U20" s="9">
        <f t="shared" si="8"/>
        <v>16.144322825263931</v>
      </c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</row>
    <row r="21" spans="1:535" x14ac:dyDescent="0.2">
      <c r="A21" s="7" t="s">
        <v>59</v>
      </c>
      <c r="B21" s="15">
        <v>18.219948975908409</v>
      </c>
      <c r="C21" s="15">
        <v>0</v>
      </c>
      <c r="D21" s="15">
        <v>1.2800510240915912</v>
      </c>
      <c r="E21" s="15"/>
      <c r="F21" s="15">
        <f t="shared" si="2"/>
        <v>18.219948975908409</v>
      </c>
      <c r="G21" s="15">
        <f t="shared" si="3"/>
        <v>0</v>
      </c>
      <c r="H21" s="15">
        <f t="shared" si="4"/>
        <v>1.2800510240915912</v>
      </c>
      <c r="J21" s="12">
        <f t="shared" si="0"/>
        <v>9</v>
      </c>
      <c r="K21" s="9"/>
      <c r="L21" s="9"/>
      <c r="M21" s="9">
        <f>L22*$L$4</f>
        <v>18.219948975908405</v>
      </c>
      <c r="N21" s="9">
        <f>M21*$L$5</f>
        <v>17.856346409005319</v>
      </c>
      <c r="O21" s="9">
        <f t="shared" ref="O21:U21" si="9">N21*$L$5</f>
        <v>17.500000000000004</v>
      </c>
      <c r="P21" s="9">
        <f t="shared" si="9"/>
        <v>17.150764942908591</v>
      </c>
      <c r="Q21" s="9">
        <f t="shared" si="9"/>
        <v>16.808499321537269</v>
      </c>
      <c r="R21" s="9">
        <f t="shared" si="9"/>
        <v>16.473064051812809</v>
      </c>
      <c r="S21" s="9">
        <f t="shared" si="9"/>
        <v>16.144322825263931</v>
      </c>
      <c r="T21" s="9">
        <f t="shared" si="9"/>
        <v>15.822142053630602</v>
      </c>
      <c r="U21" s="9">
        <f t="shared" si="9"/>
        <v>15.506390814578708</v>
      </c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</row>
    <row r="22" spans="1:535" x14ac:dyDescent="0.2">
      <c r="A22" s="7" t="s">
        <v>60</v>
      </c>
      <c r="B22" s="15">
        <v>17.5</v>
      </c>
      <c r="C22" s="15">
        <v>0</v>
      </c>
      <c r="D22" s="15">
        <v>2</v>
      </c>
      <c r="E22" s="15"/>
      <c r="F22" s="15">
        <f t="shared" si="2"/>
        <v>17.500000000000004</v>
      </c>
      <c r="G22" s="15">
        <f t="shared" si="3"/>
        <v>0</v>
      </c>
      <c r="H22" s="15">
        <f t="shared" si="4"/>
        <v>1.9999999999999964</v>
      </c>
      <c r="I22" s="9"/>
      <c r="J22" s="12">
        <f t="shared" si="0"/>
        <v>10</v>
      </c>
      <c r="K22" s="9"/>
      <c r="L22" s="9">
        <f>K23*$L$4</f>
        <v>17.856346409005319</v>
      </c>
      <c r="M22" s="9">
        <f>L22*$L$5</f>
        <v>17.500000000000004</v>
      </c>
      <c r="N22" s="9">
        <f t="shared" ref="N22:U22" si="10">M22*$L$5</f>
        <v>17.150764942908591</v>
      </c>
      <c r="O22" s="9">
        <f t="shared" si="10"/>
        <v>16.808499321537269</v>
      </c>
      <c r="P22" s="9">
        <f t="shared" si="10"/>
        <v>16.473064051812809</v>
      </c>
      <c r="Q22" s="9">
        <f t="shared" si="10"/>
        <v>16.144322825263931</v>
      </c>
      <c r="R22" s="9">
        <f t="shared" si="10"/>
        <v>15.822142053630602</v>
      </c>
      <c r="S22" s="9">
        <f t="shared" si="10"/>
        <v>15.506390814578708</v>
      </c>
      <c r="T22" s="9">
        <f t="shared" si="10"/>
        <v>15.196940798498069</v>
      </c>
      <c r="U22" s="9">
        <f t="shared" si="10"/>
        <v>14.893666256362165</v>
      </c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</row>
    <row r="23" spans="1:535" x14ac:dyDescent="0.2">
      <c r="A23" s="7" t="s">
        <v>61</v>
      </c>
      <c r="B23" s="15">
        <v>16.808499321537266</v>
      </c>
      <c r="C23" s="15">
        <v>0</v>
      </c>
      <c r="D23" s="15">
        <v>2.6915006784627344</v>
      </c>
      <c r="E23" s="15"/>
      <c r="F23" s="15">
        <f t="shared" si="2"/>
        <v>16.808499321537269</v>
      </c>
      <c r="G23" s="15">
        <f t="shared" si="3"/>
        <v>0</v>
      </c>
      <c r="H23" s="15">
        <f t="shared" si="4"/>
        <v>2.6915006784627309</v>
      </c>
      <c r="I23" s="9"/>
      <c r="J23" s="12">
        <f t="shared" si="0"/>
        <v>11</v>
      </c>
      <c r="K23" s="11">
        <f>B3</f>
        <v>17.5</v>
      </c>
      <c r="L23" s="34">
        <f>K23*$L$5</f>
        <v>17.150764942908587</v>
      </c>
      <c r="M23" s="34">
        <f t="shared" ref="M23:U23" si="11">L23*$L$5</f>
        <v>16.808499321537266</v>
      </c>
      <c r="N23" s="34">
        <f t="shared" si="11"/>
        <v>16.473064051812806</v>
      </c>
      <c r="O23" s="34">
        <f t="shared" si="11"/>
        <v>16.144322825263927</v>
      </c>
      <c r="P23" s="34">
        <f t="shared" si="11"/>
        <v>15.822142053630598</v>
      </c>
      <c r="Q23" s="34">
        <f t="shared" si="11"/>
        <v>15.506390814578705</v>
      </c>
      <c r="R23" s="34">
        <f t="shared" si="11"/>
        <v>15.196940798498066</v>
      </c>
      <c r="S23" s="34">
        <f t="shared" si="11"/>
        <v>14.893666256362161</v>
      </c>
      <c r="T23" s="34">
        <f t="shared" si="11"/>
        <v>14.596443948628384</v>
      </c>
      <c r="U23" s="34">
        <f t="shared" si="11"/>
        <v>14.305153095158049</v>
      </c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</row>
    <row r="24" spans="1:535" x14ac:dyDescent="0.2">
      <c r="A24" s="7" t="s">
        <v>62</v>
      </c>
      <c r="B24" s="15">
        <v>16.144322825263927</v>
      </c>
      <c r="C24" s="15">
        <v>0</v>
      </c>
      <c r="D24" s="15">
        <v>3.3556771747360727</v>
      </c>
      <c r="E24" s="15"/>
      <c r="F24" s="15">
        <f t="shared" si="2"/>
        <v>16.144322825263931</v>
      </c>
      <c r="G24" s="15">
        <f t="shared" si="3"/>
        <v>0</v>
      </c>
      <c r="H24" s="15">
        <f t="shared" si="4"/>
        <v>3.3556771747360692</v>
      </c>
      <c r="I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</row>
    <row r="25" spans="1:535" x14ac:dyDescent="0.2">
      <c r="A25" s="7" t="s">
        <v>63</v>
      </c>
      <c r="B25" s="15">
        <v>15.506390814578703</v>
      </c>
      <c r="C25" s="15">
        <v>0</v>
      </c>
      <c r="D25" s="15">
        <v>3.9936091854212972</v>
      </c>
      <c r="E25" s="15"/>
      <c r="F25" s="15">
        <f t="shared" si="2"/>
        <v>15.506390814578708</v>
      </c>
      <c r="G25" s="15">
        <f t="shared" si="3"/>
        <v>0</v>
      </c>
      <c r="H25" s="15">
        <f t="shared" si="4"/>
        <v>3.9936091854212918</v>
      </c>
      <c r="I25" s="9"/>
      <c r="K25" s="31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</row>
    <row r="26" spans="1:535" x14ac:dyDescent="0.2">
      <c r="A26" s="7" t="s">
        <v>64</v>
      </c>
      <c r="B26" s="15">
        <v>14.893666256362161</v>
      </c>
      <c r="C26" s="15">
        <v>0</v>
      </c>
      <c r="D26" s="15">
        <v>4.6063337436378387</v>
      </c>
      <c r="E26" s="15"/>
      <c r="F26" s="15">
        <f t="shared" si="2"/>
        <v>14.893666256362165</v>
      </c>
      <c r="G26" s="15">
        <f t="shared" si="3"/>
        <v>0</v>
      </c>
      <c r="H26" s="15">
        <f t="shared" si="4"/>
        <v>4.6063337436378351</v>
      </c>
      <c r="I26" s="9"/>
      <c r="K26" s="32"/>
      <c r="L26" s="30"/>
      <c r="O26" s="2" t="s">
        <v>38</v>
      </c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</row>
    <row r="27" spans="1:535" x14ac:dyDescent="0.2">
      <c r="A27" s="7" t="s">
        <v>65</v>
      </c>
      <c r="B27" s="15">
        <v>14.305153095158047</v>
      </c>
      <c r="C27" s="15">
        <v>0</v>
      </c>
      <c r="D27" s="15">
        <v>5.1948469048419526</v>
      </c>
      <c r="E27" s="15"/>
      <c r="F27" s="15">
        <f t="shared" si="2"/>
        <v>14.305153095158049</v>
      </c>
      <c r="G27" s="15">
        <f t="shared" si="3"/>
        <v>0</v>
      </c>
      <c r="H27" s="15">
        <f t="shared" si="4"/>
        <v>5.1948469048419508</v>
      </c>
      <c r="I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</row>
    <row r="28" spans="1:535" x14ac:dyDescent="0.2">
      <c r="A28" s="7"/>
      <c r="B28" s="15"/>
      <c r="C28" s="15"/>
      <c r="D28" s="15"/>
      <c r="E28" s="15"/>
      <c r="F28" s="15"/>
      <c r="G28" s="15"/>
      <c r="H28" s="15"/>
      <c r="I28" s="9"/>
      <c r="J28" s="4"/>
      <c r="K28" s="10" t="s">
        <v>25</v>
      </c>
      <c r="L28" s="10" t="s">
        <v>26</v>
      </c>
      <c r="M28" s="10" t="s">
        <v>27</v>
      </c>
      <c r="N28" s="10" t="s">
        <v>28</v>
      </c>
      <c r="O28" s="10" t="s">
        <v>29</v>
      </c>
      <c r="P28" s="10" t="s">
        <v>30</v>
      </c>
      <c r="Q28" s="10" t="s">
        <v>31</v>
      </c>
      <c r="R28" s="10" t="s">
        <v>32</v>
      </c>
      <c r="S28" s="10" t="s">
        <v>33</v>
      </c>
      <c r="T28" s="10" t="s">
        <v>34</v>
      </c>
      <c r="U28" s="10" t="s">
        <v>35</v>
      </c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</row>
    <row r="29" spans="1:535" x14ac:dyDescent="0.2">
      <c r="D29" s="15"/>
      <c r="E29" s="15"/>
      <c r="F29" s="15"/>
      <c r="G29" s="15"/>
      <c r="H29" s="15"/>
      <c r="I29" s="9"/>
      <c r="J29" s="12">
        <v>1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13">
        <f>MAX(U13-$B$4,0)</f>
        <v>1.9083692752409931</v>
      </c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</row>
    <row r="30" spans="1:535" x14ac:dyDescent="0.2">
      <c r="D30" s="15"/>
      <c r="H30" s="15"/>
      <c r="I30" s="9"/>
      <c r="J30" s="12">
        <f>+J29+1</f>
        <v>2</v>
      </c>
      <c r="K30" s="9"/>
      <c r="L30" s="9"/>
      <c r="M30" s="9"/>
      <c r="N30" s="9"/>
      <c r="O30" s="9"/>
      <c r="P30" s="9"/>
      <c r="Q30" s="9"/>
      <c r="R30" s="9"/>
      <c r="S30" s="9"/>
      <c r="T30" s="9">
        <f>(U29*$L$7+U30*$L$8)/EXP($B$6*$B$11)</f>
        <v>1.4868518736311529</v>
      </c>
      <c r="U30" s="13">
        <f t="shared" ref="U30:U39" si="12">MAX(U14-$B$4,0)</f>
        <v>1.0624320250347132</v>
      </c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</row>
    <row r="31" spans="1:535" x14ac:dyDescent="0.2">
      <c r="D31" s="15"/>
      <c r="H31" s="15"/>
      <c r="I31" s="9"/>
      <c r="J31" s="12">
        <f t="shared" ref="J31:J39" si="13">+J30+1</f>
        <v>3</v>
      </c>
      <c r="S31" s="9">
        <f t="shared" ref="S31:T39" si="14">(T30*$L$7+T31*$L$8)/EXP($B$6*$B$11)</f>
        <v>1.0739078602863312</v>
      </c>
      <c r="T31" s="9">
        <f t="shared" si="14"/>
        <v>0.6578457387180221</v>
      </c>
      <c r="U31" s="13">
        <f t="shared" si="12"/>
        <v>0.2499214138258381</v>
      </c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</row>
    <row r="32" spans="1:535" x14ac:dyDescent="0.2">
      <c r="A32" s="7"/>
      <c r="B32" s="15"/>
      <c r="C32" s="15"/>
      <c r="D32" s="15"/>
      <c r="H32" s="15"/>
      <c r="I32" s="9"/>
      <c r="J32" s="12">
        <f t="shared" si="13"/>
        <v>4</v>
      </c>
      <c r="R32" s="9">
        <f t="shared" ref="R32:S32" si="15">(S31*$L$7+S32*$L$8)/EXP($B$6*$B$11)</f>
        <v>0.73467802874126376</v>
      </c>
      <c r="S32" s="9">
        <f t="shared" si="15"/>
        <v>0.3927808069941644</v>
      </c>
      <c r="T32" s="9">
        <f t="shared" si="14"/>
        <v>0.1255015331723871</v>
      </c>
      <c r="U32" s="13">
        <f t="shared" si="12"/>
        <v>0</v>
      </c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</row>
    <row r="33" spans="1:535" x14ac:dyDescent="0.2">
      <c r="A33" s="7"/>
      <c r="B33" s="15"/>
      <c r="C33" s="15"/>
      <c r="D33" s="15"/>
      <c r="H33" s="15"/>
      <c r="I33" s="9"/>
      <c r="J33" s="12">
        <f t="shared" si="13"/>
        <v>5</v>
      </c>
      <c r="K33" s="9"/>
      <c r="L33" s="9"/>
      <c r="M33" s="9"/>
      <c r="N33" s="9"/>
      <c r="O33" s="9"/>
      <c r="P33" s="9"/>
      <c r="Q33" s="9">
        <f t="shared" ref="Q33:R33" si="16">(R32*$L$7+R33*$L$8)/EXP($B$6*$B$11)</f>
        <v>0.48264888348351154</v>
      </c>
      <c r="R33" s="9">
        <f t="shared" si="16"/>
        <v>0.22859266700689418</v>
      </c>
      <c r="S33" s="9">
        <f t="shared" ref="S33" si="17">(T32*$L$7+T33*$L$8)/EXP($B$6*$B$11)</f>
        <v>6.3022350055989482E-2</v>
      </c>
      <c r="T33" s="9">
        <f t="shared" si="14"/>
        <v>0</v>
      </c>
      <c r="U33" s="13">
        <f t="shared" si="12"/>
        <v>0</v>
      </c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</row>
    <row r="34" spans="1:535" x14ac:dyDescent="0.2">
      <c r="A34" s="7"/>
      <c r="B34" s="15"/>
      <c r="C34" s="15"/>
      <c r="D34" s="15"/>
      <c r="H34" s="15"/>
      <c r="I34" s="9"/>
      <c r="J34" s="12">
        <f t="shared" si="13"/>
        <v>6</v>
      </c>
      <c r="K34" s="9"/>
      <c r="L34" s="9"/>
      <c r="M34" s="9"/>
      <c r="N34" s="9"/>
      <c r="O34" s="9"/>
      <c r="P34" s="9">
        <f t="shared" ref="P34:Q34" si="18">(Q33*$L$7+Q34*$L$8)/EXP($B$6*$B$11)</f>
        <v>0.30730729788093031</v>
      </c>
      <c r="Q34" s="9">
        <f t="shared" si="18"/>
        <v>0.13053499637983917</v>
      </c>
      <c r="R34" s="9">
        <f t="shared" ref="R34" si="19">(S33*$L$7+S34*$L$8)/EXP($B$6*$B$11)</f>
        <v>3.1647554465522323E-2</v>
      </c>
      <c r="S34" s="9">
        <f t="shared" ref="S34" si="20">(T33*$L$7+T34*$L$8)/EXP($B$6*$B$11)</f>
        <v>0</v>
      </c>
      <c r="T34" s="9">
        <f t="shared" si="14"/>
        <v>0</v>
      </c>
      <c r="U34" s="13">
        <f t="shared" si="12"/>
        <v>0</v>
      </c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</row>
    <row r="35" spans="1:535" x14ac:dyDescent="0.2">
      <c r="A35" s="7"/>
      <c r="B35" s="15"/>
      <c r="C35" s="15"/>
      <c r="D35" s="15"/>
      <c r="H35" s="15"/>
      <c r="I35" s="9"/>
      <c r="J35" s="12">
        <f t="shared" si="13"/>
        <v>7</v>
      </c>
      <c r="K35" s="9"/>
      <c r="L35" s="9"/>
      <c r="M35" s="9"/>
      <c r="N35" s="9"/>
      <c r="O35" s="9">
        <f t="shared" ref="O35:P35" si="21">(P34*$L$7+P35*$L$8)/EXP($B$6*$B$11)</f>
        <v>0.19086148981504297</v>
      </c>
      <c r="P35" s="9">
        <f t="shared" si="21"/>
        <v>7.3456039621703439E-2</v>
      </c>
      <c r="Q35" s="9">
        <f t="shared" ref="Q35" si="22">(R34*$L$7+R35*$L$8)/EXP($B$6*$B$11)</f>
        <v>1.5892262074619596E-2</v>
      </c>
      <c r="R35" s="9">
        <f t="shared" ref="R35" si="23">(S34*$L$7+S35*$L$8)/EXP($B$6*$B$11)</f>
        <v>0</v>
      </c>
      <c r="S35" s="9">
        <f t="shared" ref="S35" si="24">(T34*$L$7+T35*$L$8)/EXP($B$6*$B$11)</f>
        <v>0</v>
      </c>
      <c r="T35" s="9">
        <f t="shared" si="14"/>
        <v>0</v>
      </c>
      <c r="U35" s="13">
        <f t="shared" si="12"/>
        <v>0</v>
      </c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</row>
    <row r="36" spans="1:535" x14ac:dyDescent="0.2">
      <c r="A36" s="7"/>
      <c r="B36" s="15"/>
      <c r="C36" s="15"/>
      <c r="D36" s="15"/>
      <c r="E36" s="15"/>
      <c r="F36" s="15"/>
      <c r="G36" s="15"/>
      <c r="H36" s="15"/>
      <c r="I36" s="9"/>
      <c r="J36" s="12">
        <f t="shared" si="13"/>
        <v>8</v>
      </c>
      <c r="K36" s="9"/>
      <c r="L36" s="9"/>
      <c r="M36" s="9"/>
      <c r="N36" s="9">
        <f t="shared" ref="N36:O36" si="25">(O35*$L$7+O36*$L$8)/EXP($B$6*$B$11)</f>
        <v>0.11616932244399465</v>
      </c>
      <c r="O36" s="9">
        <f t="shared" si="25"/>
        <v>4.0857119019417042E-2</v>
      </c>
      <c r="P36" s="9">
        <f t="shared" ref="P36" si="26">(Q35*$L$7+Q36*$L$8)/EXP($B$6*$B$11)</f>
        <v>7.98052165842837E-3</v>
      </c>
      <c r="Q36" s="9">
        <f t="shared" ref="Q36" si="27">(R35*$L$7+R36*$L$8)/EXP($B$6*$B$11)</f>
        <v>0</v>
      </c>
      <c r="R36" s="9">
        <f t="shared" ref="R36" si="28">(S35*$L$7+S36*$L$8)/EXP($B$6*$B$11)</f>
        <v>0</v>
      </c>
      <c r="S36" s="9">
        <f t="shared" ref="S36" si="29">(T35*$L$7+T36*$L$8)/EXP($B$6*$B$11)</f>
        <v>0</v>
      </c>
      <c r="T36" s="9">
        <f t="shared" si="14"/>
        <v>0</v>
      </c>
      <c r="U36" s="13">
        <f t="shared" si="12"/>
        <v>0</v>
      </c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</row>
    <row r="37" spans="1:535" x14ac:dyDescent="0.2">
      <c r="A37" s="7"/>
      <c r="B37" s="15"/>
      <c r="C37" s="15"/>
      <c r="D37" s="15"/>
      <c r="E37" s="15"/>
      <c r="F37" s="15"/>
      <c r="G37" s="15"/>
      <c r="H37" s="15"/>
      <c r="I37" s="9"/>
      <c r="J37" s="12">
        <f t="shared" si="13"/>
        <v>9</v>
      </c>
      <c r="K37" s="9"/>
      <c r="L37" s="9"/>
      <c r="M37" s="9">
        <f t="shared" ref="M37:N37" si="30">(N36*$L$7+N37*$L$8)/EXP($B$6*$B$11)</f>
        <v>6.9534617039305677E-2</v>
      </c>
      <c r="N37" s="9">
        <f t="shared" si="30"/>
        <v>2.2510635751452408E-2</v>
      </c>
      <c r="O37" s="9">
        <f t="shared" ref="O37" si="31">(P36*$L$7+P37*$L$8)/EXP($B$6*$B$11)</f>
        <v>4.0075305605711759E-3</v>
      </c>
      <c r="P37" s="9">
        <f t="shared" ref="P37" si="32">(Q36*$L$7+Q37*$L$8)/EXP($B$6*$B$11)</f>
        <v>0</v>
      </c>
      <c r="Q37" s="9">
        <f t="shared" ref="Q37" si="33">(R36*$L$7+R37*$L$8)/EXP($B$6*$B$11)</f>
        <v>0</v>
      </c>
      <c r="R37" s="9">
        <f t="shared" ref="R37" si="34">(S36*$L$7+S37*$L$8)/EXP($B$6*$B$11)</f>
        <v>0</v>
      </c>
      <c r="S37" s="9">
        <f t="shared" ref="S37" si="35">(T36*$L$7+T37*$L$8)/EXP($B$6*$B$11)</f>
        <v>0</v>
      </c>
      <c r="T37" s="9">
        <f t="shared" si="14"/>
        <v>0</v>
      </c>
      <c r="U37" s="13">
        <f t="shared" si="12"/>
        <v>0</v>
      </c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</row>
    <row r="38" spans="1:535" x14ac:dyDescent="0.2">
      <c r="A38" s="7"/>
      <c r="B38" s="15"/>
      <c r="C38" s="15"/>
      <c r="D38" s="15"/>
      <c r="E38" s="15"/>
      <c r="F38" s="15"/>
      <c r="G38" s="15"/>
      <c r="H38" s="15"/>
      <c r="I38" s="9"/>
      <c r="J38" s="12">
        <f t="shared" si="13"/>
        <v>10</v>
      </c>
      <c r="K38" s="9"/>
      <c r="L38" s="9">
        <f t="shared" ref="K38:M39" si="36">(M37*$L$7+M38*$L$8)/EXP($B$6*$B$11)</f>
        <v>4.1039346183857316E-2</v>
      </c>
      <c r="M38" s="9">
        <f t="shared" si="36"/>
        <v>1.2305175834220517E-2</v>
      </c>
      <c r="N38" s="9">
        <f t="shared" ref="N38" si="37">(O37*$L$7+O38*$L$8)/EXP($B$6*$B$11)</f>
        <v>2.0124375174084457E-3</v>
      </c>
      <c r="O38" s="9">
        <f t="shared" ref="O38" si="38">(P37*$L$7+P38*$L$8)/EXP($B$6*$B$11)</f>
        <v>0</v>
      </c>
      <c r="P38" s="9">
        <f t="shared" ref="P38" si="39">(Q37*$L$7+Q38*$L$8)/EXP($B$6*$B$11)</f>
        <v>0</v>
      </c>
      <c r="Q38" s="9">
        <f t="shared" ref="Q38" si="40">(R37*$L$7+R38*$L$8)/EXP($B$6*$B$11)</f>
        <v>0</v>
      </c>
      <c r="R38" s="9">
        <f t="shared" ref="R38" si="41">(S37*$L$7+S38*$L$8)/EXP($B$6*$B$11)</f>
        <v>0</v>
      </c>
      <c r="S38" s="9">
        <f t="shared" ref="S38" si="42">(T37*$L$7+T38*$L$8)/EXP($B$6*$B$11)</f>
        <v>0</v>
      </c>
      <c r="T38" s="9">
        <f t="shared" si="14"/>
        <v>0</v>
      </c>
      <c r="U38" s="13">
        <f t="shared" si="12"/>
        <v>0</v>
      </c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</row>
    <row r="39" spans="1:535" x14ac:dyDescent="0.2">
      <c r="A39" s="7"/>
      <c r="B39" s="15"/>
      <c r="C39" s="15"/>
      <c r="D39" s="15"/>
      <c r="E39" s="15"/>
      <c r="F39" s="15"/>
      <c r="G39" s="15"/>
      <c r="H39" s="15"/>
      <c r="I39" s="9"/>
      <c r="J39" s="12">
        <f t="shared" si="13"/>
        <v>11</v>
      </c>
      <c r="K39" s="9">
        <f t="shared" si="36"/>
        <v>2.3932613612116297E-2</v>
      </c>
      <c r="L39" s="9">
        <f t="shared" si="36"/>
        <v>6.6819552371522708E-3</v>
      </c>
      <c r="M39" s="9">
        <f t="shared" ref="M39" si="43">(N38*$L$7+N39*$L$8)/EXP($B$6*$B$11)</f>
        <v>1.0105736438590883E-3</v>
      </c>
      <c r="N39" s="9">
        <f t="shared" ref="N39" si="44">(O38*$L$7+O39*$L$8)/EXP($B$6*$B$11)</f>
        <v>0</v>
      </c>
      <c r="O39" s="9">
        <f t="shared" ref="O39" si="45">(P38*$L$7+P39*$L$8)/EXP($B$6*$B$11)</f>
        <v>0</v>
      </c>
      <c r="P39" s="9">
        <f t="shared" ref="P39" si="46">(Q38*$L$7+Q39*$L$8)/EXP($B$6*$B$11)</f>
        <v>0</v>
      </c>
      <c r="Q39" s="9">
        <f t="shared" ref="Q39" si="47">(R38*$L$7+R39*$L$8)/EXP($B$6*$B$11)</f>
        <v>0</v>
      </c>
      <c r="R39" s="9">
        <f t="shared" ref="R39" si="48">(S38*$L$7+S39*$L$8)/EXP($B$6*$B$11)</f>
        <v>0</v>
      </c>
      <c r="S39" s="9">
        <f t="shared" ref="S39" si="49">(T38*$L$7+T39*$L$8)/EXP($B$6*$B$11)</f>
        <v>0</v>
      </c>
      <c r="T39" s="9">
        <f t="shared" si="14"/>
        <v>0</v>
      </c>
      <c r="U39" s="13">
        <f t="shared" si="12"/>
        <v>0</v>
      </c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</row>
    <row r="40" spans="1:535" x14ac:dyDescent="0.2">
      <c r="A40" s="7"/>
      <c r="B40" s="15"/>
      <c r="C40" s="15"/>
      <c r="D40" s="15"/>
      <c r="E40" s="15"/>
      <c r="F40" s="15"/>
      <c r="G40" s="15"/>
      <c r="H40" s="15"/>
      <c r="I40" s="9"/>
      <c r="J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</row>
    <row r="41" spans="1:535" x14ac:dyDescent="0.2">
      <c r="A41" s="7"/>
      <c r="B41" s="15"/>
      <c r="C41" s="15"/>
      <c r="D41" s="15"/>
      <c r="E41" s="15"/>
      <c r="F41" s="15"/>
      <c r="G41" s="15"/>
      <c r="H41" s="15"/>
      <c r="I41" s="9"/>
      <c r="J41" s="9"/>
      <c r="N41" s="9"/>
      <c r="O41" s="2" t="s">
        <v>38</v>
      </c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</row>
    <row r="42" spans="1:535" x14ac:dyDescent="0.2">
      <c r="A42" s="7"/>
      <c r="B42" s="15"/>
      <c r="C42" s="15"/>
      <c r="D42" s="15"/>
      <c r="E42" s="15"/>
      <c r="F42" s="15"/>
      <c r="G42" s="15"/>
      <c r="H42" s="15"/>
      <c r="I42" s="9"/>
      <c r="J42" s="9"/>
      <c r="K42" s="9" t="s">
        <v>54</v>
      </c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</row>
    <row r="43" spans="1:535" x14ac:dyDescent="0.2">
      <c r="A43" s="7"/>
      <c r="B43" s="15"/>
      <c r="C43" s="15"/>
      <c r="D43" s="15"/>
      <c r="E43" s="15"/>
      <c r="F43" s="15"/>
      <c r="G43" s="15"/>
      <c r="H43" s="15"/>
      <c r="I43" s="9"/>
      <c r="J43" s="4"/>
      <c r="K43" s="10" t="s">
        <v>25</v>
      </c>
      <c r="L43" s="10" t="s">
        <v>26</v>
      </c>
      <c r="M43" s="10" t="s">
        <v>27</v>
      </c>
      <c r="N43" s="10" t="s">
        <v>28</v>
      </c>
      <c r="O43" s="10" t="s">
        <v>29</v>
      </c>
      <c r="P43" s="10" t="s">
        <v>30</v>
      </c>
      <c r="Q43" s="10" t="s">
        <v>31</v>
      </c>
      <c r="R43" s="10" t="s">
        <v>32</v>
      </c>
      <c r="S43" s="10" t="s">
        <v>33</v>
      </c>
      <c r="T43" s="10" t="s">
        <v>34</v>
      </c>
      <c r="U43" s="10" t="s">
        <v>35</v>
      </c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</row>
    <row r="44" spans="1:535" x14ac:dyDescent="0.2">
      <c r="A44" s="7"/>
      <c r="B44" s="15"/>
      <c r="C44" s="15"/>
      <c r="D44" s="15"/>
      <c r="E44" s="15"/>
      <c r="F44" s="15"/>
      <c r="G44" s="15"/>
      <c r="H44" s="15"/>
      <c r="I44" s="9"/>
      <c r="J44" s="12">
        <v>1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13">
        <f>(V43*$L$7+V44*$L$8)/(EXP($B$11*$B$6))</f>
        <v>0</v>
      </c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</row>
    <row r="45" spans="1:535" x14ac:dyDescent="0.2">
      <c r="A45" s="7"/>
      <c r="B45" s="15"/>
      <c r="C45" s="15"/>
      <c r="D45" s="15"/>
      <c r="E45" s="15"/>
      <c r="F45" s="15"/>
      <c r="G45" s="15"/>
      <c r="H45" s="15"/>
      <c r="I45" s="9"/>
      <c r="J45" s="12">
        <f>+J44+1</f>
        <v>2</v>
      </c>
      <c r="K45" s="9"/>
      <c r="L45" s="9"/>
      <c r="M45" s="9"/>
      <c r="N45" s="9"/>
      <c r="O45" s="9"/>
      <c r="P45" s="9"/>
      <c r="Q45" s="9"/>
      <c r="R45" s="9"/>
      <c r="S45" s="9"/>
      <c r="T45" s="13">
        <f>(U44*$L$7+U45*$L$8)/(EXP($B$11*$B$6))</f>
        <v>0</v>
      </c>
      <c r="U45" s="13">
        <f t="shared" ref="U45:U54" si="50">MAX($B$4-U14,0)</f>
        <v>0</v>
      </c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</row>
    <row r="46" spans="1:535" x14ac:dyDescent="0.2">
      <c r="A46" s="7"/>
      <c r="B46" s="15"/>
      <c r="C46" s="15"/>
      <c r="D46" s="15"/>
      <c r="E46" s="15"/>
      <c r="F46" s="15"/>
      <c r="G46" s="15"/>
      <c r="H46" s="15"/>
      <c r="I46" s="9"/>
      <c r="J46" s="12">
        <f t="shared" ref="J46:J54" si="51">+J45+1</f>
        <v>3</v>
      </c>
      <c r="S46" s="13">
        <f>(T45*$L$7+T46*$L$8)/(EXP($B$11*$B$6))</f>
        <v>0</v>
      </c>
      <c r="T46" s="13">
        <f t="shared" ref="T46:T54" si="52">(U45*$L$7+U46*$L$8)/(EXP($B$11*$B$6))</f>
        <v>0</v>
      </c>
      <c r="U46" s="13">
        <f>MAX($B$4-U15,0)</f>
        <v>0</v>
      </c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</row>
    <row r="47" spans="1:535" x14ac:dyDescent="0.2">
      <c r="A47" s="7"/>
      <c r="B47" s="15"/>
      <c r="C47" s="15"/>
      <c r="D47" s="15"/>
      <c r="E47" s="15"/>
      <c r="F47" s="15"/>
      <c r="G47" s="15"/>
      <c r="H47" s="15"/>
      <c r="I47" s="9"/>
      <c r="J47" s="12">
        <f t="shared" si="51"/>
        <v>4</v>
      </c>
      <c r="R47" s="13">
        <f>(S46*$L$7+S47*$L$8)/(EXP($B$11*$B$6))</f>
        <v>6.5312435545867784E-2</v>
      </c>
      <c r="S47" s="13">
        <f t="shared" ref="S47:S54" si="53">(T46*$L$7+T47*$L$8)/(EXP($B$11*$B$6))</f>
        <v>0.13128683622035317</v>
      </c>
      <c r="T47" s="13">
        <f t="shared" si="52"/>
        <v>0.26390431195365743</v>
      </c>
      <c r="U47" s="13">
        <f t="shared" si="50"/>
        <v>0.53048338944537932</v>
      </c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</row>
    <row r="48" spans="1:535" x14ac:dyDescent="0.2">
      <c r="A48" s="7"/>
      <c r="B48" s="15"/>
      <c r="C48" s="15"/>
      <c r="D48" s="15"/>
      <c r="E48" s="15"/>
      <c r="F48" s="15"/>
      <c r="G48" s="15"/>
      <c r="H48" s="15"/>
      <c r="I48" s="9"/>
      <c r="J48" s="12">
        <f t="shared" si="51"/>
        <v>5</v>
      </c>
      <c r="K48" s="9"/>
      <c r="L48" s="9"/>
      <c r="M48" s="9"/>
      <c r="N48" s="9"/>
      <c r="O48" s="9"/>
      <c r="P48" s="9"/>
      <c r="Q48" s="13">
        <f>(R47*$L$7+R48*$L$8)/(EXP($B$11*$B$6))</f>
        <v>0.20959201776866943</v>
      </c>
      <c r="R48" s="13">
        <f t="shared" ref="R48:R54" si="54">(S47*$L$7+S48*$L$8)/(EXP($B$11*$B$6))</f>
        <v>0.35538080546273954</v>
      </c>
      <c r="S48" s="13">
        <f t="shared" si="53"/>
        <v>0.58184028274953192</v>
      </c>
      <c r="T48" s="13">
        <f t="shared" si="52"/>
        <v>0.90318807399052603</v>
      </c>
      <c r="U48" s="13">
        <f t="shared" si="50"/>
        <v>1.2800510240915912</v>
      </c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</row>
    <row r="49" spans="1:535" x14ac:dyDescent="0.2">
      <c r="A49" s="7"/>
      <c r="B49" s="15"/>
      <c r="C49" s="15"/>
      <c r="D49" s="15"/>
      <c r="E49" s="15"/>
      <c r="F49" s="15"/>
      <c r="G49" s="15"/>
      <c r="H49" s="15"/>
      <c r="I49" s="9"/>
      <c r="J49" s="12">
        <f t="shared" si="51"/>
        <v>6</v>
      </c>
      <c r="K49" s="9"/>
      <c r="L49" s="9"/>
      <c r="M49" s="9"/>
      <c r="N49" s="9"/>
      <c r="O49" s="9"/>
      <c r="P49" s="13">
        <f>(Q48*$L$7+Q49*$L$8)/(EXP($B$11*$B$6))</f>
        <v>0.42249046006973356</v>
      </c>
      <c r="Q49" s="13">
        <f t="shared" ref="Q49:Q54" si="55">(R48*$L$7+R49*$L$8)/(EXP($B$11*$B$6))</f>
        <v>0.6376971453873298</v>
      </c>
      <c r="R49" s="13">
        <f t="shared" si="54"/>
        <v>0.92312994768132683</v>
      </c>
      <c r="S49" s="13">
        <f t="shared" si="53"/>
        <v>1.2682963384088848</v>
      </c>
      <c r="T49" s="13">
        <f t="shared" si="52"/>
        <v>1.6377533948846081</v>
      </c>
      <c r="U49" s="13">
        <f t="shared" si="50"/>
        <v>1.9999999999999964</v>
      </c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</row>
    <row r="50" spans="1:535" x14ac:dyDescent="0.2">
      <c r="A50" s="7"/>
      <c r="B50" s="15"/>
      <c r="C50" s="15"/>
      <c r="D50" s="15"/>
      <c r="E50" s="15"/>
      <c r="F50" s="15"/>
      <c r="G50" s="15"/>
      <c r="H50" s="15"/>
      <c r="I50" s="9"/>
      <c r="J50" s="12">
        <f t="shared" si="51"/>
        <v>7</v>
      </c>
      <c r="K50" s="9"/>
      <c r="L50" s="9"/>
      <c r="M50" s="9"/>
      <c r="N50" s="9"/>
      <c r="O50" s="13">
        <f>(P49*$L$7+P50*$L$8)/(EXP($B$11*$B$6))</f>
        <v>0.6863775211354618</v>
      </c>
      <c r="P50" s="13">
        <f t="shared" ref="P50:P54" si="56">(Q49*$L$7+Q50*$L$8)/(EXP($B$11*$B$6))</f>
        <v>0.95324242695867367</v>
      </c>
      <c r="Q50" s="13">
        <f t="shared" si="55"/>
        <v>1.2724435984884428</v>
      </c>
      <c r="R50" s="13">
        <f t="shared" si="54"/>
        <v>1.6259602710624455</v>
      </c>
      <c r="S50" s="13">
        <f t="shared" si="53"/>
        <v>1.9881596112073494</v>
      </c>
      <c r="T50" s="13">
        <f t="shared" si="52"/>
        <v>2.3432928633344905</v>
      </c>
      <c r="U50" s="13">
        <f t="shared" si="50"/>
        <v>2.6915006784627309</v>
      </c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</row>
    <row r="51" spans="1:535" x14ac:dyDescent="0.2">
      <c r="A51" s="7"/>
      <c r="B51" s="15"/>
      <c r="C51" s="15"/>
      <c r="D51" s="15"/>
      <c r="E51" s="15"/>
      <c r="F51" s="15"/>
      <c r="G51" s="15"/>
      <c r="H51" s="15"/>
      <c r="I51" s="9"/>
      <c r="J51" s="12">
        <f t="shared" si="51"/>
        <v>8</v>
      </c>
      <c r="K51" s="9"/>
      <c r="L51" s="9"/>
      <c r="M51" s="9"/>
      <c r="N51" s="13">
        <f>(O50*$L$7+O51*$L$8)/(EXP($B$11*$B$6))</f>
        <v>0.98426937173310669</v>
      </c>
      <c r="O51" s="13">
        <f t="shared" ref="O51:O54" si="57">(P50*$L$7+P51*$L$8)/(EXP($B$11*$B$6))</f>
        <v>1.285673130057754</v>
      </c>
      <c r="P51" s="13">
        <f t="shared" si="56"/>
        <v>1.6221573542038654</v>
      </c>
      <c r="Q51" s="13">
        <f t="shared" si="55"/>
        <v>1.9763289163044908</v>
      </c>
      <c r="R51" s="13">
        <f t="shared" si="54"/>
        <v>2.3314157517178375</v>
      </c>
      <c r="S51" s="13">
        <f t="shared" si="53"/>
        <v>2.6795779730606393</v>
      </c>
      <c r="T51" s="13">
        <f t="shared" si="52"/>
        <v>3.0209534162920675</v>
      </c>
      <c r="U51" s="13">
        <f t="shared" si="50"/>
        <v>3.3556771747360692</v>
      </c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</row>
    <row r="52" spans="1:535" x14ac:dyDescent="0.2">
      <c r="A52" s="7"/>
      <c r="B52" s="15"/>
      <c r="C52" s="15"/>
      <c r="D52" s="15"/>
      <c r="E52" s="15"/>
      <c r="F52" s="15"/>
      <c r="G52" s="15"/>
      <c r="H52" s="15"/>
      <c r="I52" s="9"/>
      <c r="J52" s="12">
        <f t="shared" si="51"/>
        <v>9</v>
      </c>
      <c r="K52" s="9"/>
      <c r="L52" s="9"/>
      <c r="M52" s="13">
        <f>(N51*$L$7+N52*$L$8)/(EXP($B$11*$B$6))</f>
        <v>1.3026249722587271</v>
      </c>
      <c r="N52" s="13">
        <f t="shared" ref="N52:N54" si="58">(O51*$L$7+O52*$L$8)/(EXP($B$11*$B$6))</f>
        <v>1.6249137080188851</v>
      </c>
      <c r="O52" s="13">
        <f t="shared" si="57"/>
        <v>1.9685154387827086</v>
      </c>
      <c r="P52" s="13">
        <f t="shared" si="56"/>
        <v>2.3195483354042907</v>
      </c>
      <c r="Q52" s="13">
        <f t="shared" si="55"/>
        <v>2.6676649713473486</v>
      </c>
      <c r="R52" s="13">
        <f t="shared" si="54"/>
        <v>3.008995635601889</v>
      </c>
      <c r="S52" s="13">
        <f t="shared" si="53"/>
        <v>3.3436754054097482</v>
      </c>
      <c r="T52" s="13">
        <f t="shared" si="52"/>
        <v>3.6718366702703524</v>
      </c>
      <c r="U52" s="13">
        <f t="shared" si="50"/>
        <v>3.9936091854212918</v>
      </c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</row>
    <row r="53" spans="1:535" x14ac:dyDescent="0.2">
      <c r="A53" s="7"/>
      <c r="B53" s="15"/>
      <c r="C53" s="15"/>
      <c r="D53" s="15"/>
      <c r="E53" s="15"/>
      <c r="F53" s="15"/>
      <c r="G53" s="15"/>
      <c r="H53" s="15"/>
      <c r="I53" s="9"/>
      <c r="J53" s="12">
        <f t="shared" si="51"/>
        <v>10</v>
      </c>
      <c r="K53" s="9"/>
      <c r="L53" s="13">
        <f>(M52*$L$7+M53*$L$8)/(EXP($B$11*$B$6))</f>
        <v>1.6316783293512036</v>
      </c>
      <c r="M53" s="13">
        <f t="shared" ref="M53:M54" si="59">(N52*$L$7+N53*$L$8)/(EXP($B$11*$B$6))</f>
        <v>1.9650017557302899</v>
      </c>
      <c r="N53" s="13">
        <f t="shared" si="58"/>
        <v>2.3097030448439186</v>
      </c>
      <c r="O53" s="13">
        <f t="shared" si="57"/>
        <v>2.6557616662524093</v>
      </c>
      <c r="P53" s="13">
        <f t="shared" si="56"/>
        <v>2.9970475598177053</v>
      </c>
      <c r="Q53" s="13">
        <f t="shared" si="55"/>
        <v>3.3316833491840403</v>
      </c>
      <c r="R53" s="13">
        <f t="shared" si="54"/>
        <v>3.659801408090595</v>
      </c>
      <c r="S53" s="13">
        <f t="shared" si="53"/>
        <v>3.9815314763282994</v>
      </c>
      <c r="T53" s="13">
        <f t="shared" si="52"/>
        <v>4.2970007121500089</v>
      </c>
      <c r="U53" s="13">
        <f t="shared" si="50"/>
        <v>4.6063337436378351</v>
      </c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</row>
    <row r="54" spans="1:535" x14ac:dyDescent="0.2">
      <c r="A54" s="7"/>
      <c r="B54" s="15"/>
      <c r="C54" s="15"/>
      <c r="D54" s="15"/>
      <c r="E54" s="15"/>
      <c r="F54" s="15"/>
      <c r="G54" s="15"/>
      <c r="H54" s="15"/>
      <c r="I54" s="9"/>
      <c r="J54" s="12">
        <f t="shared" si="51"/>
        <v>11</v>
      </c>
      <c r="K54" s="13">
        <f>(L53*$L$7+L54*$L$8)/(EXP($B$11*$B$6))</f>
        <v>1.9648275378792461</v>
      </c>
      <c r="L54" s="13">
        <f>(M53*$L$7+M54*$L$8)/(EXP($B$11*$B$6))</f>
        <v>2.3025245156593703</v>
      </c>
      <c r="M54" s="13">
        <f t="shared" si="59"/>
        <v>2.6448786243542948</v>
      </c>
      <c r="N54" s="13">
        <f t="shared" si="58"/>
        <v>2.9851091818710342</v>
      </c>
      <c r="O54" s="13">
        <f t="shared" si="57"/>
        <v>3.3197009989873747</v>
      </c>
      <c r="P54" s="13">
        <f t="shared" si="56"/>
        <v>3.6477758600402708</v>
      </c>
      <c r="Q54" s="13">
        <f t="shared" si="55"/>
        <v>3.9694634893758294</v>
      </c>
      <c r="R54" s="13">
        <f t="shared" si="54"/>
        <v>4.2848910301093932</v>
      </c>
      <c r="S54" s="13">
        <f t="shared" si="53"/>
        <v>4.5941830954867502</v>
      </c>
      <c r="T54" s="13">
        <f t="shared" si="52"/>
        <v>4.8974618192233645</v>
      </c>
      <c r="U54" s="13">
        <f t="shared" si="50"/>
        <v>5.1948469048419508</v>
      </c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</row>
    <row r="55" spans="1:535" x14ac:dyDescent="0.2">
      <c r="A55" s="7"/>
      <c r="B55" s="15"/>
      <c r="C55" s="15"/>
      <c r="D55" s="15"/>
      <c r="E55" s="15"/>
      <c r="F55" s="15"/>
      <c r="G55" s="15"/>
      <c r="H55" s="15"/>
      <c r="I55" s="9"/>
      <c r="J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</row>
    <row r="56" spans="1:535" x14ac:dyDescent="0.2">
      <c r="A56" s="7"/>
      <c r="B56" s="15"/>
      <c r="C56" s="15"/>
      <c r="D56" s="15"/>
      <c r="E56" s="15"/>
      <c r="F56" s="15"/>
      <c r="G56" s="15"/>
      <c r="H56" s="15"/>
      <c r="I56" s="9"/>
      <c r="J56" s="9"/>
      <c r="N56" s="9"/>
      <c r="O56" s="2" t="s">
        <v>38</v>
      </c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</row>
    <row r="57" spans="1:535" x14ac:dyDescent="0.2">
      <c r="A57" s="7"/>
      <c r="B57" s="15"/>
      <c r="C57" s="15"/>
      <c r="D57" s="15"/>
      <c r="E57" s="15"/>
      <c r="F57" s="15"/>
      <c r="G57" s="15"/>
      <c r="H57" s="15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</row>
    <row r="58" spans="1:535" x14ac:dyDescent="0.2">
      <c r="A58" s="7"/>
      <c r="B58" s="15"/>
      <c r="C58" s="15"/>
      <c r="D58" s="15"/>
      <c r="E58" s="15"/>
      <c r="F58" s="15"/>
      <c r="G58" s="15"/>
      <c r="H58" s="15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</row>
    <row r="59" spans="1:535" x14ac:dyDescent="0.2">
      <c r="A59" s="7"/>
      <c r="B59" s="15"/>
      <c r="C59" s="15"/>
      <c r="D59" s="15"/>
      <c r="E59" s="15"/>
      <c r="F59" s="15"/>
      <c r="G59" s="15"/>
      <c r="H59" s="15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</row>
    <row r="60" spans="1:535" x14ac:dyDescent="0.2">
      <c r="A60" s="7"/>
      <c r="B60" s="15"/>
      <c r="C60" s="15"/>
      <c r="D60" s="15"/>
      <c r="E60" s="15"/>
      <c r="F60" s="15"/>
      <c r="G60" s="15"/>
      <c r="H60" s="15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</row>
    <row r="61" spans="1:535" x14ac:dyDescent="0.2">
      <c r="A61" s="7"/>
      <c r="B61" s="15"/>
      <c r="C61" s="15"/>
      <c r="D61" s="15"/>
      <c r="E61" s="15"/>
      <c r="F61" s="15"/>
      <c r="G61" s="15"/>
      <c r="H61" s="15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</row>
    <row r="62" spans="1:535" x14ac:dyDescent="0.2">
      <c r="A62" s="7"/>
      <c r="B62" s="15"/>
      <c r="C62" s="15"/>
      <c r="D62" s="15"/>
      <c r="E62" s="15"/>
      <c r="F62" s="15"/>
      <c r="G62" s="15"/>
      <c r="H62" s="15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</row>
    <row r="63" spans="1:535" x14ac:dyDescent="0.2">
      <c r="A63" s="7"/>
      <c r="B63" s="15"/>
      <c r="C63" s="15"/>
      <c r="D63" s="15"/>
      <c r="E63" s="15"/>
      <c r="F63" s="15"/>
      <c r="G63" s="15"/>
      <c r="H63" s="15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</row>
    <row r="64" spans="1:535" x14ac:dyDescent="0.2">
      <c r="A64" s="7"/>
      <c r="B64" s="15"/>
      <c r="C64" s="15"/>
      <c r="D64" s="15"/>
      <c r="E64" s="15"/>
      <c r="F64" s="15"/>
      <c r="G64" s="15"/>
      <c r="H64" s="15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</row>
    <row r="65" spans="1:535" x14ac:dyDescent="0.2">
      <c r="A65" s="7"/>
      <c r="B65" s="15"/>
      <c r="C65" s="15"/>
      <c r="D65" s="15"/>
      <c r="E65" s="15"/>
      <c r="F65" s="15"/>
      <c r="G65" s="15"/>
      <c r="H65" s="15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</row>
    <row r="66" spans="1:535" x14ac:dyDescent="0.2">
      <c r="A66" s="7"/>
      <c r="B66" s="15"/>
      <c r="C66" s="15"/>
      <c r="D66" s="15"/>
      <c r="E66" s="15"/>
      <c r="F66" s="15"/>
      <c r="G66" s="15"/>
      <c r="H66" s="15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</row>
    <row r="67" spans="1:535" x14ac:dyDescent="0.2">
      <c r="A67" s="7"/>
      <c r="B67" s="15"/>
      <c r="C67" s="15"/>
      <c r="D67" s="15"/>
      <c r="E67" s="15"/>
      <c r="F67" s="15"/>
      <c r="G67" s="15"/>
      <c r="H67" s="15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</row>
    <row r="68" spans="1:535" x14ac:dyDescent="0.2">
      <c r="A68" s="7"/>
      <c r="B68" s="15"/>
      <c r="C68" s="15"/>
      <c r="D68" s="15"/>
      <c r="E68" s="15"/>
      <c r="F68" s="15"/>
      <c r="G68" s="15"/>
      <c r="H68" s="15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</row>
    <row r="69" spans="1:535" x14ac:dyDescent="0.2">
      <c r="A69" s="7"/>
      <c r="B69" s="15"/>
      <c r="C69" s="15"/>
      <c r="D69" s="15"/>
      <c r="E69" s="15"/>
      <c r="F69" s="15"/>
      <c r="G69" s="15"/>
      <c r="H69" s="15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</row>
    <row r="70" spans="1:535" x14ac:dyDescent="0.2">
      <c r="A70" s="7"/>
      <c r="B70" s="15"/>
      <c r="C70" s="15"/>
      <c r="D70" s="15"/>
      <c r="E70" s="15"/>
      <c r="F70" s="15"/>
      <c r="G70" s="15"/>
      <c r="H70" s="15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</row>
    <row r="71" spans="1:535" x14ac:dyDescent="0.2">
      <c r="A71" s="7"/>
      <c r="B71" s="15"/>
      <c r="C71" s="15"/>
      <c r="D71" s="15"/>
      <c r="E71" s="15"/>
      <c r="F71" s="15"/>
      <c r="G71" s="15"/>
      <c r="H71" s="15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</row>
    <row r="72" spans="1:535" x14ac:dyDescent="0.2">
      <c r="A72" s="7"/>
      <c r="B72" s="15"/>
      <c r="C72" s="15"/>
      <c r="D72" s="15"/>
      <c r="E72" s="15"/>
      <c r="F72" s="15"/>
      <c r="G72" s="15"/>
      <c r="H72" s="15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</row>
    <row r="73" spans="1:535" x14ac:dyDescent="0.2">
      <c r="A73" s="7"/>
      <c r="B73" s="15"/>
      <c r="C73" s="15"/>
      <c r="D73" s="15"/>
      <c r="E73" s="15"/>
      <c r="F73" s="15"/>
      <c r="G73" s="15"/>
      <c r="H73" s="15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</row>
    <row r="74" spans="1:535" x14ac:dyDescent="0.2">
      <c r="A74" s="7"/>
      <c r="B74" s="15"/>
      <c r="C74" s="15"/>
      <c r="D74" s="15"/>
      <c r="E74" s="15"/>
      <c r="F74" s="15"/>
      <c r="G74" s="15"/>
      <c r="H74" s="15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</row>
    <row r="75" spans="1:535" x14ac:dyDescent="0.2">
      <c r="A75" s="7"/>
      <c r="B75" s="15"/>
      <c r="C75" s="15"/>
      <c r="D75" s="15"/>
      <c r="E75" s="15"/>
      <c r="F75" s="15"/>
      <c r="G75" s="15"/>
      <c r="H75" s="15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</row>
    <row r="76" spans="1:535" x14ac:dyDescent="0.2">
      <c r="A76" s="7"/>
      <c r="B76" s="15"/>
      <c r="C76" s="15"/>
      <c r="D76" s="15"/>
      <c r="E76" s="15"/>
      <c r="F76" s="15"/>
      <c r="G76" s="15"/>
      <c r="H76" s="15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</row>
    <row r="77" spans="1:535" x14ac:dyDescent="0.2">
      <c r="A77" s="7"/>
      <c r="B77" s="15"/>
      <c r="C77" s="15"/>
      <c r="D77" s="15"/>
      <c r="E77" s="15"/>
      <c r="F77" s="15"/>
      <c r="G77" s="15"/>
      <c r="H77" s="15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</row>
    <row r="78" spans="1:535" x14ac:dyDescent="0.2">
      <c r="A78" s="7"/>
      <c r="B78" s="15"/>
      <c r="C78" s="15"/>
      <c r="D78" s="15"/>
      <c r="E78" s="15"/>
      <c r="F78" s="15"/>
      <c r="G78" s="15"/>
      <c r="H78" s="15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</row>
    <row r="79" spans="1:535" x14ac:dyDescent="0.2">
      <c r="A79" s="7"/>
      <c r="B79" s="15"/>
      <c r="C79" s="15"/>
      <c r="D79" s="15"/>
      <c r="E79" s="15"/>
      <c r="F79" s="15"/>
      <c r="G79" s="15"/>
      <c r="H79" s="15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</row>
    <row r="80" spans="1:535" x14ac:dyDescent="0.2">
      <c r="A80" s="7"/>
      <c r="B80" s="15"/>
      <c r="C80" s="15"/>
      <c r="D80" s="15"/>
      <c r="E80" s="15"/>
      <c r="F80" s="15"/>
      <c r="G80" s="15"/>
      <c r="H80" s="15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</row>
    <row r="81" spans="1:535" x14ac:dyDescent="0.2">
      <c r="A81" s="7"/>
      <c r="B81" s="15"/>
      <c r="C81" s="15"/>
      <c r="D81" s="15"/>
      <c r="E81" s="15"/>
      <c r="F81" s="15"/>
      <c r="G81" s="15"/>
      <c r="H81" s="15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</row>
    <row r="82" spans="1:535" x14ac:dyDescent="0.2">
      <c r="A82" s="7"/>
      <c r="B82" s="15"/>
      <c r="C82" s="15"/>
      <c r="D82" s="15"/>
      <c r="E82" s="15"/>
      <c r="F82" s="15"/>
      <c r="G82" s="15"/>
      <c r="H82" s="15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</row>
    <row r="83" spans="1:535" x14ac:dyDescent="0.2">
      <c r="A83" s="7"/>
      <c r="B83" s="15"/>
      <c r="C83" s="15"/>
      <c r="D83" s="15"/>
      <c r="E83" s="15"/>
      <c r="F83" s="15"/>
      <c r="G83" s="15"/>
      <c r="H83" s="15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</row>
    <row r="84" spans="1:535" x14ac:dyDescent="0.2">
      <c r="A84" s="7"/>
      <c r="B84" s="15"/>
      <c r="C84" s="15"/>
      <c r="D84" s="15"/>
      <c r="E84" s="15"/>
      <c r="F84" s="15"/>
      <c r="G84" s="15"/>
      <c r="H84" s="15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</row>
    <row r="85" spans="1:535" x14ac:dyDescent="0.2">
      <c r="A85" s="7"/>
      <c r="B85" s="15"/>
      <c r="C85" s="15"/>
      <c r="D85" s="15"/>
      <c r="E85" s="15"/>
      <c r="F85" s="15"/>
      <c r="G85" s="15"/>
      <c r="H85" s="15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</row>
    <row r="86" spans="1:535" x14ac:dyDescent="0.2">
      <c r="A86" s="7"/>
      <c r="B86" s="15"/>
      <c r="C86" s="15"/>
      <c r="D86" s="15"/>
      <c r="E86" s="15"/>
      <c r="F86" s="15"/>
      <c r="G86" s="15"/>
      <c r="H86" s="15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</row>
    <row r="87" spans="1:535" x14ac:dyDescent="0.2">
      <c r="A87" s="7"/>
      <c r="B87" s="15"/>
      <c r="C87" s="15"/>
      <c r="D87" s="15"/>
      <c r="E87" s="15"/>
      <c r="F87" s="15"/>
      <c r="G87" s="15"/>
      <c r="H87" s="15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</row>
    <row r="88" spans="1:535" x14ac:dyDescent="0.2">
      <c r="A88" s="7"/>
      <c r="B88" s="15"/>
      <c r="C88" s="15"/>
      <c r="D88" s="15"/>
      <c r="E88" s="15"/>
      <c r="F88" s="15"/>
      <c r="G88" s="15"/>
      <c r="H88" s="15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</row>
    <row r="89" spans="1:535" x14ac:dyDescent="0.2">
      <c r="A89" s="7"/>
      <c r="B89" s="15"/>
      <c r="C89" s="15"/>
      <c r="D89" s="15"/>
      <c r="E89" s="15"/>
      <c r="F89" s="15"/>
      <c r="G89" s="15"/>
      <c r="H89" s="15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</row>
    <row r="90" spans="1:535" x14ac:dyDescent="0.2">
      <c r="A90" s="7"/>
      <c r="B90" s="15"/>
      <c r="C90" s="15"/>
      <c r="D90" s="15"/>
      <c r="E90" s="15"/>
      <c r="F90" s="15"/>
      <c r="G90" s="15"/>
      <c r="H90" s="15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</row>
    <row r="91" spans="1:535" x14ac:dyDescent="0.2">
      <c r="A91" s="7"/>
      <c r="B91" s="15"/>
      <c r="C91" s="15"/>
      <c r="D91" s="15"/>
      <c r="E91" s="15"/>
      <c r="F91" s="15"/>
      <c r="G91" s="15"/>
      <c r="H91" s="15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</row>
    <row r="92" spans="1:535" x14ac:dyDescent="0.2">
      <c r="A92" s="7"/>
      <c r="B92" s="15"/>
      <c r="C92" s="15"/>
      <c r="D92" s="15"/>
      <c r="E92" s="15"/>
      <c r="F92" s="15"/>
      <c r="G92" s="15"/>
      <c r="H92" s="15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</row>
    <row r="93" spans="1:535" x14ac:dyDescent="0.2">
      <c r="A93" s="7"/>
      <c r="B93" s="15"/>
      <c r="C93" s="15"/>
      <c r="D93" s="15"/>
      <c r="E93" s="15"/>
      <c r="F93" s="15"/>
      <c r="G93" s="15"/>
      <c r="H93" s="15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</row>
    <row r="94" spans="1:535" x14ac:dyDescent="0.2">
      <c r="A94" s="7"/>
      <c r="B94" s="15"/>
      <c r="C94" s="15"/>
      <c r="D94" s="15"/>
      <c r="E94" s="15"/>
      <c r="F94" s="15"/>
      <c r="G94" s="15"/>
      <c r="H94" s="15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</row>
    <row r="95" spans="1:535" x14ac:dyDescent="0.2">
      <c r="A95" s="7"/>
      <c r="B95" s="15"/>
      <c r="C95" s="15"/>
      <c r="D95" s="15"/>
      <c r="E95" s="15"/>
      <c r="F95" s="15"/>
      <c r="G95" s="15"/>
      <c r="H95" s="15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</row>
    <row r="96" spans="1:535" x14ac:dyDescent="0.2">
      <c r="A96" s="7"/>
      <c r="B96" s="15"/>
      <c r="C96" s="15"/>
      <c r="D96" s="15"/>
      <c r="E96" s="15"/>
      <c r="F96" s="15"/>
      <c r="G96" s="15"/>
      <c r="H96" s="15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</row>
    <row r="97" spans="1:535" x14ac:dyDescent="0.2">
      <c r="A97" s="7"/>
      <c r="B97" s="15"/>
      <c r="C97" s="15"/>
      <c r="D97" s="15"/>
      <c r="E97" s="15"/>
      <c r="F97" s="15"/>
      <c r="G97" s="15"/>
      <c r="H97" s="15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</row>
    <row r="98" spans="1:535" x14ac:dyDescent="0.2">
      <c r="A98" s="7"/>
      <c r="B98" s="15"/>
      <c r="C98" s="15"/>
      <c r="D98" s="15"/>
      <c r="E98" s="15"/>
      <c r="F98" s="15"/>
      <c r="G98" s="15"/>
      <c r="H98" s="15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</row>
    <row r="99" spans="1:535" x14ac:dyDescent="0.2">
      <c r="A99" s="7"/>
      <c r="B99" s="15"/>
      <c r="C99" s="15"/>
      <c r="D99" s="15"/>
      <c r="E99" s="15"/>
      <c r="F99" s="15"/>
      <c r="G99" s="15"/>
      <c r="H99" s="15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</row>
    <row r="100" spans="1:535" x14ac:dyDescent="0.2">
      <c r="A100" s="7"/>
      <c r="B100" s="15"/>
      <c r="C100" s="15"/>
      <c r="D100" s="15"/>
      <c r="E100" s="15"/>
      <c r="F100" s="15"/>
      <c r="G100" s="15"/>
      <c r="H100" s="15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  <c r="EP100" s="9"/>
      <c r="EQ100" s="9"/>
      <c r="ER100" s="9"/>
      <c r="ES100" s="9"/>
      <c r="ET100" s="9"/>
      <c r="EU100" s="9"/>
      <c r="EV100" s="9"/>
      <c r="EW100" s="9"/>
      <c r="EX100" s="9"/>
      <c r="EY100" s="9"/>
      <c r="EZ100" s="9"/>
      <c r="FA100" s="9"/>
      <c r="FB100" s="9"/>
      <c r="FC100" s="9"/>
      <c r="FD100" s="9"/>
      <c r="FE100" s="9"/>
      <c r="FF100" s="9"/>
      <c r="FG100" s="9"/>
      <c r="FH100" s="9"/>
      <c r="FI100" s="9"/>
      <c r="FJ100" s="9"/>
      <c r="FK100" s="9"/>
      <c r="FL100" s="9"/>
      <c r="FM100" s="9"/>
      <c r="FN100" s="9"/>
      <c r="FO100" s="9"/>
      <c r="FP100" s="9"/>
      <c r="FQ100" s="9"/>
      <c r="FR100" s="9"/>
      <c r="FS100" s="9"/>
      <c r="FT100" s="9"/>
      <c r="FU100" s="9"/>
      <c r="FV100" s="9"/>
      <c r="FW100" s="9"/>
      <c r="FX100" s="9"/>
      <c r="FY100" s="9"/>
      <c r="FZ100" s="9"/>
      <c r="GA100" s="9"/>
      <c r="GB100" s="9"/>
      <c r="GC100" s="9"/>
      <c r="GD100" s="9"/>
      <c r="GE100" s="9"/>
      <c r="GF100" s="9"/>
      <c r="GG100" s="9"/>
      <c r="GH100" s="9"/>
      <c r="GI100" s="9"/>
      <c r="GJ100" s="9"/>
      <c r="GK100" s="9"/>
      <c r="GL100" s="9"/>
      <c r="GM100" s="9"/>
      <c r="GN100" s="9"/>
      <c r="GO100" s="9"/>
      <c r="GP100" s="9"/>
      <c r="GQ100" s="9"/>
      <c r="GR100" s="9"/>
      <c r="GS100" s="9"/>
      <c r="GT100" s="9"/>
      <c r="GU100" s="9"/>
      <c r="GV100" s="9"/>
      <c r="GW100" s="9"/>
      <c r="GX100" s="9"/>
      <c r="GY100" s="9"/>
      <c r="GZ100" s="9"/>
      <c r="HA100" s="9"/>
      <c r="HB100" s="9"/>
      <c r="HC100" s="9"/>
      <c r="HD100" s="9"/>
      <c r="HE100" s="9"/>
      <c r="HF100" s="9"/>
      <c r="HG100" s="9"/>
      <c r="HH100" s="9"/>
      <c r="HI100" s="9"/>
      <c r="HJ100" s="9"/>
      <c r="HK100" s="9"/>
      <c r="HL100" s="9"/>
      <c r="HM100" s="9"/>
      <c r="HN100" s="9"/>
      <c r="HO100" s="9"/>
      <c r="HP100" s="9"/>
      <c r="HQ100" s="9"/>
      <c r="HR100" s="9"/>
      <c r="HS100" s="9"/>
      <c r="HT100" s="9"/>
      <c r="HU100" s="9"/>
      <c r="HV100" s="9"/>
      <c r="HW100" s="9"/>
      <c r="HX100" s="9"/>
      <c r="HY100" s="9"/>
      <c r="HZ100" s="9"/>
      <c r="IA100" s="9"/>
      <c r="IB100" s="9"/>
      <c r="IC100" s="9"/>
      <c r="ID100" s="9"/>
      <c r="IE100" s="9"/>
      <c r="IF100" s="9"/>
      <c r="IG100" s="9"/>
      <c r="IH100" s="9"/>
      <c r="II100" s="9"/>
      <c r="IJ100" s="9"/>
      <c r="IK100" s="9"/>
      <c r="IL100" s="9"/>
      <c r="IM100" s="9"/>
      <c r="IN100" s="9"/>
      <c r="IO100" s="9"/>
      <c r="IP100" s="9"/>
      <c r="IQ100" s="9"/>
      <c r="IR100" s="9"/>
      <c r="IS100" s="9"/>
      <c r="IT100" s="9"/>
      <c r="IU100" s="9"/>
      <c r="IV100" s="9"/>
      <c r="IW100" s="9"/>
      <c r="IX100" s="9"/>
      <c r="IY100" s="9"/>
      <c r="IZ100" s="9"/>
      <c r="JA100" s="9"/>
      <c r="JB100" s="9"/>
      <c r="JC100" s="9"/>
      <c r="JD100" s="9"/>
      <c r="JE100" s="9"/>
      <c r="JF100" s="9"/>
      <c r="JG100" s="9"/>
      <c r="JH100" s="9"/>
      <c r="JI100" s="9"/>
      <c r="JJ100" s="9"/>
      <c r="JK100" s="9"/>
      <c r="JL100" s="9"/>
      <c r="JM100" s="9"/>
      <c r="JN100" s="9"/>
      <c r="JO100" s="9"/>
      <c r="JP100" s="9"/>
      <c r="JQ100" s="9"/>
      <c r="JR100" s="9"/>
      <c r="JS100" s="9"/>
      <c r="JT100" s="9"/>
      <c r="JU100" s="9"/>
      <c r="JV100" s="9"/>
      <c r="JW100" s="9"/>
      <c r="JX100" s="9"/>
      <c r="JY100" s="9"/>
      <c r="JZ100" s="9"/>
      <c r="KA100" s="9"/>
      <c r="KB100" s="9"/>
      <c r="KC100" s="9"/>
      <c r="KD100" s="9"/>
      <c r="KE100" s="9"/>
      <c r="KF100" s="9"/>
      <c r="KG100" s="9"/>
      <c r="KH100" s="9"/>
      <c r="KI100" s="9"/>
      <c r="KJ100" s="9"/>
      <c r="KK100" s="9"/>
      <c r="KL100" s="9"/>
      <c r="KM100" s="9"/>
      <c r="KN100" s="9"/>
      <c r="KO100" s="9"/>
      <c r="KP100" s="9"/>
      <c r="KQ100" s="9"/>
      <c r="KR100" s="9"/>
      <c r="KS100" s="9"/>
      <c r="KT100" s="9"/>
      <c r="KU100" s="9"/>
      <c r="KV100" s="9"/>
      <c r="KW100" s="9"/>
      <c r="KX100" s="9"/>
      <c r="KY100" s="9"/>
      <c r="KZ100" s="9"/>
      <c r="LA100" s="9"/>
      <c r="LB100" s="9"/>
      <c r="LC100" s="9"/>
      <c r="LD100" s="9"/>
      <c r="LE100" s="9"/>
      <c r="LF100" s="9"/>
      <c r="LG100" s="9"/>
      <c r="LH100" s="9"/>
      <c r="LI100" s="9"/>
      <c r="LJ100" s="9"/>
      <c r="LK100" s="9"/>
      <c r="LL100" s="9"/>
      <c r="LM100" s="9"/>
      <c r="LN100" s="9"/>
      <c r="LO100" s="9"/>
      <c r="LP100" s="9"/>
      <c r="LQ100" s="9"/>
      <c r="LR100" s="9"/>
      <c r="LS100" s="9"/>
      <c r="LT100" s="9"/>
      <c r="LU100" s="9"/>
      <c r="LV100" s="9"/>
      <c r="LW100" s="9"/>
      <c r="LX100" s="9"/>
      <c r="LY100" s="9"/>
      <c r="LZ100" s="9"/>
      <c r="MA100" s="9"/>
      <c r="MB100" s="9"/>
      <c r="MC100" s="9"/>
      <c r="MD100" s="9"/>
      <c r="ME100" s="9"/>
      <c r="MF100" s="9"/>
      <c r="MG100" s="9"/>
      <c r="MH100" s="9"/>
      <c r="MI100" s="9"/>
      <c r="MJ100" s="9"/>
      <c r="MK100" s="9"/>
      <c r="ML100" s="9"/>
      <c r="MM100" s="9"/>
      <c r="MN100" s="9"/>
      <c r="MO100" s="9"/>
      <c r="MP100" s="9"/>
      <c r="MQ100" s="9"/>
      <c r="MR100" s="9"/>
      <c r="MS100" s="9"/>
      <c r="MT100" s="9"/>
      <c r="MU100" s="9"/>
      <c r="MV100" s="9"/>
      <c r="MW100" s="9"/>
      <c r="MX100" s="9"/>
      <c r="MY100" s="9"/>
      <c r="MZ100" s="9"/>
      <c r="NA100" s="9"/>
      <c r="NB100" s="9"/>
      <c r="NC100" s="9"/>
      <c r="ND100" s="9"/>
      <c r="NE100" s="9"/>
      <c r="NF100" s="9"/>
      <c r="NG100" s="9"/>
      <c r="NH100" s="9"/>
      <c r="NI100" s="9"/>
      <c r="NJ100" s="9"/>
      <c r="NK100" s="9"/>
      <c r="NL100" s="9"/>
      <c r="NM100" s="9"/>
      <c r="NN100" s="9"/>
      <c r="NO100" s="9"/>
      <c r="NP100" s="9"/>
      <c r="NQ100" s="9"/>
      <c r="NR100" s="9"/>
      <c r="NS100" s="9"/>
      <c r="NT100" s="9"/>
      <c r="NU100" s="9"/>
      <c r="NV100" s="9"/>
      <c r="NW100" s="9"/>
      <c r="NX100" s="9"/>
      <c r="NY100" s="9"/>
      <c r="NZ100" s="9"/>
      <c r="OA100" s="9"/>
      <c r="OB100" s="9"/>
      <c r="OC100" s="9"/>
      <c r="OD100" s="9"/>
      <c r="OE100" s="9"/>
      <c r="OF100" s="9"/>
      <c r="OG100" s="9"/>
      <c r="OH100" s="9"/>
      <c r="OI100" s="9"/>
      <c r="OJ100" s="9"/>
      <c r="OK100" s="9"/>
      <c r="OL100" s="9"/>
      <c r="OM100" s="9"/>
      <c r="ON100" s="9"/>
      <c r="OO100" s="9"/>
      <c r="OP100" s="9"/>
      <c r="OQ100" s="9"/>
      <c r="OR100" s="9"/>
      <c r="OS100" s="9"/>
      <c r="OT100" s="9"/>
      <c r="OU100" s="9"/>
      <c r="OV100" s="9"/>
      <c r="OW100" s="9"/>
      <c r="OX100" s="9"/>
      <c r="OY100" s="9"/>
      <c r="OZ100" s="9"/>
      <c r="PA100" s="9"/>
      <c r="PB100" s="9"/>
      <c r="PC100" s="9"/>
      <c r="PD100" s="9"/>
      <c r="PE100" s="9"/>
      <c r="PF100" s="9"/>
      <c r="PG100" s="9"/>
      <c r="PH100" s="9"/>
      <c r="PI100" s="9"/>
      <c r="PJ100" s="9"/>
      <c r="PK100" s="9"/>
      <c r="PL100" s="9"/>
      <c r="PM100" s="9"/>
      <c r="PN100" s="9"/>
      <c r="PO100" s="9"/>
      <c r="PP100" s="9"/>
      <c r="PQ100" s="9"/>
      <c r="PR100" s="9"/>
      <c r="PS100" s="9"/>
      <c r="PT100" s="9"/>
      <c r="PU100" s="9"/>
      <c r="PV100" s="9"/>
      <c r="PW100" s="9"/>
      <c r="PX100" s="9"/>
      <c r="PY100" s="9"/>
      <c r="PZ100" s="9"/>
      <c r="QA100" s="9"/>
      <c r="QB100" s="9"/>
      <c r="QC100" s="9"/>
      <c r="QD100" s="9"/>
      <c r="QE100" s="9"/>
      <c r="QF100" s="9"/>
      <c r="QG100" s="9"/>
      <c r="QH100" s="9"/>
      <c r="QI100" s="9"/>
      <c r="QJ100" s="9"/>
      <c r="QK100" s="9"/>
      <c r="QL100" s="9"/>
      <c r="QM100" s="9"/>
      <c r="QN100" s="9"/>
      <c r="QO100" s="9"/>
      <c r="QP100" s="9"/>
      <c r="QQ100" s="9"/>
      <c r="QR100" s="9"/>
      <c r="QS100" s="9"/>
      <c r="QT100" s="9"/>
      <c r="QU100" s="9"/>
      <c r="QV100" s="9"/>
      <c r="QW100" s="9"/>
      <c r="QX100" s="9"/>
      <c r="QY100" s="9"/>
      <c r="QZ100" s="9"/>
      <c r="RA100" s="9"/>
      <c r="RB100" s="9"/>
      <c r="RC100" s="9"/>
      <c r="RD100" s="9"/>
      <c r="RE100" s="9"/>
      <c r="RF100" s="9"/>
      <c r="RG100" s="9"/>
      <c r="RH100" s="9"/>
      <c r="RI100" s="9"/>
      <c r="RJ100" s="9"/>
      <c r="RK100" s="9"/>
      <c r="RL100" s="9"/>
      <c r="RM100" s="9"/>
      <c r="RN100" s="9"/>
      <c r="RO100" s="9"/>
      <c r="RP100" s="9"/>
      <c r="RQ100" s="9"/>
      <c r="RR100" s="9"/>
      <c r="RS100" s="9"/>
      <c r="RT100" s="9"/>
      <c r="RU100" s="9"/>
      <c r="RV100" s="9"/>
      <c r="RW100" s="9"/>
      <c r="RX100" s="9"/>
      <c r="RY100" s="9"/>
      <c r="RZ100" s="9"/>
      <c r="SA100" s="9"/>
      <c r="SB100" s="9"/>
      <c r="SC100" s="9"/>
      <c r="SD100" s="9"/>
      <c r="SE100" s="9"/>
      <c r="SF100" s="9"/>
      <c r="SG100" s="9"/>
      <c r="SH100" s="9"/>
      <c r="SI100" s="9"/>
      <c r="SJ100" s="9"/>
      <c r="SK100" s="8"/>
      <c r="SL100" s="8"/>
      <c r="SM100" s="8"/>
      <c r="SN100" s="8"/>
      <c r="SO100" s="8"/>
      <c r="SP100" s="8"/>
      <c r="SQ100" s="8"/>
      <c r="SR100" s="8"/>
      <c r="SS100" s="8"/>
      <c r="ST100" s="8"/>
      <c r="SU100" s="8"/>
      <c r="SV100" s="8"/>
      <c r="SW100" s="8"/>
      <c r="SX100" s="8"/>
      <c r="SY100" s="8"/>
      <c r="SZ100" s="8"/>
      <c r="TA100" s="8"/>
      <c r="TB100" s="8"/>
      <c r="TC100" s="8"/>
      <c r="TD100" s="8"/>
      <c r="TE100" s="8"/>
      <c r="TF100" s="8"/>
      <c r="TG100" s="8"/>
      <c r="TH100" s="8"/>
      <c r="TI100" s="8"/>
      <c r="TJ100" s="8"/>
      <c r="TK100" s="8"/>
      <c r="TL100" s="8"/>
      <c r="TM100" s="8"/>
      <c r="TN100" s="8"/>
      <c r="TO100" s="8"/>
    </row>
    <row r="101" spans="1:535" x14ac:dyDescent="0.2">
      <c r="A101" s="7"/>
      <c r="B101" s="15"/>
      <c r="C101" s="15"/>
      <c r="D101" s="15"/>
      <c r="E101" s="15"/>
      <c r="F101" s="15"/>
      <c r="G101" s="15"/>
      <c r="H101" s="15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  <c r="EP101" s="9"/>
      <c r="EQ101" s="9"/>
      <c r="ER101" s="9"/>
      <c r="ES101" s="9"/>
      <c r="ET101" s="9"/>
      <c r="EU101" s="9"/>
      <c r="EV101" s="9"/>
      <c r="EW101" s="9"/>
      <c r="EX101" s="9"/>
      <c r="EY101" s="9"/>
      <c r="EZ101" s="9"/>
      <c r="FA101" s="9"/>
      <c r="FB101" s="9"/>
      <c r="FC101" s="9"/>
      <c r="FD101" s="9"/>
      <c r="FE101" s="9"/>
      <c r="FF101" s="9"/>
      <c r="FG101" s="9"/>
      <c r="FH101" s="9"/>
      <c r="FI101" s="9"/>
      <c r="FJ101" s="9"/>
      <c r="FK101" s="9"/>
      <c r="FL101" s="9"/>
      <c r="FM101" s="9"/>
      <c r="FN101" s="9"/>
      <c r="FO101" s="9"/>
      <c r="FP101" s="9"/>
      <c r="FQ101" s="9"/>
      <c r="FR101" s="9"/>
      <c r="FS101" s="9"/>
      <c r="FT101" s="9"/>
      <c r="FU101" s="9"/>
      <c r="FV101" s="9"/>
      <c r="FW101" s="9"/>
      <c r="FX101" s="9"/>
      <c r="FY101" s="9"/>
      <c r="FZ101" s="9"/>
      <c r="GA101" s="9"/>
      <c r="GB101" s="9"/>
      <c r="GC101" s="9"/>
      <c r="GD101" s="9"/>
      <c r="GE101" s="9"/>
      <c r="GF101" s="9"/>
      <c r="GG101" s="9"/>
      <c r="GH101" s="9"/>
      <c r="GI101" s="9"/>
      <c r="GJ101" s="9"/>
      <c r="GK101" s="9"/>
      <c r="GL101" s="9"/>
      <c r="GM101" s="9"/>
      <c r="GN101" s="9"/>
      <c r="GO101" s="9"/>
      <c r="GP101" s="9"/>
      <c r="GQ101" s="9"/>
      <c r="GR101" s="9"/>
      <c r="GS101" s="9"/>
      <c r="GT101" s="9"/>
      <c r="GU101" s="9"/>
      <c r="GV101" s="9"/>
      <c r="GW101" s="9"/>
      <c r="GX101" s="9"/>
      <c r="GY101" s="9"/>
      <c r="GZ101" s="9"/>
      <c r="HA101" s="9"/>
      <c r="HB101" s="9"/>
      <c r="HC101" s="9"/>
      <c r="HD101" s="9"/>
      <c r="HE101" s="9"/>
      <c r="HF101" s="9"/>
      <c r="HG101" s="9"/>
      <c r="HH101" s="9"/>
      <c r="HI101" s="9"/>
      <c r="HJ101" s="9"/>
      <c r="HK101" s="9"/>
      <c r="HL101" s="9"/>
      <c r="HM101" s="9"/>
      <c r="HN101" s="9"/>
      <c r="HO101" s="9"/>
      <c r="HP101" s="9"/>
      <c r="HQ101" s="9"/>
      <c r="HR101" s="9"/>
      <c r="HS101" s="9"/>
      <c r="HT101" s="9"/>
      <c r="HU101" s="9"/>
      <c r="HV101" s="9"/>
      <c r="HW101" s="9"/>
      <c r="HX101" s="9"/>
      <c r="HY101" s="9"/>
      <c r="HZ101" s="9"/>
      <c r="IA101" s="9"/>
      <c r="IB101" s="9"/>
      <c r="IC101" s="9"/>
      <c r="ID101" s="9"/>
      <c r="IE101" s="9"/>
      <c r="IF101" s="9"/>
      <c r="IG101" s="9"/>
      <c r="IH101" s="9"/>
      <c r="II101" s="9"/>
      <c r="IJ101" s="9"/>
      <c r="IK101" s="9"/>
      <c r="IL101" s="9"/>
      <c r="IM101" s="9"/>
      <c r="IN101" s="9"/>
      <c r="IO101" s="9"/>
      <c r="IP101" s="9"/>
      <c r="IQ101" s="9"/>
      <c r="IR101" s="9"/>
      <c r="IS101" s="9"/>
      <c r="IT101" s="9"/>
      <c r="IU101" s="9"/>
      <c r="IV101" s="9"/>
      <c r="IW101" s="9"/>
      <c r="IX101" s="9"/>
      <c r="IY101" s="9"/>
      <c r="IZ101" s="9"/>
      <c r="JA101" s="9"/>
      <c r="JB101" s="9"/>
      <c r="JC101" s="9"/>
      <c r="JD101" s="9"/>
      <c r="JE101" s="9"/>
      <c r="JF101" s="9"/>
      <c r="JG101" s="9"/>
      <c r="JH101" s="9"/>
      <c r="JI101" s="9"/>
      <c r="JJ101" s="9"/>
      <c r="JK101" s="9"/>
      <c r="JL101" s="9"/>
      <c r="JM101" s="9"/>
      <c r="JN101" s="9"/>
      <c r="JO101" s="9"/>
      <c r="JP101" s="9"/>
      <c r="JQ101" s="9"/>
      <c r="JR101" s="9"/>
      <c r="JS101" s="9"/>
      <c r="JT101" s="9"/>
      <c r="JU101" s="9"/>
      <c r="JV101" s="9"/>
      <c r="JW101" s="9"/>
      <c r="JX101" s="9"/>
      <c r="JY101" s="9"/>
      <c r="JZ101" s="9"/>
      <c r="KA101" s="9"/>
      <c r="KB101" s="9"/>
      <c r="KC101" s="9"/>
      <c r="KD101" s="9"/>
      <c r="KE101" s="9"/>
      <c r="KF101" s="9"/>
      <c r="KG101" s="9"/>
      <c r="KH101" s="9"/>
      <c r="KI101" s="9"/>
      <c r="KJ101" s="9"/>
      <c r="KK101" s="9"/>
      <c r="KL101" s="9"/>
      <c r="KM101" s="9"/>
      <c r="KN101" s="9"/>
      <c r="KO101" s="9"/>
      <c r="KP101" s="9"/>
      <c r="KQ101" s="9"/>
      <c r="KR101" s="9"/>
      <c r="KS101" s="9"/>
      <c r="KT101" s="9"/>
      <c r="KU101" s="9"/>
      <c r="KV101" s="9"/>
      <c r="KW101" s="9"/>
      <c r="KX101" s="9"/>
      <c r="KY101" s="9"/>
      <c r="KZ101" s="9"/>
      <c r="LA101" s="9"/>
      <c r="LB101" s="9"/>
      <c r="LC101" s="9"/>
      <c r="LD101" s="9"/>
      <c r="LE101" s="9"/>
      <c r="LF101" s="9"/>
      <c r="LG101" s="9"/>
      <c r="LH101" s="9"/>
      <c r="LI101" s="9"/>
      <c r="LJ101" s="9"/>
      <c r="LK101" s="9"/>
      <c r="LL101" s="9"/>
      <c r="LM101" s="9"/>
      <c r="LN101" s="9"/>
      <c r="LO101" s="9"/>
      <c r="LP101" s="9"/>
      <c r="LQ101" s="9"/>
      <c r="LR101" s="9"/>
      <c r="LS101" s="9"/>
      <c r="LT101" s="9"/>
      <c r="LU101" s="9"/>
      <c r="LV101" s="9"/>
      <c r="LW101" s="9"/>
      <c r="LX101" s="9"/>
      <c r="LY101" s="9"/>
      <c r="LZ101" s="9"/>
      <c r="MA101" s="9"/>
      <c r="MB101" s="9"/>
      <c r="MC101" s="9"/>
      <c r="MD101" s="9"/>
      <c r="ME101" s="9"/>
      <c r="MF101" s="9"/>
      <c r="MG101" s="9"/>
      <c r="MH101" s="9"/>
      <c r="MI101" s="9"/>
      <c r="MJ101" s="9"/>
      <c r="MK101" s="9"/>
      <c r="ML101" s="9"/>
      <c r="MM101" s="9"/>
      <c r="MN101" s="9"/>
      <c r="MO101" s="9"/>
      <c r="MP101" s="9"/>
      <c r="MQ101" s="9"/>
      <c r="MR101" s="9"/>
      <c r="MS101" s="9"/>
      <c r="MT101" s="9"/>
      <c r="MU101" s="9"/>
      <c r="MV101" s="9"/>
      <c r="MW101" s="9"/>
      <c r="MX101" s="9"/>
      <c r="MY101" s="9"/>
      <c r="MZ101" s="9"/>
      <c r="NA101" s="9"/>
      <c r="NB101" s="9"/>
      <c r="NC101" s="9"/>
      <c r="ND101" s="9"/>
      <c r="NE101" s="9"/>
      <c r="NF101" s="9"/>
      <c r="NG101" s="9"/>
      <c r="NH101" s="9"/>
      <c r="NI101" s="9"/>
      <c r="NJ101" s="9"/>
      <c r="NK101" s="9"/>
      <c r="NL101" s="9"/>
      <c r="NM101" s="9"/>
      <c r="NN101" s="9"/>
      <c r="NO101" s="9"/>
      <c r="NP101" s="9"/>
      <c r="NQ101" s="9"/>
      <c r="NR101" s="9"/>
      <c r="NS101" s="9"/>
      <c r="NT101" s="9"/>
      <c r="NU101" s="9"/>
      <c r="NV101" s="9"/>
      <c r="NW101" s="9"/>
      <c r="NX101" s="9"/>
      <c r="NY101" s="9"/>
      <c r="NZ101" s="9"/>
      <c r="OA101" s="9"/>
      <c r="OB101" s="9"/>
      <c r="OC101" s="9"/>
      <c r="OD101" s="9"/>
      <c r="OE101" s="9"/>
      <c r="OF101" s="9"/>
      <c r="OG101" s="9"/>
      <c r="OH101" s="9"/>
      <c r="OI101" s="9"/>
      <c r="OJ101" s="9"/>
      <c r="OK101" s="9"/>
      <c r="OL101" s="9"/>
      <c r="OM101" s="9"/>
      <c r="ON101" s="9"/>
      <c r="OO101" s="9"/>
      <c r="OP101" s="9"/>
      <c r="OQ101" s="9"/>
      <c r="OR101" s="9"/>
      <c r="OS101" s="9"/>
      <c r="OT101" s="9"/>
      <c r="OU101" s="9"/>
      <c r="OV101" s="9"/>
      <c r="OW101" s="9"/>
      <c r="OX101" s="9"/>
      <c r="OY101" s="9"/>
      <c r="OZ101" s="9"/>
      <c r="PA101" s="9"/>
      <c r="PB101" s="9"/>
      <c r="PC101" s="9"/>
      <c r="PD101" s="9"/>
      <c r="PE101" s="9"/>
      <c r="PF101" s="9"/>
      <c r="PG101" s="9"/>
      <c r="PH101" s="9"/>
      <c r="PI101" s="9"/>
      <c r="PJ101" s="9"/>
      <c r="PK101" s="9"/>
      <c r="PL101" s="9"/>
      <c r="PM101" s="9"/>
      <c r="PN101" s="9"/>
      <c r="PO101" s="9"/>
      <c r="PP101" s="9"/>
      <c r="PQ101" s="9"/>
      <c r="PR101" s="9"/>
      <c r="PS101" s="9"/>
      <c r="PT101" s="9"/>
      <c r="PU101" s="9"/>
      <c r="PV101" s="9"/>
      <c r="PW101" s="9"/>
      <c r="PX101" s="9"/>
      <c r="PY101" s="9"/>
      <c r="PZ101" s="9"/>
      <c r="QA101" s="9"/>
      <c r="QB101" s="9"/>
      <c r="QC101" s="9"/>
      <c r="QD101" s="9"/>
      <c r="QE101" s="9"/>
      <c r="QF101" s="9"/>
      <c r="QG101" s="9"/>
      <c r="QH101" s="9"/>
      <c r="QI101" s="9"/>
      <c r="QJ101" s="9"/>
      <c r="QK101" s="9"/>
      <c r="QL101" s="9"/>
      <c r="QM101" s="9"/>
      <c r="QN101" s="9"/>
      <c r="QO101" s="9"/>
      <c r="QP101" s="9"/>
      <c r="QQ101" s="9"/>
      <c r="QR101" s="9"/>
      <c r="QS101" s="9"/>
      <c r="QT101" s="9"/>
      <c r="QU101" s="9"/>
      <c r="QV101" s="9"/>
      <c r="QW101" s="9"/>
      <c r="QX101" s="9"/>
      <c r="QY101" s="9"/>
      <c r="QZ101" s="9"/>
      <c r="RA101" s="9"/>
      <c r="RB101" s="9"/>
      <c r="RC101" s="9"/>
      <c r="RD101" s="9"/>
      <c r="RE101" s="9"/>
      <c r="RF101" s="9"/>
      <c r="RG101" s="9"/>
      <c r="RH101" s="9"/>
      <c r="RI101" s="9"/>
      <c r="RJ101" s="9"/>
      <c r="RK101" s="9"/>
      <c r="RL101" s="9"/>
      <c r="RM101" s="9"/>
      <c r="RN101" s="9"/>
      <c r="RO101" s="9"/>
      <c r="RP101" s="9"/>
      <c r="RQ101" s="9"/>
      <c r="RR101" s="9"/>
      <c r="RS101" s="9"/>
      <c r="RT101" s="9"/>
      <c r="RU101" s="9"/>
      <c r="RV101" s="9"/>
      <c r="RW101" s="9"/>
      <c r="RX101" s="9"/>
      <c r="RY101" s="9"/>
      <c r="RZ101" s="9"/>
      <c r="SA101" s="9"/>
      <c r="SB101" s="9"/>
      <c r="SC101" s="9"/>
      <c r="SD101" s="9"/>
      <c r="SE101" s="9"/>
      <c r="SF101" s="9"/>
      <c r="SG101" s="9"/>
      <c r="SH101" s="9"/>
      <c r="SI101" s="9"/>
      <c r="SJ101" s="9"/>
      <c r="SK101" s="8"/>
      <c r="SL101" s="8"/>
      <c r="SM101" s="8"/>
      <c r="SN101" s="8"/>
      <c r="SO101" s="8"/>
      <c r="SP101" s="8"/>
      <c r="SQ101" s="8"/>
      <c r="SR101" s="8"/>
      <c r="SS101" s="8"/>
      <c r="ST101" s="8"/>
      <c r="SU101" s="8"/>
      <c r="SV101" s="8"/>
      <c r="SW101" s="8"/>
      <c r="SX101" s="8"/>
      <c r="SY101" s="8"/>
      <c r="SZ101" s="8"/>
      <c r="TA101" s="8"/>
      <c r="TB101" s="8"/>
      <c r="TC101" s="8"/>
      <c r="TD101" s="8"/>
      <c r="TE101" s="8"/>
      <c r="TF101" s="8"/>
      <c r="TG101" s="8"/>
      <c r="TH101" s="8"/>
      <c r="TI101" s="8"/>
      <c r="TJ101" s="8"/>
      <c r="TK101" s="8"/>
      <c r="TL101" s="8"/>
      <c r="TM101" s="8"/>
      <c r="TN101" s="8"/>
      <c r="TO101" s="8"/>
    </row>
    <row r="102" spans="1:535" x14ac:dyDescent="0.2">
      <c r="A102" s="7"/>
      <c r="B102" s="15"/>
      <c r="C102" s="15"/>
      <c r="D102" s="15"/>
      <c r="E102" s="15"/>
      <c r="F102" s="15"/>
      <c r="G102" s="15"/>
      <c r="H102" s="15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9"/>
      <c r="EP102" s="9"/>
      <c r="EQ102" s="9"/>
      <c r="ER102" s="9"/>
      <c r="ES102" s="9"/>
      <c r="ET102" s="9"/>
      <c r="EU102" s="9"/>
      <c r="EV102" s="9"/>
      <c r="EW102" s="9"/>
      <c r="EX102" s="9"/>
      <c r="EY102" s="9"/>
      <c r="EZ102" s="9"/>
      <c r="FA102" s="9"/>
      <c r="FB102" s="9"/>
      <c r="FC102" s="9"/>
      <c r="FD102" s="9"/>
      <c r="FE102" s="9"/>
      <c r="FF102" s="9"/>
      <c r="FG102" s="9"/>
      <c r="FH102" s="9"/>
      <c r="FI102" s="9"/>
      <c r="FJ102" s="9"/>
      <c r="FK102" s="9"/>
      <c r="FL102" s="9"/>
      <c r="FM102" s="9"/>
      <c r="FN102" s="9"/>
      <c r="FO102" s="9"/>
      <c r="FP102" s="9"/>
      <c r="FQ102" s="9"/>
      <c r="FR102" s="9"/>
      <c r="FS102" s="9"/>
      <c r="FT102" s="9"/>
      <c r="FU102" s="9"/>
      <c r="FV102" s="9"/>
      <c r="FW102" s="9"/>
      <c r="FX102" s="9"/>
      <c r="FY102" s="9"/>
      <c r="FZ102" s="9"/>
      <c r="GA102" s="9"/>
      <c r="GB102" s="9"/>
      <c r="GC102" s="9"/>
      <c r="GD102" s="9"/>
      <c r="GE102" s="9"/>
      <c r="GF102" s="9"/>
      <c r="GG102" s="9"/>
      <c r="GH102" s="9"/>
      <c r="GI102" s="9"/>
      <c r="GJ102" s="9"/>
      <c r="GK102" s="9"/>
      <c r="GL102" s="9"/>
      <c r="GM102" s="9"/>
      <c r="GN102" s="9"/>
      <c r="GO102" s="9"/>
      <c r="GP102" s="9"/>
      <c r="GQ102" s="9"/>
      <c r="GR102" s="9"/>
      <c r="GS102" s="9"/>
      <c r="GT102" s="9"/>
      <c r="GU102" s="9"/>
      <c r="GV102" s="9"/>
      <c r="GW102" s="9"/>
      <c r="GX102" s="9"/>
      <c r="GY102" s="9"/>
      <c r="GZ102" s="9"/>
      <c r="HA102" s="9"/>
      <c r="HB102" s="9"/>
      <c r="HC102" s="9"/>
      <c r="HD102" s="9"/>
      <c r="HE102" s="9"/>
      <c r="HF102" s="9"/>
      <c r="HG102" s="9"/>
      <c r="HH102" s="9"/>
      <c r="HI102" s="9"/>
      <c r="HJ102" s="9"/>
      <c r="HK102" s="9"/>
      <c r="HL102" s="9"/>
      <c r="HM102" s="9"/>
      <c r="HN102" s="9"/>
      <c r="HO102" s="9"/>
      <c r="HP102" s="9"/>
      <c r="HQ102" s="9"/>
      <c r="HR102" s="9"/>
      <c r="HS102" s="9"/>
      <c r="HT102" s="9"/>
      <c r="HU102" s="9"/>
      <c r="HV102" s="9"/>
      <c r="HW102" s="9"/>
      <c r="HX102" s="9"/>
      <c r="HY102" s="9"/>
      <c r="HZ102" s="9"/>
      <c r="IA102" s="9"/>
      <c r="IB102" s="9"/>
      <c r="IC102" s="9"/>
      <c r="ID102" s="9"/>
      <c r="IE102" s="9"/>
      <c r="IF102" s="9"/>
      <c r="IG102" s="9"/>
      <c r="IH102" s="9"/>
      <c r="II102" s="9"/>
      <c r="IJ102" s="9"/>
      <c r="IK102" s="9"/>
      <c r="IL102" s="9"/>
      <c r="IM102" s="9"/>
      <c r="IN102" s="9"/>
      <c r="IO102" s="9"/>
      <c r="IP102" s="9"/>
      <c r="IQ102" s="9"/>
      <c r="IR102" s="9"/>
      <c r="IS102" s="9"/>
      <c r="IT102" s="9"/>
      <c r="IU102" s="9"/>
      <c r="IV102" s="9"/>
      <c r="IW102" s="9"/>
      <c r="IX102" s="9"/>
      <c r="IY102" s="9"/>
      <c r="IZ102" s="9"/>
      <c r="JA102" s="9"/>
      <c r="JB102" s="9"/>
      <c r="JC102" s="9"/>
      <c r="JD102" s="9"/>
      <c r="JE102" s="9"/>
      <c r="JF102" s="9"/>
      <c r="JG102" s="9"/>
      <c r="JH102" s="9"/>
      <c r="JI102" s="9"/>
      <c r="JJ102" s="9"/>
      <c r="JK102" s="9"/>
      <c r="JL102" s="9"/>
      <c r="JM102" s="9"/>
      <c r="JN102" s="9"/>
      <c r="JO102" s="9"/>
      <c r="JP102" s="9"/>
      <c r="JQ102" s="9"/>
      <c r="JR102" s="9"/>
      <c r="JS102" s="9"/>
      <c r="JT102" s="9"/>
      <c r="JU102" s="9"/>
      <c r="JV102" s="9"/>
      <c r="JW102" s="9"/>
      <c r="JX102" s="9"/>
      <c r="JY102" s="9"/>
      <c r="JZ102" s="9"/>
      <c r="KA102" s="9"/>
      <c r="KB102" s="9"/>
      <c r="KC102" s="9"/>
      <c r="KD102" s="9"/>
      <c r="KE102" s="9"/>
      <c r="KF102" s="9"/>
      <c r="KG102" s="9"/>
      <c r="KH102" s="9"/>
      <c r="KI102" s="9"/>
      <c r="KJ102" s="9"/>
      <c r="KK102" s="9"/>
      <c r="KL102" s="9"/>
      <c r="KM102" s="9"/>
      <c r="KN102" s="9"/>
      <c r="KO102" s="9"/>
      <c r="KP102" s="9"/>
      <c r="KQ102" s="9"/>
      <c r="KR102" s="9"/>
      <c r="KS102" s="9"/>
      <c r="KT102" s="9"/>
      <c r="KU102" s="9"/>
      <c r="KV102" s="9"/>
      <c r="KW102" s="9"/>
      <c r="KX102" s="9"/>
      <c r="KY102" s="9"/>
      <c r="KZ102" s="9"/>
      <c r="LA102" s="9"/>
      <c r="LB102" s="9"/>
      <c r="LC102" s="9"/>
      <c r="LD102" s="9"/>
      <c r="LE102" s="9"/>
      <c r="LF102" s="9"/>
      <c r="LG102" s="9"/>
      <c r="LH102" s="9"/>
      <c r="LI102" s="9"/>
      <c r="LJ102" s="9"/>
      <c r="LK102" s="9"/>
      <c r="LL102" s="9"/>
      <c r="LM102" s="9"/>
      <c r="LN102" s="9"/>
      <c r="LO102" s="9"/>
      <c r="LP102" s="9"/>
      <c r="LQ102" s="9"/>
      <c r="LR102" s="9"/>
      <c r="LS102" s="9"/>
      <c r="LT102" s="9"/>
      <c r="LU102" s="9"/>
      <c r="LV102" s="9"/>
      <c r="LW102" s="9"/>
      <c r="LX102" s="9"/>
      <c r="LY102" s="9"/>
      <c r="LZ102" s="9"/>
      <c r="MA102" s="9"/>
      <c r="MB102" s="9"/>
      <c r="MC102" s="9"/>
      <c r="MD102" s="9"/>
      <c r="ME102" s="9"/>
      <c r="MF102" s="9"/>
      <c r="MG102" s="9"/>
      <c r="MH102" s="9"/>
      <c r="MI102" s="9"/>
      <c r="MJ102" s="9"/>
      <c r="MK102" s="9"/>
      <c r="ML102" s="9"/>
      <c r="MM102" s="9"/>
      <c r="MN102" s="9"/>
      <c r="MO102" s="9"/>
      <c r="MP102" s="9"/>
      <c r="MQ102" s="9"/>
      <c r="MR102" s="9"/>
      <c r="MS102" s="9"/>
      <c r="MT102" s="9"/>
      <c r="MU102" s="9"/>
      <c r="MV102" s="9"/>
      <c r="MW102" s="9"/>
      <c r="MX102" s="9"/>
      <c r="MY102" s="9"/>
      <c r="MZ102" s="9"/>
      <c r="NA102" s="9"/>
      <c r="NB102" s="9"/>
      <c r="NC102" s="9"/>
      <c r="ND102" s="9"/>
      <c r="NE102" s="9"/>
      <c r="NF102" s="9"/>
      <c r="NG102" s="9"/>
      <c r="NH102" s="9"/>
      <c r="NI102" s="9"/>
      <c r="NJ102" s="9"/>
      <c r="NK102" s="9"/>
      <c r="NL102" s="9"/>
      <c r="NM102" s="9"/>
      <c r="NN102" s="9"/>
      <c r="NO102" s="9"/>
      <c r="NP102" s="9"/>
      <c r="NQ102" s="9"/>
      <c r="NR102" s="9"/>
      <c r="NS102" s="9"/>
      <c r="NT102" s="9"/>
      <c r="NU102" s="9"/>
      <c r="NV102" s="9"/>
      <c r="NW102" s="9"/>
      <c r="NX102" s="9"/>
      <c r="NY102" s="9"/>
      <c r="NZ102" s="9"/>
      <c r="OA102" s="9"/>
      <c r="OB102" s="9"/>
      <c r="OC102" s="9"/>
      <c r="OD102" s="9"/>
      <c r="OE102" s="9"/>
      <c r="OF102" s="9"/>
      <c r="OG102" s="9"/>
      <c r="OH102" s="9"/>
      <c r="OI102" s="9"/>
      <c r="OJ102" s="9"/>
      <c r="OK102" s="9"/>
      <c r="OL102" s="9"/>
      <c r="OM102" s="9"/>
      <c r="ON102" s="9"/>
      <c r="OO102" s="9"/>
      <c r="OP102" s="9"/>
      <c r="OQ102" s="9"/>
      <c r="OR102" s="9"/>
      <c r="OS102" s="9"/>
      <c r="OT102" s="9"/>
      <c r="OU102" s="9"/>
      <c r="OV102" s="9"/>
      <c r="OW102" s="9"/>
      <c r="OX102" s="9"/>
      <c r="OY102" s="9"/>
      <c r="OZ102" s="9"/>
      <c r="PA102" s="9"/>
      <c r="PB102" s="9"/>
      <c r="PC102" s="9"/>
      <c r="PD102" s="9"/>
      <c r="PE102" s="9"/>
      <c r="PF102" s="9"/>
      <c r="PG102" s="9"/>
      <c r="PH102" s="9"/>
      <c r="PI102" s="9"/>
      <c r="PJ102" s="9"/>
      <c r="PK102" s="9"/>
      <c r="PL102" s="9"/>
      <c r="PM102" s="9"/>
      <c r="PN102" s="9"/>
      <c r="PO102" s="9"/>
      <c r="PP102" s="9"/>
      <c r="PQ102" s="9"/>
      <c r="PR102" s="9"/>
      <c r="PS102" s="9"/>
      <c r="PT102" s="9"/>
      <c r="PU102" s="9"/>
      <c r="PV102" s="9"/>
      <c r="PW102" s="9"/>
      <c r="PX102" s="9"/>
      <c r="PY102" s="9"/>
      <c r="PZ102" s="9"/>
      <c r="QA102" s="9"/>
      <c r="QB102" s="9"/>
      <c r="QC102" s="9"/>
      <c r="QD102" s="9"/>
      <c r="QE102" s="9"/>
      <c r="QF102" s="9"/>
      <c r="QG102" s="9"/>
      <c r="QH102" s="9"/>
      <c r="QI102" s="9"/>
      <c r="QJ102" s="9"/>
      <c r="QK102" s="9"/>
      <c r="QL102" s="9"/>
      <c r="QM102" s="9"/>
      <c r="QN102" s="9"/>
      <c r="QO102" s="9"/>
      <c r="QP102" s="9"/>
      <c r="QQ102" s="9"/>
      <c r="QR102" s="9"/>
      <c r="QS102" s="9"/>
      <c r="QT102" s="9"/>
      <c r="QU102" s="9"/>
      <c r="QV102" s="9"/>
      <c r="QW102" s="9"/>
      <c r="QX102" s="9"/>
      <c r="QY102" s="9"/>
      <c r="QZ102" s="9"/>
      <c r="RA102" s="9"/>
      <c r="RB102" s="9"/>
      <c r="RC102" s="9"/>
      <c r="RD102" s="9"/>
      <c r="RE102" s="9"/>
      <c r="RF102" s="9"/>
      <c r="RG102" s="9"/>
      <c r="RH102" s="9"/>
      <c r="RI102" s="9"/>
      <c r="RJ102" s="9"/>
      <c r="RK102" s="9"/>
      <c r="RL102" s="9"/>
      <c r="RM102" s="9"/>
      <c r="RN102" s="9"/>
      <c r="RO102" s="9"/>
      <c r="RP102" s="9"/>
      <c r="RQ102" s="9"/>
      <c r="RR102" s="9"/>
      <c r="RS102" s="9"/>
      <c r="RT102" s="9"/>
      <c r="RU102" s="9"/>
      <c r="RV102" s="9"/>
      <c r="RW102" s="9"/>
      <c r="RX102" s="9"/>
      <c r="RY102" s="9"/>
      <c r="RZ102" s="9"/>
      <c r="SA102" s="9"/>
      <c r="SB102" s="9"/>
      <c r="SC102" s="9"/>
      <c r="SD102" s="9"/>
      <c r="SE102" s="9"/>
      <c r="SF102" s="9"/>
      <c r="SG102" s="9"/>
      <c r="SH102" s="9"/>
      <c r="SI102" s="9"/>
      <c r="SJ102" s="9"/>
      <c r="SK102" s="8"/>
      <c r="SL102" s="8"/>
      <c r="SM102" s="8"/>
      <c r="SN102" s="8"/>
      <c r="SO102" s="8"/>
      <c r="SP102" s="8"/>
      <c r="SQ102" s="8"/>
      <c r="SR102" s="8"/>
      <c r="SS102" s="8"/>
      <c r="ST102" s="8"/>
      <c r="SU102" s="8"/>
      <c r="SV102" s="8"/>
      <c r="SW102" s="8"/>
      <c r="SX102" s="8"/>
      <c r="SY102" s="8"/>
      <c r="SZ102" s="8"/>
      <c r="TA102" s="8"/>
      <c r="TB102" s="8"/>
      <c r="TC102" s="8"/>
      <c r="TD102" s="8"/>
      <c r="TE102" s="8"/>
      <c r="TF102" s="8"/>
      <c r="TG102" s="8"/>
      <c r="TH102" s="8"/>
      <c r="TI102" s="8"/>
      <c r="TJ102" s="8"/>
      <c r="TK102" s="8"/>
      <c r="TL102" s="8"/>
      <c r="TM102" s="8"/>
      <c r="TN102" s="8"/>
      <c r="TO102" s="8"/>
    </row>
    <row r="103" spans="1:535" x14ac:dyDescent="0.2">
      <c r="A103" s="7"/>
      <c r="B103" s="15"/>
      <c r="C103" s="15"/>
      <c r="D103" s="15"/>
      <c r="E103" s="15"/>
      <c r="F103" s="15"/>
      <c r="G103" s="15"/>
      <c r="H103" s="15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 s="9"/>
      <c r="EH103" s="9"/>
      <c r="EI103" s="9"/>
      <c r="EJ103" s="9"/>
      <c r="EK103" s="9"/>
      <c r="EL103" s="9"/>
      <c r="EM103" s="9"/>
      <c r="EN103" s="9"/>
      <c r="EO103" s="9"/>
      <c r="EP103" s="9"/>
      <c r="EQ103" s="9"/>
      <c r="ER103" s="9"/>
      <c r="ES103" s="9"/>
      <c r="ET103" s="9"/>
      <c r="EU103" s="9"/>
      <c r="EV103" s="9"/>
      <c r="EW103" s="9"/>
      <c r="EX103" s="9"/>
      <c r="EY103" s="9"/>
      <c r="EZ103" s="9"/>
      <c r="FA103" s="9"/>
      <c r="FB103" s="9"/>
      <c r="FC103" s="9"/>
      <c r="FD103" s="9"/>
      <c r="FE103" s="9"/>
      <c r="FF103" s="9"/>
      <c r="FG103" s="9"/>
      <c r="FH103" s="9"/>
      <c r="FI103" s="9"/>
      <c r="FJ103" s="9"/>
      <c r="FK103" s="9"/>
      <c r="FL103" s="9"/>
      <c r="FM103" s="9"/>
      <c r="FN103" s="9"/>
      <c r="FO103" s="9"/>
      <c r="FP103" s="9"/>
      <c r="FQ103" s="9"/>
      <c r="FR103" s="9"/>
      <c r="FS103" s="9"/>
      <c r="FT103" s="9"/>
      <c r="FU103" s="9"/>
      <c r="FV103" s="9"/>
      <c r="FW103" s="9"/>
      <c r="FX103" s="9"/>
      <c r="FY103" s="9"/>
      <c r="FZ103" s="9"/>
      <c r="GA103" s="9"/>
      <c r="GB103" s="9"/>
      <c r="GC103" s="9"/>
      <c r="GD103" s="9"/>
      <c r="GE103" s="9"/>
      <c r="GF103" s="9"/>
      <c r="GG103" s="9"/>
      <c r="GH103" s="9"/>
      <c r="GI103" s="9"/>
      <c r="GJ103" s="9"/>
      <c r="GK103" s="9"/>
      <c r="GL103" s="9"/>
      <c r="GM103" s="9"/>
      <c r="GN103" s="9"/>
      <c r="GO103" s="9"/>
      <c r="GP103" s="9"/>
      <c r="GQ103" s="9"/>
      <c r="GR103" s="9"/>
      <c r="GS103" s="9"/>
      <c r="GT103" s="9"/>
      <c r="GU103" s="9"/>
      <c r="GV103" s="9"/>
      <c r="GW103" s="9"/>
      <c r="GX103" s="9"/>
      <c r="GY103" s="9"/>
      <c r="GZ103" s="9"/>
      <c r="HA103" s="9"/>
      <c r="HB103" s="9"/>
      <c r="HC103" s="9"/>
      <c r="HD103" s="9"/>
      <c r="HE103" s="9"/>
      <c r="HF103" s="9"/>
      <c r="HG103" s="9"/>
      <c r="HH103" s="9"/>
      <c r="HI103" s="9"/>
      <c r="HJ103" s="9"/>
      <c r="HK103" s="9"/>
      <c r="HL103" s="9"/>
      <c r="HM103" s="9"/>
      <c r="HN103" s="9"/>
      <c r="HO103" s="9"/>
      <c r="HP103" s="9"/>
      <c r="HQ103" s="9"/>
      <c r="HR103" s="9"/>
      <c r="HS103" s="9"/>
      <c r="HT103" s="9"/>
      <c r="HU103" s="9"/>
      <c r="HV103" s="9"/>
      <c r="HW103" s="9"/>
      <c r="HX103" s="9"/>
      <c r="HY103" s="9"/>
      <c r="HZ103" s="9"/>
      <c r="IA103" s="9"/>
      <c r="IB103" s="9"/>
      <c r="IC103" s="9"/>
      <c r="ID103" s="9"/>
      <c r="IE103" s="9"/>
      <c r="IF103" s="9"/>
      <c r="IG103" s="9"/>
      <c r="IH103" s="9"/>
      <c r="II103" s="9"/>
      <c r="IJ103" s="9"/>
      <c r="IK103" s="9"/>
      <c r="IL103" s="9"/>
      <c r="IM103" s="9"/>
      <c r="IN103" s="9"/>
      <c r="IO103" s="9"/>
      <c r="IP103" s="9"/>
      <c r="IQ103" s="9"/>
      <c r="IR103" s="9"/>
      <c r="IS103" s="9"/>
      <c r="IT103" s="9"/>
      <c r="IU103" s="9"/>
      <c r="IV103" s="9"/>
      <c r="IW103" s="9"/>
      <c r="IX103" s="9"/>
      <c r="IY103" s="9"/>
      <c r="IZ103" s="9"/>
      <c r="JA103" s="9"/>
      <c r="JB103" s="9"/>
      <c r="JC103" s="9"/>
      <c r="JD103" s="9"/>
      <c r="JE103" s="9"/>
      <c r="JF103" s="9"/>
      <c r="JG103" s="9"/>
      <c r="JH103" s="9"/>
      <c r="JI103" s="9"/>
      <c r="JJ103" s="9"/>
      <c r="JK103" s="9"/>
      <c r="JL103" s="9"/>
      <c r="JM103" s="9"/>
      <c r="JN103" s="9"/>
      <c r="JO103" s="9"/>
      <c r="JP103" s="9"/>
      <c r="JQ103" s="9"/>
      <c r="JR103" s="9"/>
      <c r="JS103" s="9"/>
      <c r="JT103" s="9"/>
      <c r="JU103" s="9"/>
      <c r="JV103" s="9"/>
      <c r="JW103" s="9"/>
      <c r="JX103" s="9"/>
      <c r="JY103" s="9"/>
      <c r="JZ103" s="9"/>
      <c r="KA103" s="9"/>
      <c r="KB103" s="9"/>
      <c r="KC103" s="9"/>
      <c r="KD103" s="9"/>
      <c r="KE103" s="9"/>
      <c r="KF103" s="9"/>
      <c r="KG103" s="9"/>
      <c r="KH103" s="9"/>
      <c r="KI103" s="9"/>
      <c r="KJ103" s="9"/>
      <c r="KK103" s="9"/>
      <c r="KL103" s="9"/>
      <c r="KM103" s="9"/>
      <c r="KN103" s="9"/>
      <c r="KO103" s="9"/>
      <c r="KP103" s="9"/>
      <c r="KQ103" s="9"/>
      <c r="KR103" s="9"/>
      <c r="KS103" s="9"/>
      <c r="KT103" s="9"/>
      <c r="KU103" s="9"/>
      <c r="KV103" s="9"/>
      <c r="KW103" s="9"/>
      <c r="KX103" s="9"/>
      <c r="KY103" s="9"/>
      <c r="KZ103" s="9"/>
      <c r="LA103" s="9"/>
      <c r="LB103" s="9"/>
      <c r="LC103" s="9"/>
      <c r="LD103" s="9"/>
      <c r="LE103" s="9"/>
      <c r="LF103" s="9"/>
      <c r="LG103" s="9"/>
      <c r="LH103" s="9"/>
      <c r="LI103" s="9"/>
      <c r="LJ103" s="9"/>
      <c r="LK103" s="9"/>
      <c r="LL103" s="9"/>
      <c r="LM103" s="9"/>
      <c r="LN103" s="9"/>
      <c r="LO103" s="9"/>
      <c r="LP103" s="9"/>
      <c r="LQ103" s="9"/>
      <c r="LR103" s="9"/>
      <c r="LS103" s="9"/>
      <c r="LT103" s="9"/>
      <c r="LU103" s="9"/>
      <c r="LV103" s="9"/>
      <c r="LW103" s="9"/>
      <c r="LX103" s="9"/>
      <c r="LY103" s="9"/>
      <c r="LZ103" s="9"/>
      <c r="MA103" s="9"/>
      <c r="MB103" s="9"/>
      <c r="MC103" s="9"/>
      <c r="MD103" s="9"/>
      <c r="ME103" s="9"/>
      <c r="MF103" s="9"/>
      <c r="MG103" s="9"/>
      <c r="MH103" s="9"/>
      <c r="MI103" s="9"/>
      <c r="MJ103" s="9"/>
      <c r="MK103" s="9"/>
      <c r="ML103" s="9"/>
      <c r="MM103" s="9"/>
      <c r="MN103" s="9"/>
      <c r="MO103" s="9"/>
      <c r="MP103" s="9"/>
      <c r="MQ103" s="9"/>
      <c r="MR103" s="9"/>
      <c r="MS103" s="9"/>
      <c r="MT103" s="9"/>
      <c r="MU103" s="9"/>
      <c r="MV103" s="9"/>
      <c r="MW103" s="9"/>
      <c r="MX103" s="9"/>
      <c r="MY103" s="9"/>
      <c r="MZ103" s="9"/>
      <c r="NA103" s="9"/>
      <c r="NB103" s="9"/>
      <c r="NC103" s="9"/>
      <c r="ND103" s="9"/>
      <c r="NE103" s="9"/>
      <c r="NF103" s="9"/>
      <c r="NG103" s="9"/>
      <c r="NH103" s="9"/>
      <c r="NI103" s="9"/>
      <c r="NJ103" s="9"/>
      <c r="NK103" s="9"/>
      <c r="NL103" s="9"/>
      <c r="NM103" s="9"/>
      <c r="NN103" s="9"/>
      <c r="NO103" s="9"/>
      <c r="NP103" s="9"/>
      <c r="NQ103" s="9"/>
      <c r="NR103" s="9"/>
      <c r="NS103" s="9"/>
      <c r="NT103" s="9"/>
      <c r="NU103" s="9"/>
      <c r="NV103" s="9"/>
      <c r="NW103" s="9"/>
      <c r="NX103" s="9"/>
      <c r="NY103" s="9"/>
      <c r="NZ103" s="9"/>
      <c r="OA103" s="9"/>
      <c r="OB103" s="9"/>
      <c r="OC103" s="9"/>
      <c r="OD103" s="9"/>
      <c r="OE103" s="9"/>
      <c r="OF103" s="9"/>
      <c r="OG103" s="9"/>
      <c r="OH103" s="9"/>
      <c r="OI103" s="9"/>
      <c r="OJ103" s="9"/>
      <c r="OK103" s="9"/>
      <c r="OL103" s="9"/>
      <c r="OM103" s="9"/>
      <c r="ON103" s="9"/>
      <c r="OO103" s="9"/>
      <c r="OP103" s="9"/>
      <c r="OQ103" s="9"/>
      <c r="OR103" s="9"/>
      <c r="OS103" s="9"/>
      <c r="OT103" s="9"/>
      <c r="OU103" s="9"/>
      <c r="OV103" s="9"/>
      <c r="OW103" s="9"/>
      <c r="OX103" s="9"/>
      <c r="OY103" s="9"/>
      <c r="OZ103" s="9"/>
      <c r="PA103" s="9"/>
      <c r="PB103" s="9"/>
      <c r="PC103" s="9"/>
      <c r="PD103" s="9"/>
      <c r="PE103" s="9"/>
      <c r="PF103" s="9"/>
      <c r="PG103" s="9"/>
      <c r="PH103" s="9"/>
      <c r="PI103" s="9"/>
      <c r="PJ103" s="9"/>
      <c r="PK103" s="9"/>
      <c r="PL103" s="9"/>
      <c r="PM103" s="9"/>
      <c r="PN103" s="9"/>
      <c r="PO103" s="9"/>
      <c r="PP103" s="9"/>
      <c r="PQ103" s="9"/>
      <c r="PR103" s="9"/>
      <c r="PS103" s="9"/>
      <c r="PT103" s="9"/>
      <c r="PU103" s="9"/>
      <c r="PV103" s="9"/>
      <c r="PW103" s="9"/>
      <c r="PX103" s="9"/>
      <c r="PY103" s="9"/>
      <c r="PZ103" s="9"/>
      <c r="QA103" s="9"/>
      <c r="QB103" s="9"/>
      <c r="QC103" s="9"/>
      <c r="QD103" s="9"/>
      <c r="QE103" s="9"/>
      <c r="QF103" s="9"/>
      <c r="QG103" s="9"/>
      <c r="QH103" s="9"/>
      <c r="QI103" s="9"/>
      <c r="QJ103" s="9"/>
      <c r="QK103" s="9"/>
      <c r="QL103" s="9"/>
      <c r="QM103" s="9"/>
      <c r="QN103" s="9"/>
      <c r="QO103" s="9"/>
      <c r="QP103" s="9"/>
      <c r="QQ103" s="9"/>
      <c r="QR103" s="9"/>
      <c r="QS103" s="9"/>
      <c r="QT103" s="9"/>
      <c r="QU103" s="9"/>
      <c r="QV103" s="9"/>
      <c r="QW103" s="9"/>
      <c r="QX103" s="9"/>
      <c r="QY103" s="9"/>
      <c r="QZ103" s="9"/>
      <c r="RA103" s="9"/>
      <c r="RB103" s="9"/>
      <c r="RC103" s="9"/>
      <c r="RD103" s="9"/>
      <c r="RE103" s="9"/>
      <c r="RF103" s="9"/>
      <c r="RG103" s="9"/>
      <c r="RH103" s="9"/>
      <c r="RI103" s="9"/>
      <c r="RJ103" s="9"/>
      <c r="RK103" s="9"/>
      <c r="RL103" s="9"/>
      <c r="RM103" s="9"/>
      <c r="RN103" s="9"/>
      <c r="RO103" s="9"/>
      <c r="RP103" s="9"/>
      <c r="RQ103" s="9"/>
      <c r="RR103" s="9"/>
      <c r="RS103" s="9"/>
      <c r="RT103" s="9"/>
      <c r="RU103" s="9"/>
      <c r="RV103" s="9"/>
      <c r="RW103" s="9"/>
      <c r="RX103" s="9"/>
      <c r="RY103" s="9"/>
      <c r="RZ103" s="9"/>
      <c r="SA103" s="9"/>
      <c r="SB103" s="9"/>
      <c r="SC103" s="9"/>
      <c r="SD103" s="9"/>
      <c r="SE103" s="9"/>
      <c r="SF103" s="9"/>
      <c r="SG103" s="9"/>
      <c r="SH103" s="9"/>
      <c r="SI103" s="9"/>
      <c r="SJ103" s="9"/>
      <c r="SK103" s="8"/>
      <c r="SL103" s="8"/>
      <c r="SM103" s="8"/>
      <c r="SN103" s="8"/>
      <c r="SO103" s="8"/>
      <c r="SP103" s="8"/>
      <c r="SQ103" s="8"/>
      <c r="SR103" s="8"/>
      <c r="SS103" s="8"/>
      <c r="ST103" s="8"/>
      <c r="SU103" s="8"/>
      <c r="SV103" s="8"/>
      <c r="SW103" s="8"/>
      <c r="SX103" s="8"/>
      <c r="SY103" s="8"/>
      <c r="SZ103" s="8"/>
      <c r="TA103" s="8"/>
      <c r="TB103" s="8"/>
      <c r="TC103" s="8"/>
      <c r="TD103" s="8"/>
      <c r="TE103" s="8"/>
      <c r="TF103" s="8"/>
      <c r="TG103" s="8"/>
      <c r="TH103" s="8"/>
      <c r="TI103" s="8"/>
      <c r="TJ103" s="8"/>
      <c r="TK103" s="8"/>
      <c r="TL103" s="8"/>
      <c r="TM103" s="8"/>
      <c r="TN103" s="8"/>
      <c r="TO103" s="8"/>
    </row>
    <row r="104" spans="1:535" x14ac:dyDescent="0.2">
      <c r="A104" s="7"/>
      <c r="B104" s="15"/>
      <c r="C104" s="15"/>
      <c r="D104" s="15"/>
      <c r="E104" s="15"/>
      <c r="F104" s="15"/>
      <c r="G104" s="15"/>
      <c r="H104" s="15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9"/>
      <c r="EP104" s="9"/>
      <c r="EQ104" s="9"/>
      <c r="ER104" s="9"/>
      <c r="ES104" s="9"/>
      <c r="ET104" s="9"/>
      <c r="EU104" s="9"/>
      <c r="EV104" s="9"/>
      <c r="EW104" s="9"/>
      <c r="EX104" s="9"/>
      <c r="EY104" s="9"/>
      <c r="EZ104" s="9"/>
      <c r="FA104" s="9"/>
      <c r="FB104" s="9"/>
      <c r="FC104" s="9"/>
      <c r="FD104" s="9"/>
      <c r="FE104" s="9"/>
      <c r="FF104" s="9"/>
      <c r="FG104" s="9"/>
      <c r="FH104" s="9"/>
      <c r="FI104" s="9"/>
      <c r="FJ104" s="9"/>
      <c r="FK104" s="9"/>
      <c r="FL104" s="9"/>
      <c r="FM104" s="9"/>
      <c r="FN104" s="9"/>
      <c r="FO104" s="9"/>
      <c r="FP104" s="9"/>
      <c r="FQ104" s="9"/>
      <c r="FR104" s="9"/>
      <c r="FS104" s="9"/>
      <c r="FT104" s="9"/>
      <c r="FU104" s="9"/>
      <c r="FV104" s="9"/>
      <c r="FW104" s="9"/>
      <c r="FX104" s="9"/>
      <c r="FY104" s="9"/>
      <c r="FZ104" s="9"/>
      <c r="GA104" s="9"/>
      <c r="GB104" s="9"/>
      <c r="GC104" s="9"/>
      <c r="GD104" s="9"/>
      <c r="GE104" s="9"/>
      <c r="GF104" s="9"/>
      <c r="GG104" s="9"/>
      <c r="GH104" s="9"/>
      <c r="GI104" s="9"/>
      <c r="GJ104" s="9"/>
      <c r="GK104" s="9"/>
      <c r="GL104" s="9"/>
      <c r="GM104" s="9"/>
      <c r="GN104" s="9"/>
      <c r="GO104" s="9"/>
      <c r="GP104" s="9"/>
      <c r="GQ104" s="9"/>
      <c r="GR104" s="9"/>
      <c r="GS104" s="9"/>
      <c r="GT104" s="9"/>
      <c r="GU104" s="9"/>
      <c r="GV104" s="9"/>
      <c r="GW104" s="9"/>
      <c r="GX104" s="9"/>
      <c r="GY104" s="9"/>
      <c r="GZ104" s="9"/>
      <c r="HA104" s="9"/>
      <c r="HB104" s="9"/>
      <c r="HC104" s="9"/>
      <c r="HD104" s="9"/>
      <c r="HE104" s="9"/>
      <c r="HF104" s="9"/>
      <c r="HG104" s="9"/>
      <c r="HH104" s="9"/>
      <c r="HI104" s="9"/>
      <c r="HJ104" s="9"/>
      <c r="HK104" s="9"/>
      <c r="HL104" s="9"/>
      <c r="HM104" s="9"/>
      <c r="HN104" s="9"/>
      <c r="HO104" s="9"/>
      <c r="HP104" s="9"/>
      <c r="HQ104" s="9"/>
      <c r="HR104" s="9"/>
      <c r="HS104" s="9"/>
      <c r="HT104" s="9"/>
      <c r="HU104" s="9"/>
      <c r="HV104" s="9"/>
      <c r="HW104" s="9"/>
      <c r="HX104" s="9"/>
      <c r="HY104" s="9"/>
      <c r="HZ104" s="9"/>
      <c r="IA104" s="9"/>
      <c r="IB104" s="9"/>
      <c r="IC104" s="9"/>
      <c r="ID104" s="9"/>
      <c r="IE104" s="9"/>
      <c r="IF104" s="9"/>
      <c r="IG104" s="9"/>
      <c r="IH104" s="9"/>
      <c r="II104" s="9"/>
      <c r="IJ104" s="9"/>
      <c r="IK104" s="9"/>
      <c r="IL104" s="9"/>
      <c r="IM104" s="9"/>
      <c r="IN104" s="9"/>
      <c r="IO104" s="9"/>
      <c r="IP104" s="9"/>
      <c r="IQ104" s="9"/>
      <c r="IR104" s="9"/>
      <c r="IS104" s="9"/>
      <c r="IT104" s="9"/>
      <c r="IU104" s="9"/>
      <c r="IV104" s="9"/>
      <c r="IW104" s="9"/>
      <c r="IX104" s="9"/>
      <c r="IY104" s="9"/>
      <c r="IZ104" s="9"/>
      <c r="JA104" s="9"/>
      <c r="JB104" s="9"/>
      <c r="JC104" s="9"/>
      <c r="JD104" s="9"/>
      <c r="JE104" s="9"/>
      <c r="JF104" s="9"/>
      <c r="JG104" s="9"/>
      <c r="JH104" s="9"/>
      <c r="JI104" s="9"/>
      <c r="JJ104" s="9"/>
      <c r="JK104" s="9"/>
      <c r="JL104" s="9"/>
      <c r="JM104" s="9"/>
      <c r="JN104" s="9"/>
      <c r="JO104" s="9"/>
      <c r="JP104" s="9"/>
      <c r="JQ104" s="9"/>
      <c r="JR104" s="9"/>
      <c r="JS104" s="9"/>
      <c r="JT104" s="9"/>
      <c r="JU104" s="9"/>
      <c r="JV104" s="9"/>
      <c r="JW104" s="9"/>
      <c r="JX104" s="9"/>
      <c r="JY104" s="9"/>
      <c r="JZ104" s="9"/>
      <c r="KA104" s="9"/>
      <c r="KB104" s="9"/>
      <c r="KC104" s="9"/>
      <c r="KD104" s="9"/>
      <c r="KE104" s="9"/>
      <c r="KF104" s="9"/>
      <c r="KG104" s="9"/>
      <c r="KH104" s="9"/>
      <c r="KI104" s="9"/>
      <c r="KJ104" s="9"/>
      <c r="KK104" s="9"/>
      <c r="KL104" s="9"/>
      <c r="KM104" s="9"/>
      <c r="KN104" s="9"/>
      <c r="KO104" s="9"/>
      <c r="KP104" s="9"/>
      <c r="KQ104" s="9"/>
      <c r="KR104" s="9"/>
      <c r="KS104" s="9"/>
      <c r="KT104" s="9"/>
      <c r="KU104" s="9"/>
      <c r="KV104" s="9"/>
      <c r="KW104" s="9"/>
      <c r="KX104" s="9"/>
      <c r="KY104" s="9"/>
      <c r="KZ104" s="9"/>
      <c r="LA104" s="9"/>
      <c r="LB104" s="9"/>
      <c r="LC104" s="9"/>
      <c r="LD104" s="9"/>
      <c r="LE104" s="9"/>
      <c r="LF104" s="9"/>
      <c r="LG104" s="9"/>
      <c r="LH104" s="9"/>
      <c r="LI104" s="9"/>
      <c r="LJ104" s="9"/>
      <c r="LK104" s="9"/>
      <c r="LL104" s="9"/>
      <c r="LM104" s="9"/>
      <c r="LN104" s="9"/>
      <c r="LO104" s="9"/>
      <c r="LP104" s="9"/>
      <c r="LQ104" s="9"/>
      <c r="LR104" s="9"/>
      <c r="LS104" s="9"/>
      <c r="LT104" s="9"/>
      <c r="LU104" s="9"/>
      <c r="LV104" s="9"/>
      <c r="LW104" s="9"/>
      <c r="LX104" s="9"/>
      <c r="LY104" s="9"/>
      <c r="LZ104" s="9"/>
      <c r="MA104" s="9"/>
      <c r="MB104" s="9"/>
      <c r="MC104" s="9"/>
      <c r="MD104" s="9"/>
      <c r="ME104" s="9"/>
      <c r="MF104" s="9"/>
      <c r="MG104" s="9"/>
      <c r="MH104" s="9"/>
      <c r="MI104" s="9"/>
      <c r="MJ104" s="9"/>
      <c r="MK104" s="9"/>
      <c r="ML104" s="9"/>
      <c r="MM104" s="9"/>
      <c r="MN104" s="9"/>
      <c r="MO104" s="9"/>
      <c r="MP104" s="9"/>
      <c r="MQ104" s="9"/>
      <c r="MR104" s="9"/>
      <c r="MS104" s="9"/>
      <c r="MT104" s="9"/>
      <c r="MU104" s="9"/>
      <c r="MV104" s="9"/>
      <c r="MW104" s="9"/>
      <c r="MX104" s="9"/>
      <c r="MY104" s="9"/>
      <c r="MZ104" s="9"/>
      <c r="NA104" s="9"/>
      <c r="NB104" s="9"/>
      <c r="NC104" s="9"/>
      <c r="ND104" s="9"/>
      <c r="NE104" s="9"/>
      <c r="NF104" s="9"/>
      <c r="NG104" s="9"/>
      <c r="NH104" s="9"/>
      <c r="NI104" s="9"/>
      <c r="NJ104" s="9"/>
      <c r="NK104" s="9"/>
      <c r="NL104" s="9"/>
      <c r="NM104" s="9"/>
      <c r="NN104" s="9"/>
      <c r="NO104" s="9"/>
      <c r="NP104" s="9"/>
      <c r="NQ104" s="9"/>
      <c r="NR104" s="9"/>
      <c r="NS104" s="9"/>
      <c r="NT104" s="9"/>
      <c r="NU104" s="9"/>
      <c r="NV104" s="9"/>
      <c r="NW104" s="9"/>
      <c r="NX104" s="9"/>
      <c r="NY104" s="9"/>
      <c r="NZ104" s="9"/>
      <c r="OA104" s="9"/>
      <c r="OB104" s="9"/>
      <c r="OC104" s="9"/>
      <c r="OD104" s="9"/>
      <c r="OE104" s="9"/>
      <c r="OF104" s="9"/>
      <c r="OG104" s="9"/>
      <c r="OH104" s="9"/>
      <c r="OI104" s="9"/>
      <c r="OJ104" s="9"/>
      <c r="OK104" s="9"/>
      <c r="OL104" s="9"/>
      <c r="OM104" s="9"/>
      <c r="ON104" s="9"/>
      <c r="OO104" s="9"/>
      <c r="OP104" s="9"/>
      <c r="OQ104" s="9"/>
      <c r="OR104" s="9"/>
      <c r="OS104" s="9"/>
      <c r="OT104" s="9"/>
      <c r="OU104" s="9"/>
      <c r="OV104" s="9"/>
      <c r="OW104" s="9"/>
      <c r="OX104" s="9"/>
      <c r="OY104" s="9"/>
      <c r="OZ104" s="9"/>
      <c r="PA104" s="9"/>
      <c r="PB104" s="9"/>
      <c r="PC104" s="9"/>
      <c r="PD104" s="9"/>
      <c r="PE104" s="9"/>
      <c r="PF104" s="9"/>
      <c r="PG104" s="9"/>
      <c r="PH104" s="9"/>
      <c r="PI104" s="9"/>
      <c r="PJ104" s="9"/>
      <c r="PK104" s="9"/>
      <c r="PL104" s="9"/>
      <c r="PM104" s="9"/>
      <c r="PN104" s="9"/>
      <c r="PO104" s="9"/>
      <c r="PP104" s="9"/>
      <c r="PQ104" s="9"/>
      <c r="PR104" s="9"/>
      <c r="PS104" s="9"/>
      <c r="PT104" s="9"/>
      <c r="PU104" s="9"/>
      <c r="PV104" s="9"/>
      <c r="PW104" s="9"/>
      <c r="PX104" s="9"/>
      <c r="PY104" s="9"/>
      <c r="PZ104" s="9"/>
      <c r="QA104" s="9"/>
      <c r="QB104" s="9"/>
      <c r="QC104" s="9"/>
      <c r="QD104" s="9"/>
      <c r="QE104" s="9"/>
      <c r="QF104" s="9"/>
      <c r="QG104" s="9"/>
      <c r="QH104" s="9"/>
      <c r="QI104" s="9"/>
      <c r="QJ104" s="9"/>
      <c r="QK104" s="9"/>
      <c r="QL104" s="9"/>
      <c r="QM104" s="9"/>
      <c r="QN104" s="9"/>
      <c r="QO104" s="9"/>
      <c r="QP104" s="9"/>
      <c r="QQ104" s="9"/>
      <c r="QR104" s="9"/>
      <c r="QS104" s="9"/>
      <c r="QT104" s="9"/>
      <c r="QU104" s="9"/>
      <c r="QV104" s="9"/>
      <c r="QW104" s="9"/>
      <c r="QX104" s="9"/>
      <c r="QY104" s="9"/>
      <c r="QZ104" s="9"/>
      <c r="RA104" s="9"/>
      <c r="RB104" s="9"/>
      <c r="RC104" s="9"/>
      <c r="RD104" s="9"/>
      <c r="RE104" s="9"/>
      <c r="RF104" s="9"/>
      <c r="RG104" s="9"/>
      <c r="RH104" s="9"/>
      <c r="RI104" s="9"/>
      <c r="RJ104" s="9"/>
      <c r="RK104" s="9"/>
      <c r="RL104" s="9"/>
      <c r="RM104" s="9"/>
      <c r="RN104" s="9"/>
      <c r="RO104" s="9"/>
      <c r="RP104" s="9"/>
      <c r="RQ104" s="9"/>
      <c r="RR104" s="9"/>
      <c r="RS104" s="9"/>
      <c r="RT104" s="9"/>
      <c r="RU104" s="9"/>
      <c r="RV104" s="9"/>
      <c r="RW104" s="9"/>
      <c r="RX104" s="9"/>
      <c r="RY104" s="9"/>
      <c r="RZ104" s="9"/>
      <c r="SA104" s="9"/>
      <c r="SB104" s="9"/>
      <c r="SC104" s="9"/>
      <c r="SD104" s="9"/>
      <c r="SE104" s="9"/>
      <c r="SF104" s="9"/>
      <c r="SG104" s="9"/>
      <c r="SH104" s="9"/>
      <c r="SI104" s="9"/>
      <c r="SJ104" s="9"/>
      <c r="SK104" s="8"/>
      <c r="SL104" s="8"/>
      <c r="SM104" s="8"/>
      <c r="SN104" s="8"/>
      <c r="SO104" s="8"/>
      <c r="SP104" s="8"/>
      <c r="SQ104" s="8"/>
      <c r="SR104" s="8"/>
      <c r="SS104" s="8"/>
      <c r="ST104" s="8"/>
      <c r="SU104" s="8"/>
      <c r="SV104" s="8"/>
      <c r="SW104" s="8"/>
      <c r="SX104" s="8"/>
      <c r="SY104" s="8"/>
      <c r="SZ104" s="8"/>
      <c r="TA104" s="8"/>
      <c r="TB104" s="8"/>
      <c r="TC104" s="8"/>
      <c r="TD104" s="8"/>
      <c r="TE104" s="8"/>
      <c r="TF104" s="8"/>
      <c r="TG104" s="8"/>
      <c r="TH104" s="8"/>
      <c r="TI104" s="8"/>
      <c r="TJ104" s="8"/>
      <c r="TK104" s="8"/>
      <c r="TL104" s="8"/>
      <c r="TM104" s="8"/>
      <c r="TN104" s="8"/>
      <c r="TO104" s="8"/>
    </row>
    <row r="105" spans="1:535" x14ac:dyDescent="0.2">
      <c r="A105" s="7"/>
      <c r="B105" s="15"/>
      <c r="C105" s="15"/>
      <c r="D105" s="15"/>
      <c r="E105" s="15"/>
      <c r="F105" s="15"/>
      <c r="G105" s="15"/>
      <c r="H105" s="15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 s="9"/>
      <c r="ED105" s="9"/>
      <c r="EE105" s="9"/>
      <c r="EF105" s="9"/>
      <c r="EG105" s="9"/>
      <c r="EH105" s="9"/>
      <c r="EI105" s="9"/>
      <c r="EJ105" s="9"/>
      <c r="EK105" s="9"/>
      <c r="EL105" s="9"/>
      <c r="EM105" s="9"/>
      <c r="EN105" s="9"/>
      <c r="EO105" s="9"/>
      <c r="EP105" s="9"/>
      <c r="EQ105" s="9"/>
      <c r="ER105" s="9"/>
      <c r="ES105" s="9"/>
      <c r="ET105" s="9"/>
      <c r="EU105" s="9"/>
      <c r="EV105" s="9"/>
      <c r="EW105" s="9"/>
      <c r="EX105" s="9"/>
      <c r="EY105" s="9"/>
      <c r="EZ105" s="9"/>
      <c r="FA105" s="9"/>
      <c r="FB105" s="9"/>
      <c r="FC105" s="9"/>
      <c r="FD105" s="9"/>
      <c r="FE105" s="9"/>
      <c r="FF105" s="9"/>
      <c r="FG105" s="9"/>
      <c r="FH105" s="9"/>
      <c r="FI105" s="9"/>
      <c r="FJ105" s="9"/>
      <c r="FK105" s="9"/>
      <c r="FL105" s="9"/>
      <c r="FM105" s="9"/>
      <c r="FN105" s="9"/>
      <c r="FO105" s="9"/>
      <c r="FP105" s="9"/>
      <c r="FQ105" s="9"/>
      <c r="FR105" s="9"/>
      <c r="FS105" s="9"/>
      <c r="FT105" s="9"/>
      <c r="FU105" s="9"/>
      <c r="FV105" s="9"/>
      <c r="FW105" s="9"/>
      <c r="FX105" s="9"/>
      <c r="FY105" s="9"/>
      <c r="FZ105" s="9"/>
      <c r="GA105" s="9"/>
      <c r="GB105" s="9"/>
      <c r="GC105" s="9"/>
      <c r="GD105" s="9"/>
      <c r="GE105" s="9"/>
      <c r="GF105" s="9"/>
      <c r="GG105" s="9"/>
      <c r="GH105" s="9"/>
      <c r="GI105" s="9"/>
      <c r="GJ105" s="9"/>
      <c r="GK105" s="9"/>
      <c r="GL105" s="9"/>
      <c r="GM105" s="9"/>
      <c r="GN105" s="9"/>
      <c r="GO105" s="9"/>
      <c r="GP105" s="9"/>
      <c r="GQ105" s="9"/>
      <c r="GR105" s="9"/>
      <c r="GS105" s="9"/>
      <c r="GT105" s="9"/>
      <c r="GU105" s="9"/>
      <c r="GV105" s="9"/>
      <c r="GW105" s="9"/>
      <c r="GX105" s="9"/>
      <c r="GY105" s="9"/>
      <c r="GZ105" s="9"/>
      <c r="HA105" s="9"/>
      <c r="HB105" s="9"/>
      <c r="HC105" s="9"/>
      <c r="HD105" s="9"/>
      <c r="HE105" s="9"/>
      <c r="HF105" s="9"/>
      <c r="HG105" s="9"/>
      <c r="HH105" s="9"/>
      <c r="HI105" s="9"/>
      <c r="HJ105" s="9"/>
      <c r="HK105" s="9"/>
      <c r="HL105" s="9"/>
      <c r="HM105" s="9"/>
      <c r="HN105" s="9"/>
      <c r="HO105" s="9"/>
      <c r="HP105" s="9"/>
      <c r="HQ105" s="9"/>
      <c r="HR105" s="9"/>
      <c r="HS105" s="9"/>
      <c r="HT105" s="9"/>
      <c r="HU105" s="9"/>
      <c r="HV105" s="9"/>
      <c r="HW105" s="9"/>
      <c r="HX105" s="9"/>
      <c r="HY105" s="9"/>
      <c r="HZ105" s="9"/>
      <c r="IA105" s="9"/>
      <c r="IB105" s="9"/>
      <c r="IC105" s="9"/>
      <c r="ID105" s="9"/>
      <c r="IE105" s="9"/>
      <c r="IF105" s="9"/>
      <c r="IG105" s="9"/>
      <c r="IH105" s="9"/>
      <c r="II105" s="9"/>
      <c r="IJ105" s="9"/>
      <c r="IK105" s="9"/>
      <c r="IL105" s="9"/>
      <c r="IM105" s="9"/>
      <c r="IN105" s="9"/>
      <c r="IO105" s="9"/>
      <c r="IP105" s="9"/>
      <c r="IQ105" s="9"/>
      <c r="IR105" s="9"/>
      <c r="IS105" s="9"/>
      <c r="IT105" s="9"/>
      <c r="IU105" s="9"/>
      <c r="IV105" s="9"/>
      <c r="IW105" s="9"/>
      <c r="IX105" s="9"/>
      <c r="IY105" s="9"/>
      <c r="IZ105" s="9"/>
      <c r="JA105" s="9"/>
      <c r="JB105" s="9"/>
      <c r="JC105" s="9"/>
      <c r="JD105" s="9"/>
      <c r="JE105" s="9"/>
      <c r="JF105" s="9"/>
      <c r="JG105" s="9"/>
      <c r="JH105" s="9"/>
      <c r="JI105" s="9"/>
      <c r="JJ105" s="9"/>
      <c r="JK105" s="9"/>
      <c r="JL105" s="9"/>
      <c r="JM105" s="9"/>
      <c r="JN105" s="9"/>
      <c r="JO105" s="9"/>
      <c r="JP105" s="9"/>
      <c r="JQ105" s="9"/>
      <c r="JR105" s="9"/>
      <c r="JS105" s="9"/>
      <c r="JT105" s="9"/>
      <c r="JU105" s="9"/>
      <c r="JV105" s="9"/>
      <c r="JW105" s="9"/>
      <c r="JX105" s="9"/>
      <c r="JY105" s="9"/>
      <c r="JZ105" s="9"/>
      <c r="KA105" s="9"/>
      <c r="KB105" s="9"/>
      <c r="KC105" s="9"/>
      <c r="KD105" s="9"/>
      <c r="KE105" s="9"/>
      <c r="KF105" s="9"/>
      <c r="KG105" s="9"/>
      <c r="KH105" s="9"/>
      <c r="KI105" s="9"/>
      <c r="KJ105" s="9"/>
      <c r="KK105" s="9"/>
      <c r="KL105" s="9"/>
      <c r="KM105" s="9"/>
      <c r="KN105" s="9"/>
      <c r="KO105" s="9"/>
      <c r="KP105" s="9"/>
      <c r="KQ105" s="9"/>
      <c r="KR105" s="9"/>
      <c r="KS105" s="9"/>
      <c r="KT105" s="9"/>
      <c r="KU105" s="9"/>
      <c r="KV105" s="9"/>
      <c r="KW105" s="9"/>
      <c r="KX105" s="9"/>
      <c r="KY105" s="9"/>
      <c r="KZ105" s="9"/>
      <c r="LA105" s="9"/>
      <c r="LB105" s="9"/>
      <c r="LC105" s="9"/>
      <c r="LD105" s="9"/>
      <c r="LE105" s="9"/>
      <c r="LF105" s="9"/>
      <c r="LG105" s="9"/>
      <c r="LH105" s="9"/>
      <c r="LI105" s="9"/>
      <c r="LJ105" s="9"/>
      <c r="LK105" s="9"/>
      <c r="LL105" s="9"/>
      <c r="LM105" s="9"/>
      <c r="LN105" s="9"/>
      <c r="LO105" s="9"/>
      <c r="LP105" s="9"/>
      <c r="LQ105" s="9"/>
      <c r="LR105" s="9"/>
      <c r="LS105" s="9"/>
      <c r="LT105" s="9"/>
      <c r="LU105" s="9"/>
      <c r="LV105" s="9"/>
      <c r="LW105" s="9"/>
      <c r="LX105" s="9"/>
      <c r="LY105" s="9"/>
      <c r="LZ105" s="9"/>
      <c r="MA105" s="9"/>
      <c r="MB105" s="9"/>
      <c r="MC105" s="9"/>
      <c r="MD105" s="9"/>
      <c r="ME105" s="9"/>
      <c r="MF105" s="9"/>
      <c r="MG105" s="9"/>
      <c r="MH105" s="9"/>
      <c r="MI105" s="9"/>
      <c r="MJ105" s="9"/>
      <c r="MK105" s="9"/>
      <c r="ML105" s="9"/>
      <c r="MM105" s="9"/>
      <c r="MN105" s="9"/>
      <c r="MO105" s="9"/>
      <c r="MP105" s="9"/>
      <c r="MQ105" s="9"/>
      <c r="MR105" s="9"/>
      <c r="MS105" s="9"/>
      <c r="MT105" s="9"/>
      <c r="MU105" s="9"/>
      <c r="MV105" s="9"/>
      <c r="MW105" s="9"/>
      <c r="MX105" s="9"/>
      <c r="MY105" s="9"/>
      <c r="MZ105" s="9"/>
      <c r="NA105" s="9"/>
      <c r="NB105" s="9"/>
      <c r="NC105" s="9"/>
      <c r="ND105" s="9"/>
      <c r="NE105" s="9"/>
      <c r="NF105" s="9"/>
      <c r="NG105" s="9"/>
      <c r="NH105" s="9"/>
      <c r="NI105" s="9"/>
      <c r="NJ105" s="9"/>
      <c r="NK105" s="9"/>
      <c r="NL105" s="9"/>
      <c r="NM105" s="9"/>
      <c r="NN105" s="9"/>
      <c r="NO105" s="9"/>
      <c r="NP105" s="9"/>
      <c r="NQ105" s="9"/>
      <c r="NR105" s="9"/>
      <c r="NS105" s="9"/>
      <c r="NT105" s="9"/>
      <c r="NU105" s="9"/>
      <c r="NV105" s="9"/>
      <c r="NW105" s="9"/>
      <c r="NX105" s="9"/>
      <c r="NY105" s="9"/>
      <c r="NZ105" s="9"/>
      <c r="OA105" s="9"/>
      <c r="OB105" s="9"/>
      <c r="OC105" s="9"/>
      <c r="OD105" s="9"/>
      <c r="OE105" s="9"/>
      <c r="OF105" s="9"/>
      <c r="OG105" s="9"/>
      <c r="OH105" s="9"/>
      <c r="OI105" s="9"/>
      <c r="OJ105" s="9"/>
      <c r="OK105" s="9"/>
      <c r="OL105" s="9"/>
      <c r="OM105" s="9"/>
      <c r="ON105" s="9"/>
      <c r="OO105" s="9"/>
      <c r="OP105" s="9"/>
      <c r="OQ105" s="9"/>
      <c r="OR105" s="9"/>
      <c r="OS105" s="9"/>
      <c r="OT105" s="9"/>
      <c r="OU105" s="9"/>
      <c r="OV105" s="9"/>
      <c r="OW105" s="9"/>
      <c r="OX105" s="9"/>
      <c r="OY105" s="9"/>
      <c r="OZ105" s="9"/>
      <c r="PA105" s="9"/>
      <c r="PB105" s="9"/>
      <c r="PC105" s="9"/>
      <c r="PD105" s="9"/>
      <c r="PE105" s="9"/>
      <c r="PF105" s="9"/>
      <c r="PG105" s="9"/>
      <c r="PH105" s="9"/>
      <c r="PI105" s="9"/>
      <c r="PJ105" s="9"/>
      <c r="PK105" s="9"/>
      <c r="PL105" s="9"/>
      <c r="PM105" s="9"/>
      <c r="PN105" s="9"/>
      <c r="PO105" s="9"/>
      <c r="PP105" s="9"/>
      <c r="PQ105" s="9"/>
      <c r="PR105" s="9"/>
      <c r="PS105" s="9"/>
      <c r="PT105" s="9"/>
      <c r="PU105" s="9"/>
      <c r="PV105" s="9"/>
      <c r="PW105" s="9"/>
      <c r="PX105" s="9"/>
      <c r="PY105" s="9"/>
      <c r="PZ105" s="9"/>
      <c r="QA105" s="9"/>
      <c r="QB105" s="9"/>
      <c r="QC105" s="9"/>
      <c r="QD105" s="9"/>
      <c r="QE105" s="9"/>
      <c r="QF105" s="9"/>
      <c r="QG105" s="9"/>
      <c r="QH105" s="9"/>
      <c r="QI105" s="9"/>
      <c r="QJ105" s="9"/>
      <c r="QK105" s="9"/>
      <c r="QL105" s="9"/>
      <c r="QM105" s="9"/>
      <c r="QN105" s="9"/>
      <c r="QO105" s="9"/>
      <c r="QP105" s="9"/>
      <c r="QQ105" s="9"/>
      <c r="QR105" s="9"/>
      <c r="QS105" s="9"/>
      <c r="QT105" s="9"/>
      <c r="QU105" s="9"/>
      <c r="QV105" s="9"/>
      <c r="QW105" s="9"/>
      <c r="QX105" s="9"/>
      <c r="QY105" s="9"/>
      <c r="QZ105" s="9"/>
      <c r="RA105" s="9"/>
      <c r="RB105" s="9"/>
      <c r="RC105" s="9"/>
      <c r="RD105" s="9"/>
      <c r="RE105" s="9"/>
      <c r="RF105" s="9"/>
      <c r="RG105" s="9"/>
      <c r="RH105" s="9"/>
      <c r="RI105" s="9"/>
      <c r="RJ105" s="9"/>
      <c r="RK105" s="9"/>
      <c r="RL105" s="9"/>
      <c r="RM105" s="9"/>
      <c r="RN105" s="9"/>
      <c r="RO105" s="9"/>
      <c r="RP105" s="9"/>
      <c r="RQ105" s="9"/>
      <c r="RR105" s="9"/>
      <c r="RS105" s="9"/>
      <c r="RT105" s="9"/>
      <c r="RU105" s="9"/>
      <c r="RV105" s="9"/>
      <c r="RW105" s="9"/>
      <c r="RX105" s="9"/>
      <c r="RY105" s="9"/>
      <c r="RZ105" s="9"/>
      <c r="SA105" s="9"/>
      <c r="SB105" s="9"/>
      <c r="SC105" s="9"/>
      <c r="SD105" s="9"/>
      <c r="SE105" s="9"/>
      <c r="SF105" s="9"/>
      <c r="SG105" s="9"/>
      <c r="SH105" s="9"/>
      <c r="SI105" s="9"/>
      <c r="SJ105" s="9"/>
      <c r="SK105" s="8"/>
      <c r="SL105" s="8"/>
      <c r="SM105" s="8"/>
      <c r="SN105" s="8"/>
      <c r="SO105" s="8"/>
      <c r="SP105" s="8"/>
      <c r="SQ105" s="8"/>
      <c r="SR105" s="8"/>
      <c r="SS105" s="8"/>
      <c r="ST105" s="8"/>
      <c r="SU105" s="8"/>
      <c r="SV105" s="8"/>
      <c r="SW105" s="8"/>
      <c r="SX105" s="8"/>
      <c r="SY105" s="8"/>
      <c r="SZ105" s="8"/>
      <c r="TA105" s="8"/>
      <c r="TB105" s="8"/>
      <c r="TC105" s="8"/>
      <c r="TD105" s="8"/>
      <c r="TE105" s="8"/>
      <c r="TF105" s="8"/>
      <c r="TG105" s="8"/>
      <c r="TH105" s="8"/>
      <c r="TI105" s="8"/>
      <c r="TJ105" s="8"/>
      <c r="TK105" s="8"/>
      <c r="TL105" s="8"/>
      <c r="TM105" s="8"/>
      <c r="TN105" s="8"/>
      <c r="TO105" s="8"/>
    </row>
    <row r="106" spans="1:535" x14ac:dyDescent="0.2">
      <c r="A106" s="7"/>
      <c r="B106" s="15"/>
      <c r="C106" s="15"/>
      <c r="D106" s="15"/>
      <c r="E106" s="15"/>
      <c r="F106" s="15"/>
      <c r="G106" s="15"/>
      <c r="H106" s="15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  <c r="EU106" s="9"/>
      <c r="EV106" s="9"/>
      <c r="EW106" s="9"/>
      <c r="EX106" s="9"/>
      <c r="EY106" s="9"/>
      <c r="EZ106" s="9"/>
      <c r="FA106" s="9"/>
      <c r="FB106" s="9"/>
      <c r="FC106" s="9"/>
      <c r="FD106" s="9"/>
      <c r="FE106" s="9"/>
      <c r="FF106" s="9"/>
      <c r="FG106" s="9"/>
      <c r="FH106" s="9"/>
      <c r="FI106" s="9"/>
      <c r="FJ106" s="9"/>
      <c r="FK106" s="9"/>
      <c r="FL106" s="9"/>
      <c r="FM106" s="9"/>
      <c r="FN106" s="9"/>
      <c r="FO106" s="9"/>
      <c r="FP106" s="9"/>
      <c r="FQ106" s="9"/>
      <c r="FR106" s="9"/>
      <c r="FS106" s="9"/>
      <c r="FT106" s="9"/>
      <c r="FU106" s="9"/>
      <c r="FV106" s="9"/>
      <c r="FW106" s="9"/>
      <c r="FX106" s="9"/>
      <c r="FY106" s="9"/>
      <c r="FZ106" s="9"/>
      <c r="GA106" s="9"/>
      <c r="GB106" s="9"/>
      <c r="GC106" s="9"/>
      <c r="GD106" s="9"/>
      <c r="GE106" s="9"/>
      <c r="GF106" s="9"/>
      <c r="GG106" s="9"/>
      <c r="GH106" s="9"/>
      <c r="GI106" s="9"/>
      <c r="GJ106" s="9"/>
      <c r="GK106" s="9"/>
      <c r="GL106" s="9"/>
      <c r="GM106" s="9"/>
      <c r="GN106" s="9"/>
      <c r="GO106" s="9"/>
      <c r="GP106" s="9"/>
      <c r="GQ106" s="9"/>
      <c r="GR106" s="9"/>
      <c r="GS106" s="9"/>
      <c r="GT106" s="9"/>
      <c r="GU106" s="9"/>
      <c r="GV106" s="9"/>
      <c r="GW106" s="9"/>
      <c r="GX106" s="9"/>
      <c r="GY106" s="9"/>
      <c r="GZ106" s="9"/>
      <c r="HA106" s="9"/>
      <c r="HB106" s="9"/>
      <c r="HC106" s="9"/>
      <c r="HD106" s="9"/>
      <c r="HE106" s="9"/>
      <c r="HF106" s="9"/>
      <c r="HG106" s="9"/>
      <c r="HH106" s="9"/>
      <c r="HI106" s="9"/>
      <c r="HJ106" s="9"/>
      <c r="HK106" s="9"/>
      <c r="HL106" s="9"/>
      <c r="HM106" s="9"/>
      <c r="HN106" s="9"/>
      <c r="HO106" s="9"/>
      <c r="HP106" s="9"/>
      <c r="HQ106" s="9"/>
      <c r="HR106" s="9"/>
      <c r="HS106" s="9"/>
      <c r="HT106" s="9"/>
      <c r="HU106" s="9"/>
      <c r="HV106" s="9"/>
      <c r="HW106" s="9"/>
      <c r="HX106" s="9"/>
      <c r="HY106" s="9"/>
      <c r="HZ106" s="9"/>
      <c r="IA106" s="9"/>
      <c r="IB106" s="9"/>
      <c r="IC106" s="9"/>
      <c r="ID106" s="9"/>
      <c r="IE106" s="9"/>
      <c r="IF106" s="9"/>
      <c r="IG106" s="9"/>
      <c r="IH106" s="9"/>
      <c r="II106" s="9"/>
      <c r="IJ106" s="9"/>
      <c r="IK106" s="9"/>
      <c r="IL106" s="9"/>
      <c r="IM106" s="9"/>
      <c r="IN106" s="9"/>
      <c r="IO106" s="9"/>
      <c r="IP106" s="9"/>
      <c r="IQ106" s="9"/>
      <c r="IR106" s="9"/>
      <c r="IS106" s="9"/>
      <c r="IT106" s="9"/>
      <c r="IU106" s="9"/>
      <c r="IV106" s="9"/>
      <c r="IW106" s="9"/>
      <c r="IX106" s="9"/>
      <c r="IY106" s="9"/>
      <c r="IZ106" s="9"/>
      <c r="JA106" s="9"/>
      <c r="JB106" s="9"/>
      <c r="JC106" s="9"/>
      <c r="JD106" s="9"/>
      <c r="JE106" s="9"/>
      <c r="JF106" s="9"/>
      <c r="JG106" s="9"/>
      <c r="JH106" s="9"/>
      <c r="JI106" s="9"/>
      <c r="JJ106" s="9"/>
      <c r="JK106" s="9"/>
      <c r="JL106" s="9"/>
      <c r="JM106" s="9"/>
      <c r="JN106" s="9"/>
      <c r="JO106" s="9"/>
      <c r="JP106" s="9"/>
      <c r="JQ106" s="9"/>
      <c r="JR106" s="9"/>
      <c r="JS106" s="9"/>
      <c r="JT106" s="9"/>
      <c r="JU106" s="9"/>
      <c r="JV106" s="9"/>
      <c r="JW106" s="9"/>
      <c r="JX106" s="9"/>
      <c r="JY106" s="9"/>
      <c r="JZ106" s="9"/>
      <c r="KA106" s="9"/>
      <c r="KB106" s="9"/>
      <c r="KC106" s="9"/>
      <c r="KD106" s="9"/>
      <c r="KE106" s="9"/>
      <c r="KF106" s="9"/>
      <c r="KG106" s="9"/>
      <c r="KH106" s="9"/>
      <c r="KI106" s="9"/>
      <c r="KJ106" s="9"/>
      <c r="KK106" s="9"/>
      <c r="KL106" s="9"/>
      <c r="KM106" s="9"/>
      <c r="KN106" s="9"/>
      <c r="KO106" s="9"/>
      <c r="KP106" s="9"/>
      <c r="KQ106" s="9"/>
      <c r="KR106" s="9"/>
      <c r="KS106" s="9"/>
      <c r="KT106" s="9"/>
      <c r="KU106" s="9"/>
      <c r="KV106" s="9"/>
      <c r="KW106" s="9"/>
      <c r="KX106" s="9"/>
      <c r="KY106" s="9"/>
      <c r="KZ106" s="9"/>
      <c r="LA106" s="9"/>
      <c r="LB106" s="9"/>
      <c r="LC106" s="9"/>
      <c r="LD106" s="9"/>
      <c r="LE106" s="9"/>
      <c r="LF106" s="9"/>
      <c r="LG106" s="9"/>
      <c r="LH106" s="9"/>
      <c r="LI106" s="9"/>
      <c r="LJ106" s="9"/>
      <c r="LK106" s="9"/>
      <c r="LL106" s="9"/>
      <c r="LM106" s="9"/>
      <c r="LN106" s="9"/>
      <c r="LO106" s="9"/>
      <c r="LP106" s="9"/>
      <c r="LQ106" s="9"/>
      <c r="LR106" s="9"/>
      <c r="LS106" s="9"/>
      <c r="LT106" s="9"/>
      <c r="LU106" s="9"/>
      <c r="LV106" s="9"/>
      <c r="LW106" s="9"/>
      <c r="LX106" s="9"/>
      <c r="LY106" s="9"/>
      <c r="LZ106" s="9"/>
      <c r="MA106" s="9"/>
      <c r="MB106" s="9"/>
      <c r="MC106" s="9"/>
      <c r="MD106" s="9"/>
      <c r="ME106" s="9"/>
      <c r="MF106" s="9"/>
      <c r="MG106" s="9"/>
      <c r="MH106" s="9"/>
      <c r="MI106" s="9"/>
      <c r="MJ106" s="9"/>
      <c r="MK106" s="9"/>
      <c r="ML106" s="9"/>
      <c r="MM106" s="9"/>
      <c r="MN106" s="9"/>
      <c r="MO106" s="9"/>
      <c r="MP106" s="9"/>
      <c r="MQ106" s="9"/>
      <c r="MR106" s="9"/>
      <c r="MS106" s="9"/>
      <c r="MT106" s="9"/>
      <c r="MU106" s="9"/>
      <c r="MV106" s="9"/>
      <c r="MW106" s="9"/>
      <c r="MX106" s="9"/>
      <c r="MY106" s="9"/>
      <c r="MZ106" s="9"/>
      <c r="NA106" s="9"/>
      <c r="NB106" s="9"/>
      <c r="NC106" s="9"/>
      <c r="ND106" s="9"/>
      <c r="NE106" s="9"/>
      <c r="NF106" s="9"/>
      <c r="NG106" s="9"/>
      <c r="NH106" s="9"/>
      <c r="NI106" s="9"/>
      <c r="NJ106" s="9"/>
      <c r="NK106" s="9"/>
      <c r="NL106" s="9"/>
      <c r="NM106" s="9"/>
      <c r="NN106" s="9"/>
      <c r="NO106" s="9"/>
      <c r="NP106" s="9"/>
      <c r="NQ106" s="9"/>
      <c r="NR106" s="9"/>
      <c r="NS106" s="9"/>
      <c r="NT106" s="9"/>
      <c r="NU106" s="9"/>
      <c r="NV106" s="9"/>
      <c r="NW106" s="9"/>
      <c r="NX106" s="9"/>
      <c r="NY106" s="9"/>
      <c r="NZ106" s="9"/>
      <c r="OA106" s="9"/>
      <c r="OB106" s="9"/>
      <c r="OC106" s="9"/>
      <c r="OD106" s="9"/>
      <c r="OE106" s="9"/>
      <c r="OF106" s="9"/>
      <c r="OG106" s="9"/>
      <c r="OH106" s="9"/>
      <c r="OI106" s="9"/>
      <c r="OJ106" s="9"/>
      <c r="OK106" s="9"/>
      <c r="OL106" s="9"/>
      <c r="OM106" s="9"/>
      <c r="ON106" s="9"/>
      <c r="OO106" s="9"/>
      <c r="OP106" s="9"/>
      <c r="OQ106" s="9"/>
      <c r="OR106" s="9"/>
      <c r="OS106" s="9"/>
      <c r="OT106" s="9"/>
      <c r="OU106" s="9"/>
      <c r="OV106" s="9"/>
      <c r="OW106" s="9"/>
      <c r="OX106" s="9"/>
      <c r="OY106" s="9"/>
      <c r="OZ106" s="9"/>
      <c r="PA106" s="9"/>
      <c r="PB106" s="9"/>
      <c r="PC106" s="9"/>
      <c r="PD106" s="9"/>
      <c r="PE106" s="9"/>
      <c r="PF106" s="9"/>
      <c r="PG106" s="9"/>
      <c r="PH106" s="9"/>
      <c r="PI106" s="9"/>
      <c r="PJ106" s="9"/>
      <c r="PK106" s="9"/>
      <c r="PL106" s="9"/>
      <c r="PM106" s="9"/>
      <c r="PN106" s="9"/>
      <c r="PO106" s="9"/>
      <c r="PP106" s="9"/>
      <c r="PQ106" s="9"/>
      <c r="PR106" s="9"/>
      <c r="PS106" s="9"/>
      <c r="PT106" s="9"/>
      <c r="PU106" s="9"/>
      <c r="PV106" s="9"/>
      <c r="PW106" s="9"/>
      <c r="PX106" s="9"/>
      <c r="PY106" s="9"/>
      <c r="PZ106" s="9"/>
      <c r="QA106" s="9"/>
      <c r="QB106" s="9"/>
      <c r="QC106" s="9"/>
      <c r="QD106" s="9"/>
      <c r="QE106" s="9"/>
      <c r="QF106" s="9"/>
      <c r="QG106" s="9"/>
      <c r="QH106" s="9"/>
      <c r="QI106" s="9"/>
      <c r="QJ106" s="9"/>
      <c r="QK106" s="9"/>
      <c r="QL106" s="9"/>
      <c r="QM106" s="9"/>
      <c r="QN106" s="9"/>
      <c r="QO106" s="9"/>
      <c r="QP106" s="9"/>
      <c r="QQ106" s="9"/>
      <c r="QR106" s="9"/>
      <c r="QS106" s="9"/>
      <c r="QT106" s="9"/>
      <c r="QU106" s="9"/>
      <c r="QV106" s="9"/>
      <c r="QW106" s="9"/>
      <c r="QX106" s="9"/>
      <c r="QY106" s="9"/>
      <c r="QZ106" s="9"/>
      <c r="RA106" s="9"/>
      <c r="RB106" s="9"/>
      <c r="RC106" s="9"/>
      <c r="RD106" s="9"/>
      <c r="RE106" s="9"/>
      <c r="RF106" s="9"/>
      <c r="RG106" s="9"/>
      <c r="RH106" s="9"/>
      <c r="RI106" s="9"/>
      <c r="RJ106" s="9"/>
      <c r="RK106" s="9"/>
      <c r="RL106" s="9"/>
      <c r="RM106" s="9"/>
      <c r="RN106" s="9"/>
      <c r="RO106" s="9"/>
      <c r="RP106" s="9"/>
      <c r="RQ106" s="9"/>
      <c r="RR106" s="9"/>
      <c r="RS106" s="9"/>
      <c r="RT106" s="9"/>
      <c r="RU106" s="9"/>
      <c r="RV106" s="9"/>
      <c r="RW106" s="9"/>
      <c r="RX106" s="9"/>
      <c r="RY106" s="9"/>
      <c r="RZ106" s="9"/>
      <c r="SA106" s="9"/>
      <c r="SB106" s="9"/>
      <c r="SC106" s="9"/>
      <c r="SD106" s="9"/>
      <c r="SE106" s="9"/>
      <c r="SF106" s="9"/>
      <c r="SG106" s="9"/>
      <c r="SH106" s="9"/>
      <c r="SI106" s="9"/>
      <c r="SJ106" s="9"/>
      <c r="SK106" s="8"/>
      <c r="SL106" s="8"/>
      <c r="SM106" s="8"/>
      <c r="SN106" s="8"/>
      <c r="SO106" s="8"/>
      <c r="SP106" s="8"/>
      <c r="SQ106" s="8"/>
      <c r="SR106" s="8"/>
      <c r="SS106" s="8"/>
      <c r="ST106" s="8"/>
      <c r="SU106" s="8"/>
      <c r="SV106" s="8"/>
      <c r="SW106" s="8"/>
      <c r="SX106" s="8"/>
      <c r="SY106" s="8"/>
      <c r="SZ106" s="8"/>
      <c r="TA106" s="8"/>
      <c r="TB106" s="8"/>
      <c r="TC106" s="8"/>
      <c r="TD106" s="8"/>
      <c r="TE106" s="8"/>
      <c r="TF106" s="8"/>
      <c r="TG106" s="8"/>
      <c r="TH106" s="8"/>
      <c r="TI106" s="8"/>
      <c r="TJ106" s="8"/>
      <c r="TK106" s="8"/>
      <c r="TL106" s="8"/>
      <c r="TM106" s="8"/>
      <c r="TN106" s="8"/>
      <c r="TO106" s="8"/>
    </row>
    <row r="107" spans="1:535" x14ac:dyDescent="0.2">
      <c r="A107" s="7"/>
      <c r="B107" s="15"/>
      <c r="C107" s="15"/>
      <c r="D107" s="15"/>
      <c r="E107" s="15"/>
      <c r="F107" s="15"/>
      <c r="G107" s="15"/>
      <c r="H107" s="15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  <c r="DO107" s="9"/>
      <c r="DP107" s="9"/>
      <c r="DQ107" s="9"/>
      <c r="DR107" s="9"/>
      <c r="DS107" s="9"/>
      <c r="DT107" s="9"/>
      <c r="DU107" s="9"/>
      <c r="DV107" s="9"/>
      <c r="DW107" s="9"/>
      <c r="DX107" s="9"/>
      <c r="DY107" s="9"/>
      <c r="DZ107" s="9"/>
      <c r="EA107" s="9"/>
      <c r="EB107" s="9"/>
      <c r="EC107" s="9"/>
      <c r="ED107" s="9"/>
      <c r="EE107" s="9"/>
      <c r="EF107" s="9"/>
      <c r="EG107" s="9"/>
      <c r="EH107" s="9"/>
      <c r="EI107" s="9"/>
      <c r="EJ107" s="9"/>
      <c r="EK107" s="9"/>
      <c r="EL107" s="9"/>
      <c r="EM107" s="9"/>
      <c r="EN107" s="9"/>
      <c r="EO107" s="9"/>
      <c r="EP107" s="9"/>
      <c r="EQ107" s="9"/>
      <c r="ER107" s="9"/>
      <c r="ES107" s="9"/>
      <c r="ET107" s="9"/>
      <c r="EU107" s="9"/>
      <c r="EV107" s="9"/>
      <c r="EW107" s="9"/>
      <c r="EX107" s="9"/>
      <c r="EY107" s="9"/>
      <c r="EZ107" s="9"/>
      <c r="FA107" s="9"/>
      <c r="FB107" s="9"/>
      <c r="FC107" s="9"/>
      <c r="FD107" s="9"/>
      <c r="FE107" s="9"/>
      <c r="FF107" s="9"/>
      <c r="FG107" s="9"/>
      <c r="FH107" s="9"/>
      <c r="FI107" s="9"/>
      <c r="FJ107" s="9"/>
      <c r="FK107" s="9"/>
      <c r="FL107" s="9"/>
      <c r="FM107" s="9"/>
      <c r="FN107" s="9"/>
      <c r="FO107" s="9"/>
      <c r="FP107" s="9"/>
      <c r="FQ107" s="9"/>
      <c r="FR107" s="9"/>
      <c r="FS107" s="9"/>
      <c r="FT107" s="9"/>
      <c r="FU107" s="9"/>
      <c r="FV107" s="9"/>
      <c r="FW107" s="9"/>
      <c r="FX107" s="9"/>
      <c r="FY107" s="9"/>
      <c r="FZ107" s="9"/>
      <c r="GA107" s="9"/>
      <c r="GB107" s="9"/>
      <c r="GC107" s="9"/>
      <c r="GD107" s="9"/>
      <c r="GE107" s="9"/>
      <c r="GF107" s="9"/>
      <c r="GG107" s="9"/>
      <c r="GH107" s="9"/>
      <c r="GI107" s="9"/>
      <c r="GJ107" s="9"/>
      <c r="GK107" s="9"/>
      <c r="GL107" s="9"/>
      <c r="GM107" s="9"/>
      <c r="GN107" s="9"/>
      <c r="GO107" s="9"/>
      <c r="GP107" s="9"/>
      <c r="GQ107" s="9"/>
      <c r="GR107" s="9"/>
      <c r="GS107" s="9"/>
      <c r="GT107" s="9"/>
      <c r="GU107" s="9"/>
      <c r="GV107" s="9"/>
      <c r="GW107" s="9"/>
      <c r="GX107" s="9"/>
      <c r="GY107" s="9"/>
      <c r="GZ107" s="9"/>
      <c r="HA107" s="9"/>
      <c r="HB107" s="9"/>
      <c r="HC107" s="9"/>
      <c r="HD107" s="9"/>
      <c r="HE107" s="9"/>
      <c r="HF107" s="9"/>
      <c r="HG107" s="9"/>
      <c r="HH107" s="9"/>
      <c r="HI107" s="9"/>
      <c r="HJ107" s="9"/>
      <c r="HK107" s="9"/>
      <c r="HL107" s="9"/>
      <c r="HM107" s="9"/>
      <c r="HN107" s="9"/>
      <c r="HO107" s="9"/>
      <c r="HP107" s="9"/>
      <c r="HQ107" s="9"/>
      <c r="HR107" s="9"/>
      <c r="HS107" s="9"/>
      <c r="HT107" s="9"/>
      <c r="HU107" s="9"/>
      <c r="HV107" s="9"/>
      <c r="HW107" s="9"/>
      <c r="HX107" s="9"/>
      <c r="HY107" s="9"/>
      <c r="HZ107" s="9"/>
      <c r="IA107" s="9"/>
      <c r="IB107" s="9"/>
      <c r="IC107" s="9"/>
      <c r="ID107" s="9"/>
      <c r="IE107" s="9"/>
      <c r="IF107" s="9"/>
      <c r="IG107" s="9"/>
      <c r="IH107" s="9"/>
      <c r="II107" s="9"/>
      <c r="IJ107" s="9"/>
      <c r="IK107" s="9"/>
      <c r="IL107" s="9"/>
      <c r="IM107" s="9"/>
      <c r="IN107" s="9"/>
      <c r="IO107" s="9"/>
      <c r="IP107" s="9"/>
      <c r="IQ107" s="9"/>
      <c r="IR107" s="9"/>
      <c r="IS107" s="9"/>
      <c r="IT107" s="9"/>
      <c r="IU107" s="9"/>
      <c r="IV107" s="9"/>
      <c r="IW107" s="9"/>
      <c r="IX107" s="9"/>
      <c r="IY107" s="9"/>
      <c r="IZ107" s="9"/>
      <c r="JA107" s="9"/>
      <c r="JB107" s="9"/>
      <c r="JC107" s="9"/>
      <c r="JD107" s="9"/>
      <c r="JE107" s="9"/>
      <c r="JF107" s="9"/>
      <c r="JG107" s="9"/>
      <c r="JH107" s="9"/>
      <c r="JI107" s="9"/>
      <c r="JJ107" s="9"/>
      <c r="JK107" s="9"/>
      <c r="JL107" s="9"/>
      <c r="JM107" s="9"/>
      <c r="JN107" s="9"/>
      <c r="JO107" s="9"/>
      <c r="JP107" s="9"/>
      <c r="JQ107" s="9"/>
      <c r="JR107" s="9"/>
      <c r="JS107" s="9"/>
      <c r="JT107" s="9"/>
      <c r="JU107" s="9"/>
      <c r="JV107" s="9"/>
      <c r="JW107" s="9"/>
      <c r="JX107" s="9"/>
      <c r="JY107" s="9"/>
      <c r="JZ107" s="9"/>
      <c r="KA107" s="9"/>
      <c r="KB107" s="9"/>
      <c r="KC107" s="9"/>
      <c r="KD107" s="9"/>
      <c r="KE107" s="9"/>
      <c r="KF107" s="9"/>
      <c r="KG107" s="9"/>
      <c r="KH107" s="9"/>
      <c r="KI107" s="9"/>
      <c r="KJ107" s="9"/>
      <c r="KK107" s="9"/>
      <c r="KL107" s="9"/>
      <c r="KM107" s="9"/>
      <c r="KN107" s="9"/>
      <c r="KO107" s="9"/>
      <c r="KP107" s="9"/>
      <c r="KQ107" s="9"/>
      <c r="KR107" s="9"/>
      <c r="KS107" s="9"/>
      <c r="KT107" s="9"/>
      <c r="KU107" s="9"/>
      <c r="KV107" s="9"/>
      <c r="KW107" s="9"/>
      <c r="KX107" s="9"/>
      <c r="KY107" s="9"/>
      <c r="KZ107" s="9"/>
      <c r="LA107" s="9"/>
      <c r="LB107" s="9"/>
      <c r="LC107" s="9"/>
      <c r="LD107" s="9"/>
      <c r="LE107" s="9"/>
      <c r="LF107" s="9"/>
      <c r="LG107" s="9"/>
      <c r="LH107" s="9"/>
      <c r="LI107" s="9"/>
      <c r="LJ107" s="9"/>
      <c r="LK107" s="9"/>
      <c r="LL107" s="9"/>
      <c r="LM107" s="9"/>
      <c r="LN107" s="9"/>
      <c r="LO107" s="9"/>
      <c r="LP107" s="9"/>
      <c r="LQ107" s="9"/>
      <c r="LR107" s="9"/>
      <c r="LS107" s="9"/>
      <c r="LT107" s="9"/>
      <c r="LU107" s="9"/>
      <c r="LV107" s="9"/>
      <c r="LW107" s="9"/>
      <c r="LX107" s="9"/>
      <c r="LY107" s="9"/>
      <c r="LZ107" s="9"/>
      <c r="MA107" s="9"/>
      <c r="MB107" s="9"/>
      <c r="MC107" s="9"/>
      <c r="MD107" s="9"/>
      <c r="ME107" s="9"/>
      <c r="MF107" s="9"/>
      <c r="MG107" s="9"/>
      <c r="MH107" s="9"/>
      <c r="MI107" s="9"/>
      <c r="MJ107" s="9"/>
      <c r="MK107" s="9"/>
      <c r="ML107" s="9"/>
      <c r="MM107" s="9"/>
      <c r="MN107" s="9"/>
      <c r="MO107" s="9"/>
      <c r="MP107" s="9"/>
      <c r="MQ107" s="9"/>
      <c r="MR107" s="9"/>
      <c r="MS107" s="9"/>
      <c r="MT107" s="9"/>
      <c r="MU107" s="9"/>
      <c r="MV107" s="9"/>
      <c r="MW107" s="9"/>
      <c r="MX107" s="9"/>
      <c r="MY107" s="9"/>
      <c r="MZ107" s="9"/>
      <c r="NA107" s="9"/>
      <c r="NB107" s="9"/>
      <c r="NC107" s="9"/>
      <c r="ND107" s="9"/>
      <c r="NE107" s="9"/>
      <c r="NF107" s="9"/>
      <c r="NG107" s="9"/>
      <c r="NH107" s="9"/>
      <c r="NI107" s="9"/>
      <c r="NJ107" s="9"/>
      <c r="NK107" s="9"/>
      <c r="NL107" s="9"/>
      <c r="NM107" s="9"/>
      <c r="NN107" s="9"/>
      <c r="NO107" s="9"/>
      <c r="NP107" s="9"/>
      <c r="NQ107" s="9"/>
      <c r="NR107" s="9"/>
      <c r="NS107" s="9"/>
      <c r="NT107" s="9"/>
      <c r="NU107" s="9"/>
      <c r="NV107" s="9"/>
      <c r="NW107" s="9"/>
      <c r="NX107" s="9"/>
      <c r="NY107" s="9"/>
      <c r="NZ107" s="9"/>
      <c r="OA107" s="9"/>
      <c r="OB107" s="9"/>
      <c r="OC107" s="9"/>
      <c r="OD107" s="9"/>
      <c r="OE107" s="9"/>
      <c r="OF107" s="9"/>
      <c r="OG107" s="9"/>
      <c r="OH107" s="9"/>
      <c r="OI107" s="9"/>
      <c r="OJ107" s="9"/>
      <c r="OK107" s="9"/>
      <c r="OL107" s="9"/>
      <c r="OM107" s="9"/>
      <c r="ON107" s="9"/>
      <c r="OO107" s="9"/>
      <c r="OP107" s="9"/>
      <c r="OQ107" s="9"/>
      <c r="OR107" s="9"/>
      <c r="OS107" s="9"/>
      <c r="OT107" s="9"/>
      <c r="OU107" s="9"/>
      <c r="OV107" s="9"/>
      <c r="OW107" s="9"/>
      <c r="OX107" s="9"/>
      <c r="OY107" s="9"/>
      <c r="OZ107" s="9"/>
      <c r="PA107" s="9"/>
      <c r="PB107" s="9"/>
      <c r="PC107" s="9"/>
      <c r="PD107" s="9"/>
      <c r="PE107" s="9"/>
      <c r="PF107" s="9"/>
      <c r="PG107" s="9"/>
      <c r="PH107" s="9"/>
      <c r="PI107" s="9"/>
      <c r="PJ107" s="9"/>
      <c r="PK107" s="9"/>
      <c r="PL107" s="9"/>
      <c r="PM107" s="9"/>
      <c r="PN107" s="9"/>
      <c r="PO107" s="9"/>
      <c r="PP107" s="9"/>
      <c r="PQ107" s="9"/>
      <c r="PR107" s="9"/>
      <c r="PS107" s="9"/>
      <c r="PT107" s="9"/>
      <c r="PU107" s="9"/>
      <c r="PV107" s="9"/>
      <c r="PW107" s="9"/>
      <c r="PX107" s="9"/>
      <c r="PY107" s="9"/>
      <c r="PZ107" s="9"/>
      <c r="QA107" s="9"/>
      <c r="QB107" s="9"/>
      <c r="QC107" s="9"/>
      <c r="QD107" s="9"/>
      <c r="QE107" s="9"/>
      <c r="QF107" s="9"/>
      <c r="QG107" s="9"/>
      <c r="QH107" s="9"/>
      <c r="QI107" s="9"/>
      <c r="QJ107" s="9"/>
      <c r="QK107" s="9"/>
      <c r="QL107" s="9"/>
      <c r="QM107" s="9"/>
      <c r="QN107" s="9"/>
      <c r="QO107" s="9"/>
      <c r="QP107" s="9"/>
      <c r="QQ107" s="9"/>
      <c r="QR107" s="9"/>
      <c r="QS107" s="9"/>
      <c r="QT107" s="9"/>
      <c r="QU107" s="9"/>
      <c r="QV107" s="9"/>
      <c r="QW107" s="9"/>
      <c r="QX107" s="9"/>
      <c r="QY107" s="9"/>
      <c r="QZ107" s="9"/>
      <c r="RA107" s="9"/>
      <c r="RB107" s="9"/>
      <c r="RC107" s="9"/>
      <c r="RD107" s="9"/>
      <c r="RE107" s="9"/>
      <c r="RF107" s="9"/>
      <c r="RG107" s="9"/>
      <c r="RH107" s="9"/>
      <c r="RI107" s="9"/>
      <c r="RJ107" s="9"/>
      <c r="RK107" s="9"/>
      <c r="RL107" s="9"/>
      <c r="RM107" s="9"/>
      <c r="RN107" s="9"/>
      <c r="RO107" s="9"/>
      <c r="RP107" s="9"/>
      <c r="RQ107" s="9"/>
      <c r="RR107" s="9"/>
      <c r="RS107" s="9"/>
      <c r="RT107" s="9"/>
      <c r="RU107" s="9"/>
      <c r="RV107" s="9"/>
      <c r="RW107" s="9"/>
      <c r="RX107" s="9"/>
      <c r="RY107" s="9"/>
      <c r="RZ107" s="9"/>
      <c r="SA107" s="9"/>
      <c r="SB107" s="9"/>
      <c r="SC107" s="9"/>
      <c r="SD107" s="9"/>
      <c r="SE107" s="9"/>
      <c r="SF107" s="9"/>
      <c r="SG107" s="9"/>
      <c r="SH107" s="9"/>
      <c r="SI107" s="9"/>
      <c r="SJ107" s="9"/>
      <c r="SK107" s="8"/>
      <c r="SL107" s="8"/>
      <c r="SM107" s="8"/>
      <c r="SN107" s="8"/>
      <c r="SO107" s="8"/>
      <c r="SP107" s="8"/>
      <c r="SQ107" s="8"/>
      <c r="SR107" s="8"/>
      <c r="SS107" s="8"/>
      <c r="ST107" s="8"/>
      <c r="SU107" s="8"/>
      <c r="SV107" s="8"/>
      <c r="SW107" s="8"/>
      <c r="SX107" s="8"/>
      <c r="SY107" s="8"/>
      <c r="SZ107" s="8"/>
      <c r="TA107" s="8"/>
      <c r="TB107" s="8"/>
      <c r="TC107" s="8"/>
      <c r="TD107" s="8"/>
      <c r="TE107" s="8"/>
      <c r="TF107" s="8"/>
      <c r="TG107" s="8"/>
      <c r="TH107" s="8"/>
      <c r="TI107" s="8"/>
      <c r="TJ107" s="8"/>
      <c r="TK107" s="8"/>
      <c r="TL107" s="8"/>
      <c r="TM107" s="8"/>
      <c r="TN107" s="8"/>
      <c r="TO107" s="8"/>
    </row>
    <row r="108" spans="1:535" x14ac:dyDescent="0.2">
      <c r="A108" s="7"/>
      <c r="B108" s="15"/>
      <c r="C108" s="15"/>
      <c r="D108" s="15"/>
      <c r="E108" s="15"/>
      <c r="F108" s="15"/>
      <c r="G108" s="15"/>
      <c r="H108" s="15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9"/>
      <c r="DP108" s="9"/>
      <c r="DQ108" s="9"/>
      <c r="DR108" s="9"/>
      <c r="DS108" s="9"/>
      <c r="DT108" s="9"/>
      <c r="DU108" s="9"/>
      <c r="DV108" s="9"/>
      <c r="DW108" s="9"/>
      <c r="DX108" s="9"/>
      <c r="DY108" s="9"/>
      <c r="DZ108" s="9"/>
      <c r="EA108" s="9"/>
      <c r="EB108" s="9"/>
      <c r="EC108" s="9"/>
      <c r="ED108" s="9"/>
      <c r="EE108" s="9"/>
      <c r="EF108" s="9"/>
      <c r="EG108" s="9"/>
      <c r="EH108" s="9"/>
      <c r="EI108" s="9"/>
      <c r="EJ108" s="9"/>
      <c r="EK108" s="9"/>
      <c r="EL108" s="9"/>
      <c r="EM108" s="9"/>
      <c r="EN108" s="9"/>
      <c r="EO108" s="9"/>
      <c r="EP108" s="9"/>
      <c r="EQ108" s="9"/>
      <c r="ER108" s="9"/>
      <c r="ES108" s="9"/>
      <c r="ET108" s="9"/>
      <c r="EU108" s="9"/>
      <c r="EV108" s="9"/>
      <c r="EW108" s="9"/>
      <c r="EX108" s="9"/>
      <c r="EY108" s="9"/>
      <c r="EZ108" s="9"/>
      <c r="FA108" s="9"/>
      <c r="FB108" s="9"/>
      <c r="FC108" s="9"/>
      <c r="FD108" s="9"/>
      <c r="FE108" s="9"/>
      <c r="FF108" s="9"/>
      <c r="FG108" s="9"/>
      <c r="FH108" s="9"/>
      <c r="FI108" s="9"/>
      <c r="FJ108" s="9"/>
      <c r="FK108" s="9"/>
      <c r="FL108" s="9"/>
      <c r="FM108" s="9"/>
      <c r="FN108" s="9"/>
      <c r="FO108" s="9"/>
      <c r="FP108" s="9"/>
      <c r="FQ108" s="9"/>
      <c r="FR108" s="9"/>
      <c r="FS108" s="9"/>
      <c r="FT108" s="9"/>
      <c r="FU108" s="9"/>
      <c r="FV108" s="9"/>
      <c r="FW108" s="9"/>
      <c r="FX108" s="9"/>
      <c r="FY108" s="9"/>
      <c r="FZ108" s="9"/>
      <c r="GA108" s="9"/>
      <c r="GB108" s="9"/>
      <c r="GC108" s="9"/>
      <c r="GD108" s="9"/>
      <c r="GE108" s="9"/>
      <c r="GF108" s="9"/>
      <c r="GG108" s="9"/>
      <c r="GH108" s="9"/>
      <c r="GI108" s="9"/>
      <c r="GJ108" s="9"/>
      <c r="GK108" s="9"/>
      <c r="GL108" s="9"/>
      <c r="GM108" s="9"/>
      <c r="GN108" s="9"/>
      <c r="GO108" s="9"/>
      <c r="GP108" s="9"/>
      <c r="GQ108" s="9"/>
      <c r="GR108" s="9"/>
      <c r="GS108" s="9"/>
      <c r="GT108" s="9"/>
      <c r="GU108" s="9"/>
      <c r="GV108" s="9"/>
      <c r="GW108" s="9"/>
      <c r="GX108" s="9"/>
      <c r="GY108" s="9"/>
      <c r="GZ108" s="9"/>
      <c r="HA108" s="9"/>
      <c r="HB108" s="9"/>
      <c r="HC108" s="9"/>
      <c r="HD108" s="9"/>
      <c r="HE108" s="9"/>
      <c r="HF108" s="9"/>
      <c r="HG108" s="9"/>
      <c r="HH108" s="9"/>
      <c r="HI108" s="9"/>
      <c r="HJ108" s="9"/>
      <c r="HK108" s="9"/>
      <c r="HL108" s="9"/>
      <c r="HM108" s="9"/>
      <c r="HN108" s="9"/>
      <c r="HO108" s="9"/>
      <c r="HP108" s="9"/>
      <c r="HQ108" s="9"/>
      <c r="HR108" s="9"/>
      <c r="HS108" s="9"/>
      <c r="HT108" s="9"/>
      <c r="HU108" s="9"/>
      <c r="HV108" s="9"/>
      <c r="HW108" s="9"/>
      <c r="HX108" s="9"/>
      <c r="HY108" s="9"/>
      <c r="HZ108" s="9"/>
      <c r="IA108" s="9"/>
      <c r="IB108" s="9"/>
      <c r="IC108" s="9"/>
      <c r="ID108" s="9"/>
      <c r="IE108" s="9"/>
      <c r="IF108" s="9"/>
      <c r="IG108" s="9"/>
      <c r="IH108" s="9"/>
      <c r="II108" s="9"/>
      <c r="IJ108" s="9"/>
      <c r="IK108" s="9"/>
      <c r="IL108" s="9"/>
      <c r="IM108" s="9"/>
      <c r="IN108" s="9"/>
      <c r="IO108" s="9"/>
      <c r="IP108" s="9"/>
      <c r="IQ108" s="9"/>
      <c r="IR108" s="9"/>
      <c r="IS108" s="9"/>
      <c r="IT108" s="9"/>
      <c r="IU108" s="9"/>
      <c r="IV108" s="9"/>
      <c r="IW108" s="9"/>
      <c r="IX108" s="9"/>
      <c r="IY108" s="9"/>
      <c r="IZ108" s="9"/>
      <c r="JA108" s="9"/>
      <c r="JB108" s="9"/>
      <c r="JC108" s="9"/>
      <c r="JD108" s="9"/>
      <c r="JE108" s="9"/>
      <c r="JF108" s="9"/>
      <c r="JG108" s="9"/>
      <c r="JH108" s="9"/>
      <c r="JI108" s="9"/>
      <c r="JJ108" s="9"/>
      <c r="JK108" s="9"/>
      <c r="JL108" s="9"/>
      <c r="JM108" s="9"/>
      <c r="JN108" s="9"/>
      <c r="JO108" s="9"/>
      <c r="JP108" s="9"/>
      <c r="JQ108" s="9"/>
      <c r="JR108" s="9"/>
      <c r="JS108" s="9"/>
      <c r="JT108" s="9"/>
      <c r="JU108" s="9"/>
      <c r="JV108" s="9"/>
      <c r="JW108" s="9"/>
      <c r="JX108" s="9"/>
      <c r="JY108" s="9"/>
      <c r="JZ108" s="9"/>
      <c r="KA108" s="9"/>
      <c r="KB108" s="9"/>
      <c r="KC108" s="9"/>
      <c r="KD108" s="9"/>
      <c r="KE108" s="9"/>
      <c r="KF108" s="9"/>
      <c r="KG108" s="9"/>
      <c r="KH108" s="9"/>
      <c r="KI108" s="9"/>
      <c r="KJ108" s="9"/>
      <c r="KK108" s="9"/>
      <c r="KL108" s="9"/>
      <c r="KM108" s="9"/>
      <c r="KN108" s="9"/>
      <c r="KO108" s="9"/>
      <c r="KP108" s="9"/>
      <c r="KQ108" s="9"/>
      <c r="KR108" s="9"/>
      <c r="KS108" s="9"/>
      <c r="KT108" s="9"/>
      <c r="KU108" s="9"/>
      <c r="KV108" s="9"/>
      <c r="KW108" s="9"/>
      <c r="KX108" s="9"/>
      <c r="KY108" s="9"/>
      <c r="KZ108" s="9"/>
      <c r="LA108" s="9"/>
      <c r="LB108" s="9"/>
      <c r="LC108" s="9"/>
      <c r="LD108" s="9"/>
      <c r="LE108" s="9"/>
      <c r="LF108" s="9"/>
      <c r="LG108" s="9"/>
      <c r="LH108" s="9"/>
      <c r="LI108" s="9"/>
      <c r="LJ108" s="9"/>
      <c r="LK108" s="9"/>
      <c r="LL108" s="9"/>
      <c r="LM108" s="9"/>
      <c r="LN108" s="9"/>
      <c r="LO108" s="9"/>
      <c r="LP108" s="9"/>
      <c r="LQ108" s="9"/>
      <c r="LR108" s="9"/>
      <c r="LS108" s="9"/>
      <c r="LT108" s="9"/>
      <c r="LU108" s="9"/>
      <c r="LV108" s="9"/>
      <c r="LW108" s="9"/>
      <c r="LX108" s="9"/>
      <c r="LY108" s="9"/>
      <c r="LZ108" s="9"/>
      <c r="MA108" s="9"/>
      <c r="MB108" s="9"/>
      <c r="MC108" s="9"/>
      <c r="MD108" s="9"/>
      <c r="ME108" s="9"/>
      <c r="MF108" s="9"/>
      <c r="MG108" s="9"/>
      <c r="MH108" s="9"/>
      <c r="MI108" s="9"/>
      <c r="MJ108" s="9"/>
      <c r="MK108" s="9"/>
      <c r="ML108" s="9"/>
      <c r="MM108" s="9"/>
      <c r="MN108" s="9"/>
      <c r="MO108" s="9"/>
      <c r="MP108" s="9"/>
      <c r="MQ108" s="9"/>
      <c r="MR108" s="9"/>
      <c r="MS108" s="9"/>
      <c r="MT108" s="9"/>
      <c r="MU108" s="9"/>
      <c r="MV108" s="9"/>
      <c r="MW108" s="9"/>
      <c r="MX108" s="9"/>
      <c r="MY108" s="9"/>
      <c r="MZ108" s="9"/>
      <c r="NA108" s="9"/>
      <c r="NB108" s="9"/>
      <c r="NC108" s="9"/>
      <c r="ND108" s="9"/>
      <c r="NE108" s="9"/>
      <c r="NF108" s="9"/>
      <c r="NG108" s="9"/>
      <c r="NH108" s="9"/>
      <c r="NI108" s="9"/>
      <c r="NJ108" s="9"/>
      <c r="NK108" s="9"/>
      <c r="NL108" s="9"/>
      <c r="NM108" s="9"/>
      <c r="NN108" s="9"/>
      <c r="NO108" s="9"/>
      <c r="NP108" s="9"/>
      <c r="NQ108" s="9"/>
      <c r="NR108" s="9"/>
      <c r="NS108" s="9"/>
      <c r="NT108" s="9"/>
      <c r="NU108" s="9"/>
      <c r="NV108" s="9"/>
      <c r="NW108" s="9"/>
      <c r="NX108" s="9"/>
      <c r="NY108" s="9"/>
      <c r="NZ108" s="9"/>
      <c r="OA108" s="9"/>
      <c r="OB108" s="9"/>
      <c r="OC108" s="9"/>
      <c r="OD108" s="9"/>
      <c r="OE108" s="9"/>
      <c r="OF108" s="9"/>
      <c r="OG108" s="9"/>
      <c r="OH108" s="9"/>
      <c r="OI108" s="9"/>
      <c r="OJ108" s="9"/>
      <c r="OK108" s="9"/>
      <c r="OL108" s="9"/>
      <c r="OM108" s="9"/>
      <c r="ON108" s="9"/>
      <c r="OO108" s="9"/>
      <c r="OP108" s="9"/>
      <c r="OQ108" s="9"/>
      <c r="OR108" s="9"/>
      <c r="OS108" s="9"/>
      <c r="OT108" s="9"/>
      <c r="OU108" s="9"/>
      <c r="OV108" s="9"/>
      <c r="OW108" s="9"/>
      <c r="OX108" s="9"/>
      <c r="OY108" s="9"/>
      <c r="OZ108" s="9"/>
      <c r="PA108" s="9"/>
      <c r="PB108" s="9"/>
      <c r="PC108" s="9"/>
      <c r="PD108" s="9"/>
      <c r="PE108" s="9"/>
      <c r="PF108" s="9"/>
      <c r="PG108" s="9"/>
      <c r="PH108" s="9"/>
      <c r="PI108" s="9"/>
      <c r="PJ108" s="9"/>
      <c r="PK108" s="9"/>
      <c r="PL108" s="9"/>
      <c r="PM108" s="9"/>
      <c r="PN108" s="9"/>
      <c r="PO108" s="9"/>
      <c r="PP108" s="9"/>
      <c r="PQ108" s="9"/>
      <c r="PR108" s="9"/>
      <c r="PS108" s="9"/>
      <c r="PT108" s="9"/>
      <c r="PU108" s="9"/>
      <c r="PV108" s="9"/>
      <c r="PW108" s="9"/>
      <c r="PX108" s="9"/>
      <c r="PY108" s="9"/>
      <c r="PZ108" s="9"/>
      <c r="QA108" s="9"/>
      <c r="QB108" s="9"/>
      <c r="QC108" s="9"/>
      <c r="QD108" s="9"/>
      <c r="QE108" s="9"/>
      <c r="QF108" s="9"/>
      <c r="QG108" s="9"/>
      <c r="QH108" s="9"/>
      <c r="QI108" s="9"/>
      <c r="QJ108" s="9"/>
      <c r="QK108" s="9"/>
      <c r="QL108" s="9"/>
      <c r="QM108" s="9"/>
      <c r="QN108" s="9"/>
      <c r="QO108" s="9"/>
      <c r="QP108" s="9"/>
      <c r="QQ108" s="9"/>
      <c r="QR108" s="9"/>
      <c r="QS108" s="9"/>
      <c r="QT108" s="9"/>
      <c r="QU108" s="9"/>
      <c r="QV108" s="9"/>
      <c r="QW108" s="9"/>
      <c r="QX108" s="9"/>
      <c r="QY108" s="9"/>
      <c r="QZ108" s="9"/>
      <c r="RA108" s="9"/>
      <c r="RB108" s="9"/>
      <c r="RC108" s="9"/>
      <c r="RD108" s="9"/>
      <c r="RE108" s="9"/>
      <c r="RF108" s="9"/>
      <c r="RG108" s="9"/>
      <c r="RH108" s="9"/>
      <c r="RI108" s="9"/>
      <c r="RJ108" s="9"/>
      <c r="RK108" s="9"/>
      <c r="RL108" s="9"/>
      <c r="RM108" s="9"/>
      <c r="RN108" s="9"/>
      <c r="RO108" s="9"/>
      <c r="RP108" s="9"/>
      <c r="RQ108" s="9"/>
      <c r="RR108" s="9"/>
      <c r="RS108" s="9"/>
      <c r="RT108" s="9"/>
      <c r="RU108" s="9"/>
      <c r="RV108" s="9"/>
      <c r="RW108" s="9"/>
      <c r="RX108" s="9"/>
      <c r="RY108" s="9"/>
      <c r="RZ108" s="9"/>
      <c r="SA108" s="9"/>
      <c r="SB108" s="9"/>
      <c r="SC108" s="9"/>
      <c r="SD108" s="9"/>
      <c r="SE108" s="9"/>
      <c r="SF108" s="9"/>
      <c r="SG108" s="9"/>
      <c r="SH108" s="9"/>
      <c r="SI108" s="9"/>
      <c r="SJ108" s="9"/>
      <c r="SK108" s="8"/>
      <c r="SL108" s="8"/>
      <c r="SM108" s="8"/>
      <c r="SN108" s="8"/>
      <c r="SO108" s="8"/>
      <c r="SP108" s="8"/>
      <c r="SQ108" s="8"/>
      <c r="SR108" s="8"/>
      <c r="SS108" s="8"/>
      <c r="ST108" s="8"/>
      <c r="SU108" s="8"/>
      <c r="SV108" s="8"/>
      <c r="SW108" s="8"/>
      <c r="SX108" s="8"/>
      <c r="SY108" s="8"/>
      <c r="SZ108" s="8"/>
      <c r="TA108" s="8"/>
      <c r="TB108" s="8"/>
      <c r="TC108" s="8"/>
      <c r="TD108" s="8"/>
      <c r="TE108" s="8"/>
      <c r="TF108" s="8"/>
      <c r="TG108" s="8"/>
      <c r="TH108" s="8"/>
      <c r="TI108" s="8"/>
      <c r="TJ108" s="8"/>
      <c r="TK108" s="8"/>
      <c r="TL108" s="8"/>
      <c r="TM108" s="8"/>
      <c r="TN108" s="8"/>
      <c r="TO108" s="8"/>
    </row>
    <row r="109" spans="1:535" x14ac:dyDescent="0.2">
      <c r="A109" s="7"/>
      <c r="B109" s="15"/>
      <c r="C109" s="15"/>
      <c r="D109" s="15"/>
      <c r="E109" s="15"/>
      <c r="F109" s="15"/>
      <c r="G109" s="15"/>
      <c r="H109" s="15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  <c r="EP109" s="9"/>
      <c r="EQ109" s="9"/>
      <c r="ER109" s="9"/>
      <c r="ES109" s="9"/>
      <c r="ET109" s="9"/>
      <c r="EU109" s="9"/>
      <c r="EV109" s="9"/>
      <c r="EW109" s="9"/>
      <c r="EX109" s="9"/>
      <c r="EY109" s="9"/>
      <c r="EZ109" s="9"/>
      <c r="FA109" s="9"/>
      <c r="FB109" s="9"/>
      <c r="FC109" s="9"/>
      <c r="FD109" s="9"/>
      <c r="FE109" s="9"/>
      <c r="FF109" s="9"/>
      <c r="FG109" s="9"/>
      <c r="FH109" s="9"/>
      <c r="FI109" s="9"/>
      <c r="FJ109" s="9"/>
      <c r="FK109" s="9"/>
      <c r="FL109" s="9"/>
      <c r="FM109" s="9"/>
      <c r="FN109" s="9"/>
      <c r="FO109" s="9"/>
      <c r="FP109" s="9"/>
      <c r="FQ109" s="9"/>
      <c r="FR109" s="9"/>
      <c r="FS109" s="9"/>
      <c r="FT109" s="9"/>
      <c r="FU109" s="9"/>
      <c r="FV109" s="9"/>
      <c r="FW109" s="9"/>
      <c r="FX109" s="9"/>
      <c r="FY109" s="9"/>
      <c r="FZ109" s="9"/>
      <c r="GA109" s="9"/>
      <c r="GB109" s="9"/>
      <c r="GC109" s="9"/>
      <c r="GD109" s="9"/>
      <c r="GE109" s="9"/>
      <c r="GF109" s="9"/>
      <c r="GG109" s="9"/>
      <c r="GH109" s="9"/>
      <c r="GI109" s="9"/>
      <c r="GJ109" s="9"/>
      <c r="GK109" s="9"/>
      <c r="GL109" s="9"/>
      <c r="GM109" s="9"/>
      <c r="GN109" s="9"/>
      <c r="GO109" s="9"/>
      <c r="GP109" s="9"/>
      <c r="GQ109" s="9"/>
      <c r="GR109" s="9"/>
      <c r="GS109" s="9"/>
      <c r="GT109" s="9"/>
      <c r="GU109" s="9"/>
      <c r="GV109" s="9"/>
      <c r="GW109" s="9"/>
      <c r="GX109" s="9"/>
      <c r="GY109" s="9"/>
      <c r="GZ109" s="9"/>
      <c r="HA109" s="9"/>
      <c r="HB109" s="9"/>
      <c r="HC109" s="9"/>
      <c r="HD109" s="9"/>
      <c r="HE109" s="9"/>
      <c r="HF109" s="9"/>
      <c r="HG109" s="9"/>
      <c r="HH109" s="9"/>
      <c r="HI109" s="9"/>
      <c r="HJ109" s="9"/>
      <c r="HK109" s="9"/>
      <c r="HL109" s="9"/>
      <c r="HM109" s="9"/>
      <c r="HN109" s="9"/>
      <c r="HO109" s="9"/>
      <c r="HP109" s="9"/>
      <c r="HQ109" s="9"/>
      <c r="HR109" s="9"/>
      <c r="HS109" s="9"/>
      <c r="HT109" s="9"/>
      <c r="HU109" s="9"/>
      <c r="HV109" s="9"/>
      <c r="HW109" s="9"/>
      <c r="HX109" s="9"/>
      <c r="HY109" s="9"/>
      <c r="HZ109" s="9"/>
      <c r="IA109" s="9"/>
      <c r="IB109" s="9"/>
      <c r="IC109" s="9"/>
      <c r="ID109" s="9"/>
      <c r="IE109" s="9"/>
      <c r="IF109" s="9"/>
      <c r="IG109" s="9"/>
      <c r="IH109" s="9"/>
      <c r="II109" s="9"/>
      <c r="IJ109" s="9"/>
      <c r="IK109" s="9"/>
      <c r="IL109" s="9"/>
      <c r="IM109" s="9"/>
      <c r="IN109" s="9"/>
      <c r="IO109" s="9"/>
      <c r="IP109" s="9"/>
      <c r="IQ109" s="9"/>
      <c r="IR109" s="9"/>
      <c r="IS109" s="9"/>
      <c r="IT109" s="9"/>
      <c r="IU109" s="9"/>
      <c r="IV109" s="9"/>
      <c r="IW109" s="9"/>
      <c r="IX109" s="9"/>
      <c r="IY109" s="9"/>
      <c r="IZ109" s="9"/>
      <c r="JA109" s="9"/>
      <c r="JB109" s="9"/>
      <c r="JC109" s="9"/>
      <c r="JD109" s="9"/>
      <c r="JE109" s="9"/>
      <c r="JF109" s="9"/>
      <c r="JG109" s="9"/>
      <c r="JH109" s="9"/>
      <c r="JI109" s="9"/>
      <c r="JJ109" s="9"/>
      <c r="JK109" s="9"/>
      <c r="JL109" s="9"/>
      <c r="JM109" s="9"/>
      <c r="JN109" s="9"/>
      <c r="JO109" s="9"/>
      <c r="JP109" s="9"/>
      <c r="JQ109" s="9"/>
      <c r="JR109" s="9"/>
      <c r="JS109" s="9"/>
      <c r="JT109" s="9"/>
      <c r="JU109" s="9"/>
      <c r="JV109" s="9"/>
      <c r="JW109" s="9"/>
      <c r="JX109" s="9"/>
      <c r="JY109" s="9"/>
      <c r="JZ109" s="9"/>
      <c r="KA109" s="9"/>
      <c r="KB109" s="9"/>
      <c r="KC109" s="9"/>
      <c r="KD109" s="9"/>
      <c r="KE109" s="9"/>
      <c r="KF109" s="9"/>
      <c r="KG109" s="9"/>
      <c r="KH109" s="9"/>
      <c r="KI109" s="9"/>
      <c r="KJ109" s="9"/>
      <c r="KK109" s="9"/>
      <c r="KL109" s="9"/>
      <c r="KM109" s="9"/>
      <c r="KN109" s="9"/>
      <c r="KO109" s="9"/>
      <c r="KP109" s="9"/>
      <c r="KQ109" s="9"/>
      <c r="KR109" s="9"/>
      <c r="KS109" s="9"/>
      <c r="KT109" s="9"/>
      <c r="KU109" s="9"/>
      <c r="KV109" s="9"/>
      <c r="KW109" s="9"/>
      <c r="KX109" s="9"/>
      <c r="KY109" s="9"/>
      <c r="KZ109" s="9"/>
      <c r="LA109" s="9"/>
      <c r="LB109" s="9"/>
      <c r="LC109" s="9"/>
      <c r="LD109" s="9"/>
      <c r="LE109" s="9"/>
      <c r="LF109" s="9"/>
      <c r="LG109" s="9"/>
      <c r="LH109" s="9"/>
      <c r="LI109" s="9"/>
      <c r="LJ109" s="9"/>
      <c r="LK109" s="9"/>
      <c r="LL109" s="9"/>
      <c r="LM109" s="9"/>
      <c r="LN109" s="9"/>
      <c r="LO109" s="9"/>
      <c r="LP109" s="9"/>
      <c r="LQ109" s="9"/>
      <c r="LR109" s="9"/>
      <c r="LS109" s="9"/>
      <c r="LT109" s="9"/>
      <c r="LU109" s="9"/>
      <c r="LV109" s="9"/>
      <c r="LW109" s="9"/>
      <c r="LX109" s="9"/>
      <c r="LY109" s="9"/>
      <c r="LZ109" s="9"/>
      <c r="MA109" s="9"/>
      <c r="MB109" s="9"/>
      <c r="MC109" s="9"/>
      <c r="MD109" s="9"/>
      <c r="ME109" s="9"/>
      <c r="MF109" s="9"/>
      <c r="MG109" s="9"/>
      <c r="MH109" s="9"/>
      <c r="MI109" s="9"/>
      <c r="MJ109" s="9"/>
      <c r="MK109" s="9"/>
      <c r="ML109" s="9"/>
      <c r="MM109" s="9"/>
      <c r="MN109" s="9"/>
      <c r="MO109" s="9"/>
      <c r="MP109" s="9"/>
      <c r="MQ109" s="9"/>
      <c r="MR109" s="9"/>
      <c r="MS109" s="9"/>
      <c r="MT109" s="9"/>
      <c r="MU109" s="9"/>
      <c r="MV109" s="9"/>
      <c r="MW109" s="9"/>
      <c r="MX109" s="9"/>
      <c r="MY109" s="9"/>
      <c r="MZ109" s="9"/>
      <c r="NA109" s="9"/>
      <c r="NB109" s="9"/>
      <c r="NC109" s="9"/>
      <c r="ND109" s="9"/>
      <c r="NE109" s="9"/>
      <c r="NF109" s="9"/>
      <c r="NG109" s="9"/>
      <c r="NH109" s="9"/>
      <c r="NI109" s="9"/>
      <c r="NJ109" s="9"/>
      <c r="NK109" s="9"/>
      <c r="NL109" s="9"/>
      <c r="NM109" s="9"/>
      <c r="NN109" s="9"/>
      <c r="NO109" s="9"/>
      <c r="NP109" s="9"/>
      <c r="NQ109" s="9"/>
      <c r="NR109" s="9"/>
      <c r="NS109" s="9"/>
      <c r="NT109" s="9"/>
      <c r="NU109" s="9"/>
      <c r="NV109" s="9"/>
      <c r="NW109" s="9"/>
      <c r="NX109" s="9"/>
      <c r="NY109" s="9"/>
      <c r="NZ109" s="9"/>
      <c r="OA109" s="9"/>
      <c r="OB109" s="9"/>
      <c r="OC109" s="9"/>
      <c r="OD109" s="9"/>
      <c r="OE109" s="9"/>
      <c r="OF109" s="9"/>
      <c r="OG109" s="9"/>
      <c r="OH109" s="9"/>
      <c r="OI109" s="9"/>
      <c r="OJ109" s="9"/>
      <c r="OK109" s="9"/>
      <c r="OL109" s="9"/>
      <c r="OM109" s="9"/>
      <c r="ON109" s="9"/>
      <c r="OO109" s="9"/>
      <c r="OP109" s="9"/>
      <c r="OQ109" s="9"/>
      <c r="OR109" s="9"/>
      <c r="OS109" s="9"/>
      <c r="OT109" s="9"/>
      <c r="OU109" s="9"/>
      <c r="OV109" s="9"/>
      <c r="OW109" s="9"/>
      <c r="OX109" s="9"/>
      <c r="OY109" s="9"/>
      <c r="OZ109" s="9"/>
      <c r="PA109" s="9"/>
      <c r="PB109" s="9"/>
      <c r="PC109" s="9"/>
      <c r="PD109" s="9"/>
      <c r="PE109" s="9"/>
      <c r="PF109" s="9"/>
      <c r="PG109" s="9"/>
      <c r="PH109" s="9"/>
      <c r="PI109" s="9"/>
      <c r="PJ109" s="9"/>
      <c r="PK109" s="9"/>
      <c r="PL109" s="9"/>
      <c r="PM109" s="9"/>
      <c r="PN109" s="9"/>
      <c r="PO109" s="9"/>
      <c r="PP109" s="9"/>
      <c r="PQ109" s="9"/>
      <c r="PR109" s="9"/>
      <c r="PS109" s="9"/>
      <c r="PT109" s="9"/>
      <c r="PU109" s="9"/>
      <c r="PV109" s="9"/>
      <c r="PW109" s="9"/>
      <c r="PX109" s="9"/>
      <c r="PY109" s="9"/>
      <c r="PZ109" s="9"/>
      <c r="QA109" s="9"/>
      <c r="QB109" s="9"/>
      <c r="QC109" s="9"/>
      <c r="QD109" s="9"/>
      <c r="QE109" s="9"/>
      <c r="QF109" s="9"/>
      <c r="QG109" s="9"/>
      <c r="QH109" s="9"/>
      <c r="QI109" s="9"/>
      <c r="QJ109" s="9"/>
      <c r="QK109" s="9"/>
      <c r="QL109" s="9"/>
      <c r="QM109" s="9"/>
      <c r="QN109" s="9"/>
      <c r="QO109" s="9"/>
      <c r="QP109" s="9"/>
      <c r="QQ109" s="9"/>
      <c r="QR109" s="9"/>
      <c r="QS109" s="9"/>
      <c r="QT109" s="9"/>
      <c r="QU109" s="9"/>
      <c r="QV109" s="9"/>
      <c r="QW109" s="9"/>
      <c r="QX109" s="9"/>
      <c r="QY109" s="9"/>
      <c r="QZ109" s="9"/>
      <c r="RA109" s="9"/>
      <c r="RB109" s="9"/>
      <c r="RC109" s="9"/>
      <c r="RD109" s="9"/>
      <c r="RE109" s="9"/>
      <c r="RF109" s="9"/>
      <c r="RG109" s="9"/>
      <c r="RH109" s="9"/>
      <c r="RI109" s="9"/>
      <c r="RJ109" s="9"/>
      <c r="RK109" s="9"/>
      <c r="RL109" s="9"/>
      <c r="RM109" s="9"/>
      <c r="RN109" s="9"/>
      <c r="RO109" s="9"/>
      <c r="RP109" s="9"/>
      <c r="RQ109" s="9"/>
      <c r="RR109" s="9"/>
      <c r="RS109" s="9"/>
      <c r="RT109" s="9"/>
      <c r="RU109" s="9"/>
      <c r="RV109" s="9"/>
      <c r="RW109" s="9"/>
      <c r="RX109" s="9"/>
      <c r="RY109" s="9"/>
      <c r="RZ109" s="9"/>
      <c r="SA109" s="9"/>
      <c r="SB109" s="9"/>
      <c r="SC109" s="9"/>
      <c r="SD109" s="9"/>
      <c r="SE109" s="9"/>
      <c r="SF109" s="9"/>
      <c r="SG109" s="9"/>
      <c r="SH109" s="9"/>
      <c r="SI109" s="9"/>
      <c r="SJ109" s="9"/>
      <c r="SK109" s="8"/>
      <c r="SL109" s="8"/>
      <c r="SM109" s="8"/>
      <c r="SN109" s="8"/>
      <c r="SO109" s="8"/>
      <c r="SP109" s="8"/>
      <c r="SQ109" s="8"/>
      <c r="SR109" s="8"/>
      <c r="SS109" s="8"/>
      <c r="ST109" s="8"/>
      <c r="SU109" s="8"/>
      <c r="SV109" s="8"/>
      <c r="SW109" s="8"/>
      <c r="SX109" s="8"/>
      <c r="SY109" s="8"/>
      <c r="SZ109" s="8"/>
      <c r="TA109" s="8"/>
      <c r="TB109" s="8"/>
      <c r="TC109" s="8"/>
      <c r="TD109" s="8"/>
      <c r="TE109" s="8"/>
      <c r="TF109" s="8"/>
      <c r="TG109" s="8"/>
      <c r="TH109" s="8"/>
      <c r="TI109" s="8"/>
      <c r="TJ109" s="8"/>
      <c r="TK109" s="8"/>
      <c r="TL109" s="8"/>
      <c r="TM109" s="8"/>
      <c r="TN109" s="8"/>
      <c r="TO109" s="8"/>
    </row>
    <row r="110" spans="1:535" x14ac:dyDescent="0.2">
      <c r="A110" s="7"/>
      <c r="B110" s="15"/>
      <c r="C110" s="15"/>
      <c r="D110" s="15"/>
      <c r="E110" s="15"/>
      <c r="F110" s="15"/>
      <c r="G110" s="15"/>
      <c r="H110" s="15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  <c r="DA110" s="9"/>
      <c r="DB110" s="9"/>
      <c r="DC110" s="9"/>
      <c r="DD110" s="9"/>
      <c r="DE110" s="9"/>
      <c r="DF110" s="9"/>
      <c r="DG110" s="9"/>
      <c r="DH110" s="9"/>
      <c r="DI110" s="9"/>
      <c r="DJ110" s="9"/>
      <c r="DK110" s="9"/>
      <c r="DL110" s="9"/>
      <c r="DM110" s="9"/>
      <c r="DN110" s="9"/>
      <c r="DO110" s="9"/>
      <c r="DP110" s="9"/>
      <c r="DQ110" s="9"/>
      <c r="DR110" s="9"/>
      <c r="DS110" s="9"/>
      <c r="DT110" s="9"/>
      <c r="DU110" s="9"/>
      <c r="DV110" s="9"/>
      <c r="DW110" s="9"/>
      <c r="DX110" s="9"/>
      <c r="DY110" s="9"/>
      <c r="DZ110" s="9"/>
      <c r="EA110" s="9"/>
      <c r="EB110" s="9"/>
      <c r="EC110" s="9"/>
      <c r="ED110" s="9"/>
      <c r="EE110" s="9"/>
      <c r="EF110" s="9"/>
      <c r="EG110" s="9"/>
      <c r="EH110" s="9"/>
      <c r="EI110" s="9"/>
      <c r="EJ110" s="9"/>
      <c r="EK110" s="9"/>
      <c r="EL110" s="9"/>
      <c r="EM110" s="9"/>
      <c r="EN110" s="9"/>
      <c r="EO110" s="9"/>
      <c r="EP110" s="9"/>
      <c r="EQ110" s="9"/>
      <c r="ER110" s="9"/>
      <c r="ES110" s="9"/>
      <c r="ET110" s="9"/>
      <c r="EU110" s="9"/>
      <c r="EV110" s="9"/>
      <c r="EW110" s="9"/>
      <c r="EX110" s="9"/>
      <c r="EY110" s="9"/>
      <c r="EZ110" s="9"/>
      <c r="FA110" s="9"/>
      <c r="FB110" s="9"/>
      <c r="FC110" s="9"/>
      <c r="FD110" s="9"/>
      <c r="FE110" s="9"/>
      <c r="FF110" s="9"/>
      <c r="FG110" s="9"/>
      <c r="FH110" s="9"/>
      <c r="FI110" s="9"/>
      <c r="FJ110" s="9"/>
      <c r="FK110" s="9"/>
      <c r="FL110" s="9"/>
      <c r="FM110" s="9"/>
      <c r="FN110" s="9"/>
      <c r="FO110" s="9"/>
      <c r="FP110" s="9"/>
      <c r="FQ110" s="9"/>
      <c r="FR110" s="9"/>
      <c r="FS110" s="9"/>
      <c r="FT110" s="9"/>
      <c r="FU110" s="9"/>
      <c r="FV110" s="9"/>
      <c r="FW110" s="9"/>
      <c r="FX110" s="9"/>
      <c r="FY110" s="9"/>
      <c r="FZ110" s="9"/>
      <c r="GA110" s="9"/>
      <c r="GB110" s="9"/>
      <c r="GC110" s="9"/>
      <c r="GD110" s="9"/>
      <c r="GE110" s="9"/>
      <c r="GF110" s="9"/>
      <c r="GG110" s="9"/>
      <c r="GH110" s="9"/>
      <c r="GI110" s="9"/>
      <c r="GJ110" s="9"/>
      <c r="GK110" s="9"/>
      <c r="GL110" s="9"/>
      <c r="GM110" s="9"/>
      <c r="GN110" s="9"/>
      <c r="GO110" s="9"/>
      <c r="GP110" s="9"/>
      <c r="GQ110" s="9"/>
      <c r="GR110" s="9"/>
      <c r="GS110" s="9"/>
      <c r="GT110" s="9"/>
      <c r="GU110" s="9"/>
      <c r="GV110" s="9"/>
      <c r="GW110" s="9"/>
      <c r="GX110" s="9"/>
      <c r="GY110" s="9"/>
      <c r="GZ110" s="9"/>
      <c r="HA110" s="9"/>
      <c r="HB110" s="9"/>
      <c r="HC110" s="9"/>
      <c r="HD110" s="9"/>
      <c r="HE110" s="9"/>
      <c r="HF110" s="9"/>
      <c r="HG110" s="9"/>
      <c r="HH110" s="9"/>
      <c r="HI110" s="9"/>
      <c r="HJ110" s="9"/>
      <c r="HK110" s="9"/>
      <c r="HL110" s="9"/>
      <c r="HM110" s="9"/>
      <c r="HN110" s="9"/>
      <c r="HO110" s="9"/>
      <c r="HP110" s="9"/>
      <c r="HQ110" s="9"/>
      <c r="HR110" s="9"/>
      <c r="HS110" s="9"/>
      <c r="HT110" s="9"/>
      <c r="HU110" s="9"/>
      <c r="HV110" s="9"/>
      <c r="HW110" s="9"/>
      <c r="HX110" s="9"/>
      <c r="HY110" s="9"/>
      <c r="HZ110" s="9"/>
      <c r="IA110" s="9"/>
      <c r="IB110" s="9"/>
      <c r="IC110" s="9"/>
      <c r="ID110" s="9"/>
      <c r="IE110" s="9"/>
      <c r="IF110" s="9"/>
      <c r="IG110" s="9"/>
      <c r="IH110" s="9"/>
      <c r="II110" s="9"/>
      <c r="IJ110" s="9"/>
      <c r="IK110" s="9"/>
      <c r="IL110" s="9"/>
      <c r="IM110" s="9"/>
      <c r="IN110" s="9"/>
      <c r="IO110" s="9"/>
      <c r="IP110" s="9"/>
      <c r="IQ110" s="9"/>
      <c r="IR110" s="9"/>
      <c r="IS110" s="9"/>
      <c r="IT110" s="9"/>
      <c r="IU110" s="9"/>
      <c r="IV110" s="9"/>
      <c r="IW110" s="9"/>
      <c r="IX110" s="9"/>
      <c r="IY110" s="9"/>
      <c r="IZ110" s="9"/>
      <c r="JA110" s="9"/>
      <c r="JB110" s="9"/>
      <c r="JC110" s="9"/>
      <c r="JD110" s="9"/>
      <c r="JE110" s="9"/>
      <c r="JF110" s="9"/>
      <c r="JG110" s="9"/>
      <c r="JH110" s="9"/>
      <c r="JI110" s="9"/>
      <c r="JJ110" s="9"/>
      <c r="JK110" s="9"/>
      <c r="JL110" s="9"/>
      <c r="JM110" s="9"/>
      <c r="JN110" s="9"/>
      <c r="JO110" s="9"/>
      <c r="JP110" s="9"/>
      <c r="JQ110" s="9"/>
      <c r="JR110" s="9"/>
      <c r="JS110" s="9"/>
      <c r="JT110" s="9"/>
      <c r="JU110" s="9"/>
      <c r="JV110" s="9"/>
      <c r="JW110" s="9"/>
      <c r="JX110" s="9"/>
      <c r="JY110" s="9"/>
      <c r="JZ110" s="9"/>
      <c r="KA110" s="9"/>
      <c r="KB110" s="9"/>
      <c r="KC110" s="9"/>
      <c r="KD110" s="9"/>
      <c r="KE110" s="9"/>
      <c r="KF110" s="9"/>
      <c r="KG110" s="9"/>
      <c r="KH110" s="9"/>
      <c r="KI110" s="9"/>
      <c r="KJ110" s="9"/>
      <c r="KK110" s="9"/>
      <c r="KL110" s="9"/>
      <c r="KM110" s="9"/>
      <c r="KN110" s="9"/>
      <c r="KO110" s="9"/>
      <c r="KP110" s="9"/>
      <c r="KQ110" s="9"/>
      <c r="KR110" s="9"/>
      <c r="KS110" s="9"/>
      <c r="KT110" s="9"/>
      <c r="KU110" s="9"/>
      <c r="KV110" s="9"/>
      <c r="KW110" s="9"/>
      <c r="KX110" s="9"/>
      <c r="KY110" s="9"/>
      <c r="KZ110" s="9"/>
      <c r="LA110" s="9"/>
      <c r="LB110" s="9"/>
      <c r="LC110" s="9"/>
      <c r="LD110" s="9"/>
      <c r="LE110" s="9"/>
      <c r="LF110" s="9"/>
      <c r="LG110" s="9"/>
      <c r="LH110" s="9"/>
      <c r="LI110" s="9"/>
      <c r="LJ110" s="9"/>
      <c r="LK110" s="9"/>
      <c r="LL110" s="9"/>
      <c r="LM110" s="9"/>
      <c r="LN110" s="9"/>
      <c r="LO110" s="9"/>
      <c r="LP110" s="9"/>
      <c r="LQ110" s="9"/>
      <c r="LR110" s="9"/>
      <c r="LS110" s="9"/>
      <c r="LT110" s="9"/>
      <c r="LU110" s="9"/>
      <c r="LV110" s="9"/>
      <c r="LW110" s="9"/>
      <c r="LX110" s="9"/>
      <c r="LY110" s="9"/>
      <c r="LZ110" s="9"/>
      <c r="MA110" s="9"/>
      <c r="MB110" s="9"/>
      <c r="MC110" s="9"/>
      <c r="MD110" s="9"/>
      <c r="ME110" s="9"/>
      <c r="MF110" s="9"/>
      <c r="MG110" s="9"/>
      <c r="MH110" s="9"/>
      <c r="MI110" s="9"/>
      <c r="MJ110" s="9"/>
      <c r="MK110" s="9"/>
      <c r="ML110" s="9"/>
      <c r="MM110" s="9"/>
      <c r="MN110" s="9"/>
      <c r="MO110" s="9"/>
      <c r="MP110" s="9"/>
      <c r="MQ110" s="9"/>
      <c r="MR110" s="9"/>
      <c r="MS110" s="9"/>
      <c r="MT110" s="9"/>
      <c r="MU110" s="9"/>
      <c r="MV110" s="9"/>
      <c r="MW110" s="9"/>
      <c r="MX110" s="9"/>
      <c r="MY110" s="9"/>
      <c r="MZ110" s="9"/>
      <c r="NA110" s="9"/>
      <c r="NB110" s="9"/>
      <c r="NC110" s="9"/>
      <c r="ND110" s="9"/>
      <c r="NE110" s="9"/>
      <c r="NF110" s="9"/>
      <c r="NG110" s="9"/>
      <c r="NH110" s="9"/>
      <c r="NI110" s="9"/>
      <c r="NJ110" s="9"/>
      <c r="NK110" s="9"/>
      <c r="NL110" s="9"/>
      <c r="NM110" s="9"/>
      <c r="NN110" s="9"/>
      <c r="NO110" s="9"/>
      <c r="NP110" s="9"/>
      <c r="NQ110" s="9"/>
      <c r="NR110" s="9"/>
      <c r="NS110" s="9"/>
      <c r="NT110" s="9"/>
      <c r="NU110" s="9"/>
      <c r="NV110" s="9"/>
      <c r="NW110" s="9"/>
      <c r="NX110" s="9"/>
      <c r="NY110" s="9"/>
      <c r="NZ110" s="9"/>
      <c r="OA110" s="9"/>
      <c r="OB110" s="9"/>
      <c r="OC110" s="9"/>
      <c r="OD110" s="9"/>
      <c r="OE110" s="9"/>
      <c r="OF110" s="9"/>
      <c r="OG110" s="9"/>
      <c r="OH110" s="9"/>
      <c r="OI110" s="9"/>
      <c r="OJ110" s="9"/>
      <c r="OK110" s="9"/>
      <c r="OL110" s="9"/>
      <c r="OM110" s="9"/>
      <c r="ON110" s="9"/>
      <c r="OO110" s="9"/>
      <c r="OP110" s="9"/>
      <c r="OQ110" s="9"/>
      <c r="OR110" s="9"/>
      <c r="OS110" s="9"/>
      <c r="OT110" s="9"/>
      <c r="OU110" s="9"/>
      <c r="OV110" s="9"/>
      <c r="OW110" s="9"/>
      <c r="OX110" s="9"/>
      <c r="OY110" s="9"/>
      <c r="OZ110" s="9"/>
      <c r="PA110" s="9"/>
      <c r="PB110" s="9"/>
      <c r="PC110" s="9"/>
      <c r="PD110" s="9"/>
      <c r="PE110" s="9"/>
      <c r="PF110" s="9"/>
      <c r="PG110" s="9"/>
      <c r="PH110" s="9"/>
      <c r="PI110" s="9"/>
      <c r="PJ110" s="9"/>
      <c r="PK110" s="9"/>
      <c r="PL110" s="9"/>
      <c r="PM110" s="9"/>
      <c r="PN110" s="9"/>
      <c r="PO110" s="9"/>
      <c r="PP110" s="9"/>
      <c r="PQ110" s="9"/>
      <c r="PR110" s="9"/>
      <c r="PS110" s="9"/>
      <c r="PT110" s="9"/>
      <c r="PU110" s="9"/>
      <c r="PV110" s="9"/>
      <c r="PW110" s="9"/>
      <c r="PX110" s="9"/>
      <c r="PY110" s="9"/>
      <c r="PZ110" s="9"/>
      <c r="QA110" s="9"/>
      <c r="QB110" s="9"/>
      <c r="QC110" s="9"/>
      <c r="QD110" s="9"/>
      <c r="QE110" s="9"/>
      <c r="QF110" s="9"/>
      <c r="QG110" s="9"/>
      <c r="QH110" s="9"/>
      <c r="QI110" s="9"/>
      <c r="QJ110" s="9"/>
      <c r="QK110" s="9"/>
      <c r="QL110" s="9"/>
      <c r="QM110" s="9"/>
      <c r="QN110" s="9"/>
      <c r="QO110" s="9"/>
      <c r="QP110" s="9"/>
      <c r="QQ110" s="9"/>
      <c r="QR110" s="9"/>
      <c r="QS110" s="9"/>
      <c r="QT110" s="9"/>
      <c r="QU110" s="9"/>
      <c r="QV110" s="9"/>
      <c r="QW110" s="9"/>
      <c r="QX110" s="9"/>
      <c r="QY110" s="9"/>
      <c r="QZ110" s="9"/>
      <c r="RA110" s="9"/>
      <c r="RB110" s="9"/>
      <c r="RC110" s="9"/>
      <c r="RD110" s="9"/>
      <c r="RE110" s="9"/>
      <c r="RF110" s="9"/>
      <c r="RG110" s="9"/>
      <c r="RH110" s="9"/>
      <c r="RI110" s="9"/>
      <c r="RJ110" s="9"/>
      <c r="RK110" s="9"/>
      <c r="RL110" s="9"/>
      <c r="RM110" s="9"/>
      <c r="RN110" s="9"/>
      <c r="RO110" s="9"/>
      <c r="RP110" s="9"/>
      <c r="RQ110" s="9"/>
      <c r="RR110" s="9"/>
      <c r="RS110" s="9"/>
      <c r="RT110" s="9"/>
      <c r="RU110" s="9"/>
      <c r="RV110" s="9"/>
      <c r="RW110" s="9"/>
      <c r="RX110" s="9"/>
      <c r="RY110" s="9"/>
      <c r="RZ110" s="9"/>
      <c r="SA110" s="9"/>
      <c r="SB110" s="9"/>
      <c r="SC110" s="9"/>
      <c r="SD110" s="9"/>
      <c r="SE110" s="9"/>
      <c r="SF110" s="9"/>
      <c r="SG110" s="9"/>
      <c r="SH110" s="9"/>
      <c r="SI110" s="9"/>
      <c r="SJ110" s="9"/>
      <c r="SK110" s="8"/>
      <c r="SL110" s="8"/>
      <c r="SM110" s="8"/>
      <c r="SN110" s="8"/>
      <c r="SO110" s="8"/>
      <c r="SP110" s="8"/>
      <c r="SQ110" s="8"/>
      <c r="SR110" s="8"/>
      <c r="SS110" s="8"/>
      <c r="ST110" s="8"/>
      <c r="SU110" s="8"/>
      <c r="SV110" s="8"/>
      <c r="SW110" s="8"/>
      <c r="SX110" s="8"/>
      <c r="SY110" s="8"/>
      <c r="SZ110" s="8"/>
      <c r="TA110" s="8"/>
      <c r="TB110" s="8"/>
      <c r="TC110" s="8"/>
      <c r="TD110" s="8"/>
      <c r="TE110" s="8"/>
      <c r="TF110" s="8"/>
      <c r="TG110" s="8"/>
      <c r="TH110" s="8"/>
      <c r="TI110" s="8"/>
      <c r="TJ110" s="8"/>
      <c r="TK110" s="8"/>
      <c r="TL110" s="8"/>
      <c r="TM110" s="8"/>
      <c r="TN110" s="8"/>
      <c r="TO110" s="8"/>
    </row>
    <row r="111" spans="1:535" x14ac:dyDescent="0.2">
      <c r="A111" s="7"/>
      <c r="B111" s="15"/>
      <c r="C111" s="15"/>
      <c r="D111" s="15"/>
      <c r="E111" s="15"/>
      <c r="F111" s="15"/>
      <c r="G111" s="15"/>
      <c r="H111" s="15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  <c r="EA111" s="9"/>
      <c r="EB111" s="9"/>
      <c r="EC111" s="9"/>
      <c r="ED111" s="9"/>
      <c r="EE111" s="9"/>
      <c r="EF111" s="9"/>
      <c r="EG111" s="9"/>
      <c r="EH111" s="9"/>
      <c r="EI111" s="9"/>
      <c r="EJ111" s="9"/>
      <c r="EK111" s="9"/>
      <c r="EL111" s="9"/>
      <c r="EM111" s="9"/>
      <c r="EN111" s="9"/>
      <c r="EO111" s="9"/>
      <c r="EP111" s="9"/>
      <c r="EQ111" s="9"/>
      <c r="ER111" s="9"/>
      <c r="ES111" s="9"/>
      <c r="ET111" s="9"/>
      <c r="EU111" s="9"/>
      <c r="EV111" s="9"/>
      <c r="EW111" s="9"/>
      <c r="EX111" s="9"/>
      <c r="EY111" s="9"/>
      <c r="EZ111" s="9"/>
      <c r="FA111" s="9"/>
      <c r="FB111" s="9"/>
      <c r="FC111" s="9"/>
      <c r="FD111" s="9"/>
      <c r="FE111" s="9"/>
      <c r="FF111" s="9"/>
      <c r="FG111" s="9"/>
      <c r="FH111" s="9"/>
      <c r="FI111" s="9"/>
      <c r="FJ111" s="9"/>
      <c r="FK111" s="9"/>
      <c r="FL111" s="9"/>
      <c r="FM111" s="9"/>
      <c r="FN111" s="9"/>
      <c r="FO111" s="9"/>
      <c r="FP111" s="9"/>
      <c r="FQ111" s="9"/>
      <c r="FR111" s="9"/>
      <c r="FS111" s="9"/>
      <c r="FT111" s="9"/>
      <c r="FU111" s="9"/>
      <c r="FV111" s="9"/>
      <c r="FW111" s="9"/>
      <c r="FX111" s="9"/>
      <c r="FY111" s="9"/>
      <c r="FZ111" s="9"/>
      <c r="GA111" s="9"/>
      <c r="GB111" s="9"/>
      <c r="GC111" s="9"/>
      <c r="GD111" s="9"/>
      <c r="GE111" s="9"/>
      <c r="GF111" s="9"/>
      <c r="GG111" s="9"/>
      <c r="GH111" s="9"/>
      <c r="GI111" s="9"/>
      <c r="GJ111" s="9"/>
      <c r="GK111" s="9"/>
      <c r="GL111" s="9"/>
      <c r="GM111" s="9"/>
      <c r="GN111" s="9"/>
      <c r="GO111" s="9"/>
      <c r="GP111" s="9"/>
      <c r="GQ111" s="9"/>
      <c r="GR111" s="9"/>
      <c r="GS111" s="9"/>
      <c r="GT111" s="9"/>
      <c r="GU111" s="9"/>
      <c r="GV111" s="9"/>
      <c r="GW111" s="9"/>
      <c r="GX111" s="9"/>
      <c r="GY111" s="9"/>
      <c r="GZ111" s="9"/>
      <c r="HA111" s="9"/>
      <c r="HB111" s="9"/>
      <c r="HC111" s="9"/>
      <c r="HD111" s="9"/>
      <c r="HE111" s="9"/>
      <c r="HF111" s="9"/>
      <c r="HG111" s="9"/>
      <c r="HH111" s="9"/>
      <c r="HI111" s="9"/>
      <c r="HJ111" s="9"/>
      <c r="HK111" s="9"/>
      <c r="HL111" s="9"/>
      <c r="HM111" s="9"/>
      <c r="HN111" s="9"/>
      <c r="HO111" s="9"/>
      <c r="HP111" s="9"/>
      <c r="HQ111" s="9"/>
      <c r="HR111" s="9"/>
      <c r="HS111" s="9"/>
      <c r="HT111" s="9"/>
      <c r="HU111" s="9"/>
      <c r="HV111" s="9"/>
      <c r="HW111" s="9"/>
      <c r="HX111" s="9"/>
      <c r="HY111" s="9"/>
      <c r="HZ111" s="9"/>
      <c r="IA111" s="9"/>
      <c r="IB111" s="9"/>
      <c r="IC111" s="9"/>
      <c r="ID111" s="9"/>
      <c r="IE111" s="9"/>
      <c r="IF111" s="9"/>
      <c r="IG111" s="9"/>
      <c r="IH111" s="9"/>
      <c r="II111" s="9"/>
      <c r="IJ111" s="9"/>
      <c r="IK111" s="9"/>
      <c r="IL111" s="9"/>
      <c r="IM111" s="9"/>
      <c r="IN111" s="9"/>
      <c r="IO111" s="9"/>
      <c r="IP111" s="9"/>
      <c r="IQ111" s="9"/>
      <c r="IR111" s="9"/>
      <c r="IS111" s="9"/>
      <c r="IT111" s="9"/>
      <c r="IU111" s="9"/>
      <c r="IV111" s="9"/>
      <c r="IW111" s="9"/>
      <c r="IX111" s="9"/>
      <c r="IY111" s="9"/>
      <c r="IZ111" s="9"/>
      <c r="JA111" s="9"/>
      <c r="JB111" s="9"/>
      <c r="JC111" s="9"/>
      <c r="JD111" s="9"/>
      <c r="JE111" s="9"/>
      <c r="JF111" s="9"/>
      <c r="JG111" s="9"/>
      <c r="JH111" s="9"/>
      <c r="JI111" s="9"/>
      <c r="JJ111" s="9"/>
      <c r="JK111" s="9"/>
      <c r="JL111" s="9"/>
      <c r="JM111" s="9"/>
      <c r="JN111" s="9"/>
      <c r="JO111" s="9"/>
      <c r="JP111" s="9"/>
      <c r="JQ111" s="9"/>
      <c r="JR111" s="9"/>
      <c r="JS111" s="9"/>
      <c r="JT111" s="9"/>
      <c r="JU111" s="9"/>
      <c r="JV111" s="9"/>
      <c r="JW111" s="9"/>
      <c r="JX111" s="9"/>
      <c r="JY111" s="9"/>
      <c r="JZ111" s="9"/>
      <c r="KA111" s="9"/>
      <c r="KB111" s="9"/>
      <c r="KC111" s="9"/>
      <c r="KD111" s="9"/>
      <c r="KE111" s="9"/>
      <c r="KF111" s="9"/>
      <c r="KG111" s="9"/>
      <c r="KH111" s="9"/>
      <c r="KI111" s="9"/>
      <c r="KJ111" s="9"/>
      <c r="KK111" s="9"/>
      <c r="KL111" s="9"/>
      <c r="KM111" s="9"/>
      <c r="KN111" s="9"/>
      <c r="KO111" s="9"/>
      <c r="KP111" s="9"/>
      <c r="KQ111" s="9"/>
      <c r="KR111" s="9"/>
      <c r="KS111" s="9"/>
      <c r="KT111" s="9"/>
      <c r="KU111" s="9"/>
      <c r="KV111" s="9"/>
      <c r="KW111" s="9"/>
      <c r="KX111" s="9"/>
      <c r="KY111" s="9"/>
      <c r="KZ111" s="9"/>
      <c r="LA111" s="9"/>
      <c r="LB111" s="9"/>
      <c r="LC111" s="9"/>
      <c r="LD111" s="9"/>
      <c r="LE111" s="9"/>
      <c r="LF111" s="9"/>
      <c r="LG111" s="9"/>
      <c r="LH111" s="9"/>
      <c r="LI111" s="9"/>
      <c r="LJ111" s="9"/>
      <c r="LK111" s="9"/>
      <c r="LL111" s="9"/>
      <c r="LM111" s="9"/>
      <c r="LN111" s="9"/>
      <c r="LO111" s="9"/>
      <c r="LP111" s="9"/>
      <c r="LQ111" s="9"/>
      <c r="LR111" s="9"/>
      <c r="LS111" s="9"/>
      <c r="LT111" s="9"/>
      <c r="LU111" s="9"/>
      <c r="LV111" s="9"/>
      <c r="LW111" s="9"/>
      <c r="LX111" s="9"/>
      <c r="LY111" s="9"/>
      <c r="LZ111" s="9"/>
      <c r="MA111" s="9"/>
      <c r="MB111" s="9"/>
      <c r="MC111" s="9"/>
      <c r="MD111" s="9"/>
      <c r="ME111" s="9"/>
      <c r="MF111" s="9"/>
      <c r="MG111" s="9"/>
      <c r="MH111" s="9"/>
      <c r="MI111" s="9"/>
      <c r="MJ111" s="9"/>
      <c r="MK111" s="9"/>
      <c r="ML111" s="9"/>
      <c r="MM111" s="9"/>
      <c r="MN111" s="9"/>
      <c r="MO111" s="9"/>
      <c r="MP111" s="9"/>
      <c r="MQ111" s="9"/>
      <c r="MR111" s="9"/>
      <c r="MS111" s="9"/>
      <c r="MT111" s="9"/>
      <c r="MU111" s="9"/>
      <c r="MV111" s="9"/>
      <c r="MW111" s="9"/>
      <c r="MX111" s="9"/>
      <c r="MY111" s="9"/>
      <c r="MZ111" s="9"/>
      <c r="NA111" s="9"/>
      <c r="NB111" s="9"/>
      <c r="NC111" s="9"/>
      <c r="ND111" s="9"/>
      <c r="NE111" s="9"/>
      <c r="NF111" s="9"/>
      <c r="NG111" s="9"/>
      <c r="NH111" s="9"/>
      <c r="NI111" s="9"/>
      <c r="NJ111" s="9"/>
      <c r="NK111" s="9"/>
      <c r="NL111" s="9"/>
      <c r="NM111" s="9"/>
      <c r="NN111" s="9"/>
      <c r="NO111" s="9"/>
      <c r="NP111" s="9"/>
      <c r="NQ111" s="9"/>
      <c r="NR111" s="9"/>
      <c r="NS111" s="9"/>
      <c r="NT111" s="9"/>
      <c r="NU111" s="9"/>
      <c r="NV111" s="9"/>
      <c r="NW111" s="9"/>
      <c r="NX111" s="9"/>
      <c r="NY111" s="9"/>
      <c r="NZ111" s="9"/>
      <c r="OA111" s="9"/>
      <c r="OB111" s="9"/>
      <c r="OC111" s="9"/>
      <c r="OD111" s="9"/>
      <c r="OE111" s="9"/>
      <c r="OF111" s="9"/>
      <c r="OG111" s="9"/>
      <c r="OH111" s="9"/>
      <c r="OI111" s="9"/>
      <c r="OJ111" s="9"/>
      <c r="OK111" s="9"/>
      <c r="OL111" s="9"/>
      <c r="OM111" s="9"/>
      <c r="ON111" s="9"/>
      <c r="OO111" s="9"/>
      <c r="OP111" s="9"/>
      <c r="OQ111" s="9"/>
      <c r="OR111" s="9"/>
      <c r="OS111" s="9"/>
      <c r="OT111" s="9"/>
      <c r="OU111" s="9"/>
      <c r="OV111" s="9"/>
      <c r="OW111" s="9"/>
      <c r="OX111" s="9"/>
      <c r="OY111" s="9"/>
      <c r="OZ111" s="9"/>
      <c r="PA111" s="9"/>
      <c r="PB111" s="9"/>
      <c r="PC111" s="9"/>
      <c r="PD111" s="9"/>
      <c r="PE111" s="9"/>
      <c r="PF111" s="9"/>
      <c r="PG111" s="9"/>
      <c r="PH111" s="9"/>
      <c r="PI111" s="9"/>
      <c r="PJ111" s="9"/>
      <c r="PK111" s="9"/>
      <c r="PL111" s="9"/>
      <c r="PM111" s="9"/>
      <c r="PN111" s="9"/>
      <c r="PO111" s="9"/>
      <c r="PP111" s="9"/>
      <c r="PQ111" s="9"/>
      <c r="PR111" s="9"/>
      <c r="PS111" s="9"/>
      <c r="PT111" s="9"/>
      <c r="PU111" s="9"/>
      <c r="PV111" s="9"/>
      <c r="PW111" s="9"/>
      <c r="PX111" s="9"/>
      <c r="PY111" s="9"/>
      <c r="PZ111" s="9"/>
      <c r="QA111" s="9"/>
      <c r="QB111" s="9"/>
      <c r="QC111" s="9"/>
      <c r="QD111" s="9"/>
      <c r="QE111" s="9"/>
      <c r="QF111" s="9"/>
      <c r="QG111" s="9"/>
      <c r="QH111" s="9"/>
      <c r="QI111" s="9"/>
      <c r="QJ111" s="9"/>
      <c r="QK111" s="9"/>
      <c r="QL111" s="9"/>
      <c r="QM111" s="9"/>
      <c r="QN111" s="9"/>
      <c r="QO111" s="9"/>
      <c r="QP111" s="9"/>
      <c r="QQ111" s="9"/>
      <c r="QR111" s="9"/>
      <c r="QS111" s="9"/>
      <c r="QT111" s="9"/>
      <c r="QU111" s="9"/>
      <c r="QV111" s="9"/>
      <c r="QW111" s="9"/>
      <c r="QX111" s="9"/>
      <c r="QY111" s="9"/>
      <c r="QZ111" s="9"/>
      <c r="RA111" s="9"/>
      <c r="RB111" s="9"/>
      <c r="RC111" s="9"/>
      <c r="RD111" s="9"/>
      <c r="RE111" s="9"/>
      <c r="RF111" s="9"/>
      <c r="RG111" s="9"/>
      <c r="RH111" s="9"/>
      <c r="RI111" s="9"/>
      <c r="RJ111" s="9"/>
      <c r="RK111" s="9"/>
      <c r="RL111" s="9"/>
      <c r="RM111" s="9"/>
      <c r="RN111" s="9"/>
      <c r="RO111" s="9"/>
      <c r="RP111" s="9"/>
      <c r="RQ111" s="9"/>
      <c r="RR111" s="9"/>
      <c r="RS111" s="9"/>
      <c r="RT111" s="9"/>
      <c r="RU111" s="9"/>
      <c r="RV111" s="9"/>
      <c r="RW111" s="9"/>
      <c r="RX111" s="9"/>
      <c r="RY111" s="9"/>
      <c r="RZ111" s="9"/>
      <c r="SA111" s="9"/>
      <c r="SB111" s="9"/>
      <c r="SC111" s="9"/>
      <c r="SD111" s="9"/>
      <c r="SE111" s="9"/>
      <c r="SF111" s="9"/>
      <c r="SG111" s="9"/>
      <c r="SH111" s="9"/>
      <c r="SI111" s="9"/>
      <c r="SJ111" s="9"/>
      <c r="SK111" s="8"/>
      <c r="SL111" s="8"/>
      <c r="SM111" s="8"/>
      <c r="SN111" s="8"/>
      <c r="SO111" s="8"/>
      <c r="SP111" s="8"/>
      <c r="SQ111" s="8"/>
      <c r="SR111" s="8"/>
      <c r="SS111" s="8"/>
      <c r="ST111" s="8"/>
      <c r="SU111" s="8"/>
      <c r="SV111" s="8"/>
      <c r="SW111" s="8"/>
      <c r="SX111" s="8"/>
      <c r="SY111" s="8"/>
      <c r="SZ111" s="8"/>
      <c r="TA111" s="8"/>
      <c r="TB111" s="8"/>
      <c r="TC111" s="8"/>
      <c r="TD111" s="8"/>
      <c r="TE111" s="8"/>
      <c r="TF111" s="8"/>
      <c r="TG111" s="8"/>
      <c r="TH111" s="8"/>
      <c r="TI111" s="8"/>
      <c r="TJ111" s="8"/>
      <c r="TK111" s="8"/>
      <c r="TL111" s="8"/>
      <c r="TM111" s="8"/>
      <c r="TN111" s="8"/>
      <c r="TO111" s="8"/>
    </row>
    <row r="112" spans="1:535" x14ac:dyDescent="0.2">
      <c r="A112" s="7"/>
      <c r="B112" s="15"/>
      <c r="C112" s="15"/>
      <c r="D112" s="15"/>
      <c r="E112" s="15"/>
      <c r="F112" s="15"/>
      <c r="G112" s="15"/>
      <c r="H112" s="15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9"/>
      <c r="DP112" s="9"/>
      <c r="DQ112" s="9"/>
      <c r="DR112" s="9"/>
      <c r="DS112" s="9"/>
      <c r="DT112" s="9"/>
      <c r="DU112" s="9"/>
      <c r="DV112" s="9"/>
      <c r="DW112" s="9"/>
      <c r="DX112" s="9"/>
      <c r="DY112" s="9"/>
      <c r="DZ112" s="9"/>
      <c r="EA112" s="9"/>
      <c r="EB112" s="9"/>
      <c r="EC112" s="9"/>
      <c r="ED112" s="9"/>
      <c r="EE112" s="9"/>
      <c r="EF112" s="9"/>
      <c r="EG112" s="9"/>
      <c r="EH112" s="9"/>
      <c r="EI112" s="9"/>
      <c r="EJ112" s="9"/>
      <c r="EK112" s="9"/>
      <c r="EL112" s="9"/>
      <c r="EM112" s="9"/>
      <c r="EN112" s="9"/>
      <c r="EO112" s="9"/>
      <c r="EP112" s="9"/>
      <c r="EQ112" s="9"/>
      <c r="ER112" s="9"/>
      <c r="ES112" s="9"/>
      <c r="ET112" s="9"/>
      <c r="EU112" s="9"/>
      <c r="EV112" s="9"/>
      <c r="EW112" s="9"/>
      <c r="EX112" s="9"/>
      <c r="EY112" s="9"/>
      <c r="EZ112" s="9"/>
      <c r="FA112" s="9"/>
      <c r="FB112" s="9"/>
      <c r="FC112" s="9"/>
      <c r="FD112" s="9"/>
      <c r="FE112" s="9"/>
      <c r="FF112" s="9"/>
      <c r="FG112" s="9"/>
      <c r="FH112" s="9"/>
      <c r="FI112" s="9"/>
      <c r="FJ112" s="9"/>
      <c r="FK112" s="9"/>
      <c r="FL112" s="9"/>
      <c r="FM112" s="9"/>
      <c r="FN112" s="9"/>
      <c r="FO112" s="9"/>
      <c r="FP112" s="9"/>
      <c r="FQ112" s="9"/>
      <c r="FR112" s="9"/>
      <c r="FS112" s="9"/>
      <c r="FT112" s="9"/>
      <c r="FU112" s="9"/>
      <c r="FV112" s="9"/>
      <c r="FW112" s="9"/>
      <c r="FX112" s="9"/>
      <c r="FY112" s="9"/>
      <c r="FZ112" s="9"/>
      <c r="GA112" s="9"/>
      <c r="GB112" s="9"/>
      <c r="GC112" s="9"/>
      <c r="GD112" s="9"/>
      <c r="GE112" s="9"/>
      <c r="GF112" s="9"/>
      <c r="GG112" s="9"/>
      <c r="GH112" s="9"/>
      <c r="GI112" s="9"/>
      <c r="GJ112" s="9"/>
      <c r="GK112" s="9"/>
      <c r="GL112" s="9"/>
      <c r="GM112" s="9"/>
      <c r="GN112" s="9"/>
      <c r="GO112" s="9"/>
      <c r="GP112" s="9"/>
      <c r="GQ112" s="9"/>
      <c r="GR112" s="9"/>
      <c r="GS112" s="9"/>
      <c r="GT112" s="9"/>
      <c r="GU112" s="9"/>
      <c r="GV112" s="9"/>
      <c r="GW112" s="9"/>
      <c r="GX112" s="9"/>
      <c r="GY112" s="9"/>
      <c r="GZ112" s="9"/>
      <c r="HA112" s="9"/>
      <c r="HB112" s="9"/>
      <c r="HC112" s="9"/>
      <c r="HD112" s="9"/>
      <c r="HE112" s="9"/>
      <c r="HF112" s="9"/>
      <c r="HG112" s="9"/>
      <c r="HH112" s="9"/>
      <c r="HI112" s="9"/>
      <c r="HJ112" s="9"/>
      <c r="HK112" s="9"/>
      <c r="HL112" s="9"/>
      <c r="HM112" s="9"/>
      <c r="HN112" s="9"/>
      <c r="HO112" s="9"/>
      <c r="HP112" s="9"/>
      <c r="HQ112" s="9"/>
      <c r="HR112" s="9"/>
      <c r="HS112" s="9"/>
      <c r="HT112" s="9"/>
      <c r="HU112" s="9"/>
      <c r="HV112" s="9"/>
      <c r="HW112" s="9"/>
      <c r="HX112" s="9"/>
      <c r="HY112" s="9"/>
      <c r="HZ112" s="9"/>
      <c r="IA112" s="9"/>
      <c r="IB112" s="9"/>
      <c r="IC112" s="9"/>
      <c r="ID112" s="9"/>
      <c r="IE112" s="9"/>
      <c r="IF112" s="9"/>
      <c r="IG112" s="9"/>
      <c r="IH112" s="9"/>
      <c r="II112" s="9"/>
      <c r="IJ112" s="9"/>
      <c r="IK112" s="9"/>
      <c r="IL112" s="9"/>
      <c r="IM112" s="9"/>
      <c r="IN112" s="9"/>
      <c r="IO112" s="9"/>
      <c r="IP112" s="9"/>
      <c r="IQ112" s="9"/>
      <c r="IR112" s="9"/>
      <c r="IS112" s="9"/>
      <c r="IT112" s="9"/>
      <c r="IU112" s="9"/>
      <c r="IV112" s="9"/>
      <c r="IW112" s="9"/>
      <c r="IX112" s="9"/>
      <c r="IY112" s="9"/>
      <c r="IZ112" s="9"/>
      <c r="JA112" s="9"/>
      <c r="JB112" s="9"/>
      <c r="JC112" s="9"/>
      <c r="JD112" s="9"/>
      <c r="JE112" s="9"/>
      <c r="JF112" s="9"/>
      <c r="JG112" s="9"/>
      <c r="JH112" s="9"/>
      <c r="JI112" s="9"/>
      <c r="JJ112" s="9"/>
      <c r="JK112" s="9"/>
      <c r="JL112" s="9"/>
      <c r="JM112" s="9"/>
      <c r="JN112" s="9"/>
      <c r="JO112" s="9"/>
      <c r="JP112" s="9"/>
      <c r="JQ112" s="9"/>
      <c r="JR112" s="9"/>
      <c r="JS112" s="9"/>
      <c r="JT112" s="9"/>
      <c r="JU112" s="9"/>
      <c r="JV112" s="9"/>
      <c r="JW112" s="9"/>
      <c r="JX112" s="9"/>
      <c r="JY112" s="9"/>
      <c r="JZ112" s="9"/>
      <c r="KA112" s="9"/>
      <c r="KB112" s="9"/>
      <c r="KC112" s="9"/>
      <c r="KD112" s="9"/>
      <c r="KE112" s="9"/>
      <c r="KF112" s="9"/>
      <c r="KG112" s="9"/>
      <c r="KH112" s="9"/>
      <c r="KI112" s="9"/>
      <c r="KJ112" s="9"/>
      <c r="KK112" s="9"/>
      <c r="KL112" s="9"/>
      <c r="KM112" s="9"/>
      <c r="KN112" s="9"/>
      <c r="KO112" s="9"/>
      <c r="KP112" s="9"/>
      <c r="KQ112" s="9"/>
      <c r="KR112" s="9"/>
      <c r="KS112" s="9"/>
      <c r="KT112" s="9"/>
      <c r="KU112" s="9"/>
      <c r="KV112" s="9"/>
      <c r="KW112" s="9"/>
      <c r="KX112" s="9"/>
      <c r="KY112" s="9"/>
      <c r="KZ112" s="9"/>
      <c r="LA112" s="9"/>
      <c r="LB112" s="9"/>
      <c r="LC112" s="9"/>
      <c r="LD112" s="9"/>
      <c r="LE112" s="9"/>
      <c r="LF112" s="9"/>
      <c r="LG112" s="9"/>
      <c r="LH112" s="9"/>
      <c r="LI112" s="9"/>
      <c r="LJ112" s="9"/>
      <c r="LK112" s="9"/>
      <c r="LL112" s="9"/>
      <c r="LM112" s="9"/>
      <c r="LN112" s="9"/>
      <c r="LO112" s="9"/>
      <c r="LP112" s="9"/>
      <c r="LQ112" s="9"/>
      <c r="LR112" s="9"/>
      <c r="LS112" s="9"/>
      <c r="LT112" s="9"/>
      <c r="LU112" s="9"/>
      <c r="LV112" s="9"/>
      <c r="LW112" s="9"/>
      <c r="LX112" s="9"/>
      <c r="LY112" s="9"/>
      <c r="LZ112" s="9"/>
      <c r="MA112" s="9"/>
      <c r="MB112" s="9"/>
      <c r="MC112" s="9"/>
      <c r="MD112" s="9"/>
      <c r="ME112" s="9"/>
      <c r="MF112" s="9"/>
      <c r="MG112" s="9"/>
      <c r="MH112" s="9"/>
      <c r="MI112" s="9"/>
      <c r="MJ112" s="9"/>
      <c r="MK112" s="9"/>
      <c r="ML112" s="9"/>
      <c r="MM112" s="9"/>
      <c r="MN112" s="9"/>
      <c r="MO112" s="9"/>
      <c r="MP112" s="9"/>
      <c r="MQ112" s="9"/>
      <c r="MR112" s="9"/>
      <c r="MS112" s="9"/>
      <c r="MT112" s="9"/>
      <c r="MU112" s="9"/>
      <c r="MV112" s="9"/>
      <c r="MW112" s="9"/>
      <c r="MX112" s="9"/>
      <c r="MY112" s="9"/>
      <c r="MZ112" s="9"/>
      <c r="NA112" s="9"/>
      <c r="NB112" s="9"/>
      <c r="NC112" s="9"/>
      <c r="ND112" s="9"/>
      <c r="NE112" s="9"/>
      <c r="NF112" s="9"/>
      <c r="NG112" s="9"/>
      <c r="NH112" s="9"/>
      <c r="NI112" s="9"/>
      <c r="NJ112" s="9"/>
      <c r="NK112" s="9"/>
      <c r="NL112" s="9"/>
      <c r="NM112" s="9"/>
      <c r="NN112" s="9"/>
      <c r="NO112" s="9"/>
      <c r="NP112" s="9"/>
      <c r="NQ112" s="9"/>
      <c r="NR112" s="9"/>
      <c r="NS112" s="9"/>
      <c r="NT112" s="9"/>
      <c r="NU112" s="9"/>
      <c r="NV112" s="9"/>
      <c r="NW112" s="9"/>
      <c r="NX112" s="9"/>
      <c r="NY112" s="9"/>
      <c r="NZ112" s="9"/>
      <c r="OA112" s="9"/>
      <c r="OB112" s="9"/>
      <c r="OC112" s="9"/>
      <c r="OD112" s="9"/>
      <c r="OE112" s="9"/>
      <c r="OF112" s="9"/>
      <c r="OG112" s="9"/>
      <c r="OH112" s="9"/>
      <c r="OI112" s="9"/>
      <c r="OJ112" s="9"/>
      <c r="OK112" s="9"/>
      <c r="OL112" s="9"/>
      <c r="OM112" s="9"/>
      <c r="ON112" s="9"/>
      <c r="OO112" s="9"/>
      <c r="OP112" s="9"/>
      <c r="OQ112" s="9"/>
      <c r="OR112" s="9"/>
      <c r="OS112" s="9"/>
      <c r="OT112" s="9"/>
      <c r="OU112" s="9"/>
      <c r="OV112" s="9"/>
      <c r="OW112" s="9"/>
      <c r="OX112" s="9"/>
      <c r="OY112" s="9"/>
      <c r="OZ112" s="9"/>
      <c r="PA112" s="9"/>
      <c r="PB112" s="9"/>
      <c r="PC112" s="9"/>
      <c r="PD112" s="9"/>
      <c r="PE112" s="9"/>
      <c r="PF112" s="9"/>
      <c r="PG112" s="9"/>
      <c r="PH112" s="9"/>
      <c r="PI112" s="9"/>
      <c r="PJ112" s="9"/>
      <c r="PK112" s="9"/>
      <c r="PL112" s="9"/>
      <c r="PM112" s="9"/>
      <c r="PN112" s="9"/>
      <c r="PO112" s="9"/>
      <c r="PP112" s="9"/>
      <c r="PQ112" s="9"/>
      <c r="PR112" s="9"/>
      <c r="PS112" s="9"/>
      <c r="PT112" s="9"/>
      <c r="PU112" s="9"/>
      <c r="PV112" s="9"/>
      <c r="PW112" s="9"/>
      <c r="PX112" s="9"/>
      <c r="PY112" s="9"/>
      <c r="PZ112" s="9"/>
      <c r="QA112" s="9"/>
      <c r="QB112" s="9"/>
      <c r="QC112" s="9"/>
      <c r="QD112" s="9"/>
      <c r="QE112" s="9"/>
      <c r="QF112" s="9"/>
      <c r="QG112" s="9"/>
      <c r="QH112" s="9"/>
      <c r="QI112" s="9"/>
      <c r="QJ112" s="9"/>
      <c r="QK112" s="9"/>
      <c r="QL112" s="9"/>
      <c r="QM112" s="9"/>
      <c r="QN112" s="9"/>
      <c r="QO112" s="9"/>
      <c r="QP112" s="9"/>
      <c r="QQ112" s="9"/>
      <c r="QR112" s="9"/>
      <c r="QS112" s="9"/>
      <c r="QT112" s="9"/>
      <c r="QU112" s="9"/>
      <c r="QV112" s="9"/>
      <c r="QW112" s="9"/>
      <c r="QX112" s="9"/>
      <c r="QY112" s="9"/>
      <c r="QZ112" s="9"/>
      <c r="RA112" s="9"/>
      <c r="RB112" s="9"/>
      <c r="RC112" s="9"/>
      <c r="RD112" s="9"/>
      <c r="RE112" s="9"/>
      <c r="RF112" s="9"/>
      <c r="RG112" s="9"/>
      <c r="RH112" s="9"/>
      <c r="RI112" s="9"/>
      <c r="RJ112" s="9"/>
      <c r="RK112" s="9"/>
      <c r="RL112" s="9"/>
      <c r="RM112" s="9"/>
      <c r="RN112" s="9"/>
      <c r="RO112" s="9"/>
      <c r="RP112" s="9"/>
      <c r="RQ112" s="9"/>
      <c r="RR112" s="9"/>
      <c r="RS112" s="9"/>
      <c r="RT112" s="9"/>
      <c r="RU112" s="9"/>
      <c r="RV112" s="9"/>
      <c r="RW112" s="9"/>
      <c r="RX112" s="9"/>
      <c r="RY112" s="9"/>
      <c r="RZ112" s="9"/>
      <c r="SA112" s="9"/>
      <c r="SB112" s="9"/>
      <c r="SC112" s="9"/>
      <c r="SD112" s="9"/>
      <c r="SE112" s="9"/>
      <c r="SF112" s="9"/>
      <c r="SG112" s="9"/>
      <c r="SH112" s="9"/>
      <c r="SI112" s="9"/>
      <c r="SJ112" s="9"/>
      <c r="SK112" s="8"/>
      <c r="SL112" s="8"/>
      <c r="SM112" s="8"/>
      <c r="SN112" s="8"/>
      <c r="SO112" s="8"/>
      <c r="SP112" s="8"/>
      <c r="SQ112" s="8"/>
      <c r="SR112" s="8"/>
      <c r="SS112" s="8"/>
      <c r="ST112" s="8"/>
      <c r="SU112" s="8"/>
      <c r="SV112" s="8"/>
      <c r="SW112" s="8"/>
      <c r="SX112" s="8"/>
      <c r="SY112" s="8"/>
      <c r="SZ112" s="8"/>
      <c r="TA112" s="8"/>
      <c r="TB112" s="8"/>
      <c r="TC112" s="8"/>
      <c r="TD112" s="8"/>
      <c r="TE112" s="8"/>
      <c r="TF112" s="8"/>
      <c r="TG112" s="8"/>
      <c r="TH112" s="8"/>
      <c r="TI112" s="8"/>
      <c r="TJ112" s="8"/>
      <c r="TK112" s="8"/>
      <c r="TL112" s="8"/>
      <c r="TM112" s="8"/>
      <c r="TN112" s="8"/>
      <c r="TO112" s="8"/>
    </row>
    <row r="113" spans="1:535" x14ac:dyDescent="0.2">
      <c r="A113" s="7"/>
      <c r="B113" s="15"/>
      <c r="C113" s="15"/>
      <c r="D113" s="15"/>
      <c r="E113" s="15"/>
      <c r="F113" s="15"/>
      <c r="G113" s="15"/>
      <c r="H113" s="15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 s="9"/>
      <c r="ED113" s="9"/>
      <c r="EE113" s="9"/>
      <c r="EF113" s="9"/>
      <c r="EG113" s="9"/>
      <c r="EH113" s="9"/>
      <c r="EI113" s="9"/>
      <c r="EJ113" s="9"/>
      <c r="EK113" s="9"/>
      <c r="EL113" s="9"/>
      <c r="EM113" s="9"/>
      <c r="EN113" s="9"/>
      <c r="EO113" s="9"/>
      <c r="EP113" s="9"/>
      <c r="EQ113" s="9"/>
      <c r="ER113" s="9"/>
      <c r="ES113" s="9"/>
      <c r="ET113" s="9"/>
      <c r="EU113" s="9"/>
      <c r="EV113" s="9"/>
      <c r="EW113" s="9"/>
      <c r="EX113" s="9"/>
      <c r="EY113" s="9"/>
      <c r="EZ113" s="9"/>
      <c r="FA113" s="9"/>
      <c r="FB113" s="9"/>
      <c r="FC113" s="9"/>
      <c r="FD113" s="9"/>
      <c r="FE113" s="9"/>
      <c r="FF113" s="9"/>
      <c r="FG113" s="9"/>
      <c r="FH113" s="9"/>
      <c r="FI113" s="9"/>
      <c r="FJ113" s="9"/>
      <c r="FK113" s="9"/>
      <c r="FL113" s="9"/>
      <c r="FM113" s="9"/>
      <c r="FN113" s="9"/>
      <c r="FO113" s="9"/>
      <c r="FP113" s="9"/>
      <c r="FQ113" s="9"/>
      <c r="FR113" s="9"/>
      <c r="FS113" s="9"/>
      <c r="FT113" s="9"/>
      <c r="FU113" s="9"/>
      <c r="FV113" s="9"/>
      <c r="FW113" s="9"/>
      <c r="FX113" s="9"/>
      <c r="FY113" s="9"/>
      <c r="FZ113" s="9"/>
      <c r="GA113" s="9"/>
      <c r="GB113" s="9"/>
      <c r="GC113" s="9"/>
      <c r="GD113" s="9"/>
      <c r="GE113" s="9"/>
      <c r="GF113" s="9"/>
      <c r="GG113" s="9"/>
      <c r="GH113" s="9"/>
      <c r="GI113" s="9"/>
      <c r="GJ113" s="9"/>
      <c r="GK113" s="9"/>
      <c r="GL113" s="9"/>
      <c r="GM113" s="9"/>
      <c r="GN113" s="9"/>
      <c r="GO113" s="9"/>
      <c r="GP113" s="9"/>
      <c r="GQ113" s="9"/>
      <c r="GR113" s="9"/>
      <c r="GS113" s="9"/>
      <c r="GT113" s="9"/>
      <c r="GU113" s="9"/>
      <c r="GV113" s="9"/>
      <c r="GW113" s="9"/>
      <c r="GX113" s="9"/>
      <c r="GY113" s="9"/>
      <c r="GZ113" s="9"/>
      <c r="HA113" s="9"/>
      <c r="HB113" s="9"/>
      <c r="HC113" s="9"/>
      <c r="HD113" s="9"/>
      <c r="HE113" s="9"/>
      <c r="HF113" s="9"/>
      <c r="HG113" s="9"/>
      <c r="HH113" s="9"/>
      <c r="HI113" s="9"/>
      <c r="HJ113" s="9"/>
      <c r="HK113" s="9"/>
      <c r="HL113" s="9"/>
      <c r="HM113" s="9"/>
      <c r="HN113" s="9"/>
      <c r="HO113" s="9"/>
      <c r="HP113" s="9"/>
      <c r="HQ113" s="9"/>
      <c r="HR113" s="9"/>
      <c r="HS113" s="9"/>
      <c r="HT113" s="9"/>
      <c r="HU113" s="9"/>
      <c r="HV113" s="9"/>
      <c r="HW113" s="9"/>
      <c r="HX113" s="9"/>
      <c r="HY113" s="9"/>
      <c r="HZ113" s="9"/>
      <c r="IA113" s="9"/>
      <c r="IB113" s="9"/>
      <c r="IC113" s="9"/>
      <c r="ID113" s="9"/>
      <c r="IE113" s="9"/>
      <c r="IF113" s="9"/>
      <c r="IG113" s="9"/>
      <c r="IH113" s="9"/>
      <c r="II113" s="9"/>
      <c r="IJ113" s="9"/>
      <c r="IK113" s="9"/>
      <c r="IL113" s="9"/>
      <c r="IM113" s="9"/>
      <c r="IN113" s="9"/>
      <c r="IO113" s="9"/>
      <c r="IP113" s="9"/>
      <c r="IQ113" s="9"/>
      <c r="IR113" s="9"/>
      <c r="IS113" s="9"/>
      <c r="IT113" s="9"/>
      <c r="IU113" s="9"/>
      <c r="IV113" s="9"/>
      <c r="IW113" s="9"/>
      <c r="IX113" s="9"/>
      <c r="IY113" s="9"/>
      <c r="IZ113" s="9"/>
      <c r="JA113" s="9"/>
      <c r="JB113" s="9"/>
      <c r="JC113" s="9"/>
      <c r="JD113" s="9"/>
      <c r="JE113" s="9"/>
      <c r="JF113" s="9"/>
      <c r="JG113" s="9"/>
      <c r="JH113" s="9"/>
      <c r="JI113" s="9"/>
      <c r="JJ113" s="9"/>
      <c r="JK113" s="9"/>
      <c r="JL113" s="9"/>
      <c r="JM113" s="9"/>
      <c r="JN113" s="9"/>
      <c r="JO113" s="9"/>
      <c r="JP113" s="9"/>
      <c r="JQ113" s="9"/>
      <c r="JR113" s="9"/>
      <c r="JS113" s="9"/>
      <c r="JT113" s="9"/>
      <c r="JU113" s="9"/>
      <c r="JV113" s="9"/>
      <c r="JW113" s="9"/>
      <c r="JX113" s="9"/>
      <c r="JY113" s="9"/>
      <c r="JZ113" s="9"/>
      <c r="KA113" s="9"/>
      <c r="KB113" s="9"/>
      <c r="KC113" s="9"/>
      <c r="KD113" s="9"/>
      <c r="KE113" s="9"/>
      <c r="KF113" s="9"/>
      <c r="KG113" s="9"/>
      <c r="KH113" s="9"/>
      <c r="KI113" s="9"/>
      <c r="KJ113" s="9"/>
      <c r="KK113" s="9"/>
      <c r="KL113" s="9"/>
      <c r="KM113" s="9"/>
      <c r="KN113" s="9"/>
      <c r="KO113" s="9"/>
      <c r="KP113" s="9"/>
      <c r="KQ113" s="9"/>
      <c r="KR113" s="9"/>
      <c r="KS113" s="9"/>
      <c r="KT113" s="9"/>
      <c r="KU113" s="9"/>
      <c r="KV113" s="9"/>
      <c r="KW113" s="9"/>
      <c r="KX113" s="9"/>
      <c r="KY113" s="9"/>
      <c r="KZ113" s="9"/>
      <c r="LA113" s="9"/>
      <c r="LB113" s="9"/>
      <c r="LC113" s="9"/>
      <c r="LD113" s="9"/>
      <c r="LE113" s="9"/>
      <c r="LF113" s="9"/>
      <c r="LG113" s="9"/>
      <c r="LH113" s="9"/>
      <c r="LI113" s="9"/>
      <c r="LJ113" s="9"/>
      <c r="LK113" s="9"/>
      <c r="LL113" s="9"/>
      <c r="LM113" s="9"/>
      <c r="LN113" s="9"/>
      <c r="LO113" s="9"/>
      <c r="LP113" s="9"/>
      <c r="LQ113" s="9"/>
      <c r="LR113" s="9"/>
      <c r="LS113" s="9"/>
      <c r="LT113" s="9"/>
      <c r="LU113" s="9"/>
      <c r="LV113" s="9"/>
      <c r="LW113" s="9"/>
      <c r="LX113" s="9"/>
      <c r="LY113" s="9"/>
      <c r="LZ113" s="9"/>
      <c r="MA113" s="9"/>
      <c r="MB113" s="9"/>
      <c r="MC113" s="9"/>
      <c r="MD113" s="9"/>
      <c r="ME113" s="9"/>
      <c r="MF113" s="9"/>
      <c r="MG113" s="9"/>
      <c r="MH113" s="9"/>
      <c r="MI113" s="9"/>
      <c r="MJ113" s="9"/>
      <c r="MK113" s="9"/>
      <c r="ML113" s="9"/>
      <c r="MM113" s="9"/>
      <c r="MN113" s="9"/>
      <c r="MO113" s="9"/>
      <c r="MP113" s="9"/>
      <c r="MQ113" s="9"/>
      <c r="MR113" s="9"/>
      <c r="MS113" s="9"/>
      <c r="MT113" s="9"/>
      <c r="MU113" s="9"/>
      <c r="MV113" s="9"/>
      <c r="MW113" s="9"/>
      <c r="MX113" s="9"/>
      <c r="MY113" s="9"/>
      <c r="MZ113" s="9"/>
      <c r="NA113" s="9"/>
      <c r="NB113" s="9"/>
      <c r="NC113" s="9"/>
      <c r="ND113" s="9"/>
      <c r="NE113" s="9"/>
      <c r="NF113" s="9"/>
      <c r="NG113" s="9"/>
      <c r="NH113" s="9"/>
      <c r="NI113" s="9"/>
      <c r="NJ113" s="9"/>
      <c r="NK113" s="9"/>
      <c r="NL113" s="9"/>
      <c r="NM113" s="9"/>
      <c r="NN113" s="9"/>
      <c r="NO113" s="9"/>
      <c r="NP113" s="9"/>
      <c r="NQ113" s="9"/>
      <c r="NR113" s="9"/>
      <c r="NS113" s="9"/>
      <c r="NT113" s="9"/>
      <c r="NU113" s="9"/>
      <c r="NV113" s="9"/>
      <c r="NW113" s="9"/>
      <c r="NX113" s="9"/>
      <c r="NY113" s="9"/>
      <c r="NZ113" s="9"/>
      <c r="OA113" s="9"/>
      <c r="OB113" s="9"/>
      <c r="OC113" s="9"/>
      <c r="OD113" s="9"/>
      <c r="OE113" s="9"/>
      <c r="OF113" s="9"/>
      <c r="OG113" s="9"/>
      <c r="OH113" s="9"/>
      <c r="OI113" s="9"/>
      <c r="OJ113" s="9"/>
      <c r="OK113" s="9"/>
      <c r="OL113" s="9"/>
      <c r="OM113" s="9"/>
      <c r="ON113" s="9"/>
      <c r="OO113" s="9"/>
      <c r="OP113" s="9"/>
      <c r="OQ113" s="9"/>
      <c r="OR113" s="9"/>
      <c r="OS113" s="9"/>
      <c r="OT113" s="9"/>
      <c r="OU113" s="9"/>
      <c r="OV113" s="9"/>
      <c r="OW113" s="9"/>
      <c r="OX113" s="9"/>
      <c r="OY113" s="9"/>
      <c r="OZ113" s="9"/>
      <c r="PA113" s="9"/>
      <c r="PB113" s="9"/>
      <c r="PC113" s="9"/>
      <c r="PD113" s="9"/>
      <c r="PE113" s="9"/>
      <c r="PF113" s="9"/>
      <c r="PG113" s="9"/>
      <c r="PH113" s="9"/>
      <c r="PI113" s="9"/>
      <c r="PJ113" s="9"/>
      <c r="PK113" s="9"/>
      <c r="PL113" s="9"/>
      <c r="PM113" s="9"/>
      <c r="PN113" s="9"/>
      <c r="PO113" s="9"/>
      <c r="PP113" s="9"/>
      <c r="PQ113" s="9"/>
      <c r="PR113" s="9"/>
      <c r="PS113" s="9"/>
      <c r="PT113" s="9"/>
      <c r="PU113" s="9"/>
      <c r="PV113" s="9"/>
      <c r="PW113" s="9"/>
      <c r="PX113" s="9"/>
      <c r="PY113" s="9"/>
      <c r="PZ113" s="9"/>
      <c r="QA113" s="9"/>
      <c r="QB113" s="9"/>
      <c r="QC113" s="9"/>
      <c r="QD113" s="9"/>
      <c r="QE113" s="9"/>
      <c r="QF113" s="9"/>
      <c r="QG113" s="9"/>
      <c r="QH113" s="9"/>
      <c r="QI113" s="9"/>
      <c r="QJ113" s="9"/>
      <c r="QK113" s="9"/>
      <c r="QL113" s="9"/>
      <c r="QM113" s="9"/>
      <c r="QN113" s="9"/>
      <c r="QO113" s="9"/>
      <c r="QP113" s="9"/>
      <c r="QQ113" s="9"/>
      <c r="QR113" s="9"/>
      <c r="QS113" s="9"/>
      <c r="QT113" s="9"/>
      <c r="QU113" s="9"/>
      <c r="QV113" s="9"/>
      <c r="QW113" s="9"/>
      <c r="QX113" s="9"/>
      <c r="QY113" s="9"/>
      <c r="QZ113" s="9"/>
      <c r="RA113" s="9"/>
      <c r="RB113" s="9"/>
      <c r="RC113" s="9"/>
      <c r="RD113" s="9"/>
      <c r="RE113" s="9"/>
      <c r="RF113" s="9"/>
      <c r="RG113" s="9"/>
      <c r="RH113" s="9"/>
      <c r="RI113" s="9"/>
      <c r="RJ113" s="9"/>
      <c r="RK113" s="9"/>
      <c r="RL113" s="9"/>
      <c r="RM113" s="9"/>
      <c r="RN113" s="9"/>
      <c r="RO113" s="9"/>
      <c r="RP113" s="9"/>
      <c r="RQ113" s="9"/>
      <c r="RR113" s="9"/>
      <c r="RS113" s="9"/>
      <c r="RT113" s="9"/>
      <c r="RU113" s="9"/>
      <c r="RV113" s="9"/>
      <c r="RW113" s="9"/>
      <c r="RX113" s="9"/>
      <c r="RY113" s="9"/>
      <c r="RZ113" s="9"/>
      <c r="SA113" s="9"/>
      <c r="SB113" s="9"/>
      <c r="SC113" s="9"/>
      <c r="SD113" s="9"/>
      <c r="SE113" s="9"/>
      <c r="SF113" s="9"/>
      <c r="SG113" s="9"/>
      <c r="SH113" s="9"/>
      <c r="SI113" s="9"/>
      <c r="SJ113" s="9"/>
      <c r="SK113" s="8"/>
      <c r="SL113" s="8"/>
      <c r="SM113" s="8"/>
      <c r="SN113" s="8"/>
      <c r="SO113" s="8"/>
      <c r="SP113" s="8"/>
      <c r="SQ113" s="8"/>
      <c r="SR113" s="8"/>
      <c r="SS113" s="8"/>
      <c r="ST113" s="8"/>
      <c r="SU113" s="8"/>
      <c r="SV113" s="8"/>
      <c r="SW113" s="8"/>
      <c r="SX113" s="8"/>
      <c r="SY113" s="8"/>
      <c r="SZ113" s="8"/>
      <c r="TA113" s="8"/>
      <c r="TB113" s="8"/>
      <c r="TC113" s="8"/>
      <c r="TD113" s="8"/>
      <c r="TE113" s="8"/>
      <c r="TF113" s="8"/>
      <c r="TG113" s="8"/>
      <c r="TH113" s="8"/>
      <c r="TI113" s="8"/>
      <c r="TJ113" s="8"/>
      <c r="TK113" s="8"/>
      <c r="TL113" s="8"/>
      <c r="TM113" s="8"/>
      <c r="TN113" s="8"/>
      <c r="TO113" s="8"/>
    </row>
    <row r="114" spans="1:535" x14ac:dyDescent="0.2">
      <c r="A114" s="7"/>
      <c r="B114" s="15"/>
      <c r="C114" s="15"/>
      <c r="D114" s="15"/>
      <c r="E114" s="15"/>
      <c r="F114" s="15"/>
      <c r="G114" s="15"/>
      <c r="H114" s="15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9"/>
      <c r="DP114" s="9"/>
      <c r="DQ114" s="9"/>
      <c r="DR114" s="9"/>
      <c r="DS114" s="9"/>
      <c r="DT114" s="9"/>
      <c r="DU114" s="9"/>
      <c r="DV114" s="9"/>
      <c r="DW114" s="9"/>
      <c r="DX114" s="9"/>
      <c r="DY114" s="9"/>
      <c r="DZ114" s="9"/>
      <c r="EA114" s="9"/>
      <c r="EB114" s="9"/>
      <c r="EC114" s="9"/>
      <c r="ED114" s="9"/>
      <c r="EE114" s="9"/>
      <c r="EF114" s="9"/>
      <c r="EG114" s="9"/>
      <c r="EH114" s="9"/>
      <c r="EI114" s="9"/>
      <c r="EJ114" s="9"/>
      <c r="EK114" s="9"/>
      <c r="EL114" s="9"/>
      <c r="EM114" s="9"/>
      <c r="EN114" s="9"/>
      <c r="EO114" s="9"/>
      <c r="EP114" s="9"/>
      <c r="EQ114" s="9"/>
      <c r="ER114" s="9"/>
      <c r="ES114" s="9"/>
      <c r="ET114" s="9"/>
      <c r="EU114" s="9"/>
      <c r="EV114" s="9"/>
      <c r="EW114" s="9"/>
      <c r="EX114" s="9"/>
      <c r="EY114" s="9"/>
      <c r="EZ114" s="9"/>
      <c r="FA114" s="9"/>
      <c r="FB114" s="9"/>
      <c r="FC114" s="9"/>
      <c r="FD114" s="9"/>
      <c r="FE114" s="9"/>
      <c r="FF114" s="9"/>
      <c r="FG114" s="9"/>
      <c r="FH114" s="9"/>
      <c r="FI114" s="9"/>
      <c r="FJ114" s="9"/>
      <c r="FK114" s="9"/>
      <c r="FL114" s="9"/>
      <c r="FM114" s="9"/>
      <c r="FN114" s="9"/>
      <c r="FO114" s="9"/>
      <c r="FP114" s="9"/>
      <c r="FQ114" s="9"/>
      <c r="FR114" s="9"/>
      <c r="FS114" s="9"/>
      <c r="FT114" s="9"/>
      <c r="FU114" s="9"/>
      <c r="FV114" s="9"/>
      <c r="FW114" s="9"/>
      <c r="FX114" s="9"/>
      <c r="FY114" s="9"/>
      <c r="FZ114" s="9"/>
      <c r="GA114" s="9"/>
      <c r="GB114" s="9"/>
      <c r="GC114" s="9"/>
      <c r="GD114" s="9"/>
      <c r="GE114" s="9"/>
      <c r="GF114" s="9"/>
      <c r="GG114" s="9"/>
      <c r="GH114" s="9"/>
      <c r="GI114" s="9"/>
      <c r="GJ114" s="9"/>
      <c r="GK114" s="9"/>
      <c r="GL114" s="9"/>
      <c r="GM114" s="9"/>
      <c r="GN114" s="9"/>
      <c r="GO114" s="9"/>
      <c r="GP114" s="9"/>
      <c r="GQ114" s="9"/>
      <c r="GR114" s="9"/>
      <c r="GS114" s="9"/>
      <c r="GT114" s="9"/>
      <c r="GU114" s="9"/>
      <c r="GV114" s="9"/>
      <c r="GW114" s="9"/>
      <c r="GX114" s="9"/>
      <c r="GY114" s="9"/>
      <c r="GZ114" s="9"/>
      <c r="HA114" s="9"/>
      <c r="HB114" s="9"/>
      <c r="HC114" s="9"/>
      <c r="HD114" s="9"/>
      <c r="HE114" s="9"/>
      <c r="HF114" s="9"/>
      <c r="HG114" s="9"/>
      <c r="HH114" s="9"/>
      <c r="HI114" s="9"/>
      <c r="HJ114" s="9"/>
      <c r="HK114" s="9"/>
      <c r="HL114" s="9"/>
      <c r="HM114" s="9"/>
      <c r="HN114" s="9"/>
      <c r="HO114" s="9"/>
      <c r="HP114" s="9"/>
      <c r="HQ114" s="9"/>
      <c r="HR114" s="9"/>
      <c r="HS114" s="9"/>
      <c r="HT114" s="9"/>
      <c r="HU114" s="9"/>
      <c r="HV114" s="9"/>
      <c r="HW114" s="9"/>
      <c r="HX114" s="9"/>
      <c r="HY114" s="9"/>
      <c r="HZ114" s="9"/>
      <c r="IA114" s="9"/>
      <c r="IB114" s="9"/>
      <c r="IC114" s="9"/>
      <c r="ID114" s="9"/>
      <c r="IE114" s="9"/>
      <c r="IF114" s="9"/>
      <c r="IG114" s="9"/>
      <c r="IH114" s="9"/>
      <c r="II114" s="9"/>
      <c r="IJ114" s="9"/>
      <c r="IK114" s="9"/>
      <c r="IL114" s="9"/>
      <c r="IM114" s="9"/>
      <c r="IN114" s="9"/>
      <c r="IO114" s="9"/>
      <c r="IP114" s="9"/>
      <c r="IQ114" s="9"/>
      <c r="IR114" s="9"/>
      <c r="IS114" s="9"/>
      <c r="IT114" s="9"/>
      <c r="IU114" s="9"/>
      <c r="IV114" s="9"/>
      <c r="IW114" s="9"/>
      <c r="IX114" s="9"/>
      <c r="IY114" s="9"/>
      <c r="IZ114" s="9"/>
      <c r="JA114" s="9"/>
      <c r="JB114" s="9"/>
      <c r="JC114" s="9"/>
      <c r="JD114" s="9"/>
      <c r="JE114" s="9"/>
      <c r="JF114" s="9"/>
      <c r="JG114" s="9"/>
      <c r="JH114" s="9"/>
      <c r="JI114" s="9"/>
      <c r="JJ114" s="9"/>
      <c r="JK114" s="9"/>
      <c r="JL114" s="9"/>
      <c r="JM114" s="9"/>
      <c r="JN114" s="9"/>
      <c r="JO114" s="9"/>
      <c r="JP114" s="9"/>
      <c r="JQ114" s="9"/>
      <c r="JR114" s="9"/>
      <c r="JS114" s="9"/>
      <c r="JT114" s="9"/>
      <c r="JU114" s="9"/>
      <c r="JV114" s="9"/>
      <c r="JW114" s="9"/>
      <c r="JX114" s="9"/>
      <c r="JY114" s="9"/>
      <c r="JZ114" s="9"/>
      <c r="KA114" s="9"/>
      <c r="KB114" s="9"/>
      <c r="KC114" s="9"/>
      <c r="KD114" s="9"/>
      <c r="KE114" s="9"/>
      <c r="KF114" s="9"/>
      <c r="KG114" s="9"/>
      <c r="KH114" s="9"/>
      <c r="KI114" s="9"/>
      <c r="KJ114" s="9"/>
      <c r="KK114" s="9"/>
      <c r="KL114" s="9"/>
      <c r="KM114" s="9"/>
      <c r="KN114" s="9"/>
      <c r="KO114" s="9"/>
      <c r="KP114" s="9"/>
      <c r="KQ114" s="9"/>
      <c r="KR114" s="9"/>
      <c r="KS114" s="9"/>
      <c r="KT114" s="9"/>
      <c r="KU114" s="9"/>
      <c r="KV114" s="9"/>
      <c r="KW114" s="9"/>
      <c r="KX114" s="9"/>
      <c r="KY114" s="9"/>
      <c r="KZ114" s="9"/>
      <c r="LA114" s="9"/>
      <c r="LB114" s="9"/>
      <c r="LC114" s="9"/>
      <c r="LD114" s="9"/>
      <c r="LE114" s="9"/>
      <c r="LF114" s="9"/>
      <c r="LG114" s="9"/>
      <c r="LH114" s="9"/>
      <c r="LI114" s="9"/>
      <c r="LJ114" s="9"/>
      <c r="LK114" s="9"/>
      <c r="LL114" s="9"/>
      <c r="LM114" s="9"/>
      <c r="LN114" s="9"/>
      <c r="LO114" s="9"/>
      <c r="LP114" s="9"/>
      <c r="LQ114" s="9"/>
      <c r="LR114" s="9"/>
      <c r="LS114" s="9"/>
      <c r="LT114" s="9"/>
      <c r="LU114" s="9"/>
      <c r="LV114" s="9"/>
      <c r="LW114" s="9"/>
      <c r="LX114" s="9"/>
      <c r="LY114" s="9"/>
      <c r="LZ114" s="9"/>
      <c r="MA114" s="9"/>
      <c r="MB114" s="9"/>
      <c r="MC114" s="9"/>
      <c r="MD114" s="9"/>
      <c r="ME114" s="9"/>
      <c r="MF114" s="9"/>
      <c r="MG114" s="9"/>
      <c r="MH114" s="9"/>
      <c r="MI114" s="9"/>
      <c r="MJ114" s="9"/>
      <c r="MK114" s="9"/>
      <c r="ML114" s="9"/>
      <c r="MM114" s="9"/>
      <c r="MN114" s="9"/>
      <c r="MO114" s="9"/>
      <c r="MP114" s="9"/>
      <c r="MQ114" s="9"/>
      <c r="MR114" s="9"/>
      <c r="MS114" s="9"/>
      <c r="MT114" s="9"/>
      <c r="MU114" s="9"/>
      <c r="MV114" s="9"/>
      <c r="MW114" s="9"/>
      <c r="MX114" s="9"/>
      <c r="MY114" s="9"/>
      <c r="MZ114" s="9"/>
      <c r="NA114" s="9"/>
      <c r="NB114" s="9"/>
      <c r="NC114" s="9"/>
      <c r="ND114" s="9"/>
      <c r="NE114" s="9"/>
      <c r="NF114" s="9"/>
      <c r="NG114" s="9"/>
      <c r="NH114" s="9"/>
      <c r="NI114" s="9"/>
      <c r="NJ114" s="9"/>
      <c r="NK114" s="9"/>
      <c r="NL114" s="9"/>
      <c r="NM114" s="9"/>
      <c r="NN114" s="9"/>
      <c r="NO114" s="9"/>
      <c r="NP114" s="9"/>
      <c r="NQ114" s="9"/>
      <c r="NR114" s="9"/>
      <c r="NS114" s="9"/>
      <c r="NT114" s="9"/>
      <c r="NU114" s="9"/>
      <c r="NV114" s="9"/>
      <c r="NW114" s="9"/>
      <c r="NX114" s="9"/>
      <c r="NY114" s="9"/>
      <c r="NZ114" s="9"/>
      <c r="OA114" s="9"/>
      <c r="OB114" s="9"/>
      <c r="OC114" s="9"/>
      <c r="OD114" s="9"/>
      <c r="OE114" s="9"/>
      <c r="OF114" s="9"/>
      <c r="OG114" s="9"/>
      <c r="OH114" s="9"/>
      <c r="OI114" s="9"/>
      <c r="OJ114" s="9"/>
      <c r="OK114" s="9"/>
      <c r="OL114" s="9"/>
      <c r="OM114" s="9"/>
      <c r="ON114" s="9"/>
      <c r="OO114" s="9"/>
      <c r="OP114" s="9"/>
      <c r="OQ114" s="9"/>
      <c r="OR114" s="9"/>
      <c r="OS114" s="9"/>
      <c r="OT114" s="9"/>
      <c r="OU114" s="9"/>
      <c r="OV114" s="9"/>
      <c r="OW114" s="9"/>
      <c r="OX114" s="9"/>
      <c r="OY114" s="9"/>
      <c r="OZ114" s="9"/>
      <c r="PA114" s="9"/>
      <c r="PB114" s="9"/>
      <c r="PC114" s="9"/>
      <c r="PD114" s="9"/>
      <c r="PE114" s="9"/>
      <c r="PF114" s="9"/>
      <c r="PG114" s="9"/>
      <c r="PH114" s="9"/>
      <c r="PI114" s="9"/>
      <c r="PJ114" s="9"/>
      <c r="PK114" s="9"/>
      <c r="PL114" s="9"/>
      <c r="PM114" s="9"/>
      <c r="PN114" s="9"/>
      <c r="PO114" s="9"/>
      <c r="PP114" s="9"/>
      <c r="PQ114" s="9"/>
      <c r="PR114" s="9"/>
      <c r="PS114" s="9"/>
      <c r="PT114" s="9"/>
      <c r="PU114" s="9"/>
      <c r="PV114" s="9"/>
      <c r="PW114" s="9"/>
      <c r="PX114" s="9"/>
      <c r="PY114" s="9"/>
      <c r="PZ114" s="9"/>
      <c r="QA114" s="9"/>
      <c r="QB114" s="9"/>
      <c r="QC114" s="9"/>
      <c r="QD114" s="9"/>
      <c r="QE114" s="9"/>
      <c r="QF114" s="9"/>
      <c r="QG114" s="9"/>
      <c r="QH114" s="9"/>
      <c r="QI114" s="9"/>
      <c r="QJ114" s="9"/>
      <c r="QK114" s="9"/>
      <c r="QL114" s="9"/>
      <c r="QM114" s="9"/>
      <c r="QN114" s="9"/>
      <c r="QO114" s="9"/>
      <c r="QP114" s="9"/>
      <c r="QQ114" s="9"/>
      <c r="QR114" s="9"/>
      <c r="QS114" s="9"/>
      <c r="QT114" s="9"/>
      <c r="QU114" s="9"/>
      <c r="QV114" s="9"/>
      <c r="QW114" s="9"/>
      <c r="QX114" s="9"/>
      <c r="QY114" s="9"/>
      <c r="QZ114" s="9"/>
      <c r="RA114" s="9"/>
      <c r="RB114" s="9"/>
      <c r="RC114" s="9"/>
      <c r="RD114" s="9"/>
      <c r="RE114" s="9"/>
      <c r="RF114" s="9"/>
      <c r="RG114" s="9"/>
      <c r="RH114" s="9"/>
      <c r="RI114" s="9"/>
      <c r="RJ114" s="9"/>
      <c r="RK114" s="9"/>
      <c r="RL114" s="9"/>
      <c r="RM114" s="9"/>
      <c r="RN114" s="9"/>
      <c r="RO114" s="9"/>
      <c r="RP114" s="9"/>
      <c r="RQ114" s="9"/>
      <c r="RR114" s="9"/>
      <c r="RS114" s="9"/>
      <c r="RT114" s="9"/>
      <c r="RU114" s="9"/>
      <c r="RV114" s="9"/>
      <c r="RW114" s="9"/>
      <c r="RX114" s="9"/>
      <c r="RY114" s="9"/>
      <c r="RZ114" s="9"/>
      <c r="SA114" s="9"/>
      <c r="SB114" s="9"/>
      <c r="SC114" s="9"/>
      <c r="SD114" s="9"/>
      <c r="SE114" s="9"/>
      <c r="SF114" s="9"/>
      <c r="SG114" s="9"/>
      <c r="SH114" s="9"/>
      <c r="SI114" s="9"/>
      <c r="SJ114" s="9"/>
      <c r="SK114" s="8"/>
      <c r="SL114" s="8"/>
      <c r="SM114" s="8"/>
      <c r="SN114" s="8"/>
      <c r="SO114" s="8"/>
      <c r="SP114" s="8"/>
      <c r="SQ114" s="8"/>
      <c r="SR114" s="8"/>
      <c r="SS114" s="8"/>
      <c r="ST114" s="8"/>
      <c r="SU114" s="8"/>
      <c r="SV114" s="8"/>
      <c r="SW114" s="8"/>
      <c r="SX114" s="8"/>
      <c r="SY114" s="8"/>
      <c r="SZ114" s="8"/>
      <c r="TA114" s="8"/>
      <c r="TB114" s="8"/>
      <c r="TC114" s="8"/>
      <c r="TD114" s="8"/>
      <c r="TE114" s="8"/>
      <c r="TF114" s="8"/>
      <c r="TG114" s="8"/>
      <c r="TH114" s="8"/>
      <c r="TI114" s="8"/>
      <c r="TJ114" s="8"/>
      <c r="TK114" s="8"/>
      <c r="TL114" s="8"/>
      <c r="TM114" s="8"/>
      <c r="TN114" s="8"/>
      <c r="TO114" s="8"/>
    </row>
    <row r="115" spans="1:535" x14ac:dyDescent="0.2">
      <c r="A115" s="7"/>
      <c r="B115" s="15"/>
      <c r="C115" s="15"/>
      <c r="D115" s="15"/>
      <c r="E115" s="15"/>
      <c r="F115" s="15"/>
      <c r="G115" s="15"/>
      <c r="H115" s="15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9"/>
      <c r="DP115" s="9"/>
      <c r="DQ115" s="9"/>
      <c r="DR115" s="9"/>
      <c r="DS115" s="9"/>
      <c r="DT115" s="9"/>
      <c r="DU115" s="9"/>
      <c r="DV115" s="9"/>
      <c r="DW115" s="9"/>
      <c r="DX115" s="9"/>
      <c r="DY115" s="9"/>
      <c r="DZ115" s="9"/>
      <c r="EA115" s="9"/>
      <c r="EB115" s="9"/>
      <c r="EC115" s="9"/>
      <c r="ED115" s="9"/>
      <c r="EE115" s="9"/>
      <c r="EF115" s="9"/>
      <c r="EG115" s="9"/>
      <c r="EH115" s="9"/>
      <c r="EI115" s="9"/>
      <c r="EJ115" s="9"/>
      <c r="EK115" s="9"/>
      <c r="EL115" s="9"/>
      <c r="EM115" s="9"/>
      <c r="EN115" s="9"/>
      <c r="EO115" s="9"/>
      <c r="EP115" s="9"/>
      <c r="EQ115" s="9"/>
      <c r="ER115" s="9"/>
      <c r="ES115" s="9"/>
      <c r="ET115" s="9"/>
      <c r="EU115" s="9"/>
      <c r="EV115" s="9"/>
      <c r="EW115" s="9"/>
      <c r="EX115" s="9"/>
      <c r="EY115" s="9"/>
      <c r="EZ115" s="9"/>
      <c r="FA115" s="9"/>
      <c r="FB115" s="9"/>
      <c r="FC115" s="9"/>
      <c r="FD115" s="9"/>
      <c r="FE115" s="9"/>
      <c r="FF115" s="9"/>
      <c r="FG115" s="9"/>
      <c r="FH115" s="9"/>
      <c r="FI115" s="9"/>
      <c r="FJ115" s="9"/>
      <c r="FK115" s="9"/>
      <c r="FL115" s="9"/>
      <c r="FM115" s="9"/>
      <c r="FN115" s="9"/>
      <c r="FO115" s="9"/>
      <c r="FP115" s="9"/>
      <c r="FQ115" s="9"/>
      <c r="FR115" s="9"/>
      <c r="FS115" s="9"/>
      <c r="FT115" s="9"/>
      <c r="FU115" s="9"/>
      <c r="FV115" s="9"/>
      <c r="FW115" s="9"/>
      <c r="FX115" s="9"/>
      <c r="FY115" s="9"/>
      <c r="FZ115" s="9"/>
      <c r="GA115" s="9"/>
      <c r="GB115" s="9"/>
      <c r="GC115" s="9"/>
      <c r="GD115" s="9"/>
      <c r="GE115" s="9"/>
      <c r="GF115" s="9"/>
      <c r="GG115" s="9"/>
      <c r="GH115" s="9"/>
      <c r="GI115" s="9"/>
      <c r="GJ115" s="9"/>
      <c r="GK115" s="9"/>
      <c r="GL115" s="9"/>
      <c r="GM115" s="9"/>
      <c r="GN115" s="9"/>
      <c r="GO115" s="9"/>
      <c r="GP115" s="9"/>
      <c r="GQ115" s="9"/>
      <c r="GR115" s="9"/>
      <c r="GS115" s="9"/>
      <c r="GT115" s="9"/>
      <c r="GU115" s="9"/>
      <c r="GV115" s="9"/>
      <c r="GW115" s="9"/>
      <c r="GX115" s="9"/>
      <c r="GY115" s="9"/>
      <c r="GZ115" s="9"/>
      <c r="HA115" s="9"/>
      <c r="HB115" s="9"/>
      <c r="HC115" s="9"/>
      <c r="HD115" s="9"/>
      <c r="HE115" s="9"/>
      <c r="HF115" s="9"/>
      <c r="HG115" s="9"/>
      <c r="HH115" s="9"/>
      <c r="HI115" s="9"/>
      <c r="HJ115" s="9"/>
      <c r="HK115" s="9"/>
      <c r="HL115" s="9"/>
      <c r="HM115" s="9"/>
      <c r="HN115" s="9"/>
      <c r="HO115" s="9"/>
      <c r="HP115" s="9"/>
      <c r="HQ115" s="9"/>
      <c r="HR115" s="9"/>
      <c r="HS115" s="9"/>
      <c r="HT115" s="9"/>
      <c r="HU115" s="9"/>
      <c r="HV115" s="9"/>
      <c r="HW115" s="9"/>
      <c r="HX115" s="9"/>
      <c r="HY115" s="9"/>
      <c r="HZ115" s="9"/>
      <c r="IA115" s="9"/>
      <c r="IB115" s="9"/>
      <c r="IC115" s="9"/>
      <c r="ID115" s="9"/>
      <c r="IE115" s="9"/>
      <c r="IF115" s="9"/>
      <c r="IG115" s="9"/>
      <c r="IH115" s="9"/>
      <c r="II115" s="9"/>
      <c r="IJ115" s="9"/>
      <c r="IK115" s="9"/>
      <c r="IL115" s="9"/>
      <c r="IM115" s="9"/>
      <c r="IN115" s="9"/>
      <c r="IO115" s="9"/>
      <c r="IP115" s="9"/>
      <c r="IQ115" s="9"/>
      <c r="IR115" s="9"/>
      <c r="IS115" s="9"/>
      <c r="IT115" s="9"/>
      <c r="IU115" s="9"/>
      <c r="IV115" s="9"/>
      <c r="IW115" s="9"/>
      <c r="IX115" s="9"/>
      <c r="IY115" s="9"/>
      <c r="IZ115" s="9"/>
      <c r="JA115" s="9"/>
      <c r="JB115" s="9"/>
      <c r="JC115" s="9"/>
      <c r="JD115" s="9"/>
      <c r="JE115" s="9"/>
      <c r="JF115" s="9"/>
      <c r="JG115" s="9"/>
      <c r="JH115" s="9"/>
      <c r="JI115" s="9"/>
      <c r="JJ115" s="9"/>
      <c r="JK115" s="9"/>
      <c r="JL115" s="9"/>
      <c r="JM115" s="9"/>
      <c r="JN115" s="9"/>
      <c r="JO115" s="9"/>
      <c r="JP115" s="9"/>
      <c r="JQ115" s="9"/>
      <c r="JR115" s="9"/>
      <c r="JS115" s="9"/>
      <c r="JT115" s="9"/>
      <c r="JU115" s="9"/>
      <c r="JV115" s="9"/>
      <c r="JW115" s="9"/>
      <c r="JX115" s="9"/>
      <c r="JY115" s="9"/>
      <c r="JZ115" s="9"/>
      <c r="KA115" s="9"/>
      <c r="KB115" s="9"/>
      <c r="KC115" s="9"/>
      <c r="KD115" s="9"/>
      <c r="KE115" s="9"/>
      <c r="KF115" s="9"/>
      <c r="KG115" s="9"/>
      <c r="KH115" s="9"/>
      <c r="KI115" s="9"/>
      <c r="KJ115" s="9"/>
      <c r="KK115" s="9"/>
      <c r="KL115" s="9"/>
      <c r="KM115" s="9"/>
      <c r="KN115" s="9"/>
      <c r="KO115" s="9"/>
      <c r="KP115" s="9"/>
      <c r="KQ115" s="9"/>
      <c r="KR115" s="9"/>
      <c r="KS115" s="9"/>
      <c r="KT115" s="9"/>
      <c r="KU115" s="9"/>
      <c r="KV115" s="9"/>
      <c r="KW115" s="9"/>
      <c r="KX115" s="9"/>
      <c r="KY115" s="9"/>
      <c r="KZ115" s="9"/>
      <c r="LA115" s="9"/>
      <c r="LB115" s="9"/>
      <c r="LC115" s="9"/>
      <c r="LD115" s="9"/>
      <c r="LE115" s="9"/>
      <c r="LF115" s="9"/>
      <c r="LG115" s="9"/>
      <c r="LH115" s="9"/>
      <c r="LI115" s="9"/>
      <c r="LJ115" s="9"/>
      <c r="LK115" s="9"/>
      <c r="LL115" s="9"/>
      <c r="LM115" s="9"/>
      <c r="LN115" s="9"/>
      <c r="LO115" s="9"/>
      <c r="LP115" s="9"/>
      <c r="LQ115" s="9"/>
      <c r="LR115" s="9"/>
      <c r="LS115" s="9"/>
      <c r="LT115" s="9"/>
      <c r="LU115" s="9"/>
      <c r="LV115" s="9"/>
      <c r="LW115" s="9"/>
      <c r="LX115" s="9"/>
      <c r="LY115" s="9"/>
      <c r="LZ115" s="9"/>
      <c r="MA115" s="9"/>
      <c r="MB115" s="9"/>
      <c r="MC115" s="9"/>
      <c r="MD115" s="9"/>
      <c r="ME115" s="9"/>
      <c r="MF115" s="9"/>
      <c r="MG115" s="9"/>
      <c r="MH115" s="9"/>
      <c r="MI115" s="9"/>
      <c r="MJ115" s="9"/>
      <c r="MK115" s="9"/>
      <c r="ML115" s="9"/>
      <c r="MM115" s="9"/>
      <c r="MN115" s="9"/>
      <c r="MO115" s="9"/>
      <c r="MP115" s="9"/>
      <c r="MQ115" s="9"/>
      <c r="MR115" s="9"/>
      <c r="MS115" s="9"/>
      <c r="MT115" s="9"/>
      <c r="MU115" s="9"/>
      <c r="MV115" s="9"/>
      <c r="MW115" s="9"/>
      <c r="MX115" s="9"/>
      <c r="MY115" s="9"/>
      <c r="MZ115" s="9"/>
      <c r="NA115" s="9"/>
      <c r="NB115" s="9"/>
      <c r="NC115" s="9"/>
      <c r="ND115" s="9"/>
      <c r="NE115" s="9"/>
      <c r="NF115" s="9"/>
      <c r="NG115" s="9"/>
      <c r="NH115" s="9"/>
      <c r="NI115" s="9"/>
      <c r="NJ115" s="9"/>
      <c r="NK115" s="9"/>
      <c r="NL115" s="9"/>
      <c r="NM115" s="9"/>
      <c r="NN115" s="9"/>
      <c r="NO115" s="9"/>
      <c r="NP115" s="9"/>
      <c r="NQ115" s="9"/>
      <c r="NR115" s="9"/>
      <c r="NS115" s="9"/>
      <c r="NT115" s="9"/>
      <c r="NU115" s="9"/>
      <c r="NV115" s="9"/>
      <c r="NW115" s="9"/>
      <c r="NX115" s="9"/>
      <c r="NY115" s="9"/>
      <c r="NZ115" s="9"/>
      <c r="OA115" s="9"/>
      <c r="OB115" s="9"/>
      <c r="OC115" s="9"/>
      <c r="OD115" s="9"/>
      <c r="OE115" s="9"/>
      <c r="OF115" s="9"/>
      <c r="OG115" s="9"/>
      <c r="OH115" s="9"/>
      <c r="OI115" s="9"/>
      <c r="OJ115" s="9"/>
      <c r="OK115" s="9"/>
      <c r="OL115" s="9"/>
      <c r="OM115" s="9"/>
      <c r="ON115" s="9"/>
      <c r="OO115" s="9"/>
      <c r="OP115" s="9"/>
      <c r="OQ115" s="9"/>
      <c r="OR115" s="9"/>
      <c r="OS115" s="9"/>
      <c r="OT115" s="9"/>
      <c r="OU115" s="9"/>
      <c r="OV115" s="9"/>
      <c r="OW115" s="9"/>
      <c r="OX115" s="9"/>
      <c r="OY115" s="9"/>
      <c r="OZ115" s="9"/>
      <c r="PA115" s="9"/>
      <c r="PB115" s="9"/>
      <c r="PC115" s="9"/>
      <c r="PD115" s="9"/>
      <c r="PE115" s="9"/>
      <c r="PF115" s="9"/>
      <c r="PG115" s="9"/>
      <c r="PH115" s="9"/>
      <c r="PI115" s="9"/>
      <c r="PJ115" s="9"/>
      <c r="PK115" s="9"/>
      <c r="PL115" s="9"/>
      <c r="PM115" s="9"/>
      <c r="PN115" s="9"/>
      <c r="PO115" s="9"/>
      <c r="PP115" s="9"/>
      <c r="PQ115" s="9"/>
      <c r="PR115" s="9"/>
      <c r="PS115" s="9"/>
      <c r="PT115" s="9"/>
      <c r="PU115" s="9"/>
      <c r="PV115" s="9"/>
      <c r="PW115" s="9"/>
      <c r="PX115" s="9"/>
      <c r="PY115" s="9"/>
      <c r="PZ115" s="9"/>
      <c r="QA115" s="9"/>
      <c r="QB115" s="9"/>
      <c r="QC115" s="9"/>
      <c r="QD115" s="9"/>
      <c r="QE115" s="9"/>
      <c r="QF115" s="9"/>
      <c r="QG115" s="9"/>
      <c r="QH115" s="9"/>
      <c r="QI115" s="9"/>
      <c r="QJ115" s="9"/>
      <c r="QK115" s="9"/>
      <c r="QL115" s="9"/>
      <c r="QM115" s="9"/>
      <c r="QN115" s="9"/>
      <c r="QO115" s="9"/>
      <c r="QP115" s="9"/>
      <c r="QQ115" s="9"/>
      <c r="QR115" s="9"/>
      <c r="QS115" s="9"/>
      <c r="QT115" s="9"/>
      <c r="QU115" s="9"/>
      <c r="QV115" s="9"/>
      <c r="QW115" s="9"/>
      <c r="QX115" s="9"/>
      <c r="QY115" s="9"/>
      <c r="QZ115" s="9"/>
      <c r="RA115" s="9"/>
      <c r="RB115" s="9"/>
      <c r="RC115" s="9"/>
      <c r="RD115" s="9"/>
      <c r="RE115" s="9"/>
      <c r="RF115" s="9"/>
      <c r="RG115" s="9"/>
      <c r="RH115" s="9"/>
      <c r="RI115" s="9"/>
      <c r="RJ115" s="9"/>
      <c r="RK115" s="9"/>
      <c r="RL115" s="9"/>
      <c r="RM115" s="9"/>
      <c r="RN115" s="9"/>
      <c r="RO115" s="9"/>
      <c r="RP115" s="9"/>
      <c r="RQ115" s="9"/>
      <c r="RR115" s="9"/>
      <c r="RS115" s="9"/>
      <c r="RT115" s="9"/>
      <c r="RU115" s="9"/>
      <c r="RV115" s="9"/>
      <c r="RW115" s="9"/>
      <c r="RX115" s="9"/>
      <c r="RY115" s="9"/>
      <c r="RZ115" s="9"/>
      <c r="SA115" s="9"/>
      <c r="SB115" s="9"/>
      <c r="SC115" s="9"/>
      <c r="SD115" s="9"/>
      <c r="SE115" s="9"/>
      <c r="SF115" s="9"/>
      <c r="SG115" s="9"/>
      <c r="SH115" s="9"/>
      <c r="SI115" s="9"/>
      <c r="SJ115" s="9"/>
      <c r="SK115" s="8"/>
      <c r="SL115" s="8"/>
      <c r="SM115" s="8"/>
      <c r="SN115" s="8"/>
      <c r="SO115" s="8"/>
      <c r="SP115" s="8"/>
      <c r="SQ115" s="8"/>
      <c r="SR115" s="8"/>
      <c r="SS115" s="8"/>
      <c r="ST115" s="8"/>
      <c r="SU115" s="8"/>
      <c r="SV115" s="8"/>
      <c r="SW115" s="8"/>
      <c r="SX115" s="8"/>
      <c r="SY115" s="8"/>
      <c r="SZ115" s="8"/>
      <c r="TA115" s="8"/>
      <c r="TB115" s="8"/>
      <c r="TC115" s="8"/>
      <c r="TD115" s="8"/>
      <c r="TE115" s="8"/>
      <c r="TF115" s="8"/>
      <c r="TG115" s="8"/>
      <c r="TH115" s="8"/>
      <c r="TI115" s="8"/>
      <c r="TJ115" s="8"/>
      <c r="TK115" s="8"/>
      <c r="TL115" s="8"/>
      <c r="TM115" s="8"/>
      <c r="TN115" s="8"/>
      <c r="TO115" s="8"/>
    </row>
    <row r="116" spans="1:535" x14ac:dyDescent="0.2">
      <c r="A116" s="7"/>
      <c r="B116" s="15"/>
      <c r="C116" s="15"/>
      <c r="D116" s="15"/>
      <c r="E116" s="15"/>
      <c r="F116" s="15"/>
      <c r="G116" s="15"/>
      <c r="H116" s="15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9"/>
      <c r="DR116" s="9"/>
      <c r="DS116" s="9"/>
      <c r="DT116" s="9"/>
      <c r="DU116" s="9"/>
      <c r="DV116" s="9"/>
      <c r="DW116" s="9"/>
      <c r="DX116" s="9"/>
      <c r="DY116" s="9"/>
      <c r="DZ116" s="9"/>
      <c r="EA116" s="9"/>
      <c r="EB116" s="9"/>
      <c r="EC116" s="9"/>
      <c r="ED116" s="9"/>
      <c r="EE116" s="9"/>
      <c r="EF116" s="9"/>
      <c r="EG116" s="9"/>
      <c r="EH116" s="9"/>
      <c r="EI116" s="9"/>
      <c r="EJ116" s="9"/>
      <c r="EK116" s="9"/>
      <c r="EL116" s="9"/>
      <c r="EM116" s="9"/>
      <c r="EN116" s="9"/>
      <c r="EO116" s="9"/>
      <c r="EP116" s="9"/>
      <c r="EQ116" s="9"/>
      <c r="ER116" s="9"/>
      <c r="ES116" s="9"/>
      <c r="ET116" s="9"/>
      <c r="EU116" s="9"/>
      <c r="EV116" s="9"/>
      <c r="EW116" s="9"/>
      <c r="EX116" s="9"/>
      <c r="EY116" s="9"/>
      <c r="EZ116" s="9"/>
      <c r="FA116" s="9"/>
      <c r="FB116" s="9"/>
      <c r="FC116" s="9"/>
      <c r="FD116" s="9"/>
      <c r="FE116" s="9"/>
      <c r="FF116" s="9"/>
      <c r="FG116" s="9"/>
      <c r="FH116" s="9"/>
      <c r="FI116" s="9"/>
      <c r="FJ116" s="9"/>
      <c r="FK116" s="9"/>
      <c r="FL116" s="9"/>
      <c r="FM116" s="9"/>
      <c r="FN116" s="9"/>
      <c r="FO116" s="9"/>
      <c r="FP116" s="9"/>
      <c r="FQ116" s="9"/>
      <c r="FR116" s="9"/>
      <c r="FS116" s="9"/>
      <c r="FT116" s="9"/>
      <c r="FU116" s="9"/>
      <c r="FV116" s="9"/>
      <c r="FW116" s="9"/>
      <c r="FX116" s="9"/>
      <c r="FY116" s="9"/>
      <c r="FZ116" s="9"/>
      <c r="GA116" s="9"/>
      <c r="GB116" s="9"/>
      <c r="GC116" s="9"/>
      <c r="GD116" s="9"/>
      <c r="GE116" s="9"/>
      <c r="GF116" s="9"/>
      <c r="GG116" s="9"/>
      <c r="GH116" s="9"/>
      <c r="GI116" s="9"/>
      <c r="GJ116" s="9"/>
      <c r="GK116" s="9"/>
      <c r="GL116" s="9"/>
      <c r="GM116" s="9"/>
      <c r="GN116" s="9"/>
      <c r="GO116" s="9"/>
      <c r="GP116" s="9"/>
      <c r="GQ116" s="9"/>
      <c r="GR116" s="9"/>
      <c r="GS116" s="9"/>
      <c r="GT116" s="9"/>
      <c r="GU116" s="9"/>
      <c r="GV116" s="9"/>
      <c r="GW116" s="9"/>
      <c r="GX116" s="9"/>
      <c r="GY116" s="9"/>
      <c r="GZ116" s="9"/>
      <c r="HA116" s="9"/>
      <c r="HB116" s="9"/>
      <c r="HC116" s="9"/>
      <c r="HD116" s="9"/>
      <c r="HE116" s="9"/>
      <c r="HF116" s="9"/>
      <c r="HG116" s="9"/>
      <c r="HH116" s="9"/>
      <c r="HI116" s="9"/>
      <c r="HJ116" s="9"/>
      <c r="HK116" s="9"/>
      <c r="HL116" s="9"/>
      <c r="HM116" s="9"/>
      <c r="HN116" s="9"/>
      <c r="HO116" s="9"/>
      <c r="HP116" s="9"/>
      <c r="HQ116" s="9"/>
      <c r="HR116" s="9"/>
      <c r="HS116" s="9"/>
      <c r="HT116" s="9"/>
      <c r="HU116" s="9"/>
      <c r="HV116" s="9"/>
      <c r="HW116" s="9"/>
      <c r="HX116" s="9"/>
      <c r="HY116" s="9"/>
      <c r="HZ116" s="9"/>
      <c r="IA116" s="9"/>
      <c r="IB116" s="9"/>
      <c r="IC116" s="9"/>
      <c r="ID116" s="9"/>
      <c r="IE116" s="9"/>
      <c r="IF116" s="9"/>
      <c r="IG116" s="9"/>
      <c r="IH116" s="9"/>
      <c r="II116" s="9"/>
      <c r="IJ116" s="9"/>
      <c r="IK116" s="9"/>
      <c r="IL116" s="9"/>
      <c r="IM116" s="9"/>
      <c r="IN116" s="9"/>
      <c r="IO116" s="9"/>
      <c r="IP116" s="9"/>
      <c r="IQ116" s="9"/>
      <c r="IR116" s="9"/>
      <c r="IS116" s="9"/>
      <c r="IT116" s="9"/>
      <c r="IU116" s="9"/>
      <c r="IV116" s="9"/>
      <c r="IW116" s="9"/>
      <c r="IX116" s="9"/>
      <c r="IY116" s="9"/>
      <c r="IZ116" s="9"/>
      <c r="JA116" s="9"/>
      <c r="JB116" s="9"/>
      <c r="JC116" s="9"/>
      <c r="JD116" s="9"/>
      <c r="JE116" s="9"/>
      <c r="JF116" s="9"/>
      <c r="JG116" s="9"/>
      <c r="JH116" s="9"/>
      <c r="JI116" s="9"/>
      <c r="JJ116" s="9"/>
      <c r="JK116" s="9"/>
      <c r="JL116" s="9"/>
      <c r="JM116" s="9"/>
      <c r="JN116" s="9"/>
      <c r="JO116" s="9"/>
      <c r="JP116" s="9"/>
      <c r="JQ116" s="9"/>
      <c r="JR116" s="9"/>
      <c r="JS116" s="9"/>
      <c r="JT116" s="9"/>
      <c r="JU116" s="9"/>
      <c r="JV116" s="9"/>
      <c r="JW116" s="9"/>
      <c r="JX116" s="9"/>
      <c r="JY116" s="9"/>
      <c r="JZ116" s="9"/>
      <c r="KA116" s="9"/>
      <c r="KB116" s="9"/>
      <c r="KC116" s="9"/>
      <c r="KD116" s="9"/>
      <c r="KE116" s="9"/>
      <c r="KF116" s="9"/>
      <c r="KG116" s="9"/>
      <c r="KH116" s="9"/>
      <c r="KI116" s="9"/>
      <c r="KJ116" s="9"/>
      <c r="KK116" s="9"/>
      <c r="KL116" s="9"/>
      <c r="KM116" s="9"/>
      <c r="KN116" s="9"/>
      <c r="KO116" s="9"/>
      <c r="KP116" s="9"/>
      <c r="KQ116" s="9"/>
      <c r="KR116" s="9"/>
      <c r="KS116" s="9"/>
      <c r="KT116" s="9"/>
      <c r="KU116" s="9"/>
      <c r="KV116" s="9"/>
      <c r="KW116" s="9"/>
      <c r="KX116" s="9"/>
      <c r="KY116" s="9"/>
      <c r="KZ116" s="9"/>
      <c r="LA116" s="9"/>
      <c r="LB116" s="9"/>
      <c r="LC116" s="9"/>
      <c r="LD116" s="9"/>
      <c r="LE116" s="9"/>
      <c r="LF116" s="9"/>
      <c r="LG116" s="9"/>
      <c r="LH116" s="9"/>
      <c r="LI116" s="9"/>
      <c r="LJ116" s="9"/>
      <c r="LK116" s="9"/>
      <c r="LL116" s="9"/>
      <c r="LM116" s="9"/>
      <c r="LN116" s="9"/>
      <c r="LO116" s="9"/>
      <c r="LP116" s="9"/>
      <c r="LQ116" s="9"/>
      <c r="LR116" s="9"/>
      <c r="LS116" s="9"/>
      <c r="LT116" s="9"/>
      <c r="LU116" s="9"/>
      <c r="LV116" s="9"/>
      <c r="LW116" s="9"/>
      <c r="LX116" s="9"/>
      <c r="LY116" s="9"/>
      <c r="LZ116" s="9"/>
      <c r="MA116" s="9"/>
      <c r="MB116" s="9"/>
      <c r="MC116" s="9"/>
      <c r="MD116" s="9"/>
      <c r="ME116" s="9"/>
      <c r="MF116" s="9"/>
      <c r="MG116" s="9"/>
      <c r="MH116" s="9"/>
      <c r="MI116" s="9"/>
      <c r="MJ116" s="9"/>
      <c r="MK116" s="9"/>
      <c r="ML116" s="9"/>
      <c r="MM116" s="9"/>
      <c r="MN116" s="9"/>
      <c r="MO116" s="9"/>
      <c r="MP116" s="9"/>
      <c r="MQ116" s="9"/>
      <c r="MR116" s="9"/>
      <c r="MS116" s="9"/>
      <c r="MT116" s="9"/>
      <c r="MU116" s="9"/>
      <c r="MV116" s="9"/>
      <c r="MW116" s="9"/>
      <c r="MX116" s="9"/>
      <c r="MY116" s="9"/>
      <c r="MZ116" s="9"/>
      <c r="NA116" s="9"/>
      <c r="NB116" s="9"/>
      <c r="NC116" s="9"/>
      <c r="ND116" s="9"/>
      <c r="NE116" s="9"/>
      <c r="NF116" s="9"/>
      <c r="NG116" s="9"/>
      <c r="NH116" s="9"/>
      <c r="NI116" s="9"/>
      <c r="NJ116" s="9"/>
      <c r="NK116" s="9"/>
      <c r="NL116" s="9"/>
      <c r="NM116" s="9"/>
      <c r="NN116" s="9"/>
      <c r="NO116" s="9"/>
      <c r="NP116" s="9"/>
      <c r="NQ116" s="9"/>
      <c r="NR116" s="9"/>
      <c r="NS116" s="9"/>
      <c r="NT116" s="9"/>
      <c r="NU116" s="9"/>
      <c r="NV116" s="9"/>
      <c r="NW116" s="9"/>
      <c r="NX116" s="9"/>
      <c r="NY116" s="9"/>
      <c r="NZ116" s="9"/>
      <c r="OA116" s="9"/>
      <c r="OB116" s="9"/>
      <c r="OC116" s="9"/>
      <c r="OD116" s="9"/>
      <c r="OE116" s="9"/>
      <c r="OF116" s="9"/>
      <c r="OG116" s="9"/>
      <c r="OH116" s="9"/>
      <c r="OI116" s="9"/>
      <c r="OJ116" s="9"/>
      <c r="OK116" s="9"/>
      <c r="OL116" s="9"/>
      <c r="OM116" s="9"/>
      <c r="ON116" s="9"/>
      <c r="OO116" s="9"/>
      <c r="OP116" s="9"/>
      <c r="OQ116" s="9"/>
      <c r="OR116" s="9"/>
      <c r="OS116" s="9"/>
      <c r="OT116" s="9"/>
      <c r="OU116" s="9"/>
      <c r="OV116" s="9"/>
      <c r="OW116" s="9"/>
      <c r="OX116" s="9"/>
      <c r="OY116" s="9"/>
      <c r="OZ116" s="9"/>
      <c r="PA116" s="9"/>
      <c r="PB116" s="9"/>
      <c r="PC116" s="9"/>
      <c r="PD116" s="9"/>
      <c r="PE116" s="9"/>
      <c r="PF116" s="9"/>
      <c r="PG116" s="9"/>
      <c r="PH116" s="9"/>
      <c r="PI116" s="9"/>
      <c r="PJ116" s="9"/>
      <c r="PK116" s="9"/>
      <c r="PL116" s="9"/>
      <c r="PM116" s="9"/>
      <c r="PN116" s="9"/>
      <c r="PO116" s="9"/>
      <c r="PP116" s="9"/>
      <c r="PQ116" s="9"/>
      <c r="PR116" s="9"/>
      <c r="PS116" s="9"/>
      <c r="PT116" s="9"/>
      <c r="PU116" s="9"/>
      <c r="PV116" s="9"/>
      <c r="PW116" s="9"/>
      <c r="PX116" s="9"/>
      <c r="PY116" s="9"/>
      <c r="PZ116" s="9"/>
      <c r="QA116" s="9"/>
      <c r="QB116" s="9"/>
      <c r="QC116" s="9"/>
      <c r="QD116" s="9"/>
      <c r="QE116" s="9"/>
      <c r="QF116" s="9"/>
      <c r="QG116" s="9"/>
      <c r="QH116" s="9"/>
      <c r="QI116" s="9"/>
      <c r="QJ116" s="9"/>
      <c r="QK116" s="9"/>
      <c r="QL116" s="9"/>
      <c r="QM116" s="9"/>
      <c r="QN116" s="9"/>
      <c r="QO116" s="9"/>
      <c r="QP116" s="9"/>
      <c r="QQ116" s="9"/>
      <c r="QR116" s="9"/>
      <c r="QS116" s="9"/>
      <c r="QT116" s="9"/>
      <c r="QU116" s="9"/>
      <c r="QV116" s="9"/>
      <c r="QW116" s="9"/>
      <c r="QX116" s="9"/>
      <c r="QY116" s="9"/>
      <c r="QZ116" s="9"/>
      <c r="RA116" s="9"/>
      <c r="RB116" s="9"/>
      <c r="RC116" s="9"/>
      <c r="RD116" s="9"/>
      <c r="RE116" s="9"/>
      <c r="RF116" s="9"/>
      <c r="RG116" s="9"/>
      <c r="RH116" s="9"/>
      <c r="RI116" s="9"/>
      <c r="RJ116" s="9"/>
      <c r="RK116" s="9"/>
      <c r="RL116" s="9"/>
      <c r="RM116" s="9"/>
      <c r="RN116" s="9"/>
      <c r="RO116" s="9"/>
      <c r="RP116" s="9"/>
      <c r="RQ116" s="9"/>
      <c r="RR116" s="9"/>
      <c r="RS116" s="9"/>
      <c r="RT116" s="9"/>
      <c r="RU116" s="9"/>
      <c r="RV116" s="9"/>
      <c r="RW116" s="9"/>
      <c r="RX116" s="9"/>
      <c r="RY116" s="9"/>
      <c r="RZ116" s="9"/>
      <c r="SA116" s="9"/>
      <c r="SB116" s="9"/>
      <c r="SC116" s="9"/>
      <c r="SD116" s="9"/>
      <c r="SE116" s="9"/>
      <c r="SF116" s="9"/>
      <c r="SG116" s="9"/>
      <c r="SH116" s="9"/>
      <c r="SI116" s="9"/>
      <c r="SJ116" s="9"/>
      <c r="SK116" s="8"/>
      <c r="SL116" s="8"/>
      <c r="SM116" s="8"/>
      <c r="SN116" s="8"/>
      <c r="SO116" s="8"/>
      <c r="SP116" s="8"/>
      <c r="SQ116" s="8"/>
      <c r="SR116" s="8"/>
      <c r="SS116" s="8"/>
      <c r="ST116" s="8"/>
      <c r="SU116" s="8"/>
      <c r="SV116" s="8"/>
      <c r="SW116" s="8"/>
      <c r="SX116" s="8"/>
      <c r="SY116" s="8"/>
      <c r="SZ116" s="8"/>
      <c r="TA116" s="8"/>
      <c r="TB116" s="8"/>
      <c r="TC116" s="8"/>
      <c r="TD116" s="8"/>
      <c r="TE116" s="8"/>
      <c r="TF116" s="8"/>
      <c r="TG116" s="8"/>
      <c r="TH116" s="8"/>
      <c r="TI116" s="8"/>
      <c r="TJ116" s="8"/>
      <c r="TK116" s="8"/>
      <c r="TL116" s="8"/>
      <c r="TM116" s="8"/>
      <c r="TN116" s="8"/>
      <c r="TO116" s="8"/>
    </row>
    <row r="117" spans="1:535" x14ac:dyDescent="0.2">
      <c r="A117" s="7"/>
      <c r="B117" s="15"/>
      <c r="C117" s="15"/>
      <c r="D117" s="15"/>
      <c r="E117" s="15"/>
      <c r="F117" s="15"/>
      <c r="G117" s="15"/>
      <c r="H117" s="15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L117" s="9"/>
      <c r="CM117" s="9"/>
      <c r="CN117" s="9"/>
      <c r="CO117" s="9"/>
      <c r="CP117" s="9"/>
      <c r="CQ117" s="9"/>
      <c r="CR117" s="9"/>
      <c r="CS117" s="9"/>
      <c r="CT117" s="9"/>
      <c r="CU117" s="9"/>
      <c r="CV117" s="9"/>
      <c r="CW117" s="9"/>
      <c r="CX117" s="9"/>
      <c r="CY117" s="9"/>
      <c r="CZ117" s="9"/>
      <c r="DA117" s="9"/>
      <c r="DB117" s="9"/>
      <c r="DC117" s="9"/>
      <c r="DD117" s="9"/>
      <c r="DE117" s="9"/>
      <c r="DF117" s="9"/>
      <c r="DG117" s="9"/>
      <c r="DH117" s="9"/>
      <c r="DI117" s="9"/>
      <c r="DJ117" s="9"/>
      <c r="DK117" s="9"/>
      <c r="DL117" s="9"/>
      <c r="DM117" s="9"/>
      <c r="DN117" s="9"/>
      <c r="DO117" s="9"/>
      <c r="DP117" s="9"/>
      <c r="DQ117" s="9"/>
      <c r="DR117" s="9"/>
      <c r="DS117" s="9"/>
      <c r="DT117" s="9"/>
      <c r="DU117" s="9"/>
      <c r="DV117" s="9"/>
      <c r="DW117" s="9"/>
      <c r="DX117" s="9"/>
      <c r="DY117" s="9"/>
      <c r="DZ117" s="9"/>
      <c r="EA117" s="9"/>
      <c r="EB117" s="9"/>
      <c r="EC117" s="9"/>
      <c r="ED117" s="9"/>
      <c r="EE117" s="9"/>
      <c r="EF117" s="9"/>
      <c r="EG117" s="9"/>
      <c r="EH117" s="9"/>
      <c r="EI117" s="9"/>
      <c r="EJ117" s="9"/>
      <c r="EK117" s="9"/>
      <c r="EL117" s="9"/>
      <c r="EM117" s="9"/>
      <c r="EN117" s="9"/>
      <c r="EO117" s="9"/>
      <c r="EP117" s="9"/>
      <c r="EQ117" s="9"/>
      <c r="ER117" s="9"/>
      <c r="ES117" s="9"/>
      <c r="ET117" s="9"/>
      <c r="EU117" s="9"/>
      <c r="EV117" s="9"/>
      <c r="EW117" s="9"/>
      <c r="EX117" s="9"/>
      <c r="EY117" s="9"/>
      <c r="EZ117" s="9"/>
      <c r="FA117" s="9"/>
      <c r="FB117" s="9"/>
      <c r="FC117" s="9"/>
      <c r="FD117" s="9"/>
      <c r="FE117" s="9"/>
      <c r="FF117" s="9"/>
      <c r="FG117" s="9"/>
      <c r="FH117" s="9"/>
      <c r="FI117" s="9"/>
      <c r="FJ117" s="9"/>
      <c r="FK117" s="9"/>
      <c r="FL117" s="9"/>
      <c r="FM117" s="9"/>
      <c r="FN117" s="9"/>
      <c r="FO117" s="9"/>
      <c r="FP117" s="9"/>
      <c r="FQ117" s="9"/>
      <c r="FR117" s="9"/>
      <c r="FS117" s="9"/>
      <c r="FT117" s="9"/>
      <c r="FU117" s="9"/>
      <c r="FV117" s="9"/>
      <c r="FW117" s="9"/>
      <c r="FX117" s="9"/>
      <c r="FY117" s="9"/>
      <c r="FZ117" s="9"/>
      <c r="GA117" s="9"/>
      <c r="GB117" s="9"/>
      <c r="GC117" s="9"/>
      <c r="GD117" s="9"/>
      <c r="GE117" s="9"/>
      <c r="GF117" s="9"/>
      <c r="GG117" s="9"/>
      <c r="GH117" s="9"/>
      <c r="GI117" s="9"/>
      <c r="GJ117" s="9"/>
      <c r="GK117" s="9"/>
      <c r="GL117" s="9"/>
      <c r="GM117" s="9"/>
      <c r="GN117" s="9"/>
      <c r="GO117" s="9"/>
      <c r="GP117" s="9"/>
      <c r="GQ117" s="9"/>
      <c r="GR117" s="9"/>
      <c r="GS117" s="9"/>
      <c r="GT117" s="9"/>
      <c r="GU117" s="9"/>
      <c r="GV117" s="9"/>
      <c r="GW117" s="9"/>
      <c r="GX117" s="9"/>
      <c r="GY117" s="9"/>
      <c r="GZ117" s="9"/>
      <c r="HA117" s="9"/>
      <c r="HB117" s="9"/>
      <c r="HC117" s="9"/>
      <c r="HD117" s="9"/>
      <c r="HE117" s="9"/>
      <c r="HF117" s="9"/>
      <c r="HG117" s="9"/>
      <c r="HH117" s="9"/>
      <c r="HI117" s="9"/>
      <c r="HJ117" s="9"/>
      <c r="HK117" s="9"/>
      <c r="HL117" s="9"/>
      <c r="HM117" s="9"/>
      <c r="HN117" s="9"/>
      <c r="HO117" s="9"/>
      <c r="HP117" s="9"/>
      <c r="HQ117" s="9"/>
      <c r="HR117" s="9"/>
      <c r="HS117" s="9"/>
      <c r="HT117" s="9"/>
      <c r="HU117" s="9"/>
      <c r="HV117" s="9"/>
      <c r="HW117" s="9"/>
      <c r="HX117" s="9"/>
      <c r="HY117" s="9"/>
      <c r="HZ117" s="9"/>
      <c r="IA117" s="9"/>
      <c r="IB117" s="9"/>
      <c r="IC117" s="9"/>
      <c r="ID117" s="9"/>
      <c r="IE117" s="9"/>
      <c r="IF117" s="9"/>
      <c r="IG117" s="9"/>
      <c r="IH117" s="9"/>
      <c r="II117" s="9"/>
      <c r="IJ117" s="9"/>
      <c r="IK117" s="9"/>
      <c r="IL117" s="9"/>
      <c r="IM117" s="9"/>
      <c r="IN117" s="9"/>
      <c r="IO117" s="9"/>
      <c r="IP117" s="9"/>
      <c r="IQ117" s="9"/>
      <c r="IR117" s="9"/>
      <c r="IS117" s="9"/>
      <c r="IT117" s="9"/>
      <c r="IU117" s="9"/>
      <c r="IV117" s="9"/>
      <c r="IW117" s="9"/>
      <c r="IX117" s="9"/>
      <c r="IY117" s="9"/>
      <c r="IZ117" s="9"/>
      <c r="JA117" s="9"/>
      <c r="JB117" s="9"/>
      <c r="JC117" s="9"/>
      <c r="JD117" s="9"/>
      <c r="JE117" s="9"/>
      <c r="JF117" s="9"/>
      <c r="JG117" s="9"/>
      <c r="JH117" s="9"/>
      <c r="JI117" s="9"/>
      <c r="JJ117" s="9"/>
      <c r="JK117" s="9"/>
      <c r="JL117" s="9"/>
      <c r="JM117" s="9"/>
      <c r="JN117" s="9"/>
      <c r="JO117" s="9"/>
      <c r="JP117" s="9"/>
      <c r="JQ117" s="9"/>
      <c r="JR117" s="9"/>
      <c r="JS117" s="9"/>
      <c r="JT117" s="9"/>
      <c r="JU117" s="9"/>
      <c r="JV117" s="9"/>
      <c r="JW117" s="9"/>
      <c r="JX117" s="9"/>
      <c r="JY117" s="9"/>
      <c r="JZ117" s="9"/>
      <c r="KA117" s="9"/>
      <c r="KB117" s="9"/>
      <c r="KC117" s="9"/>
      <c r="KD117" s="9"/>
      <c r="KE117" s="9"/>
      <c r="KF117" s="9"/>
      <c r="KG117" s="9"/>
      <c r="KH117" s="9"/>
      <c r="KI117" s="9"/>
      <c r="KJ117" s="9"/>
      <c r="KK117" s="9"/>
      <c r="KL117" s="9"/>
      <c r="KM117" s="9"/>
      <c r="KN117" s="9"/>
      <c r="KO117" s="9"/>
      <c r="KP117" s="9"/>
      <c r="KQ117" s="9"/>
      <c r="KR117" s="9"/>
      <c r="KS117" s="9"/>
      <c r="KT117" s="9"/>
      <c r="KU117" s="9"/>
      <c r="KV117" s="9"/>
      <c r="KW117" s="9"/>
      <c r="KX117" s="9"/>
      <c r="KY117" s="9"/>
      <c r="KZ117" s="9"/>
      <c r="LA117" s="9"/>
      <c r="LB117" s="9"/>
      <c r="LC117" s="9"/>
      <c r="LD117" s="9"/>
      <c r="LE117" s="9"/>
      <c r="LF117" s="9"/>
      <c r="LG117" s="9"/>
      <c r="LH117" s="9"/>
      <c r="LI117" s="9"/>
      <c r="LJ117" s="9"/>
      <c r="LK117" s="9"/>
      <c r="LL117" s="9"/>
      <c r="LM117" s="9"/>
      <c r="LN117" s="9"/>
      <c r="LO117" s="9"/>
      <c r="LP117" s="9"/>
      <c r="LQ117" s="9"/>
      <c r="LR117" s="9"/>
      <c r="LS117" s="9"/>
      <c r="LT117" s="9"/>
      <c r="LU117" s="9"/>
      <c r="LV117" s="9"/>
      <c r="LW117" s="9"/>
      <c r="LX117" s="9"/>
      <c r="LY117" s="9"/>
      <c r="LZ117" s="9"/>
      <c r="MA117" s="9"/>
      <c r="MB117" s="9"/>
      <c r="MC117" s="9"/>
      <c r="MD117" s="9"/>
      <c r="ME117" s="9"/>
      <c r="MF117" s="9"/>
      <c r="MG117" s="9"/>
      <c r="MH117" s="9"/>
      <c r="MI117" s="9"/>
      <c r="MJ117" s="9"/>
      <c r="MK117" s="9"/>
      <c r="ML117" s="9"/>
      <c r="MM117" s="9"/>
      <c r="MN117" s="9"/>
      <c r="MO117" s="9"/>
      <c r="MP117" s="9"/>
      <c r="MQ117" s="9"/>
      <c r="MR117" s="9"/>
      <c r="MS117" s="9"/>
      <c r="MT117" s="9"/>
      <c r="MU117" s="9"/>
      <c r="MV117" s="9"/>
      <c r="MW117" s="9"/>
      <c r="MX117" s="9"/>
      <c r="MY117" s="9"/>
      <c r="MZ117" s="9"/>
      <c r="NA117" s="9"/>
      <c r="NB117" s="9"/>
      <c r="NC117" s="9"/>
      <c r="ND117" s="9"/>
      <c r="NE117" s="9"/>
      <c r="NF117" s="9"/>
      <c r="NG117" s="9"/>
      <c r="NH117" s="9"/>
      <c r="NI117" s="9"/>
      <c r="NJ117" s="9"/>
      <c r="NK117" s="9"/>
      <c r="NL117" s="9"/>
      <c r="NM117" s="9"/>
      <c r="NN117" s="9"/>
      <c r="NO117" s="9"/>
      <c r="NP117" s="9"/>
      <c r="NQ117" s="9"/>
      <c r="NR117" s="9"/>
      <c r="NS117" s="9"/>
      <c r="NT117" s="9"/>
      <c r="NU117" s="9"/>
      <c r="NV117" s="9"/>
      <c r="NW117" s="9"/>
      <c r="NX117" s="9"/>
      <c r="NY117" s="9"/>
      <c r="NZ117" s="9"/>
      <c r="OA117" s="9"/>
      <c r="OB117" s="9"/>
      <c r="OC117" s="9"/>
      <c r="OD117" s="9"/>
      <c r="OE117" s="9"/>
      <c r="OF117" s="9"/>
      <c r="OG117" s="9"/>
      <c r="OH117" s="9"/>
      <c r="OI117" s="9"/>
      <c r="OJ117" s="9"/>
      <c r="OK117" s="9"/>
      <c r="OL117" s="9"/>
      <c r="OM117" s="9"/>
      <c r="ON117" s="9"/>
      <c r="OO117" s="9"/>
      <c r="OP117" s="9"/>
      <c r="OQ117" s="9"/>
      <c r="OR117" s="9"/>
      <c r="OS117" s="9"/>
      <c r="OT117" s="9"/>
      <c r="OU117" s="9"/>
      <c r="OV117" s="9"/>
      <c r="OW117" s="9"/>
      <c r="OX117" s="9"/>
      <c r="OY117" s="9"/>
      <c r="OZ117" s="9"/>
      <c r="PA117" s="9"/>
      <c r="PB117" s="9"/>
      <c r="PC117" s="9"/>
      <c r="PD117" s="9"/>
      <c r="PE117" s="9"/>
      <c r="PF117" s="9"/>
      <c r="PG117" s="9"/>
      <c r="PH117" s="9"/>
      <c r="PI117" s="9"/>
      <c r="PJ117" s="9"/>
      <c r="PK117" s="9"/>
      <c r="PL117" s="9"/>
      <c r="PM117" s="9"/>
      <c r="PN117" s="9"/>
      <c r="PO117" s="9"/>
      <c r="PP117" s="9"/>
      <c r="PQ117" s="9"/>
      <c r="PR117" s="9"/>
      <c r="PS117" s="9"/>
      <c r="PT117" s="9"/>
      <c r="PU117" s="9"/>
      <c r="PV117" s="9"/>
      <c r="PW117" s="9"/>
      <c r="PX117" s="9"/>
      <c r="PY117" s="9"/>
      <c r="PZ117" s="9"/>
      <c r="QA117" s="9"/>
      <c r="QB117" s="9"/>
      <c r="QC117" s="9"/>
      <c r="QD117" s="9"/>
      <c r="QE117" s="9"/>
      <c r="QF117" s="9"/>
      <c r="QG117" s="9"/>
      <c r="QH117" s="9"/>
      <c r="QI117" s="9"/>
      <c r="QJ117" s="9"/>
      <c r="QK117" s="9"/>
      <c r="QL117" s="9"/>
      <c r="QM117" s="9"/>
      <c r="QN117" s="9"/>
      <c r="QO117" s="9"/>
      <c r="QP117" s="9"/>
      <c r="QQ117" s="9"/>
      <c r="QR117" s="9"/>
      <c r="QS117" s="9"/>
      <c r="QT117" s="9"/>
      <c r="QU117" s="9"/>
      <c r="QV117" s="9"/>
      <c r="QW117" s="9"/>
      <c r="QX117" s="9"/>
      <c r="QY117" s="9"/>
      <c r="QZ117" s="9"/>
      <c r="RA117" s="9"/>
      <c r="RB117" s="9"/>
      <c r="RC117" s="9"/>
      <c r="RD117" s="9"/>
      <c r="RE117" s="9"/>
      <c r="RF117" s="9"/>
      <c r="RG117" s="9"/>
      <c r="RH117" s="9"/>
      <c r="RI117" s="9"/>
      <c r="RJ117" s="9"/>
      <c r="RK117" s="9"/>
      <c r="RL117" s="9"/>
      <c r="RM117" s="9"/>
      <c r="RN117" s="9"/>
      <c r="RO117" s="9"/>
      <c r="RP117" s="9"/>
      <c r="RQ117" s="9"/>
      <c r="RR117" s="9"/>
      <c r="RS117" s="9"/>
      <c r="RT117" s="9"/>
      <c r="RU117" s="9"/>
      <c r="RV117" s="9"/>
      <c r="RW117" s="9"/>
      <c r="RX117" s="9"/>
      <c r="RY117" s="9"/>
      <c r="RZ117" s="9"/>
      <c r="SA117" s="9"/>
      <c r="SB117" s="9"/>
      <c r="SC117" s="9"/>
      <c r="SD117" s="9"/>
      <c r="SE117" s="9"/>
      <c r="SF117" s="9"/>
      <c r="SG117" s="9"/>
      <c r="SH117" s="9"/>
      <c r="SI117" s="9"/>
      <c r="SJ117" s="9"/>
      <c r="SK117" s="8"/>
      <c r="SL117" s="8"/>
      <c r="SM117" s="8"/>
      <c r="SN117" s="8"/>
      <c r="SO117" s="8"/>
      <c r="SP117" s="8"/>
      <c r="SQ117" s="8"/>
      <c r="SR117" s="8"/>
      <c r="SS117" s="8"/>
      <c r="ST117" s="8"/>
      <c r="SU117" s="8"/>
      <c r="SV117" s="8"/>
      <c r="SW117" s="8"/>
      <c r="SX117" s="8"/>
      <c r="SY117" s="8"/>
      <c r="SZ117" s="8"/>
      <c r="TA117" s="8"/>
      <c r="TB117" s="8"/>
      <c r="TC117" s="8"/>
      <c r="TD117" s="8"/>
      <c r="TE117" s="8"/>
      <c r="TF117" s="8"/>
      <c r="TG117" s="8"/>
      <c r="TH117" s="8"/>
      <c r="TI117" s="8"/>
      <c r="TJ117" s="8"/>
      <c r="TK117" s="8"/>
      <c r="TL117" s="8"/>
      <c r="TM117" s="8"/>
      <c r="TN117" s="8"/>
      <c r="TO117" s="8"/>
    </row>
    <row r="118" spans="1:535" x14ac:dyDescent="0.2">
      <c r="A118" s="7"/>
      <c r="B118" s="15"/>
      <c r="C118" s="15"/>
      <c r="D118" s="15"/>
      <c r="E118" s="15"/>
      <c r="F118" s="15"/>
      <c r="G118" s="15"/>
      <c r="H118" s="15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  <c r="DL118" s="9"/>
      <c r="DM118" s="9"/>
      <c r="DN118" s="9"/>
      <c r="DO118" s="9"/>
      <c r="DP118" s="9"/>
      <c r="DQ118" s="9"/>
      <c r="DR118" s="9"/>
      <c r="DS118" s="9"/>
      <c r="DT118" s="9"/>
      <c r="DU118" s="9"/>
      <c r="DV118" s="9"/>
      <c r="DW118" s="9"/>
      <c r="DX118" s="9"/>
      <c r="DY118" s="9"/>
      <c r="DZ118" s="9"/>
      <c r="EA118" s="9"/>
      <c r="EB118" s="9"/>
      <c r="EC118" s="9"/>
      <c r="ED118" s="9"/>
      <c r="EE118" s="9"/>
      <c r="EF118" s="9"/>
      <c r="EG118" s="9"/>
      <c r="EH118" s="9"/>
      <c r="EI118" s="9"/>
      <c r="EJ118" s="9"/>
      <c r="EK118" s="9"/>
      <c r="EL118" s="9"/>
      <c r="EM118" s="9"/>
      <c r="EN118" s="9"/>
      <c r="EO118" s="9"/>
      <c r="EP118" s="9"/>
      <c r="EQ118" s="9"/>
      <c r="ER118" s="9"/>
      <c r="ES118" s="9"/>
      <c r="ET118" s="9"/>
      <c r="EU118" s="9"/>
      <c r="EV118" s="9"/>
      <c r="EW118" s="9"/>
      <c r="EX118" s="9"/>
      <c r="EY118" s="9"/>
      <c r="EZ118" s="9"/>
      <c r="FA118" s="9"/>
      <c r="FB118" s="9"/>
      <c r="FC118" s="9"/>
      <c r="FD118" s="9"/>
      <c r="FE118" s="9"/>
      <c r="FF118" s="9"/>
      <c r="FG118" s="9"/>
      <c r="FH118" s="9"/>
      <c r="FI118" s="9"/>
      <c r="FJ118" s="9"/>
      <c r="FK118" s="9"/>
      <c r="FL118" s="9"/>
      <c r="FM118" s="9"/>
      <c r="FN118" s="9"/>
      <c r="FO118" s="9"/>
      <c r="FP118" s="9"/>
      <c r="FQ118" s="9"/>
      <c r="FR118" s="9"/>
      <c r="FS118" s="9"/>
      <c r="FT118" s="9"/>
      <c r="FU118" s="9"/>
      <c r="FV118" s="9"/>
      <c r="FW118" s="9"/>
      <c r="FX118" s="9"/>
      <c r="FY118" s="9"/>
      <c r="FZ118" s="9"/>
      <c r="GA118" s="9"/>
      <c r="GB118" s="9"/>
      <c r="GC118" s="9"/>
      <c r="GD118" s="9"/>
      <c r="GE118" s="9"/>
      <c r="GF118" s="9"/>
      <c r="GG118" s="9"/>
      <c r="GH118" s="9"/>
      <c r="GI118" s="9"/>
      <c r="GJ118" s="9"/>
      <c r="GK118" s="9"/>
      <c r="GL118" s="9"/>
      <c r="GM118" s="9"/>
      <c r="GN118" s="9"/>
      <c r="GO118" s="9"/>
      <c r="GP118" s="9"/>
      <c r="GQ118" s="9"/>
      <c r="GR118" s="9"/>
      <c r="GS118" s="9"/>
      <c r="GT118" s="9"/>
      <c r="GU118" s="9"/>
      <c r="GV118" s="9"/>
      <c r="GW118" s="9"/>
      <c r="GX118" s="9"/>
      <c r="GY118" s="9"/>
      <c r="GZ118" s="9"/>
      <c r="HA118" s="9"/>
      <c r="HB118" s="9"/>
      <c r="HC118" s="9"/>
      <c r="HD118" s="9"/>
      <c r="HE118" s="9"/>
      <c r="HF118" s="9"/>
      <c r="HG118" s="9"/>
      <c r="HH118" s="9"/>
      <c r="HI118" s="9"/>
      <c r="HJ118" s="9"/>
      <c r="HK118" s="9"/>
      <c r="HL118" s="9"/>
      <c r="HM118" s="9"/>
      <c r="HN118" s="9"/>
      <c r="HO118" s="9"/>
      <c r="HP118" s="9"/>
      <c r="HQ118" s="9"/>
      <c r="HR118" s="9"/>
      <c r="HS118" s="9"/>
      <c r="HT118" s="9"/>
      <c r="HU118" s="9"/>
      <c r="HV118" s="9"/>
      <c r="HW118" s="9"/>
      <c r="HX118" s="9"/>
      <c r="HY118" s="9"/>
      <c r="HZ118" s="9"/>
      <c r="IA118" s="9"/>
      <c r="IB118" s="9"/>
      <c r="IC118" s="9"/>
      <c r="ID118" s="9"/>
      <c r="IE118" s="9"/>
      <c r="IF118" s="9"/>
      <c r="IG118" s="9"/>
      <c r="IH118" s="9"/>
      <c r="II118" s="9"/>
      <c r="IJ118" s="9"/>
      <c r="IK118" s="9"/>
      <c r="IL118" s="9"/>
      <c r="IM118" s="9"/>
      <c r="IN118" s="9"/>
      <c r="IO118" s="9"/>
      <c r="IP118" s="9"/>
      <c r="IQ118" s="9"/>
      <c r="IR118" s="9"/>
      <c r="IS118" s="9"/>
      <c r="IT118" s="9"/>
      <c r="IU118" s="9"/>
      <c r="IV118" s="9"/>
      <c r="IW118" s="9"/>
      <c r="IX118" s="9"/>
      <c r="IY118" s="9"/>
      <c r="IZ118" s="9"/>
      <c r="JA118" s="9"/>
      <c r="JB118" s="9"/>
      <c r="JC118" s="9"/>
      <c r="JD118" s="9"/>
      <c r="JE118" s="9"/>
      <c r="JF118" s="9"/>
      <c r="JG118" s="9"/>
      <c r="JH118" s="9"/>
      <c r="JI118" s="9"/>
      <c r="JJ118" s="9"/>
      <c r="JK118" s="9"/>
      <c r="JL118" s="9"/>
      <c r="JM118" s="9"/>
      <c r="JN118" s="9"/>
      <c r="JO118" s="9"/>
      <c r="JP118" s="9"/>
      <c r="JQ118" s="9"/>
      <c r="JR118" s="9"/>
      <c r="JS118" s="9"/>
      <c r="JT118" s="9"/>
      <c r="JU118" s="9"/>
      <c r="JV118" s="9"/>
      <c r="JW118" s="9"/>
      <c r="JX118" s="9"/>
      <c r="JY118" s="9"/>
      <c r="JZ118" s="9"/>
      <c r="KA118" s="9"/>
      <c r="KB118" s="9"/>
      <c r="KC118" s="9"/>
      <c r="KD118" s="9"/>
      <c r="KE118" s="9"/>
      <c r="KF118" s="9"/>
      <c r="KG118" s="9"/>
      <c r="KH118" s="9"/>
      <c r="KI118" s="9"/>
      <c r="KJ118" s="9"/>
      <c r="KK118" s="9"/>
      <c r="KL118" s="9"/>
      <c r="KM118" s="9"/>
      <c r="KN118" s="9"/>
      <c r="KO118" s="9"/>
      <c r="KP118" s="9"/>
      <c r="KQ118" s="9"/>
      <c r="KR118" s="9"/>
      <c r="KS118" s="9"/>
      <c r="KT118" s="9"/>
      <c r="KU118" s="9"/>
      <c r="KV118" s="9"/>
      <c r="KW118" s="9"/>
      <c r="KX118" s="9"/>
      <c r="KY118" s="9"/>
      <c r="KZ118" s="9"/>
      <c r="LA118" s="9"/>
      <c r="LB118" s="9"/>
      <c r="LC118" s="9"/>
      <c r="LD118" s="9"/>
      <c r="LE118" s="9"/>
      <c r="LF118" s="9"/>
      <c r="LG118" s="9"/>
      <c r="LH118" s="9"/>
      <c r="LI118" s="9"/>
      <c r="LJ118" s="9"/>
      <c r="LK118" s="9"/>
      <c r="LL118" s="9"/>
      <c r="LM118" s="9"/>
      <c r="LN118" s="9"/>
      <c r="LO118" s="9"/>
      <c r="LP118" s="9"/>
      <c r="LQ118" s="9"/>
      <c r="LR118" s="9"/>
      <c r="LS118" s="9"/>
      <c r="LT118" s="9"/>
      <c r="LU118" s="9"/>
      <c r="LV118" s="9"/>
      <c r="LW118" s="9"/>
      <c r="LX118" s="9"/>
      <c r="LY118" s="9"/>
      <c r="LZ118" s="9"/>
      <c r="MA118" s="9"/>
      <c r="MB118" s="9"/>
      <c r="MC118" s="9"/>
      <c r="MD118" s="9"/>
      <c r="ME118" s="9"/>
      <c r="MF118" s="9"/>
      <c r="MG118" s="9"/>
      <c r="MH118" s="9"/>
      <c r="MI118" s="9"/>
      <c r="MJ118" s="9"/>
      <c r="MK118" s="9"/>
      <c r="ML118" s="9"/>
      <c r="MM118" s="9"/>
      <c r="MN118" s="9"/>
      <c r="MO118" s="9"/>
      <c r="MP118" s="9"/>
      <c r="MQ118" s="9"/>
      <c r="MR118" s="9"/>
      <c r="MS118" s="9"/>
      <c r="MT118" s="9"/>
      <c r="MU118" s="9"/>
      <c r="MV118" s="9"/>
      <c r="MW118" s="9"/>
      <c r="MX118" s="9"/>
      <c r="MY118" s="9"/>
      <c r="MZ118" s="9"/>
      <c r="NA118" s="9"/>
      <c r="NB118" s="9"/>
      <c r="NC118" s="9"/>
      <c r="ND118" s="9"/>
      <c r="NE118" s="9"/>
      <c r="NF118" s="9"/>
      <c r="NG118" s="9"/>
      <c r="NH118" s="9"/>
      <c r="NI118" s="9"/>
      <c r="NJ118" s="9"/>
      <c r="NK118" s="9"/>
      <c r="NL118" s="9"/>
      <c r="NM118" s="9"/>
      <c r="NN118" s="9"/>
      <c r="NO118" s="9"/>
      <c r="NP118" s="9"/>
      <c r="NQ118" s="9"/>
      <c r="NR118" s="9"/>
      <c r="NS118" s="9"/>
      <c r="NT118" s="9"/>
      <c r="NU118" s="9"/>
      <c r="NV118" s="9"/>
      <c r="NW118" s="9"/>
      <c r="NX118" s="9"/>
      <c r="NY118" s="9"/>
      <c r="NZ118" s="9"/>
      <c r="OA118" s="9"/>
      <c r="OB118" s="9"/>
      <c r="OC118" s="9"/>
      <c r="OD118" s="9"/>
      <c r="OE118" s="9"/>
      <c r="OF118" s="9"/>
      <c r="OG118" s="9"/>
      <c r="OH118" s="9"/>
      <c r="OI118" s="9"/>
      <c r="OJ118" s="9"/>
      <c r="OK118" s="9"/>
      <c r="OL118" s="9"/>
      <c r="OM118" s="9"/>
      <c r="ON118" s="9"/>
      <c r="OO118" s="9"/>
      <c r="OP118" s="9"/>
      <c r="OQ118" s="9"/>
      <c r="OR118" s="9"/>
      <c r="OS118" s="9"/>
      <c r="OT118" s="9"/>
      <c r="OU118" s="9"/>
      <c r="OV118" s="9"/>
      <c r="OW118" s="9"/>
      <c r="OX118" s="9"/>
      <c r="OY118" s="9"/>
      <c r="OZ118" s="9"/>
      <c r="PA118" s="9"/>
      <c r="PB118" s="9"/>
      <c r="PC118" s="9"/>
      <c r="PD118" s="9"/>
      <c r="PE118" s="9"/>
      <c r="PF118" s="9"/>
      <c r="PG118" s="9"/>
      <c r="PH118" s="9"/>
      <c r="PI118" s="9"/>
      <c r="PJ118" s="9"/>
      <c r="PK118" s="9"/>
      <c r="PL118" s="9"/>
      <c r="PM118" s="9"/>
      <c r="PN118" s="9"/>
      <c r="PO118" s="9"/>
      <c r="PP118" s="9"/>
      <c r="PQ118" s="9"/>
      <c r="PR118" s="9"/>
      <c r="PS118" s="9"/>
      <c r="PT118" s="9"/>
      <c r="PU118" s="9"/>
      <c r="PV118" s="9"/>
      <c r="PW118" s="9"/>
      <c r="PX118" s="9"/>
      <c r="PY118" s="9"/>
      <c r="PZ118" s="9"/>
      <c r="QA118" s="9"/>
      <c r="QB118" s="9"/>
      <c r="QC118" s="9"/>
      <c r="QD118" s="9"/>
      <c r="QE118" s="9"/>
      <c r="QF118" s="9"/>
      <c r="QG118" s="9"/>
      <c r="QH118" s="9"/>
      <c r="QI118" s="9"/>
      <c r="QJ118" s="9"/>
      <c r="QK118" s="9"/>
      <c r="QL118" s="9"/>
      <c r="QM118" s="9"/>
      <c r="QN118" s="9"/>
      <c r="QO118" s="9"/>
      <c r="QP118" s="9"/>
      <c r="QQ118" s="9"/>
      <c r="QR118" s="9"/>
      <c r="QS118" s="9"/>
      <c r="QT118" s="9"/>
      <c r="QU118" s="9"/>
      <c r="QV118" s="9"/>
      <c r="QW118" s="9"/>
      <c r="QX118" s="9"/>
      <c r="QY118" s="9"/>
      <c r="QZ118" s="9"/>
      <c r="RA118" s="9"/>
      <c r="RB118" s="9"/>
      <c r="RC118" s="9"/>
      <c r="RD118" s="9"/>
      <c r="RE118" s="9"/>
      <c r="RF118" s="9"/>
      <c r="RG118" s="9"/>
      <c r="RH118" s="9"/>
      <c r="RI118" s="9"/>
      <c r="RJ118" s="9"/>
      <c r="RK118" s="9"/>
      <c r="RL118" s="9"/>
      <c r="RM118" s="9"/>
      <c r="RN118" s="9"/>
      <c r="RO118" s="9"/>
      <c r="RP118" s="9"/>
      <c r="RQ118" s="9"/>
      <c r="RR118" s="9"/>
      <c r="RS118" s="9"/>
      <c r="RT118" s="9"/>
      <c r="RU118" s="9"/>
      <c r="RV118" s="9"/>
      <c r="RW118" s="9"/>
      <c r="RX118" s="9"/>
      <c r="RY118" s="9"/>
      <c r="RZ118" s="9"/>
      <c r="SA118" s="9"/>
      <c r="SB118" s="9"/>
      <c r="SC118" s="9"/>
      <c r="SD118" s="9"/>
      <c r="SE118" s="9"/>
      <c r="SF118" s="9"/>
      <c r="SG118" s="9"/>
      <c r="SH118" s="9"/>
      <c r="SI118" s="9"/>
      <c r="SJ118" s="9"/>
      <c r="SK118" s="8"/>
      <c r="SL118" s="8"/>
      <c r="SM118" s="8"/>
      <c r="SN118" s="8"/>
      <c r="SO118" s="8"/>
      <c r="SP118" s="8"/>
      <c r="SQ118" s="8"/>
      <c r="SR118" s="8"/>
      <c r="SS118" s="8"/>
      <c r="ST118" s="8"/>
      <c r="SU118" s="8"/>
      <c r="SV118" s="8"/>
      <c r="SW118" s="8"/>
      <c r="SX118" s="8"/>
      <c r="SY118" s="8"/>
      <c r="SZ118" s="8"/>
      <c r="TA118" s="8"/>
      <c r="TB118" s="8"/>
      <c r="TC118" s="8"/>
      <c r="TD118" s="8"/>
      <c r="TE118" s="8"/>
      <c r="TF118" s="8"/>
      <c r="TG118" s="8"/>
      <c r="TH118" s="8"/>
      <c r="TI118" s="8"/>
      <c r="TJ118" s="8"/>
      <c r="TK118" s="8"/>
      <c r="TL118" s="8"/>
      <c r="TM118" s="8"/>
      <c r="TN118" s="8"/>
      <c r="TO118" s="8"/>
    </row>
    <row r="119" spans="1:535" x14ac:dyDescent="0.2">
      <c r="A119" s="7"/>
      <c r="B119" s="15"/>
      <c r="C119" s="15"/>
      <c r="D119" s="15"/>
      <c r="E119" s="15"/>
      <c r="F119" s="15"/>
      <c r="G119" s="15"/>
      <c r="H119" s="15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  <c r="CJ119" s="9"/>
      <c r="CK119" s="9"/>
      <c r="CL119" s="9"/>
      <c r="CM119" s="9"/>
      <c r="CN119" s="9"/>
      <c r="CO119" s="9"/>
      <c r="CP119" s="9"/>
      <c r="CQ119" s="9"/>
      <c r="CR119" s="9"/>
      <c r="CS119" s="9"/>
      <c r="CT119" s="9"/>
      <c r="CU119" s="9"/>
      <c r="CV119" s="9"/>
      <c r="CW119" s="9"/>
      <c r="CX119" s="9"/>
      <c r="CY119" s="9"/>
      <c r="CZ119" s="9"/>
      <c r="DA119" s="9"/>
      <c r="DB119" s="9"/>
      <c r="DC119" s="9"/>
      <c r="DD119" s="9"/>
      <c r="DE119" s="9"/>
      <c r="DF119" s="9"/>
      <c r="DG119" s="9"/>
      <c r="DH119" s="9"/>
      <c r="DI119" s="9"/>
      <c r="DJ119" s="9"/>
      <c r="DK119" s="9"/>
      <c r="DL119" s="9"/>
      <c r="DM119" s="9"/>
      <c r="DN119" s="9"/>
      <c r="DO119" s="9"/>
      <c r="DP119" s="9"/>
      <c r="DQ119" s="9"/>
      <c r="DR119" s="9"/>
      <c r="DS119" s="9"/>
      <c r="DT119" s="9"/>
      <c r="DU119" s="9"/>
      <c r="DV119" s="9"/>
      <c r="DW119" s="9"/>
      <c r="DX119" s="9"/>
      <c r="DY119" s="9"/>
      <c r="DZ119" s="9"/>
      <c r="EA119" s="9"/>
      <c r="EB119" s="9"/>
      <c r="EC119" s="9"/>
      <c r="ED119" s="9"/>
      <c r="EE119" s="9"/>
      <c r="EF119" s="9"/>
      <c r="EG119" s="9"/>
      <c r="EH119" s="9"/>
      <c r="EI119" s="9"/>
      <c r="EJ119" s="9"/>
      <c r="EK119" s="9"/>
      <c r="EL119" s="9"/>
      <c r="EM119" s="9"/>
      <c r="EN119" s="9"/>
      <c r="EO119" s="9"/>
      <c r="EP119" s="9"/>
      <c r="EQ119" s="9"/>
      <c r="ER119" s="9"/>
      <c r="ES119" s="9"/>
      <c r="ET119" s="9"/>
      <c r="EU119" s="9"/>
      <c r="EV119" s="9"/>
      <c r="EW119" s="9"/>
      <c r="EX119" s="9"/>
      <c r="EY119" s="9"/>
      <c r="EZ119" s="9"/>
      <c r="FA119" s="9"/>
      <c r="FB119" s="9"/>
      <c r="FC119" s="9"/>
      <c r="FD119" s="9"/>
      <c r="FE119" s="9"/>
      <c r="FF119" s="9"/>
      <c r="FG119" s="9"/>
      <c r="FH119" s="9"/>
      <c r="FI119" s="9"/>
      <c r="FJ119" s="9"/>
      <c r="FK119" s="9"/>
      <c r="FL119" s="9"/>
      <c r="FM119" s="9"/>
      <c r="FN119" s="9"/>
      <c r="FO119" s="9"/>
      <c r="FP119" s="9"/>
      <c r="FQ119" s="9"/>
      <c r="FR119" s="9"/>
      <c r="FS119" s="9"/>
      <c r="FT119" s="9"/>
      <c r="FU119" s="9"/>
      <c r="FV119" s="9"/>
      <c r="FW119" s="9"/>
      <c r="FX119" s="9"/>
      <c r="FY119" s="9"/>
      <c r="FZ119" s="9"/>
      <c r="GA119" s="9"/>
      <c r="GB119" s="9"/>
      <c r="GC119" s="9"/>
      <c r="GD119" s="9"/>
      <c r="GE119" s="9"/>
      <c r="GF119" s="9"/>
      <c r="GG119" s="9"/>
      <c r="GH119" s="9"/>
      <c r="GI119" s="9"/>
      <c r="GJ119" s="9"/>
      <c r="GK119" s="9"/>
      <c r="GL119" s="9"/>
      <c r="GM119" s="9"/>
      <c r="GN119" s="9"/>
      <c r="GO119" s="9"/>
      <c r="GP119" s="9"/>
      <c r="GQ119" s="9"/>
      <c r="GR119" s="9"/>
      <c r="GS119" s="9"/>
      <c r="GT119" s="9"/>
      <c r="GU119" s="9"/>
      <c r="GV119" s="9"/>
      <c r="GW119" s="9"/>
      <c r="GX119" s="9"/>
      <c r="GY119" s="9"/>
      <c r="GZ119" s="9"/>
      <c r="HA119" s="9"/>
      <c r="HB119" s="9"/>
      <c r="HC119" s="9"/>
      <c r="HD119" s="9"/>
      <c r="HE119" s="9"/>
      <c r="HF119" s="9"/>
      <c r="HG119" s="9"/>
      <c r="HH119" s="9"/>
      <c r="HI119" s="9"/>
      <c r="HJ119" s="9"/>
      <c r="HK119" s="9"/>
      <c r="HL119" s="9"/>
      <c r="HM119" s="9"/>
      <c r="HN119" s="9"/>
      <c r="HO119" s="9"/>
      <c r="HP119" s="9"/>
      <c r="HQ119" s="9"/>
      <c r="HR119" s="9"/>
      <c r="HS119" s="9"/>
      <c r="HT119" s="9"/>
      <c r="HU119" s="9"/>
      <c r="HV119" s="9"/>
      <c r="HW119" s="9"/>
      <c r="HX119" s="9"/>
      <c r="HY119" s="9"/>
      <c r="HZ119" s="9"/>
      <c r="IA119" s="9"/>
      <c r="IB119" s="9"/>
      <c r="IC119" s="9"/>
      <c r="ID119" s="9"/>
      <c r="IE119" s="9"/>
      <c r="IF119" s="9"/>
      <c r="IG119" s="9"/>
      <c r="IH119" s="9"/>
      <c r="II119" s="9"/>
      <c r="IJ119" s="9"/>
      <c r="IK119" s="9"/>
      <c r="IL119" s="9"/>
      <c r="IM119" s="9"/>
      <c r="IN119" s="9"/>
      <c r="IO119" s="9"/>
      <c r="IP119" s="9"/>
      <c r="IQ119" s="9"/>
      <c r="IR119" s="9"/>
      <c r="IS119" s="9"/>
      <c r="IT119" s="9"/>
      <c r="IU119" s="9"/>
      <c r="IV119" s="9"/>
      <c r="IW119" s="9"/>
      <c r="IX119" s="9"/>
      <c r="IY119" s="9"/>
      <c r="IZ119" s="9"/>
      <c r="JA119" s="9"/>
      <c r="JB119" s="9"/>
      <c r="JC119" s="9"/>
      <c r="JD119" s="9"/>
      <c r="JE119" s="9"/>
      <c r="JF119" s="9"/>
      <c r="JG119" s="9"/>
      <c r="JH119" s="9"/>
      <c r="JI119" s="9"/>
      <c r="JJ119" s="9"/>
      <c r="JK119" s="9"/>
      <c r="JL119" s="9"/>
      <c r="JM119" s="9"/>
      <c r="JN119" s="9"/>
      <c r="JO119" s="9"/>
      <c r="JP119" s="9"/>
      <c r="JQ119" s="9"/>
      <c r="JR119" s="9"/>
      <c r="JS119" s="9"/>
      <c r="JT119" s="9"/>
      <c r="JU119" s="9"/>
      <c r="JV119" s="9"/>
      <c r="JW119" s="9"/>
      <c r="JX119" s="9"/>
      <c r="JY119" s="9"/>
      <c r="JZ119" s="9"/>
      <c r="KA119" s="9"/>
      <c r="KB119" s="9"/>
      <c r="KC119" s="9"/>
      <c r="KD119" s="9"/>
      <c r="KE119" s="9"/>
      <c r="KF119" s="9"/>
      <c r="KG119" s="9"/>
      <c r="KH119" s="9"/>
      <c r="KI119" s="9"/>
      <c r="KJ119" s="9"/>
      <c r="KK119" s="9"/>
      <c r="KL119" s="9"/>
      <c r="KM119" s="9"/>
      <c r="KN119" s="9"/>
      <c r="KO119" s="9"/>
      <c r="KP119" s="9"/>
      <c r="KQ119" s="9"/>
      <c r="KR119" s="9"/>
      <c r="KS119" s="9"/>
      <c r="KT119" s="9"/>
      <c r="KU119" s="9"/>
      <c r="KV119" s="9"/>
      <c r="KW119" s="9"/>
      <c r="KX119" s="9"/>
      <c r="KY119" s="9"/>
      <c r="KZ119" s="9"/>
      <c r="LA119" s="9"/>
      <c r="LB119" s="9"/>
      <c r="LC119" s="9"/>
      <c r="LD119" s="9"/>
      <c r="LE119" s="9"/>
      <c r="LF119" s="9"/>
      <c r="LG119" s="9"/>
      <c r="LH119" s="9"/>
      <c r="LI119" s="9"/>
      <c r="LJ119" s="9"/>
      <c r="LK119" s="9"/>
      <c r="LL119" s="9"/>
      <c r="LM119" s="9"/>
      <c r="LN119" s="9"/>
      <c r="LO119" s="9"/>
      <c r="LP119" s="9"/>
      <c r="LQ119" s="9"/>
      <c r="LR119" s="9"/>
      <c r="LS119" s="9"/>
      <c r="LT119" s="9"/>
      <c r="LU119" s="9"/>
      <c r="LV119" s="9"/>
      <c r="LW119" s="9"/>
      <c r="LX119" s="9"/>
      <c r="LY119" s="9"/>
      <c r="LZ119" s="9"/>
      <c r="MA119" s="9"/>
      <c r="MB119" s="9"/>
      <c r="MC119" s="9"/>
      <c r="MD119" s="9"/>
      <c r="ME119" s="9"/>
      <c r="MF119" s="9"/>
      <c r="MG119" s="9"/>
      <c r="MH119" s="9"/>
      <c r="MI119" s="9"/>
      <c r="MJ119" s="9"/>
      <c r="MK119" s="9"/>
      <c r="ML119" s="9"/>
      <c r="MM119" s="9"/>
      <c r="MN119" s="9"/>
      <c r="MO119" s="9"/>
      <c r="MP119" s="9"/>
      <c r="MQ119" s="9"/>
      <c r="MR119" s="9"/>
      <c r="MS119" s="9"/>
      <c r="MT119" s="9"/>
      <c r="MU119" s="9"/>
      <c r="MV119" s="9"/>
      <c r="MW119" s="9"/>
      <c r="MX119" s="9"/>
      <c r="MY119" s="9"/>
      <c r="MZ119" s="9"/>
      <c r="NA119" s="9"/>
      <c r="NB119" s="9"/>
      <c r="NC119" s="9"/>
      <c r="ND119" s="9"/>
      <c r="NE119" s="9"/>
      <c r="NF119" s="9"/>
      <c r="NG119" s="9"/>
      <c r="NH119" s="9"/>
      <c r="NI119" s="9"/>
      <c r="NJ119" s="9"/>
      <c r="NK119" s="9"/>
      <c r="NL119" s="9"/>
      <c r="NM119" s="9"/>
      <c r="NN119" s="9"/>
      <c r="NO119" s="9"/>
      <c r="NP119" s="9"/>
      <c r="NQ119" s="9"/>
      <c r="NR119" s="9"/>
      <c r="NS119" s="9"/>
      <c r="NT119" s="9"/>
      <c r="NU119" s="9"/>
      <c r="NV119" s="9"/>
      <c r="NW119" s="9"/>
      <c r="NX119" s="9"/>
      <c r="NY119" s="9"/>
      <c r="NZ119" s="9"/>
      <c r="OA119" s="9"/>
      <c r="OB119" s="9"/>
      <c r="OC119" s="9"/>
      <c r="OD119" s="9"/>
      <c r="OE119" s="9"/>
      <c r="OF119" s="9"/>
      <c r="OG119" s="9"/>
      <c r="OH119" s="9"/>
      <c r="OI119" s="9"/>
      <c r="OJ119" s="9"/>
      <c r="OK119" s="9"/>
      <c r="OL119" s="9"/>
      <c r="OM119" s="9"/>
      <c r="ON119" s="9"/>
      <c r="OO119" s="9"/>
      <c r="OP119" s="9"/>
      <c r="OQ119" s="9"/>
      <c r="OR119" s="9"/>
      <c r="OS119" s="9"/>
      <c r="OT119" s="9"/>
      <c r="OU119" s="9"/>
      <c r="OV119" s="9"/>
      <c r="OW119" s="9"/>
      <c r="OX119" s="9"/>
      <c r="OY119" s="9"/>
      <c r="OZ119" s="9"/>
      <c r="PA119" s="9"/>
      <c r="PB119" s="9"/>
      <c r="PC119" s="9"/>
      <c r="PD119" s="9"/>
      <c r="PE119" s="9"/>
      <c r="PF119" s="9"/>
      <c r="PG119" s="9"/>
      <c r="PH119" s="9"/>
      <c r="PI119" s="9"/>
      <c r="PJ119" s="9"/>
      <c r="PK119" s="9"/>
      <c r="PL119" s="9"/>
      <c r="PM119" s="9"/>
      <c r="PN119" s="9"/>
      <c r="PO119" s="9"/>
      <c r="PP119" s="9"/>
      <c r="PQ119" s="9"/>
      <c r="PR119" s="9"/>
      <c r="PS119" s="9"/>
      <c r="PT119" s="9"/>
      <c r="PU119" s="9"/>
      <c r="PV119" s="9"/>
      <c r="PW119" s="9"/>
      <c r="PX119" s="9"/>
      <c r="PY119" s="9"/>
      <c r="PZ119" s="9"/>
      <c r="QA119" s="9"/>
      <c r="QB119" s="9"/>
      <c r="QC119" s="9"/>
      <c r="QD119" s="9"/>
      <c r="QE119" s="9"/>
      <c r="QF119" s="9"/>
      <c r="QG119" s="9"/>
      <c r="QH119" s="9"/>
      <c r="QI119" s="9"/>
      <c r="QJ119" s="9"/>
      <c r="QK119" s="9"/>
      <c r="QL119" s="9"/>
      <c r="QM119" s="9"/>
      <c r="QN119" s="9"/>
      <c r="QO119" s="9"/>
      <c r="QP119" s="9"/>
      <c r="QQ119" s="9"/>
      <c r="QR119" s="9"/>
      <c r="QS119" s="9"/>
      <c r="QT119" s="9"/>
      <c r="QU119" s="9"/>
      <c r="QV119" s="9"/>
      <c r="QW119" s="9"/>
      <c r="QX119" s="9"/>
      <c r="QY119" s="9"/>
      <c r="QZ119" s="9"/>
      <c r="RA119" s="9"/>
      <c r="RB119" s="9"/>
      <c r="RC119" s="9"/>
      <c r="RD119" s="9"/>
      <c r="RE119" s="9"/>
      <c r="RF119" s="9"/>
      <c r="RG119" s="9"/>
      <c r="RH119" s="9"/>
      <c r="RI119" s="9"/>
      <c r="RJ119" s="9"/>
      <c r="RK119" s="9"/>
      <c r="RL119" s="9"/>
      <c r="RM119" s="9"/>
      <c r="RN119" s="9"/>
      <c r="RO119" s="9"/>
      <c r="RP119" s="9"/>
      <c r="RQ119" s="9"/>
      <c r="RR119" s="9"/>
      <c r="RS119" s="9"/>
      <c r="RT119" s="9"/>
      <c r="RU119" s="9"/>
      <c r="RV119" s="9"/>
      <c r="RW119" s="9"/>
      <c r="RX119" s="9"/>
      <c r="RY119" s="9"/>
      <c r="RZ119" s="9"/>
      <c r="SA119" s="9"/>
      <c r="SB119" s="9"/>
      <c r="SC119" s="9"/>
      <c r="SD119" s="9"/>
      <c r="SE119" s="9"/>
      <c r="SF119" s="9"/>
      <c r="SG119" s="9"/>
      <c r="SH119" s="9"/>
      <c r="SI119" s="9"/>
      <c r="SJ119" s="9"/>
      <c r="SK119" s="8"/>
      <c r="SL119" s="8"/>
      <c r="SM119" s="8"/>
      <c r="SN119" s="8"/>
      <c r="SO119" s="8"/>
      <c r="SP119" s="8"/>
      <c r="SQ119" s="8"/>
      <c r="SR119" s="8"/>
      <c r="SS119" s="8"/>
      <c r="ST119" s="8"/>
      <c r="SU119" s="8"/>
      <c r="SV119" s="8"/>
      <c r="SW119" s="8"/>
      <c r="SX119" s="8"/>
      <c r="SY119" s="8"/>
      <c r="SZ119" s="8"/>
      <c r="TA119" s="8"/>
      <c r="TB119" s="8"/>
      <c r="TC119" s="8"/>
      <c r="TD119" s="8"/>
      <c r="TE119" s="8"/>
      <c r="TF119" s="8"/>
      <c r="TG119" s="8"/>
      <c r="TH119" s="8"/>
      <c r="TI119" s="8"/>
      <c r="TJ119" s="8"/>
      <c r="TK119" s="8"/>
      <c r="TL119" s="8"/>
      <c r="TM119" s="8"/>
      <c r="TN119" s="8"/>
      <c r="TO119" s="8"/>
    </row>
    <row r="120" spans="1:535" x14ac:dyDescent="0.2">
      <c r="A120" s="7"/>
      <c r="B120" s="15"/>
      <c r="C120" s="15"/>
      <c r="D120" s="15"/>
      <c r="E120" s="15"/>
      <c r="F120" s="15"/>
      <c r="G120" s="15"/>
      <c r="H120" s="15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  <c r="EU120" s="9"/>
      <c r="EV120" s="9"/>
      <c r="EW120" s="9"/>
      <c r="EX120" s="9"/>
      <c r="EY120" s="9"/>
      <c r="EZ120" s="9"/>
      <c r="FA120" s="9"/>
      <c r="FB120" s="9"/>
      <c r="FC120" s="9"/>
      <c r="FD120" s="9"/>
      <c r="FE120" s="9"/>
      <c r="FF120" s="9"/>
      <c r="FG120" s="9"/>
      <c r="FH120" s="9"/>
      <c r="FI120" s="9"/>
      <c r="FJ120" s="9"/>
      <c r="FK120" s="9"/>
      <c r="FL120" s="9"/>
      <c r="FM120" s="9"/>
      <c r="FN120" s="9"/>
      <c r="FO120" s="9"/>
      <c r="FP120" s="9"/>
      <c r="FQ120" s="9"/>
      <c r="FR120" s="9"/>
      <c r="FS120" s="9"/>
      <c r="FT120" s="9"/>
      <c r="FU120" s="9"/>
      <c r="FV120" s="9"/>
      <c r="FW120" s="9"/>
      <c r="FX120" s="9"/>
      <c r="FY120" s="9"/>
      <c r="FZ120" s="9"/>
      <c r="GA120" s="9"/>
      <c r="GB120" s="9"/>
      <c r="GC120" s="9"/>
      <c r="GD120" s="9"/>
      <c r="GE120" s="9"/>
      <c r="GF120" s="9"/>
      <c r="GG120" s="9"/>
      <c r="GH120" s="9"/>
      <c r="GI120" s="9"/>
      <c r="GJ120" s="9"/>
      <c r="GK120" s="9"/>
      <c r="GL120" s="9"/>
      <c r="GM120" s="9"/>
      <c r="GN120" s="9"/>
      <c r="GO120" s="9"/>
      <c r="GP120" s="9"/>
      <c r="GQ120" s="9"/>
      <c r="GR120" s="9"/>
      <c r="GS120" s="9"/>
      <c r="GT120" s="9"/>
      <c r="GU120" s="9"/>
      <c r="GV120" s="9"/>
      <c r="GW120" s="9"/>
      <c r="GX120" s="9"/>
      <c r="GY120" s="9"/>
      <c r="GZ120" s="9"/>
      <c r="HA120" s="9"/>
      <c r="HB120" s="9"/>
      <c r="HC120" s="9"/>
      <c r="HD120" s="9"/>
      <c r="HE120" s="9"/>
      <c r="HF120" s="9"/>
      <c r="HG120" s="9"/>
      <c r="HH120" s="9"/>
      <c r="HI120" s="9"/>
      <c r="HJ120" s="9"/>
      <c r="HK120" s="9"/>
      <c r="HL120" s="9"/>
      <c r="HM120" s="9"/>
      <c r="HN120" s="9"/>
      <c r="HO120" s="9"/>
      <c r="HP120" s="9"/>
      <c r="HQ120" s="9"/>
      <c r="HR120" s="9"/>
      <c r="HS120" s="9"/>
      <c r="HT120" s="9"/>
      <c r="HU120" s="9"/>
      <c r="HV120" s="9"/>
      <c r="HW120" s="9"/>
      <c r="HX120" s="9"/>
      <c r="HY120" s="9"/>
      <c r="HZ120" s="9"/>
      <c r="IA120" s="9"/>
      <c r="IB120" s="9"/>
      <c r="IC120" s="9"/>
      <c r="ID120" s="9"/>
      <c r="IE120" s="9"/>
      <c r="IF120" s="9"/>
      <c r="IG120" s="9"/>
      <c r="IH120" s="9"/>
      <c r="II120" s="9"/>
      <c r="IJ120" s="9"/>
      <c r="IK120" s="9"/>
      <c r="IL120" s="9"/>
      <c r="IM120" s="9"/>
      <c r="IN120" s="9"/>
      <c r="IO120" s="9"/>
      <c r="IP120" s="9"/>
      <c r="IQ120" s="9"/>
      <c r="IR120" s="9"/>
      <c r="IS120" s="9"/>
      <c r="IT120" s="9"/>
      <c r="IU120" s="9"/>
      <c r="IV120" s="9"/>
      <c r="IW120" s="9"/>
      <c r="IX120" s="9"/>
      <c r="IY120" s="9"/>
      <c r="IZ120" s="9"/>
      <c r="JA120" s="9"/>
      <c r="JB120" s="9"/>
      <c r="JC120" s="9"/>
      <c r="JD120" s="9"/>
      <c r="JE120" s="9"/>
      <c r="JF120" s="9"/>
      <c r="JG120" s="9"/>
      <c r="JH120" s="9"/>
      <c r="JI120" s="9"/>
      <c r="JJ120" s="9"/>
      <c r="JK120" s="9"/>
      <c r="JL120" s="9"/>
      <c r="JM120" s="9"/>
      <c r="JN120" s="9"/>
      <c r="JO120" s="9"/>
      <c r="JP120" s="9"/>
      <c r="JQ120" s="9"/>
      <c r="JR120" s="9"/>
      <c r="JS120" s="9"/>
      <c r="JT120" s="9"/>
      <c r="JU120" s="9"/>
      <c r="JV120" s="9"/>
      <c r="JW120" s="9"/>
      <c r="JX120" s="9"/>
      <c r="JY120" s="9"/>
      <c r="JZ120" s="9"/>
      <c r="KA120" s="9"/>
      <c r="KB120" s="9"/>
      <c r="KC120" s="9"/>
      <c r="KD120" s="9"/>
      <c r="KE120" s="9"/>
      <c r="KF120" s="9"/>
      <c r="KG120" s="9"/>
      <c r="KH120" s="9"/>
      <c r="KI120" s="9"/>
      <c r="KJ120" s="9"/>
      <c r="KK120" s="9"/>
      <c r="KL120" s="9"/>
      <c r="KM120" s="9"/>
      <c r="KN120" s="9"/>
      <c r="KO120" s="9"/>
      <c r="KP120" s="9"/>
      <c r="KQ120" s="9"/>
      <c r="KR120" s="9"/>
      <c r="KS120" s="9"/>
      <c r="KT120" s="9"/>
      <c r="KU120" s="9"/>
      <c r="KV120" s="9"/>
      <c r="KW120" s="9"/>
      <c r="KX120" s="9"/>
      <c r="KY120" s="9"/>
      <c r="KZ120" s="9"/>
      <c r="LA120" s="9"/>
      <c r="LB120" s="9"/>
      <c r="LC120" s="9"/>
      <c r="LD120" s="9"/>
      <c r="LE120" s="9"/>
      <c r="LF120" s="9"/>
      <c r="LG120" s="9"/>
      <c r="LH120" s="9"/>
      <c r="LI120" s="9"/>
      <c r="LJ120" s="9"/>
      <c r="LK120" s="9"/>
      <c r="LL120" s="9"/>
      <c r="LM120" s="9"/>
      <c r="LN120" s="9"/>
      <c r="LO120" s="9"/>
      <c r="LP120" s="9"/>
      <c r="LQ120" s="9"/>
      <c r="LR120" s="9"/>
      <c r="LS120" s="9"/>
      <c r="LT120" s="9"/>
      <c r="LU120" s="9"/>
      <c r="LV120" s="9"/>
      <c r="LW120" s="9"/>
      <c r="LX120" s="9"/>
      <c r="LY120" s="9"/>
      <c r="LZ120" s="9"/>
      <c r="MA120" s="9"/>
      <c r="MB120" s="9"/>
      <c r="MC120" s="9"/>
      <c r="MD120" s="9"/>
      <c r="ME120" s="9"/>
      <c r="MF120" s="9"/>
      <c r="MG120" s="9"/>
      <c r="MH120" s="9"/>
      <c r="MI120" s="9"/>
      <c r="MJ120" s="9"/>
      <c r="MK120" s="9"/>
      <c r="ML120" s="9"/>
      <c r="MM120" s="9"/>
      <c r="MN120" s="9"/>
      <c r="MO120" s="9"/>
      <c r="MP120" s="9"/>
      <c r="MQ120" s="9"/>
      <c r="MR120" s="9"/>
      <c r="MS120" s="9"/>
      <c r="MT120" s="9"/>
      <c r="MU120" s="9"/>
      <c r="MV120" s="9"/>
      <c r="MW120" s="9"/>
      <c r="MX120" s="9"/>
      <c r="MY120" s="9"/>
      <c r="MZ120" s="9"/>
      <c r="NA120" s="9"/>
      <c r="NB120" s="9"/>
      <c r="NC120" s="9"/>
      <c r="ND120" s="9"/>
      <c r="NE120" s="9"/>
      <c r="NF120" s="9"/>
      <c r="NG120" s="9"/>
      <c r="NH120" s="9"/>
      <c r="NI120" s="9"/>
      <c r="NJ120" s="9"/>
      <c r="NK120" s="9"/>
      <c r="NL120" s="9"/>
      <c r="NM120" s="9"/>
      <c r="NN120" s="9"/>
      <c r="NO120" s="9"/>
      <c r="NP120" s="9"/>
      <c r="NQ120" s="9"/>
      <c r="NR120" s="9"/>
      <c r="NS120" s="9"/>
      <c r="NT120" s="9"/>
      <c r="NU120" s="9"/>
      <c r="NV120" s="9"/>
      <c r="NW120" s="9"/>
      <c r="NX120" s="9"/>
      <c r="NY120" s="9"/>
      <c r="NZ120" s="9"/>
      <c r="OA120" s="9"/>
      <c r="OB120" s="9"/>
      <c r="OC120" s="9"/>
      <c r="OD120" s="9"/>
      <c r="OE120" s="9"/>
      <c r="OF120" s="9"/>
      <c r="OG120" s="9"/>
      <c r="OH120" s="9"/>
      <c r="OI120" s="9"/>
      <c r="OJ120" s="9"/>
      <c r="OK120" s="9"/>
      <c r="OL120" s="9"/>
      <c r="OM120" s="9"/>
      <c r="ON120" s="9"/>
      <c r="OO120" s="9"/>
      <c r="OP120" s="9"/>
      <c r="OQ120" s="9"/>
      <c r="OR120" s="9"/>
      <c r="OS120" s="9"/>
      <c r="OT120" s="9"/>
      <c r="OU120" s="9"/>
      <c r="OV120" s="9"/>
      <c r="OW120" s="9"/>
      <c r="OX120" s="9"/>
      <c r="OY120" s="9"/>
      <c r="OZ120" s="9"/>
      <c r="PA120" s="9"/>
      <c r="PB120" s="9"/>
      <c r="PC120" s="9"/>
      <c r="PD120" s="9"/>
      <c r="PE120" s="9"/>
      <c r="PF120" s="9"/>
      <c r="PG120" s="9"/>
      <c r="PH120" s="9"/>
      <c r="PI120" s="9"/>
      <c r="PJ120" s="9"/>
      <c r="PK120" s="9"/>
      <c r="PL120" s="9"/>
      <c r="PM120" s="9"/>
      <c r="PN120" s="9"/>
      <c r="PO120" s="9"/>
      <c r="PP120" s="9"/>
      <c r="PQ120" s="9"/>
      <c r="PR120" s="9"/>
      <c r="PS120" s="9"/>
      <c r="PT120" s="9"/>
      <c r="PU120" s="9"/>
      <c r="PV120" s="9"/>
      <c r="PW120" s="9"/>
      <c r="PX120" s="9"/>
      <c r="PY120" s="9"/>
      <c r="PZ120" s="9"/>
      <c r="QA120" s="9"/>
      <c r="QB120" s="9"/>
      <c r="QC120" s="9"/>
      <c r="QD120" s="9"/>
      <c r="QE120" s="9"/>
      <c r="QF120" s="9"/>
      <c r="QG120" s="9"/>
      <c r="QH120" s="9"/>
      <c r="QI120" s="9"/>
      <c r="QJ120" s="9"/>
      <c r="QK120" s="9"/>
      <c r="QL120" s="9"/>
      <c r="QM120" s="9"/>
      <c r="QN120" s="9"/>
      <c r="QO120" s="9"/>
      <c r="QP120" s="9"/>
      <c r="QQ120" s="9"/>
      <c r="QR120" s="9"/>
      <c r="QS120" s="9"/>
      <c r="QT120" s="9"/>
      <c r="QU120" s="9"/>
      <c r="QV120" s="9"/>
      <c r="QW120" s="9"/>
      <c r="QX120" s="9"/>
      <c r="QY120" s="9"/>
      <c r="QZ120" s="9"/>
      <c r="RA120" s="9"/>
      <c r="RB120" s="9"/>
      <c r="RC120" s="9"/>
      <c r="RD120" s="9"/>
      <c r="RE120" s="9"/>
      <c r="RF120" s="9"/>
      <c r="RG120" s="9"/>
      <c r="RH120" s="9"/>
      <c r="RI120" s="9"/>
      <c r="RJ120" s="9"/>
      <c r="RK120" s="9"/>
      <c r="RL120" s="9"/>
      <c r="RM120" s="9"/>
      <c r="RN120" s="9"/>
      <c r="RO120" s="9"/>
      <c r="RP120" s="9"/>
      <c r="RQ120" s="9"/>
      <c r="RR120" s="9"/>
      <c r="RS120" s="9"/>
      <c r="RT120" s="9"/>
      <c r="RU120" s="9"/>
      <c r="RV120" s="9"/>
      <c r="RW120" s="9"/>
      <c r="RX120" s="9"/>
      <c r="RY120" s="9"/>
      <c r="RZ120" s="9"/>
      <c r="SA120" s="9"/>
      <c r="SB120" s="9"/>
      <c r="SC120" s="9"/>
      <c r="SD120" s="9"/>
      <c r="SE120" s="9"/>
      <c r="SF120" s="9"/>
      <c r="SG120" s="9"/>
      <c r="SH120" s="9"/>
      <c r="SI120" s="9"/>
      <c r="SJ120" s="9"/>
      <c r="SK120" s="8"/>
      <c r="SL120" s="8"/>
      <c r="SM120" s="8"/>
      <c r="SN120" s="8"/>
      <c r="SO120" s="8"/>
      <c r="SP120" s="8"/>
      <c r="SQ120" s="8"/>
      <c r="SR120" s="8"/>
      <c r="SS120" s="8"/>
      <c r="ST120" s="8"/>
      <c r="SU120" s="8"/>
      <c r="SV120" s="8"/>
      <c r="SW120" s="8"/>
      <c r="SX120" s="8"/>
      <c r="SY120" s="8"/>
      <c r="SZ120" s="8"/>
      <c r="TA120" s="8"/>
      <c r="TB120" s="8"/>
      <c r="TC120" s="8"/>
      <c r="TD120" s="8"/>
      <c r="TE120" s="8"/>
      <c r="TF120" s="8"/>
      <c r="TG120" s="8"/>
      <c r="TH120" s="8"/>
      <c r="TI120" s="8"/>
      <c r="TJ120" s="8"/>
      <c r="TK120" s="8"/>
      <c r="TL120" s="8"/>
      <c r="TM120" s="8"/>
      <c r="TN120" s="8"/>
      <c r="TO120" s="8"/>
    </row>
    <row r="121" spans="1:535" x14ac:dyDescent="0.2">
      <c r="A121" s="7"/>
      <c r="B121" s="15"/>
      <c r="C121" s="15"/>
      <c r="D121" s="15"/>
      <c r="E121" s="15"/>
      <c r="F121" s="15"/>
      <c r="G121" s="15"/>
      <c r="H121" s="15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  <c r="DS121" s="9"/>
      <c r="DT121" s="9"/>
      <c r="DU121" s="9"/>
      <c r="DV121" s="9"/>
      <c r="DW121" s="9"/>
      <c r="DX121" s="9"/>
      <c r="DY121" s="9"/>
      <c r="DZ121" s="9"/>
      <c r="EA121" s="9"/>
      <c r="EB121" s="9"/>
      <c r="EC121" s="9"/>
      <c r="ED121" s="9"/>
      <c r="EE121" s="9"/>
      <c r="EF121" s="9"/>
      <c r="EG121" s="9"/>
      <c r="EH121" s="9"/>
      <c r="EI121" s="9"/>
      <c r="EJ121" s="9"/>
      <c r="EK121" s="9"/>
      <c r="EL121" s="9"/>
      <c r="EM121" s="9"/>
      <c r="EN121" s="9"/>
      <c r="EO121" s="9"/>
      <c r="EP121" s="9"/>
      <c r="EQ121" s="9"/>
      <c r="ER121" s="9"/>
      <c r="ES121" s="9"/>
      <c r="ET121" s="9"/>
      <c r="EU121" s="9"/>
      <c r="EV121" s="9"/>
      <c r="EW121" s="9"/>
      <c r="EX121" s="9"/>
      <c r="EY121" s="9"/>
      <c r="EZ121" s="9"/>
      <c r="FA121" s="9"/>
      <c r="FB121" s="9"/>
      <c r="FC121" s="9"/>
      <c r="FD121" s="9"/>
      <c r="FE121" s="9"/>
      <c r="FF121" s="9"/>
      <c r="FG121" s="9"/>
      <c r="FH121" s="9"/>
      <c r="FI121" s="9"/>
      <c r="FJ121" s="9"/>
      <c r="FK121" s="9"/>
      <c r="FL121" s="9"/>
      <c r="FM121" s="9"/>
      <c r="FN121" s="9"/>
      <c r="FO121" s="9"/>
      <c r="FP121" s="9"/>
      <c r="FQ121" s="9"/>
      <c r="FR121" s="9"/>
      <c r="FS121" s="9"/>
      <c r="FT121" s="9"/>
      <c r="FU121" s="9"/>
      <c r="FV121" s="9"/>
      <c r="FW121" s="9"/>
      <c r="FX121" s="9"/>
      <c r="FY121" s="9"/>
      <c r="FZ121" s="9"/>
      <c r="GA121" s="9"/>
      <c r="GB121" s="9"/>
      <c r="GC121" s="9"/>
      <c r="GD121" s="9"/>
      <c r="GE121" s="9"/>
      <c r="GF121" s="9"/>
      <c r="GG121" s="9"/>
      <c r="GH121" s="9"/>
      <c r="GI121" s="9"/>
      <c r="GJ121" s="9"/>
      <c r="GK121" s="9"/>
      <c r="GL121" s="9"/>
      <c r="GM121" s="9"/>
      <c r="GN121" s="9"/>
      <c r="GO121" s="9"/>
      <c r="GP121" s="9"/>
      <c r="GQ121" s="9"/>
      <c r="GR121" s="9"/>
      <c r="GS121" s="9"/>
      <c r="GT121" s="9"/>
      <c r="GU121" s="9"/>
      <c r="GV121" s="9"/>
      <c r="GW121" s="9"/>
      <c r="GX121" s="9"/>
      <c r="GY121" s="9"/>
      <c r="GZ121" s="9"/>
      <c r="HA121" s="9"/>
      <c r="HB121" s="9"/>
      <c r="HC121" s="9"/>
      <c r="HD121" s="9"/>
      <c r="HE121" s="9"/>
      <c r="HF121" s="9"/>
      <c r="HG121" s="9"/>
      <c r="HH121" s="9"/>
      <c r="HI121" s="9"/>
      <c r="HJ121" s="9"/>
      <c r="HK121" s="9"/>
      <c r="HL121" s="9"/>
      <c r="HM121" s="9"/>
      <c r="HN121" s="9"/>
      <c r="HO121" s="9"/>
      <c r="HP121" s="9"/>
      <c r="HQ121" s="9"/>
      <c r="HR121" s="9"/>
      <c r="HS121" s="9"/>
      <c r="HT121" s="9"/>
      <c r="HU121" s="9"/>
      <c r="HV121" s="9"/>
      <c r="HW121" s="9"/>
      <c r="HX121" s="9"/>
      <c r="HY121" s="9"/>
      <c r="HZ121" s="9"/>
      <c r="IA121" s="9"/>
      <c r="IB121" s="9"/>
      <c r="IC121" s="9"/>
      <c r="ID121" s="9"/>
      <c r="IE121" s="9"/>
      <c r="IF121" s="9"/>
      <c r="IG121" s="9"/>
      <c r="IH121" s="9"/>
      <c r="II121" s="9"/>
      <c r="IJ121" s="9"/>
      <c r="IK121" s="9"/>
      <c r="IL121" s="9"/>
      <c r="IM121" s="9"/>
      <c r="IN121" s="9"/>
      <c r="IO121" s="9"/>
      <c r="IP121" s="9"/>
      <c r="IQ121" s="9"/>
      <c r="IR121" s="9"/>
      <c r="IS121" s="9"/>
      <c r="IT121" s="9"/>
      <c r="IU121" s="9"/>
      <c r="IV121" s="9"/>
      <c r="IW121" s="9"/>
      <c r="IX121" s="9"/>
      <c r="IY121" s="9"/>
      <c r="IZ121" s="9"/>
      <c r="JA121" s="9"/>
      <c r="JB121" s="9"/>
      <c r="JC121" s="9"/>
      <c r="JD121" s="9"/>
      <c r="JE121" s="9"/>
      <c r="JF121" s="9"/>
      <c r="JG121" s="9"/>
      <c r="JH121" s="9"/>
      <c r="JI121" s="9"/>
      <c r="JJ121" s="9"/>
      <c r="JK121" s="9"/>
      <c r="JL121" s="9"/>
      <c r="JM121" s="9"/>
      <c r="JN121" s="9"/>
      <c r="JO121" s="9"/>
      <c r="JP121" s="9"/>
      <c r="JQ121" s="9"/>
      <c r="JR121" s="9"/>
      <c r="JS121" s="9"/>
      <c r="JT121" s="9"/>
      <c r="JU121" s="9"/>
      <c r="JV121" s="9"/>
      <c r="JW121" s="9"/>
      <c r="JX121" s="9"/>
      <c r="JY121" s="9"/>
      <c r="JZ121" s="9"/>
      <c r="KA121" s="9"/>
      <c r="KB121" s="9"/>
      <c r="KC121" s="9"/>
      <c r="KD121" s="9"/>
      <c r="KE121" s="9"/>
      <c r="KF121" s="9"/>
      <c r="KG121" s="9"/>
      <c r="KH121" s="9"/>
      <c r="KI121" s="9"/>
      <c r="KJ121" s="9"/>
      <c r="KK121" s="9"/>
      <c r="KL121" s="9"/>
      <c r="KM121" s="9"/>
      <c r="KN121" s="9"/>
      <c r="KO121" s="9"/>
      <c r="KP121" s="9"/>
      <c r="KQ121" s="9"/>
      <c r="KR121" s="9"/>
      <c r="KS121" s="9"/>
      <c r="KT121" s="9"/>
      <c r="KU121" s="9"/>
      <c r="KV121" s="9"/>
      <c r="KW121" s="9"/>
      <c r="KX121" s="9"/>
      <c r="KY121" s="9"/>
      <c r="KZ121" s="9"/>
      <c r="LA121" s="9"/>
      <c r="LB121" s="9"/>
      <c r="LC121" s="9"/>
      <c r="LD121" s="9"/>
      <c r="LE121" s="9"/>
      <c r="LF121" s="9"/>
      <c r="LG121" s="9"/>
      <c r="LH121" s="9"/>
      <c r="LI121" s="9"/>
      <c r="LJ121" s="9"/>
      <c r="LK121" s="9"/>
      <c r="LL121" s="9"/>
      <c r="LM121" s="9"/>
      <c r="LN121" s="9"/>
      <c r="LO121" s="9"/>
      <c r="LP121" s="9"/>
      <c r="LQ121" s="9"/>
      <c r="LR121" s="9"/>
      <c r="LS121" s="9"/>
      <c r="LT121" s="9"/>
      <c r="LU121" s="9"/>
      <c r="LV121" s="9"/>
      <c r="LW121" s="9"/>
      <c r="LX121" s="9"/>
      <c r="LY121" s="9"/>
      <c r="LZ121" s="9"/>
      <c r="MA121" s="9"/>
      <c r="MB121" s="9"/>
      <c r="MC121" s="9"/>
      <c r="MD121" s="9"/>
      <c r="ME121" s="9"/>
      <c r="MF121" s="9"/>
      <c r="MG121" s="9"/>
      <c r="MH121" s="9"/>
      <c r="MI121" s="9"/>
      <c r="MJ121" s="9"/>
      <c r="MK121" s="9"/>
      <c r="ML121" s="9"/>
      <c r="MM121" s="9"/>
      <c r="MN121" s="9"/>
      <c r="MO121" s="9"/>
      <c r="MP121" s="9"/>
      <c r="MQ121" s="9"/>
      <c r="MR121" s="9"/>
      <c r="MS121" s="9"/>
      <c r="MT121" s="9"/>
      <c r="MU121" s="9"/>
      <c r="MV121" s="9"/>
      <c r="MW121" s="9"/>
      <c r="MX121" s="9"/>
      <c r="MY121" s="9"/>
      <c r="MZ121" s="9"/>
      <c r="NA121" s="9"/>
      <c r="NB121" s="9"/>
      <c r="NC121" s="9"/>
      <c r="ND121" s="9"/>
      <c r="NE121" s="9"/>
      <c r="NF121" s="9"/>
      <c r="NG121" s="9"/>
      <c r="NH121" s="9"/>
      <c r="NI121" s="9"/>
      <c r="NJ121" s="9"/>
      <c r="NK121" s="9"/>
      <c r="NL121" s="9"/>
      <c r="NM121" s="9"/>
      <c r="NN121" s="9"/>
      <c r="NO121" s="9"/>
      <c r="NP121" s="9"/>
      <c r="NQ121" s="9"/>
      <c r="NR121" s="9"/>
      <c r="NS121" s="9"/>
      <c r="NT121" s="9"/>
      <c r="NU121" s="9"/>
      <c r="NV121" s="9"/>
      <c r="NW121" s="9"/>
      <c r="NX121" s="9"/>
      <c r="NY121" s="9"/>
      <c r="NZ121" s="9"/>
      <c r="OA121" s="9"/>
      <c r="OB121" s="9"/>
      <c r="OC121" s="9"/>
      <c r="OD121" s="9"/>
      <c r="OE121" s="9"/>
      <c r="OF121" s="9"/>
      <c r="OG121" s="9"/>
      <c r="OH121" s="9"/>
      <c r="OI121" s="9"/>
      <c r="OJ121" s="9"/>
      <c r="OK121" s="9"/>
      <c r="OL121" s="9"/>
      <c r="OM121" s="9"/>
      <c r="ON121" s="9"/>
      <c r="OO121" s="9"/>
      <c r="OP121" s="9"/>
      <c r="OQ121" s="9"/>
      <c r="OR121" s="9"/>
      <c r="OS121" s="9"/>
      <c r="OT121" s="9"/>
      <c r="OU121" s="9"/>
      <c r="OV121" s="9"/>
      <c r="OW121" s="9"/>
      <c r="OX121" s="9"/>
      <c r="OY121" s="9"/>
      <c r="OZ121" s="9"/>
      <c r="PA121" s="9"/>
      <c r="PB121" s="9"/>
      <c r="PC121" s="9"/>
      <c r="PD121" s="9"/>
      <c r="PE121" s="9"/>
      <c r="PF121" s="9"/>
      <c r="PG121" s="9"/>
      <c r="PH121" s="9"/>
      <c r="PI121" s="9"/>
      <c r="PJ121" s="9"/>
      <c r="PK121" s="9"/>
      <c r="PL121" s="9"/>
      <c r="PM121" s="9"/>
      <c r="PN121" s="9"/>
      <c r="PO121" s="9"/>
      <c r="PP121" s="9"/>
      <c r="PQ121" s="9"/>
      <c r="PR121" s="9"/>
      <c r="PS121" s="9"/>
      <c r="PT121" s="9"/>
      <c r="PU121" s="9"/>
      <c r="PV121" s="9"/>
      <c r="PW121" s="9"/>
      <c r="PX121" s="9"/>
      <c r="PY121" s="9"/>
      <c r="PZ121" s="9"/>
      <c r="QA121" s="9"/>
      <c r="QB121" s="9"/>
      <c r="QC121" s="9"/>
      <c r="QD121" s="9"/>
      <c r="QE121" s="9"/>
      <c r="QF121" s="9"/>
      <c r="QG121" s="9"/>
      <c r="QH121" s="9"/>
      <c r="QI121" s="9"/>
      <c r="QJ121" s="9"/>
      <c r="QK121" s="9"/>
      <c r="QL121" s="9"/>
      <c r="QM121" s="9"/>
      <c r="QN121" s="9"/>
      <c r="QO121" s="9"/>
      <c r="QP121" s="9"/>
      <c r="QQ121" s="9"/>
      <c r="QR121" s="9"/>
      <c r="QS121" s="9"/>
      <c r="QT121" s="9"/>
      <c r="QU121" s="9"/>
      <c r="QV121" s="9"/>
      <c r="QW121" s="9"/>
      <c r="QX121" s="9"/>
      <c r="QY121" s="9"/>
      <c r="QZ121" s="9"/>
      <c r="RA121" s="9"/>
      <c r="RB121" s="9"/>
      <c r="RC121" s="9"/>
      <c r="RD121" s="9"/>
      <c r="RE121" s="9"/>
      <c r="RF121" s="9"/>
      <c r="RG121" s="9"/>
      <c r="RH121" s="9"/>
      <c r="RI121" s="9"/>
      <c r="RJ121" s="9"/>
      <c r="RK121" s="9"/>
      <c r="RL121" s="9"/>
      <c r="RM121" s="9"/>
      <c r="RN121" s="9"/>
      <c r="RO121" s="9"/>
      <c r="RP121" s="9"/>
      <c r="RQ121" s="9"/>
      <c r="RR121" s="9"/>
      <c r="RS121" s="9"/>
      <c r="RT121" s="9"/>
      <c r="RU121" s="9"/>
      <c r="RV121" s="9"/>
      <c r="RW121" s="9"/>
      <c r="RX121" s="9"/>
      <c r="RY121" s="9"/>
      <c r="RZ121" s="9"/>
      <c r="SA121" s="9"/>
      <c r="SB121" s="9"/>
      <c r="SC121" s="9"/>
      <c r="SD121" s="9"/>
      <c r="SE121" s="9"/>
      <c r="SF121" s="9"/>
      <c r="SG121" s="9"/>
      <c r="SH121" s="9"/>
      <c r="SI121" s="9"/>
      <c r="SJ121" s="9"/>
      <c r="SK121" s="8"/>
      <c r="SL121" s="8"/>
      <c r="SM121" s="8"/>
      <c r="SN121" s="8"/>
      <c r="SO121" s="8"/>
      <c r="SP121" s="8"/>
      <c r="SQ121" s="8"/>
      <c r="SR121" s="8"/>
      <c r="SS121" s="8"/>
      <c r="ST121" s="8"/>
      <c r="SU121" s="8"/>
      <c r="SV121" s="8"/>
      <c r="SW121" s="8"/>
      <c r="SX121" s="8"/>
      <c r="SY121" s="8"/>
      <c r="SZ121" s="8"/>
      <c r="TA121" s="8"/>
      <c r="TB121" s="8"/>
      <c r="TC121" s="8"/>
      <c r="TD121" s="8"/>
      <c r="TE121" s="8"/>
      <c r="TF121" s="8"/>
      <c r="TG121" s="8"/>
      <c r="TH121" s="8"/>
      <c r="TI121" s="8"/>
      <c r="TJ121" s="8"/>
      <c r="TK121" s="8"/>
      <c r="TL121" s="8"/>
      <c r="TM121" s="8"/>
      <c r="TN121" s="8"/>
      <c r="TO121" s="8"/>
    </row>
    <row r="122" spans="1:535" x14ac:dyDescent="0.2">
      <c r="A122" s="7"/>
      <c r="B122" s="15"/>
      <c r="C122" s="15"/>
      <c r="D122" s="15"/>
      <c r="E122" s="15"/>
      <c r="F122" s="15"/>
      <c r="G122" s="15"/>
      <c r="H122" s="15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 s="9"/>
      <c r="ED122" s="9"/>
      <c r="EE122" s="9"/>
      <c r="EF122" s="9"/>
      <c r="EG122" s="9"/>
      <c r="EH122" s="9"/>
      <c r="EI122" s="9"/>
      <c r="EJ122" s="9"/>
      <c r="EK122" s="9"/>
      <c r="EL122" s="9"/>
      <c r="EM122" s="9"/>
      <c r="EN122" s="9"/>
      <c r="EO122" s="9"/>
      <c r="EP122" s="9"/>
      <c r="EQ122" s="9"/>
      <c r="ER122" s="9"/>
      <c r="ES122" s="9"/>
      <c r="ET122" s="9"/>
      <c r="EU122" s="9"/>
      <c r="EV122" s="9"/>
      <c r="EW122" s="9"/>
      <c r="EX122" s="9"/>
      <c r="EY122" s="9"/>
      <c r="EZ122" s="9"/>
      <c r="FA122" s="9"/>
      <c r="FB122" s="9"/>
      <c r="FC122" s="9"/>
      <c r="FD122" s="9"/>
      <c r="FE122" s="9"/>
      <c r="FF122" s="9"/>
      <c r="FG122" s="9"/>
      <c r="FH122" s="9"/>
      <c r="FI122" s="9"/>
      <c r="FJ122" s="9"/>
      <c r="FK122" s="9"/>
      <c r="FL122" s="9"/>
      <c r="FM122" s="9"/>
      <c r="FN122" s="9"/>
      <c r="FO122" s="9"/>
      <c r="FP122" s="9"/>
      <c r="FQ122" s="9"/>
      <c r="FR122" s="9"/>
      <c r="FS122" s="9"/>
      <c r="FT122" s="9"/>
      <c r="FU122" s="9"/>
      <c r="FV122" s="9"/>
      <c r="FW122" s="9"/>
      <c r="FX122" s="9"/>
      <c r="FY122" s="9"/>
      <c r="FZ122" s="9"/>
      <c r="GA122" s="9"/>
      <c r="GB122" s="9"/>
      <c r="GC122" s="9"/>
      <c r="GD122" s="9"/>
      <c r="GE122" s="9"/>
      <c r="GF122" s="9"/>
      <c r="GG122" s="9"/>
      <c r="GH122" s="9"/>
      <c r="GI122" s="9"/>
      <c r="GJ122" s="9"/>
      <c r="GK122" s="9"/>
      <c r="GL122" s="9"/>
      <c r="GM122" s="9"/>
      <c r="GN122" s="9"/>
      <c r="GO122" s="9"/>
      <c r="GP122" s="9"/>
      <c r="GQ122" s="9"/>
      <c r="GR122" s="9"/>
      <c r="GS122" s="9"/>
      <c r="GT122" s="9"/>
      <c r="GU122" s="9"/>
      <c r="GV122" s="9"/>
      <c r="GW122" s="9"/>
      <c r="GX122" s="9"/>
      <c r="GY122" s="9"/>
      <c r="GZ122" s="9"/>
      <c r="HA122" s="9"/>
      <c r="HB122" s="9"/>
      <c r="HC122" s="9"/>
      <c r="HD122" s="9"/>
      <c r="HE122" s="9"/>
      <c r="HF122" s="9"/>
      <c r="HG122" s="9"/>
      <c r="HH122" s="9"/>
      <c r="HI122" s="9"/>
      <c r="HJ122" s="9"/>
      <c r="HK122" s="9"/>
      <c r="HL122" s="9"/>
      <c r="HM122" s="9"/>
      <c r="HN122" s="9"/>
      <c r="HO122" s="9"/>
      <c r="HP122" s="9"/>
      <c r="HQ122" s="9"/>
      <c r="HR122" s="9"/>
      <c r="HS122" s="9"/>
      <c r="HT122" s="9"/>
      <c r="HU122" s="9"/>
      <c r="HV122" s="9"/>
      <c r="HW122" s="9"/>
      <c r="HX122" s="9"/>
      <c r="HY122" s="9"/>
      <c r="HZ122" s="9"/>
      <c r="IA122" s="9"/>
      <c r="IB122" s="9"/>
      <c r="IC122" s="9"/>
      <c r="ID122" s="9"/>
      <c r="IE122" s="9"/>
      <c r="IF122" s="9"/>
      <c r="IG122" s="9"/>
      <c r="IH122" s="9"/>
      <c r="II122" s="9"/>
      <c r="IJ122" s="9"/>
      <c r="IK122" s="9"/>
      <c r="IL122" s="9"/>
      <c r="IM122" s="9"/>
      <c r="IN122" s="9"/>
      <c r="IO122" s="9"/>
      <c r="IP122" s="9"/>
      <c r="IQ122" s="9"/>
      <c r="IR122" s="9"/>
      <c r="IS122" s="9"/>
      <c r="IT122" s="9"/>
      <c r="IU122" s="9"/>
      <c r="IV122" s="9"/>
      <c r="IW122" s="9"/>
      <c r="IX122" s="9"/>
      <c r="IY122" s="9"/>
      <c r="IZ122" s="9"/>
      <c r="JA122" s="9"/>
      <c r="JB122" s="9"/>
      <c r="JC122" s="9"/>
      <c r="JD122" s="9"/>
      <c r="JE122" s="9"/>
      <c r="JF122" s="9"/>
      <c r="JG122" s="9"/>
      <c r="JH122" s="9"/>
      <c r="JI122" s="9"/>
      <c r="JJ122" s="9"/>
      <c r="JK122" s="9"/>
      <c r="JL122" s="9"/>
      <c r="JM122" s="9"/>
      <c r="JN122" s="9"/>
      <c r="JO122" s="9"/>
      <c r="JP122" s="9"/>
      <c r="JQ122" s="9"/>
      <c r="JR122" s="9"/>
      <c r="JS122" s="9"/>
      <c r="JT122" s="9"/>
      <c r="JU122" s="9"/>
      <c r="JV122" s="9"/>
      <c r="JW122" s="9"/>
      <c r="JX122" s="9"/>
      <c r="JY122" s="9"/>
      <c r="JZ122" s="9"/>
      <c r="KA122" s="9"/>
      <c r="KB122" s="9"/>
      <c r="KC122" s="9"/>
      <c r="KD122" s="9"/>
      <c r="KE122" s="9"/>
      <c r="KF122" s="9"/>
      <c r="KG122" s="9"/>
      <c r="KH122" s="9"/>
      <c r="KI122" s="9"/>
      <c r="KJ122" s="9"/>
      <c r="KK122" s="9"/>
      <c r="KL122" s="9"/>
      <c r="KM122" s="9"/>
      <c r="KN122" s="9"/>
      <c r="KO122" s="9"/>
      <c r="KP122" s="9"/>
      <c r="KQ122" s="9"/>
      <c r="KR122" s="9"/>
      <c r="KS122" s="9"/>
      <c r="KT122" s="9"/>
      <c r="KU122" s="9"/>
      <c r="KV122" s="9"/>
      <c r="KW122" s="9"/>
      <c r="KX122" s="9"/>
      <c r="KY122" s="9"/>
      <c r="KZ122" s="9"/>
      <c r="LA122" s="9"/>
      <c r="LB122" s="9"/>
      <c r="LC122" s="9"/>
      <c r="LD122" s="9"/>
      <c r="LE122" s="9"/>
      <c r="LF122" s="9"/>
      <c r="LG122" s="9"/>
      <c r="LH122" s="9"/>
      <c r="LI122" s="9"/>
      <c r="LJ122" s="9"/>
      <c r="LK122" s="9"/>
      <c r="LL122" s="9"/>
      <c r="LM122" s="9"/>
      <c r="LN122" s="9"/>
      <c r="LO122" s="9"/>
      <c r="LP122" s="9"/>
      <c r="LQ122" s="9"/>
      <c r="LR122" s="9"/>
      <c r="LS122" s="9"/>
      <c r="LT122" s="9"/>
      <c r="LU122" s="9"/>
      <c r="LV122" s="9"/>
      <c r="LW122" s="9"/>
      <c r="LX122" s="9"/>
      <c r="LY122" s="9"/>
      <c r="LZ122" s="9"/>
      <c r="MA122" s="9"/>
      <c r="MB122" s="9"/>
      <c r="MC122" s="9"/>
      <c r="MD122" s="9"/>
      <c r="ME122" s="9"/>
      <c r="MF122" s="9"/>
      <c r="MG122" s="9"/>
      <c r="MH122" s="9"/>
      <c r="MI122" s="9"/>
      <c r="MJ122" s="9"/>
      <c r="MK122" s="9"/>
      <c r="ML122" s="9"/>
      <c r="MM122" s="9"/>
      <c r="MN122" s="9"/>
      <c r="MO122" s="9"/>
      <c r="MP122" s="9"/>
      <c r="MQ122" s="9"/>
      <c r="MR122" s="9"/>
      <c r="MS122" s="9"/>
      <c r="MT122" s="9"/>
      <c r="MU122" s="9"/>
      <c r="MV122" s="9"/>
      <c r="MW122" s="9"/>
      <c r="MX122" s="9"/>
      <c r="MY122" s="9"/>
      <c r="MZ122" s="9"/>
      <c r="NA122" s="9"/>
      <c r="NB122" s="9"/>
      <c r="NC122" s="9"/>
      <c r="ND122" s="9"/>
      <c r="NE122" s="9"/>
      <c r="NF122" s="9"/>
      <c r="NG122" s="9"/>
      <c r="NH122" s="9"/>
      <c r="NI122" s="9"/>
      <c r="NJ122" s="9"/>
      <c r="NK122" s="9"/>
      <c r="NL122" s="9"/>
      <c r="NM122" s="9"/>
      <c r="NN122" s="9"/>
      <c r="NO122" s="9"/>
      <c r="NP122" s="9"/>
      <c r="NQ122" s="9"/>
      <c r="NR122" s="9"/>
      <c r="NS122" s="9"/>
      <c r="NT122" s="9"/>
      <c r="NU122" s="9"/>
      <c r="NV122" s="9"/>
      <c r="NW122" s="9"/>
      <c r="NX122" s="9"/>
      <c r="NY122" s="9"/>
      <c r="NZ122" s="9"/>
      <c r="OA122" s="9"/>
      <c r="OB122" s="9"/>
      <c r="OC122" s="9"/>
      <c r="OD122" s="9"/>
      <c r="OE122" s="9"/>
      <c r="OF122" s="9"/>
      <c r="OG122" s="9"/>
      <c r="OH122" s="9"/>
      <c r="OI122" s="9"/>
      <c r="OJ122" s="9"/>
      <c r="OK122" s="9"/>
      <c r="OL122" s="9"/>
      <c r="OM122" s="9"/>
      <c r="ON122" s="9"/>
      <c r="OO122" s="9"/>
      <c r="OP122" s="9"/>
      <c r="OQ122" s="9"/>
      <c r="OR122" s="9"/>
      <c r="OS122" s="9"/>
      <c r="OT122" s="9"/>
      <c r="OU122" s="9"/>
      <c r="OV122" s="9"/>
      <c r="OW122" s="9"/>
      <c r="OX122" s="9"/>
      <c r="OY122" s="9"/>
      <c r="OZ122" s="9"/>
      <c r="PA122" s="9"/>
      <c r="PB122" s="9"/>
      <c r="PC122" s="9"/>
      <c r="PD122" s="9"/>
      <c r="PE122" s="9"/>
      <c r="PF122" s="9"/>
      <c r="PG122" s="9"/>
      <c r="PH122" s="9"/>
      <c r="PI122" s="9"/>
      <c r="PJ122" s="9"/>
      <c r="PK122" s="9"/>
      <c r="PL122" s="9"/>
      <c r="PM122" s="9"/>
      <c r="PN122" s="9"/>
      <c r="PO122" s="9"/>
      <c r="PP122" s="9"/>
      <c r="PQ122" s="9"/>
      <c r="PR122" s="9"/>
      <c r="PS122" s="9"/>
      <c r="PT122" s="9"/>
      <c r="PU122" s="9"/>
      <c r="PV122" s="9"/>
      <c r="PW122" s="9"/>
      <c r="PX122" s="9"/>
      <c r="PY122" s="9"/>
      <c r="PZ122" s="9"/>
      <c r="QA122" s="9"/>
      <c r="QB122" s="9"/>
      <c r="QC122" s="9"/>
      <c r="QD122" s="9"/>
      <c r="QE122" s="9"/>
      <c r="QF122" s="9"/>
      <c r="QG122" s="9"/>
      <c r="QH122" s="9"/>
      <c r="QI122" s="9"/>
      <c r="QJ122" s="9"/>
      <c r="QK122" s="9"/>
      <c r="QL122" s="9"/>
      <c r="QM122" s="9"/>
      <c r="QN122" s="9"/>
      <c r="QO122" s="9"/>
      <c r="QP122" s="9"/>
      <c r="QQ122" s="9"/>
      <c r="QR122" s="9"/>
      <c r="QS122" s="9"/>
      <c r="QT122" s="9"/>
      <c r="QU122" s="9"/>
      <c r="QV122" s="9"/>
      <c r="QW122" s="9"/>
      <c r="QX122" s="9"/>
      <c r="QY122" s="9"/>
      <c r="QZ122" s="9"/>
      <c r="RA122" s="9"/>
      <c r="RB122" s="9"/>
      <c r="RC122" s="9"/>
      <c r="RD122" s="9"/>
      <c r="RE122" s="9"/>
      <c r="RF122" s="9"/>
      <c r="RG122" s="9"/>
      <c r="RH122" s="9"/>
      <c r="RI122" s="9"/>
      <c r="RJ122" s="9"/>
      <c r="RK122" s="9"/>
      <c r="RL122" s="9"/>
      <c r="RM122" s="9"/>
      <c r="RN122" s="9"/>
      <c r="RO122" s="9"/>
      <c r="RP122" s="9"/>
      <c r="RQ122" s="9"/>
      <c r="RR122" s="9"/>
      <c r="RS122" s="9"/>
      <c r="RT122" s="9"/>
      <c r="RU122" s="9"/>
      <c r="RV122" s="9"/>
      <c r="RW122" s="9"/>
      <c r="RX122" s="9"/>
      <c r="RY122" s="9"/>
      <c r="RZ122" s="9"/>
      <c r="SA122" s="9"/>
      <c r="SB122" s="9"/>
      <c r="SC122" s="9"/>
      <c r="SD122" s="9"/>
      <c r="SE122" s="9"/>
      <c r="SF122" s="9"/>
      <c r="SG122" s="9"/>
      <c r="SH122" s="9"/>
      <c r="SI122" s="9"/>
      <c r="SJ122" s="9"/>
      <c r="SK122" s="8"/>
      <c r="SL122" s="8"/>
      <c r="SM122" s="8"/>
      <c r="SN122" s="8"/>
      <c r="SO122" s="8"/>
      <c r="SP122" s="8"/>
      <c r="SQ122" s="8"/>
      <c r="SR122" s="8"/>
      <c r="SS122" s="8"/>
      <c r="ST122" s="8"/>
      <c r="SU122" s="8"/>
      <c r="SV122" s="8"/>
      <c r="SW122" s="8"/>
      <c r="SX122" s="8"/>
      <c r="SY122" s="8"/>
      <c r="SZ122" s="8"/>
      <c r="TA122" s="8"/>
      <c r="TB122" s="8"/>
      <c r="TC122" s="8"/>
      <c r="TD122" s="8"/>
      <c r="TE122" s="8"/>
      <c r="TF122" s="8"/>
      <c r="TG122" s="8"/>
      <c r="TH122" s="8"/>
      <c r="TI122" s="8"/>
      <c r="TJ122" s="8"/>
      <c r="TK122" s="8"/>
      <c r="TL122" s="8"/>
      <c r="TM122" s="8"/>
      <c r="TN122" s="8"/>
      <c r="TO122" s="8"/>
    </row>
    <row r="123" spans="1:535" x14ac:dyDescent="0.2">
      <c r="A123" s="7"/>
      <c r="B123" s="15"/>
      <c r="C123" s="15"/>
      <c r="D123" s="15"/>
      <c r="E123" s="15"/>
      <c r="F123" s="15"/>
      <c r="G123" s="15"/>
      <c r="H123" s="15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9"/>
      <c r="EA123" s="9"/>
      <c r="EB123" s="9"/>
      <c r="EC123" s="9"/>
      <c r="ED123" s="9"/>
      <c r="EE123" s="9"/>
      <c r="EF123" s="9"/>
      <c r="EG123" s="9"/>
      <c r="EH123" s="9"/>
      <c r="EI123" s="9"/>
      <c r="EJ123" s="9"/>
      <c r="EK123" s="9"/>
      <c r="EL123" s="9"/>
      <c r="EM123" s="9"/>
      <c r="EN123" s="9"/>
      <c r="EO123" s="9"/>
      <c r="EP123" s="9"/>
      <c r="EQ123" s="9"/>
      <c r="ER123" s="9"/>
      <c r="ES123" s="9"/>
      <c r="ET123" s="9"/>
      <c r="EU123" s="9"/>
      <c r="EV123" s="9"/>
      <c r="EW123" s="9"/>
      <c r="EX123" s="9"/>
      <c r="EY123" s="9"/>
      <c r="EZ123" s="9"/>
      <c r="FA123" s="9"/>
      <c r="FB123" s="9"/>
      <c r="FC123" s="9"/>
      <c r="FD123" s="9"/>
      <c r="FE123" s="9"/>
      <c r="FF123" s="9"/>
      <c r="FG123" s="9"/>
      <c r="FH123" s="9"/>
      <c r="FI123" s="9"/>
      <c r="FJ123" s="9"/>
      <c r="FK123" s="9"/>
      <c r="FL123" s="9"/>
      <c r="FM123" s="9"/>
      <c r="FN123" s="9"/>
      <c r="FO123" s="9"/>
      <c r="FP123" s="9"/>
      <c r="FQ123" s="9"/>
      <c r="FR123" s="9"/>
      <c r="FS123" s="9"/>
      <c r="FT123" s="9"/>
      <c r="FU123" s="9"/>
      <c r="FV123" s="9"/>
      <c r="FW123" s="9"/>
      <c r="FX123" s="9"/>
      <c r="FY123" s="9"/>
      <c r="FZ123" s="9"/>
      <c r="GA123" s="9"/>
      <c r="GB123" s="9"/>
      <c r="GC123" s="9"/>
      <c r="GD123" s="9"/>
      <c r="GE123" s="9"/>
      <c r="GF123" s="9"/>
      <c r="GG123" s="9"/>
      <c r="GH123" s="9"/>
      <c r="GI123" s="9"/>
      <c r="GJ123" s="9"/>
      <c r="GK123" s="9"/>
      <c r="GL123" s="9"/>
      <c r="GM123" s="9"/>
      <c r="GN123" s="9"/>
      <c r="GO123" s="9"/>
      <c r="GP123" s="9"/>
      <c r="GQ123" s="9"/>
      <c r="GR123" s="9"/>
      <c r="GS123" s="9"/>
      <c r="GT123" s="9"/>
      <c r="GU123" s="9"/>
      <c r="GV123" s="9"/>
      <c r="GW123" s="9"/>
      <c r="GX123" s="9"/>
      <c r="GY123" s="9"/>
      <c r="GZ123" s="9"/>
      <c r="HA123" s="9"/>
      <c r="HB123" s="9"/>
      <c r="HC123" s="9"/>
      <c r="HD123" s="9"/>
      <c r="HE123" s="9"/>
      <c r="HF123" s="9"/>
      <c r="HG123" s="9"/>
      <c r="HH123" s="9"/>
      <c r="HI123" s="9"/>
      <c r="HJ123" s="9"/>
      <c r="HK123" s="9"/>
      <c r="HL123" s="9"/>
      <c r="HM123" s="9"/>
      <c r="HN123" s="9"/>
      <c r="HO123" s="9"/>
      <c r="HP123" s="9"/>
      <c r="HQ123" s="9"/>
      <c r="HR123" s="9"/>
      <c r="HS123" s="9"/>
      <c r="HT123" s="9"/>
      <c r="HU123" s="9"/>
      <c r="HV123" s="9"/>
      <c r="HW123" s="9"/>
      <c r="HX123" s="9"/>
      <c r="HY123" s="9"/>
      <c r="HZ123" s="9"/>
      <c r="IA123" s="9"/>
      <c r="IB123" s="9"/>
      <c r="IC123" s="9"/>
      <c r="ID123" s="9"/>
      <c r="IE123" s="9"/>
      <c r="IF123" s="9"/>
      <c r="IG123" s="9"/>
      <c r="IH123" s="9"/>
      <c r="II123" s="9"/>
      <c r="IJ123" s="9"/>
      <c r="IK123" s="9"/>
      <c r="IL123" s="9"/>
      <c r="IM123" s="9"/>
      <c r="IN123" s="9"/>
      <c r="IO123" s="9"/>
      <c r="IP123" s="9"/>
      <c r="IQ123" s="9"/>
      <c r="IR123" s="9"/>
      <c r="IS123" s="9"/>
      <c r="IT123" s="9"/>
      <c r="IU123" s="9"/>
      <c r="IV123" s="9"/>
      <c r="IW123" s="9"/>
      <c r="IX123" s="9"/>
      <c r="IY123" s="9"/>
      <c r="IZ123" s="9"/>
      <c r="JA123" s="9"/>
      <c r="JB123" s="9"/>
      <c r="JC123" s="9"/>
      <c r="JD123" s="9"/>
      <c r="JE123" s="9"/>
      <c r="JF123" s="9"/>
      <c r="JG123" s="9"/>
      <c r="JH123" s="9"/>
      <c r="JI123" s="9"/>
      <c r="JJ123" s="9"/>
      <c r="JK123" s="9"/>
      <c r="JL123" s="9"/>
      <c r="JM123" s="9"/>
      <c r="JN123" s="9"/>
      <c r="JO123" s="9"/>
      <c r="JP123" s="9"/>
      <c r="JQ123" s="9"/>
      <c r="JR123" s="9"/>
      <c r="JS123" s="9"/>
      <c r="JT123" s="9"/>
      <c r="JU123" s="9"/>
      <c r="JV123" s="9"/>
      <c r="JW123" s="9"/>
      <c r="JX123" s="9"/>
      <c r="JY123" s="9"/>
      <c r="JZ123" s="9"/>
      <c r="KA123" s="9"/>
      <c r="KB123" s="9"/>
      <c r="KC123" s="9"/>
      <c r="KD123" s="9"/>
      <c r="KE123" s="9"/>
      <c r="KF123" s="9"/>
      <c r="KG123" s="9"/>
      <c r="KH123" s="9"/>
      <c r="KI123" s="9"/>
      <c r="KJ123" s="9"/>
      <c r="KK123" s="9"/>
      <c r="KL123" s="9"/>
      <c r="KM123" s="9"/>
      <c r="KN123" s="9"/>
      <c r="KO123" s="9"/>
      <c r="KP123" s="9"/>
      <c r="KQ123" s="9"/>
      <c r="KR123" s="9"/>
      <c r="KS123" s="9"/>
      <c r="KT123" s="9"/>
      <c r="KU123" s="9"/>
      <c r="KV123" s="9"/>
      <c r="KW123" s="9"/>
      <c r="KX123" s="9"/>
      <c r="KY123" s="9"/>
      <c r="KZ123" s="9"/>
      <c r="LA123" s="9"/>
      <c r="LB123" s="9"/>
      <c r="LC123" s="9"/>
      <c r="LD123" s="9"/>
      <c r="LE123" s="9"/>
      <c r="LF123" s="9"/>
      <c r="LG123" s="9"/>
      <c r="LH123" s="9"/>
      <c r="LI123" s="9"/>
      <c r="LJ123" s="9"/>
      <c r="LK123" s="9"/>
      <c r="LL123" s="9"/>
      <c r="LM123" s="9"/>
      <c r="LN123" s="9"/>
      <c r="LO123" s="9"/>
      <c r="LP123" s="9"/>
      <c r="LQ123" s="9"/>
      <c r="LR123" s="9"/>
      <c r="LS123" s="9"/>
      <c r="LT123" s="9"/>
      <c r="LU123" s="9"/>
      <c r="LV123" s="9"/>
      <c r="LW123" s="9"/>
      <c r="LX123" s="9"/>
      <c r="LY123" s="9"/>
      <c r="LZ123" s="9"/>
      <c r="MA123" s="9"/>
      <c r="MB123" s="9"/>
      <c r="MC123" s="9"/>
      <c r="MD123" s="9"/>
      <c r="ME123" s="9"/>
      <c r="MF123" s="9"/>
      <c r="MG123" s="9"/>
      <c r="MH123" s="9"/>
      <c r="MI123" s="9"/>
      <c r="MJ123" s="9"/>
      <c r="MK123" s="9"/>
      <c r="ML123" s="9"/>
      <c r="MM123" s="9"/>
      <c r="MN123" s="9"/>
      <c r="MO123" s="9"/>
      <c r="MP123" s="9"/>
      <c r="MQ123" s="9"/>
      <c r="MR123" s="9"/>
      <c r="MS123" s="9"/>
      <c r="MT123" s="9"/>
      <c r="MU123" s="9"/>
      <c r="MV123" s="9"/>
      <c r="MW123" s="9"/>
      <c r="MX123" s="9"/>
      <c r="MY123" s="9"/>
      <c r="MZ123" s="9"/>
      <c r="NA123" s="9"/>
      <c r="NB123" s="9"/>
      <c r="NC123" s="9"/>
      <c r="ND123" s="9"/>
      <c r="NE123" s="9"/>
      <c r="NF123" s="9"/>
      <c r="NG123" s="9"/>
      <c r="NH123" s="9"/>
      <c r="NI123" s="9"/>
      <c r="NJ123" s="9"/>
      <c r="NK123" s="9"/>
      <c r="NL123" s="9"/>
      <c r="NM123" s="9"/>
      <c r="NN123" s="9"/>
      <c r="NO123" s="9"/>
      <c r="NP123" s="9"/>
      <c r="NQ123" s="9"/>
      <c r="NR123" s="9"/>
      <c r="NS123" s="9"/>
      <c r="NT123" s="9"/>
      <c r="NU123" s="9"/>
      <c r="NV123" s="9"/>
      <c r="NW123" s="9"/>
      <c r="NX123" s="9"/>
      <c r="NY123" s="9"/>
      <c r="NZ123" s="9"/>
      <c r="OA123" s="9"/>
      <c r="OB123" s="9"/>
      <c r="OC123" s="9"/>
      <c r="OD123" s="9"/>
      <c r="OE123" s="9"/>
      <c r="OF123" s="9"/>
      <c r="OG123" s="9"/>
      <c r="OH123" s="9"/>
      <c r="OI123" s="9"/>
      <c r="OJ123" s="9"/>
      <c r="OK123" s="9"/>
      <c r="OL123" s="9"/>
      <c r="OM123" s="9"/>
      <c r="ON123" s="9"/>
      <c r="OO123" s="9"/>
      <c r="OP123" s="9"/>
      <c r="OQ123" s="9"/>
      <c r="OR123" s="9"/>
      <c r="OS123" s="9"/>
      <c r="OT123" s="9"/>
      <c r="OU123" s="9"/>
      <c r="OV123" s="9"/>
      <c r="OW123" s="9"/>
      <c r="OX123" s="9"/>
      <c r="OY123" s="9"/>
      <c r="OZ123" s="9"/>
      <c r="PA123" s="9"/>
      <c r="PB123" s="9"/>
      <c r="PC123" s="9"/>
      <c r="PD123" s="9"/>
      <c r="PE123" s="9"/>
      <c r="PF123" s="9"/>
      <c r="PG123" s="9"/>
      <c r="PH123" s="9"/>
      <c r="PI123" s="9"/>
      <c r="PJ123" s="9"/>
      <c r="PK123" s="9"/>
      <c r="PL123" s="9"/>
      <c r="PM123" s="9"/>
      <c r="PN123" s="9"/>
      <c r="PO123" s="9"/>
      <c r="PP123" s="9"/>
      <c r="PQ123" s="9"/>
      <c r="PR123" s="9"/>
      <c r="PS123" s="9"/>
      <c r="PT123" s="9"/>
      <c r="PU123" s="9"/>
      <c r="PV123" s="9"/>
      <c r="PW123" s="9"/>
      <c r="PX123" s="9"/>
      <c r="PY123" s="9"/>
      <c r="PZ123" s="9"/>
      <c r="QA123" s="9"/>
      <c r="QB123" s="9"/>
      <c r="QC123" s="9"/>
      <c r="QD123" s="9"/>
      <c r="QE123" s="9"/>
      <c r="QF123" s="9"/>
      <c r="QG123" s="9"/>
      <c r="QH123" s="9"/>
      <c r="QI123" s="9"/>
      <c r="QJ123" s="9"/>
      <c r="QK123" s="9"/>
      <c r="QL123" s="9"/>
      <c r="QM123" s="9"/>
      <c r="QN123" s="9"/>
      <c r="QO123" s="9"/>
      <c r="QP123" s="9"/>
      <c r="QQ123" s="9"/>
      <c r="QR123" s="9"/>
      <c r="QS123" s="9"/>
      <c r="QT123" s="9"/>
      <c r="QU123" s="9"/>
      <c r="QV123" s="9"/>
      <c r="QW123" s="9"/>
      <c r="QX123" s="9"/>
      <c r="QY123" s="9"/>
      <c r="QZ123" s="9"/>
      <c r="RA123" s="9"/>
      <c r="RB123" s="9"/>
      <c r="RC123" s="9"/>
      <c r="RD123" s="9"/>
      <c r="RE123" s="9"/>
      <c r="RF123" s="9"/>
      <c r="RG123" s="9"/>
      <c r="RH123" s="9"/>
      <c r="RI123" s="9"/>
      <c r="RJ123" s="9"/>
      <c r="RK123" s="9"/>
      <c r="RL123" s="9"/>
      <c r="RM123" s="9"/>
      <c r="RN123" s="9"/>
      <c r="RO123" s="9"/>
      <c r="RP123" s="9"/>
      <c r="RQ123" s="9"/>
      <c r="RR123" s="9"/>
      <c r="RS123" s="9"/>
      <c r="RT123" s="9"/>
      <c r="RU123" s="9"/>
      <c r="RV123" s="9"/>
      <c r="RW123" s="9"/>
      <c r="RX123" s="9"/>
      <c r="RY123" s="9"/>
      <c r="RZ123" s="9"/>
      <c r="SA123" s="9"/>
      <c r="SB123" s="9"/>
      <c r="SC123" s="9"/>
      <c r="SD123" s="9"/>
      <c r="SE123" s="9"/>
      <c r="SF123" s="9"/>
      <c r="SG123" s="9"/>
      <c r="SH123" s="9"/>
      <c r="SI123" s="9"/>
      <c r="SJ123" s="9"/>
      <c r="SK123" s="8"/>
      <c r="SL123" s="8"/>
      <c r="SM123" s="8"/>
      <c r="SN123" s="8"/>
      <c r="SO123" s="8"/>
      <c r="SP123" s="8"/>
      <c r="SQ123" s="8"/>
      <c r="SR123" s="8"/>
      <c r="SS123" s="8"/>
      <c r="ST123" s="8"/>
      <c r="SU123" s="8"/>
      <c r="SV123" s="8"/>
      <c r="SW123" s="8"/>
      <c r="SX123" s="8"/>
      <c r="SY123" s="8"/>
      <c r="SZ123" s="8"/>
      <c r="TA123" s="8"/>
      <c r="TB123" s="8"/>
      <c r="TC123" s="8"/>
      <c r="TD123" s="8"/>
      <c r="TE123" s="8"/>
      <c r="TF123" s="8"/>
      <c r="TG123" s="8"/>
      <c r="TH123" s="8"/>
      <c r="TI123" s="8"/>
      <c r="TJ123" s="8"/>
      <c r="TK123" s="8"/>
      <c r="TL123" s="8"/>
      <c r="TM123" s="8"/>
      <c r="TN123" s="8"/>
      <c r="TO123" s="8"/>
    </row>
    <row r="124" spans="1:535" x14ac:dyDescent="0.2">
      <c r="A124" s="7"/>
      <c r="B124" s="15"/>
      <c r="C124" s="15"/>
      <c r="D124" s="15"/>
      <c r="E124" s="15"/>
      <c r="F124" s="15"/>
      <c r="G124" s="15"/>
      <c r="H124" s="15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9"/>
      <c r="DP124" s="9"/>
      <c r="DQ124" s="9"/>
      <c r="DR124" s="9"/>
      <c r="DS124" s="9"/>
      <c r="DT124" s="9"/>
      <c r="DU124" s="9"/>
      <c r="DV124" s="9"/>
      <c r="DW124" s="9"/>
      <c r="DX124" s="9"/>
      <c r="DY124" s="9"/>
      <c r="DZ124" s="9"/>
      <c r="EA124" s="9"/>
      <c r="EB124" s="9"/>
      <c r="EC124" s="9"/>
      <c r="ED124" s="9"/>
      <c r="EE124" s="9"/>
      <c r="EF124" s="9"/>
      <c r="EG124" s="9"/>
      <c r="EH124" s="9"/>
      <c r="EI124" s="9"/>
      <c r="EJ124" s="9"/>
      <c r="EK124" s="9"/>
      <c r="EL124" s="9"/>
      <c r="EM124" s="9"/>
      <c r="EN124" s="9"/>
      <c r="EO124" s="9"/>
      <c r="EP124" s="9"/>
      <c r="EQ124" s="9"/>
      <c r="ER124" s="9"/>
      <c r="ES124" s="9"/>
      <c r="ET124" s="9"/>
      <c r="EU124" s="9"/>
      <c r="EV124" s="9"/>
      <c r="EW124" s="9"/>
      <c r="EX124" s="9"/>
      <c r="EY124" s="9"/>
      <c r="EZ124" s="9"/>
      <c r="FA124" s="9"/>
      <c r="FB124" s="9"/>
      <c r="FC124" s="9"/>
      <c r="FD124" s="9"/>
      <c r="FE124" s="9"/>
      <c r="FF124" s="9"/>
      <c r="FG124" s="9"/>
      <c r="FH124" s="9"/>
      <c r="FI124" s="9"/>
      <c r="FJ124" s="9"/>
      <c r="FK124" s="9"/>
      <c r="FL124" s="9"/>
      <c r="FM124" s="9"/>
      <c r="FN124" s="9"/>
      <c r="FO124" s="9"/>
      <c r="FP124" s="9"/>
      <c r="FQ124" s="9"/>
      <c r="FR124" s="9"/>
      <c r="FS124" s="9"/>
      <c r="FT124" s="9"/>
      <c r="FU124" s="9"/>
      <c r="FV124" s="9"/>
      <c r="FW124" s="9"/>
      <c r="FX124" s="9"/>
      <c r="FY124" s="9"/>
      <c r="FZ124" s="9"/>
      <c r="GA124" s="9"/>
      <c r="GB124" s="9"/>
      <c r="GC124" s="9"/>
      <c r="GD124" s="9"/>
      <c r="GE124" s="9"/>
      <c r="GF124" s="9"/>
      <c r="GG124" s="9"/>
      <c r="GH124" s="9"/>
      <c r="GI124" s="9"/>
      <c r="GJ124" s="9"/>
      <c r="GK124" s="9"/>
      <c r="GL124" s="9"/>
      <c r="GM124" s="9"/>
      <c r="GN124" s="9"/>
      <c r="GO124" s="9"/>
      <c r="GP124" s="9"/>
      <c r="GQ124" s="9"/>
      <c r="GR124" s="9"/>
      <c r="GS124" s="9"/>
      <c r="GT124" s="9"/>
      <c r="GU124" s="9"/>
      <c r="GV124" s="9"/>
      <c r="GW124" s="9"/>
      <c r="GX124" s="9"/>
      <c r="GY124" s="9"/>
      <c r="GZ124" s="9"/>
      <c r="HA124" s="9"/>
      <c r="HB124" s="9"/>
      <c r="HC124" s="9"/>
      <c r="HD124" s="9"/>
      <c r="HE124" s="9"/>
      <c r="HF124" s="9"/>
      <c r="HG124" s="9"/>
      <c r="HH124" s="9"/>
      <c r="HI124" s="9"/>
      <c r="HJ124" s="9"/>
      <c r="HK124" s="9"/>
      <c r="HL124" s="9"/>
      <c r="HM124" s="9"/>
      <c r="HN124" s="9"/>
      <c r="HO124" s="9"/>
      <c r="HP124" s="9"/>
      <c r="HQ124" s="9"/>
      <c r="HR124" s="9"/>
      <c r="HS124" s="9"/>
      <c r="HT124" s="9"/>
      <c r="HU124" s="9"/>
      <c r="HV124" s="9"/>
      <c r="HW124" s="9"/>
      <c r="HX124" s="9"/>
      <c r="HY124" s="9"/>
      <c r="HZ124" s="9"/>
      <c r="IA124" s="9"/>
      <c r="IB124" s="9"/>
      <c r="IC124" s="9"/>
      <c r="ID124" s="9"/>
      <c r="IE124" s="9"/>
      <c r="IF124" s="9"/>
      <c r="IG124" s="9"/>
      <c r="IH124" s="9"/>
      <c r="II124" s="9"/>
      <c r="IJ124" s="9"/>
      <c r="IK124" s="9"/>
      <c r="IL124" s="9"/>
      <c r="IM124" s="9"/>
      <c r="IN124" s="9"/>
      <c r="IO124" s="9"/>
      <c r="IP124" s="9"/>
      <c r="IQ124" s="9"/>
      <c r="IR124" s="9"/>
      <c r="IS124" s="9"/>
      <c r="IT124" s="9"/>
      <c r="IU124" s="9"/>
      <c r="IV124" s="9"/>
      <c r="IW124" s="9"/>
      <c r="IX124" s="9"/>
      <c r="IY124" s="9"/>
      <c r="IZ124" s="9"/>
      <c r="JA124" s="9"/>
      <c r="JB124" s="9"/>
      <c r="JC124" s="9"/>
      <c r="JD124" s="9"/>
      <c r="JE124" s="9"/>
      <c r="JF124" s="9"/>
      <c r="JG124" s="9"/>
      <c r="JH124" s="9"/>
      <c r="JI124" s="9"/>
      <c r="JJ124" s="9"/>
      <c r="JK124" s="9"/>
      <c r="JL124" s="9"/>
      <c r="JM124" s="9"/>
      <c r="JN124" s="9"/>
      <c r="JO124" s="9"/>
      <c r="JP124" s="9"/>
      <c r="JQ124" s="9"/>
      <c r="JR124" s="9"/>
      <c r="JS124" s="9"/>
      <c r="JT124" s="9"/>
      <c r="JU124" s="9"/>
      <c r="JV124" s="9"/>
      <c r="JW124" s="9"/>
      <c r="JX124" s="9"/>
      <c r="JY124" s="9"/>
      <c r="JZ124" s="9"/>
      <c r="KA124" s="9"/>
      <c r="KB124" s="9"/>
      <c r="KC124" s="9"/>
      <c r="KD124" s="9"/>
      <c r="KE124" s="9"/>
      <c r="KF124" s="9"/>
      <c r="KG124" s="9"/>
      <c r="KH124" s="9"/>
      <c r="KI124" s="9"/>
      <c r="KJ124" s="9"/>
      <c r="KK124" s="9"/>
      <c r="KL124" s="9"/>
      <c r="KM124" s="9"/>
      <c r="KN124" s="9"/>
      <c r="KO124" s="9"/>
      <c r="KP124" s="9"/>
      <c r="KQ124" s="9"/>
      <c r="KR124" s="9"/>
      <c r="KS124" s="9"/>
      <c r="KT124" s="9"/>
      <c r="KU124" s="9"/>
      <c r="KV124" s="9"/>
      <c r="KW124" s="9"/>
      <c r="KX124" s="9"/>
      <c r="KY124" s="9"/>
      <c r="KZ124" s="9"/>
      <c r="LA124" s="9"/>
      <c r="LB124" s="9"/>
      <c r="LC124" s="9"/>
      <c r="LD124" s="9"/>
      <c r="LE124" s="9"/>
      <c r="LF124" s="9"/>
      <c r="LG124" s="9"/>
      <c r="LH124" s="9"/>
      <c r="LI124" s="9"/>
      <c r="LJ124" s="9"/>
      <c r="LK124" s="9"/>
      <c r="LL124" s="9"/>
      <c r="LM124" s="9"/>
      <c r="LN124" s="9"/>
      <c r="LO124" s="9"/>
      <c r="LP124" s="9"/>
      <c r="LQ124" s="9"/>
      <c r="LR124" s="9"/>
      <c r="LS124" s="9"/>
      <c r="LT124" s="9"/>
      <c r="LU124" s="9"/>
      <c r="LV124" s="9"/>
      <c r="LW124" s="9"/>
      <c r="LX124" s="9"/>
      <c r="LY124" s="9"/>
      <c r="LZ124" s="9"/>
      <c r="MA124" s="9"/>
      <c r="MB124" s="9"/>
      <c r="MC124" s="9"/>
      <c r="MD124" s="9"/>
      <c r="ME124" s="9"/>
      <c r="MF124" s="9"/>
      <c r="MG124" s="9"/>
      <c r="MH124" s="9"/>
      <c r="MI124" s="9"/>
      <c r="MJ124" s="9"/>
      <c r="MK124" s="9"/>
      <c r="ML124" s="9"/>
      <c r="MM124" s="9"/>
      <c r="MN124" s="9"/>
      <c r="MO124" s="9"/>
      <c r="MP124" s="9"/>
      <c r="MQ124" s="9"/>
      <c r="MR124" s="9"/>
      <c r="MS124" s="9"/>
      <c r="MT124" s="9"/>
      <c r="MU124" s="9"/>
      <c r="MV124" s="9"/>
      <c r="MW124" s="9"/>
      <c r="MX124" s="9"/>
      <c r="MY124" s="9"/>
      <c r="MZ124" s="9"/>
      <c r="NA124" s="9"/>
      <c r="NB124" s="9"/>
      <c r="NC124" s="9"/>
      <c r="ND124" s="9"/>
      <c r="NE124" s="9"/>
      <c r="NF124" s="9"/>
      <c r="NG124" s="9"/>
      <c r="NH124" s="9"/>
      <c r="NI124" s="9"/>
      <c r="NJ124" s="9"/>
      <c r="NK124" s="9"/>
      <c r="NL124" s="9"/>
      <c r="NM124" s="9"/>
      <c r="NN124" s="9"/>
      <c r="NO124" s="9"/>
      <c r="NP124" s="9"/>
      <c r="NQ124" s="9"/>
      <c r="NR124" s="9"/>
      <c r="NS124" s="9"/>
      <c r="NT124" s="9"/>
      <c r="NU124" s="9"/>
      <c r="NV124" s="9"/>
      <c r="NW124" s="9"/>
      <c r="NX124" s="9"/>
      <c r="NY124" s="9"/>
      <c r="NZ124" s="9"/>
      <c r="OA124" s="9"/>
      <c r="OB124" s="9"/>
      <c r="OC124" s="9"/>
      <c r="OD124" s="9"/>
      <c r="OE124" s="9"/>
      <c r="OF124" s="9"/>
      <c r="OG124" s="9"/>
      <c r="OH124" s="9"/>
      <c r="OI124" s="9"/>
      <c r="OJ124" s="9"/>
      <c r="OK124" s="9"/>
      <c r="OL124" s="9"/>
      <c r="OM124" s="9"/>
      <c r="ON124" s="9"/>
      <c r="OO124" s="9"/>
      <c r="OP124" s="9"/>
      <c r="OQ124" s="9"/>
      <c r="OR124" s="9"/>
      <c r="OS124" s="9"/>
      <c r="OT124" s="9"/>
      <c r="OU124" s="9"/>
      <c r="OV124" s="9"/>
      <c r="OW124" s="9"/>
      <c r="OX124" s="9"/>
      <c r="OY124" s="9"/>
      <c r="OZ124" s="9"/>
      <c r="PA124" s="9"/>
      <c r="PB124" s="9"/>
      <c r="PC124" s="9"/>
      <c r="PD124" s="9"/>
      <c r="PE124" s="9"/>
      <c r="PF124" s="9"/>
      <c r="PG124" s="9"/>
      <c r="PH124" s="9"/>
      <c r="PI124" s="9"/>
      <c r="PJ124" s="9"/>
      <c r="PK124" s="9"/>
      <c r="PL124" s="9"/>
      <c r="PM124" s="9"/>
      <c r="PN124" s="9"/>
      <c r="PO124" s="9"/>
      <c r="PP124" s="9"/>
      <c r="PQ124" s="9"/>
      <c r="PR124" s="9"/>
      <c r="PS124" s="9"/>
      <c r="PT124" s="9"/>
      <c r="PU124" s="9"/>
      <c r="PV124" s="9"/>
      <c r="PW124" s="9"/>
      <c r="PX124" s="9"/>
      <c r="PY124" s="9"/>
      <c r="PZ124" s="9"/>
      <c r="QA124" s="9"/>
      <c r="QB124" s="9"/>
      <c r="QC124" s="9"/>
      <c r="QD124" s="9"/>
      <c r="QE124" s="9"/>
      <c r="QF124" s="9"/>
      <c r="QG124" s="9"/>
      <c r="QH124" s="9"/>
      <c r="QI124" s="9"/>
      <c r="QJ124" s="9"/>
      <c r="QK124" s="9"/>
      <c r="QL124" s="9"/>
      <c r="QM124" s="9"/>
      <c r="QN124" s="9"/>
      <c r="QO124" s="9"/>
      <c r="QP124" s="9"/>
      <c r="QQ124" s="9"/>
      <c r="QR124" s="9"/>
      <c r="QS124" s="9"/>
      <c r="QT124" s="9"/>
      <c r="QU124" s="9"/>
      <c r="QV124" s="9"/>
      <c r="QW124" s="9"/>
      <c r="QX124" s="9"/>
      <c r="QY124" s="9"/>
      <c r="QZ124" s="9"/>
      <c r="RA124" s="9"/>
      <c r="RB124" s="9"/>
      <c r="RC124" s="9"/>
      <c r="RD124" s="9"/>
      <c r="RE124" s="9"/>
      <c r="RF124" s="9"/>
      <c r="RG124" s="9"/>
      <c r="RH124" s="9"/>
      <c r="RI124" s="9"/>
      <c r="RJ124" s="9"/>
      <c r="RK124" s="9"/>
      <c r="RL124" s="9"/>
      <c r="RM124" s="9"/>
      <c r="RN124" s="9"/>
      <c r="RO124" s="9"/>
      <c r="RP124" s="9"/>
      <c r="RQ124" s="9"/>
      <c r="RR124" s="9"/>
      <c r="RS124" s="9"/>
      <c r="RT124" s="9"/>
      <c r="RU124" s="9"/>
      <c r="RV124" s="9"/>
      <c r="RW124" s="9"/>
      <c r="RX124" s="9"/>
      <c r="RY124" s="9"/>
      <c r="RZ124" s="9"/>
      <c r="SA124" s="9"/>
      <c r="SB124" s="9"/>
      <c r="SC124" s="9"/>
      <c r="SD124" s="9"/>
      <c r="SE124" s="9"/>
      <c r="SF124" s="9"/>
      <c r="SG124" s="9"/>
      <c r="SH124" s="9"/>
      <c r="SI124" s="9"/>
      <c r="SJ124" s="9"/>
      <c r="SK124" s="8"/>
      <c r="SL124" s="8"/>
      <c r="SM124" s="8"/>
      <c r="SN124" s="8"/>
      <c r="SO124" s="8"/>
      <c r="SP124" s="8"/>
      <c r="SQ124" s="8"/>
      <c r="SR124" s="8"/>
      <c r="SS124" s="8"/>
      <c r="ST124" s="8"/>
      <c r="SU124" s="8"/>
      <c r="SV124" s="8"/>
      <c r="SW124" s="8"/>
      <c r="SX124" s="8"/>
      <c r="SY124" s="8"/>
      <c r="SZ124" s="8"/>
      <c r="TA124" s="8"/>
      <c r="TB124" s="8"/>
      <c r="TC124" s="8"/>
      <c r="TD124" s="8"/>
      <c r="TE124" s="8"/>
      <c r="TF124" s="8"/>
      <c r="TG124" s="8"/>
      <c r="TH124" s="8"/>
      <c r="TI124" s="8"/>
      <c r="TJ124" s="8"/>
      <c r="TK124" s="8"/>
      <c r="TL124" s="8"/>
      <c r="TM124" s="8"/>
      <c r="TN124" s="8"/>
      <c r="TO124" s="8"/>
    </row>
    <row r="125" spans="1:535" x14ac:dyDescent="0.2">
      <c r="A125" s="7"/>
      <c r="B125" s="15"/>
      <c r="C125" s="15"/>
      <c r="D125" s="15"/>
      <c r="E125" s="15"/>
      <c r="F125" s="15"/>
      <c r="G125" s="15"/>
      <c r="H125" s="15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9"/>
      <c r="EN125" s="9"/>
      <c r="EO125" s="9"/>
      <c r="EP125" s="9"/>
      <c r="EQ125" s="9"/>
      <c r="ER125" s="9"/>
      <c r="ES125" s="9"/>
      <c r="ET125" s="9"/>
      <c r="EU125" s="9"/>
      <c r="EV125" s="9"/>
      <c r="EW125" s="9"/>
      <c r="EX125" s="9"/>
      <c r="EY125" s="9"/>
      <c r="EZ125" s="9"/>
      <c r="FA125" s="9"/>
      <c r="FB125" s="9"/>
      <c r="FC125" s="9"/>
      <c r="FD125" s="9"/>
      <c r="FE125" s="9"/>
      <c r="FF125" s="9"/>
      <c r="FG125" s="9"/>
      <c r="FH125" s="9"/>
      <c r="FI125" s="9"/>
      <c r="FJ125" s="9"/>
      <c r="FK125" s="9"/>
      <c r="FL125" s="9"/>
      <c r="FM125" s="9"/>
      <c r="FN125" s="9"/>
      <c r="FO125" s="9"/>
      <c r="FP125" s="9"/>
      <c r="FQ125" s="9"/>
      <c r="FR125" s="9"/>
      <c r="FS125" s="9"/>
      <c r="FT125" s="9"/>
      <c r="FU125" s="9"/>
      <c r="FV125" s="9"/>
      <c r="FW125" s="9"/>
      <c r="FX125" s="9"/>
      <c r="FY125" s="9"/>
      <c r="FZ125" s="9"/>
      <c r="GA125" s="9"/>
      <c r="GB125" s="9"/>
      <c r="GC125" s="9"/>
      <c r="GD125" s="9"/>
      <c r="GE125" s="9"/>
      <c r="GF125" s="9"/>
      <c r="GG125" s="9"/>
      <c r="GH125" s="9"/>
      <c r="GI125" s="9"/>
      <c r="GJ125" s="9"/>
      <c r="GK125" s="9"/>
      <c r="GL125" s="9"/>
      <c r="GM125" s="9"/>
      <c r="GN125" s="9"/>
      <c r="GO125" s="9"/>
      <c r="GP125" s="9"/>
      <c r="GQ125" s="9"/>
      <c r="GR125" s="9"/>
      <c r="GS125" s="9"/>
      <c r="GT125" s="9"/>
      <c r="GU125" s="9"/>
      <c r="GV125" s="9"/>
      <c r="GW125" s="9"/>
      <c r="GX125" s="9"/>
      <c r="GY125" s="9"/>
      <c r="GZ125" s="9"/>
      <c r="HA125" s="9"/>
      <c r="HB125" s="9"/>
      <c r="HC125" s="9"/>
      <c r="HD125" s="9"/>
      <c r="HE125" s="9"/>
      <c r="HF125" s="9"/>
      <c r="HG125" s="9"/>
      <c r="HH125" s="9"/>
      <c r="HI125" s="9"/>
      <c r="HJ125" s="9"/>
      <c r="HK125" s="9"/>
      <c r="HL125" s="9"/>
      <c r="HM125" s="9"/>
      <c r="HN125" s="9"/>
      <c r="HO125" s="9"/>
      <c r="HP125" s="9"/>
      <c r="HQ125" s="9"/>
      <c r="HR125" s="9"/>
      <c r="HS125" s="9"/>
      <c r="HT125" s="9"/>
      <c r="HU125" s="9"/>
      <c r="HV125" s="9"/>
      <c r="HW125" s="9"/>
      <c r="HX125" s="9"/>
      <c r="HY125" s="9"/>
      <c r="HZ125" s="9"/>
      <c r="IA125" s="9"/>
      <c r="IB125" s="9"/>
      <c r="IC125" s="9"/>
      <c r="ID125" s="9"/>
      <c r="IE125" s="9"/>
      <c r="IF125" s="9"/>
      <c r="IG125" s="9"/>
      <c r="IH125" s="9"/>
      <c r="II125" s="9"/>
      <c r="IJ125" s="9"/>
      <c r="IK125" s="9"/>
      <c r="IL125" s="9"/>
      <c r="IM125" s="9"/>
      <c r="IN125" s="9"/>
      <c r="IO125" s="9"/>
      <c r="IP125" s="9"/>
      <c r="IQ125" s="9"/>
      <c r="IR125" s="9"/>
      <c r="IS125" s="9"/>
      <c r="IT125" s="9"/>
      <c r="IU125" s="9"/>
      <c r="IV125" s="9"/>
      <c r="IW125" s="9"/>
      <c r="IX125" s="9"/>
      <c r="IY125" s="9"/>
      <c r="IZ125" s="9"/>
      <c r="JA125" s="9"/>
      <c r="JB125" s="9"/>
      <c r="JC125" s="9"/>
      <c r="JD125" s="9"/>
      <c r="JE125" s="9"/>
      <c r="JF125" s="9"/>
      <c r="JG125" s="9"/>
      <c r="JH125" s="9"/>
      <c r="JI125" s="9"/>
      <c r="JJ125" s="9"/>
      <c r="JK125" s="9"/>
      <c r="JL125" s="9"/>
      <c r="JM125" s="9"/>
      <c r="JN125" s="9"/>
      <c r="JO125" s="9"/>
      <c r="JP125" s="9"/>
      <c r="JQ125" s="9"/>
      <c r="JR125" s="9"/>
      <c r="JS125" s="9"/>
      <c r="JT125" s="9"/>
      <c r="JU125" s="9"/>
      <c r="JV125" s="9"/>
      <c r="JW125" s="9"/>
      <c r="JX125" s="9"/>
      <c r="JY125" s="9"/>
      <c r="JZ125" s="9"/>
      <c r="KA125" s="9"/>
      <c r="KB125" s="9"/>
      <c r="KC125" s="9"/>
      <c r="KD125" s="9"/>
      <c r="KE125" s="9"/>
      <c r="KF125" s="9"/>
      <c r="KG125" s="9"/>
      <c r="KH125" s="9"/>
      <c r="KI125" s="9"/>
      <c r="KJ125" s="9"/>
      <c r="KK125" s="9"/>
      <c r="KL125" s="9"/>
      <c r="KM125" s="9"/>
      <c r="KN125" s="9"/>
      <c r="KO125" s="9"/>
      <c r="KP125" s="9"/>
      <c r="KQ125" s="9"/>
      <c r="KR125" s="9"/>
      <c r="KS125" s="9"/>
      <c r="KT125" s="9"/>
      <c r="KU125" s="9"/>
      <c r="KV125" s="9"/>
      <c r="KW125" s="9"/>
      <c r="KX125" s="9"/>
      <c r="KY125" s="9"/>
      <c r="KZ125" s="9"/>
      <c r="LA125" s="9"/>
      <c r="LB125" s="9"/>
      <c r="LC125" s="9"/>
      <c r="LD125" s="9"/>
      <c r="LE125" s="9"/>
      <c r="LF125" s="9"/>
      <c r="LG125" s="9"/>
      <c r="LH125" s="9"/>
      <c r="LI125" s="9"/>
      <c r="LJ125" s="9"/>
      <c r="LK125" s="9"/>
      <c r="LL125" s="9"/>
      <c r="LM125" s="9"/>
      <c r="LN125" s="9"/>
      <c r="LO125" s="9"/>
      <c r="LP125" s="9"/>
      <c r="LQ125" s="9"/>
      <c r="LR125" s="9"/>
      <c r="LS125" s="9"/>
      <c r="LT125" s="9"/>
      <c r="LU125" s="9"/>
      <c r="LV125" s="9"/>
      <c r="LW125" s="9"/>
      <c r="LX125" s="9"/>
      <c r="LY125" s="9"/>
      <c r="LZ125" s="9"/>
      <c r="MA125" s="9"/>
      <c r="MB125" s="9"/>
      <c r="MC125" s="9"/>
      <c r="MD125" s="9"/>
      <c r="ME125" s="9"/>
      <c r="MF125" s="9"/>
      <c r="MG125" s="9"/>
      <c r="MH125" s="9"/>
      <c r="MI125" s="9"/>
      <c r="MJ125" s="9"/>
      <c r="MK125" s="9"/>
      <c r="ML125" s="9"/>
      <c r="MM125" s="9"/>
      <c r="MN125" s="9"/>
      <c r="MO125" s="9"/>
      <c r="MP125" s="9"/>
      <c r="MQ125" s="9"/>
      <c r="MR125" s="9"/>
      <c r="MS125" s="9"/>
      <c r="MT125" s="9"/>
      <c r="MU125" s="9"/>
      <c r="MV125" s="9"/>
      <c r="MW125" s="9"/>
      <c r="MX125" s="9"/>
      <c r="MY125" s="9"/>
      <c r="MZ125" s="9"/>
      <c r="NA125" s="9"/>
      <c r="NB125" s="9"/>
      <c r="NC125" s="9"/>
      <c r="ND125" s="9"/>
      <c r="NE125" s="9"/>
      <c r="NF125" s="9"/>
      <c r="NG125" s="9"/>
      <c r="NH125" s="9"/>
      <c r="NI125" s="9"/>
      <c r="NJ125" s="9"/>
      <c r="NK125" s="9"/>
      <c r="NL125" s="9"/>
      <c r="NM125" s="9"/>
      <c r="NN125" s="9"/>
      <c r="NO125" s="9"/>
      <c r="NP125" s="9"/>
      <c r="NQ125" s="9"/>
      <c r="NR125" s="9"/>
      <c r="NS125" s="9"/>
      <c r="NT125" s="9"/>
      <c r="NU125" s="9"/>
      <c r="NV125" s="9"/>
      <c r="NW125" s="9"/>
      <c r="NX125" s="9"/>
      <c r="NY125" s="9"/>
      <c r="NZ125" s="9"/>
      <c r="OA125" s="9"/>
      <c r="OB125" s="9"/>
      <c r="OC125" s="9"/>
      <c r="OD125" s="9"/>
      <c r="OE125" s="9"/>
      <c r="OF125" s="9"/>
      <c r="OG125" s="9"/>
      <c r="OH125" s="9"/>
      <c r="OI125" s="9"/>
      <c r="OJ125" s="9"/>
      <c r="OK125" s="9"/>
      <c r="OL125" s="9"/>
      <c r="OM125" s="9"/>
      <c r="ON125" s="9"/>
      <c r="OO125" s="9"/>
      <c r="OP125" s="9"/>
      <c r="OQ125" s="9"/>
      <c r="OR125" s="9"/>
      <c r="OS125" s="9"/>
      <c r="OT125" s="9"/>
      <c r="OU125" s="9"/>
      <c r="OV125" s="9"/>
      <c r="OW125" s="9"/>
      <c r="OX125" s="9"/>
      <c r="OY125" s="9"/>
      <c r="OZ125" s="9"/>
      <c r="PA125" s="9"/>
      <c r="PB125" s="9"/>
      <c r="PC125" s="9"/>
      <c r="PD125" s="9"/>
      <c r="PE125" s="9"/>
      <c r="PF125" s="9"/>
      <c r="PG125" s="9"/>
      <c r="PH125" s="9"/>
      <c r="PI125" s="9"/>
      <c r="PJ125" s="9"/>
      <c r="PK125" s="9"/>
      <c r="PL125" s="9"/>
      <c r="PM125" s="9"/>
      <c r="PN125" s="9"/>
      <c r="PO125" s="9"/>
      <c r="PP125" s="9"/>
      <c r="PQ125" s="9"/>
      <c r="PR125" s="9"/>
      <c r="PS125" s="9"/>
      <c r="PT125" s="9"/>
      <c r="PU125" s="9"/>
      <c r="PV125" s="9"/>
      <c r="PW125" s="9"/>
      <c r="PX125" s="9"/>
      <c r="PY125" s="9"/>
      <c r="PZ125" s="9"/>
      <c r="QA125" s="9"/>
      <c r="QB125" s="9"/>
      <c r="QC125" s="9"/>
      <c r="QD125" s="9"/>
      <c r="QE125" s="9"/>
      <c r="QF125" s="9"/>
      <c r="QG125" s="9"/>
      <c r="QH125" s="9"/>
      <c r="QI125" s="9"/>
      <c r="QJ125" s="9"/>
      <c r="QK125" s="9"/>
      <c r="QL125" s="9"/>
      <c r="QM125" s="9"/>
      <c r="QN125" s="9"/>
      <c r="QO125" s="9"/>
      <c r="QP125" s="9"/>
      <c r="QQ125" s="9"/>
      <c r="QR125" s="9"/>
      <c r="QS125" s="9"/>
      <c r="QT125" s="9"/>
      <c r="QU125" s="9"/>
      <c r="QV125" s="9"/>
      <c r="QW125" s="9"/>
      <c r="QX125" s="9"/>
      <c r="QY125" s="9"/>
      <c r="QZ125" s="9"/>
      <c r="RA125" s="9"/>
      <c r="RB125" s="9"/>
      <c r="RC125" s="9"/>
      <c r="RD125" s="9"/>
      <c r="RE125" s="9"/>
      <c r="RF125" s="9"/>
      <c r="RG125" s="9"/>
      <c r="RH125" s="9"/>
      <c r="RI125" s="9"/>
      <c r="RJ125" s="9"/>
      <c r="RK125" s="9"/>
      <c r="RL125" s="9"/>
      <c r="RM125" s="9"/>
      <c r="RN125" s="9"/>
      <c r="RO125" s="9"/>
      <c r="RP125" s="9"/>
      <c r="RQ125" s="9"/>
      <c r="RR125" s="9"/>
      <c r="RS125" s="9"/>
      <c r="RT125" s="9"/>
      <c r="RU125" s="9"/>
      <c r="RV125" s="9"/>
      <c r="RW125" s="9"/>
      <c r="RX125" s="9"/>
      <c r="RY125" s="9"/>
      <c r="RZ125" s="9"/>
      <c r="SA125" s="9"/>
      <c r="SB125" s="9"/>
      <c r="SC125" s="9"/>
      <c r="SD125" s="9"/>
      <c r="SE125" s="9"/>
      <c r="SF125" s="9"/>
      <c r="SG125" s="9"/>
      <c r="SH125" s="9"/>
      <c r="SI125" s="9"/>
      <c r="SJ125" s="9"/>
      <c r="SK125" s="8"/>
      <c r="SL125" s="8"/>
      <c r="SM125" s="8"/>
      <c r="SN125" s="8"/>
      <c r="SO125" s="8"/>
      <c r="SP125" s="8"/>
      <c r="SQ125" s="8"/>
      <c r="SR125" s="8"/>
      <c r="SS125" s="8"/>
      <c r="ST125" s="8"/>
      <c r="SU125" s="8"/>
      <c r="SV125" s="8"/>
      <c r="SW125" s="8"/>
      <c r="SX125" s="8"/>
      <c r="SY125" s="8"/>
      <c r="SZ125" s="8"/>
      <c r="TA125" s="8"/>
      <c r="TB125" s="8"/>
      <c r="TC125" s="8"/>
      <c r="TD125" s="8"/>
      <c r="TE125" s="8"/>
      <c r="TF125" s="8"/>
      <c r="TG125" s="8"/>
      <c r="TH125" s="8"/>
      <c r="TI125" s="8"/>
      <c r="TJ125" s="8"/>
      <c r="TK125" s="8"/>
      <c r="TL125" s="8"/>
      <c r="TM125" s="8"/>
      <c r="TN125" s="8"/>
      <c r="TO125" s="8"/>
    </row>
    <row r="126" spans="1:535" x14ac:dyDescent="0.2">
      <c r="A126" s="7"/>
      <c r="B126" s="15"/>
      <c r="C126" s="15"/>
      <c r="D126" s="15"/>
      <c r="E126" s="15"/>
      <c r="F126" s="15"/>
      <c r="G126" s="15"/>
      <c r="H126" s="15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  <c r="NL126" s="9"/>
      <c r="NM126" s="9"/>
      <c r="NN126" s="9"/>
      <c r="NO126" s="9"/>
      <c r="NP126" s="9"/>
      <c r="NQ126" s="9"/>
      <c r="NR126" s="9"/>
      <c r="NS126" s="9"/>
      <c r="NT126" s="9"/>
      <c r="NU126" s="9"/>
      <c r="NV126" s="9"/>
      <c r="NW126" s="9"/>
      <c r="NX126" s="9"/>
      <c r="NY126" s="9"/>
      <c r="NZ126" s="9"/>
      <c r="OA126" s="9"/>
      <c r="OB126" s="9"/>
      <c r="OC126" s="9"/>
      <c r="OD126" s="9"/>
      <c r="OE126" s="9"/>
      <c r="OF126" s="9"/>
      <c r="OG126" s="9"/>
      <c r="OH126" s="9"/>
      <c r="OI126" s="9"/>
      <c r="OJ126" s="9"/>
      <c r="OK126" s="9"/>
      <c r="OL126" s="9"/>
      <c r="OM126" s="9"/>
      <c r="ON126" s="9"/>
      <c r="OO126" s="9"/>
      <c r="OP126" s="9"/>
      <c r="OQ126" s="9"/>
      <c r="OR126" s="9"/>
      <c r="OS126" s="9"/>
      <c r="OT126" s="9"/>
      <c r="OU126" s="9"/>
      <c r="OV126" s="9"/>
      <c r="OW126" s="9"/>
      <c r="OX126" s="9"/>
      <c r="OY126" s="9"/>
      <c r="OZ126" s="9"/>
      <c r="PA126" s="9"/>
      <c r="PB126" s="9"/>
      <c r="PC126" s="9"/>
      <c r="PD126" s="9"/>
      <c r="PE126" s="9"/>
      <c r="PF126" s="9"/>
      <c r="PG126" s="9"/>
      <c r="PH126" s="9"/>
      <c r="PI126" s="9"/>
      <c r="PJ126" s="9"/>
      <c r="PK126" s="9"/>
      <c r="PL126" s="9"/>
      <c r="PM126" s="9"/>
      <c r="PN126" s="9"/>
      <c r="PO126" s="9"/>
      <c r="PP126" s="9"/>
      <c r="PQ126" s="9"/>
      <c r="PR126" s="9"/>
      <c r="PS126" s="9"/>
      <c r="PT126" s="9"/>
      <c r="PU126" s="9"/>
      <c r="PV126" s="9"/>
      <c r="PW126" s="9"/>
      <c r="PX126" s="9"/>
      <c r="PY126" s="9"/>
      <c r="PZ126" s="9"/>
      <c r="QA126" s="9"/>
      <c r="QB126" s="9"/>
      <c r="QC126" s="9"/>
      <c r="QD126" s="9"/>
      <c r="QE126" s="9"/>
      <c r="QF126" s="9"/>
      <c r="QG126" s="9"/>
      <c r="QH126" s="9"/>
      <c r="QI126" s="9"/>
      <c r="QJ126" s="9"/>
      <c r="QK126" s="9"/>
      <c r="QL126" s="9"/>
      <c r="QM126" s="9"/>
      <c r="QN126" s="9"/>
      <c r="QO126" s="9"/>
      <c r="QP126" s="9"/>
      <c r="QQ126" s="9"/>
      <c r="QR126" s="9"/>
      <c r="QS126" s="9"/>
      <c r="QT126" s="9"/>
      <c r="QU126" s="9"/>
      <c r="QV126" s="9"/>
      <c r="QW126" s="9"/>
      <c r="QX126" s="9"/>
      <c r="QY126" s="9"/>
      <c r="QZ126" s="9"/>
      <c r="RA126" s="9"/>
      <c r="RB126" s="9"/>
      <c r="RC126" s="9"/>
      <c r="RD126" s="9"/>
      <c r="RE126" s="9"/>
      <c r="RF126" s="9"/>
      <c r="RG126" s="9"/>
      <c r="RH126" s="9"/>
      <c r="RI126" s="9"/>
      <c r="RJ126" s="9"/>
      <c r="RK126" s="9"/>
      <c r="RL126" s="9"/>
      <c r="RM126" s="9"/>
      <c r="RN126" s="9"/>
      <c r="RO126" s="9"/>
      <c r="RP126" s="9"/>
      <c r="RQ126" s="9"/>
      <c r="RR126" s="9"/>
      <c r="RS126" s="9"/>
      <c r="RT126" s="9"/>
      <c r="RU126" s="9"/>
      <c r="RV126" s="9"/>
      <c r="RW126" s="9"/>
      <c r="RX126" s="9"/>
      <c r="RY126" s="9"/>
      <c r="RZ126" s="9"/>
      <c r="SA126" s="9"/>
      <c r="SB126" s="9"/>
      <c r="SC126" s="9"/>
      <c r="SD126" s="9"/>
      <c r="SE126" s="9"/>
      <c r="SF126" s="9"/>
      <c r="SG126" s="9"/>
      <c r="SH126" s="9"/>
      <c r="SI126" s="9"/>
      <c r="SJ126" s="9"/>
      <c r="SK126" s="8"/>
      <c r="SL126" s="8"/>
      <c r="SM126" s="8"/>
      <c r="SN126" s="8"/>
      <c r="SO126" s="8"/>
      <c r="SP126" s="8"/>
      <c r="SQ126" s="8"/>
      <c r="SR126" s="8"/>
      <c r="SS126" s="8"/>
      <c r="ST126" s="8"/>
      <c r="SU126" s="8"/>
      <c r="SV126" s="8"/>
      <c r="SW126" s="8"/>
      <c r="SX126" s="8"/>
      <c r="SY126" s="8"/>
      <c r="SZ126" s="8"/>
      <c r="TA126" s="8"/>
      <c r="TB126" s="8"/>
      <c r="TC126" s="8"/>
      <c r="TD126" s="8"/>
      <c r="TE126" s="8"/>
      <c r="TF126" s="8"/>
      <c r="TG126" s="8"/>
      <c r="TH126" s="8"/>
      <c r="TI126" s="8"/>
      <c r="TJ126" s="8"/>
      <c r="TK126" s="8"/>
      <c r="TL126" s="8"/>
      <c r="TM126" s="8"/>
      <c r="TN126" s="8"/>
      <c r="TO126" s="8"/>
    </row>
    <row r="127" spans="1:535" x14ac:dyDescent="0.2">
      <c r="A127" s="7"/>
      <c r="B127" s="15"/>
      <c r="C127" s="15"/>
      <c r="D127" s="15"/>
      <c r="E127" s="15"/>
      <c r="F127" s="15"/>
      <c r="G127" s="15"/>
      <c r="H127" s="15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  <c r="NL127" s="9"/>
      <c r="NM127" s="9"/>
      <c r="NN127" s="9"/>
      <c r="NO127" s="9"/>
      <c r="NP127" s="9"/>
      <c r="NQ127" s="9"/>
      <c r="NR127" s="9"/>
      <c r="NS127" s="9"/>
      <c r="NT127" s="9"/>
      <c r="NU127" s="9"/>
      <c r="NV127" s="9"/>
      <c r="NW127" s="9"/>
      <c r="NX127" s="9"/>
      <c r="NY127" s="9"/>
      <c r="NZ127" s="9"/>
      <c r="OA127" s="9"/>
      <c r="OB127" s="9"/>
      <c r="OC127" s="9"/>
      <c r="OD127" s="9"/>
      <c r="OE127" s="9"/>
      <c r="OF127" s="9"/>
      <c r="OG127" s="9"/>
      <c r="OH127" s="9"/>
      <c r="OI127" s="9"/>
      <c r="OJ127" s="9"/>
      <c r="OK127" s="9"/>
      <c r="OL127" s="9"/>
      <c r="OM127" s="9"/>
      <c r="ON127" s="9"/>
      <c r="OO127" s="9"/>
      <c r="OP127" s="9"/>
      <c r="OQ127" s="9"/>
      <c r="OR127" s="9"/>
      <c r="OS127" s="9"/>
      <c r="OT127" s="9"/>
      <c r="OU127" s="9"/>
      <c r="OV127" s="9"/>
      <c r="OW127" s="9"/>
      <c r="OX127" s="9"/>
      <c r="OY127" s="9"/>
      <c r="OZ127" s="9"/>
      <c r="PA127" s="9"/>
      <c r="PB127" s="9"/>
      <c r="PC127" s="9"/>
      <c r="PD127" s="9"/>
      <c r="PE127" s="9"/>
      <c r="PF127" s="9"/>
      <c r="PG127" s="9"/>
      <c r="PH127" s="9"/>
      <c r="PI127" s="9"/>
      <c r="PJ127" s="9"/>
      <c r="PK127" s="9"/>
      <c r="PL127" s="9"/>
      <c r="PM127" s="9"/>
      <c r="PN127" s="9"/>
      <c r="PO127" s="9"/>
      <c r="PP127" s="9"/>
      <c r="PQ127" s="9"/>
      <c r="PR127" s="9"/>
      <c r="PS127" s="9"/>
      <c r="PT127" s="9"/>
      <c r="PU127" s="9"/>
      <c r="PV127" s="9"/>
      <c r="PW127" s="9"/>
      <c r="PX127" s="9"/>
      <c r="PY127" s="9"/>
      <c r="PZ127" s="9"/>
      <c r="QA127" s="9"/>
      <c r="QB127" s="9"/>
      <c r="QC127" s="9"/>
      <c r="QD127" s="9"/>
      <c r="QE127" s="9"/>
      <c r="QF127" s="9"/>
      <c r="QG127" s="9"/>
      <c r="QH127" s="9"/>
      <c r="QI127" s="9"/>
      <c r="QJ127" s="9"/>
      <c r="QK127" s="9"/>
      <c r="QL127" s="9"/>
      <c r="QM127" s="9"/>
      <c r="QN127" s="9"/>
      <c r="QO127" s="9"/>
      <c r="QP127" s="9"/>
      <c r="QQ127" s="9"/>
      <c r="QR127" s="9"/>
      <c r="QS127" s="9"/>
      <c r="QT127" s="9"/>
      <c r="QU127" s="9"/>
      <c r="QV127" s="9"/>
      <c r="QW127" s="9"/>
      <c r="QX127" s="9"/>
      <c r="QY127" s="9"/>
      <c r="QZ127" s="9"/>
      <c r="RA127" s="9"/>
      <c r="RB127" s="9"/>
      <c r="RC127" s="9"/>
      <c r="RD127" s="9"/>
      <c r="RE127" s="9"/>
      <c r="RF127" s="9"/>
      <c r="RG127" s="9"/>
      <c r="RH127" s="9"/>
      <c r="RI127" s="9"/>
      <c r="RJ127" s="9"/>
      <c r="RK127" s="9"/>
      <c r="RL127" s="9"/>
      <c r="RM127" s="9"/>
      <c r="RN127" s="9"/>
      <c r="RO127" s="9"/>
      <c r="RP127" s="9"/>
      <c r="RQ127" s="9"/>
      <c r="RR127" s="9"/>
      <c r="RS127" s="9"/>
      <c r="RT127" s="9"/>
      <c r="RU127" s="9"/>
      <c r="RV127" s="9"/>
      <c r="RW127" s="9"/>
      <c r="RX127" s="9"/>
      <c r="RY127" s="9"/>
      <c r="RZ127" s="9"/>
      <c r="SA127" s="9"/>
      <c r="SB127" s="9"/>
      <c r="SC127" s="9"/>
      <c r="SD127" s="9"/>
      <c r="SE127" s="9"/>
      <c r="SF127" s="9"/>
      <c r="SG127" s="9"/>
      <c r="SH127" s="9"/>
      <c r="SI127" s="9"/>
      <c r="SJ127" s="9"/>
      <c r="SK127" s="8"/>
      <c r="SL127" s="8"/>
      <c r="SM127" s="8"/>
      <c r="SN127" s="8"/>
      <c r="SO127" s="8"/>
      <c r="SP127" s="8"/>
      <c r="SQ127" s="8"/>
      <c r="SR127" s="8"/>
      <c r="SS127" s="8"/>
      <c r="ST127" s="8"/>
      <c r="SU127" s="8"/>
      <c r="SV127" s="8"/>
      <c r="SW127" s="8"/>
      <c r="SX127" s="8"/>
      <c r="SY127" s="8"/>
      <c r="SZ127" s="8"/>
      <c r="TA127" s="8"/>
      <c r="TB127" s="8"/>
      <c r="TC127" s="8"/>
      <c r="TD127" s="8"/>
      <c r="TE127" s="8"/>
      <c r="TF127" s="8"/>
      <c r="TG127" s="8"/>
      <c r="TH127" s="8"/>
      <c r="TI127" s="8"/>
      <c r="TJ127" s="8"/>
      <c r="TK127" s="8"/>
      <c r="TL127" s="8"/>
      <c r="TM127" s="8"/>
      <c r="TN127" s="8"/>
      <c r="TO127" s="8"/>
    </row>
    <row r="128" spans="1:535" x14ac:dyDescent="0.2">
      <c r="A128" s="7"/>
      <c r="B128" s="15"/>
      <c r="C128" s="15"/>
      <c r="D128" s="15"/>
      <c r="E128" s="15"/>
      <c r="F128" s="15"/>
      <c r="G128" s="15"/>
      <c r="H128" s="15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  <c r="CR128" s="9"/>
      <c r="CS128" s="9"/>
      <c r="CT128" s="9"/>
      <c r="CU128" s="9"/>
      <c r="CV128" s="9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  <c r="DL128" s="9"/>
      <c r="DM128" s="9"/>
      <c r="DN128" s="9"/>
      <c r="DO128" s="9"/>
      <c r="DP128" s="9"/>
      <c r="DQ128" s="9"/>
      <c r="DR128" s="9"/>
      <c r="DS128" s="9"/>
      <c r="DT128" s="9"/>
      <c r="DU128" s="9"/>
      <c r="DV128" s="9"/>
      <c r="DW128" s="9"/>
      <c r="DX128" s="9"/>
      <c r="DY128" s="9"/>
      <c r="DZ128" s="9"/>
      <c r="EA128" s="9"/>
      <c r="EB128" s="9"/>
      <c r="EC128" s="9"/>
      <c r="ED128" s="9"/>
      <c r="EE128" s="9"/>
      <c r="EF128" s="9"/>
      <c r="EG128" s="9"/>
      <c r="EH128" s="9"/>
      <c r="EI128" s="9"/>
      <c r="EJ128" s="9"/>
      <c r="EK128" s="9"/>
      <c r="EL128" s="9"/>
      <c r="EM128" s="9"/>
      <c r="EN128" s="9"/>
      <c r="EO128" s="9"/>
      <c r="EP128" s="9"/>
      <c r="EQ128" s="9"/>
      <c r="ER128" s="9"/>
      <c r="ES128" s="9"/>
      <c r="ET128" s="9"/>
      <c r="EU128" s="9"/>
      <c r="EV128" s="9"/>
      <c r="EW128" s="9"/>
      <c r="EX128" s="9"/>
      <c r="EY128" s="9"/>
      <c r="EZ128" s="9"/>
      <c r="FA128" s="9"/>
      <c r="FB128" s="9"/>
      <c r="FC128" s="9"/>
      <c r="FD128" s="9"/>
      <c r="FE128" s="9"/>
      <c r="FF128" s="9"/>
      <c r="FG128" s="9"/>
      <c r="FH128" s="9"/>
      <c r="FI128" s="9"/>
      <c r="FJ128" s="9"/>
      <c r="FK128" s="9"/>
      <c r="FL128" s="9"/>
      <c r="FM128" s="9"/>
      <c r="FN128" s="9"/>
      <c r="FO128" s="9"/>
      <c r="FP128" s="9"/>
      <c r="FQ128" s="9"/>
      <c r="FR128" s="9"/>
      <c r="FS128" s="9"/>
      <c r="FT128" s="9"/>
      <c r="FU128" s="9"/>
      <c r="FV128" s="9"/>
      <c r="FW128" s="9"/>
      <c r="FX128" s="9"/>
      <c r="FY128" s="9"/>
      <c r="FZ128" s="9"/>
      <c r="GA128" s="9"/>
      <c r="GB128" s="9"/>
      <c r="GC128" s="9"/>
      <c r="GD128" s="9"/>
      <c r="GE128" s="9"/>
      <c r="GF128" s="9"/>
      <c r="GG128" s="9"/>
      <c r="GH128" s="9"/>
      <c r="GI128" s="9"/>
      <c r="GJ128" s="9"/>
      <c r="GK128" s="9"/>
      <c r="GL128" s="9"/>
      <c r="GM128" s="9"/>
      <c r="GN128" s="9"/>
      <c r="GO128" s="9"/>
      <c r="GP128" s="9"/>
      <c r="GQ128" s="9"/>
      <c r="GR128" s="9"/>
      <c r="GS128" s="9"/>
      <c r="GT128" s="9"/>
      <c r="GU128" s="9"/>
      <c r="GV128" s="9"/>
      <c r="GW128" s="9"/>
      <c r="GX128" s="9"/>
      <c r="GY128" s="9"/>
      <c r="GZ128" s="9"/>
      <c r="HA128" s="9"/>
      <c r="HB128" s="9"/>
      <c r="HC128" s="9"/>
      <c r="HD128" s="9"/>
      <c r="HE128" s="9"/>
      <c r="HF128" s="9"/>
      <c r="HG128" s="9"/>
      <c r="HH128" s="9"/>
      <c r="HI128" s="9"/>
      <c r="HJ128" s="9"/>
      <c r="HK128" s="9"/>
      <c r="HL128" s="9"/>
      <c r="HM128" s="9"/>
      <c r="HN128" s="9"/>
      <c r="HO128" s="9"/>
      <c r="HP128" s="9"/>
      <c r="HQ128" s="9"/>
      <c r="HR128" s="9"/>
      <c r="HS128" s="9"/>
      <c r="HT128" s="9"/>
      <c r="HU128" s="9"/>
      <c r="HV128" s="9"/>
      <c r="HW128" s="9"/>
      <c r="HX128" s="9"/>
      <c r="HY128" s="9"/>
      <c r="HZ128" s="9"/>
      <c r="IA128" s="9"/>
      <c r="IB128" s="9"/>
      <c r="IC128" s="9"/>
      <c r="ID128" s="9"/>
      <c r="IE128" s="9"/>
      <c r="IF128" s="9"/>
      <c r="IG128" s="9"/>
      <c r="IH128" s="9"/>
      <c r="II128" s="9"/>
      <c r="IJ128" s="9"/>
      <c r="IK128" s="9"/>
      <c r="IL128" s="9"/>
      <c r="IM128" s="9"/>
      <c r="IN128" s="9"/>
      <c r="IO128" s="9"/>
      <c r="IP128" s="9"/>
      <c r="IQ128" s="9"/>
      <c r="IR128" s="9"/>
      <c r="IS128" s="9"/>
      <c r="IT128" s="9"/>
      <c r="IU128" s="9"/>
      <c r="IV128" s="9"/>
      <c r="IW128" s="9"/>
      <c r="IX128" s="9"/>
      <c r="IY128" s="9"/>
      <c r="IZ128" s="9"/>
      <c r="JA128" s="9"/>
      <c r="JB128" s="9"/>
      <c r="JC128" s="9"/>
      <c r="JD128" s="9"/>
      <c r="JE128" s="9"/>
      <c r="JF128" s="9"/>
      <c r="JG128" s="9"/>
      <c r="JH128" s="9"/>
      <c r="JI128" s="9"/>
      <c r="JJ128" s="9"/>
      <c r="JK128" s="9"/>
      <c r="JL128" s="9"/>
      <c r="JM128" s="9"/>
      <c r="JN128" s="9"/>
      <c r="JO128" s="9"/>
      <c r="JP128" s="9"/>
      <c r="JQ128" s="9"/>
      <c r="JR128" s="9"/>
      <c r="JS128" s="9"/>
      <c r="JT128" s="9"/>
      <c r="JU128" s="9"/>
      <c r="JV128" s="9"/>
      <c r="JW128" s="9"/>
      <c r="JX128" s="9"/>
      <c r="JY128" s="9"/>
      <c r="JZ128" s="9"/>
      <c r="KA128" s="9"/>
      <c r="KB128" s="9"/>
      <c r="KC128" s="9"/>
      <c r="KD128" s="9"/>
      <c r="KE128" s="9"/>
      <c r="KF128" s="9"/>
      <c r="KG128" s="9"/>
      <c r="KH128" s="9"/>
      <c r="KI128" s="9"/>
      <c r="KJ128" s="9"/>
      <c r="KK128" s="9"/>
      <c r="KL128" s="9"/>
      <c r="KM128" s="9"/>
      <c r="KN128" s="9"/>
      <c r="KO128" s="9"/>
      <c r="KP128" s="9"/>
      <c r="KQ128" s="9"/>
      <c r="KR128" s="9"/>
      <c r="KS128" s="9"/>
      <c r="KT128" s="9"/>
      <c r="KU128" s="9"/>
      <c r="KV128" s="9"/>
      <c r="KW128" s="9"/>
      <c r="KX128" s="9"/>
      <c r="KY128" s="9"/>
      <c r="KZ128" s="9"/>
      <c r="LA128" s="9"/>
      <c r="LB128" s="9"/>
      <c r="LC128" s="9"/>
      <c r="LD128" s="9"/>
      <c r="LE128" s="9"/>
      <c r="LF128" s="9"/>
      <c r="LG128" s="9"/>
      <c r="LH128" s="9"/>
      <c r="LI128" s="9"/>
      <c r="LJ128" s="9"/>
      <c r="LK128" s="9"/>
      <c r="LL128" s="9"/>
      <c r="LM128" s="9"/>
      <c r="LN128" s="9"/>
      <c r="LO128" s="9"/>
      <c r="LP128" s="9"/>
      <c r="LQ128" s="9"/>
      <c r="LR128" s="9"/>
      <c r="LS128" s="9"/>
      <c r="LT128" s="9"/>
      <c r="LU128" s="9"/>
      <c r="LV128" s="9"/>
      <c r="LW128" s="9"/>
      <c r="LX128" s="9"/>
      <c r="LY128" s="9"/>
      <c r="LZ128" s="9"/>
      <c r="MA128" s="9"/>
      <c r="MB128" s="9"/>
      <c r="MC128" s="9"/>
      <c r="MD128" s="9"/>
      <c r="ME128" s="9"/>
      <c r="MF128" s="9"/>
      <c r="MG128" s="9"/>
      <c r="MH128" s="9"/>
      <c r="MI128" s="9"/>
      <c r="MJ128" s="9"/>
      <c r="MK128" s="9"/>
      <c r="ML128" s="9"/>
      <c r="MM128" s="9"/>
      <c r="MN128" s="9"/>
      <c r="MO128" s="9"/>
      <c r="MP128" s="9"/>
      <c r="MQ128" s="9"/>
      <c r="MR128" s="9"/>
      <c r="MS128" s="9"/>
      <c r="MT128" s="9"/>
      <c r="MU128" s="9"/>
      <c r="MV128" s="9"/>
      <c r="MW128" s="9"/>
      <c r="MX128" s="9"/>
      <c r="MY128" s="9"/>
      <c r="MZ128" s="9"/>
      <c r="NA128" s="9"/>
      <c r="NB128" s="9"/>
      <c r="NC128" s="9"/>
      <c r="ND128" s="9"/>
      <c r="NE128" s="9"/>
      <c r="NF128" s="9"/>
      <c r="NG128" s="9"/>
      <c r="NH128" s="9"/>
      <c r="NI128" s="9"/>
      <c r="NJ128" s="9"/>
      <c r="NK128" s="9"/>
      <c r="NL128" s="9"/>
      <c r="NM128" s="9"/>
      <c r="NN128" s="9"/>
      <c r="NO128" s="9"/>
      <c r="NP128" s="9"/>
      <c r="NQ128" s="9"/>
      <c r="NR128" s="9"/>
      <c r="NS128" s="9"/>
      <c r="NT128" s="9"/>
      <c r="NU128" s="9"/>
      <c r="NV128" s="9"/>
      <c r="NW128" s="9"/>
      <c r="NX128" s="9"/>
      <c r="NY128" s="9"/>
      <c r="NZ128" s="9"/>
      <c r="OA128" s="9"/>
      <c r="OB128" s="9"/>
      <c r="OC128" s="9"/>
      <c r="OD128" s="9"/>
      <c r="OE128" s="9"/>
      <c r="OF128" s="9"/>
      <c r="OG128" s="9"/>
      <c r="OH128" s="9"/>
      <c r="OI128" s="9"/>
      <c r="OJ128" s="9"/>
      <c r="OK128" s="9"/>
      <c r="OL128" s="9"/>
      <c r="OM128" s="9"/>
      <c r="ON128" s="9"/>
      <c r="OO128" s="9"/>
      <c r="OP128" s="9"/>
      <c r="OQ128" s="9"/>
      <c r="OR128" s="9"/>
      <c r="OS128" s="9"/>
      <c r="OT128" s="9"/>
      <c r="OU128" s="9"/>
      <c r="OV128" s="9"/>
      <c r="OW128" s="9"/>
      <c r="OX128" s="9"/>
      <c r="OY128" s="9"/>
      <c r="OZ128" s="9"/>
      <c r="PA128" s="9"/>
      <c r="PB128" s="9"/>
      <c r="PC128" s="9"/>
      <c r="PD128" s="9"/>
      <c r="PE128" s="9"/>
      <c r="PF128" s="9"/>
      <c r="PG128" s="9"/>
      <c r="PH128" s="9"/>
      <c r="PI128" s="9"/>
      <c r="PJ128" s="9"/>
      <c r="PK128" s="9"/>
      <c r="PL128" s="9"/>
      <c r="PM128" s="9"/>
      <c r="PN128" s="9"/>
      <c r="PO128" s="9"/>
      <c r="PP128" s="9"/>
      <c r="PQ128" s="9"/>
      <c r="PR128" s="9"/>
      <c r="PS128" s="9"/>
      <c r="PT128" s="9"/>
      <c r="PU128" s="9"/>
      <c r="PV128" s="9"/>
      <c r="PW128" s="9"/>
      <c r="PX128" s="9"/>
      <c r="PY128" s="9"/>
      <c r="PZ128" s="9"/>
      <c r="QA128" s="9"/>
      <c r="QB128" s="9"/>
      <c r="QC128" s="9"/>
      <c r="QD128" s="9"/>
      <c r="QE128" s="9"/>
      <c r="QF128" s="9"/>
      <c r="QG128" s="9"/>
      <c r="QH128" s="9"/>
      <c r="QI128" s="9"/>
      <c r="QJ128" s="9"/>
      <c r="QK128" s="9"/>
      <c r="QL128" s="9"/>
      <c r="QM128" s="9"/>
      <c r="QN128" s="9"/>
      <c r="QO128" s="9"/>
      <c r="QP128" s="9"/>
      <c r="QQ128" s="9"/>
      <c r="QR128" s="9"/>
      <c r="QS128" s="9"/>
      <c r="QT128" s="9"/>
      <c r="QU128" s="9"/>
      <c r="QV128" s="9"/>
      <c r="QW128" s="9"/>
      <c r="QX128" s="9"/>
      <c r="QY128" s="9"/>
      <c r="QZ128" s="9"/>
      <c r="RA128" s="9"/>
      <c r="RB128" s="9"/>
      <c r="RC128" s="9"/>
      <c r="RD128" s="9"/>
      <c r="RE128" s="9"/>
      <c r="RF128" s="9"/>
      <c r="RG128" s="9"/>
      <c r="RH128" s="9"/>
      <c r="RI128" s="9"/>
      <c r="RJ128" s="9"/>
      <c r="RK128" s="9"/>
      <c r="RL128" s="9"/>
      <c r="RM128" s="9"/>
      <c r="RN128" s="9"/>
      <c r="RO128" s="9"/>
      <c r="RP128" s="9"/>
      <c r="RQ128" s="9"/>
      <c r="RR128" s="9"/>
      <c r="RS128" s="9"/>
      <c r="RT128" s="9"/>
      <c r="RU128" s="9"/>
      <c r="RV128" s="9"/>
      <c r="RW128" s="9"/>
      <c r="RX128" s="9"/>
      <c r="RY128" s="9"/>
      <c r="RZ128" s="9"/>
      <c r="SA128" s="9"/>
      <c r="SB128" s="9"/>
      <c r="SC128" s="9"/>
      <c r="SD128" s="9"/>
      <c r="SE128" s="9"/>
      <c r="SF128" s="9"/>
      <c r="SG128" s="9"/>
      <c r="SH128" s="9"/>
      <c r="SI128" s="9"/>
      <c r="SJ128" s="9"/>
      <c r="SK128" s="8"/>
      <c r="SL128" s="8"/>
      <c r="SM128" s="8"/>
      <c r="SN128" s="8"/>
      <c r="SO128" s="8"/>
      <c r="SP128" s="8"/>
      <c r="SQ128" s="8"/>
      <c r="SR128" s="8"/>
      <c r="SS128" s="8"/>
      <c r="ST128" s="8"/>
      <c r="SU128" s="8"/>
      <c r="SV128" s="8"/>
      <c r="SW128" s="8"/>
      <c r="SX128" s="8"/>
      <c r="SY128" s="8"/>
      <c r="SZ128" s="8"/>
      <c r="TA128" s="8"/>
      <c r="TB128" s="8"/>
      <c r="TC128" s="8"/>
      <c r="TD128" s="8"/>
      <c r="TE128" s="8"/>
      <c r="TF128" s="8"/>
      <c r="TG128" s="8"/>
      <c r="TH128" s="8"/>
      <c r="TI128" s="8"/>
      <c r="TJ128" s="8"/>
      <c r="TK128" s="8"/>
      <c r="TL128" s="8"/>
      <c r="TM128" s="8"/>
      <c r="TN128" s="8"/>
      <c r="TO128" s="8"/>
    </row>
    <row r="129" spans="1:535" x14ac:dyDescent="0.2">
      <c r="A129" s="7"/>
      <c r="B129" s="15"/>
      <c r="C129" s="15"/>
      <c r="D129" s="15"/>
      <c r="E129" s="15"/>
      <c r="F129" s="15"/>
      <c r="G129" s="15"/>
      <c r="H129" s="15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  <c r="EU129" s="9"/>
      <c r="EV129" s="9"/>
      <c r="EW129" s="9"/>
      <c r="EX129" s="9"/>
      <c r="EY129" s="9"/>
      <c r="EZ129" s="9"/>
      <c r="FA129" s="9"/>
      <c r="FB129" s="9"/>
      <c r="FC129" s="9"/>
      <c r="FD129" s="9"/>
      <c r="FE129" s="9"/>
      <c r="FF129" s="9"/>
      <c r="FG129" s="9"/>
      <c r="FH129" s="9"/>
      <c r="FI129" s="9"/>
      <c r="FJ129" s="9"/>
      <c r="FK129" s="9"/>
      <c r="FL129" s="9"/>
      <c r="FM129" s="9"/>
      <c r="FN129" s="9"/>
      <c r="FO129" s="9"/>
      <c r="FP129" s="9"/>
      <c r="FQ129" s="9"/>
      <c r="FR129" s="9"/>
      <c r="FS129" s="9"/>
      <c r="FT129" s="9"/>
      <c r="FU129" s="9"/>
      <c r="FV129" s="9"/>
      <c r="FW129" s="9"/>
      <c r="FX129" s="9"/>
      <c r="FY129" s="9"/>
      <c r="FZ129" s="9"/>
      <c r="GA129" s="9"/>
      <c r="GB129" s="9"/>
      <c r="GC129" s="9"/>
      <c r="GD129" s="9"/>
      <c r="GE129" s="9"/>
      <c r="GF129" s="9"/>
      <c r="GG129" s="9"/>
      <c r="GH129" s="9"/>
      <c r="GI129" s="9"/>
      <c r="GJ129" s="9"/>
      <c r="GK129" s="9"/>
      <c r="GL129" s="9"/>
      <c r="GM129" s="9"/>
      <c r="GN129" s="9"/>
      <c r="GO129" s="9"/>
      <c r="GP129" s="9"/>
      <c r="GQ129" s="9"/>
      <c r="GR129" s="9"/>
      <c r="GS129" s="9"/>
      <c r="GT129" s="9"/>
      <c r="GU129" s="9"/>
      <c r="GV129" s="9"/>
      <c r="GW129" s="9"/>
      <c r="GX129" s="9"/>
      <c r="GY129" s="9"/>
      <c r="GZ129" s="9"/>
      <c r="HA129" s="9"/>
      <c r="HB129" s="9"/>
      <c r="HC129" s="9"/>
      <c r="HD129" s="9"/>
      <c r="HE129" s="9"/>
      <c r="HF129" s="9"/>
      <c r="HG129" s="9"/>
      <c r="HH129" s="9"/>
      <c r="HI129" s="9"/>
      <c r="HJ129" s="9"/>
      <c r="HK129" s="9"/>
      <c r="HL129" s="9"/>
      <c r="HM129" s="9"/>
      <c r="HN129" s="9"/>
      <c r="HO129" s="9"/>
      <c r="HP129" s="9"/>
      <c r="HQ129" s="9"/>
      <c r="HR129" s="9"/>
      <c r="HS129" s="9"/>
      <c r="HT129" s="9"/>
      <c r="HU129" s="9"/>
      <c r="HV129" s="9"/>
      <c r="HW129" s="9"/>
      <c r="HX129" s="9"/>
      <c r="HY129" s="9"/>
      <c r="HZ129" s="9"/>
      <c r="IA129" s="9"/>
      <c r="IB129" s="9"/>
      <c r="IC129" s="9"/>
      <c r="ID129" s="9"/>
      <c r="IE129" s="9"/>
      <c r="IF129" s="9"/>
      <c r="IG129" s="9"/>
      <c r="IH129" s="9"/>
      <c r="II129" s="9"/>
      <c r="IJ129" s="9"/>
      <c r="IK129" s="9"/>
      <c r="IL129" s="9"/>
      <c r="IM129" s="9"/>
      <c r="IN129" s="9"/>
      <c r="IO129" s="9"/>
      <c r="IP129" s="9"/>
      <c r="IQ129" s="9"/>
      <c r="IR129" s="9"/>
      <c r="IS129" s="9"/>
      <c r="IT129" s="9"/>
      <c r="IU129" s="9"/>
      <c r="IV129" s="9"/>
      <c r="IW129" s="9"/>
      <c r="IX129" s="9"/>
      <c r="IY129" s="9"/>
      <c r="IZ129" s="9"/>
      <c r="JA129" s="9"/>
      <c r="JB129" s="9"/>
      <c r="JC129" s="9"/>
      <c r="JD129" s="9"/>
      <c r="JE129" s="9"/>
      <c r="JF129" s="9"/>
      <c r="JG129" s="9"/>
      <c r="JH129" s="9"/>
      <c r="JI129" s="9"/>
      <c r="JJ129" s="9"/>
      <c r="JK129" s="9"/>
      <c r="JL129" s="9"/>
      <c r="JM129" s="9"/>
      <c r="JN129" s="9"/>
      <c r="JO129" s="9"/>
      <c r="JP129" s="9"/>
      <c r="JQ129" s="9"/>
      <c r="JR129" s="9"/>
      <c r="JS129" s="9"/>
      <c r="JT129" s="9"/>
      <c r="JU129" s="9"/>
      <c r="JV129" s="9"/>
      <c r="JW129" s="9"/>
      <c r="JX129" s="9"/>
      <c r="JY129" s="9"/>
      <c r="JZ129" s="9"/>
      <c r="KA129" s="9"/>
      <c r="KB129" s="9"/>
      <c r="KC129" s="9"/>
      <c r="KD129" s="9"/>
      <c r="KE129" s="9"/>
      <c r="KF129" s="9"/>
      <c r="KG129" s="9"/>
      <c r="KH129" s="9"/>
      <c r="KI129" s="9"/>
      <c r="KJ129" s="9"/>
      <c r="KK129" s="9"/>
      <c r="KL129" s="9"/>
      <c r="KM129" s="9"/>
      <c r="KN129" s="9"/>
      <c r="KO129" s="9"/>
      <c r="KP129" s="9"/>
      <c r="KQ129" s="9"/>
      <c r="KR129" s="9"/>
      <c r="KS129" s="9"/>
      <c r="KT129" s="9"/>
      <c r="KU129" s="9"/>
      <c r="KV129" s="9"/>
      <c r="KW129" s="9"/>
      <c r="KX129" s="9"/>
      <c r="KY129" s="9"/>
      <c r="KZ129" s="9"/>
      <c r="LA129" s="9"/>
      <c r="LB129" s="9"/>
      <c r="LC129" s="9"/>
      <c r="LD129" s="9"/>
      <c r="LE129" s="9"/>
      <c r="LF129" s="9"/>
      <c r="LG129" s="9"/>
      <c r="LH129" s="9"/>
      <c r="LI129" s="9"/>
      <c r="LJ129" s="9"/>
      <c r="LK129" s="9"/>
      <c r="LL129" s="9"/>
      <c r="LM129" s="9"/>
      <c r="LN129" s="9"/>
      <c r="LO129" s="9"/>
      <c r="LP129" s="9"/>
      <c r="LQ129" s="9"/>
      <c r="LR129" s="9"/>
      <c r="LS129" s="9"/>
      <c r="LT129" s="9"/>
      <c r="LU129" s="9"/>
      <c r="LV129" s="9"/>
      <c r="LW129" s="9"/>
      <c r="LX129" s="9"/>
      <c r="LY129" s="9"/>
      <c r="LZ129" s="9"/>
      <c r="MA129" s="9"/>
      <c r="MB129" s="9"/>
      <c r="MC129" s="9"/>
      <c r="MD129" s="9"/>
      <c r="ME129" s="9"/>
      <c r="MF129" s="9"/>
      <c r="MG129" s="9"/>
      <c r="MH129" s="9"/>
      <c r="MI129" s="9"/>
      <c r="MJ129" s="9"/>
      <c r="MK129" s="9"/>
      <c r="ML129" s="9"/>
      <c r="MM129" s="9"/>
      <c r="MN129" s="9"/>
      <c r="MO129" s="9"/>
      <c r="MP129" s="9"/>
      <c r="MQ129" s="9"/>
      <c r="MR129" s="9"/>
      <c r="MS129" s="9"/>
      <c r="MT129" s="9"/>
      <c r="MU129" s="9"/>
      <c r="MV129" s="9"/>
      <c r="MW129" s="9"/>
      <c r="MX129" s="9"/>
      <c r="MY129" s="9"/>
      <c r="MZ129" s="9"/>
      <c r="NA129" s="9"/>
      <c r="NB129" s="9"/>
      <c r="NC129" s="9"/>
      <c r="ND129" s="9"/>
      <c r="NE129" s="9"/>
      <c r="NF129" s="9"/>
      <c r="NG129" s="9"/>
      <c r="NH129" s="9"/>
      <c r="NI129" s="9"/>
      <c r="NJ129" s="9"/>
      <c r="NK129" s="9"/>
      <c r="NL129" s="9"/>
      <c r="NM129" s="9"/>
      <c r="NN129" s="9"/>
      <c r="NO129" s="9"/>
      <c r="NP129" s="9"/>
      <c r="NQ129" s="9"/>
      <c r="NR129" s="9"/>
      <c r="NS129" s="9"/>
      <c r="NT129" s="9"/>
      <c r="NU129" s="9"/>
      <c r="NV129" s="9"/>
      <c r="NW129" s="9"/>
      <c r="NX129" s="9"/>
      <c r="NY129" s="9"/>
      <c r="NZ129" s="9"/>
      <c r="OA129" s="9"/>
      <c r="OB129" s="9"/>
      <c r="OC129" s="9"/>
      <c r="OD129" s="9"/>
      <c r="OE129" s="9"/>
      <c r="OF129" s="9"/>
      <c r="OG129" s="9"/>
      <c r="OH129" s="9"/>
      <c r="OI129" s="9"/>
      <c r="OJ129" s="9"/>
      <c r="OK129" s="9"/>
      <c r="OL129" s="9"/>
      <c r="OM129" s="9"/>
      <c r="ON129" s="9"/>
      <c r="OO129" s="9"/>
      <c r="OP129" s="9"/>
      <c r="OQ129" s="9"/>
      <c r="OR129" s="9"/>
      <c r="OS129" s="9"/>
      <c r="OT129" s="9"/>
      <c r="OU129" s="9"/>
      <c r="OV129" s="9"/>
      <c r="OW129" s="9"/>
      <c r="OX129" s="9"/>
      <c r="OY129" s="9"/>
      <c r="OZ129" s="9"/>
      <c r="PA129" s="9"/>
      <c r="PB129" s="9"/>
      <c r="PC129" s="9"/>
      <c r="PD129" s="9"/>
      <c r="PE129" s="9"/>
      <c r="PF129" s="9"/>
      <c r="PG129" s="9"/>
      <c r="PH129" s="9"/>
      <c r="PI129" s="9"/>
      <c r="PJ129" s="9"/>
      <c r="PK129" s="9"/>
      <c r="PL129" s="9"/>
      <c r="PM129" s="9"/>
      <c r="PN129" s="9"/>
      <c r="PO129" s="9"/>
      <c r="PP129" s="9"/>
      <c r="PQ129" s="9"/>
      <c r="PR129" s="9"/>
      <c r="PS129" s="9"/>
      <c r="PT129" s="9"/>
      <c r="PU129" s="9"/>
      <c r="PV129" s="9"/>
      <c r="PW129" s="9"/>
      <c r="PX129" s="9"/>
      <c r="PY129" s="9"/>
      <c r="PZ129" s="9"/>
      <c r="QA129" s="9"/>
      <c r="QB129" s="9"/>
      <c r="QC129" s="9"/>
      <c r="QD129" s="9"/>
      <c r="QE129" s="9"/>
      <c r="QF129" s="9"/>
      <c r="QG129" s="9"/>
      <c r="QH129" s="9"/>
      <c r="QI129" s="9"/>
      <c r="QJ129" s="9"/>
      <c r="QK129" s="9"/>
      <c r="QL129" s="9"/>
      <c r="QM129" s="9"/>
      <c r="QN129" s="9"/>
      <c r="QO129" s="9"/>
      <c r="QP129" s="9"/>
      <c r="QQ129" s="9"/>
      <c r="QR129" s="9"/>
      <c r="QS129" s="9"/>
      <c r="QT129" s="9"/>
      <c r="QU129" s="9"/>
      <c r="QV129" s="9"/>
      <c r="QW129" s="9"/>
      <c r="QX129" s="9"/>
      <c r="QY129" s="9"/>
      <c r="QZ129" s="9"/>
      <c r="RA129" s="9"/>
      <c r="RB129" s="9"/>
      <c r="RC129" s="9"/>
      <c r="RD129" s="9"/>
      <c r="RE129" s="9"/>
      <c r="RF129" s="9"/>
      <c r="RG129" s="9"/>
      <c r="RH129" s="9"/>
      <c r="RI129" s="9"/>
      <c r="RJ129" s="9"/>
      <c r="RK129" s="9"/>
      <c r="RL129" s="9"/>
      <c r="RM129" s="9"/>
      <c r="RN129" s="9"/>
      <c r="RO129" s="9"/>
      <c r="RP129" s="9"/>
      <c r="RQ129" s="9"/>
      <c r="RR129" s="9"/>
      <c r="RS129" s="9"/>
      <c r="RT129" s="9"/>
      <c r="RU129" s="9"/>
      <c r="RV129" s="9"/>
      <c r="RW129" s="9"/>
      <c r="RX129" s="9"/>
      <c r="RY129" s="9"/>
      <c r="RZ129" s="9"/>
      <c r="SA129" s="9"/>
      <c r="SB129" s="9"/>
      <c r="SC129" s="9"/>
      <c r="SD129" s="9"/>
      <c r="SE129" s="9"/>
      <c r="SF129" s="9"/>
      <c r="SG129" s="9"/>
      <c r="SH129" s="9"/>
      <c r="SI129" s="9"/>
      <c r="SJ129" s="9"/>
      <c r="SK129" s="8"/>
      <c r="SL129" s="8"/>
      <c r="SM129" s="8"/>
      <c r="SN129" s="8"/>
      <c r="SO129" s="8"/>
      <c r="SP129" s="8"/>
      <c r="SQ129" s="8"/>
      <c r="SR129" s="8"/>
      <c r="SS129" s="8"/>
      <c r="ST129" s="8"/>
      <c r="SU129" s="8"/>
      <c r="SV129" s="8"/>
      <c r="SW129" s="8"/>
      <c r="SX129" s="8"/>
      <c r="SY129" s="8"/>
      <c r="SZ129" s="8"/>
      <c r="TA129" s="8"/>
      <c r="TB129" s="8"/>
      <c r="TC129" s="8"/>
      <c r="TD129" s="8"/>
      <c r="TE129" s="8"/>
      <c r="TF129" s="8"/>
      <c r="TG129" s="8"/>
      <c r="TH129" s="8"/>
      <c r="TI129" s="8"/>
      <c r="TJ129" s="8"/>
      <c r="TK129" s="8"/>
      <c r="TL129" s="8"/>
      <c r="TM129" s="8"/>
      <c r="TN129" s="8"/>
      <c r="TO129" s="8"/>
    </row>
    <row r="130" spans="1:535" x14ac:dyDescent="0.2">
      <c r="A130" s="7"/>
      <c r="B130" s="15"/>
      <c r="C130" s="15"/>
      <c r="D130" s="15"/>
      <c r="E130" s="15"/>
      <c r="F130" s="15"/>
      <c r="G130" s="15"/>
      <c r="H130" s="15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  <c r="EA130" s="9"/>
      <c r="EB130" s="9"/>
      <c r="EC130" s="9"/>
      <c r="ED130" s="9"/>
      <c r="EE130" s="9"/>
      <c r="EF130" s="9"/>
      <c r="EG130" s="9"/>
      <c r="EH130" s="9"/>
      <c r="EI130" s="9"/>
      <c r="EJ130" s="9"/>
      <c r="EK130" s="9"/>
      <c r="EL130" s="9"/>
      <c r="EM130" s="9"/>
      <c r="EN130" s="9"/>
      <c r="EO130" s="9"/>
      <c r="EP130" s="9"/>
      <c r="EQ130" s="9"/>
      <c r="ER130" s="9"/>
      <c r="ES130" s="9"/>
      <c r="ET130" s="9"/>
      <c r="EU130" s="9"/>
      <c r="EV130" s="9"/>
      <c r="EW130" s="9"/>
      <c r="EX130" s="9"/>
      <c r="EY130" s="9"/>
      <c r="EZ130" s="9"/>
      <c r="FA130" s="9"/>
      <c r="FB130" s="9"/>
      <c r="FC130" s="9"/>
      <c r="FD130" s="9"/>
      <c r="FE130" s="9"/>
      <c r="FF130" s="9"/>
      <c r="FG130" s="9"/>
      <c r="FH130" s="9"/>
      <c r="FI130" s="9"/>
      <c r="FJ130" s="9"/>
      <c r="FK130" s="9"/>
      <c r="FL130" s="9"/>
      <c r="FM130" s="9"/>
      <c r="FN130" s="9"/>
      <c r="FO130" s="9"/>
      <c r="FP130" s="9"/>
      <c r="FQ130" s="9"/>
      <c r="FR130" s="9"/>
      <c r="FS130" s="9"/>
      <c r="FT130" s="9"/>
      <c r="FU130" s="9"/>
      <c r="FV130" s="9"/>
      <c r="FW130" s="9"/>
      <c r="FX130" s="9"/>
      <c r="FY130" s="9"/>
      <c r="FZ130" s="9"/>
      <c r="GA130" s="9"/>
      <c r="GB130" s="9"/>
      <c r="GC130" s="9"/>
      <c r="GD130" s="9"/>
      <c r="GE130" s="9"/>
      <c r="GF130" s="9"/>
      <c r="GG130" s="9"/>
      <c r="GH130" s="9"/>
      <c r="GI130" s="9"/>
      <c r="GJ130" s="9"/>
      <c r="GK130" s="9"/>
      <c r="GL130" s="9"/>
      <c r="GM130" s="9"/>
      <c r="GN130" s="9"/>
      <c r="GO130" s="9"/>
      <c r="GP130" s="9"/>
      <c r="GQ130" s="9"/>
      <c r="GR130" s="9"/>
      <c r="GS130" s="9"/>
      <c r="GT130" s="9"/>
      <c r="GU130" s="9"/>
      <c r="GV130" s="9"/>
      <c r="GW130" s="9"/>
      <c r="GX130" s="9"/>
      <c r="GY130" s="9"/>
      <c r="GZ130" s="9"/>
      <c r="HA130" s="9"/>
      <c r="HB130" s="9"/>
      <c r="HC130" s="9"/>
      <c r="HD130" s="9"/>
      <c r="HE130" s="9"/>
      <c r="HF130" s="9"/>
      <c r="HG130" s="9"/>
      <c r="HH130" s="9"/>
      <c r="HI130" s="9"/>
      <c r="HJ130" s="9"/>
      <c r="HK130" s="9"/>
      <c r="HL130" s="9"/>
      <c r="HM130" s="9"/>
      <c r="HN130" s="9"/>
      <c r="HO130" s="9"/>
      <c r="HP130" s="9"/>
      <c r="HQ130" s="9"/>
      <c r="HR130" s="9"/>
      <c r="HS130" s="9"/>
      <c r="HT130" s="9"/>
      <c r="HU130" s="9"/>
      <c r="HV130" s="9"/>
      <c r="HW130" s="9"/>
      <c r="HX130" s="9"/>
      <c r="HY130" s="9"/>
      <c r="HZ130" s="9"/>
      <c r="IA130" s="9"/>
      <c r="IB130" s="9"/>
      <c r="IC130" s="9"/>
      <c r="ID130" s="9"/>
      <c r="IE130" s="9"/>
      <c r="IF130" s="9"/>
      <c r="IG130" s="9"/>
      <c r="IH130" s="9"/>
      <c r="II130" s="9"/>
      <c r="IJ130" s="9"/>
      <c r="IK130" s="9"/>
      <c r="IL130" s="9"/>
      <c r="IM130" s="9"/>
      <c r="IN130" s="9"/>
      <c r="IO130" s="9"/>
      <c r="IP130" s="9"/>
      <c r="IQ130" s="9"/>
      <c r="IR130" s="9"/>
      <c r="IS130" s="9"/>
      <c r="IT130" s="9"/>
      <c r="IU130" s="9"/>
      <c r="IV130" s="9"/>
      <c r="IW130" s="9"/>
      <c r="IX130" s="9"/>
      <c r="IY130" s="9"/>
      <c r="IZ130" s="9"/>
      <c r="JA130" s="9"/>
      <c r="JB130" s="9"/>
      <c r="JC130" s="9"/>
      <c r="JD130" s="9"/>
      <c r="JE130" s="9"/>
      <c r="JF130" s="9"/>
      <c r="JG130" s="9"/>
      <c r="JH130" s="9"/>
      <c r="JI130" s="9"/>
      <c r="JJ130" s="9"/>
      <c r="JK130" s="9"/>
      <c r="JL130" s="9"/>
      <c r="JM130" s="9"/>
      <c r="JN130" s="9"/>
      <c r="JO130" s="9"/>
      <c r="JP130" s="9"/>
      <c r="JQ130" s="9"/>
      <c r="JR130" s="9"/>
      <c r="JS130" s="9"/>
      <c r="JT130" s="9"/>
      <c r="JU130" s="9"/>
      <c r="JV130" s="9"/>
      <c r="JW130" s="9"/>
      <c r="JX130" s="9"/>
      <c r="JY130" s="9"/>
      <c r="JZ130" s="9"/>
      <c r="KA130" s="9"/>
      <c r="KB130" s="9"/>
      <c r="KC130" s="9"/>
      <c r="KD130" s="9"/>
      <c r="KE130" s="9"/>
      <c r="KF130" s="9"/>
      <c r="KG130" s="9"/>
      <c r="KH130" s="9"/>
      <c r="KI130" s="9"/>
      <c r="KJ130" s="9"/>
      <c r="KK130" s="9"/>
      <c r="KL130" s="9"/>
      <c r="KM130" s="9"/>
      <c r="KN130" s="9"/>
      <c r="KO130" s="9"/>
      <c r="KP130" s="9"/>
      <c r="KQ130" s="9"/>
      <c r="KR130" s="9"/>
      <c r="KS130" s="9"/>
      <c r="KT130" s="9"/>
      <c r="KU130" s="9"/>
      <c r="KV130" s="9"/>
      <c r="KW130" s="9"/>
      <c r="KX130" s="9"/>
      <c r="KY130" s="9"/>
      <c r="KZ130" s="9"/>
      <c r="LA130" s="9"/>
      <c r="LB130" s="9"/>
      <c r="LC130" s="9"/>
      <c r="LD130" s="9"/>
      <c r="LE130" s="9"/>
      <c r="LF130" s="9"/>
      <c r="LG130" s="9"/>
      <c r="LH130" s="9"/>
      <c r="LI130" s="9"/>
      <c r="LJ130" s="9"/>
      <c r="LK130" s="9"/>
      <c r="LL130" s="9"/>
      <c r="LM130" s="9"/>
      <c r="LN130" s="9"/>
      <c r="LO130" s="9"/>
      <c r="LP130" s="9"/>
      <c r="LQ130" s="9"/>
      <c r="LR130" s="9"/>
      <c r="LS130" s="9"/>
      <c r="LT130" s="9"/>
      <c r="LU130" s="9"/>
      <c r="LV130" s="9"/>
      <c r="LW130" s="9"/>
      <c r="LX130" s="9"/>
      <c r="LY130" s="9"/>
      <c r="LZ130" s="9"/>
      <c r="MA130" s="9"/>
      <c r="MB130" s="9"/>
      <c r="MC130" s="9"/>
      <c r="MD130" s="9"/>
      <c r="ME130" s="9"/>
      <c r="MF130" s="9"/>
      <c r="MG130" s="9"/>
      <c r="MH130" s="9"/>
      <c r="MI130" s="9"/>
      <c r="MJ130" s="9"/>
      <c r="MK130" s="9"/>
      <c r="ML130" s="9"/>
      <c r="MM130" s="9"/>
      <c r="MN130" s="9"/>
      <c r="MO130" s="9"/>
      <c r="MP130" s="9"/>
      <c r="MQ130" s="9"/>
      <c r="MR130" s="9"/>
      <c r="MS130" s="9"/>
      <c r="MT130" s="9"/>
      <c r="MU130" s="9"/>
      <c r="MV130" s="9"/>
      <c r="MW130" s="9"/>
      <c r="MX130" s="9"/>
      <c r="MY130" s="9"/>
      <c r="MZ130" s="9"/>
      <c r="NA130" s="9"/>
      <c r="NB130" s="9"/>
      <c r="NC130" s="9"/>
      <c r="ND130" s="9"/>
      <c r="NE130" s="9"/>
      <c r="NF130" s="9"/>
      <c r="NG130" s="9"/>
      <c r="NH130" s="9"/>
      <c r="NI130" s="9"/>
      <c r="NJ130" s="9"/>
      <c r="NK130" s="9"/>
      <c r="NL130" s="9"/>
      <c r="NM130" s="9"/>
      <c r="NN130" s="9"/>
      <c r="NO130" s="9"/>
      <c r="NP130" s="9"/>
      <c r="NQ130" s="9"/>
      <c r="NR130" s="9"/>
      <c r="NS130" s="9"/>
      <c r="NT130" s="9"/>
      <c r="NU130" s="9"/>
      <c r="NV130" s="9"/>
      <c r="NW130" s="9"/>
      <c r="NX130" s="9"/>
      <c r="NY130" s="9"/>
      <c r="NZ130" s="9"/>
      <c r="OA130" s="9"/>
      <c r="OB130" s="9"/>
      <c r="OC130" s="9"/>
      <c r="OD130" s="9"/>
      <c r="OE130" s="9"/>
      <c r="OF130" s="9"/>
      <c r="OG130" s="9"/>
      <c r="OH130" s="9"/>
      <c r="OI130" s="9"/>
      <c r="OJ130" s="9"/>
      <c r="OK130" s="9"/>
      <c r="OL130" s="9"/>
      <c r="OM130" s="9"/>
      <c r="ON130" s="9"/>
      <c r="OO130" s="9"/>
      <c r="OP130" s="9"/>
      <c r="OQ130" s="9"/>
      <c r="OR130" s="9"/>
      <c r="OS130" s="9"/>
      <c r="OT130" s="9"/>
      <c r="OU130" s="9"/>
      <c r="OV130" s="9"/>
      <c r="OW130" s="9"/>
      <c r="OX130" s="9"/>
      <c r="OY130" s="9"/>
      <c r="OZ130" s="9"/>
      <c r="PA130" s="9"/>
      <c r="PB130" s="9"/>
      <c r="PC130" s="9"/>
      <c r="PD130" s="9"/>
      <c r="PE130" s="9"/>
      <c r="PF130" s="9"/>
      <c r="PG130" s="9"/>
      <c r="PH130" s="9"/>
      <c r="PI130" s="9"/>
      <c r="PJ130" s="9"/>
      <c r="PK130" s="9"/>
      <c r="PL130" s="9"/>
      <c r="PM130" s="9"/>
      <c r="PN130" s="9"/>
      <c r="PO130" s="9"/>
      <c r="PP130" s="9"/>
      <c r="PQ130" s="9"/>
      <c r="PR130" s="9"/>
      <c r="PS130" s="9"/>
      <c r="PT130" s="9"/>
      <c r="PU130" s="9"/>
      <c r="PV130" s="9"/>
      <c r="PW130" s="9"/>
      <c r="PX130" s="9"/>
      <c r="PY130" s="9"/>
      <c r="PZ130" s="9"/>
      <c r="QA130" s="9"/>
      <c r="QB130" s="9"/>
      <c r="QC130" s="9"/>
      <c r="QD130" s="9"/>
      <c r="QE130" s="9"/>
      <c r="QF130" s="9"/>
      <c r="QG130" s="9"/>
      <c r="QH130" s="9"/>
      <c r="QI130" s="9"/>
      <c r="QJ130" s="9"/>
      <c r="QK130" s="9"/>
      <c r="QL130" s="9"/>
      <c r="QM130" s="9"/>
      <c r="QN130" s="9"/>
      <c r="QO130" s="9"/>
      <c r="QP130" s="9"/>
      <c r="QQ130" s="9"/>
      <c r="QR130" s="9"/>
      <c r="QS130" s="9"/>
      <c r="QT130" s="9"/>
      <c r="QU130" s="9"/>
      <c r="QV130" s="9"/>
      <c r="QW130" s="9"/>
      <c r="QX130" s="9"/>
      <c r="QY130" s="9"/>
      <c r="QZ130" s="9"/>
      <c r="RA130" s="9"/>
      <c r="RB130" s="9"/>
      <c r="RC130" s="9"/>
      <c r="RD130" s="9"/>
      <c r="RE130" s="9"/>
      <c r="RF130" s="9"/>
      <c r="RG130" s="9"/>
      <c r="RH130" s="9"/>
      <c r="RI130" s="9"/>
      <c r="RJ130" s="9"/>
      <c r="RK130" s="9"/>
      <c r="RL130" s="9"/>
      <c r="RM130" s="9"/>
      <c r="RN130" s="9"/>
      <c r="RO130" s="9"/>
      <c r="RP130" s="9"/>
      <c r="RQ130" s="9"/>
      <c r="RR130" s="9"/>
      <c r="RS130" s="9"/>
      <c r="RT130" s="9"/>
      <c r="RU130" s="9"/>
      <c r="RV130" s="9"/>
      <c r="RW130" s="9"/>
      <c r="RX130" s="9"/>
      <c r="RY130" s="9"/>
      <c r="RZ130" s="9"/>
      <c r="SA130" s="9"/>
      <c r="SB130" s="9"/>
      <c r="SC130" s="9"/>
      <c r="SD130" s="9"/>
      <c r="SE130" s="9"/>
      <c r="SF130" s="9"/>
      <c r="SG130" s="9"/>
      <c r="SH130" s="9"/>
      <c r="SI130" s="9"/>
      <c r="SJ130" s="9"/>
      <c r="SK130" s="8"/>
      <c r="SL130" s="8"/>
      <c r="SM130" s="8"/>
      <c r="SN130" s="8"/>
      <c r="SO130" s="8"/>
      <c r="SP130" s="8"/>
      <c r="SQ130" s="8"/>
      <c r="SR130" s="8"/>
      <c r="SS130" s="8"/>
      <c r="ST130" s="8"/>
      <c r="SU130" s="8"/>
      <c r="SV130" s="8"/>
      <c r="SW130" s="8"/>
      <c r="SX130" s="8"/>
      <c r="SY130" s="8"/>
      <c r="SZ130" s="8"/>
      <c r="TA130" s="8"/>
      <c r="TB130" s="8"/>
      <c r="TC130" s="8"/>
      <c r="TD130" s="8"/>
      <c r="TE130" s="8"/>
      <c r="TF130" s="8"/>
      <c r="TG130" s="8"/>
      <c r="TH130" s="8"/>
      <c r="TI130" s="8"/>
      <c r="TJ130" s="8"/>
      <c r="TK130" s="8"/>
      <c r="TL130" s="8"/>
      <c r="TM130" s="8"/>
      <c r="TN130" s="8"/>
      <c r="TO130" s="8"/>
    </row>
    <row r="131" spans="1:535" x14ac:dyDescent="0.2">
      <c r="A131" s="7"/>
      <c r="B131" s="15"/>
      <c r="C131" s="15"/>
      <c r="D131" s="15"/>
      <c r="E131" s="15"/>
      <c r="F131" s="15"/>
      <c r="G131" s="15"/>
      <c r="H131" s="15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9"/>
      <c r="EA131" s="9"/>
      <c r="EB131" s="9"/>
      <c r="EC131" s="9"/>
      <c r="ED131" s="9"/>
      <c r="EE131" s="9"/>
      <c r="EF131" s="9"/>
      <c r="EG131" s="9"/>
      <c r="EH131" s="9"/>
      <c r="EI131" s="9"/>
      <c r="EJ131" s="9"/>
      <c r="EK131" s="9"/>
      <c r="EL131" s="9"/>
      <c r="EM131" s="9"/>
      <c r="EN131" s="9"/>
      <c r="EO131" s="9"/>
      <c r="EP131" s="9"/>
      <c r="EQ131" s="9"/>
      <c r="ER131" s="9"/>
      <c r="ES131" s="9"/>
      <c r="ET131" s="9"/>
      <c r="EU131" s="9"/>
      <c r="EV131" s="9"/>
      <c r="EW131" s="9"/>
      <c r="EX131" s="9"/>
      <c r="EY131" s="9"/>
      <c r="EZ131" s="9"/>
      <c r="FA131" s="9"/>
      <c r="FB131" s="9"/>
      <c r="FC131" s="9"/>
      <c r="FD131" s="9"/>
      <c r="FE131" s="9"/>
      <c r="FF131" s="9"/>
      <c r="FG131" s="9"/>
      <c r="FH131" s="9"/>
      <c r="FI131" s="9"/>
      <c r="FJ131" s="9"/>
      <c r="FK131" s="9"/>
      <c r="FL131" s="9"/>
      <c r="FM131" s="9"/>
      <c r="FN131" s="9"/>
      <c r="FO131" s="9"/>
      <c r="FP131" s="9"/>
      <c r="FQ131" s="9"/>
      <c r="FR131" s="9"/>
      <c r="FS131" s="9"/>
      <c r="FT131" s="9"/>
      <c r="FU131" s="9"/>
      <c r="FV131" s="9"/>
      <c r="FW131" s="9"/>
      <c r="FX131" s="9"/>
      <c r="FY131" s="9"/>
      <c r="FZ131" s="9"/>
      <c r="GA131" s="9"/>
      <c r="GB131" s="9"/>
      <c r="GC131" s="9"/>
      <c r="GD131" s="9"/>
      <c r="GE131" s="9"/>
      <c r="GF131" s="9"/>
      <c r="GG131" s="9"/>
      <c r="GH131" s="9"/>
      <c r="GI131" s="9"/>
      <c r="GJ131" s="9"/>
      <c r="GK131" s="9"/>
      <c r="GL131" s="9"/>
      <c r="GM131" s="9"/>
      <c r="GN131" s="9"/>
      <c r="GO131" s="9"/>
      <c r="GP131" s="9"/>
      <c r="GQ131" s="9"/>
      <c r="GR131" s="9"/>
      <c r="GS131" s="9"/>
      <c r="GT131" s="9"/>
      <c r="GU131" s="9"/>
      <c r="GV131" s="9"/>
      <c r="GW131" s="9"/>
      <c r="GX131" s="9"/>
      <c r="GY131" s="9"/>
      <c r="GZ131" s="9"/>
      <c r="HA131" s="9"/>
      <c r="HB131" s="9"/>
      <c r="HC131" s="9"/>
      <c r="HD131" s="9"/>
      <c r="HE131" s="9"/>
      <c r="HF131" s="9"/>
      <c r="HG131" s="9"/>
      <c r="HH131" s="9"/>
      <c r="HI131" s="9"/>
      <c r="HJ131" s="9"/>
      <c r="HK131" s="9"/>
      <c r="HL131" s="9"/>
      <c r="HM131" s="9"/>
      <c r="HN131" s="9"/>
      <c r="HO131" s="9"/>
      <c r="HP131" s="9"/>
      <c r="HQ131" s="9"/>
      <c r="HR131" s="9"/>
      <c r="HS131" s="9"/>
      <c r="HT131" s="9"/>
      <c r="HU131" s="9"/>
      <c r="HV131" s="9"/>
      <c r="HW131" s="9"/>
      <c r="HX131" s="9"/>
      <c r="HY131" s="9"/>
      <c r="HZ131" s="9"/>
      <c r="IA131" s="9"/>
      <c r="IB131" s="9"/>
      <c r="IC131" s="9"/>
      <c r="ID131" s="9"/>
      <c r="IE131" s="9"/>
      <c r="IF131" s="9"/>
      <c r="IG131" s="9"/>
      <c r="IH131" s="9"/>
      <c r="II131" s="9"/>
      <c r="IJ131" s="9"/>
      <c r="IK131" s="9"/>
      <c r="IL131" s="9"/>
      <c r="IM131" s="9"/>
      <c r="IN131" s="9"/>
      <c r="IO131" s="9"/>
      <c r="IP131" s="9"/>
      <c r="IQ131" s="9"/>
      <c r="IR131" s="9"/>
      <c r="IS131" s="9"/>
      <c r="IT131" s="9"/>
      <c r="IU131" s="9"/>
      <c r="IV131" s="9"/>
      <c r="IW131" s="9"/>
      <c r="IX131" s="9"/>
      <c r="IY131" s="9"/>
      <c r="IZ131" s="9"/>
      <c r="JA131" s="9"/>
      <c r="JB131" s="9"/>
      <c r="JC131" s="9"/>
      <c r="JD131" s="9"/>
      <c r="JE131" s="9"/>
      <c r="JF131" s="9"/>
      <c r="JG131" s="9"/>
      <c r="JH131" s="9"/>
      <c r="JI131" s="9"/>
      <c r="JJ131" s="9"/>
      <c r="JK131" s="9"/>
      <c r="JL131" s="9"/>
      <c r="JM131" s="9"/>
      <c r="JN131" s="9"/>
      <c r="JO131" s="9"/>
      <c r="JP131" s="9"/>
      <c r="JQ131" s="9"/>
      <c r="JR131" s="9"/>
      <c r="JS131" s="9"/>
      <c r="JT131" s="9"/>
      <c r="JU131" s="9"/>
      <c r="JV131" s="9"/>
      <c r="JW131" s="9"/>
      <c r="JX131" s="9"/>
      <c r="JY131" s="9"/>
      <c r="JZ131" s="9"/>
      <c r="KA131" s="9"/>
      <c r="KB131" s="9"/>
      <c r="KC131" s="9"/>
      <c r="KD131" s="9"/>
      <c r="KE131" s="9"/>
      <c r="KF131" s="9"/>
      <c r="KG131" s="9"/>
      <c r="KH131" s="9"/>
      <c r="KI131" s="9"/>
      <c r="KJ131" s="9"/>
      <c r="KK131" s="9"/>
      <c r="KL131" s="9"/>
      <c r="KM131" s="9"/>
      <c r="KN131" s="9"/>
      <c r="KO131" s="9"/>
      <c r="KP131" s="9"/>
      <c r="KQ131" s="9"/>
      <c r="KR131" s="9"/>
      <c r="KS131" s="9"/>
      <c r="KT131" s="9"/>
      <c r="KU131" s="9"/>
      <c r="KV131" s="9"/>
      <c r="KW131" s="9"/>
      <c r="KX131" s="9"/>
      <c r="KY131" s="9"/>
      <c r="KZ131" s="9"/>
      <c r="LA131" s="9"/>
      <c r="LB131" s="9"/>
      <c r="LC131" s="9"/>
      <c r="LD131" s="9"/>
      <c r="LE131" s="9"/>
      <c r="LF131" s="9"/>
      <c r="LG131" s="9"/>
      <c r="LH131" s="9"/>
      <c r="LI131" s="9"/>
      <c r="LJ131" s="9"/>
      <c r="LK131" s="9"/>
      <c r="LL131" s="9"/>
      <c r="LM131" s="9"/>
      <c r="LN131" s="9"/>
      <c r="LO131" s="9"/>
      <c r="LP131" s="9"/>
      <c r="LQ131" s="9"/>
      <c r="LR131" s="9"/>
      <c r="LS131" s="9"/>
      <c r="LT131" s="9"/>
      <c r="LU131" s="9"/>
      <c r="LV131" s="9"/>
      <c r="LW131" s="9"/>
      <c r="LX131" s="9"/>
      <c r="LY131" s="9"/>
      <c r="LZ131" s="9"/>
      <c r="MA131" s="9"/>
      <c r="MB131" s="9"/>
      <c r="MC131" s="9"/>
      <c r="MD131" s="9"/>
      <c r="ME131" s="9"/>
      <c r="MF131" s="9"/>
      <c r="MG131" s="9"/>
      <c r="MH131" s="9"/>
      <c r="MI131" s="9"/>
      <c r="MJ131" s="9"/>
      <c r="MK131" s="9"/>
      <c r="ML131" s="9"/>
      <c r="MM131" s="9"/>
      <c r="MN131" s="9"/>
      <c r="MO131" s="9"/>
      <c r="MP131" s="9"/>
      <c r="MQ131" s="9"/>
      <c r="MR131" s="9"/>
      <c r="MS131" s="9"/>
      <c r="MT131" s="9"/>
      <c r="MU131" s="9"/>
      <c r="MV131" s="9"/>
      <c r="MW131" s="9"/>
      <c r="MX131" s="9"/>
      <c r="MY131" s="9"/>
      <c r="MZ131" s="9"/>
      <c r="NA131" s="9"/>
      <c r="NB131" s="9"/>
      <c r="NC131" s="9"/>
      <c r="ND131" s="9"/>
      <c r="NE131" s="9"/>
      <c r="NF131" s="9"/>
      <c r="NG131" s="9"/>
      <c r="NH131" s="9"/>
      <c r="NI131" s="9"/>
      <c r="NJ131" s="9"/>
      <c r="NK131" s="9"/>
      <c r="NL131" s="9"/>
      <c r="NM131" s="9"/>
      <c r="NN131" s="9"/>
      <c r="NO131" s="9"/>
      <c r="NP131" s="9"/>
      <c r="NQ131" s="9"/>
      <c r="NR131" s="9"/>
      <c r="NS131" s="9"/>
      <c r="NT131" s="9"/>
      <c r="NU131" s="9"/>
      <c r="NV131" s="9"/>
      <c r="NW131" s="9"/>
      <c r="NX131" s="9"/>
      <c r="NY131" s="9"/>
      <c r="NZ131" s="9"/>
      <c r="OA131" s="9"/>
      <c r="OB131" s="9"/>
      <c r="OC131" s="9"/>
      <c r="OD131" s="9"/>
      <c r="OE131" s="9"/>
      <c r="OF131" s="9"/>
      <c r="OG131" s="9"/>
      <c r="OH131" s="9"/>
      <c r="OI131" s="9"/>
      <c r="OJ131" s="9"/>
      <c r="OK131" s="9"/>
      <c r="OL131" s="9"/>
      <c r="OM131" s="9"/>
      <c r="ON131" s="9"/>
      <c r="OO131" s="9"/>
      <c r="OP131" s="9"/>
      <c r="OQ131" s="9"/>
      <c r="OR131" s="9"/>
      <c r="OS131" s="9"/>
      <c r="OT131" s="9"/>
      <c r="OU131" s="9"/>
      <c r="OV131" s="9"/>
      <c r="OW131" s="9"/>
      <c r="OX131" s="9"/>
      <c r="OY131" s="9"/>
      <c r="OZ131" s="9"/>
      <c r="PA131" s="9"/>
      <c r="PB131" s="9"/>
      <c r="PC131" s="9"/>
      <c r="PD131" s="9"/>
      <c r="PE131" s="9"/>
      <c r="PF131" s="9"/>
      <c r="PG131" s="9"/>
      <c r="PH131" s="9"/>
      <c r="PI131" s="9"/>
      <c r="PJ131" s="9"/>
      <c r="PK131" s="9"/>
      <c r="PL131" s="9"/>
      <c r="PM131" s="9"/>
      <c r="PN131" s="9"/>
      <c r="PO131" s="9"/>
      <c r="PP131" s="9"/>
      <c r="PQ131" s="9"/>
      <c r="PR131" s="9"/>
      <c r="PS131" s="9"/>
      <c r="PT131" s="9"/>
      <c r="PU131" s="9"/>
      <c r="PV131" s="9"/>
      <c r="PW131" s="9"/>
      <c r="PX131" s="9"/>
      <c r="PY131" s="9"/>
      <c r="PZ131" s="9"/>
      <c r="QA131" s="9"/>
      <c r="QB131" s="9"/>
      <c r="QC131" s="9"/>
      <c r="QD131" s="9"/>
      <c r="QE131" s="9"/>
      <c r="QF131" s="9"/>
      <c r="QG131" s="9"/>
      <c r="QH131" s="9"/>
      <c r="QI131" s="9"/>
      <c r="QJ131" s="9"/>
      <c r="QK131" s="9"/>
      <c r="QL131" s="9"/>
      <c r="QM131" s="9"/>
      <c r="QN131" s="9"/>
      <c r="QO131" s="9"/>
      <c r="QP131" s="9"/>
      <c r="QQ131" s="9"/>
      <c r="QR131" s="9"/>
      <c r="QS131" s="9"/>
      <c r="QT131" s="9"/>
      <c r="QU131" s="9"/>
      <c r="QV131" s="9"/>
      <c r="QW131" s="9"/>
      <c r="QX131" s="9"/>
      <c r="QY131" s="9"/>
      <c r="QZ131" s="9"/>
      <c r="RA131" s="9"/>
      <c r="RB131" s="9"/>
      <c r="RC131" s="9"/>
      <c r="RD131" s="9"/>
      <c r="RE131" s="9"/>
      <c r="RF131" s="9"/>
      <c r="RG131" s="9"/>
      <c r="RH131" s="9"/>
      <c r="RI131" s="9"/>
      <c r="RJ131" s="9"/>
      <c r="RK131" s="9"/>
      <c r="RL131" s="9"/>
      <c r="RM131" s="9"/>
      <c r="RN131" s="9"/>
      <c r="RO131" s="9"/>
      <c r="RP131" s="9"/>
      <c r="RQ131" s="9"/>
      <c r="RR131" s="9"/>
      <c r="RS131" s="9"/>
      <c r="RT131" s="9"/>
      <c r="RU131" s="9"/>
      <c r="RV131" s="9"/>
      <c r="RW131" s="9"/>
      <c r="RX131" s="9"/>
      <c r="RY131" s="9"/>
      <c r="RZ131" s="9"/>
      <c r="SA131" s="9"/>
      <c r="SB131" s="9"/>
      <c r="SC131" s="9"/>
      <c r="SD131" s="9"/>
      <c r="SE131" s="9"/>
      <c r="SF131" s="9"/>
      <c r="SG131" s="9"/>
      <c r="SH131" s="9"/>
      <c r="SI131" s="9"/>
      <c r="SJ131" s="9"/>
      <c r="SK131" s="8"/>
      <c r="SL131" s="8"/>
      <c r="SM131" s="8"/>
      <c r="SN131" s="8"/>
      <c r="SO131" s="8"/>
      <c r="SP131" s="8"/>
      <c r="SQ131" s="8"/>
      <c r="SR131" s="8"/>
      <c r="SS131" s="8"/>
      <c r="ST131" s="8"/>
      <c r="SU131" s="8"/>
      <c r="SV131" s="8"/>
      <c r="SW131" s="8"/>
      <c r="SX131" s="8"/>
      <c r="SY131" s="8"/>
      <c r="SZ131" s="8"/>
      <c r="TA131" s="8"/>
      <c r="TB131" s="8"/>
      <c r="TC131" s="8"/>
      <c r="TD131" s="8"/>
      <c r="TE131" s="8"/>
      <c r="TF131" s="8"/>
      <c r="TG131" s="8"/>
      <c r="TH131" s="8"/>
      <c r="TI131" s="8"/>
      <c r="TJ131" s="8"/>
      <c r="TK131" s="8"/>
      <c r="TL131" s="8"/>
      <c r="TM131" s="8"/>
      <c r="TN131" s="8"/>
      <c r="TO131" s="8"/>
    </row>
    <row r="132" spans="1:535" x14ac:dyDescent="0.2">
      <c r="A132" s="7"/>
      <c r="B132" s="15"/>
      <c r="C132" s="15"/>
      <c r="D132" s="15"/>
      <c r="E132" s="15"/>
      <c r="F132" s="15"/>
      <c r="G132" s="15"/>
      <c r="H132" s="15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  <c r="EA132" s="9"/>
      <c r="EB132" s="9"/>
      <c r="EC132" s="9"/>
      <c r="ED132" s="9"/>
      <c r="EE132" s="9"/>
      <c r="EF132" s="9"/>
      <c r="EG132" s="9"/>
      <c r="EH132" s="9"/>
      <c r="EI132" s="9"/>
      <c r="EJ132" s="9"/>
      <c r="EK132" s="9"/>
      <c r="EL132" s="9"/>
      <c r="EM132" s="9"/>
      <c r="EN132" s="9"/>
      <c r="EO132" s="9"/>
      <c r="EP132" s="9"/>
      <c r="EQ132" s="9"/>
      <c r="ER132" s="9"/>
      <c r="ES132" s="9"/>
      <c r="ET132" s="9"/>
      <c r="EU132" s="9"/>
      <c r="EV132" s="9"/>
      <c r="EW132" s="9"/>
      <c r="EX132" s="9"/>
      <c r="EY132" s="9"/>
      <c r="EZ132" s="9"/>
      <c r="FA132" s="9"/>
      <c r="FB132" s="9"/>
      <c r="FC132" s="9"/>
      <c r="FD132" s="9"/>
      <c r="FE132" s="9"/>
      <c r="FF132" s="9"/>
      <c r="FG132" s="9"/>
      <c r="FH132" s="9"/>
      <c r="FI132" s="9"/>
      <c r="FJ132" s="9"/>
      <c r="FK132" s="9"/>
      <c r="FL132" s="9"/>
      <c r="FM132" s="9"/>
      <c r="FN132" s="9"/>
      <c r="FO132" s="9"/>
      <c r="FP132" s="9"/>
      <c r="FQ132" s="9"/>
      <c r="FR132" s="9"/>
      <c r="FS132" s="9"/>
      <c r="FT132" s="9"/>
      <c r="FU132" s="9"/>
      <c r="FV132" s="9"/>
      <c r="FW132" s="9"/>
      <c r="FX132" s="9"/>
      <c r="FY132" s="9"/>
      <c r="FZ132" s="9"/>
      <c r="GA132" s="9"/>
      <c r="GB132" s="9"/>
      <c r="GC132" s="9"/>
      <c r="GD132" s="9"/>
      <c r="GE132" s="9"/>
      <c r="GF132" s="9"/>
      <c r="GG132" s="9"/>
      <c r="GH132" s="9"/>
      <c r="GI132" s="9"/>
      <c r="GJ132" s="9"/>
      <c r="GK132" s="9"/>
      <c r="GL132" s="9"/>
      <c r="GM132" s="9"/>
      <c r="GN132" s="9"/>
      <c r="GO132" s="9"/>
      <c r="GP132" s="9"/>
      <c r="GQ132" s="9"/>
      <c r="GR132" s="9"/>
      <c r="GS132" s="9"/>
      <c r="GT132" s="9"/>
      <c r="GU132" s="9"/>
      <c r="GV132" s="9"/>
      <c r="GW132" s="9"/>
      <c r="GX132" s="9"/>
      <c r="GY132" s="9"/>
      <c r="GZ132" s="9"/>
      <c r="HA132" s="9"/>
      <c r="HB132" s="9"/>
      <c r="HC132" s="9"/>
      <c r="HD132" s="9"/>
      <c r="HE132" s="9"/>
      <c r="HF132" s="9"/>
      <c r="HG132" s="9"/>
      <c r="HH132" s="9"/>
      <c r="HI132" s="9"/>
      <c r="HJ132" s="9"/>
      <c r="HK132" s="9"/>
      <c r="HL132" s="9"/>
      <c r="HM132" s="9"/>
      <c r="HN132" s="9"/>
      <c r="HO132" s="9"/>
      <c r="HP132" s="9"/>
      <c r="HQ132" s="9"/>
      <c r="HR132" s="9"/>
      <c r="HS132" s="9"/>
      <c r="HT132" s="9"/>
      <c r="HU132" s="9"/>
      <c r="HV132" s="9"/>
      <c r="HW132" s="9"/>
      <c r="HX132" s="9"/>
      <c r="HY132" s="9"/>
      <c r="HZ132" s="9"/>
      <c r="IA132" s="9"/>
      <c r="IB132" s="9"/>
      <c r="IC132" s="9"/>
      <c r="ID132" s="9"/>
      <c r="IE132" s="9"/>
      <c r="IF132" s="9"/>
      <c r="IG132" s="9"/>
      <c r="IH132" s="9"/>
      <c r="II132" s="9"/>
      <c r="IJ132" s="9"/>
      <c r="IK132" s="9"/>
      <c r="IL132" s="9"/>
      <c r="IM132" s="9"/>
      <c r="IN132" s="9"/>
      <c r="IO132" s="9"/>
      <c r="IP132" s="9"/>
      <c r="IQ132" s="9"/>
      <c r="IR132" s="9"/>
      <c r="IS132" s="9"/>
      <c r="IT132" s="9"/>
      <c r="IU132" s="9"/>
      <c r="IV132" s="9"/>
      <c r="IW132" s="9"/>
      <c r="IX132" s="9"/>
      <c r="IY132" s="9"/>
      <c r="IZ132" s="9"/>
      <c r="JA132" s="9"/>
      <c r="JB132" s="9"/>
      <c r="JC132" s="9"/>
      <c r="JD132" s="9"/>
      <c r="JE132" s="9"/>
      <c r="JF132" s="9"/>
      <c r="JG132" s="9"/>
      <c r="JH132" s="9"/>
      <c r="JI132" s="9"/>
      <c r="JJ132" s="9"/>
      <c r="JK132" s="9"/>
      <c r="JL132" s="9"/>
      <c r="JM132" s="9"/>
      <c r="JN132" s="9"/>
      <c r="JO132" s="9"/>
      <c r="JP132" s="9"/>
      <c r="JQ132" s="9"/>
      <c r="JR132" s="9"/>
      <c r="JS132" s="9"/>
      <c r="JT132" s="9"/>
      <c r="JU132" s="9"/>
      <c r="JV132" s="9"/>
      <c r="JW132" s="9"/>
      <c r="JX132" s="9"/>
      <c r="JY132" s="9"/>
      <c r="JZ132" s="9"/>
      <c r="KA132" s="9"/>
      <c r="KB132" s="9"/>
      <c r="KC132" s="9"/>
      <c r="KD132" s="9"/>
      <c r="KE132" s="9"/>
      <c r="KF132" s="9"/>
      <c r="KG132" s="9"/>
      <c r="KH132" s="9"/>
      <c r="KI132" s="9"/>
      <c r="KJ132" s="9"/>
      <c r="KK132" s="9"/>
      <c r="KL132" s="9"/>
      <c r="KM132" s="9"/>
      <c r="KN132" s="9"/>
      <c r="KO132" s="9"/>
      <c r="KP132" s="9"/>
      <c r="KQ132" s="9"/>
      <c r="KR132" s="9"/>
      <c r="KS132" s="9"/>
      <c r="KT132" s="9"/>
      <c r="KU132" s="9"/>
      <c r="KV132" s="9"/>
      <c r="KW132" s="9"/>
      <c r="KX132" s="9"/>
      <c r="KY132" s="9"/>
      <c r="KZ132" s="9"/>
      <c r="LA132" s="9"/>
      <c r="LB132" s="9"/>
      <c r="LC132" s="9"/>
      <c r="LD132" s="9"/>
      <c r="LE132" s="9"/>
      <c r="LF132" s="9"/>
      <c r="LG132" s="9"/>
      <c r="LH132" s="9"/>
      <c r="LI132" s="9"/>
      <c r="LJ132" s="9"/>
      <c r="LK132" s="9"/>
      <c r="LL132" s="9"/>
      <c r="LM132" s="9"/>
      <c r="LN132" s="9"/>
      <c r="LO132" s="9"/>
      <c r="LP132" s="9"/>
      <c r="LQ132" s="9"/>
      <c r="LR132" s="9"/>
      <c r="LS132" s="9"/>
      <c r="LT132" s="9"/>
      <c r="LU132" s="9"/>
      <c r="LV132" s="9"/>
      <c r="LW132" s="9"/>
      <c r="LX132" s="9"/>
      <c r="LY132" s="9"/>
      <c r="LZ132" s="9"/>
      <c r="MA132" s="9"/>
      <c r="MB132" s="9"/>
      <c r="MC132" s="9"/>
      <c r="MD132" s="9"/>
      <c r="ME132" s="9"/>
      <c r="MF132" s="9"/>
      <c r="MG132" s="9"/>
      <c r="MH132" s="9"/>
      <c r="MI132" s="9"/>
      <c r="MJ132" s="9"/>
      <c r="MK132" s="9"/>
      <c r="ML132" s="9"/>
      <c r="MM132" s="9"/>
      <c r="MN132" s="9"/>
      <c r="MO132" s="9"/>
      <c r="MP132" s="9"/>
      <c r="MQ132" s="9"/>
      <c r="MR132" s="9"/>
      <c r="MS132" s="9"/>
      <c r="MT132" s="9"/>
      <c r="MU132" s="9"/>
      <c r="MV132" s="9"/>
      <c r="MW132" s="9"/>
      <c r="MX132" s="9"/>
      <c r="MY132" s="9"/>
      <c r="MZ132" s="9"/>
      <c r="NA132" s="9"/>
      <c r="NB132" s="9"/>
      <c r="NC132" s="9"/>
      <c r="ND132" s="9"/>
      <c r="NE132" s="9"/>
      <c r="NF132" s="9"/>
      <c r="NG132" s="9"/>
      <c r="NH132" s="9"/>
      <c r="NI132" s="9"/>
      <c r="NJ132" s="9"/>
      <c r="NK132" s="9"/>
      <c r="NL132" s="9"/>
      <c r="NM132" s="9"/>
      <c r="NN132" s="9"/>
      <c r="NO132" s="9"/>
      <c r="NP132" s="9"/>
      <c r="NQ132" s="9"/>
      <c r="NR132" s="9"/>
      <c r="NS132" s="9"/>
      <c r="NT132" s="9"/>
      <c r="NU132" s="9"/>
      <c r="NV132" s="9"/>
      <c r="NW132" s="9"/>
      <c r="NX132" s="9"/>
      <c r="NY132" s="9"/>
      <c r="NZ132" s="9"/>
      <c r="OA132" s="9"/>
      <c r="OB132" s="9"/>
      <c r="OC132" s="9"/>
      <c r="OD132" s="9"/>
      <c r="OE132" s="9"/>
      <c r="OF132" s="9"/>
      <c r="OG132" s="9"/>
      <c r="OH132" s="9"/>
      <c r="OI132" s="9"/>
      <c r="OJ132" s="9"/>
      <c r="OK132" s="9"/>
      <c r="OL132" s="9"/>
      <c r="OM132" s="9"/>
      <c r="ON132" s="9"/>
      <c r="OO132" s="9"/>
      <c r="OP132" s="9"/>
      <c r="OQ132" s="9"/>
      <c r="OR132" s="9"/>
      <c r="OS132" s="9"/>
      <c r="OT132" s="9"/>
      <c r="OU132" s="9"/>
      <c r="OV132" s="9"/>
      <c r="OW132" s="9"/>
      <c r="OX132" s="9"/>
      <c r="OY132" s="9"/>
      <c r="OZ132" s="9"/>
      <c r="PA132" s="9"/>
      <c r="PB132" s="9"/>
      <c r="PC132" s="9"/>
      <c r="PD132" s="9"/>
      <c r="PE132" s="9"/>
      <c r="PF132" s="9"/>
      <c r="PG132" s="9"/>
      <c r="PH132" s="9"/>
      <c r="PI132" s="9"/>
      <c r="PJ132" s="9"/>
      <c r="PK132" s="9"/>
      <c r="PL132" s="9"/>
      <c r="PM132" s="9"/>
      <c r="PN132" s="9"/>
      <c r="PO132" s="9"/>
      <c r="PP132" s="9"/>
      <c r="PQ132" s="9"/>
      <c r="PR132" s="9"/>
      <c r="PS132" s="9"/>
      <c r="PT132" s="9"/>
      <c r="PU132" s="9"/>
      <c r="PV132" s="9"/>
      <c r="PW132" s="9"/>
      <c r="PX132" s="9"/>
      <c r="PY132" s="9"/>
      <c r="PZ132" s="9"/>
      <c r="QA132" s="9"/>
      <c r="QB132" s="9"/>
      <c r="QC132" s="9"/>
      <c r="QD132" s="9"/>
      <c r="QE132" s="9"/>
      <c r="QF132" s="9"/>
      <c r="QG132" s="9"/>
      <c r="QH132" s="9"/>
      <c r="QI132" s="9"/>
      <c r="QJ132" s="9"/>
      <c r="QK132" s="9"/>
      <c r="QL132" s="9"/>
      <c r="QM132" s="9"/>
      <c r="QN132" s="9"/>
      <c r="QO132" s="9"/>
      <c r="QP132" s="9"/>
      <c r="QQ132" s="9"/>
      <c r="QR132" s="9"/>
      <c r="QS132" s="9"/>
      <c r="QT132" s="9"/>
      <c r="QU132" s="9"/>
      <c r="QV132" s="9"/>
      <c r="QW132" s="9"/>
      <c r="QX132" s="9"/>
      <c r="QY132" s="9"/>
      <c r="QZ132" s="9"/>
      <c r="RA132" s="9"/>
      <c r="RB132" s="9"/>
      <c r="RC132" s="9"/>
      <c r="RD132" s="9"/>
      <c r="RE132" s="9"/>
      <c r="RF132" s="9"/>
      <c r="RG132" s="9"/>
      <c r="RH132" s="9"/>
      <c r="RI132" s="9"/>
      <c r="RJ132" s="9"/>
      <c r="RK132" s="9"/>
      <c r="RL132" s="9"/>
      <c r="RM132" s="9"/>
      <c r="RN132" s="9"/>
      <c r="RO132" s="9"/>
      <c r="RP132" s="9"/>
      <c r="RQ132" s="9"/>
      <c r="RR132" s="9"/>
      <c r="RS132" s="9"/>
      <c r="RT132" s="9"/>
      <c r="RU132" s="9"/>
      <c r="RV132" s="9"/>
      <c r="RW132" s="9"/>
      <c r="RX132" s="9"/>
      <c r="RY132" s="9"/>
      <c r="RZ132" s="9"/>
      <c r="SA132" s="9"/>
      <c r="SB132" s="9"/>
      <c r="SC132" s="9"/>
      <c r="SD132" s="9"/>
      <c r="SE132" s="9"/>
      <c r="SF132" s="9"/>
      <c r="SG132" s="9"/>
      <c r="SH132" s="9"/>
      <c r="SI132" s="9"/>
      <c r="SJ132" s="9"/>
      <c r="SK132" s="8"/>
      <c r="SL132" s="8"/>
      <c r="SM132" s="8"/>
      <c r="SN132" s="8"/>
      <c r="SO132" s="8"/>
      <c r="SP132" s="8"/>
      <c r="SQ132" s="8"/>
      <c r="SR132" s="8"/>
      <c r="SS132" s="8"/>
      <c r="ST132" s="8"/>
      <c r="SU132" s="8"/>
      <c r="SV132" s="8"/>
      <c r="SW132" s="8"/>
      <c r="SX132" s="8"/>
      <c r="SY132" s="8"/>
      <c r="SZ132" s="8"/>
      <c r="TA132" s="8"/>
      <c r="TB132" s="8"/>
      <c r="TC132" s="8"/>
      <c r="TD132" s="8"/>
      <c r="TE132" s="8"/>
      <c r="TF132" s="8"/>
      <c r="TG132" s="8"/>
      <c r="TH132" s="8"/>
      <c r="TI132" s="8"/>
      <c r="TJ132" s="8"/>
      <c r="TK132" s="8"/>
      <c r="TL132" s="8"/>
      <c r="TM132" s="8"/>
      <c r="TN132" s="8"/>
      <c r="TO132" s="8"/>
    </row>
    <row r="133" spans="1:535" x14ac:dyDescent="0.2">
      <c r="A133" s="7"/>
      <c r="B133" s="15"/>
      <c r="C133" s="15"/>
      <c r="D133" s="15"/>
      <c r="E133" s="15"/>
      <c r="F133" s="15"/>
      <c r="G133" s="15"/>
      <c r="H133" s="15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  <c r="DO133" s="9"/>
      <c r="DP133" s="9"/>
      <c r="DQ133" s="9"/>
      <c r="DR133" s="9"/>
      <c r="DS133" s="9"/>
      <c r="DT133" s="9"/>
      <c r="DU133" s="9"/>
      <c r="DV133" s="9"/>
      <c r="DW133" s="9"/>
      <c r="DX133" s="9"/>
      <c r="DY133" s="9"/>
      <c r="DZ133" s="9"/>
      <c r="EA133" s="9"/>
      <c r="EB133" s="9"/>
      <c r="EC133" s="9"/>
      <c r="ED133" s="9"/>
      <c r="EE133" s="9"/>
      <c r="EF133" s="9"/>
      <c r="EG133" s="9"/>
      <c r="EH133" s="9"/>
      <c r="EI133" s="9"/>
      <c r="EJ133" s="9"/>
      <c r="EK133" s="9"/>
      <c r="EL133" s="9"/>
      <c r="EM133" s="9"/>
      <c r="EN133" s="9"/>
      <c r="EO133" s="9"/>
      <c r="EP133" s="9"/>
      <c r="EQ133" s="9"/>
      <c r="ER133" s="9"/>
      <c r="ES133" s="9"/>
      <c r="ET133" s="9"/>
      <c r="EU133" s="9"/>
      <c r="EV133" s="9"/>
      <c r="EW133" s="9"/>
      <c r="EX133" s="9"/>
      <c r="EY133" s="9"/>
      <c r="EZ133" s="9"/>
      <c r="FA133" s="9"/>
      <c r="FB133" s="9"/>
      <c r="FC133" s="9"/>
      <c r="FD133" s="9"/>
      <c r="FE133" s="9"/>
      <c r="FF133" s="9"/>
      <c r="FG133" s="9"/>
      <c r="FH133" s="9"/>
      <c r="FI133" s="9"/>
      <c r="FJ133" s="9"/>
      <c r="FK133" s="9"/>
      <c r="FL133" s="9"/>
      <c r="FM133" s="9"/>
      <c r="FN133" s="9"/>
      <c r="FO133" s="9"/>
      <c r="FP133" s="9"/>
      <c r="FQ133" s="9"/>
      <c r="FR133" s="9"/>
      <c r="FS133" s="9"/>
      <c r="FT133" s="9"/>
      <c r="FU133" s="9"/>
      <c r="FV133" s="9"/>
      <c r="FW133" s="9"/>
      <c r="FX133" s="9"/>
      <c r="FY133" s="9"/>
      <c r="FZ133" s="9"/>
      <c r="GA133" s="9"/>
      <c r="GB133" s="9"/>
      <c r="GC133" s="9"/>
      <c r="GD133" s="9"/>
      <c r="GE133" s="9"/>
      <c r="GF133" s="9"/>
      <c r="GG133" s="9"/>
      <c r="GH133" s="9"/>
      <c r="GI133" s="9"/>
      <c r="GJ133" s="9"/>
      <c r="GK133" s="9"/>
      <c r="GL133" s="9"/>
      <c r="GM133" s="9"/>
      <c r="GN133" s="9"/>
      <c r="GO133" s="9"/>
      <c r="GP133" s="9"/>
      <c r="GQ133" s="9"/>
      <c r="GR133" s="9"/>
      <c r="GS133" s="9"/>
      <c r="GT133" s="9"/>
      <c r="GU133" s="9"/>
      <c r="GV133" s="9"/>
      <c r="GW133" s="9"/>
      <c r="GX133" s="9"/>
      <c r="GY133" s="9"/>
      <c r="GZ133" s="9"/>
      <c r="HA133" s="9"/>
      <c r="HB133" s="9"/>
      <c r="HC133" s="9"/>
      <c r="HD133" s="9"/>
      <c r="HE133" s="9"/>
      <c r="HF133" s="9"/>
      <c r="HG133" s="9"/>
      <c r="HH133" s="9"/>
      <c r="HI133" s="9"/>
      <c r="HJ133" s="9"/>
      <c r="HK133" s="9"/>
      <c r="HL133" s="9"/>
      <c r="HM133" s="9"/>
      <c r="HN133" s="9"/>
      <c r="HO133" s="9"/>
      <c r="HP133" s="9"/>
      <c r="HQ133" s="9"/>
      <c r="HR133" s="9"/>
      <c r="HS133" s="9"/>
      <c r="HT133" s="9"/>
      <c r="HU133" s="9"/>
      <c r="HV133" s="9"/>
      <c r="HW133" s="9"/>
      <c r="HX133" s="9"/>
      <c r="HY133" s="9"/>
      <c r="HZ133" s="9"/>
      <c r="IA133" s="9"/>
      <c r="IB133" s="9"/>
      <c r="IC133" s="9"/>
      <c r="ID133" s="9"/>
      <c r="IE133" s="9"/>
      <c r="IF133" s="9"/>
      <c r="IG133" s="9"/>
      <c r="IH133" s="9"/>
      <c r="II133" s="9"/>
      <c r="IJ133" s="9"/>
      <c r="IK133" s="9"/>
      <c r="IL133" s="9"/>
      <c r="IM133" s="9"/>
      <c r="IN133" s="9"/>
      <c r="IO133" s="9"/>
      <c r="IP133" s="9"/>
      <c r="IQ133" s="9"/>
      <c r="IR133" s="9"/>
      <c r="IS133" s="9"/>
      <c r="IT133" s="9"/>
      <c r="IU133" s="9"/>
      <c r="IV133" s="9"/>
      <c r="IW133" s="9"/>
      <c r="IX133" s="9"/>
      <c r="IY133" s="9"/>
      <c r="IZ133" s="9"/>
      <c r="JA133" s="9"/>
      <c r="JB133" s="9"/>
      <c r="JC133" s="9"/>
      <c r="JD133" s="9"/>
      <c r="JE133" s="9"/>
      <c r="JF133" s="9"/>
      <c r="JG133" s="9"/>
      <c r="JH133" s="9"/>
      <c r="JI133" s="9"/>
      <c r="JJ133" s="9"/>
      <c r="JK133" s="9"/>
      <c r="JL133" s="9"/>
      <c r="JM133" s="9"/>
      <c r="JN133" s="9"/>
      <c r="JO133" s="9"/>
      <c r="JP133" s="9"/>
      <c r="JQ133" s="9"/>
      <c r="JR133" s="9"/>
      <c r="JS133" s="9"/>
      <c r="JT133" s="9"/>
      <c r="JU133" s="9"/>
      <c r="JV133" s="9"/>
      <c r="JW133" s="9"/>
      <c r="JX133" s="9"/>
      <c r="JY133" s="9"/>
      <c r="JZ133" s="9"/>
      <c r="KA133" s="9"/>
      <c r="KB133" s="9"/>
      <c r="KC133" s="9"/>
      <c r="KD133" s="9"/>
      <c r="KE133" s="9"/>
      <c r="KF133" s="9"/>
      <c r="KG133" s="9"/>
      <c r="KH133" s="9"/>
      <c r="KI133" s="9"/>
      <c r="KJ133" s="9"/>
      <c r="KK133" s="9"/>
      <c r="KL133" s="9"/>
      <c r="KM133" s="9"/>
      <c r="KN133" s="9"/>
      <c r="KO133" s="9"/>
      <c r="KP133" s="9"/>
      <c r="KQ133" s="9"/>
      <c r="KR133" s="9"/>
      <c r="KS133" s="9"/>
      <c r="KT133" s="9"/>
      <c r="KU133" s="9"/>
      <c r="KV133" s="9"/>
      <c r="KW133" s="9"/>
      <c r="KX133" s="9"/>
      <c r="KY133" s="9"/>
      <c r="KZ133" s="9"/>
      <c r="LA133" s="9"/>
      <c r="LB133" s="9"/>
      <c r="LC133" s="9"/>
      <c r="LD133" s="9"/>
      <c r="LE133" s="9"/>
      <c r="LF133" s="9"/>
      <c r="LG133" s="9"/>
      <c r="LH133" s="9"/>
      <c r="LI133" s="9"/>
      <c r="LJ133" s="9"/>
      <c r="LK133" s="9"/>
      <c r="LL133" s="9"/>
      <c r="LM133" s="9"/>
      <c r="LN133" s="9"/>
      <c r="LO133" s="9"/>
      <c r="LP133" s="9"/>
      <c r="LQ133" s="9"/>
      <c r="LR133" s="9"/>
      <c r="LS133" s="9"/>
      <c r="LT133" s="9"/>
      <c r="LU133" s="9"/>
      <c r="LV133" s="9"/>
      <c r="LW133" s="9"/>
      <c r="LX133" s="9"/>
      <c r="LY133" s="9"/>
      <c r="LZ133" s="9"/>
      <c r="MA133" s="9"/>
      <c r="MB133" s="9"/>
      <c r="MC133" s="9"/>
      <c r="MD133" s="9"/>
      <c r="ME133" s="9"/>
      <c r="MF133" s="9"/>
      <c r="MG133" s="9"/>
      <c r="MH133" s="9"/>
      <c r="MI133" s="9"/>
      <c r="MJ133" s="9"/>
      <c r="MK133" s="9"/>
      <c r="ML133" s="9"/>
      <c r="MM133" s="9"/>
      <c r="MN133" s="9"/>
      <c r="MO133" s="9"/>
      <c r="MP133" s="9"/>
      <c r="MQ133" s="9"/>
      <c r="MR133" s="9"/>
      <c r="MS133" s="9"/>
      <c r="MT133" s="9"/>
      <c r="MU133" s="9"/>
      <c r="MV133" s="9"/>
      <c r="MW133" s="9"/>
      <c r="MX133" s="9"/>
      <c r="MY133" s="9"/>
      <c r="MZ133" s="9"/>
      <c r="NA133" s="9"/>
      <c r="NB133" s="9"/>
      <c r="NC133" s="9"/>
      <c r="ND133" s="9"/>
      <c r="NE133" s="9"/>
      <c r="NF133" s="9"/>
      <c r="NG133" s="9"/>
      <c r="NH133" s="9"/>
      <c r="NI133" s="9"/>
      <c r="NJ133" s="9"/>
      <c r="NK133" s="9"/>
      <c r="NL133" s="9"/>
      <c r="NM133" s="9"/>
      <c r="NN133" s="9"/>
      <c r="NO133" s="9"/>
      <c r="NP133" s="9"/>
      <c r="NQ133" s="9"/>
      <c r="NR133" s="9"/>
      <c r="NS133" s="9"/>
      <c r="NT133" s="9"/>
      <c r="NU133" s="9"/>
      <c r="NV133" s="9"/>
      <c r="NW133" s="9"/>
      <c r="NX133" s="9"/>
      <c r="NY133" s="9"/>
      <c r="NZ133" s="9"/>
      <c r="OA133" s="9"/>
      <c r="OB133" s="9"/>
      <c r="OC133" s="9"/>
      <c r="OD133" s="9"/>
      <c r="OE133" s="9"/>
      <c r="OF133" s="9"/>
      <c r="OG133" s="9"/>
      <c r="OH133" s="9"/>
      <c r="OI133" s="9"/>
      <c r="OJ133" s="9"/>
      <c r="OK133" s="9"/>
      <c r="OL133" s="9"/>
      <c r="OM133" s="9"/>
      <c r="ON133" s="9"/>
      <c r="OO133" s="9"/>
      <c r="OP133" s="9"/>
      <c r="OQ133" s="9"/>
      <c r="OR133" s="9"/>
      <c r="OS133" s="9"/>
      <c r="OT133" s="9"/>
      <c r="OU133" s="9"/>
      <c r="OV133" s="9"/>
      <c r="OW133" s="9"/>
      <c r="OX133" s="9"/>
      <c r="OY133" s="9"/>
      <c r="OZ133" s="9"/>
      <c r="PA133" s="9"/>
      <c r="PB133" s="9"/>
      <c r="PC133" s="9"/>
      <c r="PD133" s="9"/>
      <c r="PE133" s="9"/>
      <c r="PF133" s="9"/>
      <c r="PG133" s="9"/>
      <c r="PH133" s="9"/>
      <c r="PI133" s="9"/>
      <c r="PJ133" s="9"/>
      <c r="PK133" s="9"/>
      <c r="PL133" s="9"/>
      <c r="PM133" s="9"/>
      <c r="PN133" s="9"/>
      <c r="PO133" s="9"/>
      <c r="PP133" s="9"/>
      <c r="PQ133" s="9"/>
      <c r="PR133" s="9"/>
      <c r="PS133" s="9"/>
      <c r="PT133" s="9"/>
      <c r="PU133" s="9"/>
      <c r="PV133" s="9"/>
      <c r="PW133" s="9"/>
      <c r="PX133" s="9"/>
      <c r="PY133" s="9"/>
      <c r="PZ133" s="9"/>
      <c r="QA133" s="9"/>
      <c r="QB133" s="9"/>
      <c r="QC133" s="9"/>
      <c r="QD133" s="9"/>
      <c r="QE133" s="9"/>
      <c r="QF133" s="9"/>
      <c r="QG133" s="9"/>
      <c r="QH133" s="9"/>
      <c r="QI133" s="9"/>
      <c r="QJ133" s="9"/>
      <c r="QK133" s="9"/>
      <c r="QL133" s="9"/>
      <c r="QM133" s="9"/>
      <c r="QN133" s="9"/>
      <c r="QO133" s="9"/>
      <c r="QP133" s="9"/>
      <c r="QQ133" s="9"/>
      <c r="QR133" s="9"/>
      <c r="QS133" s="9"/>
      <c r="QT133" s="9"/>
      <c r="QU133" s="9"/>
      <c r="QV133" s="9"/>
      <c r="QW133" s="9"/>
      <c r="QX133" s="9"/>
      <c r="QY133" s="9"/>
      <c r="QZ133" s="9"/>
      <c r="RA133" s="9"/>
      <c r="RB133" s="9"/>
      <c r="RC133" s="9"/>
      <c r="RD133" s="9"/>
      <c r="RE133" s="9"/>
      <c r="RF133" s="9"/>
      <c r="RG133" s="9"/>
      <c r="RH133" s="9"/>
      <c r="RI133" s="9"/>
      <c r="RJ133" s="9"/>
      <c r="RK133" s="9"/>
      <c r="RL133" s="9"/>
      <c r="RM133" s="9"/>
      <c r="RN133" s="9"/>
      <c r="RO133" s="9"/>
      <c r="RP133" s="9"/>
      <c r="RQ133" s="9"/>
      <c r="RR133" s="9"/>
      <c r="RS133" s="9"/>
      <c r="RT133" s="9"/>
      <c r="RU133" s="9"/>
      <c r="RV133" s="9"/>
      <c r="RW133" s="9"/>
      <c r="RX133" s="9"/>
      <c r="RY133" s="9"/>
      <c r="RZ133" s="9"/>
      <c r="SA133" s="9"/>
      <c r="SB133" s="9"/>
      <c r="SC133" s="9"/>
      <c r="SD133" s="9"/>
      <c r="SE133" s="9"/>
      <c r="SF133" s="9"/>
      <c r="SG133" s="9"/>
      <c r="SH133" s="9"/>
      <c r="SI133" s="9"/>
      <c r="SJ133" s="9"/>
      <c r="SK133" s="8"/>
      <c r="SL133" s="8"/>
      <c r="SM133" s="8"/>
      <c r="SN133" s="8"/>
      <c r="SO133" s="8"/>
      <c r="SP133" s="8"/>
      <c r="SQ133" s="8"/>
      <c r="SR133" s="8"/>
      <c r="SS133" s="8"/>
      <c r="ST133" s="8"/>
      <c r="SU133" s="8"/>
      <c r="SV133" s="8"/>
      <c r="SW133" s="8"/>
      <c r="SX133" s="8"/>
      <c r="SY133" s="8"/>
      <c r="SZ133" s="8"/>
      <c r="TA133" s="8"/>
      <c r="TB133" s="8"/>
      <c r="TC133" s="8"/>
      <c r="TD133" s="8"/>
      <c r="TE133" s="8"/>
      <c r="TF133" s="8"/>
      <c r="TG133" s="8"/>
      <c r="TH133" s="8"/>
      <c r="TI133" s="8"/>
      <c r="TJ133" s="8"/>
      <c r="TK133" s="8"/>
      <c r="TL133" s="8"/>
      <c r="TM133" s="8"/>
      <c r="TN133" s="8"/>
      <c r="TO133" s="8"/>
    </row>
    <row r="134" spans="1:535" x14ac:dyDescent="0.2">
      <c r="A134" s="7"/>
      <c r="B134" s="15"/>
      <c r="C134" s="15"/>
      <c r="D134" s="15"/>
      <c r="E134" s="15"/>
      <c r="F134" s="15"/>
      <c r="G134" s="15"/>
      <c r="H134" s="15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  <c r="EP134" s="9"/>
      <c r="EQ134" s="9"/>
      <c r="ER134" s="9"/>
      <c r="ES134" s="9"/>
      <c r="ET134" s="9"/>
      <c r="EU134" s="9"/>
      <c r="EV134" s="9"/>
      <c r="EW134" s="9"/>
      <c r="EX134" s="9"/>
      <c r="EY134" s="9"/>
      <c r="EZ134" s="9"/>
      <c r="FA134" s="9"/>
      <c r="FB134" s="9"/>
      <c r="FC134" s="9"/>
      <c r="FD134" s="9"/>
      <c r="FE134" s="9"/>
      <c r="FF134" s="9"/>
      <c r="FG134" s="9"/>
      <c r="FH134" s="9"/>
      <c r="FI134" s="9"/>
      <c r="FJ134" s="9"/>
      <c r="FK134" s="9"/>
      <c r="FL134" s="9"/>
      <c r="FM134" s="9"/>
      <c r="FN134" s="9"/>
      <c r="FO134" s="9"/>
      <c r="FP134" s="9"/>
      <c r="FQ134" s="9"/>
      <c r="FR134" s="9"/>
      <c r="FS134" s="9"/>
      <c r="FT134" s="9"/>
      <c r="FU134" s="9"/>
      <c r="FV134" s="9"/>
      <c r="FW134" s="9"/>
      <c r="FX134" s="9"/>
      <c r="FY134" s="9"/>
      <c r="FZ134" s="9"/>
      <c r="GA134" s="9"/>
      <c r="GB134" s="9"/>
      <c r="GC134" s="9"/>
      <c r="GD134" s="9"/>
      <c r="GE134" s="9"/>
      <c r="GF134" s="9"/>
      <c r="GG134" s="9"/>
      <c r="GH134" s="9"/>
      <c r="GI134" s="9"/>
      <c r="GJ134" s="9"/>
      <c r="GK134" s="9"/>
      <c r="GL134" s="9"/>
      <c r="GM134" s="9"/>
      <c r="GN134" s="9"/>
      <c r="GO134" s="9"/>
      <c r="GP134" s="9"/>
      <c r="GQ134" s="9"/>
      <c r="GR134" s="9"/>
      <c r="GS134" s="9"/>
      <c r="GT134" s="9"/>
      <c r="GU134" s="9"/>
      <c r="GV134" s="9"/>
      <c r="GW134" s="9"/>
      <c r="GX134" s="9"/>
      <c r="GY134" s="9"/>
      <c r="GZ134" s="9"/>
      <c r="HA134" s="9"/>
      <c r="HB134" s="9"/>
      <c r="HC134" s="9"/>
      <c r="HD134" s="9"/>
      <c r="HE134" s="9"/>
      <c r="HF134" s="9"/>
      <c r="HG134" s="9"/>
      <c r="HH134" s="9"/>
      <c r="HI134" s="9"/>
      <c r="HJ134" s="9"/>
      <c r="HK134" s="9"/>
      <c r="HL134" s="9"/>
      <c r="HM134" s="9"/>
      <c r="HN134" s="9"/>
      <c r="HO134" s="9"/>
      <c r="HP134" s="9"/>
      <c r="HQ134" s="9"/>
      <c r="HR134" s="9"/>
      <c r="HS134" s="9"/>
      <c r="HT134" s="9"/>
      <c r="HU134" s="9"/>
      <c r="HV134" s="9"/>
      <c r="HW134" s="9"/>
      <c r="HX134" s="9"/>
      <c r="HY134" s="9"/>
      <c r="HZ134" s="9"/>
      <c r="IA134" s="9"/>
      <c r="IB134" s="9"/>
      <c r="IC134" s="9"/>
      <c r="ID134" s="9"/>
      <c r="IE134" s="9"/>
      <c r="IF134" s="9"/>
      <c r="IG134" s="9"/>
      <c r="IH134" s="9"/>
      <c r="II134" s="9"/>
      <c r="IJ134" s="9"/>
      <c r="IK134" s="9"/>
      <c r="IL134" s="9"/>
      <c r="IM134" s="9"/>
      <c r="IN134" s="9"/>
      <c r="IO134" s="9"/>
      <c r="IP134" s="9"/>
      <c r="IQ134" s="9"/>
      <c r="IR134" s="9"/>
      <c r="IS134" s="9"/>
      <c r="IT134" s="9"/>
      <c r="IU134" s="9"/>
      <c r="IV134" s="9"/>
      <c r="IW134" s="9"/>
      <c r="IX134" s="9"/>
      <c r="IY134" s="9"/>
      <c r="IZ134" s="9"/>
      <c r="JA134" s="9"/>
      <c r="JB134" s="9"/>
      <c r="JC134" s="9"/>
      <c r="JD134" s="9"/>
      <c r="JE134" s="9"/>
      <c r="JF134" s="9"/>
      <c r="JG134" s="9"/>
      <c r="JH134" s="9"/>
      <c r="JI134" s="9"/>
      <c r="JJ134" s="9"/>
      <c r="JK134" s="9"/>
      <c r="JL134" s="9"/>
      <c r="JM134" s="9"/>
      <c r="JN134" s="9"/>
      <c r="JO134" s="9"/>
      <c r="JP134" s="9"/>
      <c r="JQ134" s="9"/>
      <c r="JR134" s="9"/>
      <c r="JS134" s="9"/>
      <c r="JT134" s="9"/>
      <c r="JU134" s="9"/>
      <c r="JV134" s="9"/>
      <c r="JW134" s="9"/>
      <c r="JX134" s="9"/>
      <c r="JY134" s="9"/>
      <c r="JZ134" s="9"/>
      <c r="KA134" s="9"/>
      <c r="KB134" s="9"/>
      <c r="KC134" s="9"/>
      <c r="KD134" s="9"/>
      <c r="KE134" s="9"/>
      <c r="KF134" s="9"/>
      <c r="KG134" s="9"/>
      <c r="KH134" s="9"/>
      <c r="KI134" s="9"/>
      <c r="KJ134" s="9"/>
      <c r="KK134" s="9"/>
      <c r="KL134" s="9"/>
      <c r="KM134" s="9"/>
      <c r="KN134" s="9"/>
      <c r="KO134" s="9"/>
      <c r="KP134" s="9"/>
      <c r="KQ134" s="9"/>
      <c r="KR134" s="9"/>
      <c r="KS134" s="9"/>
      <c r="KT134" s="9"/>
      <c r="KU134" s="9"/>
      <c r="KV134" s="9"/>
      <c r="KW134" s="9"/>
      <c r="KX134" s="9"/>
      <c r="KY134" s="9"/>
      <c r="KZ134" s="9"/>
      <c r="LA134" s="9"/>
      <c r="LB134" s="9"/>
      <c r="LC134" s="9"/>
      <c r="LD134" s="9"/>
      <c r="LE134" s="9"/>
      <c r="LF134" s="9"/>
      <c r="LG134" s="9"/>
      <c r="LH134" s="9"/>
      <c r="LI134" s="9"/>
      <c r="LJ134" s="9"/>
      <c r="LK134" s="9"/>
      <c r="LL134" s="9"/>
      <c r="LM134" s="9"/>
      <c r="LN134" s="9"/>
      <c r="LO134" s="9"/>
      <c r="LP134" s="9"/>
      <c r="LQ134" s="9"/>
      <c r="LR134" s="9"/>
      <c r="LS134" s="9"/>
      <c r="LT134" s="9"/>
      <c r="LU134" s="9"/>
      <c r="LV134" s="9"/>
      <c r="LW134" s="9"/>
      <c r="LX134" s="9"/>
      <c r="LY134" s="9"/>
      <c r="LZ134" s="9"/>
      <c r="MA134" s="9"/>
      <c r="MB134" s="9"/>
      <c r="MC134" s="9"/>
      <c r="MD134" s="9"/>
      <c r="ME134" s="9"/>
      <c r="MF134" s="9"/>
      <c r="MG134" s="9"/>
      <c r="MH134" s="9"/>
      <c r="MI134" s="9"/>
      <c r="MJ134" s="9"/>
      <c r="MK134" s="9"/>
      <c r="ML134" s="9"/>
      <c r="MM134" s="9"/>
      <c r="MN134" s="9"/>
      <c r="MO134" s="9"/>
      <c r="MP134" s="9"/>
      <c r="MQ134" s="9"/>
      <c r="MR134" s="9"/>
      <c r="MS134" s="9"/>
      <c r="MT134" s="9"/>
      <c r="MU134" s="9"/>
      <c r="MV134" s="9"/>
      <c r="MW134" s="9"/>
      <c r="MX134" s="9"/>
      <c r="MY134" s="9"/>
      <c r="MZ134" s="9"/>
      <c r="NA134" s="9"/>
      <c r="NB134" s="9"/>
      <c r="NC134" s="9"/>
      <c r="ND134" s="9"/>
      <c r="NE134" s="9"/>
      <c r="NF134" s="9"/>
      <c r="NG134" s="9"/>
      <c r="NH134" s="9"/>
      <c r="NI134" s="9"/>
      <c r="NJ134" s="9"/>
      <c r="NK134" s="9"/>
      <c r="NL134" s="9"/>
      <c r="NM134" s="9"/>
      <c r="NN134" s="9"/>
      <c r="NO134" s="9"/>
      <c r="NP134" s="9"/>
      <c r="NQ134" s="9"/>
      <c r="NR134" s="9"/>
      <c r="NS134" s="9"/>
      <c r="NT134" s="9"/>
      <c r="NU134" s="9"/>
      <c r="NV134" s="9"/>
      <c r="NW134" s="9"/>
      <c r="NX134" s="9"/>
      <c r="NY134" s="9"/>
      <c r="NZ134" s="9"/>
      <c r="OA134" s="9"/>
      <c r="OB134" s="9"/>
      <c r="OC134" s="9"/>
      <c r="OD134" s="9"/>
      <c r="OE134" s="9"/>
      <c r="OF134" s="9"/>
      <c r="OG134" s="9"/>
      <c r="OH134" s="9"/>
      <c r="OI134" s="9"/>
      <c r="OJ134" s="9"/>
      <c r="OK134" s="9"/>
      <c r="OL134" s="9"/>
      <c r="OM134" s="9"/>
      <c r="ON134" s="9"/>
      <c r="OO134" s="9"/>
      <c r="OP134" s="9"/>
      <c r="OQ134" s="9"/>
      <c r="OR134" s="9"/>
      <c r="OS134" s="9"/>
      <c r="OT134" s="9"/>
      <c r="OU134" s="9"/>
      <c r="OV134" s="9"/>
      <c r="OW134" s="9"/>
      <c r="OX134" s="9"/>
      <c r="OY134" s="9"/>
      <c r="OZ134" s="9"/>
      <c r="PA134" s="9"/>
      <c r="PB134" s="9"/>
      <c r="PC134" s="9"/>
      <c r="PD134" s="9"/>
      <c r="PE134" s="9"/>
      <c r="PF134" s="9"/>
      <c r="PG134" s="9"/>
      <c r="PH134" s="9"/>
      <c r="PI134" s="9"/>
      <c r="PJ134" s="9"/>
      <c r="PK134" s="9"/>
      <c r="PL134" s="9"/>
      <c r="PM134" s="9"/>
      <c r="PN134" s="9"/>
      <c r="PO134" s="9"/>
      <c r="PP134" s="9"/>
      <c r="PQ134" s="9"/>
      <c r="PR134" s="9"/>
      <c r="PS134" s="9"/>
      <c r="PT134" s="9"/>
      <c r="PU134" s="9"/>
      <c r="PV134" s="9"/>
      <c r="PW134" s="9"/>
      <c r="PX134" s="9"/>
      <c r="PY134" s="9"/>
      <c r="PZ134" s="9"/>
      <c r="QA134" s="9"/>
      <c r="QB134" s="9"/>
      <c r="QC134" s="9"/>
      <c r="QD134" s="9"/>
      <c r="QE134" s="9"/>
      <c r="QF134" s="9"/>
      <c r="QG134" s="9"/>
      <c r="QH134" s="9"/>
      <c r="QI134" s="9"/>
      <c r="QJ134" s="9"/>
      <c r="QK134" s="9"/>
      <c r="QL134" s="9"/>
      <c r="QM134" s="9"/>
      <c r="QN134" s="9"/>
      <c r="QO134" s="9"/>
      <c r="QP134" s="9"/>
      <c r="QQ134" s="9"/>
      <c r="QR134" s="9"/>
      <c r="QS134" s="9"/>
      <c r="QT134" s="9"/>
      <c r="QU134" s="9"/>
      <c r="QV134" s="9"/>
      <c r="QW134" s="9"/>
      <c r="QX134" s="9"/>
      <c r="QY134" s="9"/>
      <c r="QZ134" s="9"/>
      <c r="RA134" s="9"/>
      <c r="RB134" s="9"/>
      <c r="RC134" s="9"/>
      <c r="RD134" s="9"/>
      <c r="RE134" s="9"/>
      <c r="RF134" s="9"/>
      <c r="RG134" s="9"/>
      <c r="RH134" s="9"/>
      <c r="RI134" s="9"/>
      <c r="RJ134" s="9"/>
      <c r="RK134" s="9"/>
      <c r="RL134" s="9"/>
      <c r="RM134" s="9"/>
      <c r="RN134" s="9"/>
      <c r="RO134" s="9"/>
      <c r="RP134" s="9"/>
      <c r="RQ134" s="9"/>
      <c r="RR134" s="9"/>
      <c r="RS134" s="9"/>
      <c r="RT134" s="9"/>
      <c r="RU134" s="9"/>
      <c r="RV134" s="9"/>
      <c r="RW134" s="9"/>
      <c r="RX134" s="9"/>
      <c r="RY134" s="9"/>
      <c r="RZ134" s="9"/>
      <c r="SA134" s="9"/>
      <c r="SB134" s="9"/>
      <c r="SC134" s="9"/>
      <c r="SD134" s="9"/>
      <c r="SE134" s="9"/>
      <c r="SF134" s="9"/>
      <c r="SG134" s="9"/>
      <c r="SH134" s="9"/>
      <c r="SI134" s="9"/>
      <c r="SJ134" s="9"/>
      <c r="SK134" s="8"/>
      <c r="SL134" s="8"/>
      <c r="SM134" s="8"/>
      <c r="SN134" s="8"/>
      <c r="SO134" s="8"/>
      <c r="SP134" s="8"/>
      <c r="SQ134" s="8"/>
      <c r="SR134" s="8"/>
      <c r="SS134" s="8"/>
      <c r="ST134" s="8"/>
      <c r="SU134" s="8"/>
      <c r="SV134" s="8"/>
      <c r="SW134" s="8"/>
      <c r="SX134" s="8"/>
      <c r="SY134" s="8"/>
      <c r="SZ134" s="8"/>
      <c r="TA134" s="8"/>
      <c r="TB134" s="8"/>
      <c r="TC134" s="8"/>
      <c r="TD134" s="8"/>
      <c r="TE134" s="8"/>
      <c r="TF134" s="8"/>
      <c r="TG134" s="8"/>
      <c r="TH134" s="8"/>
      <c r="TI134" s="8"/>
      <c r="TJ134" s="8"/>
      <c r="TK134" s="8"/>
      <c r="TL134" s="8"/>
      <c r="TM134" s="8"/>
      <c r="TN134" s="8"/>
      <c r="TO134" s="8"/>
    </row>
    <row r="135" spans="1:535" x14ac:dyDescent="0.2">
      <c r="A135" s="7"/>
      <c r="B135" s="15"/>
      <c r="C135" s="15"/>
      <c r="D135" s="15"/>
      <c r="E135" s="15"/>
      <c r="F135" s="15"/>
      <c r="G135" s="15"/>
      <c r="H135" s="15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9"/>
      <c r="CK135" s="9"/>
      <c r="CL135" s="9"/>
      <c r="CM135" s="9"/>
      <c r="CN135" s="9"/>
      <c r="CO135" s="9"/>
      <c r="CP135" s="9"/>
      <c r="CQ135" s="9"/>
      <c r="CR135" s="9"/>
      <c r="CS135" s="9"/>
      <c r="CT135" s="9"/>
      <c r="CU135" s="9"/>
      <c r="CV135" s="9"/>
      <c r="CW135" s="9"/>
      <c r="CX135" s="9"/>
      <c r="CY135" s="9"/>
      <c r="CZ135" s="9"/>
      <c r="DA135" s="9"/>
      <c r="DB135" s="9"/>
      <c r="DC135" s="9"/>
      <c r="DD135" s="9"/>
      <c r="DE135" s="9"/>
      <c r="DF135" s="9"/>
      <c r="DG135" s="9"/>
      <c r="DH135" s="9"/>
      <c r="DI135" s="9"/>
      <c r="DJ135" s="9"/>
      <c r="DK135" s="9"/>
      <c r="DL135" s="9"/>
      <c r="DM135" s="9"/>
      <c r="DN135" s="9"/>
      <c r="DO135" s="9"/>
      <c r="DP135" s="9"/>
      <c r="DQ135" s="9"/>
      <c r="DR135" s="9"/>
      <c r="DS135" s="9"/>
      <c r="DT135" s="9"/>
      <c r="DU135" s="9"/>
      <c r="DV135" s="9"/>
      <c r="DW135" s="9"/>
      <c r="DX135" s="9"/>
      <c r="DY135" s="9"/>
      <c r="DZ135" s="9"/>
      <c r="EA135" s="9"/>
      <c r="EB135" s="9"/>
      <c r="EC135" s="9"/>
      <c r="ED135" s="9"/>
      <c r="EE135" s="9"/>
      <c r="EF135" s="9"/>
      <c r="EG135" s="9"/>
      <c r="EH135" s="9"/>
      <c r="EI135" s="9"/>
      <c r="EJ135" s="9"/>
      <c r="EK135" s="9"/>
      <c r="EL135" s="9"/>
      <c r="EM135" s="9"/>
      <c r="EN135" s="9"/>
      <c r="EO135" s="9"/>
      <c r="EP135" s="9"/>
      <c r="EQ135" s="9"/>
      <c r="ER135" s="9"/>
      <c r="ES135" s="9"/>
      <c r="ET135" s="9"/>
      <c r="EU135" s="9"/>
      <c r="EV135" s="9"/>
      <c r="EW135" s="9"/>
      <c r="EX135" s="9"/>
      <c r="EY135" s="9"/>
      <c r="EZ135" s="9"/>
      <c r="FA135" s="9"/>
      <c r="FB135" s="9"/>
      <c r="FC135" s="9"/>
      <c r="FD135" s="9"/>
      <c r="FE135" s="9"/>
      <c r="FF135" s="9"/>
      <c r="FG135" s="9"/>
      <c r="FH135" s="9"/>
      <c r="FI135" s="9"/>
      <c r="FJ135" s="9"/>
      <c r="FK135" s="9"/>
      <c r="FL135" s="9"/>
      <c r="FM135" s="9"/>
      <c r="FN135" s="9"/>
      <c r="FO135" s="9"/>
      <c r="FP135" s="9"/>
      <c r="FQ135" s="9"/>
      <c r="FR135" s="9"/>
      <c r="FS135" s="9"/>
      <c r="FT135" s="9"/>
      <c r="FU135" s="9"/>
      <c r="FV135" s="9"/>
      <c r="FW135" s="9"/>
      <c r="FX135" s="9"/>
      <c r="FY135" s="9"/>
      <c r="FZ135" s="9"/>
      <c r="GA135" s="9"/>
      <c r="GB135" s="9"/>
      <c r="GC135" s="9"/>
      <c r="GD135" s="9"/>
      <c r="GE135" s="9"/>
      <c r="GF135" s="9"/>
      <c r="GG135" s="9"/>
      <c r="GH135" s="9"/>
      <c r="GI135" s="9"/>
      <c r="GJ135" s="9"/>
      <c r="GK135" s="9"/>
      <c r="GL135" s="9"/>
      <c r="GM135" s="9"/>
      <c r="GN135" s="9"/>
      <c r="GO135" s="9"/>
      <c r="GP135" s="9"/>
      <c r="GQ135" s="9"/>
      <c r="GR135" s="9"/>
      <c r="GS135" s="9"/>
      <c r="GT135" s="9"/>
      <c r="GU135" s="9"/>
      <c r="GV135" s="9"/>
      <c r="GW135" s="9"/>
      <c r="GX135" s="9"/>
      <c r="GY135" s="9"/>
      <c r="GZ135" s="9"/>
      <c r="HA135" s="9"/>
      <c r="HB135" s="9"/>
      <c r="HC135" s="9"/>
      <c r="HD135" s="9"/>
      <c r="HE135" s="9"/>
      <c r="HF135" s="9"/>
      <c r="HG135" s="9"/>
      <c r="HH135" s="9"/>
      <c r="HI135" s="9"/>
      <c r="HJ135" s="9"/>
      <c r="HK135" s="9"/>
      <c r="HL135" s="9"/>
      <c r="HM135" s="9"/>
      <c r="HN135" s="9"/>
      <c r="HO135" s="9"/>
      <c r="HP135" s="9"/>
      <c r="HQ135" s="9"/>
      <c r="HR135" s="9"/>
      <c r="HS135" s="9"/>
      <c r="HT135" s="9"/>
      <c r="HU135" s="9"/>
      <c r="HV135" s="9"/>
      <c r="HW135" s="9"/>
      <c r="HX135" s="9"/>
      <c r="HY135" s="9"/>
      <c r="HZ135" s="9"/>
      <c r="IA135" s="9"/>
      <c r="IB135" s="9"/>
      <c r="IC135" s="9"/>
      <c r="ID135" s="9"/>
      <c r="IE135" s="9"/>
      <c r="IF135" s="9"/>
      <c r="IG135" s="9"/>
      <c r="IH135" s="9"/>
      <c r="II135" s="9"/>
      <c r="IJ135" s="9"/>
      <c r="IK135" s="9"/>
      <c r="IL135" s="9"/>
      <c r="IM135" s="9"/>
      <c r="IN135" s="9"/>
      <c r="IO135" s="9"/>
      <c r="IP135" s="9"/>
      <c r="IQ135" s="9"/>
      <c r="IR135" s="9"/>
      <c r="IS135" s="9"/>
      <c r="IT135" s="9"/>
      <c r="IU135" s="9"/>
      <c r="IV135" s="9"/>
      <c r="IW135" s="9"/>
      <c r="IX135" s="9"/>
      <c r="IY135" s="9"/>
      <c r="IZ135" s="9"/>
      <c r="JA135" s="9"/>
      <c r="JB135" s="9"/>
      <c r="JC135" s="9"/>
      <c r="JD135" s="9"/>
      <c r="JE135" s="9"/>
      <c r="JF135" s="9"/>
      <c r="JG135" s="9"/>
      <c r="JH135" s="9"/>
      <c r="JI135" s="9"/>
      <c r="JJ135" s="9"/>
      <c r="JK135" s="9"/>
      <c r="JL135" s="9"/>
      <c r="JM135" s="9"/>
      <c r="JN135" s="9"/>
      <c r="JO135" s="9"/>
      <c r="JP135" s="9"/>
      <c r="JQ135" s="9"/>
      <c r="JR135" s="9"/>
      <c r="JS135" s="9"/>
      <c r="JT135" s="9"/>
      <c r="JU135" s="9"/>
      <c r="JV135" s="9"/>
      <c r="JW135" s="9"/>
      <c r="JX135" s="9"/>
      <c r="JY135" s="9"/>
      <c r="JZ135" s="9"/>
      <c r="KA135" s="9"/>
      <c r="KB135" s="9"/>
      <c r="KC135" s="9"/>
      <c r="KD135" s="9"/>
      <c r="KE135" s="9"/>
      <c r="KF135" s="9"/>
      <c r="KG135" s="9"/>
      <c r="KH135" s="9"/>
      <c r="KI135" s="9"/>
      <c r="KJ135" s="9"/>
      <c r="KK135" s="9"/>
      <c r="KL135" s="9"/>
      <c r="KM135" s="9"/>
      <c r="KN135" s="9"/>
      <c r="KO135" s="9"/>
      <c r="KP135" s="9"/>
      <c r="KQ135" s="9"/>
      <c r="KR135" s="9"/>
      <c r="KS135" s="9"/>
      <c r="KT135" s="9"/>
      <c r="KU135" s="9"/>
      <c r="KV135" s="9"/>
      <c r="KW135" s="9"/>
      <c r="KX135" s="9"/>
      <c r="KY135" s="9"/>
      <c r="KZ135" s="9"/>
      <c r="LA135" s="9"/>
      <c r="LB135" s="9"/>
      <c r="LC135" s="9"/>
      <c r="LD135" s="9"/>
      <c r="LE135" s="9"/>
      <c r="LF135" s="9"/>
      <c r="LG135" s="9"/>
      <c r="LH135" s="9"/>
      <c r="LI135" s="9"/>
      <c r="LJ135" s="9"/>
      <c r="LK135" s="9"/>
      <c r="LL135" s="9"/>
      <c r="LM135" s="9"/>
      <c r="LN135" s="9"/>
      <c r="LO135" s="9"/>
      <c r="LP135" s="9"/>
      <c r="LQ135" s="9"/>
      <c r="LR135" s="9"/>
      <c r="LS135" s="9"/>
      <c r="LT135" s="9"/>
      <c r="LU135" s="9"/>
      <c r="LV135" s="9"/>
      <c r="LW135" s="9"/>
      <c r="LX135" s="9"/>
      <c r="LY135" s="9"/>
      <c r="LZ135" s="9"/>
      <c r="MA135" s="9"/>
      <c r="MB135" s="9"/>
      <c r="MC135" s="9"/>
      <c r="MD135" s="9"/>
      <c r="ME135" s="9"/>
      <c r="MF135" s="9"/>
      <c r="MG135" s="9"/>
      <c r="MH135" s="9"/>
      <c r="MI135" s="9"/>
      <c r="MJ135" s="9"/>
      <c r="MK135" s="9"/>
      <c r="ML135" s="9"/>
      <c r="MM135" s="9"/>
      <c r="MN135" s="9"/>
      <c r="MO135" s="9"/>
      <c r="MP135" s="9"/>
      <c r="MQ135" s="9"/>
      <c r="MR135" s="9"/>
      <c r="MS135" s="9"/>
      <c r="MT135" s="9"/>
      <c r="MU135" s="9"/>
      <c r="MV135" s="9"/>
      <c r="MW135" s="9"/>
      <c r="MX135" s="9"/>
      <c r="MY135" s="9"/>
      <c r="MZ135" s="9"/>
      <c r="NA135" s="9"/>
      <c r="NB135" s="9"/>
      <c r="NC135" s="9"/>
      <c r="ND135" s="9"/>
      <c r="NE135" s="9"/>
      <c r="NF135" s="9"/>
      <c r="NG135" s="9"/>
      <c r="NH135" s="9"/>
      <c r="NI135" s="9"/>
      <c r="NJ135" s="9"/>
      <c r="NK135" s="9"/>
      <c r="NL135" s="9"/>
      <c r="NM135" s="9"/>
      <c r="NN135" s="9"/>
      <c r="NO135" s="9"/>
      <c r="NP135" s="9"/>
      <c r="NQ135" s="9"/>
      <c r="NR135" s="9"/>
      <c r="NS135" s="9"/>
      <c r="NT135" s="9"/>
      <c r="NU135" s="9"/>
      <c r="NV135" s="9"/>
      <c r="NW135" s="9"/>
      <c r="NX135" s="9"/>
      <c r="NY135" s="9"/>
      <c r="NZ135" s="9"/>
      <c r="OA135" s="9"/>
      <c r="OB135" s="9"/>
      <c r="OC135" s="9"/>
      <c r="OD135" s="9"/>
      <c r="OE135" s="9"/>
      <c r="OF135" s="9"/>
      <c r="OG135" s="9"/>
      <c r="OH135" s="9"/>
      <c r="OI135" s="9"/>
      <c r="OJ135" s="9"/>
      <c r="OK135" s="9"/>
      <c r="OL135" s="9"/>
      <c r="OM135" s="9"/>
      <c r="ON135" s="9"/>
      <c r="OO135" s="9"/>
      <c r="OP135" s="9"/>
      <c r="OQ135" s="9"/>
      <c r="OR135" s="9"/>
      <c r="OS135" s="9"/>
      <c r="OT135" s="9"/>
      <c r="OU135" s="9"/>
      <c r="OV135" s="9"/>
      <c r="OW135" s="9"/>
      <c r="OX135" s="9"/>
      <c r="OY135" s="9"/>
      <c r="OZ135" s="9"/>
      <c r="PA135" s="9"/>
      <c r="PB135" s="9"/>
      <c r="PC135" s="9"/>
      <c r="PD135" s="9"/>
      <c r="PE135" s="9"/>
      <c r="PF135" s="9"/>
      <c r="PG135" s="9"/>
      <c r="PH135" s="9"/>
      <c r="PI135" s="9"/>
      <c r="PJ135" s="9"/>
      <c r="PK135" s="9"/>
      <c r="PL135" s="9"/>
      <c r="PM135" s="9"/>
      <c r="PN135" s="9"/>
      <c r="PO135" s="9"/>
      <c r="PP135" s="9"/>
      <c r="PQ135" s="9"/>
      <c r="PR135" s="9"/>
      <c r="PS135" s="9"/>
      <c r="PT135" s="9"/>
      <c r="PU135" s="9"/>
      <c r="PV135" s="9"/>
      <c r="PW135" s="9"/>
      <c r="PX135" s="9"/>
      <c r="PY135" s="9"/>
      <c r="PZ135" s="9"/>
      <c r="QA135" s="9"/>
      <c r="QB135" s="9"/>
      <c r="QC135" s="9"/>
      <c r="QD135" s="9"/>
      <c r="QE135" s="9"/>
      <c r="QF135" s="9"/>
      <c r="QG135" s="9"/>
      <c r="QH135" s="9"/>
      <c r="QI135" s="9"/>
      <c r="QJ135" s="9"/>
      <c r="QK135" s="9"/>
      <c r="QL135" s="9"/>
      <c r="QM135" s="9"/>
      <c r="QN135" s="9"/>
      <c r="QO135" s="9"/>
      <c r="QP135" s="9"/>
      <c r="QQ135" s="9"/>
      <c r="QR135" s="9"/>
      <c r="QS135" s="9"/>
      <c r="QT135" s="9"/>
      <c r="QU135" s="9"/>
      <c r="QV135" s="9"/>
      <c r="QW135" s="9"/>
      <c r="QX135" s="9"/>
      <c r="QY135" s="9"/>
      <c r="QZ135" s="9"/>
      <c r="RA135" s="9"/>
      <c r="RB135" s="9"/>
      <c r="RC135" s="9"/>
      <c r="RD135" s="9"/>
      <c r="RE135" s="9"/>
      <c r="RF135" s="9"/>
      <c r="RG135" s="9"/>
      <c r="RH135" s="9"/>
      <c r="RI135" s="9"/>
      <c r="RJ135" s="9"/>
      <c r="RK135" s="9"/>
      <c r="RL135" s="9"/>
      <c r="RM135" s="9"/>
      <c r="RN135" s="9"/>
      <c r="RO135" s="9"/>
      <c r="RP135" s="9"/>
      <c r="RQ135" s="9"/>
      <c r="RR135" s="9"/>
      <c r="RS135" s="9"/>
      <c r="RT135" s="9"/>
      <c r="RU135" s="9"/>
      <c r="RV135" s="9"/>
      <c r="RW135" s="9"/>
      <c r="RX135" s="9"/>
      <c r="RY135" s="9"/>
      <c r="RZ135" s="9"/>
      <c r="SA135" s="9"/>
      <c r="SB135" s="9"/>
      <c r="SC135" s="9"/>
      <c r="SD135" s="9"/>
      <c r="SE135" s="9"/>
      <c r="SF135" s="9"/>
      <c r="SG135" s="9"/>
      <c r="SH135" s="9"/>
      <c r="SI135" s="9"/>
      <c r="SJ135" s="9"/>
      <c r="SK135" s="8"/>
      <c r="SL135" s="8"/>
      <c r="SM135" s="8"/>
      <c r="SN135" s="8"/>
      <c r="SO135" s="8"/>
      <c r="SP135" s="8"/>
      <c r="SQ135" s="8"/>
      <c r="SR135" s="8"/>
      <c r="SS135" s="8"/>
      <c r="ST135" s="8"/>
      <c r="SU135" s="8"/>
      <c r="SV135" s="8"/>
      <c r="SW135" s="8"/>
      <c r="SX135" s="8"/>
      <c r="SY135" s="8"/>
      <c r="SZ135" s="8"/>
      <c r="TA135" s="8"/>
      <c r="TB135" s="8"/>
      <c r="TC135" s="8"/>
      <c r="TD135" s="8"/>
      <c r="TE135" s="8"/>
      <c r="TF135" s="8"/>
      <c r="TG135" s="8"/>
      <c r="TH135" s="8"/>
      <c r="TI135" s="8"/>
      <c r="TJ135" s="8"/>
      <c r="TK135" s="8"/>
      <c r="TL135" s="8"/>
      <c r="TM135" s="8"/>
      <c r="TN135" s="8"/>
      <c r="TO135" s="8"/>
    </row>
    <row r="136" spans="1:535" x14ac:dyDescent="0.2">
      <c r="A136" s="7"/>
      <c r="B136" s="15"/>
      <c r="C136" s="15"/>
      <c r="D136" s="15"/>
      <c r="E136" s="15"/>
      <c r="F136" s="15"/>
      <c r="G136" s="15"/>
      <c r="H136" s="15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9"/>
      <c r="CK136" s="9"/>
      <c r="CL136" s="9"/>
      <c r="CM136" s="9"/>
      <c r="CN136" s="9"/>
      <c r="CO136" s="9"/>
      <c r="CP136" s="9"/>
      <c r="CQ136" s="9"/>
      <c r="CR136" s="9"/>
      <c r="CS136" s="9"/>
      <c r="CT136" s="9"/>
      <c r="CU136" s="9"/>
      <c r="CV136" s="9"/>
      <c r="CW136" s="9"/>
      <c r="CX136" s="9"/>
      <c r="CY136" s="9"/>
      <c r="CZ136" s="9"/>
      <c r="DA136" s="9"/>
      <c r="DB136" s="9"/>
      <c r="DC136" s="9"/>
      <c r="DD136" s="9"/>
      <c r="DE136" s="9"/>
      <c r="DF136" s="9"/>
      <c r="DG136" s="9"/>
      <c r="DH136" s="9"/>
      <c r="DI136" s="9"/>
      <c r="DJ136" s="9"/>
      <c r="DK136" s="9"/>
      <c r="DL136" s="9"/>
      <c r="DM136" s="9"/>
      <c r="DN136" s="9"/>
      <c r="DO136" s="9"/>
      <c r="DP136" s="9"/>
      <c r="DQ136" s="9"/>
      <c r="DR136" s="9"/>
      <c r="DS136" s="9"/>
      <c r="DT136" s="9"/>
      <c r="DU136" s="9"/>
      <c r="DV136" s="9"/>
      <c r="DW136" s="9"/>
      <c r="DX136" s="9"/>
      <c r="DY136" s="9"/>
      <c r="DZ136" s="9"/>
      <c r="EA136" s="9"/>
      <c r="EB136" s="9"/>
      <c r="EC136" s="9"/>
      <c r="ED136" s="9"/>
      <c r="EE136" s="9"/>
      <c r="EF136" s="9"/>
      <c r="EG136" s="9"/>
      <c r="EH136" s="9"/>
      <c r="EI136" s="9"/>
      <c r="EJ136" s="9"/>
      <c r="EK136" s="9"/>
      <c r="EL136" s="9"/>
      <c r="EM136" s="9"/>
      <c r="EN136" s="9"/>
      <c r="EO136" s="9"/>
      <c r="EP136" s="9"/>
      <c r="EQ136" s="9"/>
      <c r="ER136" s="9"/>
      <c r="ES136" s="9"/>
      <c r="ET136" s="9"/>
      <c r="EU136" s="9"/>
      <c r="EV136" s="9"/>
      <c r="EW136" s="9"/>
      <c r="EX136" s="9"/>
      <c r="EY136" s="9"/>
      <c r="EZ136" s="9"/>
      <c r="FA136" s="9"/>
      <c r="FB136" s="9"/>
      <c r="FC136" s="9"/>
      <c r="FD136" s="9"/>
      <c r="FE136" s="9"/>
      <c r="FF136" s="9"/>
      <c r="FG136" s="9"/>
      <c r="FH136" s="9"/>
      <c r="FI136" s="9"/>
      <c r="FJ136" s="9"/>
      <c r="FK136" s="9"/>
      <c r="FL136" s="9"/>
      <c r="FM136" s="9"/>
      <c r="FN136" s="9"/>
      <c r="FO136" s="9"/>
      <c r="FP136" s="9"/>
      <c r="FQ136" s="9"/>
      <c r="FR136" s="9"/>
      <c r="FS136" s="9"/>
      <c r="FT136" s="9"/>
      <c r="FU136" s="9"/>
      <c r="FV136" s="9"/>
      <c r="FW136" s="9"/>
      <c r="FX136" s="9"/>
      <c r="FY136" s="9"/>
      <c r="FZ136" s="9"/>
      <c r="GA136" s="9"/>
      <c r="GB136" s="9"/>
      <c r="GC136" s="9"/>
      <c r="GD136" s="9"/>
      <c r="GE136" s="9"/>
      <c r="GF136" s="9"/>
      <c r="GG136" s="9"/>
      <c r="GH136" s="9"/>
      <c r="GI136" s="9"/>
      <c r="GJ136" s="9"/>
      <c r="GK136" s="9"/>
      <c r="GL136" s="9"/>
      <c r="GM136" s="9"/>
      <c r="GN136" s="9"/>
      <c r="GO136" s="9"/>
      <c r="GP136" s="9"/>
      <c r="GQ136" s="9"/>
      <c r="GR136" s="9"/>
      <c r="GS136" s="9"/>
      <c r="GT136" s="9"/>
      <c r="GU136" s="9"/>
      <c r="GV136" s="9"/>
      <c r="GW136" s="9"/>
      <c r="GX136" s="9"/>
      <c r="GY136" s="9"/>
      <c r="GZ136" s="9"/>
      <c r="HA136" s="9"/>
      <c r="HB136" s="9"/>
      <c r="HC136" s="9"/>
      <c r="HD136" s="9"/>
      <c r="HE136" s="9"/>
      <c r="HF136" s="9"/>
      <c r="HG136" s="9"/>
      <c r="HH136" s="9"/>
      <c r="HI136" s="9"/>
      <c r="HJ136" s="9"/>
      <c r="HK136" s="9"/>
      <c r="HL136" s="9"/>
      <c r="HM136" s="9"/>
      <c r="HN136" s="9"/>
      <c r="HO136" s="9"/>
      <c r="HP136" s="9"/>
      <c r="HQ136" s="9"/>
      <c r="HR136" s="9"/>
      <c r="HS136" s="9"/>
      <c r="HT136" s="9"/>
      <c r="HU136" s="9"/>
      <c r="HV136" s="9"/>
      <c r="HW136" s="9"/>
      <c r="HX136" s="9"/>
      <c r="HY136" s="9"/>
      <c r="HZ136" s="9"/>
      <c r="IA136" s="9"/>
      <c r="IB136" s="9"/>
      <c r="IC136" s="9"/>
      <c r="ID136" s="9"/>
      <c r="IE136" s="9"/>
      <c r="IF136" s="9"/>
      <c r="IG136" s="9"/>
      <c r="IH136" s="9"/>
      <c r="II136" s="9"/>
      <c r="IJ136" s="9"/>
      <c r="IK136" s="9"/>
      <c r="IL136" s="9"/>
      <c r="IM136" s="9"/>
      <c r="IN136" s="9"/>
      <c r="IO136" s="9"/>
      <c r="IP136" s="9"/>
      <c r="IQ136" s="9"/>
      <c r="IR136" s="9"/>
      <c r="IS136" s="9"/>
      <c r="IT136" s="9"/>
      <c r="IU136" s="9"/>
      <c r="IV136" s="9"/>
      <c r="IW136" s="9"/>
      <c r="IX136" s="9"/>
      <c r="IY136" s="9"/>
      <c r="IZ136" s="9"/>
      <c r="JA136" s="9"/>
      <c r="JB136" s="9"/>
      <c r="JC136" s="9"/>
      <c r="JD136" s="9"/>
      <c r="JE136" s="9"/>
      <c r="JF136" s="9"/>
      <c r="JG136" s="9"/>
      <c r="JH136" s="9"/>
      <c r="JI136" s="9"/>
      <c r="JJ136" s="9"/>
      <c r="JK136" s="9"/>
      <c r="JL136" s="9"/>
      <c r="JM136" s="9"/>
      <c r="JN136" s="9"/>
      <c r="JO136" s="9"/>
      <c r="JP136" s="9"/>
      <c r="JQ136" s="9"/>
      <c r="JR136" s="9"/>
      <c r="JS136" s="9"/>
      <c r="JT136" s="9"/>
      <c r="JU136" s="9"/>
      <c r="JV136" s="9"/>
      <c r="JW136" s="9"/>
      <c r="JX136" s="9"/>
      <c r="JY136" s="9"/>
      <c r="JZ136" s="9"/>
      <c r="KA136" s="9"/>
      <c r="KB136" s="9"/>
      <c r="KC136" s="9"/>
      <c r="KD136" s="9"/>
      <c r="KE136" s="9"/>
      <c r="KF136" s="9"/>
      <c r="KG136" s="9"/>
      <c r="KH136" s="9"/>
      <c r="KI136" s="9"/>
      <c r="KJ136" s="9"/>
      <c r="KK136" s="9"/>
      <c r="KL136" s="9"/>
      <c r="KM136" s="9"/>
      <c r="KN136" s="9"/>
      <c r="KO136" s="9"/>
      <c r="KP136" s="9"/>
      <c r="KQ136" s="9"/>
      <c r="KR136" s="9"/>
      <c r="KS136" s="9"/>
      <c r="KT136" s="9"/>
      <c r="KU136" s="9"/>
      <c r="KV136" s="9"/>
      <c r="KW136" s="9"/>
      <c r="KX136" s="9"/>
      <c r="KY136" s="9"/>
      <c r="KZ136" s="9"/>
      <c r="LA136" s="9"/>
      <c r="LB136" s="9"/>
      <c r="LC136" s="9"/>
      <c r="LD136" s="9"/>
      <c r="LE136" s="9"/>
      <c r="LF136" s="9"/>
      <c r="LG136" s="9"/>
      <c r="LH136" s="9"/>
      <c r="LI136" s="9"/>
      <c r="LJ136" s="9"/>
      <c r="LK136" s="9"/>
      <c r="LL136" s="9"/>
      <c r="LM136" s="9"/>
      <c r="LN136" s="9"/>
      <c r="LO136" s="9"/>
      <c r="LP136" s="9"/>
      <c r="LQ136" s="9"/>
      <c r="LR136" s="9"/>
      <c r="LS136" s="9"/>
      <c r="LT136" s="9"/>
      <c r="LU136" s="9"/>
      <c r="LV136" s="9"/>
      <c r="LW136" s="9"/>
      <c r="LX136" s="9"/>
      <c r="LY136" s="9"/>
      <c r="LZ136" s="9"/>
      <c r="MA136" s="9"/>
      <c r="MB136" s="9"/>
      <c r="MC136" s="9"/>
      <c r="MD136" s="9"/>
      <c r="ME136" s="9"/>
      <c r="MF136" s="9"/>
      <c r="MG136" s="9"/>
      <c r="MH136" s="9"/>
      <c r="MI136" s="9"/>
      <c r="MJ136" s="9"/>
      <c r="MK136" s="9"/>
      <c r="ML136" s="9"/>
      <c r="MM136" s="9"/>
      <c r="MN136" s="9"/>
      <c r="MO136" s="9"/>
      <c r="MP136" s="9"/>
      <c r="MQ136" s="9"/>
      <c r="MR136" s="9"/>
      <c r="MS136" s="9"/>
      <c r="MT136" s="9"/>
      <c r="MU136" s="9"/>
      <c r="MV136" s="9"/>
      <c r="MW136" s="9"/>
      <c r="MX136" s="9"/>
      <c r="MY136" s="9"/>
      <c r="MZ136" s="9"/>
      <c r="NA136" s="9"/>
      <c r="NB136" s="9"/>
      <c r="NC136" s="9"/>
      <c r="ND136" s="9"/>
      <c r="NE136" s="9"/>
      <c r="NF136" s="9"/>
      <c r="NG136" s="9"/>
      <c r="NH136" s="9"/>
      <c r="NI136" s="9"/>
      <c r="NJ136" s="9"/>
      <c r="NK136" s="9"/>
      <c r="NL136" s="9"/>
      <c r="NM136" s="9"/>
      <c r="NN136" s="9"/>
      <c r="NO136" s="9"/>
      <c r="NP136" s="9"/>
      <c r="NQ136" s="9"/>
      <c r="NR136" s="9"/>
      <c r="NS136" s="9"/>
      <c r="NT136" s="9"/>
      <c r="NU136" s="9"/>
      <c r="NV136" s="9"/>
      <c r="NW136" s="9"/>
      <c r="NX136" s="9"/>
      <c r="NY136" s="9"/>
      <c r="NZ136" s="9"/>
      <c r="OA136" s="9"/>
      <c r="OB136" s="9"/>
      <c r="OC136" s="9"/>
      <c r="OD136" s="9"/>
      <c r="OE136" s="9"/>
      <c r="OF136" s="9"/>
      <c r="OG136" s="9"/>
      <c r="OH136" s="9"/>
      <c r="OI136" s="9"/>
      <c r="OJ136" s="9"/>
      <c r="OK136" s="9"/>
      <c r="OL136" s="9"/>
      <c r="OM136" s="9"/>
      <c r="ON136" s="9"/>
      <c r="OO136" s="9"/>
      <c r="OP136" s="9"/>
      <c r="OQ136" s="9"/>
      <c r="OR136" s="9"/>
      <c r="OS136" s="9"/>
      <c r="OT136" s="9"/>
      <c r="OU136" s="9"/>
      <c r="OV136" s="9"/>
      <c r="OW136" s="9"/>
      <c r="OX136" s="9"/>
      <c r="OY136" s="9"/>
      <c r="OZ136" s="9"/>
      <c r="PA136" s="9"/>
      <c r="PB136" s="9"/>
      <c r="PC136" s="9"/>
      <c r="PD136" s="9"/>
      <c r="PE136" s="9"/>
      <c r="PF136" s="9"/>
      <c r="PG136" s="9"/>
      <c r="PH136" s="9"/>
      <c r="PI136" s="9"/>
      <c r="PJ136" s="9"/>
      <c r="PK136" s="9"/>
      <c r="PL136" s="9"/>
      <c r="PM136" s="9"/>
      <c r="PN136" s="9"/>
      <c r="PO136" s="9"/>
      <c r="PP136" s="9"/>
      <c r="PQ136" s="9"/>
      <c r="PR136" s="9"/>
      <c r="PS136" s="9"/>
      <c r="PT136" s="9"/>
      <c r="PU136" s="9"/>
      <c r="PV136" s="9"/>
      <c r="PW136" s="9"/>
      <c r="PX136" s="9"/>
      <c r="PY136" s="9"/>
      <c r="PZ136" s="9"/>
      <c r="QA136" s="9"/>
      <c r="QB136" s="9"/>
      <c r="QC136" s="9"/>
      <c r="QD136" s="9"/>
      <c r="QE136" s="9"/>
      <c r="QF136" s="9"/>
      <c r="QG136" s="9"/>
      <c r="QH136" s="9"/>
      <c r="QI136" s="9"/>
      <c r="QJ136" s="9"/>
      <c r="QK136" s="9"/>
      <c r="QL136" s="9"/>
      <c r="QM136" s="9"/>
      <c r="QN136" s="9"/>
      <c r="QO136" s="9"/>
      <c r="QP136" s="9"/>
      <c r="QQ136" s="9"/>
      <c r="QR136" s="9"/>
      <c r="QS136" s="9"/>
      <c r="QT136" s="9"/>
      <c r="QU136" s="9"/>
      <c r="QV136" s="9"/>
      <c r="QW136" s="9"/>
      <c r="QX136" s="9"/>
      <c r="QY136" s="9"/>
      <c r="QZ136" s="9"/>
      <c r="RA136" s="9"/>
      <c r="RB136" s="9"/>
      <c r="RC136" s="9"/>
      <c r="RD136" s="9"/>
      <c r="RE136" s="9"/>
      <c r="RF136" s="9"/>
      <c r="RG136" s="9"/>
      <c r="RH136" s="9"/>
      <c r="RI136" s="9"/>
      <c r="RJ136" s="9"/>
      <c r="RK136" s="9"/>
      <c r="RL136" s="9"/>
      <c r="RM136" s="9"/>
      <c r="RN136" s="9"/>
      <c r="RO136" s="9"/>
      <c r="RP136" s="9"/>
      <c r="RQ136" s="9"/>
      <c r="RR136" s="9"/>
      <c r="RS136" s="9"/>
      <c r="RT136" s="9"/>
      <c r="RU136" s="9"/>
      <c r="RV136" s="9"/>
      <c r="RW136" s="9"/>
      <c r="RX136" s="9"/>
      <c r="RY136" s="9"/>
      <c r="RZ136" s="9"/>
      <c r="SA136" s="9"/>
      <c r="SB136" s="9"/>
      <c r="SC136" s="9"/>
      <c r="SD136" s="9"/>
      <c r="SE136" s="9"/>
      <c r="SF136" s="9"/>
      <c r="SG136" s="9"/>
      <c r="SH136" s="9"/>
      <c r="SI136" s="9"/>
      <c r="SJ136" s="9"/>
      <c r="SK136" s="8"/>
      <c r="SL136" s="8"/>
      <c r="SM136" s="8"/>
      <c r="SN136" s="8"/>
      <c r="SO136" s="8"/>
      <c r="SP136" s="8"/>
      <c r="SQ136" s="8"/>
      <c r="SR136" s="8"/>
      <c r="SS136" s="8"/>
      <c r="ST136" s="8"/>
      <c r="SU136" s="8"/>
      <c r="SV136" s="8"/>
      <c r="SW136" s="8"/>
      <c r="SX136" s="8"/>
      <c r="SY136" s="8"/>
      <c r="SZ136" s="8"/>
      <c r="TA136" s="8"/>
      <c r="TB136" s="8"/>
      <c r="TC136" s="8"/>
      <c r="TD136" s="8"/>
      <c r="TE136" s="8"/>
      <c r="TF136" s="8"/>
      <c r="TG136" s="8"/>
      <c r="TH136" s="8"/>
      <c r="TI136" s="8"/>
      <c r="TJ136" s="8"/>
      <c r="TK136" s="8"/>
      <c r="TL136" s="8"/>
      <c r="TM136" s="8"/>
      <c r="TN136" s="8"/>
      <c r="TO136" s="8"/>
    </row>
    <row r="137" spans="1:535" x14ac:dyDescent="0.2">
      <c r="A137" s="7"/>
      <c r="B137" s="15"/>
      <c r="C137" s="15"/>
      <c r="D137" s="15"/>
      <c r="E137" s="15"/>
      <c r="F137" s="15"/>
      <c r="G137" s="15"/>
      <c r="H137" s="15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9"/>
      <c r="CM137" s="9"/>
      <c r="CN137" s="9"/>
      <c r="CO137" s="9"/>
      <c r="CP137" s="9"/>
      <c r="CQ137" s="9"/>
      <c r="CR137" s="9"/>
      <c r="CS137" s="9"/>
      <c r="CT137" s="9"/>
      <c r="CU137" s="9"/>
      <c r="CV137" s="9"/>
      <c r="CW137" s="9"/>
      <c r="CX137" s="9"/>
      <c r="CY137" s="9"/>
      <c r="CZ137" s="9"/>
      <c r="DA137" s="9"/>
      <c r="DB137" s="9"/>
      <c r="DC137" s="9"/>
      <c r="DD137" s="9"/>
      <c r="DE137" s="9"/>
      <c r="DF137" s="9"/>
      <c r="DG137" s="9"/>
      <c r="DH137" s="9"/>
      <c r="DI137" s="9"/>
      <c r="DJ137" s="9"/>
      <c r="DK137" s="9"/>
      <c r="DL137" s="9"/>
      <c r="DM137" s="9"/>
      <c r="DN137" s="9"/>
      <c r="DO137" s="9"/>
      <c r="DP137" s="9"/>
      <c r="DQ137" s="9"/>
      <c r="DR137" s="9"/>
      <c r="DS137" s="9"/>
      <c r="DT137" s="9"/>
      <c r="DU137" s="9"/>
      <c r="DV137" s="9"/>
      <c r="DW137" s="9"/>
      <c r="DX137" s="9"/>
      <c r="DY137" s="9"/>
      <c r="DZ137" s="9"/>
      <c r="EA137" s="9"/>
      <c r="EB137" s="9"/>
      <c r="EC137" s="9"/>
      <c r="ED137" s="9"/>
      <c r="EE137" s="9"/>
      <c r="EF137" s="9"/>
      <c r="EG137" s="9"/>
      <c r="EH137" s="9"/>
      <c r="EI137" s="9"/>
      <c r="EJ137" s="9"/>
      <c r="EK137" s="9"/>
      <c r="EL137" s="9"/>
      <c r="EM137" s="9"/>
      <c r="EN137" s="9"/>
      <c r="EO137" s="9"/>
      <c r="EP137" s="9"/>
      <c r="EQ137" s="9"/>
      <c r="ER137" s="9"/>
      <c r="ES137" s="9"/>
      <c r="ET137" s="9"/>
      <c r="EU137" s="9"/>
      <c r="EV137" s="9"/>
      <c r="EW137" s="9"/>
      <c r="EX137" s="9"/>
      <c r="EY137" s="9"/>
      <c r="EZ137" s="9"/>
      <c r="FA137" s="9"/>
      <c r="FB137" s="9"/>
      <c r="FC137" s="9"/>
      <c r="FD137" s="9"/>
      <c r="FE137" s="9"/>
      <c r="FF137" s="9"/>
      <c r="FG137" s="9"/>
      <c r="FH137" s="9"/>
      <c r="FI137" s="9"/>
      <c r="FJ137" s="9"/>
      <c r="FK137" s="9"/>
      <c r="FL137" s="9"/>
      <c r="FM137" s="9"/>
      <c r="FN137" s="9"/>
      <c r="FO137" s="9"/>
      <c r="FP137" s="9"/>
      <c r="FQ137" s="9"/>
      <c r="FR137" s="9"/>
      <c r="FS137" s="9"/>
      <c r="FT137" s="9"/>
      <c r="FU137" s="9"/>
      <c r="FV137" s="9"/>
      <c r="FW137" s="9"/>
      <c r="FX137" s="9"/>
      <c r="FY137" s="9"/>
      <c r="FZ137" s="9"/>
      <c r="GA137" s="9"/>
      <c r="GB137" s="9"/>
      <c r="GC137" s="9"/>
      <c r="GD137" s="9"/>
      <c r="GE137" s="9"/>
      <c r="GF137" s="9"/>
      <c r="GG137" s="9"/>
      <c r="GH137" s="9"/>
      <c r="GI137" s="9"/>
      <c r="GJ137" s="9"/>
      <c r="GK137" s="9"/>
      <c r="GL137" s="9"/>
      <c r="GM137" s="9"/>
      <c r="GN137" s="9"/>
      <c r="GO137" s="9"/>
      <c r="GP137" s="9"/>
      <c r="GQ137" s="9"/>
      <c r="GR137" s="9"/>
      <c r="GS137" s="9"/>
      <c r="GT137" s="9"/>
      <c r="GU137" s="9"/>
      <c r="GV137" s="9"/>
      <c r="GW137" s="9"/>
      <c r="GX137" s="9"/>
      <c r="GY137" s="9"/>
      <c r="GZ137" s="9"/>
      <c r="HA137" s="9"/>
      <c r="HB137" s="9"/>
      <c r="HC137" s="9"/>
      <c r="HD137" s="9"/>
      <c r="HE137" s="9"/>
      <c r="HF137" s="9"/>
      <c r="HG137" s="9"/>
      <c r="HH137" s="9"/>
      <c r="HI137" s="9"/>
      <c r="HJ137" s="9"/>
      <c r="HK137" s="9"/>
      <c r="HL137" s="9"/>
      <c r="HM137" s="9"/>
      <c r="HN137" s="9"/>
      <c r="HO137" s="9"/>
      <c r="HP137" s="9"/>
      <c r="HQ137" s="9"/>
      <c r="HR137" s="9"/>
      <c r="HS137" s="9"/>
      <c r="HT137" s="9"/>
      <c r="HU137" s="9"/>
      <c r="HV137" s="9"/>
      <c r="HW137" s="9"/>
      <c r="HX137" s="9"/>
      <c r="HY137" s="9"/>
      <c r="HZ137" s="9"/>
      <c r="IA137" s="9"/>
      <c r="IB137" s="9"/>
      <c r="IC137" s="9"/>
      <c r="ID137" s="9"/>
      <c r="IE137" s="9"/>
      <c r="IF137" s="9"/>
      <c r="IG137" s="9"/>
      <c r="IH137" s="9"/>
      <c r="II137" s="9"/>
      <c r="IJ137" s="9"/>
      <c r="IK137" s="9"/>
      <c r="IL137" s="9"/>
      <c r="IM137" s="9"/>
      <c r="IN137" s="9"/>
      <c r="IO137" s="9"/>
      <c r="IP137" s="9"/>
      <c r="IQ137" s="9"/>
      <c r="IR137" s="9"/>
      <c r="IS137" s="9"/>
      <c r="IT137" s="9"/>
      <c r="IU137" s="9"/>
      <c r="IV137" s="9"/>
      <c r="IW137" s="9"/>
      <c r="IX137" s="9"/>
      <c r="IY137" s="9"/>
      <c r="IZ137" s="9"/>
      <c r="JA137" s="9"/>
      <c r="JB137" s="9"/>
      <c r="JC137" s="9"/>
      <c r="JD137" s="9"/>
      <c r="JE137" s="9"/>
      <c r="JF137" s="9"/>
      <c r="JG137" s="9"/>
      <c r="JH137" s="9"/>
      <c r="JI137" s="9"/>
      <c r="JJ137" s="9"/>
      <c r="JK137" s="9"/>
      <c r="JL137" s="9"/>
      <c r="JM137" s="9"/>
      <c r="JN137" s="9"/>
      <c r="JO137" s="9"/>
      <c r="JP137" s="9"/>
      <c r="JQ137" s="9"/>
      <c r="JR137" s="9"/>
      <c r="JS137" s="9"/>
      <c r="JT137" s="9"/>
      <c r="JU137" s="9"/>
      <c r="JV137" s="9"/>
      <c r="JW137" s="9"/>
      <c r="JX137" s="9"/>
      <c r="JY137" s="9"/>
      <c r="JZ137" s="9"/>
      <c r="KA137" s="9"/>
      <c r="KB137" s="9"/>
      <c r="KC137" s="9"/>
      <c r="KD137" s="9"/>
      <c r="KE137" s="9"/>
      <c r="KF137" s="9"/>
      <c r="KG137" s="9"/>
      <c r="KH137" s="9"/>
      <c r="KI137" s="9"/>
      <c r="KJ137" s="9"/>
      <c r="KK137" s="9"/>
      <c r="KL137" s="9"/>
      <c r="KM137" s="9"/>
      <c r="KN137" s="9"/>
      <c r="KO137" s="9"/>
      <c r="KP137" s="9"/>
      <c r="KQ137" s="9"/>
      <c r="KR137" s="9"/>
      <c r="KS137" s="9"/>
      <c r="KT137" s="9"/>
      <c r="KU137" s="9"/>
      <c r="KV137" s="9"/>
      <c r="KW137" s="9"/>
      <c r="KX137" s="9"/>
      <c r="KY137" s="9"/>
      <c r="KZ137" s="9"/>
      <c r="LA137" s="9"/>
      <c r="LB137" s="9"/>
      <c r="LC137" s="9"/>
      <c r="LD137" s="9"/>
      <c r="LE137" s="9"/>
      <c r="LF137" s="9"/>
      <c r="LG137" s="9"/>
      <c r="LH137" s="9"/>
      <c r="LI137" s="9"/>
      <c r="LJ137" s="9"/>
      <c r="LK137" s="9"/>
      <c r="LL137" s="9"/>
      <c r="LM137" s="9"/>
      <c r="LN137" s="9"/>
      <c r="LO137" s="9"/>
      <c r="LP137" s="9"/>
      <c r="LQ137" s="9"/>
      <c r="LR137" s="9"/>
      <c r="LS137" s="9"/>
      <c r="LT137" s="9"/>
      <c r="LU137" s="9"/>
      <c r="LV137" s="9"/>
      <c r="LW137" s="9"/>
      <c r="LX137" s="9"/>
      <c r="LY137" s="9"/>
      <c r="LZ137" s="9"/>
      <c r="MA137" s="9"/>
      <c r="MB137" s="9"/>
      <c r="MC137" s="9"/>
      <c r="MD137" s="9"/>
      <c r="ME137" s="9"/>
      <c r="MF137" s="9"/>
      <c r="MG137" s="9"/>
      <c r="MH137" s="9"/>
      <c r="MI137" s="9"/>
      <c r="MJ137" s="9"/>
      <c r="MK137" s="9"/>
      <c r="ML137" s="9"/>
      <c r="MM137" s="9"/>
      <c r="MN137" s="9"/>
      <c r="MO137" s="9"/>
      <c r="MP137" s="9"/>
      <c r="MQ137" s="9"/>
      <c r="MR137" s="9"/>
      <c r="MS137" s="9"/>
      <c r="MT137" s="9"/>
      <c r="MU137" s="9"/>
      <c r="MV137" s="9"/>
      <c r="MW137" s="9"/>
      <c r="MX137" s="9"/>
      <c r="MY137" s="9"/>
      <c r="MZ137" s="9"/>
      <c r="NA137" s="9"/>
      <c r="NB137" s="9"/>
      <c r="NC137" s="9"/>
      <c r="ND137" s="9"/>
      <c r="NE137" s="9"/>
      <c r="NF137" s="9"/>
      <c r="NG137" s="9"/>
      <c r="NH137" s="9"/>
      <c r="NI137" s="9"/>
      <c r="NJ137" s="9"/>
      <c r="NK137" s="9"/>
      <c r="NL137" s="9"/>
      <c r="NM137" s="9"/>
      <c r="NN137" s="9"/>
      <c r="NO137" s="9"/>
      <c r="NP137" s="9"/>
      <c r="NQ137" s="9"/>
      <c r="NR137" s="9"/>
      <c r="NS137" s="9"/>
      <c r="NT137" s="9"/>
      <c r="NU137" s="9"/>
      <c r="NV137" s="9"/>
      <c r="NW137" s="9"/>
      <c r="NX137" s="9"/>
      <c r="NY137" s="9"/>
      <c r="NZ137" s="9"/>
      <c r="OA137" s="9"/>
      <c r="OB137" s="9"/>
      <c r="OC137" s="9"/>
      <c r="OD137" s="9"/>
      <c r="OE137" s="9"/>
      <c r="OF137" s="9"/>
      <c r="OG137" s="9"/>
      <c r="OH137" s="9"/>
      <c r="OI137" s="9"/>
      <c r="OJ137" s="9"/>
      <c r="OK137" s="9"/>
      <c r="OL137" s="9"/>
      <c r="OM137" s="9"/>
      <c r="ON137" s="9"/>
      <c r="OO137" s="9"/>
      <c r="OP137" s="9"/>
      <c r="OQ137" s="9"/>
      <c r="OR137" s="9"/>
      <c r="OS137" s="9"/>
      <c r="OT137" s="9"/>
      <c r="OU137" s="9"/>
      <c r="OV137" s="9"/>
      <c r="OW137" s="9"/>
      <c r="OX137" s="9"/>
      <c r="OY137" s="9"/>
      <c r="OZ137" s="9"/>
      <c r="PA137" s="9"/>
      <c r="PB137" s="9"/>
      <c r="PC137" s="9"/>
      <c r="PD137" s="9"/>
      <c r="PE137" s="9"/>
      <c r="PF137" s="9"/>
      <c r="PG137" s="9"/>
      <c r="PH137" s="9"/>
      <c r="PI137" s="9"/>
      <c r="PJ137" s="9"/>
      <c r="PK137" s="9"/>
      <c r="PL137" s="9"/>
      <c r="PM137" s="9"/>
      <c r="PN137" s="9"/>
      <c r="PO137" s="9"/>
      <c r="PP137" s="9"/>
      <c r="PQ137" s="9"/>
      <c r="PR137" s="9"/>
      <c r="PS137" s="9"/>
      <c r="PT137" s="9"/>
      <c r="PU137" s="9"/>
      <c r="PV137" s="9"/>
      <c r="PW137" s="9"/>
      <c r="PX137" s="9"/>
      <c r="PY137" s="9"/>
      <c r="PZ137" s="9"/>
      <c r="QA137" s="9"/>
      <c r="QB137" s="9"/>
      <c r="QC137" s="9"/>
      <c r="QD137" s="9"/>
      <c r="QE137" s="9"/>
      <c r="QF137" s="9"/>
      <c r="QG137" s="9"/>
      <c r="QH137" s="9"/>
      <c r="QI137" s="9"/>
      <c r="QJ137" s="9"/>
      <c r="QK137" s="9"/>
      <c r="QL137" s="9"/>
      <c r="QM137" s="9"/>
      <c r="QN137" s="9"/>
      <c r="QO137" s="9"/>
      <c r="QP137" s="9"/>
      <c r="QQ137" s="9"/>
      <c r="QR137" s="9"/>
      <c r="QS137" s="9"/>
      <c r="QT137" s="9"/>
      <c r="QU137" s="9"/>
      <c r="QV137" s="9"/>
      <c r="QW137" s="9"/>
      <c r="QX137" s="9"/>
      <c r="QY137" s="9"/>
      <c r="QZ137" s="9"/>
      <c r="RA137" s="9"/>
      <c r="RB137" s="9"/>
      <c r="RC137" s="9"/>
      <c r="RD137" s="9"/>
      <c r="RE137" s="9"/>
      <c r="RF137" s="9"/>
      <c r="RG137" s="9"/>
      <c r="RH137" s="9"/>
      <c r="RI137" s="9"/>
      <c r="RJ137" s="9"/>
      <c r="RK137" s="9"/>
      <c r="RL137" s="9"/>
      <c r="RM137" s="9"/>
      <c r="RN137" s="9"/>
      <c r="RO137" s="9"/>
      <c r="RP137" s="9"/>
      <c r="RQ137" s="9"/>
      <c r="RR137" s="9"/>
      <c r="RS137" s="9"/>
      <c r="RT137" s="9"/>
      <c r="RU137" s="9"/>
      <c r="RV137" s="9"/>
      <c r="RW137" s="9"/>
      <c r="RX137" s="9"/>
      <c r="RY137" s="9"/>
      <c r="RZ137" s="9"/>
      <c r="SA137" s="9"/>
      <c r="SB137" s="9"/>
      <c r="SC137" s="9"/>
      <c r="SD137" s="9"/>
      <c r="SE137" s="9"/>
      <c r="SF137" s="9"/>
      <c r="SG137" s="9"/>
      <c r="SH137" s="9"/>
      <c r="SI137" s="9"/>
      <c r="SJ137" s="9"/>
      <c r="SK137" s="8"/>
      <c r="SL137" s="8"/>
      <c r="SM137" s="8"/>
      <c r="SN137" s="8"/>
      <c r="SO137" s="8"/>
      <c r="SP137" s="8"/>
      <c r="SQ137" s="8"/>
      <c r="SR137" s="8"/>
      <c r="SS137" s="8"/>
      <c r="ST137" s="8"/>
      <c r="SU137" s="8"/>
      <c r="SV137" s="8"/>
      <c r="SW137" s="8"/>
      <c r="SX137" s="8"/>
      <c r="SY137" s="8"/>
      <c r="SZ137" s="8"/>
      <c r="TA137" s="8"/>
      <c r="TB137" s="8"/>
      <c r="TC137" s="8"/>
      <c r="TD137" s="8"/>
      <c r="TE137" s="8"/>
      <c r="TF137" s="8"/>
      <c r="TG137" s="8"/>
      <c r="TH137" s="8"/>
      <c r="TI137" s="8"/>
      <c r="TJ137" s="8"/>
      <c r="TK137" s="8"/>
      <c r="TL137" s="8"/>
      <c r="TM137" s="8"/>
      <c r="TN137" s="8"/>
      <c r="TO137" s="8"/>
    </row>
    <row r="138" spans="1:535" x14ac:dyDescent="0.2">
      <c r="A138" s="7"/>
      <c r="B138" s="15"/>
      <c r="C138" s="15"/>
      <c r="D138" s="15"/>
      <c r="E138" s="15"/>
      <c r="F138" s="15"/>
      <c r="G138" s="15"/>
      <c r="H138" s="15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L138" s="9"/>
      <c r="CM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/>
      <c r="DI138" s="9"/>
      <c r="DJ138" s="9"/>
      <c r="DK138" s="9"/>
      <c r="DL138" s="9"/>
      <c r="DM138" s="9"/>
      <c r="DN138" s="9"/>
      <c r="DO138" s="9"/>
      <c r="DP138" s="9"/>
      <c r="DQ138" s="9"/>
      <c r="DR138" s="9"/>
      <c r="DS138" s="9"/>
      <c r="DT138" s="9"/>
      <c r="DU138" s="9"/>
      <c r="DV138" s="9"/>
      <c r="DW138" s="9"/>
      <c r="DX138" s="9"/>
      <c r="DY138" s="9"/>
      <c r="DZ138" s="9"/>
      <c r="EA138" s="9"/>
      <c r="EB138" s="9"/>
      <c r="EC138" s="9"/>
      <c r="ED138" s="9"/>
      <c r="EE138" s="9"/>
      <c r="EF138" s="9"/>
      <c r="EG138" s="9"/>
      <c r="EH138" s="9"/>
      <c r="EI138" s="9"/>
      <c r="EJ138" s="9"/>
      <c r="EK138" s="9"/>
      <c r="EL138" s="9"/>
      <c r="EM138" s="9"/>
      <c r="EN138" s="9"/>
      <c r="EO138" s="9"/>
      <c r="EP138" s="9"/>
      <c r="EQ138" s="9"/>
      <c r="ER138" s="9"/>
      <c r="ES138" s="9"/>
      <c r="ET138" s="9"/>
      <c r="EU138" s="9"/>
      <c r="EV138" s="9"/>
      <c r="EW138" s="9"/>
      <c r="EX138" s="9"/>
      <c r="EY138" s="9"/>
      <c r="EZ138" s="9"/>
      <c r="FA138" s="9"/>
      <c r="FB138" s="9"/>
      <c r="FC138" s="9"/>
      <c r="FD138" s="9"/>
      <c r="FE138" s="9"/>
      <c r="FF138" s="9"/>
      <c r="FG138" s="9"/>
      <c r="FH138" s="9"/>
      <c r="FI138" s="9"/>
      <c r="FJ138" s="9"/>
      <c r="FK138" s="9"/>
      <c r="FL138" s="9"/>
      <c r="FM138" s="9"/>
      <c r="FN138" s="9"/>
      <c r="FO138" s="9"/>
      <c r="FP138" s="9"/>
      <c r="FQ138" s="9"/>
      <c r="FR138" s="9"/>
      <c r="FS138" s="9"/>
      <c r="FT138" s="9"/>
      <c r="FU138" s="9"/>
      <c r="FV138" s="9"/>
      <c r="FW138" s="9"/>
      <c r="FX138" s="9"/>
      <c r="FY138" s="9"/>
      <c r="FZ138" s="9"/>
      <c r="GA138" s="9"/>
      <c r="GB138" s="9"/>
      <c r="GC138" s="9"/>
      <c r="GD138" s="9"/>
      <c r="GE138" s="9"/>
      <c r="GF138" s="9"/>
      <c r="GG138" s="9"/>
      <c r="GH138" s="9"/>
      <c r="GI138" s="9"/>
      <c r="GJ138" s="9"/>
      <c r="GK138" s="9"/>
      <c r="GL138" s="9"/>
      <c r="GM138" s="9"/>
      <c r="GN138" s="9"/>
      <c r="GO138" s="9"/>
      <c r="GP138" s="9"/>
      <c r="GQ138" s="9"/>
      <c r="GR138" s="9"/>
      <c r="GS138" s="9"/>
      <c r="GT138" s="9"/>
      <c r="GU138" s="9"/>
      <c r="GV138" s="9"/>
      <c r="GW138" s="9"/>
      <c r="GX138" s="9"/>
      <c r="GY138" s="9"/>
      <c r="GZ138" s="9"/>
      <c r="HA138" s="9"/>
      <c r="HB138" s="9"/>
      <c r="HC138" s="9"/>
      <c r="HD138" s="9"/>
      <c r="HE138" s="9"/>
      <c r="HF138" s="9"/>
      <c r="HG138" s="9"/>
      <c r="HH138" s="9"/>
      <c r="HI138" s="9"/>
      <c r="HJ138" s="9"/>
      <c r="HK138" s="9"/>
      <c r="HL138" s="9"/>
      <c r="HM138" s="9"/>
      <c r="HN138" s="9"/>
      <c r="HO138" s="9"/>
      <c r="HP138" s="9"/>
      <c r="HQ138" s="9"/>
      <c r="HR138" s="9"/>
      <c r="HS138" s="9"/>
      <c r="HT138" s="9"/>
      <c r="HU138" s="9"/>
      <c r="HV138" s="9"/>
      <c r="HW138" s="9"/>
      <c r="HX138" s="9"/>
      <c r="HY138" s="9"/>
      <c r="HZ138" s="9"/>
      <c r="IA138" s="9"/>
      <c r="IB138" s="9"/>
      <c r="IC138" s="9"/>
      <c r="ID138" s="9"/>
      <c r="IE138" s="9"/>
      <c r="IF138" s="9"/>
      <c r="IG138" s="9"/>
      <c r="IH138" s="9"/>
      <c r="II138" s="9"/>
      <c r="IJ138" s="9"/>
      <c r="IK138" s="9"/>
      <c r="IL138" s="9"/>
      <c r="IM138" s="9"/>
      <c r="IN138" s="9"/>
      <c r="IO138" s="9"/>
      <c r="IP138" s="9"/>
      <c r="IQ138" s="9"/>
      <c r="IR138" s="9"/>
      <c r="IS138" s="9"/>
      <c r="IT138" s="9"/>
      <c r="IU138" s="9"/>
      <c r="IV138" s="9"/>
      <c r="IW138" s="9"/>
      <c r="IX138" s="9"/>
      <c r="IY138" s="9"/>
      <c r="IZ138" s="9"/>
      <c r="JA138" s="9"/>
      <c r="JB138" s="9"/>
      <c r="JC138" s="9"/>
      <c r="JD138" s="9"/>
      <c r="JE138" s="9"/>
      <c r="JF138" s="9"/>
      <c r="JG138" s="9"/>
      <c r="JH138" s="9"/>
      <c r="JI138" s="9"/>
      <c r="JJ138" s="9"/>
      <c r="JK138" s="9"/>
      <c r="JL138" s="9"/>
      <c r="JM138" s="9"/>
      <c r="JN138" s="9"/>
      <c r="JO138" s="9"/>
      <c r="JP138" s="9"/>
      <c r="JQ138" s="9"/>
      <c r="JR138" s="9"/>
      <c r="JS138" s="9"/>
      <c r="JT138" s="9"/>
      <c r="JU138" s="9"/>
      <c r="JV138" s="9"/>
      <c r="JW138" s="9"/>
      <c r="JX138" s="9"/>
      <c r="JY138" s="9"/>
      <c r="JZ138" s="9"/>
      <c r="KA138" s="9"/>
      <c r="KB138" s="9"/>
      <c r="KC138" s="9"/>
      <c r="KD138" s="9"/>
      <c r="KE138" s="9"/>
      <c r="KF138" s="9"/>
      <c r="KG138" s="9"/>
      <c r="KH138" s="9"/>
      <c r="KI138" s="9"/>
      <c r="KJ138" s="9"/>
      <c r="KK138" s="9"/>
      <c r="KL138" s="9"/>
      <c r="KM138" s="9"/>
      <c r="KN138" s="9"/>
      <c r="KO138" s="9"/>
      <c r="KP138" s="9"/>
      <c r="KQ138" s="9"/>
      <c r="KR138" s="9"/>
      <c r="KS138" s="9"/>
      <c r="KT138" s="9"/>
      <c r="KU138" s="9"/>
      <c r="KV138" s="9"/>
      <c r="KW138" s="9"/>
      <c r="KX138" s="9"/>
      <c r="KY138" s="9"/>
      <c r="KZ138" s="9"/>
      <c r="LA138" s="9"/>
      <c r="LB138" s="9"/>
      <c r="LC138" s="9"/>
      <c r="LD138" s="9"/>
      <c r="LE138" s="9"/>
      <c r="LF138" s="9"/>
      <c r="LG138" s="9"/>
      <c r="LH138" s="9"/>
      <c r="LI138" s="9"/>
      <c r="LJ138" s="9"/>
      <c r="LK138" s="9"/>
      <c r="LL138" s="9"/>
      <c r="LM138" s="9"/>
      <c r="LN138" s="9"/>
      <c r="LO138" s="9"/>
      <c r="LP138" s="9"/>
      <c r="LQ138" s="9"/>
      <c r="LR138" s="9"/>
      <c r="LS138" s="9"/>
      <c r="LT138" s="9"/>
      <c r="LU138" s="9"/>
      <c r="LV138" s="9"/>
      <c r="LW138" s="9"/>
      <c r="LX138" s="9"/>
      <c r="LY138" s="9"/>
      <c r="LZ138" s="9"/>
      <c r="MA138" s="9"/>
      <c r="MB138" s="9"/>
      <c r="MC138" s="9"/>
      <c r="MD138" s="9"/>
      <c r="ME138" s="9"/>
      <c r="MF138" s="9"/>
      <c r="MG138" s="9"/>
      <c r="MH138" s="9"/>
      <c r="MI138" s="9"/>
      <c r="MJ138" s="9"/>
      <c r="MK138" s="9"/>
      <c r="ML138" s="9"/>
      <c r="MM138" s="9"/>
      <c r="MN138" s="9"/>
      <c r="MO138" s="9"/>
      <c r="MP138" s="9"/>
      <c r="MQ138" s="9"/>
      <c r="MR138" s="9"/>
      <c r="MS138" s="9"/>
      <c r="MT138" s="9"/>
      <c r="MU138" s="9"/>
      <c r="MV138" s="9"/>
      <c r="MW138" s="9"/>
      <c r="MX138" s="9"/>
      <c r="MY138" s="9"/>
      <c r="MZ138" s="9"/>
      <c r="NA138" s="9"/>
      <c r="NB138" s="9"/>
      <c r="NC138" s="9"/>
      <c r="ND138" s="9"/>
      <c r="NE138" s="9"/>
      <c r="NF138" s="9"/>
      <c r="NG138" s="9"/>
      <c r="NH138" s="9"/>
      <c r="NI138" s="9"/>
      <c r="NJ138" s="9"/>
      <c r="NK138" s="9"/>
      <c r="NL138" s="9"/>
      <c r="NM138" s="9"/>
      <c r="NN138" s="9"/>
      <c r="NO138" s="9"/>
      <c r="NP138" s="9"/>
      <c r="NQ138" s="9"/>
      <c r="NR138" s="9"/>
      <c r="NS138" s="9"/>
      <c r="NT138" s="9"/>
      <c r="NU138" s="9"/>
      <c r="NV138" s="9"/>
      <c r="NW138" s="9"/>
      <c r="NX138" s="9"/>
      <c r="NY138" s="9"/>
      <c r="NZ138" s="9"/>
      <c r="OA138" s="9"/>
      <c r="OB138" s="9"/>
      <c r="OC138" s="9"/>
      <c r="OD138" s="9"/>
      <c r="OE138" s="9"/>
      <c r="OF138" s="9"/>
      <c r="OG138" s="9"/>
      <c r="OH138" s="9"/>
      <c r="OI138" s="9"/>
      <c r="OJ138" s="9"/>
      <c r="OK138" s="9"/>
      <c r="OL138" s="9"/>
      <c r="OM138" s="9"/>
      <c r="ON138" s="9"/>
      <c r="OO138" s="9"/>
      <c r="OP138" s="9"/>
      <c r="OQ138" s="9"/>
      <c r="OR138" s="9"/>
      <c r="OS138" s="9"/>
      <c r="OT138" s="9"/>
      <c r="OU138" s="9"/>
      <c r="OV138" s="9"/>
      <c r="OW138" s="9"/>
      <c r="OX138" s="9"/>
      <c r="OY138" s="9"/>
      <c r="OZ138" s="9"/>
      <c r="PA138" s="9"/>
      <c r="PB138" s="9"/>
      <c r="PC138" s="9"/>
      <c r="PD138" s="9"/>
      <c r="PE138" s="9"/>
      <c r="PF138" s="9"/>
      <c r="PG138" s="9"/>
      <c r="PH138" s="9"/>
      <c r="PI138" s="9"/>
      <c r="PJ138" s="9"/>
      <c r="PK138" s="9"/>
      <c r="PL138" s="9"/>
      <c r="PM138" s="9"/>
      <c r="PN138" s="9"/>
      <c r="PO138" s="9"/>
      <c r="PP138" s="9"/>
      <c r="PQ138" s="9"/>
      <c r="PR138" s="9"/>
      <c r="PS138" s="9"/>
      <c r="PT138" s="9"/>
      <c r="PU138" s="9"/>
      <c r="PV138" s="9"/>
      <c r="PW138" s="9"/>
      <c r="PX138" s="9"/>
      <c r="PY138" s="9"/>
      <c r="PZ138" s="9"/>
      <c r="QA138" s="9"/>
      <c r="QB138" s="9"/>
      <c r="QC138" s="9"/>
      <c r="QD138" s="9"/>
      <c r="QE138" s="9"/>
      <c r="QF138" s="9"/>
      <c r="QG138" s="9"/>
      <c r="QH138" s="9"/>
      <c r="QI138" s="9"/>
      <c r="QJ138" s="9"/>
      <c r="QK138" s="9"/>
      <c r="QL138" s="9"/>
      <c r="QM138" s="9"/>
      <c r="QN138" s="9"/>
      <c r="QO138" s="9"/>
      <c r="QP138" s="9"/>
      <c r="QQ138" s="9"/>
      <c r="QR138" s="9"/>
      <c r="QS138" s="9"/>
      <c r="QT138" s="9"/>
      <c r="QU138" s="9"/>
      <c r="QV138" s="9"/>
      <c r="QW138" s="9"/>
      <c r="QX138" s="9"/>
      <c r="QY138" s="9"/>
      <c r="QZ138" s="9"/>
      <c r="RA138" s="9"/>
      <c r="RB138" s="9"/>
      <c r="RC138" s="9"/>
      <c r="RD138" s="9"/>
      <c r="RE138" s="9"/>
      <c r="RF138" s="9"/>
      <c r="RG138" s="9"/>
      <c r="RH138" s="9"/>
      <c r="RI138" s="9"/>
      <c r="RJ138" s="9"/>
      <c r="RK138" s="9"/>
      <c r="RL138" s="9"/>
      <c r="RM138" s="9"/>
      <c r="RN138" s="9"/>
      <c r="RO138" s="9"/>
      <c r="RP138" s="9"/>
      <c r="RQ138" s="9"/>
      <c r="RR138" s="9"/>
      <c r="RS138" s="9"/>
      <c r="RT138" s="9"/>
      <c r="RU138" s="9"/>
      <c r="RV138" s="9"/>
      <c r="RW138" s="9"/>
      <c r="RX138" s="9"/>
      <c r="RY138" s="9"/>
      <c r="RZ138" s="9"/>
      <c r="SA138" s="9"/>
      <c r="SB138" s="9"/>
      <c r="SC138" s="9"/>
      <c r="SD138" s="9"/>
      <c r="SE138" s="9"/>
      <c r="SF138" s="9"/>
      <c r="SG138" s="9"/>
      <c r="SH138" s="9"/>
      <c r="SI138" s="9"/>
      <c r="SJ138" s="9"/>
      <c r="SK138" s="8"/>
      <c r="SL138" s="8"/>
      <c r="SM138" s="8"/>
      <c r="SN138" s="8"/>
      <c r="SO138" s="8"/>
      <c r="SP138" s="8"/>
      <c r="SQ138" s="8"/>
      <c r="SR138" s="8"/>
      <c r="SS138" s="8"/>
      <c r="ST138" s="8"/>
      <c r="SU138" s="8"/>
      <c r="SV138" s="8"/>
      <c r="SW138" s="8"/>
      <c r="SX138" s="8"/>
      <c r="SY138" s="8"/>
      <c r="SZ138" s="8"/>
      <c r="TA138" s="8"/>
      <c r="TB138" s="8"/>
      <c r="TC138" s="8"/>
      <c r="TD138" s="8"/>
      <c r="TE138" s="8"/>
      <c r="TF138" s="8"/>
      <c r="TG138" s="8"/>
      <c r="TH138" s="8"/>
      <c r="TI138" s="8"/>
      <c r="TJ138" s="8"/>
      <c r="TK138" s="8"/>
      <c r="TL138" s="8"/>
      <c r="TM138" s="8"/>
      <c r="TN138" s="8"/>
      <c r="TO138" s="8"/>
    </row>
    <row r="139" spans="1:535" x14ac:dyDescent="0.2">
      <c r="A139" s="7"/>
      <c r="B139" s="15"/>
      <c r="C139" s="15"/>
      <c r="D139" s="15"/>
      <c r="E139" s="15"/>
      <c r="F139" s="15"/>
      <c r="G139" s="15"/>
      <c r="H139" s="15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L139" s="9"/>
      <c r="CM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  <c r="DO139" s="9"/>
      <c r="DP139" s="9"/>
      <c r="DQ139" s="9"/>
      <c r="DR139" s="9"/>
      <c r="DS139" s="9"/>
      <c r="DT139" s="9"/>
      <c r="DU139" s="9"/>
      <c r="DV139" s="9"/>
      <c r="DW139" s="9"/>
      <c r="DX139" s="9"/>
      <c r="DY139" s="9"/>
      <c r="DZ139" s="9"/>
      <c r="EA139" s="9"/>
      <c r="EB139" s="9"/>
      <c r="EC139" s="9"/>
      <c r="ED139" s="9"/>
      <c r="EE139" s="9"/>
      <c r="EF139" s="9"/>
      <c r="EG139" s="9"/>
      <c r="EH139" s="9"/>
      <c r="EI139" s="9"/>
      <c r="EJ139" s="9"/>
      <c r="EK139" s="9"/>
      <c r="EL139" s="9"/>
      <c r="EM139" s="9"/>
      <c r="EN139" s="9"/>
      <c r="EO139" s="9"/>
      <c r="EP139" s="9"/>
      <c r="EQ139" s="9"/>
      <c r="ER139" s="9"/>
      <c r="ES139" s="9"/>
      <c r="ET139" s="9"/>
      <c r="EU139" s="9"/>
      <c r="EV139" s="9"/>
      <c r="EW139" s="9"/>
      <c r="EX139" s="9"/>
      <c r="EY139" s="9"/>
      <c r="EZ139" s="9"/>
      <c r="FA139" s="9"/>
      <c r="FB139" s="9"/>
      <c r="FC139" s="9"/>
      <c r="FD139" s="9"/>
      <c r="FE139" s="9"/>
      <c r="FF139" s="9"/>
      <c r="FG139" s="9"/>
      <c r="FH139" s="9"/>
      <c r="FI139" s="9"/>
      <c r="FJ139" s="9"/>
      <c r="FK139" s="9"/>
      <c r="FL139" s="9"/>
      <c r="FM139" s="9"/>
      <c r="FN139" s="9"/>
      <c r="FO139" s="9"/>
      <c r="FP139" s="9"/>
      <c r="FQ139" s="9"/>
      <c r="FR139" s="9"/>
      <c r="FS139" s="9"/>
      <c r="FT139" s="9"/>
      <c r="FU139" s="9"/>
      <c r="FV139" s="9"/>
      <c r="FW139" s="9"/>
      <c r="FX139" s="9"/>
      <c r="FY139" s="9"/>
      <c r="FZ139" s="9"/>
      <c r="GA139" s="9"/>
      <c r="GB139" s="9"/>
      <c r="GC139" s="9"/>
      <c r="GD139" s="9"/>
      <c r="GE139" s="9"/>
      <c r="GF139" s="9"/>
      <c r="GG139" s="9"/>
      <c r="GH139" s="9"/>
      <c r="GI139" s="9"/>
      <c r="GJ139" s="9"/>
      <c r="GK139" s="9"/>
      <c r="GL139" s="9"/>
      <c r="GM139" s="9"/>
      <c r="GN139" s="9"/>
      <c r="GO139" s="9"/>
      <c r="GP139" s="9"/>
      <c r="GQ139" s="9"/>
      <c r="GR139" s="9"/>
      <c r="GS139" s="9"/>
      <c r="GT139" s="9"/>
      <c r="GU139" s="9"/>
      <c r="GV139" s="9"/>
      <c r="GW139" s="9"/>
      <c r="GX139" s="9"/>
      <c r="GY139" s="9"/>
      <c r="GZ139" s="9"/>
      <c r="HA139" s="9"/>
      <c r="HB139" s="9"/>
      <c r="HC139" s="9"/>
      <c r="HD139" s="9"/>
      <c r="HE139" s="9"/>
      <c r="HF139" s="9"/>
      <c r="HG139" s="9"/>
      <c r="HH139" s="9"/>
      <c r="HI139" s="9"/>
      <c r="HJ139" s="9"/>
      <c r="HK139" s="9"/>
      <c r="HL139" s="9"/>
      <c r="HM139" s="9"/>
      <c r="HN139" s="9"/>
      <c r="HO139" s="9"/>
      <c r="HP139" s="9"/>
      <c r="HQ139" s="9"/>
      <c r="HR139" s="9"/>
      <c r="HS139" s="9"/>
      <c r="HT139" s="9"/>
      <c r="HU139" s="9"/>
      <c r="HV139" s="9"/>
      <c r="HW139" s="9"/>
      <c r="HX139" s="9"/>
      <c r="HY139" s="9"/>
      <c r="HZ139" s="9"/>
      <c r="IA139" s="9"/>
      <c r="IB139" s="9"/>
      <c r="IC139" s="9"/>
      <c r="ID139" s="9"/>
      <c r="IE139" s="9"/>
      <c r="IF139" s="9"/>
      <c r="IG139" s="9"/>
      <c r="IH139" s="9"/>
      <c r="II139" s="9"/>
      <c r="IJ139" s="9"/>
      <c r="IK139" s="9"/>
      <c r="IL139" s="9"/>
      <c r="IM139" s="9"/>
      <c r="IN139" s="9"/>
      <c r="IO139" s="9"/>
      <c r="IP139" s="9"/>
      <c r="IQ139" s="9"/>
      <c r="IR139" s="9"/>
      <c r="IS139" s="9"/>
      <c r="IT139" s="9"/>
      <c r="IU139" s="9"/>
      <c r="IV139" s="9"/>
      <c r="IW139" s="9"/>
      <c r="IX139" s="9"/>
      <c r="IY139" s="9"/>
      <c r="IZ139" s="9"/>
      <c r="JA139" s="9"/>
      <c r="JB139" s="9"/>
      <c r="JC139" s="9"/>
      <c r="JD139" s="9"/>
      <c r="JE139" s="9"/>
      <c r="JF139" s="9"/>
      <c r="JG139" s="9"/>
      <c r="JH139" s="9"/>
      <c r="JI139" s="9"/>
      <c r="JJ139" s="9"/>
      <c r="JK139" s="9"/>
      <c r="JL139" s="9"/>
      <c r="JM139" s="9"/>
      <c r="JN139" s="9"/>
      <c r="JO139" s="9"/>
      <c r="JP139" s="9"/>
      <c r="JQ139" s="9"/>
      <c r="JR139" s="9"/>
      <c r="JS139" s="9"/>
      <c r="JT139" s="9"/>
      <c r="JU139" s="9"/>
      <c r="JV139" s="9"/>
      <c r="JW139" s="9"/>
      <c r="JX139" s="9"/>
      <c r="JY139" s="9"/>
      <c r="JZ139" s="9"/>
      <c r="KA139" s="9"/>
      <c r="KB139" s="9"/>
      <c r="KC139" s="9"/>
      <c r="KD139" s="9"/>
      <c r="KE139" s="9"/>
      <c r="KF139" s="9"/>
      <c r="KG139" s="9"/>
      <c r="KH139" s="9"/>
      <c r="KI139" s="9"/>
      <c r="KJ139" s="9"/>
      <c r="KK139" s="9"/>
      <c r="KL139" s="9"/>
      <c r="KM139" s="9"/>
      <c r="KN139" s="9"/>
      <c r="KO139" s="9"/>
      <c r="KP139" s="9"/>
      <c r="KQ139" s="9"/>
      <c r="KR139" s="9"/>
      <c r="KS139" s="9"/>
      <c r="KT139" s="9"/>
      <c r="KU139" s="9"/>
      <c r="KV139" s="9"/>
      <c r="KW139" s="9"/>
      <c r="KX139" s="9"/>
      <c r="KY139" s="9"/>
      <c r="KZ139" s="9"/>
      <c r="LA139" s="9"/>
      <c r="LB139" s="9"/>
      <c r="LC139" s="9"/>
      <c r="LD139" s="9"/>
      <c r="LE139" s="9"/>
      <c r="LF139" s="9"/>
      <c r="LG139" s="9"/>
      <c r="LH139" s="9"/>
      <c r="LI139" s="9"/>
      <c r="LJ139" s="9"/>
      <c r="LK139" s="9"/>
      <c r="LL139" s="9"/>
      <c r="LM139" s="9"/>
      <c r="LN139" s="9"/>
      <c r="LO139" s="9"/>
      <c r="LP139" s="9"/>
      <c r="LQ139" s="9"/>
      <c r="LR139" s="9"/>
      <c r="LS139" s="9"/>
      <c r="LT139" s="9"/>
      <c r="LU139" s="9"/>
      <c r="LV139" s="9"/>
      <c r="LW139" s="9"/>
      <c r="LX139" s="9"/>
      <c r="LY139" s="9"/>
      <c r="LZ139" s="9"/>
      <c r="MA139" s="9"/>
      <c r="MB139" s="9"/>
      <c r="MC139" s="9"/>
      <c r="MD139" s="9"/>
      <c r="ME139" s="9"/>
      <c r="MF139" s="9"/>
      <c r="MG139" s="9"/>
      <c r="MH139" s="9"/>
      <c r="MI139" s="9"/>
      <c r="MJ139" s="9"/>
      <c r="MK139" s="9"/>
      <c r="ML139" s="9"/>
      <c r="MM139" s="9"/>
      <c r="MN139" s="9"/>
      <c r="MO139" s="9"/>
      <c r="MP139" s="9"/>
      <c r="MQ139" s="9"/>
      <c r="MR139" s="9"/>
      <c r="MS139" s="9"/>
      <c r="MT139" s="9"/>
      <c r="MU139" s="9"/>
      <c r="MV139" s="9"/>
      <c r="MW139" s="9"/>
      <c r="MX139" s="9"/>
      <c r="MY139" s="9"/>
      <c r="MZ139" s="9"/>
      <c r="NA139" s="9"/>
      <c r="NB139" s="9"/>
      <c r="NC139" s="9"/>
      <c r="ND139" s="9"/>
      <c r="NE139" s="9"/>
      <c r="NF139" s="9"/>
      <c r="NG139" s="9"/>
      <c r="NH139" s="9"/>
      <c r="NI139" s="9"/>
      <c r="NJ139" s="9"/>
      <c r="NK139" s="9"/>
      <c r="NL139" s="9"/>
      <c r="NM139" s="9"/>
      <c r="NN139" s="9"/>
      <c r="NO139" s="9"/>
      <c r="NP139" s="9"/>
      <c r="NQ139" s="9"/>
      <c r="NR139" s="9"/>
      <c r="NS139" s="9"/>
      <c r="NT139" s="9"/>
      <c r="NU139" s="9"/>
      <c r="NV139" s="9"/>
      <c r="NW139" s="9"/>
      <c r="NX139" s="9"/>
      <c r="NY139" s="9"/>
      <c r="NZ139" s="9"/>
      <c r="OA139" s="9"/>
      <c r="OB139" s="9"/>
      <c r="OC139" s="9"/>
      <c r="OD139" s="9"/>
      <c r="OE139" s="9"/>
      <c r="OF139" s="9"/>
      <c r="OG139" s="9"/>
      <c r="OH139" s="9"/>
      <c r="OI139" s="9"/>
      <c r="OJ139" s="9"/>
      <c r="OK139" s="9"/>
      <c r="OL139" s="9"/>
      <c r="OM139" s="9"/>
      <c r="ON139" s="9"/>
      <c r="OO139" s="9"/>
      <c r="OP139" s="9"/>
      <c r="OQ139" s="9"/>
      <c r="OR139" s="9"/>
      <c r="OS139" s="9"/>
      <c r="OT139" s="9"/>
      <c r="OU139" s="9"/>
      <c r="OV139" s="9"/>
      <c r="OW139" s="9"/>
      <c r="OX139" s="9"/>
      <c r="OY139" s="9"/>
      <c r="OZ139" s="9"/>
      <c r="PA139" s="9"/>
      <c r="PB139" s="9"/>
      <c r="PC139" s="9"/>
      <c r="PD139" s="9"/>
      <c r="PE139" s="9"/>
      <c r="PF139" s="9"/>
      <c r="PG139" s="9"/>
      <c r="PH139" s="9"/>
      <c r="PI139" s="9"/>
      <c r="PJ139" s="9"/>
      <c r="PK139" s="9"/>
      <c r="PL139" s="9"/>
      <c r="PM139" s="9"/>
      <c r="PN139" s="9"/>
      <c r="PO139" s="9"/>
      <c r="PP139" s="9"/>
      <c r="PQ139" s="9"/>
      <c r="PR139" s="9"/>
      <c r="PS139" s="9"/>
      <c r="PT139" s="9"/>
      <c r="PU139" s="9"/>
      <c r="PV139" s="9"/>
      <c r="PW139" s="9"/>
      <c r="PX139" s="9"/>
      <c r="PY139" s="9"/>
      <c r="PZ139" s="9"/>
      <c r="QA139" s="9"/>
      <c r="QB139" s="9"/>
      <c r="QC139" s="9"/>
      <c r="QD139" s="9"/>
      <c r="QE139" s="9"/>
      <c r="QF139" s="9"/>
      <c r="QG139" s="9"/>
      <c r="QH139" s="9"/>
      <c r="QI139" s="9"/>
      <c r="QJ139" s="9"/>
      <c r="QK139" s="9"/>
      <c r="QL139" s="9"/>
      <c r="QM139" s="9"/>
      <c r="QN139" s="9"/>
      <c r="QO139" s="9"/>
      <c r="QP139" s="9"/>
      <c r="QQ139" s="9"/>
      <c r="QR139" s="9"/>
      <c r="QS139" s="9"/>
      <c r="QT139" s="9"/>
      <c r="QU139" s="9"/>
      <c r="QV139" s="9"/>
      <c r="QW139" s="9"/>
      <c r="QX139" s="9"/>
      <c r="QY139" s="9"/>
      <c r="QZ139" s="9"/>
      <c r="RA139" s="9"/>
      <c r="RB139" s="9"/>
      <c r="RC139" s="9"/>
      <c r="RD139" s="9"/>
      <c r="RE139" s="9"/>
      <c r="RF139" s="9"/>
      <c r="RG139" s="9"/>
      <c r="RH139" s="9"/>
      <c r="RI139" s="9"/>
      <c r="RJ139" s="9"/>
      <c r="RK139" s="9"/>
      <c r="RL139" s="9"/>
      <c r="RM139" s="9"/>
      <c r="RN139" s="9"/>
      <c r="RO139" s="9"/>
      <c r="RP139" s="9"/>
      <c r="RQ139" s="9"/>
      <c r="RR139" s="9"/>
      <c r="RS139" s="9"/>
      <c r="RT139" s="9"/>
      <c r="RU139" s="9"/>
      <c r="RV139" s="9"/>
      <c r="RW139" s="9"/>
      <c r="RX139" s="9"/>
      <c r="RY139" s="9"/>
      <c r="RZ139" s="9"/>
      <c r="SA139" s="9"/>
      <c r="SB139" s="9"/>
      <c r="SC139" s="9"/>
      <c r="SD139" s="9"/>
      <c r="SE139" s="9"/>
      <c r="SF139" s="9"/>
      <c r="SG139" s="9"/>
      <c r="SH139" s="9"/>
      <c r="SI139" s="9"/>
      <c r="SJ139" s="9"/>
      <c r="SK139" s="8"/>
      <c r="SL139" s="8"/>
      <c r="SM139" s="8"/>
      <c r="SN139" s="8"/>
      <c r="SO139" s="8"/>
      <c r="SP139" s="8"/>
      <c r="SQ139" s="8"/>
      <c r="SR139" s="8"/>
      <c r="SS139" s="8"/>
      <c r="ST139" s="8"/>
      <c r="SU139" s="8"/>
      <c r="SV139" s="8"/>
      <c r="SW139" s="8"/>
      <c r="SX139" s="8"/>
      <c r="SY139" s="8"/>
      <c r="SZ139" s="8"/>
      <c r="TA139" s="8"/>
      <c r="TB139" s="8"/>
      <c r="TC139" s="8"/>
      <c r="TD139" s="8"/>
      <c r="TE139" s="8"/>
      <c r="TF139" s="8"/>
      <c r="TG139" s="8"/>
      <c r="TH139" s="8"/>
      <c r="TI139" s="8"/>
      <c r="TJ139" s="8"/>
      <c r="TK139" s="8"/>
      <c r="TL139" s="8"/>
      <c r="TM139" s="8"/>
      <c r="TN139" s="8"/>
      <c r="TO139" s="8"/>
    </row>
    <row r="140" spans="1:535" x14ac:dyDescent="0.2">
      <c r="A140" s="7"/>
      <c r="B140" s="15"/>
      <c r="C140" s="15"/>
      <c r="D140" s="15"/>
      <c r="E140" s="15"/>
      <c r="F140" s="15"/>
      <c r="G140" s="15"/>
      <c r="H140" s="15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9"/>
      <c r="DP140" s="9"/>
      <c r="DQ140" s="9"/>
      <c r="DR140" s="9"/>
      <c r="DS140" s="9"/>
      <c r="DT140" s="9"/>
      <c r="DU140" s="9"/>
      <c r="DV140" s="9"/>
      <c r="DW140" s="9"/>
      <c r="DX140" s="9"/>
      <c r="DY140" s="9"/>
      <c r="DZ140" s="9"/>
      <c r="EA140" s="9"/>
      <c r="EB140" s="9"/>
      <c r="EC140" s="9"/>
      <c r="ED140" s="9"/>
      <c r="EE140" s="9"/>
      <c r="EF140" s="9"/>
      <c r="EG140" s="9"/>
      <c r="EH140" s="9"/>
      <c r="EI140" s="9"/>
      <c r="EJ140" s="9"/>
      <c r="EK140" s="9"/>
      <c r="EL140" s="9"/>
      <c r="EM140" s="9"/>
      <c r="EN140" s="9"/>
      <c r="EO140" s="9"/>
      <c r="EP140" s="9"/>
      <c r="EQ140" s="9"/>
      <c r="ER140" s="9"/>
      <c r="ES140" s="9"/>
      <c r="ET140" s="9"/>
      <c r="EU140" s="9"/>
      <c r="EV140" s="9"/>
      <c r="EW140" s="9"/>
      <c r="EX140" s="9"/>
      <c r="EY140" s="9"/>
      <c r="EZ140" s="9"/>
      <c r="FA140" s="9"/>
      <c r="FB140" s="9"/>
      <c r="FC140" s="9"/>
      <c r="FD140" s="9"/>
      <c r="FE140" s="9"/>
      <c r="FF140" s="9"/>
      <c r="FG140" s="9"/>
      <c r="FH140" s="9"/>
      <c r="FI140" s="9"/>
      <c r="FJ140" s="9"/>
      <c r="FK140" s="9"/>
      <c r="FL140" s="9"/>
      <c r="FM140" s="9"/>
      <c r="FN140" s="9"/>
      <c r="FO140" s="9"/>
      <c r="FP140" s="9"/>
      <c r="FQ140" s="9"/>
      <c r="FR140" s="9"/>
      <c r="FS140" s="9"/>
      <c r="FT140" s="9"/>
      <c r="FU140" s="9"/>
      <c r="FV140" s="9"/>
      <c r="FW140" s="9"/>
      <c r="FX140" s="9"/>
      <c r="FY140" s="9"/>
      <c r="FZ140" s="9"/>
      <c r="GA140" s="9"/>
      <c r="GB140" s="9"/>
      <c r="GC140" s="9"/>
      <c r="GD140" s="9"/>
      <c r="GE140" s="9"/>
      <c r="GF140" s="9"/>
      <c r="GG140" s="9"/>
      <c r="GH140" s="9"/>
      <c r="GI140" s="9"/>
      <c r="GJ140" s="9"/>
      <c r="GK140" s="9"/>
      <c r="GL140" s="9"/>
      <c r="GM140" s="9"/>
      <c r="GN140" s="9"/>
      <c r="GO140" s="9"/>
      <c r="GP140" s="9"/>
      <c r="GQ140" s="9"/>
      <c r="GR140" s="9"/>
      <c r="GS140" s="9"/>
      <c r="GT140" s="9"/>
      <c r="GU140" s="9"/>
      <c r="GV140" s="9"/>
      <c r="GW140" s="9"/>
      <c r="GX140" s="9"/>
      <c r="GY140" s="9"/>
      <c r="GZ140" s="9"/>
      <c r="HA140" s="9"/>
      <c r="HB140" s="9"/>
      <c r="HC140" s="9"/>
      <c r="HD140" s="9"/>
      <c r="HE140" s="9"/>
      <c r="HF140" s="9"/>
      <c r="HG140" s="9"/>
      <c r="HH140" s="9"/>
      <c r="HI140" s="9"/>
      <c r="HJ140" s="9"/>
      <c r="HK140" s="9"/>
      <c r="HL140" s="9"/>
      <c r="HM140" s="9"/>
      <c r="HN140" s="9"/>
      <c r="HO140" s="9"/>
      <c r="HP140" s="9"/>
      <c r="HQ140" s="9"/>
      <c r="HR140" s="9"/>
      <c r="HS140" s="9"/>
      <c r="HT140" s="9"/>
      <c r="HU140" s="9"/>
      <c r="HV140" s="9"/>
      <c r="HW140" s="9"/>
      <c r="HX140" s="9"/>
      <c r="HY140" s="9"/>
      <c r="HZ140" s="9"/>
      <c r="IA140" s="9"/>
      <c r="IB140" s="9"/>
      <c r="IC140" s="9"/>
      <c r="ID140" s="9"/>
      <c r="IE140" s="9"/>
      <c r="IF140" s="9"/>
      <c r="IG140" s="9"/>
      <c r="IH140" s="9"/>
      <c r="II140" s="9"/>
      <c r="IJ140" s="9"/>
      <c r="IK140" s="9"/>
      <c r="IL140" s="9"/>
      <c r="IM140" s="9"/>
      <c r="IN140" s="9"/>
      <c r="IO140" s="9"/>
      <c r="IP140" s="9"/>
      <c r="IQ140" s="9"/>
      <c r="IR140" s="9"/>
      <c r="IS140" s="9"/>
      <c r="IT140" s="9"/>
      <c r="IU140" s="9"/>
      <c r="IV140" s="9"/>
      <c r="IW140" s="9"/>
      <c r="IX140" s="9"/>
      <c r="IY140" s="9"/>
      <c r="IZ140" s="9"/>
      <c r="JA140" s="9"/>
      <c r="JB140" s="9"/>
      <c r="JC140" s="9"/>
      <c r="JD140" s="9"/>
      <c r="JE140" s="9"/>
      <c r="JF140" s="9"/>
      <c r="JG140" s="9"/>
      <c r="JH140" s="9"/>
      <c r="JI140" s="9"/>
      <c r="JJ140" s="9"/>
      <c r="JK140" s="9"/>
      <c r="JL140" s="9"/>
      <c r="JM140" s="9"/>
      <c r="JN140" s="9"/>
      <c r="JO140" s="9"/>
      <c r="JP140" s="9"/>
      <c r="JQ140" s="9"/>
      <c r="JR140" s="9"/>
      <c r="JS140" s="9"/>
      <c r="JT140" s="9"/>
      <c r="JU140" s="9"/>
      <c r="JV140" s="9"/>
      <c r="JW140" s="9"/>
      <c r="JX140" s="9"/>
      <c r="JY140" s="9"/>
      <c r="JZ140" s="9"/>
      <c r="KA140" s="9"/>
      <c r="KB140" s="9"/>
      <c r="KC140" s="9"/>
      <c r="KD140" s="9"/>
      <c r="KE140" s="9"/>
      <c r="KF140" s="9"/>
      <c r="KG140" s="9"/>
      <c r="KH140" s="9"/>
      <c r="KI140" s="9"/>
      <c r="KJ140" s="9"/>
      <c r="KK140" s="9"/>
      <c r="KL140" s="9"/>
      <c r="KM140" s="9"/>
      <c r="KN140" s="9"/>
      <c r="KO140" s="9"/>
      <c r="KP140" s="9"/>
      <c r="KQ140" s="9"/>
      <c r="KR140" s="9"/>
      <c r="KS140" s="9"/>
      <c r="KT140" s="9"/>
      <c r="KU140" s="9"/>
      <c r="KV140" s="9"/>
      <c r="KW140" s="9"/>
      <c r="KX140" s="9"/>
      <c r="KY140" s="9"/>
      <c r="KZ140" s="9"/>
      <c r="LA140" s="9"/>
      <c r="LB140" s="9"/>
      <c r="LC140" s="9"/>
      <c r="LD140" s="9"/>
      <c r="LE140" s="9"/>
      <c r="LF140" s="9"/>
      <c r="LG140" s="9"/>
      <c r="LH140" s="9"/>
      <c r="LI140" s="9"/>
      <c r="LJ140" s="9"/>
      <c r="LK140" s="9"/>
      <c r="LL140" s="9"/>
      <c r="LM140" s="9"/>
      <c r="LN140" s="9"/>
      <c r="LO140" s="9"/>
      <c r="LP140" s="9"/>
      <c r="LQ140" s="9"/>
      <c r="LR140" s="9"/>
      <c r="LS140" s="9"/>
      <c r="LT140" s="9"/>
      <c r="LU140" s="9"/>
      <c r="LV140" s="9"/>
      <c r="LW140" s="9"/>
      <c r="LX140" s="9"/>
      <c r="LY140" s="9"/>
      <c r="LZ140" s="9"/>
      <c r="MA140" s="9"/>
      <c r="MB140" s="9"/>
      <c r="MC140" s="9"/>
      <c r="MD140" s="9"/>
      <c r="ME140" s="9"/>
      <c r="MF140" s="9"/>
      <c r="MG140" s="9"/>
      <c r="MH140" s="9"/>
      <c r="MI140" s="9"/>
      <c r="MJ140" s="9"/>
      <c r="MK140" s="9"/>
      <c r="ML140" s="9"/>
      <c r="MM140" s="9"/>
      <c r="MN140" s="9"/>
      <c r="MO140" s="9"/>
      <c r="MP140" s="9"/>
      <c r="MQ140" s="9"/>
      <c r="MR140" s="9"/>
      <c r="MS140" s="9"/>
      <c r="MT140" s="9"/>
      <c r="MU140" s="9"/>
      <c r="MV140" s="9"/>
      <c r="MW140" s="9"/>
      <c r="MX140" s="9"/>
      <c r="MY140" s="9"/>
      <c r="MZ140" s="9"/>
      <c r="NA140" s="9"/>
      <c r="NB140" s="9"/>
      <c r="NC140" s="9"/>
      <c r="ND140" s="9"/>
      <c r="NE140" s="9"/>
      <c r="NF140" s="9"/>
      <c r="NG140" s="9"/>
      <c r="NH140" s="9"/>
      <c r="NI140" s="9"/>
      <c r="NJ140" s="9"/>
      <c r="NK140" s="9"/>
      <c r="NL140" s="9"/>
      <c r="NM140" s="9"/>
      <c r="NN140" s="9"/>
      <c r="NO140" s="9"/>
      <c r="NP140" s="9"/>
      <c r="NQ140" s="9"/>
      <c r="NR140" s="9"/>
      <c r="NS140" s="9"/>
      <c r="NT140" s="9"/>
      <c r="NU140" s="9"/>
      <c r="NV140" s="9"/>
      <c r="NW140" s="9"/>
      <c r="NX140" s="9"/>
      <c r="NY140" s="9"/>
      <c r="NZ140" s="9"/>
      <c r="OA140" s="9"/>
      <c r="OB140" s="9"/>
      <c r="OC140" s="9"/>
      <c r="OD140" s="9"/>
      <c r="OE140" s="9"/>
      <c r="OF140" s="9"/>
      <c r="OG140" s="9"/>
      <c r="OH140" s="9"/>
      <c r="OI140" s="9"/>
      <c r="OJ140" s="9"/>
      <c r="OK140" s="9"/>
      <c r="OL140" s="9"/>
      <c r="OM140" s="9"/>
      <c r="ON140" s="9"/>
      <c r="OO140" s="9"/>
      <c r="OP140" s="9"/>
      <c r="OQ140" s="9"/>
      <c r="OR140" s="9"/>
      <c r="OS140" s="9"/>
      <c r="OT140" s="9"/>
      <c r="OU140" s="9"/>
      <c r="OV140" s="9"/>
      <c r="OW140" s="9"/>
      <c r="OX140" s="9"/>
      <c r="OY140" s="9"/>
      <c r="OZ140" s="9"/>
      <c r="PA140" s="9"/>
      <c r="PB140" s="9"/>
      <c r="PC140" s="9"/>
      <c r="PD140" s="9"/>
      <c r="PE140" s="9"/>
      <c r="PF140" s="9"/>
      <c r="PG140" s="9"/>
      <c r="PH140" s="9"/>
      <c r="PI140" s="9"/>
      <c r="PJ140" s="9"/>
      <c r="PK140" s="9"/>
      <c r="PL140" s="9"/>
      <c r="PM140" s="9"/>
      <c r="PN140" s="9"/>
      <c r="PO140" s="9"/>
      <c r="PP140" s="9"/>
      <c r="PQ140" s="9"/>
      <c r="PR140" s="9"/>
      <c r="PS140" s="9"/>
      <c r="PT140" s="9"/>
      <c r="PU140" s="9"/>
      <c r="PV140" s="9"/>
      <c r="PW140" s="9"/>
      <c r="PX140" s="9"/>
      <c r="PY140" s="9"/>
      <c r="PZ140" s="9"/>
      <c r="QA140" s="9"/>
      <c r="QB140" s="9"/>
      <c r="QC140" s="9"/>
      <c r="QD140" s="9"/>
      <c r="QE140" s="9"/>
      <c r="QF140" s="9"/>
      <c r="QG140" s="9"/>
      <c r="QH140" s="9"/>
      <c r="QI140" s="9"/>
      <c r="QJ140" s="9"/>
      <c r="QK140" s="9"/>
      <c r="QL140" s="9"/>
      <c r="QM140" s="9"/>
      <c r="QN140" s="9"/>
      <c r="QO140" s="9"/>
      <c r="QP140" s="9"/>
      <c r="QQ140" s="9"/>
      <c r="QR140" s="9"/>
      <c r="QS140" s="9"/>
      <c r="QT140" s="9"/>
      <c r="QU140" s="9"/>
      <c r="QV140" s="9"/>
      <c r="QW140" s="9"/>
      <c r="QX140" s="9"/>
      <c r="QY140" s="9"/>
      <c r="QZ140" s="9"/>
      <c r="RA140" s="9"/>
      <c r="RB140" s="9"/>
      <c r="RC140" s="9"/>
      <c r="RD140" s="9"/>
      <c r="RE140" s="9"/>
      <c r="RF140" s="9"/>
      <c r="RG140" s="9"/>
      <c r="RH140" s="9"/>
      <c r="RI140" s="9"/>
      <c r="RJ140" s="9"/>
      <c r="RK140" s="9"/>
      <c r="RL140" s="9"/>
      <c r="RM140" s="9"/>
      <c r="RN140" s="9"/>
      <c r="RO140" s="9"/>
      <c r="RP140" s="9"/>
      <c r="RQ140" s="9"/>
      <c r="RR140" s="9"/>
      <c r="RS140" s="9"/>
      <c r="RT140" s="9"/>
      <c r="RU140" s="9"/>
      <c r="RV140" s="9"/>
      <c r="RW140" s="9"/>
      <c r="RX140" s="9"/>
      <c r="RY140" s="9"/>
      <c r="RZ140" s="9"/>
      <c r="SA140" s="9"/>
      <c r="SB140" s="9"/>
      <c r="SC140" s="9"/>
      <c r="SD140" s="9"/>
      <c r="SE140" s="9"/>
      <c r="SF140" s="9"/>
      <c r="SG140" s="9"/>
      <c r="SH140" s="9"/>
      <c r="SI140" s="9"/>
      <c r="SJ140" s="9"/>
      <c r="SK140" s="8"/>
      <c r="SL140" s="8"/>
      <c r="SM140" s="8"/>
      <c r="SN140" s="8"/>
      <c r="SO140" s="8"/>
      <c r="SP140" s="8"/>
      <c r="SQ140" s="8"/>
      <c r="SR140" s="8"/>
      <c r="SS140" s="8"/>
      <c r="ST140" s="8"/>
      <c r="SU140" s="8"/>
      <c r="SV140" s="8"/>
      <c r="SW140" s="8"/>
      <c r="SX140" s="8"/>
      <c r="SY140" s="8"/>
      <c r="SZ140" s="8"/>
      <c r="TA140" s="8"/>
      <c r="TB140" s="8"/>
      <c r="TC140" s="8"/>
      <c r="TD140" s="8"/>
      <c r="TE140" s="8"/>
      <c r="TF140" s="8"/>
      <c r="TG140" s="8"/>
      <c r="TH140" s="8"/>
      <c r="TI140" s="8"/>
      <c r="TJ140" s="8"/>
      <c r="TK140" s="8"/>
      <c r="TL140" s="8"/>
      <c r="TM140" s="8"/>
      <c r="TN140" s="8"/>
      <c r="TO140" s="8"/>
    </row>
    <row r="141" spans="1:535" x14ac:dyDescent="0.2">
      <c r="A141" s="7"/>
      <c r="B141" s="15"/>
      <c r="C141" s="15"/>
      <c r="D141" s="15"/>
      <c r="E141" s="15"/>
      <c r="F141" s="15"/>
      <c r="G141" s="15"/>
      <c r="H141" s="15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  <c r="CE141" s="9"/>
      <c r="CF141" s="9"/>
      <c r="CG141" s="9"/>
      <c r="CH141" s="9"/>
      <c r="CI141" s="9"/>
      <c r="CJ141" s="9"/>
      <c r="CK141" s="9"/>
      <c r="CL141" s="9"/>
      <c r="CM141" s="9"/>
      <c r="CN141" s="9"/>
      <c r="CO141" s="9"/>
      <c r="CP141" s="9"/>
      <c r="CQ141" s="9"/>
      <c r="CR141" s="9"/>
      <c r="CS141" s="9"/>
      <c r="CT141" s="9"/>
      <c r="CU141" s="9"/>
      <c r="CV141" s="9"/>
      <c r="CW141" s="9"/>
      <c r="CX141" s="9"/>
      <c r="CY141" s="9"/>
      <c r="CZ141" s="9"/>
      <c r="DA141" s="9"/>
      <c r="DB141" s="9"/>
      <c r="DC141" s="9"/>
      <c r="DD141" s="9"/>
      <c r="DE141" s="9"/>
      <c r="DF141" s="9"/>
      <c r="DG141" s="9"/>
      <c r="DH141" s="9"/>
      <c r="DI141" s="9"/>
      <c r="DJ141" s="9"/>
      <c r="DK141" s="9"/>
      <c r="DL141" s="9"/>
      <c r="DM141" s="9"/>
      <c r="DN141" s="9"/>
      <c r="DO141" s="9"/>
      <c r="DP141" s="9"/>
      <c r="DQ141" s="9"/>
      <c r="DR141" s="9"/>
      <c r="DS141" s="9"/>
      <c r="DT141" s="9"/>
      <c r="DU141" s="9"/>
      <c r="DV141" s="9"/>
      <c r="DW141" s="9"/>
      <c r="DX141" s="9"/>
      <c r="DY141" s="9"/>
      <c r="DZ141" s="9"/>
      <c r="EA141" s="9"/>
      <c r="EB141" s="9"/>
      <c r="EC141" s="9"/>
      <c r="ED141" s="9"/>
      <c r="EE141" s="9"/>
      <c r="EF141" s="9"/>
      <c r="EG141" s="9"/>
      <c r="EH141" s="9"/>
      <c r="EI141" s="9"/>
      <c r="EJ141" s="9"/>
      <c r="EK141" s="9"/>
      <c r="EL141" s="9"/>
      <c r="EM141" s="9"/>
      <c r="EN141" s="9"/>
      <c r="EO141" s="9"/>
      <c r="EP141" s="9"/>
      <c r="EQ141" s="9"/>
      <c r="ER141" s="9"/>
      <c r="ES141" s="9"/>
      <c r="ET141" s="9"/>
      <c r="EU141" s="9"/>
      <c r="EV141" s="9"/>
      <c r="EW141" s="9"/>
      <c r="EX141" s="9"/>
      <c r="EY141" s="9"/>
      <c r="EZ141" s="9"/>
      <c r="FA141" s="9"/>
      <c r="FB141" s="9"/>
      <c r="FC141" s="9"/>
      <c r="FD141" s="9"/>
      <c r="FE141" s="9"/>
      <c r="FF141" s="9"/>
      <c r="FG141" s="9"/>
      <c r="FH141" s="9"/>
      <c r="FI141" s="9"/>
      <c r="FJ141" s="9"/>
      <c r="FK141" s="9"/>
      <c r="FL141" s="9"/>
      <c r="FM141" s="9"/>
      <c r="FN141" s="9"/>
      <c r="FO141" s="9"/>
      <c r="FP141" s="9"/>
      <c r="FQ141" s="9"/>
      <c r="FR141" s="9"/>
      <c r="FS141" s="9"/>
      <c r="FT141" s="9"/>
      <c r="FU141" s="9"/>
      <c r="FV141" s="9"/>
      <c r="FW141" s="9"/>
      <c r="FX141" s="9"/>
      <c r="FY141" s="9"/>
      <c r="FZ141" s="9"/>
      <c r="GA141" s="9"/>
      <c r="GB141" s="9"/>
      <c r="GC141" s="9"/>
      <c r="GD141" s="9"/>
      <c r="GE141" s="9"/>
      <c r="GF141" s="9"/>
      <c r="GG141" s="9"/>
      <c r="GH141" s="9"/>
      <c r="GI141" s="9"/>
      <c r="GJ141" s="9"/>
      <c r="GK141" s="9"/>
      <c r="GL141" s="9"/>
      <c r="GM141" s="9"/>
      <c r="GN141" s="9"/>
      <c r="GO141" s="9"/>
      <c r="GP141" s="9"/>
      <c r="GQ141" s="9"/>
      <c r="GR141" s="9"/>
      <c r="GS141" s="9"/>
      <c r="GT141" s="9"/>
      <c r="GU141" s="9"/>
      <c r="GV141" s="9"/>
      <c r="GW141" s="9"/>
      <c r="GX141" s="9"/>
      <c r="GY141" s="9"/>
      <c r="GZ141" s="9"/>
      <c r="HA141" s="9"/>
      <c r="HB141" s="9"/>
      <c r="HC141" s="9"/>
      <c r="HD141" s="9"/>
      <c r="HE141" s="9"/>
      <c r="HF141" s="9"/>
      <c r="HG141" s="9"/>
      <c r="HH141" s="9"/>
      <c r="HI141" s="9"/>
      <c r="HJ141" s="9"/>
      <c r="HK141" s="9"/>
      <c r="HL141" s="9"/>
      <c r="HM141" s="9"/>
      <c r="HN141" s="9"/>
      <c r="HO141" s="9"/>
      <c r="HP141" s="9"/>
      <c r="HQ141" s="9"/>
      <c r="HR141" s="9"/>
      <c r="HS141" s="9"/>
      <c r="HT141" s="9"/>
      <c r="HU141" s="9"/>
      <c r="HV141" s="9"/>
      <c r="HW141" s="9"/>
      <c r="HX141" s="9"/>
      <c r="HY141" s="9"/>
      <c r="HZ141" s="9"/>
      <c r="IA141" s="9"/>
      <c r="IB141" s="9"/>
      <c r="IC141" s="9"/>
      <c r="ID141" s="9"/>
      <c r="IE141" s="9"/>
      <c r="IF141" s="9"/>
      <c r="IG141" s="9"/>
      <c r="IH141" s="9"/>
      <c r="II141" s="9"/>
      <c r="IJ141" s="9"/>
      <c r="IK141" s="9"/>
      <c r="IL141" s="9"/>
      <c r="IM141" s="9"/>
      <c r="IN141" s="9"/>
      <c r="IO141" s="9"/>
      <c r="IP141" s="9"/>
      <c r="IQ141" s="9"/>
      <c r="IR141" s="9"/>
      <c r="IS141" s="9"/>
      <c r="IT141" s="9"/>
      <c r="IU141" s="9"/>
      <c r="IV141" s="9"/>
      <c r="IW141" s="9"/>
      <c r="IX141" s="9"/>
      <c r="IY141" s="9"/>
      <c r="IZ141" s="9"/>
      <c r="JA141" s="9"/>
      <c r="JB141" s="9"/>
      <c r="JC141" s="9"/>
      <c r="JD141" s="9"/>
      <c r="JE141" s="9"/>
      <c r="JF141" s="9"/>
      <c r="JG141" s="9"/>
      <c r="JH141" s="9"/>
      <c r="JI141" s="9"/>
      <c r="JJ141" s="9"/>
      <c r="JK141" s="9"/>
      <c r="JL141" s="9"/>
      <c r="JM141" s="9"/>
      <c r="JN141" s="9"/>
      <c r="JO141" s="9"/>
      <c r="JP141" s="9"/>
      <c r="JQ141" s="9"/>
      <c r="JR141" s="9"/>
      <c r="JS141" s="9"/>
      <c r="JT141" s="9"/>
      <c r="JU141" s="9"/>
      <c r="JV141" s="9"/>
      <c r="JW141" s="9"/>
      <c r="JX141" s="9"/>
      <c r="JY141" s="9"/>
      <c r="JZ141" s="9"/>
      <c r="KA141" s="9"/>
      <c r="KB141" s="9"/>
      <c r="KC141" s="9"/>
      <c r="KD141" s="9"/>
      <c r="KE141" s="9"/>
      <c r="KF141" s="9"/>
      <c r="KG141" s="9"/>
      <c r="KH141" s="9"/>
      <c r="KI141" s="9"/>
      <c r="KJ141" s="9"/>
      <c r="KK141" s="9"/>
      <c r="KL141" s="9"/>
      <c r="KM141" s="9"/>
      <c r="KN141" s="9"/>
      <c r="KO141" s="9"/>
      <c r="KP141" s="9"/>
      <c r="KQ141" s="9"/>
      <c r="KR141" s="9"/>
      <c r="KS141" s="9"/>
      <c r="KT141" s="9"/>
      <c r="KU141" s="9"/>
      <c r="KV141" s="9"/>
      <c r="KW141" s="9"/>
      <c r="KX141" s="9"/>
      <c r="KY141" s="9"/>
      <c r="KZ141" s="9"/>
      <c r="LA141" s="9"/>
      <c r="LB141" s="9"/>
      <c r="LC141" s="9"/>
      <c r="LD141" s="9"/>
      <c r="LE141" s="9"/>
      <c r="LF141" s="9"/>
      <c r="LG141" s="9"/>
      <c r="LH141" s="9"/>
      <c r="LI141" s="9"/>
      <c r="LJ141" s="9"/>
      <c r="LK141" s="9"/>
      <c r="LL141" s="9"/>
      <c r="LM141" s="9"/>
      <c r="LN141" s="9"/>
      <c r="LO141" s="9"/>
      <c r="LP141" s="9"/>
      <c r="LQ141" s="9"/>
      <c r="LR141" s="9"/>
      <c r="LS141" s="9"/>
      <c r="LT141" s="9"/>
      <c r="LU141" s="9"/>
      <c r="LV141" s="9"/>
      <c r="LW141" s="9"/>
      <c r="LX141" s="9"/>
      <c r="LY141" s="9"/>
      <c r="LZ141" s="9"/>
      <c r="MA141" s="9"/>
      <c r="MB141" s="9"/>
      <c r="MC141" s="9"/>
      <c r="MD141" s="9"/>
      <c r="ME141" s="9"/>
      <c r="MF141" s="9"/>
      <c r="MG141" s="9"/>
      <c r="MH141" s="9"/>
      <c r="MI141" s="9"/>
      <c r="MJ141" s="9"/>
      <c r="MK141" s="9"/>
      <c r="ML141" s="9"/>
      <c r="MM141" s="9"/>
      <c r="MN141" s="9"/>
      <c r="MO141" s="9"/>
      <c r="MP141" s="9"/>
      <c r="MQ141" s="9"/>
      <c r="MR141" s="9"/>
      <c r="MS141" s="9"/>
      <c r="MT141" s="9"/>
      <c r="MU141" s="9"/>
      <c r="MV141" s="9"/>
      <c r="MW141" s="9"/>
      <c r="MX141" s="9"/>
      <c r="MY141" s="9"/>
      <c r="MZ141" s="9"/>
      <c r="NA141" s="9"/>
      <c r="NB141" s="9"/>
      <c r="NC141" s="9"/>
      <c r="ND141" s="9"/>
      <c r="NE141" s="9"/>
      <c r="NF141" s="9"/>
      <c r="NG141" s="9"/>
      <c r="NH141" s="9"/>
      <c r="NI141" s="9"/>
      <c r="NJ141" s="9"/>
      <c r="NK141" s="9"/>
      <c r="NL141" s="9"/>
      <c r="NM141" s="9"/>
      <c r="NN141" s="9"/>
      <c r="NO141" s="9"/>
      <c r="NP141" s="9"/>
      <c r="NQ141" s="9"/>
      <c r="NR141" s="9"/>
      <c r="NS141" s="9"/>
      <c r="NT141" s="9"/>
      <c r="NU141" s="9"/>
      <c r="NV141" s="9"/>
      <c r="NW141" s="9"/>
      <c r="NX141" s="9"/>
      <c r="NY141" s="9"/>
      <c r="NZ141" s="9"/>
      <c r="OA141" s="9"/>
      <c r="OB141" s="9"/>
      <c r="OC141" s="9"/>
      <c r="OD141" s="9"/>
      <c r="OE141" s="9"/>
      <c r="OF141" s="9"/>
      <c r="OG141" s="9"/>
      <c r="OH141" s="9"/>
      <c r="OI141" s="9"/>
      <c r="OJ141" s="9"/>
      <c r="OK141" s="9"/>
      <c r="OL141" s="9"/>
      <c r="OM141" s="9"/>
      <c r="ON141" s="9"/>
      <c r="OO141" s="9"/>
      <c r="OP141" s="9"/>
      <c r="OQ141" s="9"/>
      <c r="OR141" s="9"/>
      <c r="OS141" s="9"/>
      <c r="OT141" s="9"/>
      <c r="OU141" s="9"/>
      <c r="OV141" s="9"/>
      <c r="OW141" s="9"/>
      <c r="OX141" s="9"/>
      <c r="OY141" s="9"/>
      <c r="OZ141" s="9"/>
      <c r="PA141" s="9"/>
      <c r="PB141" s="9"/>
      <c r="PC141" s="9"/>
      <c r="PD141" s="9"/>
      <c r="PE141" s="9"/>
      <c r="PF141" s="9"/>
      <c r="PG141" s="9"/>
      <c r="PH141" s="9"/>
      <c r="PI141" s="9"/>
      <c r="PJ141" s="9"/>
      <c r="PK141" s="9"/>
      <c r="PL141" s="9"/>
      <c r="PM141" s="9"/>
      <c r="PN141" s="9"/>
      <c r="PO141" s="9"/>
      <c r="PP141" s="9"/>
      <c r="PQ141" s="9"/>
      <c r="PR141" s="9"/>
      <c r="PS141" s="9"/>
      <c r="PT141" s="9"/>
      <c r="PU141" s="9"/>
      <c r="PV141" s="9"/>
      <c r="PW141" s="9"/>
      <c r="PX141" s="9"/>
      <c r="PY141" s="9"/>
      <c r="PZ141" s="9"/>
      <c r="QA141" s="9"/>
      <c r="QB141" s="9"/>
      <c r="QC141" s="9"/>
      <c r="QD141" s="9"/>
      <c r="QE141" s="9"/>
      <c r="QF141" s="9"/>
      <c r="QG141" s="9"/>
      <c r="QH141" s="9"/>
      <c r="QI141" s="9"/>
      <c r="QJ141" s="9"/>
      <c r="QK141" s="9"/>
      <c r="QL141" s="9"/>
      <c r="QM141" s="9"/>
      <c r="QN141" s="9"/>
      <c r="QO141" s="9"/>
      <c r="QP141" s="9"/>
      <c r="QQ141" s="9"/>
      <c r="QR141" s="9"/>
      <c r="QS141" s="9"/>
      <c r="QT141" s="9"/>
      <c r="QU141" s="9"/>
      <c r="QV141" s="9"/>
      <c r="QW141" s="9"/>
      <c r="QX141" s="9"/>
      <c r="QY141" s="9"/>
      <c r="QZ141" s="9"/>
      <c r="RA141" s="9"/>
      <c r="RB141" s="9"/>
      <c r="RC141" s="9"/>
      <c r="RD141" s="9"/>
      <c r="RE141" s="9"/>
      <c r="RF141" s="9"/>
      <c r="RG141" s="9"/>
      <c r="RH141" s="9"/>
      <c r="RI141" s="9"/>
      <c r="RJ141" s="9"/>
      <c r="RK141" s="9"/>
      <c r="RL141" s="9"/>
      <c r="RM141" s="9"/>
      <c r="RN141" s="9"/>
      <c r="RO141" s="9"/>
      <c r="RP141" s="9"/>
      <c r="RQ141" s="9"/>
      <c r="RR141" s="9"/>
      <c r="RS141" s="9"/>
      <c r="RT141" s="9"/>
      <c r="RU141" s="9"/>
      <c r="RV141" s="9"/>
      <c r="RW141" s="9"/>
      <c r="RX141" s="9"/>
      <c r="RY141" s="9"/>
      <c r="RZ141" s="9"/>
      <c r="SA141" s="9"/>
      <c r="SB141" s="9"/>
      <c r="SC141" s="9"/>
      <c r="SD141" s="9"/>
      <c r="SE141" s="9"/>
      <c r="SF141" s="9"/>
      <c r="SG141" s="9"/>
      <c r="SH141" s="9"/>
      <c r="SI141" s="9"/>
      <c r="SJ141" s="9"/>
      <c r="SK141" s="8"/>
      <c r="SL141" s="8"/>
      <c r="SM141" s="8"/>
      <c r="SN141" s="8"/>
      <c r="SO141" s="8"/>
      <c r="SP141" s="8"/>
      <c r="SQ141" s="8"/>
      <c r="SR141" s="8"/>
      <c r="SS141" s="8"/>
      <c r="ST141" s="8"/>
      <c r="SU141" s="8"/>
      <c r="SV141" s="8"/>
      <c r="SW141" s="8"/>
      <c r="SX141" s="8"/>
      <c r="SY141" s="8"/>
      <c r="SZ141" s="8"/>
      <c r="TA141" s="8"/>
      <c r="TB141" s="8"/>
      <c r="TC141" s="8"/>
      <c r="TD141" s="8"/>
      <c r="TE141" s="8"/>
      <c r="TF141" s="8"/>
      <c r="TG141" s="8"/>
      <c r="TH141" s="8"/>
      <c r="TI141" s="8"/>
      <c r="TJ141" s="8"/>
      <c r="TK141" s="8"/>
      <c r="TL141" s="8"/>
      <c r="TM141" s="8"/>
      <c r="TN141" s="8"/>
      <c r="TO141" s="8"/>
    </row>
    <row r="142" spans="1:535" x14ac:dyDescent="0.2">
      <c r="A142" s="7"/>
      <c r="B142" s="15"/>
      <c r="C142" s="15"/>
      <c r="D142" s="15"/>
      <c r="E142" s="15"/>
      <c r="F142" s="15"/>
      <c r="G142" s="15"/>
      <c r="H142" s="15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9"/>
      <c r="CK142" s="9"/>
      <c r="CL142" s="9"/>
      <c r="CM142" s="9"/>
      <c r="CN142" s="9"/>
      <c r="CO142" s="9"/>
      <c r="CP142" s="9"/>
      <c r="CQ142" s="9"/>
      <c r="CR142" s="9"/>
      <c r="CS142" s="9"/>
      <c r="CT142" s="9"/>
      <c r="CU142" s="9"/>
      <c r="CV142" s="9"/>
      <c r="CW142" s="9"/>
      <c r="CX142" s="9"/>
      <c r="CY142" s="9"/>
      <c r="CZ142" s="9"/>
      <c r="DA142" s="9"/>
      <c r="DB142" s="9"/>
      <c r="DC142" s="9"/>
      <c r="DD142" s="9"/>
      <c r="DE142" s="9"/>
      <c r="DF142" s="9"/>
      <c r="DG142" s="9"/>
      <c r="DH142" s="9"/>
      <c r="DI142" s="9"/>
      <c r="DJ142" s="9"/>
      <c r="DK142" s="9"/>
      <c r="DL142" s="9"/>
      <c r="DM142" s="9"/>
      <c r="DN142" s="9"/>
      <c r="DO142" s="9"/>
      <c r="DP142" s="9"/>
      <c r="DQ142" s="9"/>
      <c r="DR142" s="9"/>
      <c r="DS142" s="9"/>
      <c r="DT142" s="9"/>
      <c r="DU142" s="9"/>
      <c r="DV142" s="9"/>
      <c r="DW142" s="9"/>
      <c r="DX142" s="9"/>
      <c r="DY142" s="9"/>
      <c r="DZ142" s="9"/>
      <c r="EA142" s="9"/>
      <c r="EB142" s="9"/>
      <c r="EC142" s="9"/>
      <c r="ED142" s="9"/>
      <c r="EE142" s="9"/>
      <c r="EF142" s="9"/>
      <c r="EG142" s="9"/>
      <c r="EH142" s="9"/>
      <c r="EI142" s="9"/>
      <c r="EJ142" s="9"/>
      <c r="EK142" s="9"/>
      <c r="EL142" s="9"/>
      <c r="EM142" s="9"/>
      <c r="EN142" s="9"/>
      <c r="EO142" s="9"/>
      <c r="EP142" s="9"/>
      <c r="EQ142" s="9"/>
      <c r="ER142" s="9"/>
      <c r="ES142" s="9"/>
      <c r="ET142" s="9"/>
      <c r="EU142" s="9"/>
      <c r="EV142" s="9"/>
      <c r="EW142" s="9"/>
      <c r="EX142" s="9"/>
      <c r="EY142" s="9"/>
      <c r="EZ142" s="9"/>
      <c r="FA142" s="9"/>
      <c r="FB142" s="9"/>
      <c r="FC142" s="9"/>
      <c r="FD142" s="9"/>
      <c r="FE142" s="9"/>
      <c r="FF142" s="9"/>
      <c r="FG142" s="9"/>
      <c r="FH142" s="9"/>
      <c r="FI142" s="9"/>
      <c r="FJ142" s="9"/>
      <c r="FK142" s="9"/>
      <c r="FL142" s="9"/>
      <c r="FM142" s="9"/>
      <c r="FN142" s="9"/>
      <c r="FO142" s="9"/>
      <c r="FP142" s="9"/>
      <c r="FQ142" s="9"/>
      <c r="FR142" s="9"/>
      <c r="FS142" s="9"/>
      <c r="FT142" s="9"/>
      <c r="FU142" s="9"/>
      <c r="FV142" s="9"/>
      <c r="FW142" s="9"/>
      <c r="FX142" s="9"/>
      <c r="FY142" s="9"/>
      <c r="FZ142" s="9"/>
      <c r="GA142" s="9"/>
      <c r="GB142" s="9"/>
      <c r="GC142" s="9"/>
      <c r="GD142" s="9"/>
      <c r="GE142" s="9"/>
      <c r="GF142" s="9"/>
      <c r="GG142" s="9"/>
      <c r="GH142" s="9"/>
      <c r="GI142" s="9"/>
      <c r="GJ142" s="9"/>
      <c r="GK142" s="9"/>
      <c r="GL142" s="9"/>
      <c r="GM142" s="9"/>
      <c r="GN142" s="9"/>
      <c r="GO142" s="9"/>
      <c r="GP142" s="9"/>
      <c r="GQ142" s="9"/>
      <c r="GR142" s="9"/>
      <c r="GS142" s="9"/>
      <c r="GT142" s="9"/>
      <c r="GU142" s="9"/>
      <c r="GV142" s="9"/>
      <c r="GW142" s="9"/>
      <c r="GX142" s="9"/>
      <c r="GY142" s="9"/>
      <c r="GZ142" s="9"/>
      <c r="HA142" s="9"/>
      <c r="HB142" s="9"/>
      <c r="HC142" s="9"/>
      <c r="HD142" s="9"/>
      <c r="HE142" s="9"/>
      <c r="HF142" s="9"/>
      <c r="HG142" s="9"/>
      <c r="HH142" s="9"/>
      <c r="HI142" s="9"/>
      <c r="HJ142" s="9"/>
      <c r="HK142" s="9"/>
      <c r="HL142" s="9"/>
      <c r="HM142" s="9"/>
      <c r="HN142" s="9"/>
      <c r="HO142" s="9"/>
      <c r="HP142" s="9"/>
      <c r="HQ142" s="9"/>
      <c r="HR142" s="9"/>
      <c r="HS142" s="9"/>
      <c r="HT142" s="9"/>
      <c r="HU142" s="9"/>
      <c r="HV142" s="9"/>
      <c r="HW142" s="9"/>
      <c r="HX142" s="9"/>
      <c r="HY142" s="9"/>
      <c r="HZ142" s="9"/>
      <c r="IA142" s="9"/>
      <c r="IB142" s="9"/>
      <c r="IC142" s="9"/>
      <c r="ID142" s="9"/>
      <c r="IE142" s="9"/>
      <c r="IF142" s="9"/>
      <c r="IG142" s="9"/>
      <c r="IH142" s="9"/>
      <c r="II142" s="9"/>
      <c r="IJ142" s="9"/>
      <c r="IK142" s="9"/>
      <c r="IL142" s="9"/>
      <c r="IM142" s="9"/>
      <c r="IN142" s="9"/>
      <c r="IO142" s="9"/>
      <c r="IP142" s="9"/>
      <c r="IQ142" s="9"/>
      <c r="IR142" s="9"/>
      <c r="IS142" s="9"/>
      <c r="IT142" s="9"/>
      <c r="IU142" s="9"/>
      <c r="IV142" s="9"/>
      <c r="IW142" s="9"/>
      <c r="IX142" s="9"/>
      <c r="IY142" s="9"/>
      <c r="IZ142" s="9"/>
      <c r="JA142" s="9"/>
      <c r="JB142" s="9"/>
      <c r="JC142" s="9"/>
      <c r="JD142" s="9"/>
      <c r="JE142" s="9"/>
      <c r="JF142" s="9"/>
      <c r="JG142" s="9"/>
      <c r="JH142" s="9"/>
      <c r="JI142" s="9"/>
      <c r="JJ142" s="9"/>
      <c r="JK142" s="9"/>
      <c r="JL142" s="9"/>
      <c r="JM142" s="9"/>
      <c r="JN142" s="9"/>
      <c r="JO142" s="9"/>
      <c r="JP142" s="9"/>
      <c r="JQ142" s="9"/>
      <c r="JR142" s="9"/>
      <c r="JS142" s="9"/>
      <c r="JT142" s="9"/>
      <c r="JU142" s="9"/>
      <c r="JV142" s="9"/>
      <c r="JW142" s="9"/>
      <c r="JX142" s="9"/>
      <c r="JY142" s="9"/>
      <c r="JZ142" s="9"/>
      <c r="KA142" s="9"/>
      <c r="KB142" s="9"/>
      <c r="KC142" s="9"/>
      <c r="KD142" s="9"/>
      <c r="KE142" s="9"/>
      <c r="KF142" s="9"/>
      <c r="KG142" s="9"/>
      <c r="KH142" s="9"/>
      <c r="KI142" s="9"/>
      <c r="KJ142" s="9"/>
      <c r="KK142" s="9"/>
      <c r="KL142" s="9"/>
      <c r="KM142" s="9"/>
      <c r="KN142" s="9"/>
      <c r="KO142" s="9"/>
      <c r="KP142" s="9"/>
      <c r="KQ142" s="9"/>
      <c r="KR142" s="9"/>
      <c r="KS142" s="9"/>
      <c r="KT142" s="9"/>
      <c r="KU142" s="9"/>
      <c r="KV142" s="9"/>
      <c r="KW142" s="9"/>
      <c r="KX142" s="9"/>
      <c r="KY142" s="9"/>
      <c r="KZ142" s="9"/>
      <c r="LA142" s="9"/>
      <c r="LB142" s="9"/>
      <c r="LC142" s="9"/>
      <c r="LD142" s="9"/>
      <c r="LE142" s="9"/>
      <c r="LF142" s="9"/>
      <c r="LG142" s="9"/>
      <c r="LH142" s="9"/>
      <c r="LI142" s="9"/>
      <c r="LJ142" s="9"/>
      <c r="LK142" s="9"/>
      <c r="LL142" s="9"/>
      <c r="LM142" s="9"/>
      <c r="LN142" s="9"/>
      <c r="LO142" s="9"/>
      <c r="LP142" s="9"/>
      <c r="LQ142" s="9"/>
      <c r="LR142" s="9"/>
      <c r="LS142" s="9"/>
      <c r="LT142" s="9"/>
      <c r="LU142" s="9"/>
      <c r="LV142" s="9"/>
      <c r="LW142" s="9"/>
      <c r="LX142" s="9"/>
      <c r="LY142" s="9"/>
      <c r="LZ142" s="9"/>
      <c r="MA142" s="9"/>
      <c r="MB142" s="9"/>
      <c r="MC142" s="9"/>
      <c r="MD142" s="9"/>
      <c r="ME142" s="9"/>
      <c r="MF142" s="9"/>
      <c r="MG142" s="9"/>
      <c r="MH142" s="9"/>
      <c r="MI142" s="9"/>
      <c r="MJ142" s="9"/>
      <c r="MK142" s="9"/>
      <c r="ML142" s="9"/>
      <c r="MM142" s="9"/>
      <c r="MN142" s="9"/>
      <c r="MO142" s="9"/>
      <c r="MP142" s="9"/>
      <c r="MQ142" s="9"/>
      <c r="MR142" s="9"/>
      <c r="MS142" s="9"/>
      <c r="MT142" s="9"/>
      <c r="MU142" s="9"/>
      <c r="MV142" s="9"/>
      <c r="MW142" s="9"/>
      <c r="MX142" s="9"/>
      <c r="MY142" s="9"/>
      <c r="MZ142" s="9"/>
      <c r="NA142" s="9"/>
      <c r="NB142" s="9"/>
      <c r="NC142" s="9"/>
      <c r="ND142" s="9"/>
      <c r="NE142" s="9"/>
      <c r="NF142" s="9"/>
      <c r="NG142" s="9"/>
      <c r="NH142" s="9"/>
      <c r="NI142" s="9"/>
      <c r="NJ142" s="9"/>
      <c r="NK142" s="9"/>
      <c r="NL142" s="9"/>
      <c r="NM142" s="9"/>
      <c r="NN142" s="9"/>
      <c r="NO142" s="9"/>
      <c r="NP142" s="9"/>
      <c r="NQ142" s="9"/>
      <c r="NR142" s="9"/>
      <c r="NS142" s="9"/>
      <c r="NT142" s="9"/>
      <c r="NU142" s="9"/>
      <c r="NV142" s="9"/>
      <c r="NW142" s="9"/>
      <c r="NX142" s="9"/>
      <c r="NY142" s="9"/>
      <c r="NZ142" s="9"/>
      <c r="OA142" s="9"/>
      <c r="OB142" s="9"/>
      <c r="OC142" s="9"/>
      <c r="OD142" s="9"/>
      <c r="OE142" s="9"/>
      <c r="OF142" s="9"/>
      <c r="OG142" s="9"/>
      <c r="OH142" s="9"/>
      <c r="OI142" s="9"/>
      <c r="OJ142" s="9"/>
      <c r="OK142" s="9"/>
      <c r="OL142" s="9"/>
      <c r="OM142" s="9"/>
      <c r="ON142" s="9"/>
      <c r="OO142" s="9"/>
      <c r="OP142" s="9"/>
      <c r="OQ142" s="9"/>
      <c r="OR142" s="9"/>
      <c r="OS142" s="9"/>
      <c r="OT142" s="9"/>
      <c r="OU142" s="9"/>
      <c r="OV142" s="9"/>
      <c r="OW142" s="9"/>
      <c r="OX142" s="9"/>
      <c r="OY142" s="9"/>
      <c r="OZ142" s="9"/>
      <c r="PA142" s="9"/>
      <c r="PB142" s="9"/>
      <c r="PC142" s="9"/>
      <c r="PD142" s="9"/>
      <c r="PE142" s="9"/>
      <c r="PF142" s="9"/>
      <c r="PG142" s="9"/>
      <c r="PH142" s="9"/>
      <c r="PI142" s="9"/>
      <c r="PJ142" s="9"/>
      <c r="PK142" s="9"/>
      <c r="PL142" s="9"/>
      <c r="PM142" s="9"/>
      <c r="PN142" s="9"/>
      <c r="PO142" s="9"/>
      <c r="PP142" s="9"/>
      <c r="PQ142" s="9"/>
      <c r="PR142" s="9"/>
      <c r="PS142" s="9"/>
      <c r="PT142" s="9"/>
      <c r="PU142" s="9"/>
      <c r="PV142" s="9"/>
      <c r="PW142" s="9"/>
      <c r="PX142" s="9"/>
      <c r="PY142" s="9"/>
      <c r="PZ142" s="9"/>
      <c r="QA142" s="9"/>
      <c r="QB142" s="9"/>
      <c r="QC142" s="9"/>
      <c r="QD142" s="9"/>
      <c r="QE142" s="9"/>
      <c r="QF142" s="9"/>
      <c r="QG142" s="9"/>
      <c r="QH142" s="9"/>
      <c r="QI142" s="9"/>
      <c r="QJ142" s="9"/>
      <c r="QK142" s="9"/>
      <c r="QL142" s="9"/>
      <c r="QM142" s="9"/>
      <c r="QN142" s="9"/>
      <c r="QO142" s="9"/>
      <c r="QP142" s="9"/>
      <c r="QQ142" s="9"/>
      <c r="QR142" s="9"/>
      <c r="QS142" s="9"/>
      <c r="QT142" s="9"/>
      <c r="QU142" s="9"/>
      <c r="QV142" s="9"/>
      <c r="QW142" s="9"/>
      <c r="QX142" s="9"/>
      <c r="QY142" s="9"/>
      <c r="QZ142" s="9"/>
      <c r="RA142" s="9"/>
      <c r="RB142" s="9"/>
      <c r="RC142" s="9"/>
      <c r="RD142" s="9"/>
      <c r="RE142" s="9"/>
      <c r="RF142" s="9"/>
      <c r="RG142" s="9"/>
      <c r="RH142" s="9"/>
      <c r="RI142" s="9"/>
      <c r="RJ142" s="9"/>
      <c r="RK142" s="9"/>
      <c r="RL142" s="9"/>
      <c r="RM142" s="9"/>
      <c r="RN142" s="9"/>
      <c r="RO142" s="9"/>
      <c r="RP142" s="9"/>
      <c r="RQ142" s="9"/>
      <c r="RR142" s="9"/>
      <c r="RS142" s="9"/>
      <c r="RT142" s="9"/>
      <c r="RU142" s="9"/>
      <c r="RV142" s="9"/>
      <c r="RW142" s="9"/>
      <c r="RX142" s="9"/>
      <c r="RY142" s="9"/>
      <c r="RZ142" s="9"/>
      <c r="SA142" s="9"/>
      <c r="SB142" s="9"/>
      <c r="SC142" s="9"/>
      <c r="SD142" s="9"/>
      <c r="SE142" s="9"/>
      <c r="SF142" s="9"/>
      <c r="SG142" s="9"/>
      <c r="SH142" s="9"/>
      <c r="SI142" s="9"/>
      <c r="SJ142" s="9"/>
      <c r="SK142" s="8"/>
      <c r="SL142" s="8"/>
      <c r="SM142" s="8"/>
      <c r="SN142" s="8"/>
      <c r="SO142" s="8"/>
      <c r="SP142" s="8"/>
      <c r="SQ142" s="8"/>
      <c r="SR142" s="8"/>
      <c r="SS142" s="8"/>
      <c r="ST142" s="8"/>
      <c r="SU142" s="8"/>
      <c r="SV142" s="8"/>
      <c r="SW142" s="8"/>
      <c r="SX142" s="8"/>
      <c r="SY142" s="8"/>
      <c r="SZ142" s="8"/>
      <c r="TA142" s="8"/>
      <c r="TB142" s="8"/>
      <c r="TC142" s="8"/>
      <c r="TD142" s="8"/>
      <c r="TE142" s="8"/>
      <c r="TF142" s="8"/>
      <c r="TG142" s="8"/>
      <c r="TH142" s="8"/>
      <c r="TI142" s="8"/>
      <c r="TJ142" s="8"/>
      <c r="TK142" s="8"/>
      <c r="TL142" s="8"/>
      <c r="TM142" s="8"/>
      <c r="TN142" s="8"/>
      <c r="TO142" s="8"/>
    </row>
    <row r="143" spans="1:535" x14ac:dyDescent="0.2">
      <c r="A143" s="7"/>
      <c r="B143" s="15"/>
      <c r="C143" s="15"/>
      <c r="D143" s="15"/>
      <c r="E143" s="15"/>
      <c r="F143" s="15"/>
      <c r="G143" s="15"/>
      <c r="H143" s="15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  <c r="CJ143" s="9"/>
      <c r="CK143" s="9"/>
      <c r="CL143" s="9"/>
      <c r="CM143" s="9"/>
      <c r="CN143" s="9"/>
      <c r="CO143" s="9"/>
      <c r="CP143" s="9"/>
      <c r="CQ143" s="9"/>
      <c r="CR143" s="9"/>
      <c r="CS143" s="9"/>
      <c r="CT143" s="9"/>
      <c r="CU143" s="9"/>
      <c r="CV143" s="9"/>
      <c r="CW143" s="9"/>
      <c r="CX143" s="9"/>
      <c r="CY143" s="9"/>
      <c r="CZ143" s="9"/>
      <c r="DA143" s="9"/>
      <c r="DB143" s="9"/>
      <c r="DC143" s="9"/>
      <c r="DD143" s="9"/>
      <c r="DE143" s="9"/>
      <c r="DF143" s="9"/>
      <c r="DG143" s="9"/>
      <c r="DH143" s="9"/>
      <c r="DI143" s="9"/>
      <c r="DJ143" s="9"/>
      <c r="DK143" s="9"/>
      <c r="DL143" s="9"/>
      <c r="DM143" s="9"/>
      <c r="DN143" s="9"/>
      <c r="DO143" s="9"/>
      <c r="DP143" s="9"/>
      <c r="DQ143" s="9"/>
      <c r="DR143" s="9"/>
      <c r="DS143" s="9"/>
      <c r="DT143" s="9"/>
      <c r="DU143" s="9"/>
      <c r="DV143" s="9"/>
      <c r="DW143" s="9"/>
      <c r="DX143" s="9"/>
      <c r="DY143" s="9"/>
      <c r="DZ143" s="9"/>
      <c r="EA143" s="9"/>
      <c r="EB143" s="9"/>
      <c r="EC143" s="9"/>
      <c r="ED143" s="9"/>
      <c r="EE143" s="9"/>
      <c r="EF143" s="9"/>
      <c r="EG143" s="9"/>
      <c r="EH143" s="9"/>
      <c r="EI143" s="9"/>
      <c r="EJ143" s="9"/>
      <c r="EK143" s="9"/>
      <c r="EL143" s="9"/>
      <c r="EM143" s="9"/>
      <c r="EN143" s="9"/>
      <c r="EO143" s="9"/>
      <c r="EP143" s="9"/>
      <c r="EQ143" s="9"/>
      <c r="ER143" s="9"/>
      <c r="ES143" s="9"/>
      <c r="ET143" s="9"/>
      <c r="EU143" s="9"/>
      <c r="EV143" s="9"/>
      <c r="EW143" s="9"/>
      <c r="EX143" s="9"/>
      <c r="EY143" s="9"/>
      <c r="EZ143" s="9"/>
      <c r="FA143" s="9"/>
      <c r="FB143" s="9"/>
      <c r="FC143" s="9"/>
      <c r="FD143" s="9"/>
      <c r="FE143" s="9"/>
      <c r="FF143" s="9"/>
      <c r="FG143" s="9"/>
      <c r="FH143" s="9"/>
      <c r="FI143" s="9"/>
      <c r="FJ143" s="9"/>
      <c r="FK143" s="9"/>
      <c r="FL143" s="9"/>
      <c r="FM143" s="9"/>
      <c r="FN143" s="9"/>
      <c r="FO143" s="9"/>
      <c r="FP143" s="9"/>
      <c r="FQ143" s="9"/>
      <c r="FR143" s="9"/>
      <c r="FS143" s="9"/>
      <c r="FT143" s="9"/>
      <c r="FU143" s="9"/>
      <c r="FV143" s="9"/>
      <c r="FW143" s="9"/>
      <c r="FX143" s="9"/>
      <c r="FY143" s="9"/>
      <c r="FZ143" s="9"/>
      <c r="GA143" s="9"/>
      <c r="GB143" s="9"/>
      <c r="GC143" s="9"/>
      <c r="GD143" s="9"/>
      <c r="GE143" s="9"/>
      <c r="GF143" s="9"/>
      <c r="GG143" s="9"/>
      <c r="GH143" s="9"/>
      <c r="GI143" s="9"/>
      <c r="GJ143" s="9"/>
      <c r="GK143" s="9"/>
      <c r="GL143" s="9"/>
      <c r="GM143" s="9"/>
      <c r="GN143" s="9"/>
      <c r="GO143" s="9"/>
      <c r="GP143" s="9"/>
      <c r="GQ143" s="9"/>
      <c r="GR143" s="9"/>
      <c r="GS143" s="9"/>
      <c r="GT143" s="9"/>
      <c r="GU143" s="9"/>
      <c r="GV143" s="9"/>
      <c r="GW143" s="9"/>
      <c r="GX143" s="9"/>
      <c r="GY143" s="9"/>
      <c r="GZ143" s="9"/>
      <c r="HA143" s="9"/>
      <c r="HB143" s="9"/>
      <c r="HC143" s="9"/>
      <c r="HD143" s="9"/>
      <c r="HE143" s="9"/>
      <c r="HF143" s="9"/>
      <c r="HG143" s="9"/>
      <c r="HH143" s="9"/>
      <c r="HI143" s="9"/>
      <c r="HJ143" s="9"/>
      <c r="HK143" s="9"/>
      <c r="HL143" s="9"/>
      <c r="HM143" s="9"/>
      <c r="HN143" s="9"/>
      <c r="HO143" s="9"/>
      <c r="HP143" s="9"/>
      <c r="HQ143" s="9"/>
      <c r="HR143" s="9"/>
      <c r="HS143" s="9"/>
      <c r="HT143" s="9"/>
      <c r="HU143" s="9"/>
      <c r="HV143" s="9"/>
      <c r="HW143" s="9"/>
      <c r="HX143" s="9"/>
      <c r="HY143" s="9"/>
      <c r="HZ143" s="9"/>
      <c r="IA143" s="9"/>
      <c r="IB143" s="9"/>
      <c r="IC143" s="9"/>
      <c r="ID143" s="9"/>
      <c r="IE143" s="9"/>
      <c r="IF143" s="9"/>
      <c r="IG143" s="9"/>
      <c r="IH143" s="9"/>
      <c r="II143" s="9"/>
      <c r="IJ143" s="9"/>
      <c r="IK143" s="9"/>
      <c r="IL143" s="9"/>
      <c r="IM143" s="9"/>
      <c r="IN143" s="9"/>
      <c r="IO143" s="9"/>
      <c r="IP143" s="9"/>
      <c r="IQ143" s="9"/>
      <c r="IR143" s="9"/>
      <c r="IS143" s="9"/>
      <c r="IT143" s="9"/>
      <c r="IU143" s="9"/>
      <c r="IV143" s="9"/>
      <c r="IW143" s="9"/>
      <c r="IX143" s="9"/>
      <c r="IY143" s="9"/>
      <c r="IZ143" s="9"/>
      <c r="JA143" s="9"/>
      <c r="JB143" s="9"/>
      <c r="JC143" s="9"/>
      <c r="JD143" s="9"/>
      <c r="JE143" s="9"/>
      <c r="JF143" s="9"/>
      <c r="JG143" s="9"/>
      <c r="JH143" s="9"/>
      <c r="JI143" s="9"/>
      <c r="JJ143" s="9"/>
      <c r="JK143" s="9"/>
      <c r="JL143" s="9"/>
      <c r="JM143" s="9"/>
      <c r="JN143" s="9"/>
      <c r="JO143" s="9"/>
      <c r="JP143" s="9"/>
      <c r="JQ143" s="9"/>
      <c r="JR143" s="9"/>
      <c r="JS143" s="9"/>
      <c r="JT143" s="9"/>
      <c r="JU143" s="9"/>
      <c r="JV143" s="9"/>
      <c r="JW143" s="9"/>
      <c r="JX143" s="9"/>
      <c r="JY143" s="9"/>
      <c r="JZ143" s="9"/>
      <c r="KA143" s="9"/>
      <c r="KB143" s="9"/>
      <c r="KC143" s="9"/>
      <c r="KD143" s="9"/>
      <c r="KE143" s="9"/>
      <c r="KF143" s="9"/>
      <c r="KG143" s="9"/>
      <c r="KH143" s="9"/>
      <c r="KI143" s="9"/>
      <c r="KJ143" s="9"/>
      <c r="KK143" s="9"/>
      <c r="KL143" s="9"/>
      <c r="KM143" s="9"/>
      <c r="KN143" s="9"/>
      <c r="KO143" s="9"/>
      <c r="KP143" s="9"/>
      <c r="KQ143" s="9"/>
      <c r="KR143" s="9"/>
      <c r="KS143" s="9"/>
      <c r="KT143" s="9"/>
      <c r="KU143" s="9"/>
      <c r="KV143" s="9"/>
      <c r="KW143" s="9"/>
      <c r="KX143" s="9"/>
      <c r="KY143" s="9"/>
      <c r="KZ143" s="9"/>
      <c r="LA143" s="9"/>
      <c r="LB143" s="9"/>
      <c r="LC143" s="9"/>
      <c r="LD143" s="9"/>
      <c r="LE143" s="9"/>
      <c r="LF143" s="9"/>
      <c r="LG143" s="9"/>
      <c r="LH143" s="9"/>
      <c r="LI143" s="9"/>
      <c r="LJ143" s="9"/>
      <c r="LK143" s="9"/>
      <c r="LL143" s="9"/>
      <c r="LM143" s="9"/>
      <c r="LN143" s="9"/>
      <c r="LO143" s="9"/>
      <c r="LP143" s="9"/>
      <c r="LQ143" s="9"/>
      <c r="LR143" s="9"/>
      <c r="LS143" s="9"/>
      <c r="LT143" s="9"/>
      <c r="LU143" s="9"/>
      <c r="LV143" s="9"/>
      <c r="LW143" s="9"/>
      <c r="LX143" s="9"/>
      <c r="LY143" s="9"/>
      <c r="LZ143" s="9"/>
      <c r="MA143" s="9"/>
      <c r="MB143" s="9"/>
      <c r="MC143" s="9"/>
      <c r="MD143" s="9"/>
      <c r="ME143" s="9"/>
      <c r="MF143" s="9"/>
      <c r="MG143" s="9"/>
      <c r="MH143" s="9"/>
      <c r="MI143" s="9"/>
      <c r="MJ143" s="9"/>
      <c r="MK143" s="9"/>
      <c r="ML143" s="9"/>
      <c r="MM143" s="9"/>
      <c r="MN143" s="9"/>
      <c r="MO143" s="9"/>
      <c r="MP143" s="9"/>
      <c r="MQ143" s="9"/>
      <c r="MR143" s="9"/>
      <c r="MS143" s="9"/>
      <c r="MT143" s="9"/>
      <c r="MU143" s="9"/>
      <c r="MV143" s="9"/>
      <c r="MW143" s="9"/>
      <c r="MX143" s="9"/>
      <c r="MY143" s="9"/>
      <c r="MZ143" s="9"/>
      <c r="NA143" s="9"/>
      <c r="NB143" s="9"/>
      <c r="NC143" s="9"/>
      <c r="ND143" s="9"/>
      <c r="NE143" s="9"/>
      <c r="NF143" s="9"/>
      <c r="NG143" s="9"/>
      <c r="NH143" s="9"/>
      <c r="NI143" s="9"/>
      <c r="NJ143" s="9"/>
      <c r="NK143" s="9"/>
      <c r="NL143" s="9"/>
      <c r="NM143" s="9"/>
      <c r="NN143" s="9"/>
      <c r="NO143" s="9"/>
      <c r="NP143" s="9"/>
      <c r="NQ143" s="9"/>
      <c r="NR143" s="9"/>
      <c r="NS143" s="9"/>
      <c r="NT143" s="9"/>
      <c r="NU143" s="9"/>
      <c r="NV143" s="9"/>
      <c r="NW143" s="9"/>
      <c r="NX143" s="9"/>
      <c r="NY143" s="9"/>
      <c r="NZ143" s="9"/>
      <c r="OA143" s="9"/>
      <c r="OB143" s="9"/>
      <c r="OC143" s="9"/>
      <c r="OD143" s="9"/>
      <c r="OE143" s="9"/>
      <c r="OF143" s="9"/>
      <c r="OG143" s="9"/>
      <c r="OH143" s="9"/>
      <c r="OI143" s="9"/>
      <c r="OJ143" s="9"/>
      <c r="OK143" s="9"/>
      <c r="OL143" s="9"/>
      <c r="OM143" s="9"/>
      <c r="ON143" s="9"/>
      <c r="OO143" s="9"/>
      <c r="OP143" s="9"/>
      <c r="OQ143" s="9"/>
      <c r="OR143" s="9"/>
      <c r="OS143" s="9"/>
      <c r="OT143" s="9"/>
      <c r="OU143" s="9"/>
      <c r="OV143" s="9"/>
      <c r="OW143" s="9"/>
      <c r="OX143" s="9"/>
      <c r="OY143" s="9"/>
      <c r="OZ143" s="9"/>
      <c r="PA143" s="9"/>
      <c r="PB143" s="9"/>
      <c r="PC143" s="9"/>
      <c r="PD143" s="9"/>
      <c r="PE143" s="9"/>
      <c r="PF143" s="9"/>
      <c r="PG143" s="9"/>
      <c r="PH143" s="9"/>
      <c r="PI143" s="9"/>
      <c r="PJ143" s="9"/>
      <c r="PK143" s="9"/>
      <c r="PL143" s="9"/>
      <c r="PM143" s="9"/>
      <c r="PN143" s="9"/>
      <c r="PO143" s="9"/>
      <c r="PP143" s="9"/>
      <c r="PQ143" s="9"/>
      <c r="PR143" s="9"/>
      <c r="PS143" s="9"/>
      <c r="PT143" s="9"/>
      <c r="PU143" s="9"/>
      <c r="PV143" s="9"/>
      <c r="PW143" s="9"/>
      <c r="PX143" s="9"/>
      <c r="PY143" s="9"/>
      <c r="PZ143" s="9"/>
      <c r="QA143" s="9"/>
      <c r="QB143" s="9"/>
      <c r="QC143" s="9"/>
      <c r="QD143" s="9"/>
      <c r="QE143" s="9"/>
      <c r="QF143" s="9"/>
      <c r="QG143" s="9"/>
      <c r="QH143" s="9"/>
      <c r="QI143" s="9"/>
      <c r="QJ143" s="9"/>
      <c r="QK143" s="9"/>
      <c r="QL143" s="9"/>
      <c r="QM143" s="9"/>
      <c r="QN143" s="9"/>
      <c r="QO143" s="9"/>
      <c r="QP143" s="9"/>
      <c r="QQ143" s="9"/>
      <c r="QR143" s="9"/>
      <c r="QS143" s="9"/>
      <c r="QT143" s="9"/>
      <c r="QU143" s="9"/>
      <c r="QV143" s="9"/>
      <c r="QW143" s="9"/>
      <c r="QX143" s="9"/>
      <c r="QY143" s="9"/>
      <c r="QZ143" s="9"/>
      <c r="RA143" s="9"/>
      <c r="RB143" s="9"/>
      <c r="RC143" s="9"/>
      <c r="RD143" s="9"/>
      <c r="RE143" s="9"/>
      <c r="RF143" s="9"/>
      <c r="RG143" s="9"/>
      <c r="RH143" s="9"/>
      <c r="RI143" s="9"/>
      <c r="RJ143" s="9"/>
      <c r="RK143" s="9"/>
      <c r="RL143" s="9"/>
      <c r="RM143" s="9"/>
      <c r="RN143" s="9"/>
      <c r="RO143" s="9"/>
      <c r="RP143" s="9"/>
      <c r="RQ143" s="9"/>
      <c r="RR143" s="9"/>
      <c r="RS143" s="9"/>
      <c r="RT143" s="9"/>
      <c r="RU143" s="9"/>
      <c r="RV143" s="9"/>
      <c r="RW143" s="9"/>
      <c r="RX143" s="9"/>
      <c r="RY143" s="9"/>
      <c r="RZ143" s="9"/>
      <c r="SA143" s="9"/>
      <c r="SB143" s="9"/>
      <c r="SC143" s="9"/>
      <c r="SD143" s="9"/>
      <c r="SE143" s="9"/>
      <c r="SF143" s="9"/>
      <c r="SG143" s="9"/>
      <c r="SH143" s="9"/>
      <c r="SI143" s="9"/>
      <c r="SJ143" s="9"/>
      <c r="SK143" s="8"/>
      <c r="SL143" s="8"/>
      <c r="SM143" s="8"/>
      <c r="SN143" s="8"/>
      <c r="SO143" s="8"/>
      <c r="SP143" s="8"/>
      <c r="SQ143" s="8"/>
      <c r="SR143" s="8"/>
      <c r="SS143" s="8"/>
      <c r="ST143" s="8"/>
      <c r="SU143" s="8"/>
      <c r="SV143" s="8"/>
      <c r="SW143" s="8"/>
      <c r="SX143" s="8"/>
      <c r="SY143" s="8"/>
      <c r="SZ143" s="8"/>
      <c r="TA143" s="8"/>
      <c r="TB143" s="8"/>
      <c r="TC143" s="8"/>
      <c r="TD143" s="8"/>
      <c r="TE143" s="8"/>
      <c r="TF143" s="8"/>
      <c r="TG143" s="8"/>
      <c r="TH143" s="8"/>
      <c r="TI143" s="8"/>
      <c r="TJ143" s="8"/>
      <c r="TK143" s="8"/>
      <c r="TL143" s="8"/>
      <c r="TM143" s="8"/>
      <c r="TN143" s="8"/>
      <c r="TO143" s="8"/>
    </row>
    <row r="144" spans="1:535" x14ac:dyDescent="0.2">
      <c r="A144" s="7"/>
      <c r="B144" s="15"/>
      <c r="C144" s="15"/>
      <c r="D144" s="15"/>
      <c r="E144" s="15"/>
      <c r="F144" s="15"/>
      <c r="G144" s="15"/>
      <c r="H144" s="15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9"/>
      <c r="EA144" s="9"/>
      <c r="EB144" s="9"/>
      <c r="EC144" s="9"/>
      <c r="ED144" s="9"/>
      <c r="EE144" s="9"/>
      <c r="EF144" s="9"/>
      <c r="EG144" s="9"/>
      <c r="EH144" s="9"/>
      <c r="EI144" s="9"/>
      <c r="EJ144" s="9"/>
      <c r="EK144" s="9"/>
      <c r="EL144" s="9"/>
      <c r="EM144" s="9"/>
      <c r="EN144" s="9"/>
      <c r="EO144" s="9"/>
      <c r="EP144" s="9"/>
      <c r="EQ144" s="9"/>
      <c r="ER144" s="9"/>
      <c r="ES144" s="9"/>
      <c r="ET144" s="9"/>
      <c r="EU144" s="9"/>
      <c r="EV144" s="9"/>
      <c r="EW144" s="9"/>
      <c r="EX144" s="9"/>
      <c r="EY144" s="9"/>
      <c r="EZ144" s="9"/>
      <c r="FA144" s="9"/>
      <c r="FB144" s="9"/>
      <c r="FC144" s="9"/>
      <c r="FD144" s="9"/>
      <c r="FE144" s="9"/>
      <c r="FF144" s="9"/>
      <c r="FG144" s="9"/>
      <c r="FH144" s="9"/>
      <c r="FI144" s="9"/>
      <c r="FJ144" s="9"/>
      <c r="FK144" s="9"/>
      <c r="FL144" s="9"/>
      <c r="FM144" s="9"/>
      <c r="FN144" s="9"/>
      <c r="FO144" s="9"/>
      <c r="FP144" s="9"/>
      <c r="FQ144" s="9"/>
      <c r="FR144" s="9"/>
      <c r="FS144" s="9"/>
      <c r="FT144" s="9"/>
      <c r="FU144" s="9"/>
      <c r="FV144" s="9"/>
      <c r="FW144" s="9"/>
      <c r="FX144" s="9"/>
      <c r="FY144" s="9"/>
      <c r="FZ144" s="9"/>
      <c r="GA144" s="9"/>
      <c r="GB144" s="9"/>
      <c r="GC144" s="9"/>
      <c r="GD144" s="9"/>
      <c r="GE144" s="9"/>
      <c r="GF144" s="9"/>
      <c r="GG144" s="9"/>
      <c r="GH144" s="9"/>
      <c r="GI144" s="9"/>
      <c r="GJ144" s="9"/>
      <c r="GK144" s="9"/>
      <c r="GL144" s="9"/>
      <c r="GM144" s="9"/>
      <c r="GN144" s="9"/>
      <c r="GO144" s="9"/>
      <c r="GP144" s="9"/>
      <c r="GQ144" s="9"/>
      <c r="GR144" s="9"/>
      <c r="GS144" s="9"/>
      <c r="GT144" s="9"/>
      <c r="GU144" s="9"/>
      <c r="GV144" s="9"/>
      <c r="GW144" s="9"/>
      <c r="GX144" s="9"/>
      <c r="GY144" s="9"/>
      <c r="GZ144" s="9"/>
      <c r="HA144" s="9"/>
      <c r="HB144" s="9"/>
      <c r="HC144" s="9"/>
      <c r="HD144" s="9"/>
      <c r="HE144" s="9"/>
      <c r="HF144" s="9"/>
      <c r="HG144" s="9"/>
      <c r="HH144" s="9"/>
      <c r="HI144" s="9"/>
      <c r="HJ144" s="9"/>
      <c r="HK144" s="9"/>
      <c r="HL144" s="9"/>
      <c r="HM144" s="9"/>
      <c r="HN144" s="9"/>
      <c r="HO144" s="9"/>
      <c r="HP144" s="9"/>
      <c r="HQ144" s="9"/>
      <c r="HR144" s="9"/>
      <c r="HS144" s="9"/>
      <c r="HT144" s="9"/>
      <c r="HU144" s="9"/>
      <c r="HV144" s="9"/>
      <c r="HW144" s="9"/>
      <c r="HX144" s="9"/>
      <c r="HY144" s="9"/>
      <c r="HZ144" s="9"/>
      <c r="IA144" s="9"/>
      <c r="IB144" s="9"/>
      <c r="IC144" s="9"/>
      <c r="ID144" s="9"/>
      <c r="IE144" s="9"/>
      <c r="IF144" s="9"/>
      <c r="IG144" s="9"/>
      <c r="IH144" s="9"/>
      <c r="II144" s="9"/>
      <c r="IJ144" s="9"/>
      <c r="IK144" s="9"/>
      <c r="IL144" s="9"/>
      <c r="IM144" s="9"/>
      <c r="IN144" s="9"/>
      <c r="IO144" s="9"/>
      <c r="IP144" s="9"/>
      <c r="IQ144" s="9"/>
      <c r="IR144" s="9"/>
      <c r="IS144" s="9"/>
      <c r="IT144" s="9"/>
      <c r="IU144" s="9"/>
      <c r="IV144" s="9"/>
      <c r="IW144" s="9"/>
      <c r="IX144" s="9"/>
      <c r="IY144" s="9"/>
      <c r="IZ144" s="9"/>
      <c r="JA144" s="9"/>
      <c r="JB144" s="9"/>
      <c r="JC144" s="9"/>
      <c r="JD144" s="9"/>
      <c r="JE144" s="9"/>
      <c r="JF144" s="9"/>
      <c r="JG144" s="9"/>
      <c r="JH144" s="9"/>
      <c r="JI144" s="9"/>
      <c r="JJ144" s="9"/>
      <c r="JK144" s="9"/>
      <c r="JL144" s="9"/>
      <c r="JM144" s="9"/>
      <c r="JN144" s="9"/>
      <c r="JO144" s="9"/>
      <c r="JP144" s="9"/>
      <c r="JQ144" s="9"/>
      <c r="JR144" s="9"/>
      <c r="JS144" s="9"/>
      <c r="JT144" s="9"/>
      <c r="JU144" s="9"/>
      <c r="JV144" s="9"/>
      <c r="JW144" s="9"/>
      <c r="JX144" s="9"/>
      <c r="JY144" s="9"/>
      <c r="JZ144" s="9"/>
      <c r="KA144" s="9"/>
      <c r="KB144" s="9"/>
      <c r="KC144" s="9"/>
      <c r="KD144" s="9"/>
      <c r="KE144" s="9"/>
      <c r="KF144" s="9"/>
      <c r="KG144" s="9"/>
      <c r="KH144" s="9"/>
      <c r="KI144" s="9"/>
      <c r="KJ144" s="9"/>
      <c r="KK144" s="9"/>
      <c r="KL144" s="9"/>
      <c r="KM144" s="9"/>
      <c r="KN144" s="9"/>
      <c r="KO144" s="9"/>
      <c r="KP144" s="9"/>
      <c r="KQ144" s="9"/>
      <c r="KR144" s="9"/>
      <c r="KS144" s="9"/>
      <c r="KT144" s="9"/>
      <c r="KU144" s="9"/>
      <c r="KV144" s="9"/>
      <c r="KW144" s="9"/>
      <c r="KX144" s="9"/>
      <c r="KY144" s="9"/>
      <c r="KZ144" s="9"/>
      <c r="LA144" s="9"/>
      <c r="LB144" s="9"/>
      <c r="LC144" s="9"/>
      <c r="LD144" s="9"/>
      <c r="LE144" s="9"/>
      <c r="LF144" s="9"/>
      <c r="LG144" s="9"/>
      <c r="LH144" s="9"/>
      <c r="LI144" s="9"/>
      <c r="LJ144" s="9"/>
      <c r="LK144" s="9"/>
      <c r="LL144" s="9"/>
      <c r="LM144" s="9"/>
      <c r="LN144" s="9"/>
      <c r="LO144" s="9"/>
      <c r="LP144" s="9"/>
      <c r="LQ144" s="9"/>
      <c r="LR144" s="9"/>
      <c r="LS144" s="9"/>
      <c r="LT144" s="9"/>
      <c r="LU144" s="9"/>
      <c r="LV144" s="9"/>
      <c r="LW144" s="9"/>
      <c r="LX144" s="9"/>
      <c r="LY144" s="9"/>
      <c r="LZ144" s="9"/>
      <c r="MA144" s="9"/>
      <c r="MB144" s="9"/>
      <c r="MC144" s="9"/>
      <c r="MD144" s="9"/>
      <c r="ME144" s="9"/>
      <c r="MF144" s="9"/>
      <c r="MG144" s="9"/>
      <c r="MH144" s="9"/>
      <c r="MI144" s="9"/>
      <c r="MJ144" s="9"/>
      <c r="MK144" s="9"/>
      <c r="ML144" s="9"/>
      <c r="MM144" s="9"/>
      <c r="MN144" s="9"/>
      <c r="MO144" s="9"/>
      <c r="MP144" s="9"/>
      <c r="MQ144" s="9"/>
      <c r="MR144" s="9"/>
      <c r="MS144" s="9"/>
      <c r="MT144" s="9"/>
      <c r="MU144" s="9"/>
      <c r="MV144" s="9"/>
      <c r="MW144" s="9"/>
      <c r="MX144" s="9"/>
      <c r="MY144" s="9"/>
      <c r="MZ144" s="9"/>
      <c r="NA144" s="9"/>
      <c r="NB144" s="9"/>
      <c r="NC144" s="9"/>
      <c r="ND144" s="9"/>
      <c r="NE144" s="9"/>
      <c r="NF144" s="9"/>
      <c r="NG144" s="9"/>
      <c r="NH144" s="9"/>
      <c r="NI144" s="9"/>
      <c r="NJ144" s="9"/>
      <c r="NK144" s="9"/>
      <c r="NL144" s="9"/>
      <c r="NM144" s="9"/>
      <c r="NN144" s="9"/>
      <c r="NO144" s="9"/>
      <c r="NP144" s="9"/>
      <c r="NQ144" s="9"/>
      <c r="NR144" s="9"/>
      <c r="NS144" s="9"/>
      <c r="NT144" s="9"/>
      <c r="NU144" s="9"/>
      <c r="NV144" s="9"/>
      <c r="NW144" s="9"/>
      <c r="NX144" s="9"/>
      <c r="NY144" s="9"/>
      <c r="NZ144" s="9"/>
      <c r="OA144" s="9"/>
      <c r="OB144" s="9"/>
      <c r="OC144" s="9"/>
      <c r="OD144" s="9"/>
      <c r="OE144" s="9"/>
      <c r="OF144" s="9"/>
      <c r="OG144" s="9"/>
      <c r="OH144" s="9"/>
      <c r="OI144" s="9"/>
      <c r="OJ144" s="9"/>
      <c r="OK144" s="9"/>
      <c r="OL144" s="9"/>
      <c r="OM144" s="9"/>
      <c r="ON144" s="9"/>
      <c r="OO144" s="9"/>
      <c r="OP144" s="9"/>
      <c r="OQ144" s="9"/>
      <c r="OR144" s="9"/>
      <c r="OS144" s="9"/>
      <c r="OT144" s="9"/>
      <c r="OU144" s="9"/>
      <c r="OV144" s="9"/>
      <c r="OW144" s="9"/>
      <c r="OX144" s="9"/>
      <c r="OY144" s="9"/>
      <c r="OZ144" s="9"/>
      <c r="PA144" s="9"/>
      <c r="PB144" s="9"/>
      <c r="PC144" s="9"/>
      <c r="PD144" s="9"/>
      <c r="PE144" s="9"/>
      <c r="PF144" s="9"/>
      <c r="PG144" s="9"/>
      <c r="PH144" s="9"/>
      <c r="PI144" s="9"/>
      <c r="PJ144" s="9"/>
      <c r="PK144" s="9"/>
      <c r="PL144" s="9"/>
      <c r="PM144" s="9"/>
      <c r="PN144" s="9"/>
      <c r="PO144" s="9"/>
      <c r="PP144" s="9"/>
      <c r="PQ144" s="9"/>
      <c r="PR144" s="9"/>
      <c r="PS144" s="9"/>
      <c r="PT144" s="9"/>
      <c r="PU144" s="9"/>
      <c r="PV144" s="9"/>
      <c r="PW144" s="9"/>
      <c r="PX144" s="9"/>
      <c r="PY144" s="9"/>
      <c r="PZ144" s="9"/>
      <c r="QA144" s="9"/>
      <c r="QB144" s="9"/>
      <c r="QC144" s="9"/>
      <c r="QD144" s="9"/>
      <c r="QE144" s="9"/>
      <c r="QF144" s="9"/>
      <c r="QG144" s="9"/>
      <c r="QH144" s="9"/>
      <c r="QI144" s="9"/>
      <c r="QJ144" s="9"/>
      <c r="QK144" s="9"/>
      <c r="QL144" s="9"/>
      <c r="QM144" s="9"/>
      <c r="QN144" s="9"/>
      <c r="QO144" s="9"/>
      <c r="QP144" s="9"/>
      <c r="QQ144" s="9"/>
      <c r="QR144" s="9"/>
      <c r="QS144" s="9"/>
      <c r="QT144" s="9"/>
      <c r="QU144" s="9"/>
      <c r="QV144" s="9"/>
      <c r="QW144" s="9"/>
      <c r="QX144" s="9"/>
      <c r="QY144" s="9"/>
      <c r="QZ144" s="9"/>
      <c r="RA144" s="9"/>
      <c r="RB144" s="9"/>
      <c r="RC144" s="9"/>
      <c r="RD144" s="9"/>
      <c r="RE144" s="9"/>
      <c r="RF144" s="9"/>
      <c r="RG144" s="9"/>
      <c r="RH144" s="9"/>
      <c r="RI144" s="9"/>
      <c r="RJ144" s="9"/>
      <c r="RK144" s="9"/>
      <c r="RL144" s="9"/>
      <c r="RM144" s="9"/>
      <c r="RN144" s="9"/>
      <c r="RO144" s="9"/>
      <c r="RP144" s="9"/>
      <c r="RQ144" s="9"/>
      <c r="RR144" s="9"/>
      <c r="RS144" s="9"/>
      <c r="RT144" s="9"/>
      <c r="RU144" s="9"/>
      <c r="RV144" s="9"/>
      <c r="RW144" s="9"/>
      <c r="RX144" s="9"/>
      <c r="RY144" s="9"/>
      <c r="RZ144" s="9"/>
      <c r="SA144" s="9"/>
      <c r="SB144" s="9"/>
      <c r="SC144" s="9"/>
      <c r="SD144" s="9"/>
      <c r="SE144" s="9"/>
      <c r="SF144" s="9"/>
      <c r="SG144" s="9"/>
      <c r="SH144" s="9"/>
      <c r="SI144" s="9"/>
      <c r="SJ144" s="9"/>
      <c r="SK144" s="8"/>
      <c r="SL144" s="8"/>
      <c r="SM144" s="8"/>
      <c r="SN144" s="8"/>
      <c r="SO144" s="8"/>
      <c r="SP144" s="8"/>
      <c r="SQ144" s="8"/>
      <c r="SR144" s="8"/>
      <c r="SS144" s="8"/>
      <c r="ST144" s="8"/>
      <c r="SU144" s="8"/>
      <c r="SV144" s="8"/>
      <c r="SW144" s="8"/>
      <c r="SX144" s="8"/>
      <c r="SY144" s="8"/>
      <c r="SZ144" s="8"/>
      <c r="TA144" s="8"/>
      <c r="TB144" s="8"/>
      <c r="TC144" s="8"/>
      <c r="TD144" s="8"/>
      <c r="TE144" s="8"/>
      <c r="TF144" s="8"/>
      <c r="TG144" s="8"/>
      <c r="TH144" s="8"/>
      <c r="TI144" s="8"/>
      <c r="TJ144" s="8"/>
      <c r="TK144" s="8"/>
      <c r="TL144" s="8"/>
      <c r="TM144" s="8"/>
      <c r="TN144" s="8"/>
      <c r="TO144" s="8"/>
    </row>
    <row r="145" spans="1:535" x14ac:dyDescent="0.2">
      <c r="A145" s="7"/>
      <c r="B145" s="15"/>
      <c r="C145" s="15"/>
      <c r="D145" s="15"/>
      <c r="E145" s="15"/>
      <c r="F145" s="15"/>
      <c r="G145" s="15"/>
      <c r="H145" s="15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9"/>
      <c r="DP145" s="9"/>
      <c r="DQ145" s="9"/>
      <c r="DR145" s="9"/>
      <c r="DS145" s="9"/>
      <c r="DT145" s="9"/>
      <c r="DU145" s="9"/>
      <c r="DV145" s="9"/>
      <c r="DW145" s="9"/>
      <c r="DX145" s="9"/>
      <c r="DY145" s="9"/>
      <c r="DZ145" s="9"/>
      <c r="EA145" s="9"/>
      <c r="EB145" s="9"/>
      <c r="EC145" s="9"/>
      <c r="ED145" s="9"/>
      <c r="EE145" s="9"/>
      <c r="EF145" s="9"/>
      <c r="EG145" s="9"/>
      <c r="EH145" s="9"/>
      <c r="EI145" s="9"/>
      <c r="EJ145" s="9"/>
      <c r="EK145" s="9"/>
      <c r="EL145" s="9"/>
      <c r="EM145" s="9"/>
      <c r="EN145" s="9"/>
      <c r="EO145" s="9"/>
      <c r="EP145" s="9"/>
      <c r="EQ145" s="9"/>
      <c r="ER145" s="9"/>
      <c r="ES145" s="9"/>
      <c r="ET145" s="9"/>
      <c r="EU145" s="9"/>
      <c r="EV145" s="9"/>
      <c r="EW145" s="9"/>
      <c r="EX145" s="9"/>
      <c r="EY145" s="9"/>
      <c r="EZ145" s="9"/>
      <c r="FA145" s="9"/>
      <c r="FB145" s="9"/>
      <c r="FC145" s="9"/>
      <c r="FD145" s="9"/>
      <c r="FE145" s="9"/>
      <c r="FF145" s="9"/>
      <c r="FG145" s="9"/>
      <c r="FH145" s="9"/>
      <c r="FI145" s="9"/>
      <c r="FJ145" s="9"/>
      <c r="FK145" s="9"/>
      <c r="FL145" s="9"/>
      <c r="FM145" s="9"/>
      <c r="FN145" s="9"/>
      <c r="FO145" s="9"/>
      <c r="FP145" s="9"/>
      <c r="FQ145" s="9"/>
      <c r="FR145" s="9"/>
      <c r="FS145" s="9"/>
      <c r="FT145" s="9"/>
      <c r="FU145" s="9"/>
      <c r="FV145" s="9"/>
      <c r="FW145" s="9"/>
      <c r="FX145" s="9"/>
      <c r="FY145" s="9"/>
      <c r="FZ145" s="9"/>
      <c r="GA145" s="9"/>
      <c r="GB145" s="9"/>
      <c r="GC145" s="9"/>
      <c r="GD145" s="9"/>
      <c r="GE145" s="9"/>
      <c r="GF145" s="9"/>
      <c r="GG145" s="9"/>
      <c r="GH145" s="9"/>
      <c r="GI145" s="9"/>
      <c r="GJ145" s="9"/>
      <c r="GK145" s="9"/>
      <c r="GL145" s="9"/>
      <c r="GM145" s="9"/>
      <c r="GN145" s="9"/>
      <c r="GO145" s="9"/>
      <c r="GP145" s="9"/>
      <c r="GQ145" s="9"/>
      <c r="GR145" s="9"/>
      <c r="GS145" s="9"/>
      <c r="GT145" s="9"/>
      <c r="GU145" s="9"/>
      <c r="GV145" s="9"/>
      <c r="GW145" s="9"/>
      <c r="GX145" s="9"/>
      <c r="GY145" s="9"/>
      <c r="GZ145" s="9"/>
      <c r="HA145" s="9"/>
      <c r="HB145" s="9"/>
      <c r="HC145" s="9"/>
      <c r="HD145" s="9"/>
      <c r="HE145" s="9"/>
      <c r="HF145" s="9"/>
      <c r="HG145" s="9"/>
      <c r="HH145" s="9"/>
      <c r="HI145" s="9"/>
      <c r="HJ145" s="9"/>
      <c r="HK145" s="9"/>
      <c r="HL145" s="9"/>
      <c r="HM145" s="9"/>
      <c r="HN145" s="9"/>
      <c r="HO145" s="9"/>
      <c r="HP145" s="9"/>
      <c r="HQ145" s="9"/>
      <c r="HR145" s="9"/>
      <c r="HS145" s="9"/>
      <c r="HT145" s="9"/>
      <c r="HU145" s="9"/>
      <c r="HV145" s="9"/>
      <c r="HW145" s="9"/>
      <c r="HX145" s="9"/>
      <c r="HY145" s="9"/>
      <c r="HZ145" s="9"/>
      <c r="IA145" s="9"/>
      <c r="IB145" s="9"/>
      <c r="IC145" s="9"/>
      <c r="ID145" s="9"/>
      <c r="IE145" s="9"/>
      <c r="IF145" s="9"/>
      <c r="IG145" s="9"/>
      <c r="IH145" s="9"/>
      <c r="II145" s="9"/>
      <c r="IJ145" s="9"/>
      <c r="IK145" s="9"/>
      <c r="IL145" s="9"/>
      <c r="IM145" s="9"/>
      <c r="IN145" s="9"/>
      <c r="IO145" s="9"/>
      <c r="IP145" s="9"/>
      <c r="IQ145" s="9"/>
      <c r="IR145" s="9"/>
      <c r="IS145" s="9"/>
      <c r="IT145" s="9"/>
      <c r="IU145" s="9"/>
      <c r="IV145" s="9"/>
      <c r="IW145" s="9"/>
      <c r="IX145" s="9"/>
      <c r="IY145" s="9"/>
      <c r="IZ145" s="9"/>
      <c r="JA145" s="9"/>
      <c r="JB145" s="9"/>
      <c r="JC145" s="9"/>
      <c r="JD145" s="9"/>
      <c r="JE145" s="9"/>
      <c r="JF145" s="9"/>
      <c r="JG145" s="9"/>
      <c r="JH145" s="9"/>
      <c r="JI145" s="9"/>
      <c r="JJ145" s="9"/>
      <c r="JK145" s="9"/>
      <c r="JL145" s="9"/>
      <c r="JM145" s="9"/>
      <c r="JN145" s="9"/>
      <c r="JO145" s="9"/>
      <c r="JP145" s="9"/>
      <c r="JQ145" s="9"/>
      <c r="JR145" s="9"/>
      <c r="JS145" s="9"/>
      <c r="JT145" s="9"/>
      <c r="JU145" s="9"/>
      <c r="JV145" s="9"/>
      <c r="JW145" s="9"/>
      <c r="JX145" s="9"/>
      <c r="JY145" s="9"/>
      <c r="JZ145" s="9"/>
      <c r="KA145" s="9"/>
      <c r="KB145" s="9"/>
      <c r="KC145" s="9"/>
      <c r="KD145" s="9"/>
      <c r="KE145" s="9"/>
      <c r="KF145" s="9"/>
      <c r="KG145" s="9"/>
      <c r="KH145" s="9"/>
      <c r="KI145" s="9"/>
      <c r="KJ145" s="9"/>
      <c r="KK145" s="9"/>
      <c r="KL145" s="9"/>
      <c r="KM145" s="9"/>
      <c r="KN145" s="9"/>
      <c r="KO145" s="9"/>
      <c r="KP145" s="9"/>
      <c r="KQ145" s="9"/>
      <c r="KR145" s="9"/>
      <c r="KS145" s="9"/>
      <c r="KT145" s="9"/>
      <c r="KU145" s="9"/>
      <c r="KV145" s="9"/>
      <c r="KW145" s="9"/>
      <c r="KX145" s="9"/>
      <c r="KY145" s="9"/>
      <c r="KZ145" s="9"/>
      <c r="LA145" s="9"/>
      <c r="LB145" s="9"/>
      <c r="LC145" s="9"/>
      <c r="LD145" s="9"/>
      <c r="LE145" s="9"/>
      <c r="LF145" s="9"/>
      <c r="LG145" s="9"/>
      <c r="LH145" s="9"/>
      <c r="LI145" s="9"/>
      <c r="LJ145" s="9"/>
      <c r="LK145" s="9"/>
      <c r="LL145" s="9"/>
      <c r="LM145" s="9"/>
      <c r="LN145" s="9"/>
      <c r="LO145" s="9"/>
      <c r="LP145" s="9"/>
      <c r="LQ145" s="9"/>
      <c r="LR145" s="9"/>
      <c r="LS145" s="9"/>
      <c r="LT145" s="9"/>
      <c r="LU145" s="9"/>
      <c r="LV145" s="9"/>
      <c r="LW145" s="9"/>
      <c r="LX145" s="9"/>
      <c r="LY145" s="9"/>
      <c r="LZ145" s="9"/>
      <c r="MA145" s="9"/>
      <c r="MB145" s="9"/>
      <c r="MC145" s="9"/>
      <c r="MD145" s="9"/>
      <c r="ME145" s="9"/>
      <c r="MF145" s="9"/>
      <c r="MG145" s="9"/>
      <c r="MH145" s="9"/>
      <c r="MI145" s="9"/>
      <c r="MJ145" s="9"/>
      <c r="MK145" s="9"/>
      <c r="ML145" s="9"/>
      <c r="MM145" s="9"/>
      <c r="MN145" s="9"/>
      <c r="MO145" s="9"/>
      <c r="MP145" s="9"/>
      <c r="MQ145" s="9"/>
      <c r="MR145" s="9"/>
      <c r="MS145" s="9"/>
      <c r="MT145" s="9"/>
      <c r="MU145" s="9"/>
      <c r="MV145" s="9"/>
      <c r="MW145" s="9"/>
      <c r="MX145" s="9"/>
      <c r="MY145" s="9"/>
      <c r="MZ145" s="9"/>
      <c r="NA145" s="9"/>
      <c r="NB145" s="9"/>
      <c r="NC145" s="9"/>
      <c r="ND145" s="9"/>
      <c r="NE145" s="9"/>
      <c r="NF145" s="9"/>
      <c r="NG145" s="9"/>
      <c r="NH145" s="9"/>
      <c r="NI145" s="9"/>
      <c r="NJ145" s="9"/>
      <c r="NK145" s="9"/>
      <c r="NL145" s="9"/>
      <c r="NM145" s="9"/>
      <c r="NN145" s="9"/>
      <c r="NO145" s="9"/>
      <c r="NP145" s="9"/>
      <c r="NQ145" s="9"/>
      <c r="NR145" s="9"/>
      <c r="NS145" s="9"/>
      <c r="NT145" s="9"/>
      <c r="NU145" s="9"/>
      <c r="NV145" s="9"/>
      <c r="NW145" s="9"/>
      <c r="NX145" s="9"/>
      <c r="NY145" s="9"/>
      <c r="NZ145" s="9"/>
      <c r="OA145" s="9"/>
      <c r="OB145" s="9"/>
      <c r="OC145" s="9"/>
      <c r="OD145" s="9"/>
      <c r="OE145" s="9"/>
      <c r="OF145" s="9"/>
      <c r="OG145" s="9"/>
      <c r="OH145" s="9"/>
      <c r="OI145" s="9"/>
      <c r="OJ145" s="9"/>
      <c r="OK145" s="9"/>
      <c r="OL145" s="9"/>
      <c r="OM145" s="9"/>
      <c r="ON145" s="9"/>
      <c r="OO145" s="9"/>
      <c r="OP145" s="9"/>
      <c r="OQ145" s="9"/>
      <c r="OR145" s="9"/>
      <c r="OS145" s="9"/>
      <c r="OT145" s="9"/>
      <c r="OU145" s="9"/>
      <c r="OV145" s="9"/>
      <c r="OW145" s="9"/>
      <c r="OX145" s="9"/>
      <c r="OY145" s="9"/>
      <c r="OZ145" s="9"/>
      <c r="PA145" s="9"/>
      <c r="PB145" s="9"/>
      <c r="PC145" s="9"/>
      <c r="PD145" s="9"/>
      <c r="PE145" s="9"/>
      <c r="PF145" s="9"/>
      <c r="PG145" s="9"/>
      <c r="PH145" s="9"/>
      <c r="PI145" s="9"/>
      <c r="PJ145" s="9"/>
      <c r="PK145" s="9"/>
      <c r="PL145" s="9"/>
      <c r="PM145" s="9"/>
      <c r="PN145" s="9"/>
      <c r="PO145" s="9"/>
      <c r="PP145" s="9"/>
      <c r="PQ145" s="9"/>
      <c r="PR145" s="9"/>
      <c r="PS145" s="9"/>
      <c r="PT145" s="9"/>
      <c r="PU145" s="9"/>
      <c r="PV145" s="9"/>
      <c r="PW145" s="9"/>
      <c r="PX145" s="9"/>
      <c r="PY145" s="9"/>
      <c r="PZ145" s="9"/>
      <c r="QA145" s="9"/>
      <c r="QB145" s="9"/>
      <c r="QC145" s="9"/>
      <c r="QD145" s="9"/>
      <c r="QE145" s="9"/>
      <c r="QF145" s="9"/>
      <c r="QG145" s="9"/>
      <c r="QH145" s="9"/>
      <c r="QI145" s="9"/>
      <c r="QJ145" s="9"/>
      <c r="QK145" s="9"/>
      <c r="QL145" s="9"/>
      <c r="QM145" s="9"/>
      <c r="QN145" s="9"/>
      <c r="QO145" s="9"/>
      <c r="QP145" s="9"/>
      <c r="QQ145" s="9"/>
      <c r="QR145" s="9"/>
      <c r="QS145" s="9"/>
      <c r="QT145" s="9"/>
      <c r="QU145" s="9"/>
      <c r="QV145" s="9"/>
      <c r="QW145" s="9"/>
      <c r="QX145" s="9"/>
      <c r="QY145" s="9"/>
      <c r="QZ145" s="9"/>
      <c r="RA145" s="9"/>
      <c r="RB145" s="9"/>
      <c r="RC145" s="9"/>
      <c r="RD145" s="9"/>
      <c r="RE145" s="9"/>
      <c r="RF145" s="9"/>
      <c r="RG145" s="9"/>
      <c r="RH145" s="9"/>
      <c r="RI145" s="9"/>
      <c r="RJ145" s="9"/>
      <c r="RK145" s="9"/>
      <c r="RL145" s="9"/>
      <c r="RM145" s="9"/>
      <c r="RN145" s="9"/>
      <c r="RO145" s="9"/>
      <c r="RP145" s="9"/>
      <c r="RQ145" s="9"/>
      <c r="RR145" s="9"/>
      <c r="RS145" s="9"/>
      <c r="RT145" s="9"/>
      <c r="RU145" s="9"/>
      <c r="RV145" s="9"/>
      <c r="RW145" s="9"/>
      <c r="RX145" s="9"/>
      <c r="RY145" s="9"/>
      <c r="RZ145" s="9"/>
      <c r="SA145" s="9"/>
      <c r="SB145" s="9"/>
      <c r="SC145" s="9"/>
      <c r="SD145" s="9"/>
      <c r="SE145" s="9"/>
      <c r="SF145" s="9"/>
      <c r="SG145" s="9"/>
      <c r="SH145" s="9"/>
      <c r="SI145" s="9"/>
      <c r="SJ145" s="9"/>
      <c r="SK145" s="8"/>
      <c r="SL145" s="8"/>
      <c r="SM145" s="8"/>
      <c r="SN145" s="8"/>
      <c r="SO145" s="8"/>
      <c r="SP145" s="8"/>
      <c r="SQ145" s="8"/>
      <c r="SR145" s="8"/>
      <c r="SS145" s="8"/>
      <c r="ST145" s="8"/>
      <c r="SU145" s="8"/>
      <c r="SV145" s="8"/>
      <c r="SW145" s="8"/>
      <c r="SX145" s="8"/>
      <c r="SY145" s="8"/>
      <c r="SZ145" s="8"/>
      <c r="TA145" s="8"/>
      <c r="TB145" s="8"/>
      <c r="TC145" s="8"/>
      <c r="TD145" s="8"/>
      <c r="TE145" s="8"/>
      <c r="TF145" s="8"/>
      <c r="TG145" s="8"/>
      <c r="TH145" s="8"/>
      <c r="TI145" s="8"/>
      <c r="TJ145" s="8"/>
      <c r="TK145" s="8"/>
      <c r="TL145" s="8"/>
      <c r="TM145" s="8"/>
      <c r="TN145" s="8"/>
      <c r="TO145" s="8"/>
    </row>
    <row r="146" spans="1:535" x14ac:dyDescent="0.2">
      <c r="A146" s="7"/>
      <c r="B146" s="15"/>
      <c r="C146" s="15"/>
      <c r="D146" s="15"/>
      <c r="E146" s="15"/>
      <c r="F146" s="15"/>
      <c r="G146" s="15"/>
      <c r="H146" s="15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9"/>
      <c r="CK146" s="9"/>
      <c r="CL146" s="9"/>
      <c r="CM146" s="9"/>
      <c r="CN146" s="9"/>
      <c r="CO146" s="9"/>
      <c r="CP146" s="9"/>
      <c r="CQ146" s="9"/>
      <c r="CR146" s="9"/>
      <c r="CS146" s="9"/>
      <c r="CT146" s="9"/>
      <c r="CU146" s="9"/>
      <c r="CV146" s="9"/>
      <c r="CW146" s="9"/>
      <c r="CX146" s="9"/>
      <c r="CY146" s="9"/>
      <c r="CZ146" s="9"/>
      <c r="DA146" s="9"/>
      <c r="DB146" s="9"/>
      <c r="DC146" s="9"/>
      <c r="DD146" s="9"/>
      <c r="DE146" s="9"/>
      <c r="DF146" s="9"/>
      <c r="DG146" s="9"/>
      <c r="DH146" s="9"/>
      <c r="DI146" s="9"/>
      <c r="DJ146" s="9"/>
      <c r="DK146" s="9"/>
      <c r="DL146" s="9"/>
      <c r="DM146" s="9"/>
      <c r="DN146" s="9"/>
      <c r="DO146" s="9"/>
      <c r="DP146" s="9"/>
      <c r="DQ146" s="9"/>
      <c r="DR146" s="9"/>
      <c r="DS146" s="9"/>
      <c r="DT146" s="9"/>
      <c r="DU146" s="9"/>
      <c r="DV146" s="9"/>
      <c r="DW146" s="9"/>
      <c r="DX146" s="9"/>
      <c r="DY146" s="9"/>
      <c r="DZ146" s="9"/>
      <c r="EA146" s="9"/>
      <c r="EB146" s="9"/>
      <c r="EC146" s="9"/>
      <c r="ED146" s="9"/>
      <c r="EE146" s="9"/>
      <c r="EF146" s="9"/>
      <c r="EG146" s="9"/>
      <c r="EH146" s="9"/>
      <c r="EI146" s="9"/>
      <c r="EJ146" s="9"/>
      <c r="EK146" s="9"/>
      <c r="EL146" s="9"/>
      <c r="EM146" s="9"/>
      <c r="EN146" s="9"/>
      <c r="EO146" s="9"/>
      <c r="EP146" s="9"/>
      <c r="EQ146" s="9"/>
      <c r="ER146" s="9"/>
      <c r="ES146" s="9"/>
      <c r="ET146" s="9"/>
      <c r="EU146" s="9"/>
      <c r="EV146" s="9"/>
      <c r="EW146" s="9"/>
      <c r="EX146" s="9"/>
      <c r="EY146" s="9"/>
      <c r="EZ146" s="9"/>
      <c r="FA146" s="9"/>
      <c r="FB146" s="9"/>
      <c r="FC146" s="9"/>
      <c r="FD146" s="9"/>
      <c r="FE146" s="9"/>
      <c r="FF146" s="9"/>
      <c r="FG146" s="9"/>
      <c r="FH146" s="9"/>
      <c r="FI146" s="9"/>
      <c r="FJ146" s="9"/>
      <c r="FK146" s="9"/>
      <c r="FL146" s="9"/>
      <c r="FM146" s="9"/>
      <c r="FN146" s="9"/>
      <c r="FO146" s="9"/>
      <c r="FP146" s="9"/>
      <c r="FQ146" s="9"/>
      <c r="FR146" s="9"/>
      <c r="FS146" s="9"/>
      <c r="FT146" s="9"/>
      <c r="FU146" s="9"/>
      <c r="FV146" s="9"/>
      <c r="FW146" s="9"/>
      <c r="FX146" s="9"/>
      <c r="FY146" s="9"/>
      <c r="FZ146" s="9"/>
      <c r="GA146" s="9"/>
      <c r="GB146" s="9"/>
      <c r="GC146" s="9"/>
      <c r="GD146" s="9"/>
      <c r="GE146" s="9"/>
      <c r="GF146" s="9"/>
      <c r="GG146" s="9"/>
      <c r="GH146" s="9"/>
      <c r="GI146" s="9"/>
      <c r="GJ146" s="9"/>
      <c r="GK146" s="9"/>
      <c r="GL146" s="9"/>
      <c r="GM146" s="9"/>
      <c r="GN146" s="9"/>
      <c r="GO146" s="9"/>
      <c r="GP146" s="9"/>
      <c r="GQ146" s="9"/>
      <c r="GR146" s="9"/>
      <c r="GS146" s="9"/>
      <c r="GT146" s="9"/>
      <c r="GU146" s="9"/>
      <c r="GV146" s="9"/>
      <c r="GW146" s="9"/>
      <c r="GX146" s="9"/>
      <c r="GY146" s="9"/>
      <c r="GZ146" s="9"/>
      <c r="HA146" s="9"/>
      <c r="HB146" s="9"/>
      <c r="HC146" s="9"/>
      <c r="HD146" s="9"/>
      <c r="HE146" s="9"/>
      <c r="HF146" s="9"/>
      <c r="HG146" s="9"/>
      <c r="HH146" s="9"/>
      <c r="HI146" s="9"/>
      <c r="HJ146" s="9"/>
      <c r="HK146" s="9"/>
      <c r="HL146" s="9"/>
      <c r="HM146" s="9"/>
      <c r="HN146" s="9"/>
      <c r="HO146" s="9"/>
      <c r="HP146" s="9"/>
      <c r="HQ146" s="9"/>
      <c r="HR146" s="9"/>
      <c r="HS146" s="9"/>
      <c r="HT146" s="9"/>
      <c r="HU146" s="9"/>
      <c r="HV146" s="9"/>
      <c r="HW146" s="9"/>
      <c r="HX146" s="9"/>
      <c r="HY146" s="9"/>
      <c r="HZ146" s="9"/>
      <c r="IA146" s="9"/>
      <c r="IB146" s="9"/>
      <c r="IC146" s="9"/>
      <c r="ID146" s="9"/>
      <c r="IE146" s="9"/>
      <c r="IF146" s="9"/>
      <c r="IG146" s="9"/>
      <c r="IH146" s="9"/>
      <c r="II146" s="9"/>
      <c r="IJ146" s="9"/>
      <c r="IK146" s="9"/>
      <c r="IL146" s="9"/>
      <c r="IM146" s="9"/>
      <c r="IN146" s="9"/>
      <c r="IO146" s="9"/>
      <c r="IP146" s="9"/>
      <c r="IQ146" s="9"/>
      <c r="IR146" s="9"/>
      <c r="IS146" s="9"/>
      <c r="IT146" s="9"/>
      <c r="IU146" s="9"/>
      <c r="IV146" s="9"/>
      <c r="IW146" s="9"/>
      <c r="IX146" s="9"/>
      <c r="IY146" s="9"/>
      <c r="IZ146" s="9"/>
      <c r="JA146" s="9"/>
      <c r="JB146" s="9"/>
      <c r="JC146" s="9"/>
      <c r="JD146" s="9"/>
      <c r="JE146" s="9"/>
      <c r="JF146" s="9"/>
      <c r="JG146" s="9"/>
      <c r="JH146" s="9"/>
      <c r="JI146" s="9"/>
      <c r="JJ146" s="9"/>
      <c r="JK146" s="9"/>
      <c r="JL146" s="9"/>
      <c r="JM146" s="9"/>
      <c r="JN146" s="9"/>
      <c r="JO146" s="9"/>
      <c r="JP146" s="9"/>
      <c r="JQ146" s="9"/>
      <c r="JR146" s="9"/>
      <c r="JS146" s="9"/>
      <c r="JT146" s="9"/>
      <c r="JU146" s="9"/>
      <c r="JV146" s="9"/>
      <c r="JW146" s="9"/>
      <c r="JX146" s="9"/>
      <c r="JY146" s="9"/>
      <c r="JZ146" s="9"/>
      <c r="KA146" s="9"/>
      <c r="KB146" s="9"/>
      <c r="KC146" s="9"/>
      <c r="KD146" s="9"/>
      <c r="KE146" s="9"/>
      <c r="KF146" s="9"/>
      <c r="KG146" s="9"/>
      <c r="KH146" s="9"/>
      <c r="KI146" s="9"/>
      <c r="KJ146" s="9"/>
      <c r="KK146" s="9"/>
      <c r="KL146" s="9"/>
      <c r="KM146" s="9"/>
      <c r="KN146" s="9"/>
      <c r="KO146" s="9"/>
      <c r="KP146" s="9"/>
      <c r="KQ146" s="9"/>
      <c r="KR146" s="9"/>
      <c r="KS146" s="9"/>
      <c r="KT146" s="9"/>
      <c r="KU146" s="9"/>
      <c r="KV146" s="9"/>
      <c r="KW146" s="9"/>
      <c r="KX146" s="9"/>
      <c r="KY146" s="9"/>
      <c r="KZ146" s="9"/>
      <c r="LA146" s="9"/>
      <c r="LB146" s="9"/>
      <c r="LC146" s="9"/>
      <c r="LD146" s="9"/>
      <c r="LE146" s="9"/>
      <c r="LF146" s="9"/>
      <c r="LG146" s="9"/>
      <c r="LH146" s="9"/>
      <c r="LI146" s="9"/>
      <c r="LJ146" s="9"/>
      <c r="LK146" s="9"/>
      <c r="LL146" s="9"/>
      <c r="LM146" s="9"/>
      <c r="LN146" s="9"/>
      <c r="LO146" s="9"/>
      <c r="LP146" s="9"/>
      <c r="LQ146" s="9"/>
      <c r="LR146" s="9"/>
      <c r="LS146" s="9"/>
      <c r="LT146" s="9"/>
      <c r="LU146" s="9"/>
      <c r="LV146" s="9"/>
      <c r="LW146" s="9"/>
      <c r="LX146" s="9"/>
      <c r="LY146" s="9"/>
      <c r="LZ146" s="9"/>
      <c r="MA146" s="9"/>
      <c r="MB146" s="9"/>
      <c r="MC146" s="9"/>
      <c r="MD146" s="9"/>
      <c r="ME146" s="9"/>
      <c r="MF146" s="9"/>
      <c r="MG146" s="9"/>
      <c r="MH146" s="9"/>
      <c r="MI146" s="9"/>
      <c r="MJ146" s="9"/>
      <c r="MK146" s="9"/>
      <c r="ML146" s="9"/>
      <c r="MM146" s="9"/>
      <c r="MN146" s="9"/>
      <c r="MO146" s="9"/>
      <c r="MP146" s="9"/>
      <c r="MQ146" s="9"/>
      <c r="MR146" s="9"/>
      <c r="MS146" s="9"/>
      <c r="MT146" s="9"/>
      <c r="MU146" s="9"/>
      <c r="MV146" s="9"/>
      <c r="MW146" s="9"/>
      <c r="MX146" s="9"/>
      <c r="MY146" s="9"/>
      <c r="MZ146" s="9"/>
      <c r="NA146" s="9"/>
      <c r="NB146" s="9"/>
      <c r="NC146" s="9"/>
      <c r="ND146" s="9"/>
      <c r="NE146" s="9"/>
      <c r="NF146" s="9"/>
      <c r="NG146" s="9"/>
      <c r="NH146" s="9"/>
      <c r="NI146" s="9"/>
      <c r="NJ146" s="9"/>
      <c r="NK146" s="9"/>
      <c r="NL146" s="9"/>
      <c r="NM146" s="9"/>
      <c r="NN146" s="9"/>
      <c r="NO146" s="9"/>
      <c r="NP146" s="9"/>
      <c r="NQ146" s="9"/>
      <c r="NR146" s="9"/>
      <c r="NS146" s="9"/>
      <c r="NT146" s="9"/>
      <c r="NU146" s="9"/>
      <c r="NV146" s="9"/>
      <c r="NW146" s="9"/>
      <c r="NX146" s="9"/>
      <c r="NY146" s="9"/>
      <c r="NZ146" s="9"/>
      <c r="OA146" s="9"/>
      <c r="OB146" s="9"/>
      <c r="OC146" s="9"/>
      <c r="OD146" s="9"/>
      <c r="OE146" s="9"/>
      <c r="OF146" s="9"/>
      <c r="OG146" s="9"/>
      <c r="OH146" s="9"/>
      <c r="OI146" s="9"/>
      <c r="OJ146" s="9"/>
      <c r="OK146" s="9"/>
      <c r="OL146" s="9"/>
      <c r="OM146" s="9"/>
      <c r="ON146" s="9"/>
      <c r="OO146" s="9"/>
      <c r="OP146" s="9"/>
      <c r="OQ146" s="9"/>
      <c r="OR146" s="9"/>
      <c r="OS146" s="9"/>
      <c r="OT146" s="9"/>
      <c r="OU146" s="9"/>
      <c r="OV146" s="9"/>
      <c r="OW146" s="9"/>
      <c r="OX146" s="9"/>
      <c r="OY146" s="9"/>
      <c r="OZ146" s="9"/>
      <c r="PA146" s="9"/>
      <c r="PB146" s="9"/>
      <c r="PC146" s="9"/>
      <c r="PD146" s="9"/>
      <c r="PE146" s="9"/>
      <c r="PF146" s="9"/>
      <c r="PG146" s="9"/>
      <c r="PH146" s="9"/>
      <c r="PI146" s="9"/>
      <c r="PJ146" s="9"/>
      <c r="PK146" s="9"/>
      <c r="PL146" s="9"/>
      <c r="PM146" s="9"/>
      <c r="PN146" s="9"/>
      <c r="PO146" s="9"/>
      <c r="PP146" s="9"/>
      <c r="PQ146" s="9"/>
      <c r="PR146" s="9"/>
      <c r="PS146" s="9"/>
      <c r="PT146" s="9"/>
      <c r="PU146" s="9"/>
      <c r="PV146" s="9"/>
      <c r="PW146" s="9"/>
      <c r="PX146" s="9"/>
      <c r="PY146" s="9"/>
      <c r="PZ146" s="9"/>
      <c r="QA146" s="9"/>
      <c r="QB146" s="9"/>
      <c r="QC146" s="9"/>
      <c r="QD146" s="9"/>
      <c r="QE146" s="9"/>
      <c r="QF146" s="9"/>
      <c r="QG146" s="9"/>
      <c r="QH146" s="9"/>
      <c r="QI146" s="9"/>
      <c r="QJ146" s="9"/>
      <c r="QK146" s="9"/>
      <c r="QL146" s="9"/>
      <c r="QM146" s="9"/>
      <c r="QN146" s="9"/>
      <c r="QO146" s="9"/>
      <c r="QP146" s="9"/>
      <c r="QQ146" s="9"/>
      <c r="QR146" s="9"/>
      <c r="QS146" s="9"/>
      <c r="QT146" s="9"/>
      <c r="QU146" s="9"/>
      <c r="QV146" s="9"/>
      <c r="QW146" s="9"/>
      <c r="QX146" s="9"/>
      <c r="QY146" s="9"/>
      <c r="QZ146" s="9"/>
      <c r="RA146" s="9"/>
      <c r="RB146" s="9"/>
      <c r="RC146" s="9"/>
      <c r="RD146" s="9"/>
      <c r="RE146" s="9"/>
      <c r="RF146" s="9"/>
      <c r="RG146" s="9"/>
      <c r="RH146" s="9"/>
      <c r="RI146" s="9"/>
      <c r="RJ146" s="9"/>
      <c r="RK146" s="9"/>
      <c r="RL146" s="9"/>
      <c r="RM146" s="9"/>
      <c r="RN146" s="9"/>
      <c r="RO146" s="9"/>
      <c r="RP146" s="9"/>
      <c r="RQ146" s="9"/>
      <c r="RR146" s="9"/>
      <c r="RS146" s="9"/>
      <c r="RT146" s="9"/>
      <c r="RU146" s="9"/>
      <c r="RV146" s="9"/>
      <c r="RW146" s="9"/>
      <c r="RX146" s="9"/>
      <c r="RY146" s="9"/>
      <c r="RZ146" s="9"/>
      <c r="SA146" s="9"/>
      <c r="SB146" s="9"/>
      <c r="SC146" s="9"/>
      <c r="SD146" s="9"/>
      <c r="SE146" s="9"/>
      <c r="SF146" s="9"/>
      <c r="SG146" s="9"/>
      <c r="SH146" s="9"/>
      <c r="SI146" s="9"/>
      <c r="SJ146" s="9"/>
      <c r="SK146" s="8"/>
      <c r="SL146" s="8"/>
      <c r="SM146" s="8"/>
      <c r="SN146" s="8"/>
      <c r="SO146" s="8"/>
      <c r="SP146" s="8"/>
      <c r="SQ146" s="8"/>
      <c r="SR146" s="8"/>
      <c r="SS146" s="8"/>
      <c r="ST146" s="8"/>
      <c r="SU146" s="8"/>
      <c r="SV146" s="8"/>
      <c r="SW146" s="8"/>
      <c r="SX146" s="8"/>
      <c r="SY146" s="8"/>
      <c r="SZ146" s="8"/>
      <c r="TA146" s="8"/>
      <c r="TB146" s="8"/>
      <c r="TC146" s="8"/>
      <c r="TD146" s="8"/>
      <c r="TE146" s="8"/>
      <c r="TF146" s="8"/>
      <c r="TG146" s="8"/>
      <c r="TH146" s="8"/>
      <c r="TI146" s="8"/>
      <c r="TJ146" s="8"/>
      <c r="TK146" s="8"/>
      <c r="TL146" s="8"/>
      <c r="TM146" s="8"/>
      <c r="TN146" s="8"/>
      <c r="TO146" s="8"/>
    </row>
    <row r="147" spans="1:535" x14ac:dyDescent="0.2">
      <c r="A147" s="7"/>
      <c r="B147" s="15"/>
      <c r="C147" s="15"/>
      <c r="D147" s="15"/>
      <c r="E147" s="15"/>
      <c r="F147" s="15"/>
      <c r="G147" s="15"/>
      <c r="H147" s="15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9"/>
      <c r="CK147" s="9"/>
      <c r="CL147" s="9"/>
      <c r="CM147" s="9"/>
      <c r="CN147" s="9"/>
      <c r="CO147" s="9"/>
      <c r="CP147" s="9"/>
      <c r="CQ147" s="9"/>
      <c r="CR147" s="9"/>
      <c r="CS147" s="9"/>
      <c r="CT147" s="9"/>
      <c r="CU147" s="9"/>
      <c r="CV147" s="9"/>
      <c r="CW147" s="9"/>
      <c r="CX147" s="9"/>
      <c r="CY147" s="9"/>
      <c r="CZ147" s="9"/>
      <c r="DA147" s="9"/>
      <c r="DB147" s="9"/>
      <c r="DC147" s="9"/>
      <c r="DD147" s="9"/>
      <c r="DE147" s="9"/>
      <c r="DF147" s="9"/>
      <c r="DG147" s="9"/>
      <c r="DH147" s="9"/>
      <c r="DI147" s="9"/>
      <c r="DJ147" s="9"/>
      <c r="DK147" s="9"/>
      <c r="DL147" s="9"/>
      <c r="DM147" s="9"/>
      <c r="DN147" s="9"/>
      <c r="DO147" s="9"/>
      <c r="DP147" s="9"/>
      <c r="DQ147" s="9"/>
      <c r="DR147" s="9"/>
      <c r="DS147" s="9"/>
      <c r="DT147" s="9"/>
      <c r="DU147" s="9"/>
      <c r="DV147" s="9"/>
      <c r="DW147" s="9"/>
      <c r="DX147" s="9"/>
      <c r="DY147" s="9"/>
      <c r="DZ147" s="9"/>
      <c r="EA147" s="9"/>
      <c r="EB147" s="9"/>
      <c r="EC147" s="9"/>
      <c r="ED147" s="9"/>
      <c r="EE147" s="9"/>
      <c r="EF147" s="9"/>
      <c r="EG147" s="9"/>
      <c r="EH147" s="9"/>
      <c r="EI147" s="9"/>
      <c r="EJ147" s="9"/>
      <c r="EK147" s="9"/>
      <c r="EL147" s="9"/>
      <c r="EM147" s="9"/>
      <c r="EN147" s="9"/>
      <c r="EO147" s="9"/>
      <c r="EP147" s="9"/>
      <c r="EQ147" s="9"/>
      <c r="ER147" s="9"/>
      <c r="ES147" s="9"/>
      <c r="ET147" s="9"/>
      <c r="EU147" s="9"/>
      <c r="EV147" s="9"/>
      <c r="EW147" s="9"/>
      <c r="EX147" s="9"/>
      <c r="EY147" s="9"/>
      <c r="EZ147" s="9"/>
      <c r="FA147" s="9"/>
      <c r="FB147" s="9"/>
      <c r="FC147" s="9"/>
      <c r="FD147" s="9"/>
      <c r="FE147" s="9"/>
      <c r="FF147" s="9"/>
      <c r="FG147" s="9"/>
      <c r="FH147" s="9"/>
      <c r="FI147" s="9"/>
      <c r="FJ147" s="9"/>
      <c r="FK147" s="9"/>
      <c r="FL147" s="9"/>
      <c r="FM147" s="9"/>
      <c r="FN147" s="9"/>
      <c r="FO147" s="9"/>
      <c r="FP147" s="9"/>
      <c r="FQ147" s="9"/>
      <c r="FR147" s="9"/>
      <c r="FS147" s="9"/>
      <c r="FT147" s="9"/>
      <c r="FU147" s="9"/>
      <c r="FV147" s="9"/>
      <c r="FW147" s="9"/>
      <c r="FX147" s="9"/>
      <c r="FY147" s="9"/>
      <c r="FZ147" s="9"/>
      <c r="GA147" s="9"/>
      <c r="GB147" s="9"/>
      <c r="GC147" s="9"/>
      <c r="GD147" s="9"/>
      <c r="GE147" s="9"/>
      <c r="GF147" s="9"/>
      <c r="GG147" s="9"/>
      <c r="GH147" s="9"/>
      <c r="GI147" s="9"/>
      <c r="GJ147" s="9"/>
      <c r="GK147" s="9"/>
      <c r="GL147" s="9"/>
      <c r="GM147" s="9"/>
      <c r="GN147" s="9"/>
      <c r="GO147" s="9"/>
      <c r="GP147" s="9"/>
      <c r="GQ147" s="9"/>
      <c r="GR147" s="9"/>
      <c r="GS147" s="9"/>
      <c r="GT147" s="9"/>
      <c r="GU147" s="9"/>
      <c r="GV147" s="9"/>
      <c r="GW147" s="9"/>
      <c r="GX147" s="9"/>
      <c r="GY147" s="9"/>
      <c r="GZ147" s="9"/>
      <c r="HA147" s="9"/>
      <c r="HB147" s="9"/>
      <c r="HC147" s="9"/>
      <c r="HD147" s="9"/>
      <c r="HE147" s="9"/>
      <c r="HF147" s="9"/>
      <c r="HG147" s="9"/>
      <c r="HH147" s="9"/>
      <c r="HI147" s="9"/>
      <c r="HJ147" s="9"/>
      <c r="HK147" s="9"/>
      <c r="HL147" s="9"/>
      <c r="HM147" s="9"/>
      <c r="HN147" s="9"/>
      <c r="HO147" s="9"/>
      <c r="HP147" s="9"/>
      <c r="HQ147" s="9"/>
      <c r="HR147" s="9"/>
      <c r="HS147" s="9"/>
      <c r="HT147" s="9"/>
      <c r="HU147" s="9"/>
      <c r="HV147" s="9"/>
      <c r="HW147" s="9"/>
      <c r="HX147" s="9"/>
      <c r="HY147" s="9"/>
      <c r="HZ147" s="9"/>
      <c r="IA147" s="9"/>
      <c r="IB147" s="9"/>
      <c r="IC147" s="9"/>
      <c r="ID147" s="9"/>
      <c r="IE147" s="9"/>
      <c r="IF147" s="9"/>
      <c r="IG147" s="9"/>
      <c r="IH147" s="9"/>
      <c r="II147" s="9"/>
      <c r="IJ147" s="9"/>
      <c r="IK147" s="9"/>
      <c r="IL147" s="9"/>
      <c r="IM147" s="9"/>
      <c r="IN147" s="9"/>
      <c r="IO147" s="9"/>
      <c r="IP147" s="9"/>
      <c r="IQ147" s="9"/>
      <c r="IR147" s="9"/>
      <c r="IS147" s="9"/>
      <c r="IT147" s="9"/>
      <c r="IU147" s="9"/>
      <c r="IV147" s="9"/>
      <c r="IW147" s="9"/>
      <c r="IX147" s="9"/>
      <c r="IY147" s="9"/>
      <c r="IZ147" s="9"/>
      <c r="JA147" s="9"/>
      <c r="JB147" s="9"/>
      <c r="JC147" s="9"/>
      <c r="JD147" s="9"/>
      <c r="JE147" s="9"/>
      <c r="JF147" s="9"/>
      <c r="JG147" s="9"/>
      <c r="JH147" s="9"/>
      <c r="JI147" s="9"/>
      <c r="JJ147" s="9"/>
      <c r="JK147" s="9"/>
      <c r="JL147" s="9"/>
      <c r="JM147" s="9"/>
      <c r="JN147" s="9"/>
      <c r="JO147" s="9"/>
      <c r="JP147" s="9"/>
      <c r="JQ147" s="9"/>
      <c r="JR147" s="9"/>
      <c r="JS147" s="9"/>
      <c r="JT147" s="9"/>
      <c r="JU147" s="9"/>
      <c r="JV147" s="9"/>
      <c r="JW147" s="9"/>
      <c r="JX147" s="9"/>
      <c r="JY147" s="9"/>
      <c r="JZ147" s="9"/>
      <c r="KA147" s="9"/>
      <c r="KB147" s="9"/>
      <c r="KC147" s="9"/>
      <c r="KD147" s="9"/>
      <c r="KE147" s="9"/>
      <c r="KF147" s="9"/>
      <c r="KG147" s="9"/>
      <c r="KH147" s="9"/>
      <c r="KI147" s="9"/>
      <c r="KJ147" s="9"/>
      <c r="KK147" s="9"/>
      <c r="KL147" s="9"/>
      <c r="KM147" s="9"/>
      <c r="KN147" s="9"/>
      <c r="KO147" s="9"/>
      <c r="KP147" s="9"/>
      <c r="KQ147" s="9"/>
      <c r="KR147" s="9"/>
      <c r="KS147" s="9"/>
      <c r="KT147" s="9"/>
      <c r="KU147" s="9"/>
      <c r="KV147" s="9"/>
      <c r="KW147" s="9"/>
      <c r="KX147" s="9"/>
      <c r="KY147" s="9"/>
      <c r="KZ147" s="9"/>
      <c r="LA147" s="9"/>
      <c r="LB147" s="9"/>
      <c r="LC147" s="9"/>
      <c r="LD147" s="9"/>
      <c r="LE147" s="9"/>
      <c r="LF147" s="9"/>
      <c r="LG147" s="9"/>
      <c r="LH147" s="9"/>
      <c r="LI147" s="9"/>
      <c r="LJ147" s="9"/>
      <c r="LK147" s="9"/>
      <c r="LL147" s="9"/>
      <c r="LM147" s="9"/>
      <c r="LN147" s="9"/>
      <c r="LO147" s="9"/>
      <c r="LP147" s="9"/>
      <c r="LQ147" s="9"/>
      <c r="LR147" s="9"/>
      <c r="LS147" s="9"/>
      <c r="LT147" s="9"/>
      <c r="LU147" s="9"/>
      <c r="LV147" s="9"/>
      <c r="LW147" s="9"/>
      <c r="LX147" s="9"/>
      <c r="LY147" s="9"/>
      <c r="LZ147" s="9"/>
      <c r="MA147" s="9"/>
      <c r="MB147" s="9"/>
      <c r="MC147" s="9"/>
      <c r="MD147" s="9"/>
      <c r="ME147" s="9"/>
      <c r="MF147" s="9"/>
      <c r="MG147" s="9"/>
      <c r="MH147" s="9"/>
      <c r="MI147" s="9"/>
      <c r="MJ147" s="9"/>
      <c r="MK147" s="9"/>
      <c r="ML147" s="9"/>
      <c r="MM147" s="9"/>
      <c r="MN147" s="9"/>
      <c r="MO147" s="9"/>
      <c r="MP147" s="9"/>
      <c r="MQ147" s="9"/>
      <c r="MR147" s="9"/>
      <c r="MS147" s="9"/>
      <c r="MT147" s="9"/>
      <c r="MU147" s="9"/>
      <c r="MV147" s="9"/>
      <c r="MW147" s="9"/>
      <c r="MX147" s="9"/>
      <c r="MY147" s="9"/>
      <c r="MZ147" s="9"/>
      <c r="NA147" s="9"/>
      <c r="NB147" s="9"/>
      <c r="NC147" s="9"/>
      <c r="ND147" s="9"/>
      <c r="NE147" s="9"/>
      <c r="NF147" s="9"/>
      <c r="NG147" s="9"/>
      <c r="NH147" s="9"/>
      <c r="NI147" s="9"/>
      <c r="NJ147" s="9"/>
      <c r="NK147" s="9"/>
      <c r="NL147" s="9"/>
      <c r="NM147" s="9"/>
      <c r="NN147" s="9"/>
      <c r="NO147" s="9"/>
      <c r="NP147" s="9"/>
      <c r="NQ147" s="9"/>
      <c r="NR147" s="9"/>
      <c r="NS147" s="9"/>
      <c r="NT147" s="9"/>
      <c r="NU147" s="9"/>
      <c r="NV147" s="9"/>
      <c r="NW147" s="9"/>
      <c r="NX147" s="9"/>
      <c r="NY147" s="9"/>
      <c r="NZ147" s="9"/>
      <c r="OA147" s="9"/>
      <c r="OB147" s="9"/>
      <c r="OC147" s="9"/>
      <c r="OD147" s="9"/>
      <c r="OE147" s="9"/>
      <c r="OF147" s="9"/>
      <c r="OG147" s="9"/>
      <c r="OH147" s="9"/>
      <c r="OI147" s="9"/>
      <c r="OJ147" s="9"/>
      <c r="OK147" s="9"/>
      <c r="OL147" s="9"/>
      <c r="OM147" s="9"/>
      <c r="ON147" s="9"/>
      <c r="OO147" s="9"/>
      <c r="OP147" s="9"/>
      <c r="OQ147" s="9"/>
      <c r="OR147" s="9"/>
      <c r="OS147" s="9"/>
      <c r="OT147" s="9"/>
      <c r="OU147" s="9"/>
      <c r="OV147" s="9"/>
      <c r="OW147" s="9"/>
      <c r="OX147" s="9"/>
      <c r="OY147" s="9"/>
      <c r="OZ147" s="9"/>
      <c r="PA147" s="9"/>
      <c r="PB147" s="9"/>
      <c r="PC147" s="9"/>
      <c r="PD147" s="9"/>
      <c r="PE147" s="9"/>
      <c r="PF147" s="9"/>
      <c r="PG147" s="9"/>
      <c r="PH147" s="9"/>
      <c r="PI147" s="9"/>
      <c r="PJ147" s="9"/>
      <c r="PK147" s="9"/>
      <c r="PL147" s="9"/>
      <c r="PM147" s="9"/>
      <c r="PN147" s="9"/>
      <c r="PO147" s="9"/>
      <c r="PP147" s="9"/>
      <c r="PQ147" s="9"/>
      <c r="PR147" s="9"/>
      <c r="PS147" s="9"/>
      <c r="PT147" s="9"/>
      <c r="PU147" s="9"/>
      <c r="PV147" s="9"/>
      <c r="PW147" s="9"/>
      <c r="PX147" s="9"/>
      <c r="PY147" s="9"/>
      <c r="PZ147" s="9"/>
      <c r="QA147" s="9"/>
      <c r="QB147" s="9"/>
      <c r="QC147" s="9"/>
      <c r="QD147" s="9"/>
      <c r="QE147" s="9"/>
      <c r="QF147" s="9"/>
      <c r="QG147" s="9"/>
      <c r="QH147" s="9"/>
      <c r="QI147" s="9"/>
      <c r="QJ147" s="9"/>
      <c r="QK147" s="9"/>
      <c r="QL147" s="9"/>
      <c r="QM147" s="9"/>
      <c r="QN147" s="9"/>
      <c r="QO147" s="9"/>
      <c r="QP147" s="9"/>
      <c r="QQ147" s="9"/>
      <c r="QR147" s="9"/>
      <c r="QS147" s="9"/>
      <c r="QT147" s="9"/>
      <c r="QU147" s="9"/>
      <c r="QV147" s="9"/>
      <c r="QW147" s="9"/>
      <c r="QX147" s="9"/>
      <c r="QY147" s="9"/>
      <c r="QZ147" s="9"/>
      <c r="RA147" s="9"/>
      <c r="RB147" s="9"/>
      <c r="RC147" s="9"/>
      <c r="RD147" s="9"/>
      <c r="RE147" s="9"/>
      <c r="RF147" s="9"/>
      <c r="RG147" s="9"/>
      <c r="RH147" s="9"/>
      <c r="RI147" s="9"/>
      <c r="RJ147" s="9"/>
      <c r="RK147" s="9"/>
      <c r="RL147" s="9"/>
      <c r="RM147" s="9"/>
      <c r="RN147" s="9"/>
      <c r="RO147" s="9"/>
      <c r="RP147" s="9"/>
      <c r="RQ147" s="9"/>
      <c r="RR147" s="9"/>
      <c r="RS147" s="9"/>
      <c r="RT147" s="9"/>
      <c r="RU147" s="9"/>
      <c r="RV147" s="9"/>
      <c r="RW147" s="9"/>
      <c r="RX147" s="9"/>
      <c r="RY147" s="9"/>
      <c r="RZ147" s="9"/>
      <c r="SA147" s="9"/>
      <c r="SB147" s="9"/>
      <c r="SC147" s="9"/>
      <c r="SD147" s="9"/>
      <c r="SE147" s="9"/>
      <c r="SF147" s="9"/>
      <c r="SG147" s="9"/>
      <c r="SH147" s="9"/>
      <c r="SI147" s="9"/>
      <c r="SJ147" s="9"/>
      <c r="SK147" s="8"/>
      <c r="SL147" s="8"/>
      <c r="SM147" s="8"/>
      <c r="SN147" s="8"/>
      <c r="SO147" s="8"/>
      <c r="SP147" s="8"/>
      <c r="SQ147" s="8"/>
      <c r="SR147" s="8"/>
      <c r="SS147" s="8"/>
      <c r="ST147" s="8"/>
      <c r="SU147" s="8"/>
      <c r="SV147" s="8"/>
      <c r="SW147" s="8"/>
      <c r="SX147" s="8"/>
      <c r="SY147" s="8"/>
      <c r="SZ147" s="8"/>
      <c r="TA147" s="8"/>
      <c r="TB147" s="8"/>
      <c r="TC147" s="8"/>
      <c r="TD147" s="8"/>
      <c r="TE147" s="8"/>
      <c r="TF147" s="8"/>
      <c r="TG147" s="8"/>
      <c r="TH147" s="8"/>
      <c r="TI147" s="8"/>
      <c r="TJ147" s="8"/>
      <c r="TK147" s="8"/>
      <c r="TL147" s="8"/>
      <c r="TM147" s="8"/>
      <c r="TN147" s="8"/>
      <c r="TO147" s="8"/>
    </row>
    <row r="148" spans="1:535" x14ac:dyDescent="0.2">
      <c r="A148" s="7"/>
      <c r="B148" s="15"/>
      <c r="C148" s="15"/>
      <c r="D148" s="15"/>
      <c r="E148" s="15"/>
      <c r="F148" s="15"/>
      <c r="G148" s="15"/>
      <c r="H148" s="15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L148" s="9"/>
      <c r="CM148" s="9"/>
      <c r="CN148" s="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  <c r="DO148" s="9"/>
      <c r="DP148" s="9"/>
      <c r="DQ148" s="9"/>
      <c r="DR148" s="9"/>
      <c r="DS148" s="9"/>
      <c r="DT148" s="9"/>
      <c r="DU148" s="9"/>
      <c r="DV148" s="9"/>
      <c r="DW148" s="9"/>
      <c r="DX148" s="9"/>
      <c r="DY148" s="9"/>
      <c r="DZ148" s="9"/>
      <c r="EA148" s="9"/>
      <c r="EB148" s="9"/>
      <c r="EC148" s="9"/>
      <c r="ED148" s="9"/>
      <c r="EE148" s="9"/>
      <c r="EF148" s="9"/>
      <c r="EG148" s="9"/>
      <c r="EH148" s="9"/>
      <c r="EI148" s="9"/>
      <c r="EJ148" s="9"/>
      <c r="EK148" s="9"/>
      <c r="EL148" s="9"/>
      <c r="EM148" s="9"/>
      <c r="EN148" s="9"/>
      <c r="EO148" s="9"/>
      <c r="EP148" s="9"/>
      <c r="EQ148" s="9"/>
      <c r="ER148" s="9"/>
      <c r="ES148" s="9"/>
      <c r="ET148" s="9"/>
      <c r="EU148" s="9"/>
      <c r="EV148" s="9"/>
      <c r="EW148" s="9"/>
      <c r="EX148" s="9"/>
      <c r="EY148" s="9"/>
      <c r="EZ148" s="9"/>
      <c r="FA148" s="9"/>
      <c r="FB148" s="9"/>
      <c r="FC148" s="9"/>
      <c r="FD148" s="9"/>
      <c r="FE148" s="9"/>
      <c r="FF148" s="9"/>
      <c r="FG148" s="9"/>
      <c r="FH148" s="9"/>
      <c r="FI148" s="9"/>
      <c r="FJ148" s="9"/>
      <c r="FK148" s="9"/>
      <c r="FL148" s="9"/>
      <c r="FM148" s="9"/>
      <c r="FN148" s="9"/>
      <c r="FO148" s="9"/>
      <c r="FP148" s="9"/>
      <c r="FQ148" s="9"/>
      <c r="FR148" s="9"/>
      <c r="FS148" s="9"/>
      <c r="FT148" s="9"/>
      <c r="FU148" s="9"/>
      <c r="FV148" s="9"/>
      <c r="FW148" s="9"/>
      <c r="FX148" s="9"/>
      <c r="FY148" s="9"/>
      <c r="FZ148" s="9"/>
      <c r="GA148" s="9"/>
      <c r="GB148" s="9"/>
      <c r="GC148" s="9"/>
      <c r="GD148" s="9"/>
      <c r="GE148" s="9"/>
      <c r="GF148" s="9"/>
      <c r="GG148" s="9"/>
      <c r="GH148" s="9"/>
      <c r="GI148" s="9"/>
      <c r="GJ148" s="9"/>
      <c r="GK148" s="9"/>
      <c r="GL148" s="9"/>
      <c r="GM148" s="9"/>
      <c r="GN148" s="9"/>
      <c r="GO148" s="9"/>
      <c r="GP148" s="9"/>
      <c r="GQ148" s="9"/>
      <c r="GR148" s="9"/>
      <c r="GS148" s="9"/>
      <c r="GT148" s="9"/>
      <c r="GU148" s="9"/>
      <c r="GV148" s="9"/>
      <c r="GW148" s="9"/>
      <c r="GX148" s="9"/>
      <c r="GY148" s="9"/>
      <c r="GZ148" s="9"/>
      <c r="HA148" s="9"/>
      <c r="HB148" s="9"/>
      <c r="HC148" s="9"/>
      <c r="HD148" s="9"/>
      <c r="HE148" s="9"/>
      <c r="HF148" s="9"/>
      <c r="HG148" s="9"/>
      <c r="HH148" s="9"/>
      <c r="HI148" s="9"/>
      <c r="HJ148" s="9"/>
      <c r="HK148" s="9"/>
      <c r="HL148" s="9"/>
      <c r="HM148" s="9"/>
      <c r="HN148" s="9"/>
      <c r="HO148" s="9"/>
      <c r="HP148" s="9"/>
      <c r="HQ148" s="9"/>
      <c r="HR148" s="9"/>
      <c r="HS148" s="9"/>
      <c r="HT148" s="9"/>
      <c r="HU148" s="9"/>
      <c r="HV148" s="9"/>
      <c r="HW148" s="9"/>
      <c r="HX148" s="9"/>
      <c r="HY148" s="9"/>
      <c r="HZ148" s="9"/>
      <c r="IA148" s="9"/>
      <c r="IB148" s="9"/>
      <c r="IC148" s="9"/>
      <c r="ID148" s="9"/>
      <c r="IE148" s="9"/>
      <c r="IF148" s="9"/>
      <c r="IG148" s="9"/>
      <c r="IH148" s="9"/>
      <c r="II148" s="9"/>
      <c r="IJ148" s="9"/>
      <c r="IK148" s="9"/>
      <c r="IL148" s="9"/>
      <c r="IM148" s="9"/>
      <c r="IN148" s="9"/>
      <c r="IO148" s="9"/>
      <c r="IP148" s="9"/>
      <c r="IQ148" s="9"/>
      <c r="IR148" s="9"/>
      <c r="IS148" s="9"/>
      <c r="IT148" s="9"/>
      <c r="IU148" s="9"/>
      <c r="IV148" s="9"/>
      <c r="IW148" s="9"/>
      <c r="IX148" s="9"/>
      <c r="IY148" s="9"/>
      <c r="IZ148" s="9"/>
      <c r="JA148" s="9"/>
      <c r="JB148" s="9"/>
      <c r="JC148" s="9"/>
      <c r="JD148" s="9"/>
      <c r="JE148" s="9"/>
      <c r="JF148" s="9"/>
      <c r="JG148" s="9"/>
      <c r="JH148" s="9"/>
      <c r="JI148" s="9"/>
      <c r="JJ148" s="9"/>
      <c r="JK148" s="9"/>
      <c r="JL148" s="9"/>
      <c r="JM148" s="9"/>
      <c r="JN148" s="9"/>
      <c r="JO148" s="9"/>
      <c r="JP148" s="9"/>
      <c r="JQ148" s="9"/>
      <c r="JR148" s="9"/>
      <c r="JS148" s="9"/>
      <c r="JT148" s="9"/>
      <c r="JU148" s="9"/>
      <c r="JV148" s="9"/>
      <c r="JW148" s="9"/>
      <c r="JX148" s="9"/>
      <c r="JY148" s="9"/>
      <c r="JZ148" s="9"/>
      <c r="KA148" s="9"/>
      <c r="KB148" s="9"/>
      <c r="KC148" s="9"/>
      <c r="KD148" s="9"/>
      <c r="KE148" s="9"/>
      <c r="KF148" s="9"/>
      <c r="KG148" s="9"/>
      <c r="KH148" s="9"/>
      <c r="KI148" s="9"/>
      <c r="KJ148" s="9"/>
      <c r="KK148" s="9"/>
      <c r="KL148" s="9"/>
      <c r="KM148" s="9"/>
      <c r="KN148" s="9"/>
      <c r="KO148" s="9"/>
      <c r="KP148" s="9"/>
      <c r="KQ148" s="9"/>
      <c r="KR148" s="9"/>
      <c r="KS148" s="9"/>
      <c r="KT148" s="9"/>
      <c r="KU148" s="9"/>
      <c r="KV148" s="9"/>
      <c r="KW148" s="9"/>
      <c r="KX148" s="9"/>
      <c r="KY148" s="9"/>
      <c r="KZ148" s="9"/>
      <c r="LA148" s="9"/>
      <c r="LB148" s="9"/>
      <c r="LC148" s="9"/>
      <c r="LD148" s="9"/>
      <c r="LE148" s="9"/>
      <c r="LF148" s="9"/>
      <c r="LG148" s="9"/>
      <c r="LH148" s="9"/>
      <c r="LI148" s="9"/>
      <c r="LJ148" s="9"/>
      <c r="LK148" s="9"/>
      <c r="LL148" s="9"/>
      <c r="LM148" s="9"/>
      <c r="LN148" s="9"/>
      <c r="LO148" s="9"/>
      <c r="LP148" s="9"/>
      <c r="LQ148" s="9"/>
      <c r="LR148" s="9"/>
      <c r="LS148" s="9"/>
      <c r="LT148" s="9"/>
      <c r="LU148" s="9"/>
      <c r="LV148" s="9"/>
      <c r="LW148" s="9"/>
      <c r="LX148" s="9"/>
      <c r="LY148" s="9"/>
      <c r="LZ148" s="9"/>
      <c r="MA148" s="9"/>
      <c r="MB148" s="9"/>
      <c r="MC148" s="9"/>
      <c r="MD148" s="9"/>
      <c r="ME148" s="9"/>
      <c r="MF148" s="9"/>
      <c r="MG148" s="9"/>
      <c r="MH148" s="9"/>
      <c r="MI148" s="9"/>
      <c r="MJ148" s="9"/>
      <c r="MK148" s="9"/>
      <c r="ML148" s="9"/>
      <c r="MM148" s="9"/>
      <c r="MN148" s="9"/>
      <c r="MO148" s="9"/>
      <c r="MP148" s="9"/>
      <c r="MQ148" s="9"/>
      <c r="MR148" s="9"/>
      <c r="MS148" s="9"/>
      <c r="MT148" s="9"/>
      <c r="MU148" s="9"/>
      <c r="MV148" s="9"/>
      <c r="MW148" s="9"/>
      <c r="MX148" s="9"/>
      <c r="MY148" s="9"/>
      <c r="MZ148" s="9"/>
      <c r="NA148" s="9"/>
      <c r="NB148" s="9"/>
      <c r="NC148" s="9"/>
      <c r="ND148" s="9"/>
      <c r="NE148" s="9"/>
      <c r="NF148" s="9"/>
      <c r="NG148" s="9"/>
      <c r="NH148" s="9"/>
      <c r="NI148" s="9"/>
      <c r="NJ148" s="9"/>
      <c r="NK148" s="9"/>
      <c r="NL148" s="9"/>
      <c r="NM148" s="9"/>
      <c r="NN148" s="9"/>
      <c r="NO148" s="9"/>
      <c r="NP148" s="9"/>
      <c r="NQ148" s="9"/>
      <c r="NR148" s="9"/>
      <c r="NS148" s="9"/>
      <c r="NT148" s="9"/>
      <c r="NU148" s="9"/>
      <c r="NV148" s="9"/>
      <c r="NW148" s="9"/>
      <c r="NX148" s="9"/>
      <c r="NY148" s="9"/>
      <c r="NZ148" s="9"/>
      <c r="OA148" s="9"/>
      <c r="OB148" s="9"/>
      <c r="OC148" s="9"/>
      <c r="OD148" s="9"/>
      <c r="OE148" s="9"/>
      <c r="OF148" s="9"/>
      <c r="OG148" s="9"/>
      <c r="OH148" s="9"/>
      <c r="OI148" s="9"/>
      <c r="OJ148" s="9"/>
      <c r="OK148" s="9"/>
      <c r="OL148" s="9"/>
      <c r="OM148" s="9"/>
      <c r="ON148" s="9"/>
      <c r="OO148" s="9"/>
      <c r="OP148" s="9"/>
      <c r="OQ148" s="9"/>
      <c r="OR148" s="9"/>
      <c r="OS148" s="9"/>
      <c r="OT148" s="9"/>
      <c r="OU148" s="9"/>
      <c r="OV148" s="9"/>
      <c r="OW148" s="9"/>
      <c r="OX148" s="9"/>
      <c r="OY148" s="9"/>
      <c r="OZ148" s="9"/>
      <c r="PA148" s="9"/>
      <c r="PB148" s="9"/>
      <c r="PC148" s="9"/>
      <c r="PD148" s="9"/>
      <c r="PE148" s="9"/>
      <c r="PF148" s="9"/>
      <c r="PG148" s="9"/>
      <c r="PH148" s="9"/>
      <c r="PI148" s="9"/>
      <c r="PJ148" s="9"/>
      <c r="PK148" s="9"/>
      <c r="PL148" s="9"/>
      <c r="PM148" s="9"/>
      <c r="PN148" s="9"/>
      <c r="PO148" s="9"/>
      <c r="PP148" s="9"/>
      <c r="PQ148" s="9"/>
      <c r="PR148" s="9"/>
      <c r="PS148" s="9"/>
      <c r="PT148" s="9"/>
      <c r="PU148" s="9"/>
      <c r="PV148" s="9"/>
      <c r="PW148" s="9"/>
      <c r="PX148" s="9"/>
      <c r="PY148" s="9"/>
      <c r="PZ148" s="9"/>
      <c r="QA148" s="9"/>
      <c r="QB148" s="9"/>
      <c r="QC148" s="9"/>
      <c r="QD148" s="9"/>
      <c r="QE148" s="9"/>
      <c r="QF148" s="9"/>
      <c r="QG148" s="9"/>
      <c r="QH148" s="9"/>
      <c r="QI148" s="9"/>
      <c r="QJ148" s="9"/>
      <c r="QK148" s="9"/>
      <c r="QL148" s="9"/>
      <c r="QM148" s="9"/>
      <c r="QN148" s="9"/>
      <c r="QO148" s="9"/>
      <c r="QP148" s="9"/>
      <c r="QQ148" s="9"/>
      <c r="QR148" s="9"/>
      <c r="QS148" s="9"/>
      <c r="QT148" s="9"/>
      <c r="QU148" s="9"/>
      <c r="QV148" s="9"/>
      <c r="QW148" s="9"/>
      <c r="QX148" s="9"/>
      <c r="QY148" s="9"/>
      <c r="QZ148" s="9"/>
      <c r="RA148" s="9"/>
      <c r="RB148" s="9"/>
      <c r="RC148" s="9"/>
      <c r="RD148" s="9"/>
      <c r="RE148" s="9"/>
      <c r="RF148" s="9"/>
      <c r="RG148" s="9"/>
      <c r="RH148" s="9"/>
      <c r="RI148" s="9"/>
      <c r="RJ148" s="9"/>
      <c r="RK148" s="9"/>
      <c r="RL148" s="9"/>
      <c r="RM148" s="9"/>
      <c r="RN148" s="9"/>
      <c r="RO148" s="9"/>
      <c r="RP148" s="9"/>
      <c r="RQ148" s="9"/>
      <c r="RR148" s="9"/>
      <c r="RS148" s="9"/>
      <c r="RT148" s="9"/>
      <c r="RU148" s="9"/>
      <c r="RV148" s="9"/>
      <c r="RW148" s="9"/>
      <c r="RX148" s="9"/>
      <c r="RY148" s="9"/>
      <c r="RZ148" s="9"/>
      <c r="SA148" s="9"/>
      <c r="SB148" s="9"/>
      <c r="SC148" s="9"/>
      <c r="SD148" s="9"/>
      <c r="SE148" s="9"/>
      <c r="SF148" s="9"/>
      <c r="SG148" s="9"/>
      <c r="SH148" s="9"/>
      <c r="SI148" s="9"/>
      <c r="SJ148" s="9"/>
      <c r="SK148" s="8"/>
      <c r="SL148" s="8"/>
      <c r="SM148" s="8"/>
      <c r="SN148" s="8"/>
      <c r="SO148" s="8"/>
      <c r="SP148" s="8"/>
      <c r="SQ148" s="8"/>
      <c r="SR148" s="8"/>
      <c r="SS148" s="8"/>
      <c r="ST148" s="8"/>
      <c r="SU148" s="8"/>
      <c r="SV148" s="8"/>
      <c r="SW148" s="8"/>
      <c r="SX148" s="8"/>
      <c r="SY148" s="8"/>
      <c r="SZ148" s="8"/>
      <c r="TA148" s="8"/>
      <c r="TB148" s="8"/>
      <c r="TC148" s="8"/>
      <c r="TD148" s="8"/>
      <c r="TE148" s="8"/>
      <c r="TF148" s="8"/>
      <c r="TG148" s="8"/>
      <c r="TH148" s="8"/>
      <c r="TI148" s="8"/>
      <c r="TJ148" s="8"/>
      <c r="TK148" s="8"/>
      <c r="TL148" s="8"/>
      <c r="TM148" s="8"/>
      <c r="TN148" s="8"/>
      <c r="TO148" s="8"/>
    </row>
    <row r="149" spans="1:535" x14ac:dyDescent="0.2">
      <c r="A149" s="7"/>
      <c r="B149" s="15"/>
      <c r="C149" s="15"/>
      <c r="D149" s="15"/>
      <c r="E149" s="15"/>
      <c r="F149" s="15"/>
      <c r="G149" s="15"/>
      <c r="H149" s="15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  <c r="EP149" s="9"/>
      <c r="EQ149" s="9"/>
      <c r="ER149" s="9"/>
      <c r="ES149" s="9"/>
      <c r="ET149" s="9"/>
      <c r="EU149" s="9"/>
      <c r="EV149" s="9"/>
      <c r="EW149" s="9"/>
      <c r="EX149" s="9"/>
      <c r="EY149" s="9"/>
      <c r="EZ149" s="9"/>
      <c r="FA149" s="9"/>
      <c r="FB149" s="9"/>
      <c r="FC149" s="9"/>
      <c r="FD149" s="9"/>
      <c r="FE149" s="9"/>
      <c r="FF149" s="9"/>
      <c r="FG149" s="9"/>
      <c r="FH149" s="9"/>
      <c r="FI149" s="9"/>
      <c r="FJ149" s="9"/>
      <c r="FK149" s="9"/>
      <c r="FL149" s="9"/>
      <c r="FM149" s="9"/>
      <c r="FN149" s="9"/>
      <c r="FO149" s="9"/>
      <c r="FP149" s="9"/>
      <c r="FQ149" s="9"/>
      <c r="FR149" s="9"/>
      <c r="FS149" s="9"/>
      <c r="FT149" s="9"/>
      <c r="FU149" s="9"/>
      <c r="FV149" s="9"/>
      <c r="FW149" s="9"/>
      <c r="FX149" s="9"/>
      <c r="FY149" s="9"/>
      <c r="FZ149" s="9"/>
      <c r="GA149" s="9"/>
      <c r="GB149" s="9"/>
      <c r="GC149" s="9"/>
      <c r="GD149" s="9"/>
      <c r="GE149" s="9"/>
      <c r="GF149" s="9"/>
      <c r="GG149" s="9"/>
      <c r="GH149" s="9"/>
      <c r="GI149" s="9"/>
      <c r="GJ149" s="9"/>
      <c r="GK149" s="9"/>
      <c r="GL149" s="9"/>
      <c r="GM149" s="9"/>
      <c r="GN149" s="9"/>
      <c r="GO149" s="9"/>
      <c r="GP149" s="9"/>
      <c r="GQ149" s="9"/>
      <c r="GR149" s="9"/>
      <c r="GS149" s="9"/>
      <c r="GT149" s="9"/>
      <c r="GU149" s="9"/>
      <c r="GV149" s="9"/>
      <c r="GW149" s="9"/>
      <c r="GX149" s="9"/>
      <c r="GY149" s="9"/>
      <c r="GZ149" s="9"/>
      <c r="HA149" s="9"/>
      <c r="HB149" s="9"/>
      <c r="HC149" s="9"/>
      <c r="HD149" s="9"/>
      <c r="HE149" s="9"/>
      <c r="HF149" s="9"/>
      <c r="HG149" s="9"/>
      <c r="HH149" s="9"/>
      <c r="HI149" s="9"/>
      <c r="HJ149" s="9"/>
      <c r="HK149" s="9"/>
      <c r="HL149" s="9"/>
      <c r="HM149" s="9"/>
      <c r="HN149" s="9"/>
      <c r="HO149" s="9"/>
      <c r="HP149" s="9"/>
      <c r="HQ149" s="9"/>
      <c r="HR149" s="9"/>
      <c r="HS149" s="9"/>
      <c r="HT149" s="9"/>
      <c r="HU149" s="9"/>
      <c r="HV149" s="9"/>
      <c r="HW149" s="9"/>
      <c r="HX149" s="9"/>
      <c r="HY149" s="9"/>
      <c r="HZ149" s="9"/>
      <c r="IA149" s="9"/>
      <c r="IB149" s="9"/>
      <c r="IC149" s="9"/>
      <c r="ID149" s="9"/>
      <c r="IE149" s="9"/>
      <c r="IF149" s="9"/>
      <c r="IG149" s="9"/>
      <c r="IH149" s="9"/>
      <c r="II149" s="9"/>
      <c r="IJ149" s="9"/>
      <c r="IK149" s="9"/>
      <c r="IL149" s="9"/>
      <c r="IM149" s="9"/>
      <c r="IN149" s="9"/>
      <c r="IO149" s="9"/>
      <c r="IP149" s="9"/>
      <c r="IQ149" s="9"/>
      <c r="IR149" s="9"/>
      <c r="IS149" s="9"/>
      <c r="IT149" s="9"/>
      <c r="IU149" s="9"/>
      <c r="IV149" s="9"/>
      <c r="IW149" s="9"/>
      <c r="IX149" s="9"/>
      <c r="IY149" s="9"/>
      <c r="IZ149" s="9"/>
      <c r="JA149" s="9"/>
      <c r="JB149" s="9"/>
      <c r="JC149" s="9"/>
      <c r="JD149" s="9"/>
      <c r="JE149" s="9"/>
      <c r="JF149" s="9"/>
      <c r="JG149" s="9"/>
      <c r="JH149" s="9"/>
      <c r="JI149" s="9"/>
      <c r="JJ149" s="9"/>
      <c r="JK149" s="9"/>
      <c r="JL149" s="9"/>
      <c r="JM149" s="9"/>
      <c r="JN149" s="9"/>
      <c r="JO149" s="9"/>
      <c r="JP149" s="9"/>
      <c r="JQ149" s="9"/>
      <c r="JR149" s="9"/>
      <c r="JS149" s="9"/>
      <c r="JT149" s="9"/>
      <c r="JU149" s="9"/>
      <c r="JV149" s="9"/>
      <c r="JW149" s="9"/>
      <c r="JX149" s="9"/>
      <c r="JY149" s="9"/>
      <c r="JZ149" s="9"/>
      <c r="KA149" s="9"/>
      <c r="KB149" s="9"/>
      <c r="KC149" s="9"/>
      <c r="KD149" s="9"/>
      <c r="KE149" s="9"/>
      <c r="KF149" s="9"/>
      <c r="KG149" s="9"/>
      <c r="KH149" s="9"/>
      <c r="KI149" s="9"/>
      <c r="KJ149" s="9"/>
      <c r="KK149" s="9"/>
      <c r="KL149" s="9"/>
      <c r="KM149" s="9"/>
      <c r="KN149" s="9"/>
      <c r="KO149" s="9"/>
      <c r="KP149" s="9"/>
      <c r="KQ149" s="9"/>
      <c r="KR149" s="9"/>
      <c r="KS149" s="9"/>
      <c r="KT149" s="9"/>
      <c r="KU149" s="9"/>
      <c r="KV149" s="9"/>
      <c r="KW149" s="9"/>
      <c r="KX149" s="9"/>
      <c r="KY149" s="9"/>
      <c r="KZ149" s="9"/>
      <c r="LA149" s="9"/>
      <c r="LB149" s="9"/>
      <c r="LC149" s="9"/>
      <c r="LD149" s="9"/>
      <c r="LE149" s="9"/>
      <c r="LF149" s="9"/>
      <c r="LG149" s="9"/>
      <c r="LH149" s="9"/>
      <c r="LI149" s="9"/>
      <c r="LJ149" s="9"/>
      <c r="LK149" s="9"/>
      <c r="LL149" s="9"/>
      <c r="LM149" s="9"/>
      <c r="LN149" s="9"/>
      <c r="LO149" s="9"/>
      <c r="LP149" s="9"/>
      <c r="LQ149" s="9"/>
      <c r="LR149" s="9"/>
      <c r="LS149" s="9"/>
      <c r="LT149" s="9"/>
      <c r="LU149" s="9"/>
      <c r="LV149" s="9"/>
      <c r="LW149" s="9"/>
      <c r="LX149" s="9"/>
      <c r="LY149" s="9"/>
      <c r="LZ149" s="9"/>
      <c r="MA149" s="9"/>
      <c r="MB149" s="9"/>
      <c r="MC149" s="9"/>
      <c r="MD149" s="9"/>
      <c r="ME149" s="9"/>
      <c r="MF149" s="9"/>
      <c r="MG149" s="9"/>
      <c r="MH149" s="9"/>
      <c r="MI149" s="9"/>
      <c r="MJ149" s="9"/>
      <c r="MK149" s="9"/>
      <c r="ML149" s="9"/>
      <c r="MM149" s="9"/>
      <c r="MN149" s="9"/>
      <c r="MO149" s="9"/>
      <c r="MP149" s="9"/>
      <c r="MQ149" s="9"/>
      <c r="MR149" s="9"/>
      <c r="MS149" s="9"/>
      <c r="MT149" s="9"/>
      <c r="MU149" s="9"/>
      <c r="MV149" s="9"/>
      <c r="MW149" s="9"/>
      <c r="MX149" s="9"/>
      <c r="MY149" s="9"/>
      <c r="MZ149" s="9"/>
      <c r="NA149" s="9"/>
      <c r="NB149" s="9"/>
      <c r="NC149" s="9"/>
      <c r="ND149" s="9"/>
      <c r="NE149" s="9"/>
      <c r="NF149" s="9"/>
      <c r="NG149" s="9"/>
      <c r="NH149" s="9"/>
      <c r="NI149" s="9"/>
      <c r="NJ149" s="9"/>
      <c r="NK149" s="9"/>
      <c r="NL149" s="9"/>
      <c r="NM149" s="9"/>
      <c r="NN149" s="9"/>
      <c r="NO149" s="9"/>
      <c r="NP149" s="9"/>
      <c r="NQ149" s="9"/>
      <c r="NR149" s="9"/>
      <c r="NS149" s="9"/>
      <c r="NT149" s="9"/>
      <c r="NU149" s="9"/>
      <c r="NV149" s="9"/>
      <c r="NW149" s="9"/>
      <c r="NX149" s="9"/>
      <c r="NY149" s="9"/>
      <c r="NZ149" s="9"/>
      <c r="OA149" s="9"/>
      <c r="OB149" s="9"/>
      <c r="OC149" s="9"/>
      <c r="OD149" s="9"/>
      <c r="OE149" s="9"/>
      <c r="OF149" s="9"/>
      <c r="OG149" s="9"/>
      <c r="OH149" s="9"/>
      <c r="OI149" s="9"/>
      <c r="OJ149" s="9"/>
      <c r="OK149" s="9"/>
      <c r="OL149" s="9"/>
      <c r="OM149" s="9"/>
      <c r="ON149" s="9"/>
      <c r="OO149" s="9"/>
      <c r="OP149" s="9"/>
      <c r="OQ149" s="9"/>
      <c r="OR149" s="9"/>
      <c r="OS149" s="9"/>
      <c r="OT149" s="9"/>
      <c r="OU149" s="9"/>
      <c r="OV149" s="9"/>
      <c r="OW149" s="9"/>
      <c r="OX149" s="9"/>
      <c r="OY149" s="9"/>
      <c r="OZ149" s="9"/>
      <c r="PA149" s="9"/>
      <c r="PB149" s="9"/>
      <c r="PC149" s="9"/>
      <c r="PD149" s="9"/>
      <c r="PE149" s="9"/>
      <c r="PF149" s="9"/>
      <c r="PG149" s="9"/>
      <c r="PH149" s="9"/>
      <c r="PI149" s="9"/>
      <c r="PJ149" s="9"/>
      <c r="PK149" s="9"/>
      <c r="PL149" s="9"/>
      <c r="PM149" s="9"/>
      <c r="PN149" s="9"/>
      <c r="PO149" s="9"/>
      <c r="PP149" s="9"/>
      <c r="PQ149" s="9"/>
      <c r="PR149" s="9"/>
      <c r="PS149" s="9"/>
      <c r="PT149" s="9"/>
      <c r="PU149" s="9"/>
      <c r="PV149" s="9"/>
      <c r="PW149" s="9"/>
      <c r="PX149" s="9"/>
      <c r="PY149" s="9"/>
      <c r="PZ149" s="9"/>
      <c r="QA149" s="9"/>
      <c r="QB149" s="9"/>
      <c r="QC149" s="9"/>
      <c r="QD149" s="9"/>
      <c r="QE149" s="9"/>
      <c r="QF149" s="9"/>
      <c r="QG149" s="9"/>
      <c r="QH149" s="9"/>
      <c r="QI149" s="9"/>
      <c r="QJ149" s="9"/>
      <c r="QK149" s="9"/>
      <c r="QL149" s="9"/>
      <c r="QM149" s="9"/>
      <c r="QN149" s="9"/>
      <c r="QO149" s="9"/>
      <c r="QP149" s="9"/>
      <c r="QQ149" s="9"/>
      <c r="QR149" s="9"/>
      <c r="QS149" s="9"/>
      <c r="QT149" s="9"/>
      <c r="QU149" s="9"/>
      <c r="QV149" s="9"/>
      <c r="QW149" s="9"/>
      <c r="QX149" s="9"/>
      <c r="QY149" s="9"/>
      <c r="QZ149" s="9"/>
      <c r="RA149" s="9"/>
      <c r="RB149" s="9"/>
      <c r="RC149" s="9"/>
      <c r="RD149" s="9"/>
      <c r="RE149" s="9"/>
      <c r="RF149" s="9"/>
      <c r="RG149" s="9"/>
      <c r="RH149" s="9"/>
      <c r="RI149" s="9"/>
      <c r="RJ149" s="9"/>
      <c r="RK149" s="9"/>
      <c r="RL149" s="9"/>
      <c r="RM149" s="9"/>
      <c r="RN149" s="9"/>
      <c r="RO149" s="9"/>
      <c r="RP149" s="9"/>
      <c r="RQ149" s="9"/>
      <c r="RR149" s="9"/>
      <c r="RS149" s="9"/>
      <c r="RT149" s="9"/>
      <c r="RU149" s="9"/>
      <c r="RV149" s="9"/>
      <c r="RW149" s="9"/>
      <c r="RX149" s="9"/>
      <c r="RY149" s="9"/>
      <c r="RZ149" s="9"/>
      <c r="SA149" s="9"/>
      <c r="SB149" s="9"/>
      <c r="SC149" s="9"/>
      <c r="SD149" s="9"/>
      <c r="SE149" s="9"/>
      <c r="SF149" s="9"/>
      <c r="SG149" s="9"/>
      <c r="SH149" s="9"/>
      <c r="SI149" s="9"/>
      <c r="SJ149" s="9"/>
      <c r="SK149" s="8"/>
      <c r="SL149" s="8"/>
      <c r="SM149" s="8"/>
      <c r="SN149" s="8"/>
      <c r="SO149" s="8"/>
      <c r="SP149" s="8"/>
      <c r="SQ149" s="8"/>
      <c r="SR149" s="8"/>
      <c r="SS149" s="8"/>
      <c r="ST149" s="8"/>
      <c r="SU149" s="8"/>
      <c r="SV149" s="8"/>
      <c r="SW149" s="8"/>
      <c r="SX149" s="8"/>
      <c r="SY149" s="8"/>
      <c r="SZ149" s="8"/>
      <c r="TA149" s="8"/>
      <c r="TB149" s="8"/>
      <c r="TC149" s="8"/>
      <c r="TD149" s="8"/>
      <c r="TE149" s="8"/>
      <c r="TF149" s="8"/>
      <c r="TG149" s="8"/>
      <c r="TH149" s="8"/>
      <c r="TI149" s="8"/>
      <c r="TJ149" s="8"/>
      <c r="TK149" s="8"/>
      <c r="TL149" s="8"/>
      <c r="TM149" s="8"/>
      <c r="TN149" s="8"/>
      <c r="TO149" s="8"/>
    </row>
    <row r="150" spans="1:535" x14ac:dyDescent="0.2">
      <c r="A150" s="7"/>
      <c r="B150" s="15"/>
      <c r="C150" s="15"/>
      <c r="D150" s="15"/>
      <c r="E150" s="15"/>
      <c r="F150" s="15"/>
      <c r="G150" s="15"/>
      <c r="H150" s="15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L150" s="9"/>
      <c r="CM150" s="9"/>
      <c r="CN150" s="9"/>
      <c r="CO150" s="9"/>
      <c r="CP150" s="9"/>
      <c r="CQ150" s="9"/>
      <c r="CR150" s="9"/>
      <c r="CS150" s="9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/>
      <c r="DI150" s="9"/>
      <c r="DJ150" s="9"/>
      <c r="DK150" s="9"/>
      <c r="DL150" s="9"/>
      <c r="DM150" s="9"/>
      <c r="DN150" s="9"/>
      <c r="DO150" s="9"/>
      <c r="DP150" s="9"/>
      <c r="DQ150" s="9"/>
      <c r="DR150" s="9"/>
      <c r="DS150" s="9"/>
      <c r="DT150" s="9"/>
      <c r="DU150" s="9"/>
      <c r="DV150" s="9"/>
      <c r="DW150" s="9"/>
      <c r="DX150" s="9"/>
      <c r="DY150" s="9"/>
      <c r="DZ150" s="9"/>
      <c r="EA150" s="9"/>
      <c r="EB150" s="9"/>
      <c r="EC150" s="9"/>
      <c r="ED150" s="9"/>
      <c r="EE150" s="9"/>
      <c r="EF150" s="9"/>
      <c r="EG150" s="9"/>
      <c r="EH150" s="9"/>
      <c r="EI150" s="9"/>
      <c r="EJ150" s="9"/>
      <c r="EK150" s="9"/>
      <c r="EL150" s="9"/>
      <c r="EM150" s="9"/>
      <c r="EN150" s="9"/>
      <c r="EO150" s="9"/>
      <c r="EP150" s="9"/>
      <c r="EQ150" s="9"/>
      <c r="ER150" s="9"/>
      <c r="ES150" s="9"/>
      <c r="ET150" s="9"/>
      <c r="EU150" s="9"/>
      <c r="EV150" s="9"/>
      <c r="EW150" s="9"/>
      <c r="EX150" s="9"/>
      <c r="EY150" s="9"/>
      <c r="EZ150" s="9"/>
      <c r="FA150" s="9"/>
      <c r="FB150" s="9"/>
      <c r="FC150" s="9"/>
      <c r="FD150" s="9"/>
      <c r="FE150" s="9"/>
      <c r="FF150" s="9"/>
      <c r="FG150" s="9"/>
      <c r="FH150" s="9"/>
      <c r="FI150" s="9"/>
      <c r="FJ150" s="9"/>
      <c r="FK150" s="9"/>
      <c r="FL150" s="9"/>
      <c r="FM150" s="9"/>
      <c r="FN150" s="9"/>
      <c r="FO150" s="9"/>
      <c r="FP150" s="9"/>
      <c r="FQ150" s="9"/>
      <c r="FR150" s="9"/>
      <c r="FS150" s="9"/>
      <c r="FT150" s="9"/>
      <c r="FU150" s="9"/>
      <c r="FV150" s="9"/>
      <c r="FW150" s="9"/>
      <c r="FX150" s="9"/>
      <c r="FY150" s="9"/>
      <c r="FZ150" s="9"/>
      <c r="GA150" s="9"/>
      <c r="GB150" s="9"/>
      <c r="GC150" s="9"/>
      <c r="GD150" s="9"/>
      <c r="GE150" s="9"/>
      <c r="GF150" s="9"/>
      <c r="GG150" s="9"/>
      <c r="GH150" s="9"/>
      <c r="GI150" s="9"/>
      <c r="GJ150" s="9"/>
      <c r="GK150" s="9"/>
      <c r="GL150" s="9"/>
      <c r="GM150" s="9"/>
      <c r="GN150" s="9"/>
      <c r="GO150" s="9"/>
      <c r="GP150" s="9"/>
      <c r="GQ150" s="9"/>
      <c r="GR150" s="9"/>
      <c r="GS150" s="9"/>
      <c r="GT150" s="9"/>
      <c r="GU150" s="9"/>
      <c r="GV150" s="9"/>
      <c r="GW150" s="9"/>
      <c r="GX150" s="9"/>
      <c r="GY150" s="9"/>
      <c r="GZ150" s="9"/>
      <c r="HA150" s="9"/>
      <c r="HB150" s="9"/>
      <c r="HC150" s="9"/>
      <c r="HD150" s="9"/>
      <c r="HE150" s="9"/>
      <c r="HF150" s="9"/>
      <c r="HG150" s="9"/>
      <c r="HH150" s="9"/>
      <c r="HI150" s="9"/>
      <c r="HJ150" s="9"/>
      <c r="HK150" s="9"/>
      <c r="HL150" s="9"/>
      <c r="HM150" s="9"/>
      <c r="HN150" s="9"/>
      <c r="HO150" s="9"/>
      <c r="HP150" s="9"/>
      <c r="HQ150" s="9"/>
      <c r="HR150" s="9"/>
      <c r="HS150" s="9"/>
      <c r="HT150" s="9"/>
      <c r="HU150" s="9"/>
      <c r="HV150" s="9"/>
      <c r="HW150" s="9"/>
      <c r="HX150" s="9"/>
      <c r="HY150" s="9"/>
      <c r="HZ150" s="9"/>
      <c r="IA150" s="9"/>
      <c r="IB150" s="9"/>
      <c r="IC150" s="9"/>
      <c r="ID150" s="9"/>
      <c r="IE150" s="9"/>
      <c r="IF150" s="9"/>
      <c r="IG150" s="9"/>
      <c r="IH150" s="9"/>
      <c r="II150" s="9"/>
      <c r="IJ150" s="9"/>
      <c r="IK150" s="9"/>
      <c r="IL150" s="9"/>
      <c r="IM150" s="9"/>
      <c r="IN150" s="9"/>
      <c r="IO150" s="9"/>
      <c r="IP150" s="9"/>
      <c r="IQ150" s="9"/>
      <c r="IR150" s="9"/>
      <c r="IS150" s="9"/>
      <c r="IT150" s="9"/>
      <c r="IU150" s="9"/>
      <c r="IV150" s="9"/>
      <c r="IW150" s="9"/>
      <c r="IX150" s="9"/>
      <c r="IY150" s="9"/>
      <c r="IZ150" s="9"/>
      <c r="JA150" s="9"/>
      <c r="JB150" s="9"/>
      <c r="JC150" s="9"/>
      <c r="JD150" s="9"/>
      <c r="JE150" s="9"/>
      <c r="JF150" s="9"/>
      <c r="JG150" s="9"/>
      <c r="JH150" s="9"/>
      <c r="JI150" s="9"/>
      <c r="JJ150" s="9"/>
      <c r="JK150" s="9"/>
      <c r="JL150" s="9"/>
      <c r="JM150" s="9"/>
      <c r="JN150" s="9"/>
      <c r="JO150" s="9"/>
      <c r="JP150" s="9"/>
      <c r="JQ150" s="9"/>
      <c r="JR150" s="9"/>
      <c r="JS150" s="9"/>
      <c r="JT150" s="9"/>
      <c r="JU150" s="9"/>
      <c r="JV150" s="9"/>
      <c r="JW150" s="9"/>
      <c r="JX150" s="9"/>
      <c r="JY150" s="9"/>
      <c r="JZ150" s="9"/>
      <c r="KA150" s="9"/>
      <c r="KB150" s="9"/>
      <c r="KC150" s="9"/>
      <c r="KD150" s="9"/>
      <c r="KE150" s="9"/>
      <c r="KF150" s="9"/>
      <c r="KG150" s="9"/>
      <c r="KH150" s="9"/>
      <c r="KI150" s="9"/>
      <c r="KJ150" s="9"/>
      <c r="KK150" s="9"/>
      <c r="KL150" s="9"/>
      <c r="KM150" s="9"/>
      <c r="KN150" s="9"/>
      <c r="KO150" s="9"/>
      <c r="KP150" s="9"/>
      <c r="KQ150" s="9"/>
      <c r="KR150" s="9"/>
      <c r="KS150" s="9"/>
      <c r="KT150" s="9"/>
      <c r="KU150" s="9"/>
      <c r="KV150" s="9"/>
      <c r="KW150" s="9"/>
      <c r="KX150" s="9"/>
      <c r="KY150" s="9"/>
      <c r="KZ150" s="9"/>
      <c r="LA150" s="9"/>
      <c r="LB150" s="9"/>
      <c r="LC150" s="9"/>
      <c r="LD150" s="9"/>
      <c r="LE150" s="9"/>
      <c r="LF150" s="9"/>
      <c r="LG150" s="9"/>
      <c r="LH150" s="9"/>
      <c r="LI150" s="9"/>
      <c r="LJ150" s="9"/>
      <c r="LK150" s="9"/>
      <c r="LL150" s="9"/>
      <c r="LM150" s="9"/>
      <c r="LN150" s="9"/>
      <c r="LO150" s="9"/>
      <c r="LP150" s="9"/>
      <c r="LQ150" s="9"/>
      <c r="LR150" s="9"/>
      <c r="LS150" s="9"/>
      <c r="LT150" s="9"/>
      <c r="LU150" s="9"/>
      <c r="LV150" s="9"/>
      <c r="LW150" s="9"/>
      <c r="LX150" s="9"/>
      <c r="LY150" s="9"/>
      <c r="LZ150" s="9"/>
      <c r="MA150" s="9"/>
      <c r="MB150" s="9"/>
      <c r="MC150" s="9"/>
      <c r="MD150" s="9"/>
      <c r="ME150" s="9"/>
      <c r="MF150" s="9"/>
      <c r="MG150" s="9"/>
      <c r="MH150" s="9"/>
      <c r="MI150" s="9"/>
      <c r="MJ150" s="9"/>
      <c r="MK150" s="9"/>
      <c r="ML150" s="9"/>
      <c r="MM150" s="9"/>
      <c r="MN150" s="9"/>
      <c r="MO150" s="9"/>
      <c r="MP150" s="9"/>
      <c r="MQ150" s="9"/>
      <c r="MR150" s="9"/>
      <c r="MS150" s="9"/>
      <c r="MT150" s="9"/>
      <c r="MU150" s="9"/>
      <c r="MV150" s="9"/>
      <c r="MW150" s="9"/>
      <c r="MX150" s="9"/>
      <c r="MY150" s="9"/>
      <c r="MZ150" s="9"/>
      <c r="NA150" s="9"/>
      <c r="NB150" s="9"/>
      <c r="NC150" s="9"/>
      <c r="ND150" s="9"/>
      <c r="NE150" s="9"/>
      <c r="NF150" s="9"/>
      <c r="NG150" s="9"/>
      <c r="NH150" s="9"/>
      <c r="NI150" s="9"/>
      <c r="NJ150" s="9"/>
      <c r="NK150" s="9"/>
      <c r="NL150" s="9"/>
      <c r="NM150" s="9"/>
      <c r="NN150" s="9"/>
      <c r="NO150" s="9"/>
      <c r="NP150" s="9"/>
      <c r="NQ150" s="9"/>
      <c r="NR150" s="9"/>
      <c r="NS150" s="9"/>
      <c r="NT150" s="9"/>
      <c r="NU150" s="9"/>
      <c r="NV150" s="9"/>
      <c r="NW150" s="9"/>
      <c r="NX150" s="9"/>
      <c r="NY150" s="9"/>
      <c r="NZ150" s="9"/>
      <c r="OA150" s="9"/>
      <c r="OB150" s="9"/>
      <c r="OC150" s="9"/>
      <c r="OD150" s="9"/>
      <c r="OE150" s="9"/>
      <c r="OF150" s="9"/>
      <c r="OG150" s="9"/>
      <c r="OH150" s="9"/>
      <c r="OI150" s="9"/>
      <c r="OJ150" s="9"/>
      <c r="OK150" s="9"/>
      <c r="OL150" s="9"/>
      <c r="OM150" s="9"/>
      <c r="ON150" s="9"/>
      <c r="OO150" s="9"/>
      <c r="OP150" s="9"/>
      <c r="OQ150" s="9"/>
      <c r="OR150" s="9"/>
      <c r="OS150" s="9"/>
      <c r="OT150" s="9"/>
      <c r="OU150" s="9"/>
      <c r="OV150" s="9"/>
      <c r="OW150" s="9"/>
      <c r="OX150" s="9"/>
      <c r="OY150" s="9"/>
      <c r="OZ150" s="9"/>
      <c r="PA150" s="9"/>
      <c r="PB150" s="9"/>
      <c r="PC150" s="9"/>
      <c r="PD150" s="9"/>
      <c r="PE150" s="9"/>
      <c r="PF150" s="9"/>
      <c r="PG150" s="9"/>
      <c r="PH150" s="9"/>
      <c r="PI150" s="9"/>
      <c r="PJ150" s="9"/>
      <c r="PK150" s="9"/>
      <c r="PL150" s="9"/>
      <c r="PM150" s="9"/>
      <c r="PN150" s="9"/>
      <c r="PO150" s="9"/>
      <c r="PP150" s="9"/>
      <c r="PQ150" s="9"/>
      <c r="PR150" s="9"/>
      <c r="PS150" s="9"/>
      <c r="PT150" s="9"/>
      <c r="PU150" s="9"/>
      <c r="PV150" s="9"/>
      <c r="PW150" s="9"/>
      <c r="PX150" s="9"/>
      <c r="PY150" s="9"/>
      <c r="PZ150" s="9"/>
      <c r="QA150" s="9"/>
      <c r="QB150" s="9"/>
      <c r="QC150" s="9"/>
      <c r="QD150" s="9"/>
      <c r="QE150" s="9"/>
      <c r="QF150" s="9"/>
      <c r="QG150" s="9"/>
      <c r="QH150" s="9"/>
      <c r="QI150" s="9"/>
      <c r="QJ150" s="9"/>
      <c r="QK150" s="9"/>
      <c r="QL150" s="9"/>
      <c r="QM150" s="9"/>
      <c r="QN150" s="9"/>
      <c r="QO150" s="9"/>
      <c r="QP150" s="9"/>
      <c r="QQ150" s="9"/>
      <c r="QR150" s="9"/>
      <c r="QS150" s="9"/>
      <c r="QT150" s="9"/>
      <c r="QU150" s="9"/>
      <c r="QV150" s="9"/>
      <c r="QW150" s="9"/>
      <c r="QX150" s="9"/>
      <c r="QY150" s="9"/>
      <c r="QZ150" s="9"/>
      <c r="RA150" s="9"/>
      <c r="RB150" s="9"/>
      <c r="RC150" s="9"/>
      <c r="RD150" s="9"/>
      <c r="RE150" s="9"/>
      <c r="RF150" s="9"/>
      <c r="RG150" s="9"/>
      <c r="RH150" s="9"/>
      <c r="RI150" s="9"/>
      <c r="RJ150" s="9"/>
      <c r="RK150" s="9"/>
      <c r="RL150" s="9"/>
      <c r="RM150" s="9"/>
      <c r="RN150" s="9"/>
      <c r="RO150" s="9"/>
      <c r="RP150" s="9"/>
      <c r="RQ150" s="9"/>
      <c r="RR150" s="9"/>
      <c r="RS150" s="9"/>
      <c r="RT150" s="9"/>
      <c r="RU150" s="9"/>
      <c r="RV150" s="9"/>
      <c r="RW150" s="9"/>
      <c r="RX150" s="9"/>
      <c r="RY150" s="9"/>
      <c r="RZ150" s="9"/>
      <c r="SA150" s="9"/>
      <c r="SB150" s="9"/>
      <c r="SC150" s="9"/>
      <c r="SD150" s="9"/>
      <c r="SE150" s="9"/>
      <c r="SF150" s="9"/>
      <c r="SG150" s="9"/>
      <c r="SH150" s="9"/>
      <c r="SI150" s="9"/>
      <c r="SJ150" s="9"/>
      <c r="SK150" s="8"/>
      <c r="SL150" s="8"/>
      <c r="SM150" s="8"/>
      <c r="SN150" s="8"/>
      <c r="SO150" s="8"/>
      <c r="SP150" s="8"/>
      <c r="SQ150" s="8"/>
      <c r="SR150" s="8"/>
      <c r="SS150" s="8"/>
      <c r="ST150" s="8"/>
      <c r="SU150" s="8"/>
      <c r="SV150" s="8"/>
      <c r="SW150" s="8"/>
      <c r="SX150" s="8"/>
      <c r="SY150" s="8"/>
      <c r="SZ150" s="8"/>
      <c r="TA150" s="8"/>
      <c r="TB150" s="8"/>
      <c r="TC150" s="8"/>
      <c r="TD150" s="8"/>
      <c r="TE150" s="8"/>
      <c r="TF150" s="8"/>
      <c r="TG150" s="8"/>
      <c r="TH150" s="8"/>
      <c r="TI150" s="8"/>
      <c r="TJ150" s="8"/>
      <c r="TK150" s="8"/>
      <c r="TL150" s="8"/>
      <c r="TM150" s="8"/>
      <c r="TN150" s="8"/>
      <c r="TO150" s="8"/>
    </row>
    <row r="151" spans="1:535" x14ac:dyDescent="0.2">
      <c r="A151" s="7"/>
      <c r="B151" s="15"/>
      <c r="C151" s="15"/>
      <c r="D151" s="15"/>
      <c r="E151" s="15"/>
      <c r="F151" s="15"/>
      <c r="G151" s="15"/>
      <c r="H151" s="15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9"/>
      <c r="DK151" s="9"/>
      <c r="DL151" s="9"/>
      <c r="DM151" s="9"/>
      <c r="DN151" s="9"/>
      <c r="DO151" s="9"/>
      <c r="DP151" s="9"/>
      <c r="DQ151" s="9"/>
      <c r="DR151" s="9"/>
      <c r="DS151" s="9"/>
      <c r="DT151" s="9"/>
      <c r="DU151" s="9"/>
      <c r="DV151" s="9"/>
      <c r="DW151" s="9"/>
      <c r="DX151" s="9"/>
      <c r="DY151" s="9"/>
      <c r="DZ151" s="9"/>
      <c r="EA151" s="9"/>
      <c r="EB151" s="9"/>
      <c r="EC151" s="9"/>
      <c r="ED151" s="9"/>
      <c r="EE151" s="9"/>
      <c r="EF151" s="9"/>
      <c r="EG151" s="9"/>
      <c r="EH151" s="9"/>
      <c r="EI151" s="9"/>
      <c r="EJ151" s="9"/>
      <c r="EK151" s="9"/>
      <c r="EL151" s="9"/>
      <c r="EM151" s="9"/>
      <c r="EN151" s="9"/>
      <c r="EO151" s="9"/>
      <c r="EP151" s="9"/>
      <c r="EQ151" s="9"/>
      <c r="ER151" s="9"/>
      <c r="ES151" s="9"/>
      <c r="ET151" s="9"/>
      <c r="EU151" s="9"/>
      <c r="EV151" s="9"/>
      <c r="EW151" s="9"/>
      <c r="EX151" s="9"/>
      <c r="EY151" s="9"/>
      <c r="EZ151" s="9"/>
      <c r="FA151" s="9"/>
      <c r="FB151" s="9"/>
      <c r="FC151" s="9"/>
      <c r="FD151" s="9"/>
      <c r="FE151" s="9"/>
      <c r="FF151" s="9"/>
      <c r="FG151" s="9"/>
      <c r="FH151" s="9"/>
      <c r="FI151" s="9"/>
      <c r="FJ151" s="9"/>
      <c r="FK151" s="9"/>
      <c r="FL151" s="9"/>
      <c r="FM151" s="9"/>
      <c r="FN151" s="9"/>
      <c r="FO151" s="9"/>
      <c r="FP151" s="9"/>
      <c r="FQ151" s="9"/>
      <c r="FR151" s="9"/>
      <c r="FS151" s="9"/>
      <c r="FT151" s="9"/>
      <c r="FU151" s="9"/>
      <c r="FV151" s="9"/>
      <c r="FW151" s="9"/>
      <c r="FX151" s="9"/>
      <c r="FY151" s="9"/>
      <c r="FZ151" s="9"/>
      <c r="GA151" s="9"/>
      <c r="GB151" s="9"/>
      <c r="GC151" s="9"/>
      <c r="GD151" s="9"/>
      <c r="GE151" s="9"/>
      <c r="GF151" s="9"/>
      <c r="GG151" s="9"/>
      <c r="GH151" s="9"/>
      <c r="GI151" s="9"/>
      <c r="GJ151" s="9"/>
      <c r="GK151" s="9"/>
      <c r="GL151" s="9"/>
      <c r="GM151" s="9"/>
      <c r="GN151" s="9"/>
      <c r="GO151" s="9"/>
      <c r="GP151" s="9"/>
      <c r="GQ151" s="9"/>
      <c r="GR151" s="9"/>
      <c r="GS151" s="9"/>
      <c r="GT151" s="9"/>
      <c r="GU151" s="9"/>
      <c r="GV151" s="9"/>
      <c r="GW151" s="9"/>
      <c r="GX151" s="9"/>
      <c r="GY151" s="9"/>
      <c r="GZ151" s="9"/>
      <c r="HA151" s="9"/>
      <c r="HB151" s="9"/>
      <c r="HC151" s="9"/>
      <c r="HD151" s="9"/>
      <c r="HE151" s="9"/>
      <c r="HF151" s="9"/>
      <c r="HG151" s="9"/>
      <c r="HH151" s="9"/>
      <c r="HI151" s="9"/>
      <c r="HJ151" s="9"/>
      <c r="HK151" s="9"/>
      <c r="HL151" s="9"/>
      <c r="HM151" s="9"/>
      <c r="HN151" s="9"/>
      <c r="HO151" s="9"/>
      <c r="HP151" s="9"/>
      <c r="HQ151" s="9"/>
      <c r="HR151" s="9"/>
      <c r="HS151" s="9"/>
      <c r="HT151" s="9"/>
      <c r="HU151" s="9"/>
      <c r="HV151" s="9"/>
      <c r="HW151" s="9"/>
      <c r="HX151" s="9"/>
      <c r="HY151" s="9"/>
      <c r="HZ151" s="9"/>
      <c r="IA151" s="9"/>
      <c r="IB151" s="9"/>
      <c r="IC151" s="9"/>
      <c r="ID151" s="9"/>
      <c r="IE151" s="9"/>
      <c r="IF151" s="9"/>
      <c r="IG151" s="9"/>
      <c r="IH151" s="9"/>
      <c r="II151" s="9"/>
      <c r="IJ151" s="9"/>
      <c r="IK151" s="9"/>
      <c r="IL151" s="9"/>
      <c r="IM151" s="9"/>
      <c r="IN151" s="9"/>
      <c r="IO151" s="9"/>
      <c r="IP151" s="9"/>
      <c r="IQ151" s="9"/>
      <c r="IR151" s="9"/>
      <c r="IS151" s="9"/>
      <c r="IT151" s="9"/>
      <c r="IU151" s="9"/>
      <c r="IV151" s="9"/>
      <c r="IW151" s="9"/>
      <c r="IX151" s="9"/>
      <c r="IY151" s="9"/>
      <c r="IZ151" s="9"/>
      <c r="JA151" s="9"/>
      <c r="JB151" s="9"/>
      <c r="JC151" s="9"/>
      <c r="JD151" s="9"/>
      <c r="JE151" s="9"/>
      <c r="JF151" s="9"/>
      <c r="JG151" s="9"/>
      <c r="JH151" s="9"/>
      <c r="JI151" s="9"/>
      <c r="JJ151" s="9"/>
      <c r="JK151" s="9"/>
      <c r="JL151" s="9"/>
      <c r="JM151" s="9"/>
      <c r="JN151" s="9"/>
      <c r="JO151" s="9"/>
      <c r="JP151" s="9"/>
      <c r="JQ151" s="9"/>
      <c r="JR151" s="9"/>
      <c r="JS151" s="9"/>
      <c r="JT151" s="9"/>
      <c r="JU151" s="9"/>
      <c r="JV151" s="9"/>
      <c r="JW151" s="9"/>
      <c r="JX151" s="9"/>
      <c r="JY151" s="9"/>
      <c r="JZ151" s="9"/>
      <c r="KA151" s="9"/>
      <c r="KB151" s="9"/>
      <c r="KC151" s="9"/>
      <c r="KD151" s="9"/>
      <c r="KE151" s="9"/>
      <c r="KF151" s="9"/>
      <c r="KG151" s="9"/>
      <c r="KH151" s="9"/>
      <c r="KI151" s="9"/>
      <c r="KJ151" s="9"/>
      <c r="KK151" s="9"/>
      <c r="KL151" s="9"/>
      <c r="KM151" s="9"/>
      <c r="KN151" s="9"/>
      <c r="KO151" s="9"/>
      <c r="KP151" s="9"/>
      <c r="KQ151" s="9"/>
      <c r="KR151" s="9"/>
      <c r="KS151" s="9"/>
      <c r="KT151" s="9"/>
      <c r="KU151" s="9"/>
      <c r="KV151" s="9"/>
      <c r="KW151" s="9"/>
      <c r="KX151" s="9"/>
      <c r="KY151" s="9"/>
      <c r="KZ151" s="9"/>
      <c r="LA151" s="9"/>
      <c r="LB151" s="9"/>
      <c r="LC151" s="9"/>
      <c r="LD151" s="9"/>
      <c r="LE151" s="9"/>
      <c r="LF151" s="9"/>
      <c r="LG151" s="9"/>
      <c r="LH151" s="9"/>
      <c r="LI151" s="9"/>
      <c r="LJ151" s="9"/>
      <c r="LK151" s="9"/>
      <c r="LL151" s="9"/>
      <c r="LM151" s="9"/>
      <c r="LN151" s="9"/>
      <c r="LO151" s="9"/>
      <c r="LP151" s="9"/>
      <c r="LQ151" s="9"/>
      <c r="LR151" s="9"/>
      <c r="LS151" s="9"/>
      <c r="LT151" s="9"/>
      <c r="LU151" s="9"/>
      <c r="LV151" s="9"/>
      <c r="LW151" s="9"/>
      <c r="LX151" s="9"/>
      <c r="LY151" s="9"/>
      <c r="LZ151" s="9"/>
      <c r="MA151" s="9"/>
      <c r="MB151" s="9"/>
      <c r="MC151" s="9"/>
      <c r="MD151" s="9"/>
      <c r="ME151" s="9"/>
      <c r="MF151" s="9"/>
      <c r="MG151" s="9"/>
      <c r="MH151" s="9"/>
      <c r="MI151" s="9"/>
      <c r="MJ151" s="9"/>
      <c r="MK151" s="9"/>
      <c r="ML151" s="9"/>
      <c r="MM151" s="9"/>
      <c r="MN151" s="9"/>
      <c r="MO151" s="9"/>
      <c r="MP151" s="9"/>
      <c r="MQ151" s="9"/>
      <c r="MR151" s="9"/>
      <c r="MS151" s="9"/>
      <c r="MT151" s="9"/>
      <c r="MU151" s="9"/>
      <c r="MV151" s="9"/>
      <c r="MW151" s="9"/>
      <c r="MX151" s="9"/>
      <c r="MY151" s="9"/>
      <c r="MZ151" s="9"/>
      <c r="NA151" s="9"/>
      <c r="NB151" s="9"/>
      <c r="NC151" s="9"/>
      <c r="ND151" s="9"/>
      <c r="NE151" s="9"/>
      <c r="NF151" s="9"/>
      <c r="NG151" s="9"/>
      <c r="NH151" s="9"/>
      <c r="NI151" s="9"/>
      <c r="NJ151" s="9"/>
      <c r="NK151" s="9"/>
      <c r="NL151" s="9"/>
      <c r="NM151" s="9"/>
      <c r="NN151" s="9"/>
      <c r="NO151" s="9"/>
      <c r="NP151" s="9"/>
      <c r="NQ151" s="9"/>
      <c r="NR151" s="9"/>
      <c r="NS151" s="9"/>
      <c r="NT151" s="9"/>
      <c r="NU151" s="9"/>
      <c r="NV151" s="9"/>
      <c r="NW151" s="9"/>
      <c r="NX151" s="9"/>
      <c r="NY151" s="9"/>
      <c r="NZ151" s="9"/>
      <c r="OA151" s="9"/>
      <c r="OB151" s="9"/>
      <c r="OC151" s="9"/>
      <c r="OD151" s="9"/>
      <c r="OE151" s="9"/>
      <c r="OF151" s="9"/>
      <c r="OG151" s="9"/>
      <c r="OH151" s="9"/>
      <c r="OI151" s="9"/>
      <c r="OJ151" s="9"/>
      <c r="OK151" s="9"/>
      <c r="OL151" s="9"/>
      <c r="OM151" s="9"/>
      <c r="ON151" s="9"/>
      <c r="OO151" s="9"/>
      <c r="OP151" s="9"/>
      <c r="OQ151" s="9"/>
      <c r="OR151" s="9"/>
      <c r="OS151" s="9"/>
      <c r="OT151" s="9"/>
      <c r="OU151" s="9"/>
      <c r="OV151" s="9"/>
      <c r="OW151" s="9"/>
      <c r="OX151" s="9"/>
      <c r="OY151" s="9"/>
      <c r="OZ151" s="9"/>
      <c r="PA151" s="9"/>
      <c r="PB151" s="9"/>
      <c r="PC151" s="9"/>
      <c r="PD151" s="9"/>
      <c r="PE151" s="9"/>
      <c r="PF151" s="9"/>
      <c r="PG151" s="9"/>
      <c r="PH151" s="9"/>
      <c r="PI151" s="9"/>
      <c r="PJ151" s="9"/>
      <c r="PK151" s="9"/>
      <c r="PL151" s="9"/>
      <c r="PM151" s="9"/>
      <c r="PN151" s="9"/>
      <c r="PO151" s="9"/>
      <c r="PP151" s="9"/>
      <c r="PQ151" s="9"/>
      <c r="PR151" s="9"/>
      <c r="PS151" s="9"/>
      <c r="PT151" s="9"/>
      <c r="PU151" s="9"/>
      <c r="PV151" s="9"/>
      <c r="PW151" s="9"/>
      <c r="PX151" s="9"/>
      <c r="PY151" s="9"/>
      <c r="PZ151" s="9"/>
      <c r="QA151" s="9"/>
      <c r="QB151" s="9"/>
      <c r="QC151" s="9"/>
      <c r="QD151" s="9"/>
      <c r="QE151" s="9"/>
      <c r="QF151" s="9"/>
      <c r="QG151" s="9"/>
      <c r="QH151" s="9"/>
      <c r="QI151" s="9"/>
      <c r="QJ151" s="9"/>
      <c r="QK151" s="9"/>
      <c r="QL151" s="9"/>
      <c r="QM151" s="9"/>
      <c r="QN151" s="9"/>
      <c r="QO151" s="9"/>
      <c r="QP151" s="9"/>
      <c r="QQ151" s="9"/>
      <c r="QR151" s="9"/>
      <c r="QS151" s="9"/>
      <c r="QT151" s="9"/>
      <c r="QU151" s="9"/>
      <c r="QV151" s="9"/>
      <c r="QW151" s="9"/>
      <c r="QX151" s="9"/>
      <c r="QY151" s="9"/>
      <c r="QZ151" s="9"/>
      <c r="RA151" s="9"/>
      <c r="RB151" s="9"/>
      <c r="RC151" s="9"/>
      <c r="RD151" s="9"/>
      <c r="RE151" s="9"/>
      <c r="RF151" s="9"/>
      <c r="RG151" s="9"/>
      <c r="RH151" s="9"/>
      <c r="RI151" s="9"/>
      <c r="RJ151" s="9"/>
      <c r="RK151" s="9"/>
      <c r="RL151" s="9"/>
      <c r="RM151" s="9"/>
      <c r="RN151" s="9"/>
      <c r="RO151" s="9"/>
      <c r="RP151" s="9"/>
      <c r="RQ151" s="9"/>
      <c r="RR151" s="9"/>
      <c r="RS151" s="9"/>
      <c r="RT151" s="9"/>
      <c r="RU151" s="9"/>
      <c r="RV151" s="9"/>
      <c r="RW151" s="9"/>
      <c r="RX151" s="9"/>
      <c r="RY151" s="9"/>
      <c r="RZ151" s="9"/>
      <c r="SA151" s="9"/>
      <c r="SB151" s="9"/>
      <c r="SC151" s="9"/>
      <c r="SD151" s="9"/>
      <c r="SE151" s="9"/>
      <c r="SF151" s="9"/>
      <c r="SG151" s="9"/>
      <c r="SH151" s="9"/>
      <c r="SI151" s="9"/>
      <c r="SJ151" s="9"/>
      <c r="SK151" s="8"/>
      <c r="SL151" s="8"/>
      <c r="SM151" s="8"/>
      <c r="SN151" s="8"/>
      <c r="SO151" s="8"/>
      <c r="SP151" s="8"/>
      <c r="SQ151" s="8"/>
      <c r="SR151" s="8"/>
      <c r="SS151" s="8"/>
      <c r="ST151" s="8"/>
      <c r="SU151" s="8"/>
      <c r="SV151" s="8"/>
      <c r="SW151" s="8"/>
      <c r="SX151" s="8"/>
      <c r="SY151" s="8"/>
      <c r="SZ151" s="8"/>
      <c r="TA151" s="8"/>
      <c r="TB151" s="8"/>
      <c r="TC151" s="8"/>
      <c r="TD151" s="8"/>
      <c r="TE151" s="8"/>
      <c r="TF151" s="8"/>
      <c r="TG151" s="8"/>
      <c r="TH151" s="8"/>
      <c r="TI151" s="8"/>
      <c r="TJ151" s="8"/>
      <c r="TK151" s="8"/>
      <c r="TL151" s="8"/>
      <c r="TM151" s="8"/>
      <c r="TN151" s="8"/>
      <c r="TO151" s="8"/>
    </row>
    <row r="152" spans="1:535" x14ac:dyDescent="0.2">
      <c r="A152" s="7"/>
      <c r="B152" s="15"/>
      <c r="C152" s="15"/>
      <c r="D152" s="15"/>
      <c r="E152" s="15"/>
      <c r="F152" s="15"/>
      <c r="G152" s="15"/>
      <c r="H152" s="15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9"/>
      <c r="DP152" s="9"/>
      <c r="DQ152" s="9"/>
      <c r="DR152" s="9"/>
      <c r="DS152" s="9"/>
      <c r="DT152" s="9"/>
      <c r="DU152" s="9"/>
      <c r="DV152" s="9"/>
      <c r="DW152" s="9"/>
      <c r="DX152" s="9"/>
      <c r="DY152" s="9"/>
      <c r="DZ152" s="9"/>
      <c r="EA152" s="9"/>
      <c r="EB152" s="9"/>
      <c r="EC152" s="9"/>
      <c r="ED152" s="9"/>
      <c r="EE152" s="9"/>
      <c r="EF152" s="9"/>
      <c r="EG152" s="9"/>
      <c r="EH152" s="9"/>
      <c r="EI152" s="9"/>
      <c r="EJ152" s="9"/>
      <c r="EK152" s="9"/>
      <c r="EL152" s="9"/>
      <c r="EM152" s="9"/>
      <c r="EN152" s="9"/>
      <c r="EO152" s="9"/>
      <c r="EP152" s="9"/>
      <c r="EQ152" s="9"/>
      <c r="ER152" s="9"/>
      <c r="ES152" s="9"/>
      <c r="ET152" s="9"/>
      <c r="EU152" s="9"/>
      <c r="EV152" s="9"/>
      <c r="EW152" s="9"/>
      <c r="EX152" s="9"/>
      <c r="EY152" s="9"/>
      <c r="EZ152" s="9"/>
      <c r="FA152" s="9"/>
      <c r="FB152" s="9"/>
      <c r="FC152" s="9"/>
      <c r="FD152" s="9"/>
      <c r="FE152" s="9"/>
      <c r="FF152" s="9"/>
      <c r="FG152" s="9"/>
      <c r="FH152" s="9"/>
      <c r="FI152" s="9"/>
      <c r="FJ152" s="9"/>
      <c r="FK152" s="9"/>
      <c r="FL152" s="9"/>
      <c r="FM152" s="9"/>
      <c r="FN152" s="9"/>
      <c r="FO152" s="9"/>
      <c r="FP152" s="9"/>
      <c r="FQ152" s="9"/>
      <c r="FR152" s="9"/>
      <c r="FS152" s="9"/>
      <c r="FT152" s="9"/>
      <c r="FU152" s="9"/>
      <c r="FV152" s="9"/>
      <c r="FW152" s="9"/>
      <c r="FX152" s="9"/>
      <c r="FY152" s="9"/>
      <c r="FZ152" s="9"/>
      <c r="GA152" s="9"/>
      <c r="GB152" s="9"/>
      <c r="GC152" s="9"/>
      <c r="GD152" s="9"/>
      <c r="GE152" s="9"/>
      <c r="GF152" s="9"/>
      <c r="GG152" s="9"/>
      <c r="GH152" s="9"/>
      <c r="GI152" s="9"/>
      <c r="GJ152" s="9"/>
      <c r="GK152" s="9"/>
      <c r="GL152" s="9"/>
      <c r="GM152" s="9"/>
      <c r="GN152" s="9"/>
      <c r="GO152" s="9"/>
      <c r="GP152" s="9"/>
      <c r="GQ152" s="9"/>
      <c r="GR152" s="9"/>
      <c r="GS152" s="9"/>
      <c r="GT152" s="9"/>
      <c r="GU152" s="9"/>
      <c r="GV152" s="9"/>
      <c r="GW152" s="9"/>
      <c r="GX152" s="9"/>
      <c r="GY152" s="9"/>
      <c r="GZ152" s="9"/>
      <c r="HA152" s="9"/>
      <c r="HB152" s="9"/>
      <c r="HC152" s="9"/>
      <c r="HD152" s="9"/>
      <c r="HE152" s="9"/>
      <c r="HF152" s="9"/>
      <c r="HG152" s="9"/>
      <c r="HH152" s="9"/>
      <c r="HI152" s="9"/>
      <c r="HJ152" s="9"/>
      <c r="HK152" s="9"/>
      <c r="HL152" s="9"/>
      <c r="HM152" s="9"/>
      <c r="HN152" s="9"/>
      <c r="HO152" s="9"/>
      <c r="HP152" s="9"/>
      <c r="HQ152" s="9"/>
      <c r="HR152" s="9"/>
      <c r="HS152" s="9"/>
      <c r="HT152" s="9"/>
      <c r="HU152" s="9"/>
      <c r="HV152" s="9"/>
      <c r="HW152" s="9"/>
      <c r="HX152" s="9"/>
      <c r="HY152" s="9"/>
      <c r="HZ152" s="9"/>
      <c r="IA152" s="9"/>
      <c r="IB152" s="9"/>
      <c r="IC152" s="9"/>
      <c r="ID152" s="9"/>
      <c r="IE152" s="9"/>
      <c r="IF152" s="9"/>
      <c r="IG152" s="9"/>
      <c r="IH152" s="9"/>
      <c r="II152" s="9"/>
      <c r="IJ152" s="9"/>
      <c r="IK152" s="9"/>
      <c r="IL152" s="9"/>
      <c r="IM152" s="9"/>
      <c r="IN152" s="9"/>
      <c r="IO152" s="9"/>
      <c r="IP152" s="9"/>
      <c r="IQ152" s="9"/>
      <c r="IR152" s="9"/>
      <c r="IS152" s="9"/>
      <c r="IT152" s="9"/>
      <c r="IU152" s="9"/>
      <c r="IV152" s="9"/>
      <c r="IW152" s="9"/>
      <c r="IX152" s="9"/>
      <c r="IY152" s="9"/>
      <c r="IZ152" s="9"/>
      <c r="JA152" s="9"/>
      <c r="JB152" s="9"/>
      <c r="JC152" s="9"/>
      <c r="JD152" s="9"/>
      <c r="JE152" s="9"/>
      <c r="JF152" s="9"/>
      <c r="JG152" s="9"/>
      <c r="JH152" s="9"/>
      <c r="JI152" s="9"/>
      <c r="JJ152" s="9"/>
      <c r="JK152" s="9"/>
      <c r="JL152" s="9"/>
      <c r="JM152" s="9"/>
      <c r="JN152" s="9"/>
      <c r="JO152" s="9"/>
      <c r="JP152" s="9"/>
      <c r="JQ152" s="9"/>
      <c r="JR152" s="9"/>
      <c r="JS152" s="9"/>
      <c r="JT152" s="9"/>
      <c r="JU152" s="9"/>
      <c r="JV152" s="9"/>
      <c r="JW152" s="9"/>
      <c r="JX152" s="9"/>
      <c r="JY152" s="9"/>
      <c r="JZ152" s="9"/>
      <c r="KA152" s="9"/>
      <c r="KB152" s="9"/>
      <c r="KC152" s="9"/>
      <c r="KD152" s="9"/>
      <c r="KE152" s="9"/>
      <c r="KF152" s="9"/>
      <c r="KG152" s="9"/>
      <c r="KH152" s="9"/>
      <c r="KI152" s="9"/>
      <c r="KJ152" s="9"/>
      <c r="KK152" s="9"/>
      <c r="KL152" s="9"/>
      <c r="KM152" s="9"/>
      <c r="KN152" s="9"/>
      <c r="KO152" s="9"/>
      <c r="KP152" s="9"/>
      <c r="KQ152" s="9"/>
      <c r="KR152" s="9"/>
      <c r="KS152" s="9"/>
      <c r="KT152" s="9"/>
      <c r="KU152" s="9"/>
      <c r="KV152" s="9"/>
      <c r="KW152" s="9"/>
      <c r="KX152" s="9"/>
      <c r="KY152" s="9"/>
      <c r="KZ152" s="9"/>
      <c r="LA152" s="9"/>
      <c r="LB152" s="9"/>
      <c r="LC152" s="9"/>
      <c r="LD152" s="9"/>
      <c r="LE152" s="9"/>
      <c r="LF152" s="9"/>
      <c r="LG152" s="9"/>
      <c r="LH152" s="9"/>
      <c r="LI152" s="9"/>
      <c r="LJ152" s="9"/>
      <c r="LK152" s="9"/>
      <c r="LL152" s="9"/>
      <c r="LM152" s="9"/>
      <c r="LN152" s="9"/>
      <c r="LO152" s="9"/>
      <c r="LP152" s="9"/>
      <c r="LQ152" s="9"/>
      <c r="LR152" s="9"/>
      <c r="LS152" s="9"/>
      <c r="LT152" s="9"/>
      <c r="LU152" s="9"/>
      <c r="LV152" s="9"/>
      <c r="LW152" s="9"/>
      <c r="LX152" s="9"/>
      <c r="LY152" s="9"/>
      <c r="LZ152" s="9"/>
      <c r="MA152" s="9"/>
      <c r="MB152" s="9"/>
      <c r="MC152" s="9"/>
      <c r="MD152" s="9"/>
      <c r="ME152" s="9"/>
      <c r="MF152" s="9"/>
      <c r="MG152" s="9"/>
      <c r="MH152" s="9"/>
      <c r="MI152" s="9"/>
      <c r="MJ152" s="9"/>
      <c r="MK152" s="9"/>
      <c r="ML152" s="9"/>
      <c r="MM152" s="9"/>
      <c r="MN152" s="9"/>
      <c r="MO152" s="9"/>
      <c r="MP152" s="9"/>
      <c r="MQ152" s="9"/>
      <c r="MR152" s="9"/>
      <c r="MS152" s="9"/>
      <c r="MT152" s="9"/>
      <c r="MU152" s="9"/>
      <c r="MV152" s="9"/>
      <c r="MW152" s="9"/>
      <c r="MX152" s="9"/>
      <c r="MY152" s="9"/>
      <c r="MZ152" s="9"/>
      <c r="NA152" s="9"/>
      <c r="NB152" s="9"/>
      <c r="NC152" s="9"/>
      <c r="ND152" s="9"/>
      <c r="NE152" s="9"/>
      <c r="NF152" s="9"/>
      <c r="NG152" s="9"/>
      <c r="NH152" s="9"/>
      <c r="NI152" s="9"/>
      <c r="NJ152" s="9"/>
      <c r="NK152" s="9"/>
      <c r="NL152" s="9"/>
      <c r="NM152" s="9"/>
      <c r="NN152" s="9"/>
      <c r="NO152" s="9"/>
      <c r="NP152" s="9"/>
      <c r="NQ152" s="9"/>
      <c r="NR152" s="9"/>
      <c r="NS152" s="9"/>
      <c r="NT152" s="9"/>
      <c r="NU152" s="9"/>
      <c r="NV152" s="9"/>
      <c r="NW152" s="9"/>
      <c r="NX152" s="9"/>
      <c r="NY152" s="9"/>
      <c r="NZ152" s="9"/>
      <c r="OA152" s="9"/>
      <c r="OB152" s="9"/>
      <c r="OC152" s="9"/>
      <c r="OD152" s="9"/>
      <c r="OE152" s="9"/>
      <c r="OF152" s="9"/>
      <c r="OG152" s="9"/>
      <c r="OH152" s="9"/>
      <c r="OI152" s="9"/>
      <c r="OJ152" s="9"/>
      <c r="OK152" s="9"/>
      <c r="OL152" s="9"/>
      <c r="OM152" s="9"/>
      <c r="ON152" s="9"/>
      <c r="OO152" s="9"/>
      <c r="OP152" s="9"/>
      <c r="OQ152" s="9"/>
      <c r="OR152" s="9"/>
      <c r="OS152" s="9"/>
      <c r="OT152" s="9"/>
      <c r="OU152" s="9"/>
      <c r="OV152" s="9"/>
      <c r="OW152" s="9"/>
      <c r="OX152" s="9"/>
      <c r="OY152" s="9"/>
      <c r="OZ152" s="9"/>
      <c r="PA152" s="9"/>
      <c r="PB152" s="9"/>
      <c r="PC152" s="9"/>
      <c r="PD152" s="9"/>
      <c r="PE152" s="9"/>
      <c r="PF152" s="9"/>
      <c r="PG152" s="9"/>
      <c r="PH152" s="9"/>
      <c r="PI152" s="9"/>
      <c r="PJ152" s="9"/>
      <c r="PK152" s="9"/>
      <c r="PL152" s="9"/>
      <c r="PM152" s="9"/>
      <c r="PN152" s="9"/>
      <c r="PO152" s="9"/>
      <c r="PP152" s="9"/>
      <c r="PQ152" s="9"/>
      <c r="PR152" s="9"/>
      <c r="PS152" s="9"/>
      <c r="PT152" s="9"/>
      <c r="PU152" s="9"/>
      <c r="PV152" s="9"/>
      <c r="PW152" s="9"/>
      <c r="PX152" s="9"/>
      <c r="PY152" s="9"/>
      <c r="PZ152" s="9"/>
      <c r="QA152" s="9"/>
      <c r="QB152" s="9"/>
      <c r="QC152" s="9"/>
      <c r="QD152" s="9"/>
      <c r="QE152" s="9"/>
      <c r="QF152" s="9"/>
      <c r="QG152" s="9"/>
      <c r="QH152" s="9"/>
      <c r="QI152" s="9"/>
      <c r="QJ152" s="9"/>
      <c r="QK152" s="9"/>
      <c r="QL152" s="9"/>
      <c r="QM152" s="9"/>
      <c r="QN152" s="9"/>
      <c r="QO152" s="9"/>
      <c r="QP152" s="9"/>
      <c r="QQ152" s="9"/>
      <c r="QR152" s="9"/>
      <c r="QS152" s="9"/>
      <c r="QT152" s="9"/>
      <c r="QU152" s="9"/>
      <c r="QV152" s="9"/>
      <c r="QW152" s="9"/>
      <c r="QX152" s="9"/>
      <c r="QY152" s="9"/>
      <c r="QZ152" s="9"/>
      <c r="RA152" s="9"/>
      <c r="RB152" s="9"/>
      <c r="RC152" s="9"/>
      <c r="RD152" s="9"/>
      <c r="RE152" s="9"/>
      <c r="RF152" s="9"/>
      <c r="RG152" s="9"/>
      <c r="RH152" s="9"/>
      <c r="RI152" s="9"/>
      <c r="RJ152" s="9"/>
      <c r="RK152" s="9"/>
      <c r="RL152" s="9"/>
      <c r="RM152" s="9"/>
      <c r="RN152" s="9"/>
      <c r="RO152" s="9"/>
      <c r="RP152" s="9"/>
      <c r="RQ152" s="9"/>
      <c r="RR152" s="9"/>
      <c r="RS152" s="9"/>
      <c r="RT152" s="9"/>
      <c r="RU152" s="9"/>
      <c r="RV152" s="9"/>
      <c r="RW152" s="9"/>
      <c r="RX152" s="9"/>
      <c r="RY152" s="9"/>
      <c r="RZ152" s="9"/>
      <c r="SA152" s="9"/>
      <c r="SB152" s="9"/>
      <c r="SC152" s="9"/>
      <c r="SD152" s="9"/>
      <c r="SE152" s="9"/>
      <c r="SF152" s="9"/>
      <c r="SG152" s="9"/>
      <c r="SH152" s="9"/>
      <c r="SI152" s="9"/>
      <c r="SJ152" s="9"/>
      <c r="SK152" s="8"/>
      <c r="SL152" s="8"/>
      <c r="SM152" s="8"/>
      <c r="SN152" s="8"/>
      <c r="SO152" s="8"/>
      <c r="SP152" s="8"/>
      <c r="SQ152" s="8"/>
      <c r="SR152" s="8"/>
      <c r="SS152" s="8"/>
      <c r="ST152" s="8"/>
      <c r="SU152" s="8"/>
      <c r="SV152" s="8"/>
      <c r="SW152" s="8"/>
      <c r="SX152" s="8"/>
      <c r="SY152" s="8"/>
      <c r="SZ152" s="8"/>
      <c r="TA152" s="8"/>
      <c r="TB152" s="8"/>
      <c r="TC152" s="8"/>
      <c r="TD152" s="8"/>
      <c r="TE152" s="8"/>
      <c r="TF152" s="8"/>
      <c r="TG152" s="8"/>
      <c r="TH152" s="8"/>
      <c r="TI152" s="8"/>
      <c r="TJ152" s="8"/>
      <c r="TK152" s="8"/>
      <c r="TL152" s="8"/>
      <c r="TM152" s="8"/>
      <c r="TN152" s="8"/>
      <c r="TO152" s="8"/>
    </row>
    <row r="153" spans="1:535" x14ac:dyDescent="0.2">
      <c r="A153" s="7"/>
      <c r="B153" s="15"/>
      <c r="C153" s="15"/>
      <c r="D153" s="15"/>
      <c r="E153" s="15"/>
      <c r="F153" s="15"/>
      <c r="G153" s="15"/>
      <c r="H153" s="15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9"/>
      <c r="CK153" s="9"/>
      <c r="CL153" s="9"/>
      <c r="CM153" s="9"/>
      <c r="CN153" s="9"/>
      <c r="CO153" s="9"/>
      <c r="CP153" s="9"/>
      <c r="CQ153" s="9"/>
      <c r="CR153" s="9"/>
      <c r="CS153" s="9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/>
      <c r="DI153" s="9"/>
      <c r="DJ153" s="9"/>
      <c r="DK153" s="9"/>
      <c r="DL153" s="9"/>
      <c r="DM153" s="9"/>
      <c r="DN153" s="9"/>
      <c r="DO153" s="9"/>
      <c r="DP153" s="9"/>
      <c r="DQ153" s="9"/>
      <c r="DR153" s="9"/>
      <c r="DS153" s="9"/>
      <c r="DT153" s="9"/>
      <c r="DU153" s="9"/>
      <c r="DV153" s="9"/>
      <c r="DW153" s="9"/>
      <c r="DX153" s="9"/>
      <c r="DY153" s="9"/>
      <c r="DZ153" s="9"/>
      <c r="EA153" s="9"/>
      <c r="EB153" s="9"/>
      <c r="EC153" s="9"/>
      <c r="ED153" s="9"/>
      <c r="EE153" s="9"/>
      <c r="EF153" s="9"/>
      <c r="EG153" s="9"/>
      <c r="EH153" s="9"/>
      <c r="EI153" s="9"/>
      <c r="EJ153" s="9"/>
      <c r="EK153" s="9"/>
      <c r="EL153" s="9"/>
      <c r="EM153" s="9"/>
      <c r="EN153" s="9"/>
      <c r="EO153" s="9"/>
      <c r="EP153" s="9"/>
      <c r="EQ153" s="9"/>
      <c r="ER153" s="9"/>
      <c r="ES153" s="9"/>
      <c r="ET153" s="9"/>
      <c r="EU153" s="9"/>
      <c r="EV153" s="9"/>
      <c r="EW153" s="9"/>
      <c r="EX153" s="9"/>
      <c r="EY153" s="9"/>
      <c r="EZ153" s="9"/>
      <c r="FA153" s="9"/>
      <c r="FB153" s="9"/>
      <c r="FC153" s="9"/>
      <c r="FD153" s="9"/>
      <c r="FE153" s="9"/>
      <c r="FF153" s="9"/>
      <c r="FG153" s="9"/>
      <c r="FH153" s="9"/>
      <c r="FI153" s="9"/>
      <c r="FJ153" s="9"/>
      <c r="FK153" s="9"/>
      <c r="FL153" s="9"/>
      <c r="FM153" s="9"/>
      <c r="FN153" s="9"/>
      <c r="FO153" s="9"/>
      <c r="FP153" s="9"/>
      <c r="FQ153" s="9"/>
      <c r="FR153" s="9"/>
      <c r="FS153" s="9"/>
      <c r="FT153" s="9"/>
      <c r="FU153" s="9"/>
      <c r="FV153" s="9"/>
      <c r="FW153" s="9"/>
      <c r="FX153" s="9"/>
      <c r="FY153" s="9"/>
      <c r="FZ153" s="9"/>
      <c r="GA153" s="9"/>
      <c r="GB153" s="9"/>
      <c r="GC153" s="9"/>
      <c r="GD153" s="9"/>
      <c r="GE153" s="9"/>
      <c r="GF153" s="9"/>
      <c r="GG153" s="9"/>
      <c r="GH153" s="9"/>
      <c r="GI153" s="9"/>
      <c r="GJ153" s="9"/>
      <c r="GK153" s="9"/>
      <c r="GL153" s="9"/>
      <c r="GM153" s="9"/>
      <c r="GN153" s="9"/>
      <c r="GO153" s="9"/>
      <c r="GP153" s="9"/>
      <c r="GQ153" s="9"/>
      <c r="GR153" s="9"/>
      <c r="GS153" s="9"/>
      <c r="GT153" s="9"/>
      <c r="GU153" s="9"/>
      <c r="GV153" s="9"/>
      <c r="GW153" s="9"/>
      <c r="GX153" s="9"/>
      <c r="GY153" s="9"/>
      <c r="GZ153" s="9"/>
      <c r="HA153" s="9"/>
      <c r="HB153" s="9"/>
      <c r="HC153" s="9"/>
      <c r="HD153" s="9"/>
      <c r="HE153" s="9"/>
      <c r="HF153" s="9"/>
      <c r="HG153" s="9"/>
      <c r="HH153" s="9"/>
      <c r="HI153" s="9"/>
      <c r="HJ153" s="9"/>
      <c r="HK153" s="9"/>
      <c r="HL153" s="9"/>
      <c r="HM153" s="9"/>
      <c r="HN153" s="9"/>
      <c r="HO153" s="9"/>
      <c r="HP153" s="9"/>
      <c r="HQ153" s="9"/>
      <c r="HR153" s="9"/>
      <c r="HS153" s="9"/>
      <c r="HT153" s="9"/>
      <c r="HU153" s="9"/>
      <c r="HV153" s="9"/>
      <c r="HW153" s="9"/>
      <c r="HX153" s="9"/>
      <c r="HY153" s="9"/>
      <c r="HZ153" s="9"/>
      <c r="IA153" s="9"/>
      <c r="IB153" s="9"/>
      <c r="IC153" s="9"/>
      <c r="ID153" s="9"/>
      <c r="IE153" s="9"/>
      <c r="IF153" s="9"/>
      <c r="IG153" s="9"/>
      <c r="IH153" s="9"/>
      <c r="II153" s="9"/>
      <c r="IJ153" s="9"/>
      <c r="IK153" s="9"/>
      <c r="IL153" s="9"/>
      <c r="IM153" s="9"/>
      <c r="IN153" s="9"/>
      <c r="IO153" s="9"/>
      <c r="IP153" s="9"/>
      <c r="IQ153" s="9"/>
      <c r="IR153" s="9"/>
      <c r="IS153" s="9"/>
      <c r="IT153" s="9"/>
      <c r="IU153" s="9"/>
      <c r="IV153" s="9"/>
      <c r="IW153" s="9"/>
      <c r="IX153" s="9"/>
      <c r="IY153" s="9"/>
      <c r="IZ153" s="9"/>
      <c r="JA153" s="9"/>
      <c r="JB153" s="9"/>
      <c r="JC153" s="9"/>
      <c r="JD153" s="9"/>
      <c r="JE153" s="9"/>
      <c r="JF153" s="9"/>
      <c r="JG153" s="9"/>
      <c r="JH153" s="9"/>
      <c r="JI153" s="9"/>
      <c r="JJ153" s="9"/>
      <c r="JK153" s="9"/>
      <c r="JL153" s="9"/>
      <c r="JM153" s="9"/>
      <c r="JN153" s="9"/>
      <c r="JO153" s="9"/>
      <c r="JP153" s="9"/>
      <c r="JQ153" s="9"/>
      <c r="JR153" s="9"/>
      <c r="JS153" s="9"/>
      <c r="JT153" s="9"/>
      <c r="JU153" s="9"/>
      <c r="JV153" s="9"/>
      <c r="JW153" s="9"/>
      <c r="JX153" s="9"/>
      <c r="JY153" s="9"/>
      <c r="JZ153" s="9"/>
      <c r="KA153" s="9"/>
      <c r="KB153" s="9"/>
      <c r="KC153" s="9"/>
      <c r="KD153" s="9"/>
      <c r="KE153" s="9"/>
      <c r="KF153" s="9"/>
      <c r="KG153" s="9"/>
      <c r="KH153" s="9"/>
      <c r="KI153" s="9"/>
      <c r="KJ153" s="9"/>
      <c r="KK153" s="9"/>
      <c r="KL153" s="9"/>
      <c r="KM153" s="9"/>
      <c r="KN153" s="9"/>
      <c r="KO153" s="9"/>
      <c r="KP153" s="9"/>
      <c r="KQ153" s="9"/>
      <c r="KR153" s="9"/>
      <c r="KS153" s="9"/>
      <c r="KT153" s="9"/>
      <c r="KU153" s="9"/>
      <c r="KV153" s="9"/>
      <c r="KW153" s="9"/>
      <c r="KX153" s="9"/>
      <c r="KY153" s="9"/>
      <c r="KZ153" s="9"/>
      <c r="LA153" s="9"/>
      <c r="LB153" s="9"/>
      <c r="LC153" s="9"/>
      <c r="LD153" s="9"/>
      <c r="LE153" s="9"/>
      <c r="LF153" s="9"/>
      <c r="LG153" s="9"/>
      <c r="LH153" s="9"/>
      <c r="LI153" s="9"/>
      <c r="LJ153" s="9"/>
      <c r="LK153" s="9"/>
      <c r="LL153" s="9"/>
      <c r="LM153" s="9"/>
      <c r="LN153" s="9"/>
      <c r="LO153" s="9"/>
      <c r="LP153" s="9"/>
      <c r="LQ153" s="9"/>
      <c r="LR153" s="9"/>
      <c r="LS153" s="9"/>
      <c r="LT153" s="9"/>
      <c r="LU153" s="9"/>
      <c r="LV153" s="9"/>
      <c r="LW153" s="9"/>
      <c r="LX153" s="9"/>
      <c r="LY153" s="9"/>
      <c r="LZ153" s="9"/>
      <c r="MA153" s="9"/>
      <c r="MB153" s="9"/>
      <c r="MC153" s="9"/>
      <c r="MD153" s="9"/>
      <c r="ME153" s="9"/>
      <c r="MF153" s="9"/>
      <c r="MG153" s="9"/>
      <c r="MH153" s="9"/>
      <c r="MI153" s="9"/>
      <c r="MJ153" s="9"/>
      <c r="MK153" s="9"/>
      <c r="ML153" s="9"/>
      <c r="MM153" s="9"/>
      <c r="MN153" s="9"/>
      <c r="MO153" s="9"/>
      <c r="MP153" s="9"/>
      <c r="MQ153" s="9"/>
      <c r="MR153" s="9"/>
      <c r="MS153" s="9"/>
      <c r="MT153" s="9"/>
      <c r="MU153" s="9"/>
      <c r="MV153" s="9"/>
      <c r="MW153" s="9"/>
      <c r="MX153" s="9"/>
      <c r="MY153" s="9"/>
      <c r="MZ153" s="9"/>
      <c r="NA153" s="9"/>
      <c r="NB153" s="9"/>
      <c r="NC153" s="9"/>
      <c r="ND153" s="9"/>
      <c r="NE153" s="9"/>
      <c r="NF153" s="9"/>
      <c r="NG153" s="9"/>
      <c r="NH153" s="9"/>
      <c r="NI153" s="9"/>
      <c r="NJ153" s="9"/>
      <c r="NK153" s="9"/>
      <c r="NL153" s="9"/>
      <c r="NM153" s="9"/>
      <c r="NN153" s="9"/>
      <c r="NO153" s="9"/>
      <c r="NP153" s="9"/>
      <c r="NQ153" s="9"/>
      <c r="NR153" s="9"/>
      <c r="NS153" s="9"/>
      <c r="NT153" s="9"/>
      <c r="NU153" s="9"/>
      <c r="NV153" s="9"/>
      <c r="NW153" s="9"/>
      <c r="NX153" s="9"/>
      <c r="NY153" s="9"/>
      <c r="NZ153" s="9"/>
      <c r="OA153" s="9"/>
      <c r="OB153" s="9"/>
      <c r="OC153" s="9"/>
      <c r="OD153" s="9"/>
      <c r="OE153" s="9"/>
      <c r="OF153" s="9"/>
      <c r="OG153" s="9"/>
      <c r="OH153" s="9"/>
      <c r="OI153" s="9"/>
      <c r="OJ153" s="9"/>
      <c r="OK153" s="9"/>
      <c r="OL153" s="9"/>
      <c r="OM153" s="9"/>
      <c r="ON153" s="9"/>
      <c r="OO153" s="9"/>
      <c r="OP153" s="9"/>
      <c r="OQ153" s="9"/>
      <c r="OR153" s="9"/>
      <c r="OS153" s="9"/>
      <c r="OT153" s="9"/>
      <c r="OU153" s="9"/>
      <c r="OV153" s="9"/>
      <c r="OW153" s="9"/>
      <c r="OX153" s="9"/>
      <c r="OY153" s="9"/>
      <c r="OZ153" s="9"/>
      <c r="PA153" s="9"/>
      <c r="PB153" s="9"/>
      <c r="PC153" s="9"/>
      <c r="PD153" s="9"/>
      <c r="PE153" s="9"/>
      <c r="PF153" s="9"/>
      <c r="PG153" s="9"/>
      <c r="PH153" s="9"/>
      <c r="PI153" s="9"/>
      <c r="PJ153" s="9"/>
      <c r="PK153" s="9"/>
      <c r="PL153" s="9"/>
      <c r="PM153" s="9"/>
      <c r="PN153" s="9"/>
      <c r="PO153" s="9"/>
      <c r="PP153" s="9"/>
      <c r="PQ153" s="9"/>
      <c r="PR153" s="9"/>
      <c r="PS153" s="9"/>
      <c r="PT153" s="9"/>
      <c r="PU153" s="9"/>
      <c r="PV153" s="9"/>
      <c r="PW153" s="9"/>
      <c r="PX153" s="9"/>
      <c r="PY153" s="9"/>
      <c r="PZ153" s="9"/>
      <c r="QA153" s="9"/>
      <c r="QB153" s="9"/>
      <c r="QC153" s="9"/>
      <c r="QD153" s="9"/>
      <c r="QE153" s="9"/>
      <c r="QF153" s="9"/>
      <c r="QG153" s="9"/>
      <c r="QH153" s="9"/>
      <c r="QI153" s="9"/>
      <c r="QJ153" s="9"/>
      <c r="QK153" s="9"/>
      <c r="QL153" s="9"/>
      <c r="QM153" s="9"/>
      <c r="QN153" s="9"/>
      <c r="QO153" s="9"/>
      <c r="QP153" s="9"/>
      <c r="QQ153" s="9"/>
      <c r="QR153" s="9"/>
      <c r="QS153" s="9"/>
      <c r="QT153" s="9"/>
      <c r="QU153" s="9"/>
      <c r="QV153" s="9"/>
      <c r="QW153" s="9"/>
      <c r="QX153" s="9"/>
      <c r="QY153" s="9"/>
      <c r="QZ153" s="9"/>
      <c r="RA153" s="9"/>
      <c r="RB153" s="9"/>
      <c r="RC153" s="9"/>
      <c r="RD153" s="9"/>
      <c r="RE153" s="9"/>
      <c r="RF153" s="9"/>
      <c r="RG153" s="9"/>
      <c r="RH153" s="9"/>
      <c r="RI153" s="9"/>
      <c r="RJ153" s="9"/>
      <c r="RK153" s="9"/>
      <c r="RL153" s="9"/>
      <c r="RM153" s="9"/>
      <c r="RN153" s="9"/>
      <c r="RO153" s="9"/>
      <c r="RP153" s="9"/>
      <c r="RQ153" s="9"/>
      <c r="RR153" s="9"/>
      <c r="RS153" s="9"/>
      <c r="RT153" s="9"/>
      <c r="RU153" s="9"/>
      <c r="RV153" s="9"/>
      <c r="RW153" s="9"/>
      <c r="RX153" s="9"/>
      <c r="RY153" s="9"/>
      <c r="RZ153" s="9"/>
      <c r="SA153" s="9"/>
      <c r="SB153" s="9"/>
      <c r="SC153" s="9"/>
      <c r="SD153" s="9"/>
      <c r="SE153" s="9"/>
      <c r="SF153" s="9"/>
      <c r="SG153" s="9"/>
      <c r="SH153" s="9"/>
      <c r="SI153" s="9"/>
      <c r="SJ153" s="9"/>
      <c r="SK153" s="8"/>
      <c r="SL153" s="8"/>
      <c r="SM153" s="8"/>
      <c r="SN153" s="8"/>
      <c r="SO153" s="8"/>
      <c r="SP153" s="8"/>
      <c r="SQ153" s="8"/>
      <c r="SR153" s="8"/>
      <c r="SS153" s="8"/>
      <c r="ST153" s="8"/>
      <c r="SU153" s="8"/>
      <c r="SV153" s="8"/>
      <c r="SW153" s="8"/>
      <c r="SX153" s="8"/>
      <c r="SY153" s="8"/>
      <c r="SZ153" s="8"/>
      <c r="TA153" s="8"/>
      <c r="TB153" s="8"/>
      <c r="TC153" s="8"/>
      <c r="TD153" s="8"/>
      <c r="TE153" s="8"/>
      <c r="TF153" s="8"/>
      <c r="TG153" s="8"/>
      <c r="TH153" s="8"/>
      <c r="TI153" s="8"/>
      <c r="TJ153" s="8"/>
      <c r="TK153" s="8"/>
      <c r="TL153" s="8"/>
      <c r="TM153" s="8"/>
      <c r="TN153" s="8"/>
      <c r="TO153" s="8"/>
    </row>
    <row r="154" spans="1:535" x14ac:dyDescent="0.2">
      <c r="A154" s="7"/>
      <c r="B154" s="15"/>
      <c r="C154" s="15"/>
      <c r="D154" s="15"/>
      <c r="E154" s="15"/>
      <c r="F154" s="15"/>
      <c r="G154" s="15"/>
      <c r="H154" s="15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9"/>
      <c r="CK154" s="9"/>
      <c r="CL154" s="9"/>
      <c r="CM154" s="9"/>
      <c r="CN154" s="9"/>
      <c r="CO154" s="9"/>
      <c r="CP154" s="9"/>
      <c r="CQ154" s="9"/>
      <c r="CR154" s="9"/>
      <c r="CS154" s="9"/>
      <c r="CT154" s="9"/>
      <c r="CU154" s="9"/>
      <c r="CV154" s="9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/>
      <c r="DI154" s="9"/>
      <c r="DJ154" s="9"/>
      <c r="DK154" s="9"/>
      <c r="DL154" s="9"/>
      <c r="DM154" s="9"/>
      <c r="DN154" s="9"/>
      <c r="DO154" s="9"/>
      <c r="DP154" s="9"/>
      <c r="DQ154" s="9"/>
      <c r="DR154" s="9"/>
      <c r="DS154" s="9"/>
      <c r="DT154" s="9"/>
      <c r="DU154" s="9"/>
      <c r="DV154" s="9"/>
      <c r="DW154" s="9"/>
      <c r="DX154" s="9"/>
      <c r="DY154" s="9"/>
      <c r="DZ154" s="9"/>
      <c r="EA154" s="9"/>
      <c r="EB154" s="9"/>
      <c r="EC154" s="9"/>
      <c r="ED154" s="9"/>
      <c r="EE154" s="9"/>
      <c r="EF154" s="9"/>
      <c r="EG154" s="9"/>
      <c r="EH154" s="9"/>
      <c r="EI154" s="9"/>
      <c r="EJ154" s="9"/>
      <c r="EK154" s="9"/>
      <c r="EL154" s="9"/>
      <c r="EM154" s="9"/>
      <c r="EN154" s="9"/>
      <c r="EO154" s="9"/>
      <c r="EP154" s="9"/>
      <c r="EQ154" s="9"/>
      <c r="ER154" s="9"/>
      <c r="ES154" s="9"/>
      <c r="ET154" s="9"/>
      <c r="EU154" s="9"/>
      <c r="EV154" s="9"/>
      <c r="EW154" s="9"/>
      <c r="EX154" s="9"/>
      <c r="EY154" s="9"/>
      <c r="EZ154" s="9"/>
      <c r="FA154" s="9"/>
      <c r="FB154" s="9"/>
      <c r="FC154" s="9"/>
      <c r="FD154" s="9"/>
      <c r="FE154" s="9"/>
      <c r="FF154" s="9"/>
      <c r="FG154" s="9"/>
      <c r="FH154" s="9"/>
      <c r="FI154" s="9"/>
      <c r="FJ154" s="9"/>
      <c r="FK154" s="9"/>
      <c r="FL154" s="9"/>
      <c r="FM154" s="9"/>
      <c r="FN154" s="9"/>
      <c r="FO154" s="9"/>
      <c r="FP154" s="9"/>
      <c r="FQ154" s="9"/>
      <c r="FR154" s="9"/>
      <c r="FS154" s="9"/>
      <c r="FT154" s="9"/>
      <c r="FU154" s="9"/>
      <c r="FV154" s="9"/>
      <c r="FW154" s="9"/>
      <c r="FX154" s="9"/>
      <c r="FY154" s="9"/>
      <c r="FZ154" s="9"/>
      <c r="GA154" s="9"/>
      <c r="GB154" s="9"/>
      <c r="GC154" s="9"/>
      <c r="GD154" s="9"/>
      <c r="GE154" s="9"/>
      <c r="GF154" s="9"/>
      <c r="GG154" s="9"/>
      <c r="GH154" s="9"/>
      <c r="GI154" s="9"/>
      <c r="GJ154" s="9"/>
      <c r="GK154" s="9"/>
      <c r="GL154" s="9"/>
      <c r="GM154" s="9"/>
      <c r="GN154" s="9"/>
      <c r="GO154" s="9"/>
      <c r="GP154" s="9"/>
      <c r="GQ154" s="9"/>
      <c r="GR154" s="9"/>
      <c r="GS154" s="9"/>
      <c r="GT154" s="9"/>
      <c r="GU154" s="9"/>
      <c r="GV154" s="9"/>
      <c r="GW154" s="9"/>
      <c r="GX154" s="9"/>
      <c r="GY154" s="9"/>
      <c r="GZ154" s="9"/>
      <c r="HA154" s="9"/>
      <c r="HB154" s="9"/>
      <c r="HC154" s="9"/>
      <c r="HD154" s="9"/>
      <c r="HE154" s="9"/>
      <c r="HF154" s="9"/>
      <c r="HG154" s="9"/>
      <c r="HH154" s="9"/>
      <c r="HI154" s="9"/>
      <c r="HJ154" s="9"/>
      <c r="HK154" s="9"/>
      <c r="HL154" s="9"/>
      <c r="HM154" s="9"/>
      <c r="HN154" s="9"/>
      <c r="HO154" s="9"/>
      <c r="HP154" s="9"/>
      <c r="HQ154" s="9"/>
      <c r="HR154" s="9"/>
      <c r="HS154" s="9"/>
      <c r="HT154" s="9"/>
      <c r="HU154" s="9"/>
      <c r="HV154" s="9"/>
      <c r="HW154" s="9"/>
      <c r="HX154" s="9"/>
      <c r="HY154" s="9"/>
      <c r="HZ154" s="9"/>
      <c r="IA154" s="9"/>
      <c r="IB154" s="9"/>
      <c r="IC154" s="9"/>
      <c r="ID154" s="9"/>
      <c r="IE154" s="9"/>
      <c r="IF154" s="9"/>
      <c r="IG154" s="9"/>
      <c r="IH154" s="9"/>
      <c r="II154" s="9"/>
      <c r="IJ154" s="9"/>
      <c r="IK154" s="9"/>
      <c r="IL154" s="9"/>
      <c r="IM154" s="9"/>
      <c r="IN154" s="9"/>
      <c r="IO154" s="9"/>
      <c r="IP154" s="9"/>
      <c r="IQ154" s="9"/>
      <c r="IR154" s="9"/>
      <c r="IS154" s="9"/>
      <c r="IT154" s="9"/>
      <c r="IU154" s="9"/>
      <c r="IV154" s="9"/>
      <c r="IW154" s="9"/>
      <c r="IX154" s="9"/>
      <c r="IY154" s="9"/>
      <c r="IZ154" s="9"/>
      <c r="JA154" s="9"/>
      <c r="JB154" s="9"/>
      <c r="JC154" s="9"/>
      <c r="JD154" s="9"/>
      <c r="JE154" s="9"/>
      <c r="JF154" s="9"/>
      <c r="JG154" s="9"/>
      <c r="JH154" s="9"/>
      <c r="JI154" s="9"/>
      <c r="JJ154" s="9"/>
      <c r="JK154" s="9"/>
      <c r="JL154" s="9"/>
      <c r="JM154" s="9"/>
      <c r="JN154" s="9"/>
      <c r="JO154" s="9"/>
      <c r="JP154" s="9"/>
      <c r="JQ154" s="9"/>
      <c r="JR154" s="9"/>
      <c r="JS154" s="9"/>
      <c r="JT154" s="9"/>
      <c r="JU154" s="9"/>
      <c r="JV154" s="9"/>
      <c r="JW154" s="9"/>
      <c r="JX154" s="9"/>
      <c r="JY154" s="9"/>
      <c r="JZ154" s="9"/>
      <c r="KA154" s="9"/>
      <c r="KB154" s="9"/>
      <c r="KC154" s="9"/>
      <c r="KD154" s="9"/>
      <c r="KE154" s="9"/>
      <c r="KF154" s="9"/>
      <c r="KG154" s="9"/>
      <c r="KH154" s="9"/>
      <c r="KI154" s="9"/>
      <c r="KJ154" s="9"/>
      <c r="KK154" s="9"/>
      <c r="KL154" s="9"/>
      <c r="KM154" s="9"/>
      <c r="KN154" s="9"/>
      <c r="KO154" s="9"/>
      <c r="KP154" s="9"/>
      <c r="KQ154" s="9"/>
      <c r="KR154" s="9"/>
      <c r="KS154" s="9"/>
      <c r="KT154" s="9"/>
      <c r="KU154" s="9"/>
      <c r="KV154" s="9"/>
      <c r="KW154" s="9"/>
      <c r="KX154" s="9"/>
      <c r="KY154" s="9"/>
      <c r="KZ154" s="9"/>
      <c r="LA154" s="9"/>
      <c r="LB154" s="9"/>
      <c r="LC154" s="9"/>
      <c r="LD154" s="9"/>
      <c r="LE154" s="9"/>
      <c r="LF154" s="9"/>
      <c r="LG154" s="9"/>
      <c r="LH154" s="9"/>
      <c r="LI154" s="9"/>
      <c r="LJ154" s="9"/>
      <c r="LK154" s="9"/>
      <c r="LL154" s="9"/>
      <c r="LM154" s="9"/>
      <c r="LN154" s="9"/>
      <c r="LO154" s="9"/>
      <c r="LP154" s="9"/>
      <c r="LQ154" s="9"/>
      <c r="LR154" s="9"/>
      <c r="LS154" s="9"/>
      <c r="LT154" s="9"/>
      <c r="LU154" s="9"/>
      <c r="LV154" s="9"/>
      <c r="LW154" s="9"/>
      <c r="LX154" s="9"/>
      <c r="LY154" s="9"/>
      <c r="LZ154" s="9"/>
      <c r="MA154" s="9"/>
      <c r="MB154" s="9"/>
      <c r="MC154" s="9"/>
      <c r="MD154" s="9"/>
      <c r="ME154" s="9"/>
      <c r="MF154" s="9"/>
      <c r="MG154" s="9"/>
      <c r="MH154" s="9"/>
      <c r="MI154" s="9"/>
      <c r="MJ154" s="9"/>
      <c r="MK154" s="9"/>
      <c r="ML154" s="9"/>
      <c r="MM154" s="9"/>
      <c r="MN154" s="9"/>
      <c r="MO154" s="9"/>
      <c r="MP154" s="9"/>
      <c r="MQ154" s="9"/>
      <c r="MR154" s="9"/>
      <c r="MS154" s="9"/>
      <c r="MT154" s="9"/>
      <c r="MU154" s="9"/>
      <c r="MV154" s="9"/>
      <c r="MW154" s="9"/>
      <c r="MX154" s="9"/>
      <c r="MY154" s="9"/>
      <c r="MZ154" s="9"/>
      <c r="NA154" s="9"/>
      <c r="NB154" s="9"/>
      <c r="NC154" s="9"/>
      <c r="ND154" s="9"/>
      <c r="NE154" s="9"/>
      <c r="NF154" s="9"/>
      <c r="NG154" s="9"/>
      <c r="NH154" s="9"/>
      <c r="NI154" s="9"/>
      <c r="NJ154" s="9"/>
      <c r="NK154" s="9"/>
      <c r="NL154" s="9"/>
      <c r="NM154" s="9"/>
      <c r="NN154" s="9"/>
      <c r="NO154" s="9"/>
      <c r="NP154" s="9"/>
      <c r="NQ154" s="9"/>
      <c r="NR154" s="9"/>
      <c r="NS154" s="9"/>
      <c r="NT154" s="9"/>
      <c r="NU154" s="9"/>
      <c r="NV154" s="9"/>
      <c r="NW154" s="9"/>
      <c r="NX154" s="9"/>
      <c r="NY154" s="9"/>
      <c r="NZ154" s="9"/>
      <c r="OA154" s="9"/>
      <c r="OB154" s="9"/>
      <c r="OC154" s="9"/>
      <c r="OD154" s="9"/>
      <c r="OE154" s="9"/>
      <c r="OF154" s="9"/>
      <c r="OG154" s="9"/>
      <c r="OH154" s="9"/>
      <c r="OI154" s="9"/>
      <c r="OJ154" s="9"/>
      <c r="OK154" s="9"/>
      <c r="OL154" s="9"/>
      <c r="OM154" s="9"/>
      <c r="ON154" s="9"/>
      <c r="OO154" s="9"/>
      <c r="OP154" s="9"/>
      <c r="OQ154" s="9"/>
      <c r="OR154" s="9"/>
      <c r="OS154" s="9"/>
      <c r="OT154" s="9"/>
      <c r="OU154" s="9"/>
      <c r="OV154" s="9"/>
      <c r="OW154" s="9"/>
      <c r="OX154" s="9"/>
      <c r="OY154" s="9"/>
      <c r="OZ154" s="9"/>
      <c r="PA154" s="9"/>
      <c r="PB154" s="9"/>
      <c r="PC154" s="9"/>
      <c r="PD154" s="9"/>
      <c r="PE154" s="9"/>
      <c r="PF154" s="9"/>
      <c r="PG154" s="9"/>
      <c r="PH154" s="9"/>
      <c r="PI154" s="9"/>
      <c r="PJ154" s="9"/>
      <c r="PK154" s="9"/>
      <c r="PL154" s="9"/>
      <c r="PM154" s="9"/>
      <c r="PN154" s="9"/>
      <c r="PO154" s="9"/>
      <c r="PP154" s="9"/>
      <c r="PQ154" s="9"/>
      <c r="PR154" s="9"/>
      <c r="PS154" s="9"/>
      <c r="PT154" s="9"/>
      <c r="PU154" s="9"/>
      <c r="PV154" s="9"/>
      <c r="PW154" s="9"/>
      <c r="PX154" s="9"/>
      <c r="PY154" s="9"/>
      <c r="PZ154" s="9"/>
      <c r="QA154" s="9"/>
      <c r="QB154" s="9"/>
      <c r="QC154" s="9"/>
      <c r="QD154" s="9"/>
      <c r="QE154" s="9"/>
      <c r="QF154" s="9"/>
      <c r="QG154" s="9"/>
      <c r="QH154" s="9"/>
      <c r="QI154" s="9"/>
      <c r="QJ154" s="9"/>
      <c r="QK154" s="9"/>
      <c r="QL154" s="9"/>
      <c r="QM154" s="9"/>
      <c r="QN154" s="9"/>
      <c r="QO154" s="9"/>
      <c r="QP154" s="9"/>
      <c r="QQ154" s="9"/>
      <c r="QR154" s="9"/>
      <c r="QS154" s="9"/>
      <c r="QT154" s="9"/>
      <c r="QU154" s="9"/>
      <c r="QV154" s="9"/>
      <c r="QW154" s="9"/>
      <c r="QX154" s="9"/>
      <c r="QY154" s="9"/>
      <c r="QZ154" s="9"/>
      <c r="RA154" s="9"/>
      <c r="RB154" s="9"/>
      <c r="RC154" s="9"/>
      <c r="RD154" s="9"/>
      <c r="RE154" s="9"/>
      <c r="RF154" s="9"/>
      <c r="RG154" s="9"/>
      <c r="RH154" s="9"/>
      <c r="RI154" s="9"/>
      <c r="RJ154" s="9"/>
      <c r="RK154" s="9"/>
      <c r="RL154" s="9"/>
      <c r="RM154" s="9"/>
      <c r="RN154" s="9"/>
      <c r="RO154" s="9"/>
      <c r="RP154" s="9"/>
      <c r="RQ154" s="9"/>
      <c r="RR154" s="9"/>
      <c r="RS154" s="9"/>
      <c r="RT154" s="9"/>
      <c r="RU154" s="9"/>
      <c r="RV154" s="9"/>
      <c r="RW154" s="9"/>
      <c r="RX154" s="9"/>
      <c r="RY154" s="9"/>
      <c r="RZ154" s="9"/>
      <c r="SA154" s="9"/>
      <c r="SB154" s="9"/>
      <c r="SC154" s="9"/>
      <c r="SD154" s="9"/>
      <c r="SE154" s="9"/>
      <c r="SF154" s="9"/>
      <c r="SG154" s="9"/>
      <c r="SH154" s="9"/>
      <c r="SI154" s="9"/>
      <c r="SJ154" s="9"/>
      <c r="SK154" s="8"/>
      <c r="SL154" s="8"/>
      <c r="SM154" s="8"/>
      <c r="SN154" s="8"/>
      <c r="SO154" s="8"/>
      <c r="SP154" s="8"/>
      <c r="SQ154" s="8"/>
      <c r="SR154" s="8"/>
      <c r="SS154" s="8"/>
      <c r="ST154" s="8"/>
      <c r="SU154" s="8"/>
      <c r="SV154" s="8"/>
      <c r="SW154" s="8"/>
      <c r="SX154" s="8"/>
      <c r="SY154" s="8"/>
      <c r="SZ154" s="8"/>
      <c r="TA154" s="8"/>
      <c r="TB154" s="8"/>
      <c r="TC154" s="8"/>
      <c r="TD154" s="8"/>
      <c r="TE154" s="8"/>
      <c r="TF154" s="8"/>
      <c r="TG154" s="8"/>
      <c r="TH154" s="8"/>
      <c r="TI154" s="8"/>
      <c r="TJ154" s="8"/>
      <c r="TK154" s="8"/>
      <c r="TL154" s="8"/>
      <c r="TM154" s="8"/>
      <c r="TN154" s="8"/>
      <c r="TO154" s="8"/>
    </row>
    <row r="155" spans="1:535" x14ac:dyDescent="0.2">
      <c r="A155" s="7"/>
      <c r="B155" s="15"/>
      <c r="C155" s="15"/>
      <c r="D155" s="15"/>
      <c r="E155" s="15"/>
      <c r="F155" s="15"/>
      <c r="G155" s="15"/>
      <c r="H155" s="15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9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9"/>
      <c r="DP155" s="9"/>
      <c r="DQ155" s="9"/>
      <c r="DR155" s="9"/>
      <c r="DS155" s="9"/>
      <c r="DT155" s="9"/>
      <c r="DU155" s="9"/>
      <c r="DV155" s="9"/>
      <c r="DW155" s="9"/>
      <c r="DX155" s="9"/>
      <c r="DY155" s="9"/>
      <c r="DZ155" s="9"/>
      <c r="EA155" s="9"/>
      <c r="EB155" s="9"/>
      <c r="EC155" s="9"/>
      <c r="ED155" s="9"/>
      <c r="EE155" s="9"/>
      <c r="EF155" s="9"/>
      <c r="EG155" s="9"/>
      <c r="EH155" s="9"/>
      <c r="EI155" s="9"/>
      <c r="EJ155" s="9"/>
      <c r="EK155" s="9"/>
      <c r="EL155" s="9"/>
      <c r="EM155" s="9"/>
      <c r="EN155" s="9"/>
      <c r="EO155" s="9"/>
      <c r="EP155" s="9"/>
      <c r="EQ155" s="9"/>
      <c r="ER155" s="9"/>
      <c r="ES155" s="9"/>
      <c r="ET155" s="9"/>
      <c r="EU155" s="9"/>
      <c r="EV155" s="9"/>
      <c r="EW155" s="9"/>
      <c r="EX155" s="9"/>
      <c r="EY155" s="9"/>
      <c r="EZ155" s="9"/>
      <c r="FA155" s="9"/>
      <c r="FB155" s="9"/>
      <c r="FC155" s="9"/>
      <c r="FD155" s="9"/>
      <c r="FE155" s="9"/>
      <c r="FF155" s="9"/>
      <c r="FG155" s="9"/>
      <c r="FH155" s="9"/>
      <c r="FI155" s="9"/>
      <c r="FJ155" s="9"/>
      <c r="FK155" s="9"/>
      <c r="FL155" s="9"/>
      <c r="FM155" s="9"/>
      <c r="FN155" s="9"/>
      <c r="FO155" s="9"/>
      <c r="FP155" s="9"/>
      <c r="FQ155" s="9"/>
      <c r="FR155" s="9"/>
      <c r="FS155" s="9"/>
      <c r="FT155" s="9"/>
      <c r="FU155" s="9"/>
      <c r="FV155" s="9"/>
      <c r="FW155" s="9"/>
      <c r="FX155" s="9"/>
      <c r="FY155" s="9"/>
      <c r="FZ155" s="9"/>
      <c r="GA155" s="9"/>
      <c r="GB155" s="9"/>
      <c r="GC155" s="9"/>
      <c r="GD155" s="9"/>
      <c r="GE155" s="9"/>
      <c r="GF155" s="9"/>
      <c r="GG155" s="9"/>
      <c r="GH155" s="9"/>
      <c r="GI155" s="9"/>
      <c r="GJ155" s="9"/>
      <c r="GK155" s="9"/>
      <c r="GL155" s="9"/>
      <c r="GM155" s="9"/>
      <c r="GN155" s="9"/>
      <c r="GO155" s="9"/>
      <c r="GP155" s="9"/>
      <c r="GQ155" s="9"/>
      <c r="GR155" s="9"/>
      <c r="GS155" s="9"/>
      <c r="GT155" s="9"/>
      <c r="GU155" s="9"/>
      <c r="GV155" s="9"/>
      <c r="GW155" s="9"/>
      <c r="GX155" s="9"/>
      <c r="GY155" s="9"/>
      <c r="GZ155" s="9"/>
      <c r="HA155" s="9"/>
      <c r="HB155" s="9"/>
      <c r="HC155" s="9"/>
      <c r="HD155" s="9"/>
      <c r="HE155" s="9"/>
      <c r="HF155" s="9"/>
      <c r="HG155" s="9"/>
      <c r="HH155" s="9"/>
      <c r="HI155" s="9"/>
      <c r="HJ155" s="9"/>
      <c r="HK155" s="9"/>
      <c r="HL155" s="9"/>
      <c r="HM155" s="9"/>
      <c r="HN155" s="9"/>
      <c r="HO155" s="9"/>
      <c r="HP155" s="9"/>
      <c r="HQ155" s="9"/>
      <c r="HR155" s="9"/>
      <c r="HS155" s="9"/>
      <c r="HT155" s="9"/>
      <c r="HU155" s="9"/>
      <c r="HV155" s="9"/>
      <c r="HW155" s="9"/>
      <c r="HX155" s="9"/>
      <c r="HY155" s="9"/>
      <c r="HZ155" s="9"/>
      <c r="IA155" s="9"/>
      <c r="IB155" s="9"/>
      <c r="IC155" s="9"/>
      <c r="ID155" s="9"/>
      <c r="IE155" s="9"/>
      <c r="IF155" s="9"/>
      <c r="IG155" s="9"/>
      <c r="IH155" s="9"/>
      <c r="II155" s="9"/>
      <c r="IJ155" s="9"/>
      <c r="IK155" s="9"/>
      <c r="IL155" s="9"/>
      <c r="IM155" s="9"/>
      <c r="IN155" s="9"/>
      <c r="IO155" s="9"/>
      <c r="IP155" s="9"/>
      <c r="IQ155" s="9"/>
      <c r="IR155" s="9"/>
      <c r="IS155" s="9"/>
      <c r="IT155" s="9"/>
      <c r="IU155" s="9"/>
      <c r="IV155" s="9"/>
      <c r="IW155" s="9"/>
      <c r="IX155" s="9"/>
      <c r="IY155" s="9"/>
      <c r="IZ155" s="9"/>
      <c r="JA155" s="9"/>
      <c r="JB155" s="9"/>
      <c r="JC155" s="9"/>
      <c r="JD155" s="9"/>
      <c r="JE155" s="9"/>
      <c r="JF155" s="9"/>
      <c r="JG155" s="9"/>
      <c r="JH155" s="9"/>
      <c r="JI155" s="9"/>
      <c r="JJ155" s="9"/>
      <c r="JK155" s="9"/>
      <c r="JL155" s="9"/>
      <c r="JM155" s="9"/>
      <c r="JN155" s="9"/>
      <c r="JO155" s="9"/>
      <c r="JP155" s="9"/>
      <c r="JQ155" s="9"/>
      <c r="JR155" s="9"/>
      <c r="JS155" s="9"/>
      <c r="JT155" s="9"/>
      <c r="JU155" s="9"/>
      <c r="JV155" s="9"/>
      <c r="JW155" s="9"/>
      <c r="JX155" s="9"/>
      <c r="JY155" s="9"/>
      <c r="JZ155" s="9"/>
      <c r="KA155" s="9"/>
      <c r="KB155" s="9"/>
      <c r="KC155" s="9"/>
      <c r="KD155" s="9"/>
      <c r="KE155" s="9"/>
      <c r="KF155" s="9"/>
      <c r="KG155" s="9"/>
      <c r="KH155" s="9"/>
      <c r="KI155" s="9"/>
      <c r="KJ155" s="9"/>
      <c r="KK155" s="9"/>
      <c r="KL155" s="9"/>
      <c r="KM155" s="9"/>
      <c r="KN155" s="9"/>
      <c r="KO155" s="9"/>
      <c r="KP155" s="9"/>
      <c r="KQ155" s="9"/>
      <c r="KR155" s="9"/>
      <c r="KS155" s="9"/>
      <c r="KT155" s="9"/>
      <c r="KU155" s="9"/>
      <c r="KV155" s="9"/>
      <c r="KW155" s="9"/>
      <c r="KX155" s="9"/>
      <c r="KY155" s="9"/>
      <c r="KZ155" s="9"/>
      <c r="LA155" s="9"/>
      <c r="LB155" s="9"/>
      <c r="LC155" s="9"/>
      <c r="LD155" s="9"/>
      <c r="LE155" s="9"/>
      <c r="LF155" s="9"/>
      <c r="LG155" s="9"/>
      <c r="LH155" s="9"/>
      <c r="LI155" s="9"/>
      <c r="LJ155" s="9"/>
      <c r="LK155" s="9"/>
      <c r="LL155" s="9"/>
      <c r="LM155" s="9"/>
      <c r="LN155" s="9"/>
      <c r="LO155" s="9"/>
      <c r="LP155" s="9"/>
      <c r="LQ155" s="9"/>
      <c r="LR155" s="9"/>
      <c r="LS155" s="9"/>
      <c r="LT155" s="9"/>
      <c r="LU155" s="9"/>
      <c r="LV155" s="9"/>
      <c r="LW155" s="9"/>
      <c r="LX155" s="9"/>
      <c r="LY155" s="9"/>
      <c r="LZ155" s="9"/>
      <c r="MA155" s="9"/>
      <c r="MB155" s="9"/>
      <c r="MC155" s="9"/>
      <c r="MD155" s="9"/>
      <c r="ME155" s="9"/>
      <c r="MF155" s="9"/>
      <c r="MG155" s="9"/>
      <c r="MH155" s="9"/>
      <c r="MI155" s="9"/>
      <c r="MJ155" s="9"/>
      <c r="MK155" s="9"/>
      <c r="ML155" s="9"/>
      <c r="MM155" s="9"/>
      <c r="MN155" s="9"/>
      <c r="MO155" s="9"/>
      <c r="MP155" s="9"/>
      <c r="MQ155" s="9"/>
      <c r="MR155" s="9"/>
      <c r="MS155" s="9"/>
      <c r="MT155" s="9"/>
      <c r="MU155" s="9"/>
      <c r="MV155" s="9"/>
      <c r="MW155" s="9"/>
      <c r="MX155" s="9"/>
      <c r="MY155" s="9"/>
      <c r="MZ155" s="9"/>
      <c r="NA155" s="9"/>
      <c r="NB155" s="9"/>
      <c r="NC155" s="9"/>
      <c r="ND155" s="9"/>
      <c r="NE155" s="9"/>
      <c r="NF155" s="9"/>
      <c r="NG155" s="9"/>
      <c r="NH155" s="9"/>
      <c r="NI155" s="9"/>
      <c r="NJ155" s="9"/>
      <c r="NK155" s="9"/>
      <c r="NL155" s="9"/>
      <c r="NM155" s="9"/>
      <c r="NN155" s="9"/>
      <c r="NO155" s="9"/>
      <c r="NP155" s="9"/>
      <c r="NQ155" s="9"/>
      <c r="NR155" s="9"/>
      <c r="NS155" s="9"/>
      <c r="NT155" s="9"/>
      <c r="NU155" s="9"/>
      <c r="NV155" s="9"/>
      <c r="NW155" s="9"/>
      <c r="NX155" s="9"/>
      <c r="NY155" s="9"/>
      <c r="NZ155" s="9"/>
      <c r="OA155" s="9"/>
      <c r="OB155" s="9"/>
      <c r="OC155" s="9"/>
      <c r="OD155" s="9"/>
      <c r="OE155" s="9"/>
      <c r="OF155" s="9"/>
      <c r="OG155" s="9"/>
      <c r="OH155" s="9"/>
      <c r="OI155" s="9"/>
      <c r="OJ155" s="9"/>
      <c r="OK155" s="9"/>
      <c r="OL155" s="9"/>
      <c r="OM155" s="9"/>
      <c r="ON155" s="9"/>
      <c r="OO155" s="9"/>
      <c r="OP155" s="9"/>
      <c r="OQ155" s="9"/>
      <c r="OR155" s="9"/>
      <c r="OS155" s="9"/>
      <c r="OT155" s="9"/>
      <c r="OU155" s="9"/>
      <c r="OV155" s="9"/>
      <c r="OW155" s="9"/>
      <c r="OX155" s="9"/>
      <c r="OY155" s="9"/>
      <c r="OZ155" s="9"/>
      <c r="PA155" s="9"/>
      <c r="PB155" s="9"/>
      <c r="PC155" s="9"/>
      <c r="PD155" s="9"/>
      <c r="PE155" s="9"/>
      <c r="PF155" s="9"/>
      <c r="PG155" s="9"/>
      <c r="PH155" s="9"/>
      <c r="PI155" s="9"/>
      <c r="PJ155" s="9"/>
      <c r="PK155" s="9"/>
      <c r="PL155" s="9"/>
      <c r="PM155" s="9"/>
      <c r="PN155" s="9"/>
      <c r="PO155" s="9"/>
      <c r="PP155" s="9"/>
      <c r="PQ155" s="9"/>
      <c r="PR155" s="9"/>
      <c r="PS155" s="9"/>
      <c r="PT155" s="9"/>
      <c r="PU155" s="9"/>
      <c r="PV155" s="9"/>
      <c r="PW155" s="9"/>
      <c r="PX155" s="9"/>
      <c r="PY155" s="9"/>
      <c r="PZ155" s="9"/>
      <c r="QA155" s="9"/>
      <c r="QB155" s="9"/>
      <c r="QC155" s="9"/>
      <c r="QD155" s="9"/>
      <c r="QE155" s="9"/>
      <c r="QF155" s="9"/>
      <c r="QG155" s="9"/>
      <c r="QH155" s="9"/>
      <c r="QI155" s="9"/>
      <c r="QJ155" s="9"/>
      <c r="QK155" s="9"/>
      <c r="QL155" s="9"/>
      <c r="QM155" s="9"/>
      <c r="QN155" s="9"/>
      <c r="QO155" s="9"/>
      <c r="QP155" s="9"/>
      <c r="QQ155" s="9"/>
      <c r="QR155" s="9"/>
      <c r="QS155" s="9"/>
      <c r="QT155" s="9"/>
      <c r="QU155" s="9"/>
      <c r="QV155" s="9"/>
      <c r="QW155" s="9"/>
      <c r="QX155" s="9"/>
      <c r="QY155" s="9"/>
      <c r="QZ155" s="9"/>
      <c r="RA155" s="9"/>
      <c r="RB155" s="9"/>
      <c r="RC155" s="9"/>
      <c r="RD155" s="9"/>
      <c r="RE155" s="9"/>
      <c r="RF155" s="9"/>
      <c r="RG155" s="9"/>
      <c r="RH155" s="9"/>
      <c r="RI155" s="9"/>
      <c r="RJ155" s="9"/>
      <c r="RK155" s="9"/>
      <c r="RL155" s="9"/>
      <c r="RM155" s="9"/>
      <c r="RN155" s="9"/>
      <c r="RO155" s="9"/>
      <c r="RP155" s="9"/>
      <c r="RQ155" s="9"/>
      <c r="RR155" s="9"/>
      <c r="RS155" s="9"/>
      <c r="RT155" s="9"/>
      <c r="RU155" s="9"/>
      <c r="RV155" s="9"/>
      <c r="RW155" s="9"/>
      <c r="RX155" s="9"/>
      <c r="RY155" s="9"/>
      <c r="RZ155" s="9"/>
      <c r="SA155" s="9"/>
      <c r="SB155" s="9"/>
      <c r="SC155" s="9"/>
      <c r="SD155" s="9"/>
      <c r="SE155" s="9"/>
      <c r="SF155" s="9"/>
      <c r="SG155" s="9"/>
      <c r="SH155" s="9"/>
      <c r="SI155" s="9"/>
      <c r="SJ155" s="9"/>
      <c r="SK155" s="8"/>
      <c r="SL155" s="8"/>
      <c r="SM155" s="8"/>
      <c r="SN155" s="8"/>
      <c r="SO155" s="8"/>
      <c r="SP155" s="8"/>
      <c r="SQ155" s="8"/>
      <c r="SR155" s="8"/>
      <c r="SS155" s="8"/>
      <c r="ST155" s="8"/>
      <c r="SU155" s="8"/>
      <c r="SV155" s="8"/>
      <c r="SW155" s="8"/>
      <c r="SX155" s="8"/>
      <c r="SY155" s="8"/>
      <c r="SZ155" s="8"/>
      <c r="TA155" s="8"/>
      <c r="TB155" s="8"/>
      <c r="TC155" s="8"/>
      <c r="TD155" s="8"/>
      <c r="TE155" s="8"/>
      <c r="TF155" s="8"/>
      <c r="TG155" s="8"/>
      <c r="TH155" s="8"/>
      <c r="TI155" s="8"/>
      <c r="TJ155" s="8"/>
      <c r="TK155" s="8"/>
      <c r="TL155" s="8"/>
      <c r="TM155" s="8"/>
      <c r="TN155" s="8"/>
      <c r="TO155" s="8"/>
    </row>
    <row r="156" spans="1:535" x14ac:dyDescent="0.2">
      <c r="A156" s="7"/>
      <c r="B156" s="15"/>
      <c r="C156" s="15"/>
      <c r="D156" s="15"/>
      <c r="E156" s="15"/>
      <c r="F156" s="15"/>
      <c r="G156" s="15"/>
      <c r="H156" s="15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9"/>
      <c r="DP156" s="9"/>
      <c r="DQ156" s="9"/>
      <c r="DR156" s="9"/>
      <c r="DS156" s="9"/>
      <c r="DT156" s="9"/>
      <c r="DU156" s="9"/>
      <c r="DV156" s="9"/>
      <c r="DW156" s="9"/>
      <c r="DX156" s="9"/>
      <c r="DY156" s="9"/>
      <c r="DZ156" s="9"/>
      <c r="EA156" s="9"/>
      <c r="EB156" s="9"/>
      <c r="EC156" s="9"/>
      <c r="ED156" s="9"/>
      <c r="EE156" s="9"/>
      <c r="EF156" s="9"/>
      <c r="EG156" s="9"/>
      <c r="EH156" s="9"/>
      <c r="EI156" s="9"/>
      <c r="EJ156" s="9"/>
      <c r="EK156" s="9"/>
      <c r="EL156" s="9"/>
      <c r="EM156" s="9"/>
      <c r="EN156" s="9"/>
      <c r="EO156" s="9"/>
      <c r="EP156" s="9"/>
      <c r="EQ156" s="9"/>
      <c r="ER156" s="9"/>
      <c r="ES156" s="9"/>
      <c r="ET156" s="9"/>
      <c r="EU156" s="9"/>
      <c r="EV156" s="9"/>
      <c r="EW156" s="9"/>
      <c r="EX156" s="9"/>
      <c r="EY156" s="9"/>
      <c r="EZ156" s="9"/>
      <c r="FA156" s="9"/>
      <c r="FB156" s="9"/>
      <c r="FC156" s="9"/>
      <c r="FD156" s="9"/>
      <c r="FE156" s="9"/>
      <c r="FF156" s="9"/>
      <c r="FG156" s="9"/>
      <c r="FH156" s="9"/>
      <c r="FI156" s="9"/>
      <c r="FJ156" s="9"/>
      <c r="FK156" s="9"/>
      <c r="FL156" s="9"/>
      <c r="FM156" s="9"/>
      <c r="FN156" s="9"/>
      <c r="FO156" s="9"/>
      <c r="FP156" s="9"/>
      <c r="FQ156" s="9"/>
      <c r="FR156" s="9"/>
      <c r="FS156" s="9"/>
      <c r="FT156" s="9"/>
      <c r="FU156" s="9"/>
      <c r="FV156" s="9"/>
      <c r="FW156" s="9"/>
      <c r="FX156" s="9"/>
      <c r="FY156" s="9"/>
      <c r="FZ156" s="9"/>
      <c r="GA156" s="9"/>
      <c r="GB156" s="9"/>
      <c r="GC156" s="9"/>
      <c r="GD156" s="9"/>
      <c r="GE156" s="9"/>
      <c r="GF156" s="9"/>
      <c r="GG156" s="9"/>
      <c r="GH156" s="9"/>
      <c r="GI156" s="9"/>
      <c r="GJ156" s="9"/>
      <c r="GK156" s="9"/>
      <c r="GL156" s="9"/>
      <c r="GM156" s="9"/>
      <c r="GN156" s="9"/>
      <c r="GO156" s="9"/>
      <c r="GP156" s="9"/>
      <c r="GQ156" s="9"/>
      <c r="GR156" s="9"/>
      <c r="GS156" s="9"/>
      <c r="GT156" s="9"/>
      <c r="GU156" s="9"/>
      <c r="GV156" s="9"/>
      <c r="GW156" s="9"/>
      <c r="GX156" s="9"/>
      <c r="GY156" s="9"/>
      <c r="GZ156" s="9"/>
      <c r="HA156" s="9"/>
      <c r="HB156" s="9"/>
      <c r="HC156" s="9"/>
      <c r="HD156" s="9"/>
      <c r="HE156" s="9"/>
      <c r="HF156" s="9"/>
      <c r="HG156" s="9"/>
      <c r="HH156" s="9"/>
      <c r="HI156" s="9"/>
      <c r="HJ156" s="9"/>
      <c r="HK156" s="9"/>
      <c r="HL156" s="9"/>
      <c r="HM156" s="9"/>
      <c r="HN156" s="9"/>
      <c r="HO156" s="9"/>
      <c r="HP156" s="9"/>
      <c r="HQ156" s="9"/>
      <c r="HR156" s="9"/>
      <c r="HS156" s="9"/>
      <c r="HT156" s="9"/>
      <c r="HU156" s="9"/>
      <c r="HV156" s="9"/>
      <c r="HW156" s="9"/>
      <c r="HX156" s="9"/>
      <c r="HY156" s="9"/>
      <c r="HZ156" s="9"/>
      <c r="IA156" s="9"/>
      <c r="IB156" s="9"/>
      <c r="IC156" s="9"/>
      <c r="ID156" s="9"/>
      <c r="IE156" s="9"/>
      <c r="IF156" s="9"/>
      <c r="IG156" s="9"/>
      <c r="IH156" s="9"/>
      <c r="II156" s="9"/>
      <c r="IJ156" s="9"/>
      <c r="IK156" s="9"/>
      <c r="IL156" s="9"/>
      <c r="IM156" s="9"/>
      <c r="IN156" s="9"/>
      <c r="IO156" s="9"/>
      <c r="IP156" s="9"/>
      <c r="IQ156" s="9"/>
      <c r="IR156" s="9"/>
      <c r="IS156" s="9"/>
      <c r="IT156" s="9"/>
      <c r="IU156" s="9"/>
      <c r="IV156" s="9"/>
      <c r="IW156" s="9"/>
      <c r="IX156" s="9"/>
      <c r="IY156" s="9"/>
      <c r="IZ156" s="9"/>
      <c r="JA156" s="9"/>
      <c r="JB156" s="9"/>
      <c r="JC156" s="9"/>
      <c r="JD156" s="9"/>
      <c r="JE156" s="9"/>
      <c r="JF156" s="9"/>
      <c r="JG156" s="9"/>
      <c r="JH156" s="9"/>
      <c r="JI156" s="9"/>
      <c r="JJ156" s="9"/>
      <c r="JK156" s="9"/>
      <c r="JL156" s="9"/>
      <c r="JM156" s="9"/>
      <c r="JN156" s="9"/>
      <c r="JO156" s="9"/>
      <c r="JP156" s="9"/>
      <c r="JQ156" s="9"/>
      <c r="JR156" s="9"/>
      <c r="JS156" s="9"/>
      <c r="JT156" s="9"/>
      <c r="JU156" s="9"/>
      <c r="JV156" s="9"/>
      <c r="JW156" s="9"/>
      <c r="JX156" s="9"/>
      <c r="JY156" s="9"/>
      <c r="JZ156" s="9"/>
      <c r="KA156" s="9"/>
      <c r="KB156" s="9"/>
      <c r="KC156" s="9"/>
      <c r="KD156" s="9"/>
      <c r="KE156" s="9"/>
      <c r="KF156" s="9"/>
      <c r="KG156" s="9"/>
      <c r="KH156" s="9"/>
      <c r="KI156" s="9"/>
      <c r="KJ156" s="9"/>
      <c r="KK156" s="9"/>
      <c r="KL156" s="9"/>
      <c r="KM156" s="9"/>
      <c r="KN156" s="9"/>
      <c r="KO156" s="9"/>
      <c r="KP156" s="9"/>
      <c r="KQ156" s="9"/>
      <c r="KR156" s="9"/>
      <c r="KS156" s="9"/>
      <c r="KT156" s="9"/>
      <c r="KU156" s="9"/>
      <c r="KV156" s="9"/>
      <c r="KW156" s="9"/>
      <c r="KX156" s="9"/>
      <c r="KY156" s="9"/>
      <c r="KZ156" s="9"/>
      <c r="LA156" s="9"/>
      <c r="LB156" s="9"/>
      <c r="LC156" s="9"/>
      <c r="LD156" s="9"/>
      <c r="LE156" s="9"/>
      <c r="LF156" s="9"/>
      <c r="LG156" s="9"/>
      <c r="LH156" s="9"/>
      <c r="LI156" s="9"/>
      <c r="LJ156" s="9"/>
      <c r="LK156" s="9"/>
      <c r="LL156" s="9"/>
      <c r="LM156" s="9"/>
      <c r="LN156" s="9"/>
      <c r="LO156" s="9"/>
      <c r="LP156" s="9"/>
      <c r="LQ156" s="9"/>
      <c r="LR156" s="9"/>
      <c r="LS156" s="9"/>
      <c r="LT156" s="9"/>
      <c r="LU156" s="9"/>
      <c r="LV156" s="9"/>
      <c r="LW156" s="9"/>
      <c r="LX156" s="9"/>
      <c r="LY156" s="9"/>
      <c r="LZ156" s="9"/>
      <c r="MA156" s="9"/>
      <c r="MB156" s="9"/>
      <c r="MC156" s="9"/>
      <c r="MD156" s="9"/>
      <c r="ME156" s="9"/>
      <c r="MF156" s="9"/>
      <c r="MG156" s="9"/>
      <c r="MH156" s="9"/>
      <c r="MI156" s="9"/>
      <c r="MJ156" s="9"/>
      <c r="MK156" s="9"/>
      <c r="ML156" s="9"/>
      <c r="MM156" s="9"/>
      <c r="MN156" s="9"/>
      <c r="MO156" s="9"/>
      <c r="MP156" s="9"/>
      <c r="MQ156" s="9"/>
      <c r="MR156" s="9"/>
      <c r="MS156" s="9"/>
      <c r="MT156" s="9"/>
      <c r="MU156" s="9"/>
      <c r="MV156" s="9"/>
      <c r="MW156" s="9"/>
      <c r="MX156" s="9"/>
      <c r="MY156" s="9"/>
      <c r="MZ156" s="9"/>
      <c r="NA156" s="9"/>
      <c r="NB156" s="9"/>
      <c r="NC156" s="9"/>
      <c r="ND156" s="9"/>
      <c r="NE156" s="9"/>
      <c r="NF156" s="9"/>
      <c r="NG156" s="9"/>
      <c r="NH156" s="9"/>
      <c r="NI156" s="9"/>
      <c r="NJ156" s="9"/>
      <c r="NK156" s="9"/>
      <c r="NL156" s="9"/>
      <c r="NM156" s="9"/>
      <c r="NN156" s="9"/>
      <c r="NO156" s="9"/>
      <c r="NP156" s="9"/>
      <c r="NQ156" s="9"/>
      <c r="NR156" s="9"/>
      <c r="NS156" s="9"/>
      <c r="NT156" s="9"/>
      <c r="NU156" s="9"/>
      <c r="NV156" s="9"/>
      <c r="NW156" s="9"/>
      <c r="NX156" s="9"/>
      <c r="NY156" s="9"/>
      <c r="NZ156" s="9"/>
      <c r="OA156" s="9"/>
      <c r="OB156" s="9"/>
      <c r="OC156" s="9"/>
      <c r="OD156" s="9"/>
      <c r="OE156" s="9"/>
      <c r="OF156" s="9"/>
      <c r="OG156" s="9"/>
      <c r="OH156" s="9"/>
      <c r="OI156" s="9"/>
      <c r="OJ156" s="9"/>
      <c r="OK156" s="9"/>
      <c r="OL156" s="9"/>
      <c r="OM156" s="9"/>
      <c r="ON156" s="9"/>
      <c r="OO156" s="9"/>
      <c r="OP156" s="9"/>
      <c r="OQ156" s="9"/>
      <c r="OR156" s="9"/>
      <c r="OS156" s="9"/>
      <c r="OT156" s="9"/>
      <c r="OU156" s="9"/>
      <c r="OV156" s="9"/>
      <c r="OW156" s="9"/>
      <c r="OX156" s="9"/>
      <c r="OY156" s="9"/>
      <c r="OZ156" s="9"/>
      <c r="PA156" s="9"/>
      <c r="PB156" s="9"/>
      <c r="PC156" s="9"/>
      <c r="PD156" s="9"/>
      <c r="PE156" s="9"/>
      <c r="PF156" s="9"/>
      <c r="PG156" s="9"/>
      <c r="PH156" s="9"/>
      <c r="PI156" s="9"/>
      <c r="PJ156" s="9"/>
      <c r="PK156" s="9"/>
      <c r="PL156" s="9"/>
      <c r="PM156" s="9"/>
      <c r="PN156" s="9"/>
      <c r="PO156" s="9"/>
      <c r="PP156" s="9"/>
      <c r="PQ156" s="9"/>
      <c r="PR156" s="9"/>
      <c r="PS156" s="9"/>
      <c r="PT156" s="9"/>
      <c r="PU156" s="9"/>
      <c r="PV156" s="9"/>
      <c r="PW156" s="9"/>
      <c r="PX156" s="9"/>
      <c r="PY156" s="9"/>
      <c r="PZ156" s="9"/>
      <c r="QA156" s="9"/>
      <c r="QB156" s="9"/>
      <c r="QC156" s="9"/>
      <c r="QD156" s="9"/>
      <c r="QE156" s="9"/>
      <c r="QF156" s="9"/>
      <c r="QG156" s="9"/>
      <c r="QH156" s="9"/>
      <c r="QI156" s="9"/>
      <c r="QJ156" s="9"/>
      <c r="QK156" s="9"/>
      <c r="QL156" s="9"/>
      <c r="QM156" s="9"/>
      <c r="QN156" s="9"/>
      <c r="QO156" s="9"/>
      <c r="QP156" s="9"/>
      <c r="QQ156" s="9"/>
      <c r="QR156" s="9"/>
      <c r="QS156" s="9"/>
      <c r="QT156" s="9"/>
      <c r="QU156" s="9"/>
      <c r="QV156" s="9"/>
      <c r="QW156" s="9"/>
      <c r="QX156" s="9"/>
      <c r="QY156" s="9"/>
      <c r="QZ156" s="9"/>
      <c r="RA156" s="9"/>
      <c r="RB156" s="9"/>
      <c r="RC156" s="9"/>
      <c r="RD156" s="9"/>
      <c r="RE156" s="9"/>
      <c r="RF156" s="9"/>
      <c r="RG156" s="9"/>
      <c r="RH156" s="9"/>
      <c r="RI156" s="9"/>
      <c r="RJ156" s="9"/>
      <c r="RK156" s="9"/>
      <c r="RL156" s="9"/>
      <c r="RM156" s="9"/>
      <c r="RN156" s="9"/>
      <c r="RO156" s="9"/>
      <c r="RP156" s="9"/>
      <c r="RQ156" s="9"/>
      <c r="RR156" s="9"/>
      <c r="RS156" s="9"/>
      <c r="RT156" s="9"/>
      <c r="RU156" s="9"/>
      <c r="RV156" s="9"/>
      <c r="RW156" s="9"/>
      <c r="RX156" s="9"/>
      <c r="RY156" s="9"/>
      <c r="RZ156" s="9"/>
      <c r="SA156" s="9"/>
      <c r="SB156" s="9"/>
      <c r="SC156" s="9"/>
      <c r="SD156" s="9"/>
      <c r="SE156" s="9"/>
      <c r="SF156" s="9"/>
      <c r="SG156" s="9"/>
      <c r="SH156" s="9"/>
      <c r="SI156" s="9"/>
      <c r="SJ156" s="9"/>
      <c r="SK156" s="8"/>
      <c r="SL156" s="8"/>
      <c r="SM156" s="8"/>
      <c r="SN156" s="8"/>
      <c r="SO156" s="8"/>
      <c r="SP156" s="8"/>
      <c r="SQ156" s="8"/>
      <c r="SR156" s="8"/>
      <c r="SS156" s="8"/>
      <c r="ST156" s="8"/>
      <c r="SU156" s="8"/>
      <c r="SV156" s="8"/>
      <c r="SW156" s="8"/>
      <c r="SX156" s="8"/>
      <c r="SY156" s="8"/>
      <c r="SZ156" s="8"/>
      <c r="TA156" s="8"/>
      <c r="TB156" s="8"/>
      <c r="TC156" s="8"/>
      <c r="TD156" s="8"/>
      <c r="TE156" s="8"/>
      <c r="TF156" s="8"/>
      <c r="TG156" s="8"/>
      <c r="TH156" s="8"/>
      <c r="TI156" s="8"/>
      <c r="TJ156" s="8"/>
      <c r="TK156" s="8"/>
      <c r="TL156" s="8"/>
      <c r="TM156" s="8"/>
      <c r="TN156" s="8"/>
      <c r="TO156" s="8"/>
    </row>
    <row r="157" spans="1:535" x14ac:dyDescent="0.2">
      <c r="A157" s="7"/>
      <c r="B157" s="7"/>
      <c r="C157" s="9"/>
      <c r="D157" s="8"/>
      <c r="E157" s="8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  <c r="EU157" s="9"/>
      <c r="EV157" s="9"/>
      <c r="EW157" s="9"/>
      <c r="EX157" s="9"/>
      <c r="EY157" s="9"/>
      <c r="EZ157" s="9"/>
      <c r="FA157" s="9"/>
      <c r="FB157" s="9"/>
      <c r="FC157" s="9"/>
      <c r="FD157" s="9"/>
      <c r="FE157" s="9"/>
      <c r="FF157" s="9"/>
      <c r="FG157" s="9"/>
      <c r="FH157" s="9"/>
      <c r="FI157" s="9"/>
      <c r="FJ157" s="9"/>
      <c r="FK157" s="9"/>
      <c r="FL157" s="9"/>
      <c r="FM157" s="9"/>
      <c r="FN157" s="9"/>
      <c r="FO157" s="9"/>
      <c r="FP157" s="9"/>
      <c r="FQ157" s="9"/>
      <c r="FR157" s="9"/>
      <c r="FS157" s="9"/>
      <c r="FT157" s="9"/>
      <c r="FU157" s="9"/>
      <c r="FV157" s="9"/>
      <c r="FW157" s="9"/>
      <c r="FX157" s="9"/>
      <c r="FY157" s="9"/>
      <c r="FZ157" s="9"/>
      <c r="GA157" s="9"/>
      <c r="GB157" s="9"/>
      <c r="GC157" s="9"/>
      <c r="GD157" s="9"/>
      <c r="GE157" s="9"/>
      <c r="GF157" s="9"/>
      <c r="GG157" s="9"/>
      <c r="GH157" s="9"/>
      <c r="GI157" s="9"/>
      <c r="GJ157" s="9"/>
      <c r="GK157" s="9"/>
      <c r="GL157" s="9"/>
      <c r="GM157" s="9"/>
      <c r="GN157" s="9"/>
      <c r="GO157" s="9"/>
      <c r="GP157" s="9"/>
      <c r="GQ157" s="9"/>
      <c r="GR157" s="9"/>
      <c r="GS157" s="9"/>
      <c r="GT157" s="9"/>
      <c r="GU157" s="9"/>
      <c r="GV157" s="9"/>
      <c r="GW157" s="9"/>
      <c r="GX157" s="9"/>
      <c r="GY157" s="9"/>
      <c r="GZ157" s="9"/>
      <c r="HA157" s="9"/>
      <c r="HB157" s="9"/>
      <c r="HC157" s="9"/>
      <c r="HD157" s="9"/>
      <c r="HE157" s="9"/>
      <c r="HF157" s="9"/>
      <c r="HG157" s="9"/>
      <c r="HH157" s="9"/>
      <c r="HI157" s="9"/>
      <c r="HJ157" s="9"/>
      <c r="HK157" s="9"/>
      <c r="HL157" s="9"/>
      <c r="HM157" s="9"/>
      <c r="HN157" s="9"/>
      <c r="HO157" s="9"/>
      <c r="HP157" s="9"/>
      <c r="HQ157" s="9"/>
      <c r="HR157" s="9"/>
      <c r="HS157" s="9"/>
      <c r="HT157" s="9"/>
      <c r="HU157" s="9"/>
      <c r="HV157" s="9"/>
      <c r="HW157" s="9"/>
      <c r="HX157" s="9"/>
      <c r="HY157" s="9"/>
      <c r="HZ157" s="9"/>
      <c r="IA157" s="9"/>
      <c r="IB157" s="9"/>
      <c r="IC157" s="9"/>
      <c r="ID157" s="9"/>
      <c r="IE157" s="9"/>
      <c r="IF157" s="9"/>
      <c r="IG157" s="9"/>
      <c r="IH157" s="9"/>
      <c r="II157" s="9"/>
      <c r="IJ157" s="9"/>
      <c r="IK157" s="9"/>
      <c r="IL157" s="9"/>
      <c r="IM157" s="9"/>
      <c r="IN157" s="9"/>
      <c r="IO157" s="9"/>
      <c r="IP157" s="9"/>
      <c r="IQ157" s="9"/>
      <c r="IR157" s="9"/>
      <c r="IS157" s="9"/>
      <c r="IT157" s="9"/>
      <c r="IU157" s="9"/>
      <c r="IV157" s="9"/>
      <c r="IW157" s="9"/>
      <c r="IX157" s="9"/>
      <c r="IY157" s="9"/>
      <c r="IZ157" s="9"/>
      <c r="JA157" s="9"/>
      <c r="JB157" s="9"/>
      <c r="JC157" s="9"/>
      <c r="JD157" s="9"/>
      <c r="JE157" s="9"/>
      <c r="JF157" s="9"/>
      <c r="JG157" s="9"/>
      <c r="JH157" s="9"/>
      <c r="JI157" s="9"/>
      <c r="JJ157" s="9"/>
      <c r="JK157" s="9"/>
      <c r="JL157" s="9"/>
      <c r="JM157" s="9"/>
      <c r="JN157" s="9"/>
      <c r="JO157" s="9"/>
      <c r="JP157" s="9"/>
      <c r="JQ157" s="9"/>
      <c r="JR157" s="9"/>
      <c r="JS157" s="9"/>
      <c r="JT157" s="9"/>
      <c r="JU157" s="9"/>
      <c r="JV157" s="9"/>
      <c r="JW157" s="9"/>
      <c r="JX157" s="9"/>
      <c r="JY157" s="9"/>
      <c r="JZ157" s="9"/>
      <c r="KA157" s="9"/>
      <c r="KB157" s="9"/>
      <c r="KC157" s="9"/>
      <c r="KD157" s="9"/>
      <c r="KE157" s="9"/>
      <c r="KF157" s="9"/>
      <c r="KG157" s="9"/>
      <c r="KH157" s="9"/>
      <c r="KI157" s="9"/>
      <c r="KJ157" s="9"/>
      <c r="KK157" s="9"/>
      <c r="KL157" s="9"/>
      <c r="KM157" s="9"/>
      <c r="KN157" s="9"/>
      <c r="KO157" s="9"/>
      <c r="KP157" s="9"/>
      <c r="KQ157" s="9"/>
      <c r="KR157" s="9"/>
      <c r="KS157" s="9"/>
      <c r="KT157" s="9"/>
      <c r="KU157" s="9"/>
      <c r="KV157" s="9"/>
      <c r="KW157" s="9"/>
      <c r="KX157" s="9"/>
      <c r="KY157" s="9"/>
      <c r="KZ157" s="9"/>
      <c r="LA157" s="9"/>
      <c r="LB157" s="9"/>
      <c r="LC157" s="9"/>
      <c r="LD157" s="9"/>
      <c r="LE157" s="9"/>
      <c r="LF157" s="9"/>
      <c r="LG157" s="9"/>
      <c r="LH157" s="9"/>
      <c r="LI157" s="9"/>
      <c r="LJ157" s="9"/>
      <c r="LK157" s="9"/>
      <c r="LL157" s="9"/>
      <c r="LM157" s="9"/>
      <c r="LN157" s="9"/>
      <c r="LO157" s="9"/>
      <c r="LP157" s="9"/>
      <c r="LQ157" s="9"/>
      <c r="LR157" s="9"/>
      <c r="LS157" s="9"/>
      <c r="LT157" s="9"/>
      <c r="LU157" s="9"/>
      <c r="LV157" s="9"/>
      <c r="LW157" s="9"/>
      <c r="LX157" s="9"/>
      <c r="LY157" s="9"/>
      <c r="LZ157" s="9"/>
      <c r="MA157" s="9"/>
      <c r="MB157" s="9"/>
      <c r="MC157" s="9"/>
      <c r="MD157" s="9"/>
      <c r="ME157" s="9"/>
      <c r="MF157" s="9"/>
      <c r="MG157" s="9"/>
      <c r="MH157" s="9"/>
      <c r="MI157" s="9"/>
      <c r="MJ157" s="9"/>
      <c r="MK157" s="9"/>
      <c r="ML157" s="9"/>
      <c r="MM157" s="9"/>
      <c r="MN157" s="9"/>
      <c r="MO157" s="9"/>
      <c r="MP157" s="9"/>
      <c r="MQ157" s="9"/>
      <c r="MR157" s="9"/>
      <c r="MS157" s="9"/>
      <c r="MT157" s="9"/>
      <c r="MU157" s="9"/>
      <c r="MV157" s="9"/>
      <c r="MW157" s="9"/>
      <c r="MX157" s="9"/>
      <c r="MY157" s="9"/>
      <c r="MZ157" s="9"/>
      <c r="NA157" s="9"/>
      <c r="NB157" s="9"/>
      <c r="NC157" s="9"/>
      <c r="ND157" s="9"/>
      <c r="NE157" s="9"/>
      <c r="NF157" s="9"/>
      <c r="NG157" s="9"/>
      <c r="NH157" s="9"/>
      <c r="NI157" s="9"/>
      <c r="NJ157" s="9"/>
      <c r="NK157" s="9"/>
      <c r="NL157" s="9"/>
      <c r="NM157" s="9"/>
      <c r="NN157" s="9"/>
      <c r="NO157" s="9"/>
      <c r="NP157" s="9"/>
      <c r="NQ157" s="9"/>
      <c r="NR157" s="9"/>
      <c r="NS157" s="9"/>
      <c r="NT157" s="9"/>
      <c r="NU157" s="9"/>
      <c r="NV157" s="9"/>
      <c r="NW157" s="9"/>
      <c r="NX157" s="9"/>
      <c r="NY157" s="9"/>
      <c r="NZ157" s="9"/>
      <c r="OA157" s="9"/>
      <c r="OB157" s="9"/>
      <c r="OC157" s="9"/>
      <c r="OD157" s="9"/>
      <c r="OE157" s="9"/>
      <c r="OF157" s="9"/>
      <c r="OG157" s="9"/>
      <c r="OH157" s="9"/>
      <c r="OI157" s="9"/>
      <c r="OJ157" s="9"/>
      <c r="OK157" s="9"/>
      <c r="OL157" s="9"/>
      <c r="OM157" s="9"/>
      <c r="ON157" s="9"/>
      <c r="OO157" s="9"/>
      <c r="OP157" s="9"/>
      <c r="OQ157" s="9"/>
      <c r="OR157" s="9"/>
      <c r="OS157" s="9"/>
      <c r="OT157" s="9"/>
      <c r="OU157" s="9"/>
      <c r="OV157" s="9"/>
      <c r="OW157" s="9"/>
      <c r="OX157" s="9"/>
      <c r="OY157" s="9"/>
      <c r="OZ157" s="9"/>
      <c r="PA157" s="9"/>
      <c r="PB157" s="9"/>
      <c r="PC157" s="9"/>
      <c r="PD157" s="9"/>
      <c r="PE157" s="9"/>
      <c r="PF157" s="9"/>
      <c r="PG157" s="9"/>
      <c r="PH157" s="9"/>
      <c r="PI157" s="9"/>
      <c r="PJ157" s="9"/>
      <c r="PK157" s="9"/>
      <c r="PL157" s="9"/>
      <c r="PM157" s="9"/>
      <c r="PN157" s="9"/>
      <c r="PO157" s="9"/>
      <c r="PP157" s="9"/>
      <c r="PQ157" s="9"/>
      <c r="PR157" s="9"/>
      <c r="PS157" s="9"/>
      <c r="PT157" s="9"/>
      <c r="PU157" s="9"/>
      <c r="PV157" s="9"/>
      <c r="PW157" s="9"/>
      <c r="PX157" s="9"/>
      <c r="PY157" s="9"/>
      <c r="PZ157" s="9"/>
      <c r="QA157" s="9"/>
      <c r="QB157" s="9"/>
      <c r="QC157" s="9"/>
      <c r="QD157" s="9"/>
      <c r="QE157" s="9"/>
      <c r="QF157" s="9"/>
      <c r="QG157" s="9"/>
      <c r="QH157" s="9"/>
      <c r="QI157" s="9"/>
      <c r="QJ157" s="9"/>
      <c r="QK157" s="9"/>
      <c r="QL157" s="9"/>
      <c r="QM157" s="9"/>
      <c r="QN157" s="9"/>
      <c r="QO157" s="9"/>
      <c r="QP157" s="9"/>
      <c r="QQ157" s="9"/>
      <c r="QR157" s="9"/>
      <c r="QS157" s="9"/>
      <c r="QT157" s="9"/>
      <c r="QU157" s="9"/>
      <c r="QV157" s="9"/>
      <c r="QW157" s="9"/>
      <c r="QX157" s="9"/>
      <c r="QY157" s="9"/>
      <c r="QZ157" s="9"/>
      <c r="RA157" s="9"/>
      <c r="RB157" s="9"/>
      <c r="RC157" s="9"/>
      <c r="RD157" s="9"/>
      <c r="RE157" s="9"/>
      <c r="RF157" s="9"/>
      <c r="RG157" s="9"/>
      <c r="RH157" s="9"/>
      <c r="RI157" s="9"/>
      <c r="RJ157" s="9"/>
      <c r="RK157" s="9"/>
      <c r="RL157" s="9"/>
      <c r="RM157" s="9"/>
      <c r="RN157" s="9"/>
      <c r="RO157" s="9"/>
      <c r="RP157" s="9"/>
      <c r="RQ157" s="9"/>
      <c r="RR157" s="9"/>
      <c r="RS157" s="9"/>
      <c r="RT157" s="9"/>
      <c r="RU157" s="9"/>
      <c r="RV157" s="9"/>
      <c r="RW157" s="9"/>
      <c r="RX157" s="9"/>
      <c r="RY157" s="9"/>
      <c r="RZ157" s="9"/>
      <c r="SA157" s="9"/>
      <c r="SB157" s="9"/>
      <c r="SC157" s="9"/>
      <c r="SD157" s="9"/>
      <c r="SE157" s="9"/>
      <c r="SF157" s="9"/>
      <c r="SG157" s="9"/>
      <c r="SH157" s="9"/>
      <c r="SI157" s="9"/>
      <c r="SJ157" s="9"/>
      <c r="SK157" s="8"/>
      <c r="SL157" s="8"/>
      <c r="SM157" s="8"/>
      <c r="SN157" s="8"/>
      <c r="SO157" s="8"/>
      <c r="SP157" s="8"/>
      <c r="SQ157" s="8"/>
      <c r="SR157" s="8"/>
      <c r="SS157" s="8"/>
      <c r="ST157" s="8"/>
      <c r="SU157" s="8"/>
      <c r="SV157" s="8"/>
      <c r="SW157" s="8"/>
      <c r="SX157" s="8"/>
      <c r="SY157" s="8"/>
      <c r="SZ157" s="8"/>
      <c r="TA157" s="8"/>
      <c r="TB157" s="8"/>
      <c r="TC157" s="8"/>
      <c r="TD157" s="8"/>
      <c r="TE157" s="8"/>
      <c r="TF157" s="8"/>
      <c r="TG157" s="8"/>
      <c r="TH157" s="8"/>
      <c r="TI157" s="8"/>
      <c r="TJ157" s="8"/>
      <c r="TK157" s="8"/>
      <c r="TL157" s="8"/>
      <c r="TM157" s="8"/>
      <c r="TN157" s="8"/>
      <c r="TO157" s="8"/>
    </row>
    <row r="158" spans="1:535" x14ac:dyDescent="0.2">
      <c r="A158" s="7"/>
      <c r="B158" s="7"/>
      <c r="C158" s="9"/>
      <c r="D158" s="8"/>
      <c r="E158" s="8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9"/>
      <c r="EA158" s="9"/>
      <c r="EB158" s="9"/>
      <c r="EC158" s="9"/>
      <c r="ED158" s="9"/>
      <c r="EE158" s="9"/>
      <c r="EF158" s="9"/>
      <c r="EG158" s="9"/>
      <c r="EH158" s="9"/>
      <c r="EI158" s="9"/>
      <c r="EJ158" s="9"/>
      <c r="EK158" s="9"/>
      <c r="EL158" s="9"/>
      <c r="EM158" s="9"/>
      <c r="EN158" s="9"/>
      <c r="EO158" s="9"/>
      <c r="EP158" s="9"/>
      <c r="EQ158" s="9"/>
      <c r="ER158" s="9"/>
      <c r="ES158" s="9"/>
      <c r="ET158" s="9"/>
      <c r="EU158" s="9"/>
      <c r="EV158" s="9"/>
      <c r="EW158" s="9"/>
      <c r="EX158" s="9"/>
      <c r="EY158" s="9"/>
      <c r="EZ158" s="9"/>
      <c r="FA158" s="9"/>
      <c r="FB158" s="9"/>
      <c r="FC158" s="9"/>
      <c r="FD158" s="9"/>
      <c r="FE158" s="9"/>
      <c r="FF158" s="9"/>
      <c r="FG158" s="9"/>
      <c r="FH158" s="9"/>
      <c r="FI158" s="9"/>
      <c r="FJ158" s="9"/>
      <c r="FK158" s="9"/>
      <c r="FL158" s="9"/>
      <c r="FM158" s="9"/>
      <c r="FN158" s="9"/>
      <c r="FO158" s="9"/>
      <c r="FP158" s="9"/>
      <c r="FQ158" s="9"/>
      <c r="FR158" s="9"/>
      <c r="FS158" s="9"/>
      <c r="FT158" s="9"/>
      <c r="FU158" s="9"/>
      <c r="FV158" s="9"/>
      <c r="FW158" s="9"/>
      <c r="FX158" s="9"/>
      <c r="FY158" s="9"/>
      <c r="FZ158" s="9"/>
      <c r="GA158" s="9"/>
      <c r="GB158" s="9"/>
      <c r="GC158" s="9"/>
      <c r="GD158" s="9"/>
      <c r="GE158" s="9"/>
      <c r="GF158" s="9"/>
      <c r="GG158" s="9"/>
      <c r="GH158" s="9"/>
      <c r="GI158" s="9"/>
      <c r="GJ158" s="9"/>
      <c r="GK158" s="9"/>
      <c r="GL158" s="9"/>
      <c r="GM158" s="9"/>
      <c r="GN158" s="9"/>
      <c r="GO158" s="9"/>
      <c r="GP158" s="9"/>
      <c r="GQ158" s="9"/>
      <c r="GR158" s="9"/>
      <c r="GS158" s="9"/>
      <c r="GT158" s="9"/>
      <c r="GU158" s="9"/>
      <c r="GV158" s="9"/>
      <c r="GW158" s="9"/>
      <c r="GX158" s="9"/>
      <c r="GY158" s="9"/>
      <c r="GZ158" s="9"/>
      <c r="HA158" s="9"/>
      <c r="HB158" s="9"/>
      <c r="HC158" s="9"/>
      <c r="HD158" s="9"/>
      <c r="HE158" s="9"/>
      <c r="HF158" s="9"/>
      <c r="HG158" s="9"/>
      <c r="HH158" s="9"/>
      <c r="HI158" s="9"/>
      <c r="HJ158" s="9"/>
      <c r="HK158" s="9"/>
      <c r="HL158" s="9"/>
      <c r="HM158" s="9"/>
      <c r="HN158" s="9"/>
      <c r="HO158" s="9"/>
      <c r="HP158" s="9"/>
      <c r="HQ158" s="9"/>
      <c r="HR158" s="9"/>
      <c r="HS158" s="9"/>
      <c r="HT158" s="9"/>
      <c r="HU158" s="9"/>
      <c r="HV158" s="9"/>
      <c r="HW158" s="9"/>
      <c r="HX158" s="9"/>
      <c r="HY158" s="9"/>
      <c r="HZ158" s="9"/>
      <c r="IA158" s="9"/>
      <c r="IB158" s="9"/>
      <c r="IC158" s="9"/>
      <c r="ID158" s="9"/>
      <c r="IE158" s="9"/>
      <c r="IF158" s="9"/>
      <c r="IG158" s="9"/>
      <c r="IH158" s="9"/>
      <c r="II158" s="9"/>
      <c r="IJ158" s="9"/>
      <c r="IK158" s="9"/>
      <c r="IL158" s="9"/>
      <c r="IM158" s="9"/>
      <c r="IN158" s="9"/>
      <c r="IO158" s="9"/>
      <c r="IP158" s="9"/>
      <c r="IQ158" s="9"/>
      <c r="IR158" s="9"/>
      <c r="IS158" s="9"/>
      <c r="IT158" s="9"/>
      <c r="IU158" s="9"/>
      <c r="IV158" s="9"/>
      <c r="IW158" s="9"/>
      <c r="IX158" s="9"/>
      <c r="IY158" s="9"/>
      <c r="IZ158" s="9"/>
      <c r="JA158" s="9"/>
      <c r="JB158" s="9"/>
      <c r="JC158" s="9"/>
      <c r="JD158" s="9"/>
      <c r="JE158" s="9"/>
      <c r="JF158" s="9"/>
      <c r="JG158" s="9"/>
      <c r="JH158" s="9"/>
      <c r="JI158" s="9"/>
      <c r="JJ158" s="9"/>
      <c r="JK158" s="9"/>
      <c r="JL158" s="9"/>
      <c r="JM158" s="9"/>
      <c r="JN158" s="9"/>
      <c r="JO158" s="9"/>
      <c r="JP158" s="9"/>
      <c r="JQ158" s="9"/>
      <c r="JR158" s="9"/>
      <c r="JS158" s="9"/>
      <c r="JT158" s="9"/>
      <c r="JU158" s="9"/>
      <c r="JV158" s="9"/>
      <c r="JW158" s="9"/>
      <c r="JX158" s="9"/>
      <c r="JY158" s="9"/>
      <c r="JZ158" s="9"/>
      <c r="KA158" s="9"/>
      <c r="KB158" s="9"/>
      <c r="KC158" s="9"/>
      <c r="KD158" s="9"/>
      <c r="KE158" s="9"/>
      <c r="KF158" s="9"/>
      <c r="KG158" s="9"/>
      <c r="KH158" s="9"/>
      <c r="KI158" s="9"/>
      <c r="KJ158" s="9"/>
      <c r="KK158" s="9"/>
      <c r="KL158" s="9"/>
      <c r="KM158" s="9"/>
      <c r="KN158" s="9"/>
      <c r="KO158" s="9"/>
      <c r="KP158" s="9"/>
      <c r="KQ158" s="9"/>
      <c r="KR158" s="9"/>
      <c r="KS158" s="9"/>
      <c r="KT158" s="9"/>
      <c r="KU158" s="9"/>
      <c r="KV158" s="9"/>
      <c r="KW158" s="9"/>
      <c r="KX158" s="9"/>
      <c r="KY158" s="9"/>
      <c r="KZ158" s="9"/>
      <c r="LA158" s="9"/>
      <c r="LB158" s="9"/>
      <c r="LC158" s="9"/>
      <c r="LD158" s="9"/>
      <c r="LE158" s="9"/>
      <c r="LF158" s="9"/>
      <c r="LG158" s="9"/>
      <c r="LH158" s="9"/>
      <c r="LI158" s="9"/>
      <c r="LJ158" s="9"/>
      <c r="LK158" s="9"/>
      <c r="LL158" s="9"/>
      <c r="LM158" s="9"/>
      <c r="LN158" s="9"/>
      <c r="LO158" s="9"/>
      <c r="LP158" s="9"/>
      <c r="LQ158" s="9"/>
      <c r="LR158" s="9"/>
      <c r="LS158" s="9"/>
      <c r="LT158" s="9"/>
      <c r="LU158" s="9"/>
      <c r="LV158" s="9"/>
      <c r="LW158" s="9"/>
      <c r="LX158" s="9"/>
      <c r="LY158" s="9"/>
      <c r="LZ158" s="9"/>
      <c r="MA158" s="9"/>
      <c r="MB158" s="9"/>
      <c r="MC158" s="9"/>
      <c r="MD158" s="9"/>
      <c r="ME158" s="9"/>
      <c r="MF158" s="9"/>
      <c r="MG158" s="9"/>
      <c r="MH158" s="9"/>
      <c r="MI158" s="9"/>
      <c r="MJ158" s="9"/>
      <c r="MK158" s="9"/>
      <c r="ML158" s="9"/>
      <c r="MM158" s="9"/>
      <c r="MN158" s="9"/>
      <c r="MO158" s="9"/>
      <c r="MP158" s="9"/>
      <c r="MQ158" s="9"/>
      <c r="MR158" s="9"/>
      <c r="MS158" s="9"/>
      <c r="MT158" s="9"/>
      <c r="MU158" s="9"/>
      <c r="MV158" s="9"/>
      <c r="MW158" s="9"/>
      <c r="MX158" s="9"/>
      <c r="MY158" s="9"/>
      <c r="MZ158" s="9"/>
      <c r="NA158" s="9"/>
      <c r="NB158" s="9"/>
      <c r="NC158" s="9"/>
      <c r="ND158" s="9"/>
      <c r="NE158" s="9"/>
      <c r="NF158" s="9"/>
      <c r="NG158" s="9"/>
      <c r="NH158" s="9"/>
      <c r="NI158" s="9"/>
      <c r="NJ158" s="9"/>
      <c r="NK158" s="9"/>
      <c r="NL158" s="9"/>
      <c r="NM158" s="9"/>
      <c r="NN158" s="9"/>
      <c r="NO158" s="9"/>
      <c r="NP158" s="9"/>
      <c r="NQ158" s="9"/>
      <c r="NR158" s="9"/>
      <c r="NS158" s="9"/>
      <c r="NT158" s="9"/>
      <c r="NU158" s="9"/>
      <c r="NV158" s="9"/>
      <c r="NW158" s="9"/>
      <c r="NX158" s="9"/>
      <c r="NY158" s="9"/>
      <c r="NZ158" s="9"/>
      <c r="OA158" s="9"/>
      <c r="OB158" s="9"/>
      <c r="OC158" s="9"/>
      <c r="OD158" s="9"/>
      <c r="OE158" s="9"/>
      <c r="OF158" s="9"/>
      <c r="OG158" s="9"/>
      <c r="OH158" s="9"/>
      <c r="OI158" s="9"/>
      <c r="OJ158" s="9"/>
      <c r="OK158" s="9"/>
      <c r="OL158" s="9"/>
      <c r="OM158" s="9"/>
      <c r="ON158" s="9"/>
      <c r="OO158" s="9"/>
      <c r="OP158" s="9"/>
      <c r="OQ158" s="9"/>
      <c r="OR158" s="9"/>
      <c r="OS158" s="9"/>
      <c r="OT158" s="9"/>
      <c r="OU158" s="9"/>
      <c r="OV158" s="9"/>
      <c r="OW158" s="9"/>
      <c r="OX158" s="9"/>
      <c r="OY158" s="9"/>
      <c r="OZ158" s="9"/>
      <c r="PA158" s="9"/>
      <c r="PB158" s="9"/>
      <c r="PC158" s="9"/>
      <c r="PD158" s="9"/>
      <c r="PE158" s="9"/>
      <c r="PF158" s="9"/>
      <c r="PG158" s="9"/>
      <c r="PH158" s="9"/>
      <c r="PI158" s="9"/>
      <c r="PJ158" s="9"/>
      <c r="PK158" s="9"/>
      <c r="PL158" s="9"/>
      <c r="PM158" s="9"/>
      <c r="PN158" s="9"/>
      <c r="PO158" s="9"/>
      <c r="PP158" s="9"/>
      <c r="PQ158" s="9"/>
      <c r="PR158" s="9"/>
      <c r="PS158" s="9"/>
      <c r="PT158" s="9"/>
      <c r="PU158" s="9"/>
      <c r="PV158" s="9"/>
      <c r="PW158" s="9"/>
      <c r="PX158" s="9"/>
      <c r="PY158" s="9"/>
      <c r="PZ158" s="9"/>
      <c r="QA158" s="9"/>
      <c r="QB158" s="9"/>
      <c r="QC158" s="9"/>
      <c r="QD158" s="9"/>
      <c r="QE158" s="9"/>
      <c r="QF158" s="9"/>
      <c r="QG158" s="9"/>
      <c r="QH158" s="9"/>
      <c r="QI158" s="9"/>
      <c r="QJ158" s="9"/>
      <c r="QK158" s="9"/>
      <c r="QL158" s="9"/>
      <c r="QM158" s="9"/>
      <c r="QN158" s="9"/>
      <c r="QO158" s="9"/>
      <c r="QP158" s="9"/>
      <c r="QQ158" s="9"/>
      <c r="QR158" s="9"/>
      <c r="QS158" s="9"/>
      <c r="QT158" s="9"/>
      <c r="QU158" s="9"/>
      <c r="QV158" s="9"/>
      <c r="QW158" s="9"/>
      <c r="QX158" s="9"/>
      <c r="QY158" s="9"/>
      <c r="QZ158" s="9"/>
      <c r="RA158" s="9"/>
      <c r="RB158" s="9"/>
      <c r="RC158" s="9"/>
      <c r="RD158" s="9"/>
      <c r="RE158" s="9"/>
      <c r="RF158" s="9"/>
      <c r="RG158" s="9"/>
      <c r="RH158" s="9"/>
      <c r="RI158" s="9"/>
      <c r="RJ158" s="9"/>
      <c r="RK158" s="9"/>
      <c r="RL158" s="9"/>
      <c r="RM158" s="9"/>
      <c r="RN158" s="9"/>
      <c r="RO158" s="9"/>
      <c r="RP158" s="9"/>
      <c r="RQ158" s="9"/>
      <c r="RR158" s="9"/>
      <c r="RS158" s="9"/>
      <c r="RT158" s="9"/>
      <c r="RU158" s="9"/>
      <c r="RV158" s="9"/>
      <c r="RW158" s="9"/>
      <c r="RX158" s="9"/>
      <c r="RY158" s="9"/>
      <c r="RZ158" s="9"/>
      <c r="SA158" s="9"/>
      <c r="SB158" s="9"/>
      <c r="SC158" s="9"/>
      <c r="SD158" s="9"/>
      <c r="SE158" s="9"/>
      <c r="SF158" s="9"/>
      <c r="SG158" s="9"/>
      <c r="SH158" s="9"/>
      <c r="SI158" s="9"/>
      <c r="SJ158" s="9"/>
      <c r="SK158" s="8"/>
      <c r="SL158" s="8"/>
      <c r="SM158" s="8"/>
      <c r="SN158" s="8"/>
      <c r="SO158" s="8"/>
      <c r="SP158" s="8"/>
      <c r="SQ158" s="8"/>
      <c r="SR158" s="8"/>
      <c r="SS158" s="8"/>
      <c r="ST158" s="8"/>
      <c r="SU158" s="8"/>
      <c r="SV158" s="8"/>
      <c r="SW158" s="8"/>
      <c r="SX158" s="8"/>
      <c r="SY158" s="8"/>
      <c r="SZ158" s="8"/>
      <c r="TA158" s="8"/>
      <c r="TB158" s="8"/>
      <c r="TC158" s="8"/>
      <c r="TD158" s="8"/>
      <c r="TE158" s="8"/>
      <c r="TF158" s="8"/>
      <c r="TG158" s="8"/>
      <c r="TH158" s="8"/>
      <c r="TI158" s="8"/>
      <c r="TJ158" s="8"/>
      <c r="TK158" s="8"/>
      <c r="TL158" s="8"/>
      <c r="TM158" s="8"/>
      <c r="TN158" s="8"/>
      <c r="TO158" s="8"/>
    </row>
    <row r="159" spans="1:535" x14ac:dyDescent="0.2">
      <c r="A159" s="7"/>
      <c r="B159" s="7"/>
      <c r="C159" s="9"/>
      <c r="D159" s="8"/>
      <c r="E159" s="8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/>
      <c r="DI159" s="9"/>
      <c r="DJ159" s="9"/>
      <c r="DK159" s="9"/>
      <c r="DL159" s="9"/>
      <c r="DM159" s="9"/>
      <c r="DN159" s="9"/>
      <c r="DO159" s="9"/>
      <c r="DP159" s="9"/>
      <c r="DQ159" s="9"/>
      <c r="DR159" s="9"/>
      <c r="DS159" s="9"/>
      <c r="DT159" s="9"/>
      <c r="DU159" s="9"/>
      <c r="DV159" s="9"/>
      <c r="DW159" s="9"/>
      <c r="DX159" s="9"/>
      <c r="DY159" s="9"/>
      <c r="DZ159" s="9"/>
      <c r="EA159" s="9"/>
      <c r="EB159" s="9"/>
      <c r="EC159" s="9"/>
      <c r="ED159" s="9"/>
      <c r="EE159" s="9"/>
      <c r="EF159" s="9"/>
      <c r="EG159" s="9"/>
      <c r="EH159" s="9"/>
      <c r="EI159" s="9"/>
      <c r="EJ159" s="9"/>
      <c r="EK159" s="9"/>
      <c r="EL159" s="9"/>
      <c r="EM159" s="9"/>
      <c r="EN159" s="9"/>
      <c r="EO159" s="9"/>
      <c r="EP159" s="9"/>
      <c r="EQ159" s="9"/>
      <c r="ER159" s="9"/>
      <c r="ES159" s="9"/>
      <c r="ET159" s="9"/>
      <c r="EU159" s="9"/>
      <c r="EV159" s="9"/>
      <c r="EW159" s="9"/>
      <c r="EX159" s="9"/>
      <c r="EY159" s="9"/>
      <c r="EZ159" s="9"/>
      <c r="FA159" s="9"/>
      <c r="FB159" s="9"/>
      <c r="FC159" s="9"/>
      <c r="FD159" s="9"/>
      <c r="FE159" s="9"/>
      <c r="FF159" s="9"/>
      <c r="FG159" s="9"/>
      <c r="FH159" s="9"/>
      <c r="FI159" s="9"/>
      <c r="FJ159" s="9"/>
      <c r="FK159" s="9"/>
      <c r="FL159" s="9"/>
      <c r="FM159" s="9"/>
      <c r="FN159" s="9"/>
      <c r="FO159" s="9"/>
      <c r="FP159" s="9"/>
      <c r="FQ159" s="9"/>
      <c r="FR159" s="9"/>
      <c r="FS159" s="9"/>
      <c r="FT159" s="9"/>
      <c r="FU159" s="9"/>
      <c r="FV159" s="9"/>
      <c r="FW159" s="9"/>
      <c r="FX159" s="9"/>
      <c r="FY159" s="9"/>
      <c r="FZ159" s="9"/>
      <c r="GA159" s="9"/>
      <c r="GB159" s="9"/>
      <c r="GC159" s="9"/>
      <c r="GD159" s="9"/>
      <c r="GE159" s="9"/>
      <c r="GF159" s="9"/>
      <c r="GG159" s="9"/>
      <c r="GH159" s="9"/>
      <c r="GI159" s="9"/>
      <c r="GJ159" s="9"/>
      <c r="GK159" s="9"/>
      <c r="GL159" s="9"/>
      <c r="GM159" s="9"/>
      <c r="GN159" s="9"/>
      <c r="GO159" s="9"/>
      <c r="GP159" s="9"/>
      <c r="GQ159" s="9"/>
      <c r="GR159" s="9"/>
      <c r="GS159" s="9"/>
      <c r="GT159" s="9"/>
      <c r="GU159" s="9"/>
      <c r="GV159" s="9"/>
      <c r="GW159" s="9"/>
      <c r="GX159" s="9"/>
      <c r="GY159" s="9"/>
      <c r="GZ159" s="9"/>
      <c r="HA159" s="9"/>
      <c r="HB159" s="9"/>
      <c r="HC159" s="9"/>
      <c r="HD159" s="9"/>
      <c r="HE159" s="9"/>
      <c r="HF159" s="9"/>
      <c r="HG159" s="9"/>
      <c r="HH159" s="9"/>
      <c r="HI159" s="9"/>
      <c r="HJ159" s="9"/>
      <c r="HK159" s="9"/>
      <c r="HL159" s="9"/>
      <c r="HM159" s="9"/>
      <c r="HN159" s="9"/>
      <c r="HO159" s="9"/>
      <c r="HP159" s="9"/>
      <c r="HQ159" s="9"/>
      <c r="HR159" s="9"/>
      <c r="HS159" s="9"/>
      <c r="HT159" s="9"/>
      <c r="HU159" s="9"/>
      <c r="HV159" s="9"/>
      <c r="HW159" s="9"/>
      <c r="HX159" s="9"/>
      <c r="HY159" s="9"/>
      <c r="HZ159" s="9"/>
      <c r="IA159" s="9"/>
      <c r="IB159" s="9"/>
      <c r="IC159" s="9"/>
      <c r="ID159" s="9"/>
      <c r="IE159" s="9"/>
      <c r="IF159" s="9"/>
      <c r="IG159" s="9"/>
      <c r="IH159" s="9"/>
      <c r="II159" s="9"/>
      <c r="IJ159" s="9"/>
      <c r="IK159" s="9"/>
      <c r="IL159" s="9"/>
      <c r="IM159" s="9"/>
      <c r="IN159" s="9"/>
      <c r="IO159" s="9"/>
      <c r="IP159" s="9"/>
      <c r="IQ159" s="9"/>
      <c r="IR159" s="9"/>
      <c r="IS159" s="9"/>
      <c r="IT159" s="9"/>
      <c r="IU159" s="9"/>
      <c r="IV159" s="9"/>
      <c r="IW159" s="9"/>
      <c r="IX159" s="9"/>
      <c r="IY159" s="9"/>
      <c r="IZ159" s="9"/>
      <c r="JA159" s="9"/>
      <c r="JB159" s="9"/>
      <c r="JC159" s="9"/>
      <c r="JD159" s="9"/>
      <c r="JE159" s="9"/>
      <c r="JF159" s="9"/>
      <c r="JG159" s="9"/>
      <c r="JH159" s="9"/>
      <c r="JI159" s="9"/>
      <c r="JJ159" s="9"/>
      <c r="JK159" s="9"/>
      <c r="JL159" s="9"/>
      <c r="JM159" s="9"/>
      <c r="JN159" s="9"/>
      <c r="JO159" s="9"/>
      <c r="JP159" s="9"/>
      <c r="JQ159" s="9"/>
      <c r="JR159" s="9"/>
      <c r="JS159" s="9"/>
      <c r="JT159" s="9"/>
      <c r="JU159" s="9"/>
      <c r="JV159" s="9"/>
      <c r="JW159" s="9"/>
      <c r="JX159" s="9"/>
      <c r="JY159" s="9"/>
      <c r="JZ159" s="9"/>
      <c r="KA159" s="9"/>
      <c r="KB159" s="9"/>
      <c r="KC159" s="9"/>
      <c r="KD159" s="9"/>
      <c r="KE159" s="9"/>
      <c r="KF159" s="9"/>
      <c r="KG159" s="9"/>
      <c r="KH159" s="9"/>
      <c r="KI159" s="9"/>
      <c r="KJ159" s="9"/>
      <c r="KK159" s="9"/>
      <c r="KL159" s="9"/>
      <c r="KM159" s="9"/>
      <c r="KN159" s="9"/>
      <c r="KO159" s="9"/>
      <c r="KP159" s="9"/>
      <c r="KQ159" s="9"/>
      <c r="KR159" s="9"/>
      <c r="KS159" s="9"/>
      <c r="KT159" s="9"/>
      <c r="KU159" s="9"/>
      <c r="KV159" s="9"/>
      <c r="KW159" s="9"/>
      <c r="KX159" s="9"/>
      <c r="KY159" s="9"/>
      <c r="KZ159" s="9"/>
      <c r="LA159" s="9"/>
      <c r="LB159" s="9"/>
      <c r="LC159" s="9"/>
      <c r="LD159" s="9"/>
      <c r="LE159" s="9"/>
      <c r="LF159" s="9"/>
      <c r="LG159" s="9"/>
      <c r="LH159" s="9"/>
      <c r="LI159" s="9"/>
      <c r="LJ159" s="9"/>
      <c r="LK159" s="9"/>
      <c r="LL159" s="9"/>
      <c r="LM159" s="9"/>
      <c r="LN159" s="9"/>
      <c r="LO159" s="9"/>
      <c r="LP159" s="9"/>
      <c r="LQ159" s="9"/>
      <c r="LR159" s="9"/>
      <c r="LS159" s="9"/>
      <c r="LT159" s="9"/>
      <c r="LU159" s="9"/>
      <c r="LV159" s="9"/>
      <c r="LW159" s="9"/>
      <c r="LX159" s="9"/>
      <c r="LY159" s="9"/>
      <c r="LZ159" s="9"/>
      <c r="MA159" s="9"/>
      <c r="MB159" s="9"/>
      <c r="MC159" s="9"/>
      <c r="MD159" s="9"/>
      <c r="ME159" s="9"/>
      <c r="MF159" s="9"/>
      <c r="MG159" s="9"/>
      <c r="MH159" s="9"/>
      <c r="MI159" s="9"/>
      <c r="MJ159" s="9"/>
      <c r="MK159" s="9"/>
      <c r="ML159" s="9"/>
      <c r="MM159" s="9"/>
      <c r="MN159" s="9"/>
      <c r="MO159" s="9"/>
      <c r="MP159" s="9"/>
      <c r="MQ159" s="9"/>
      <c r="MR159" s="9"/>
      <c r="MS159" s="9"/>
      <c r="MT159" s="9"/>
      <c r="MU159" s="9"/>
      <c r="MV159" s="9"/>
      <c r="MW159" s="9"/>
      <c r="MX159" s="9"/>
      <c r="MY159" s="9"/>
      <c r="MZ159" s="9"/>
      <c r="NA159" s="9"/>
      <c r="NB159" s="9"/>
      <c r="NC159" s="9"/>
      <c r="ND159" s="9"/>
      <c r="NE159" s="9"/>
      <c r="NF159" s="9"/>
      <c r="NG159" s="9"/>
      <c r="NH159" s="9"/>
      <c r="NI159" s="9"/>
      <c r="NJ159" s="9"/>
      <c r="NK159" s="9"/>
      <c r="NL159" s="9"/>
      <c r="NM159" s="9"/>
      <c r="NN159" s="9"/>
      <c r="NO159" s="9"/>
      <c r="NP159" s="9"/>
      <c r="NQ159" s="9"/>
      <c r="NR159" s="9"/>
      <c r="NS159" s="9"/>
      <c r="NT159" s="9"/>
      <c r="NU159" s="9"/>
      <c r="NV159" s="9"/>
      <c r="NW159" s="9"/>
      <c r="NX159" s="9"/>
      <c r="NY159" s="9"/>
      <c r="NZ159" s="9"/>
      <c r="OA159" s="9"/>
      <c r="OB159" s="9"/>
      <c r="OC159" s="9"/>
      <c r="OD159" s="9"/>
      <c r="OE159" s="9"/>
      <c r="OF159" s="9"/>
      <c r="OG159" s="9"/>
      <c r="OH159" s="9"/>
      <c r="OI159" s="9"/>
      <c r="OJ159" s="9"/>
      <c r="OK159" s="9"/>
      <c r="OL159" s="9"/>
      <c r="OM159" s="9"/>
      <c r="ON159" s="9"/>
      <c r="OO159" s="9"/>
      <c r="OP159" s="9"/>
      <c r="OQ159" s="9"/>
      <c r="OR159" s="9"/>
      <c r="OS159" s="9"/>
      <c r="OT159" s="9"/>
      <c r="OU159" s="9"/>
      <c r="OV159" s="9"/>
      <c r="OW159" s="9"/>
      <c r="OX159" s="9"/>
      <c r="OY159" s="9"/>
      <c r="OZ159" s="9"/>
      <c r="PA159" s="9"/>
      <c r="PB159" s="9"/>
      <c r="PC159" s="9"/>
      <c r="PD159" s="9"/>
      <c r="PE159" s="9"/>
      <c r="PF159" s="9"/>
      <c r="PG159" s="9"/>
      <c r="PH159" s="9"/>
      <c r="PI159" s="9"/>
      <c r="PJ159" s="9"/>
      <c r="PK159" s="9"/>
      <c r="PL159" s="9"/>
      <c r="PM159" s="9"/>
      <c r="PN159" s="9"/>
      <c r="PO159" s="9"/>
      <c r="PP159" s="9"/>
      <c r="PQ159" s="9"/>
      <c r="PR159" s="9"/>
      <c r="PS159" s="9"/>
      <c r="PT159" s="9"/>
      <c r="PU159" s="9"/>
      <c r="PV159" s="9"/>
      <c r="PW159" s="9"/>
      <c r="PX159" s="9"/>
      <c r="PY159" s="9"/>
      <c r="PZ159" s="9"/>
      <c r="QA159" s="9"/>
      <c r="QB159" s="9"/>
      <c r="QC159" s="9"/>
      <c r="QD159" s="9"/>
      <c r="QE159" s="9"/>
      <c r="QF159" s="9"/>
      <c r="QG159" s="9"/>
      <c r="QH159" s="9"/>
      <c r="QI159" s="9"/>
      <c r="QJ159" s="9"/>
      <c r="QK159" s="9"/>
      <c r="QL159" s="9"/>
      <c r="QM159" s="9"/>
      <c r="QN159" s="9"/>
      <c r="QO159" s="9"/>
      <c r="QP159" s="9"/>
      <c r="QQ159" s="9"/>
      <c r="QR159" s="9"/>
      <c r="QS159" s="9"/>
      <c r="QT159" s="9"/>
      <c r="QU159" s="9"/>
      <c r="QV159" s="9"/>
      <c r="QW159" s="9"/>
      <c r="QX159" s="9"/>
      <c r="QY159" s="9"/>
      <c r="QZ159" s="9"/>
      <c r="RA159" s="9"/>
      <c r="RB159" s="9"/>
      <c r="RC159" s="9"/>
      <c r="RD159" s="9"/>
      <c r="RE159" s="9"/>
      <c r="RF159" s="9"/>
      <c r="RG159" s="9"/>
      <c r="RH159" s="9"/>
      <c r="RI159" s="9"/>
      <c r="RJ159" s="9"/>
      <c r="RK159" s="9"/>
      <c r="RL159" s="9"/>
      <c r="RM159" s="9"/>
      <c r="RN159" s="9"/>
      <c r="RO159" s="9"/>
      <c r="RP159" s="9"/>
      <c r="RQ159" s="9"/>
      <c r="RR159" s="9"/>
      <c r="RS159" s="9"/>
      <c r="RT159" s="9"/>
      <c r="RU159" s="9"/>
      <c r="RV159" s="9"/>
      <c r="RW159" s="9"/>
      <c r="RX159" s="9"/>
      <c r="RY159" s="9"/>
      <c r="RZ159" s="9"/>
      <c r="SA159" s="9"/>
      <c r="SB159" s="9"/>
      <c r="SC159" s="9"/>
      <c r="SD159" s="9"/>
      <c r="SE159" s="9"/>
      <c r="SF159" s="9"/>
      <c r="SG159" s="9"/>
      <c r="SH159" s="9"/>
      <c r="SI159" s="9"/>
      <c r="SJ159" s="9"/>
      <c r="SK159" s="8"/>
      <c r="SL159" s="8"/>
      <c r="SM159" s="8"/>
      <c r="SN159" s="8"/>
      <c r="SO159" s="8"/>
      <c r="SP159" s="8"/>
      <c r="SQ159" s="8"/>
      <c r="SR159" s="8"/>
      <c r="SS159" s="8"/>
      <c r="ST159" s="8"/>
      <c r="SU159" s="8"/>
      <c r="SV159" s="8"/>
      <c r="SW159" s="8"/>
      <c r="SX159" s="8"/>
      <c r="SY159" s="8"/>
      <c r="SZ159" s="8"/>
      <c r="TA159" s="8"/>
      <c r="TB159" s="8"/>
      <c r="TC159" s="8"/>
      <c r="TD159" s="8"/>
      <c r="TE159" s="8"/>
      <c r="TF159" s="8"/>
      <c r="TG159" s="8"/>
      <c r="TH159" s="8"/>
      <c r="TI159" s="8"/>
      <c r="TJ159" s="8"/>
      <c r="TK159" s="8"/>
      <c r="TL159" s="8"/>
      <c r="TM159" s="8"/>
      <c r="TN159" s="8"/>
      <c r="TO159" s="8"/>
    </row>
    <row r="160" spans="1:535" x14ac:dyDescent="0.2">
      <c r="A160" s="7"/>
      <c r="B160" s="7"/>
      <c r="C160" s="9"/>
      <c r="D160" s="8"/>
      <c r="E160" s="8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/>
      <c r="DI160" s="9"/>
      <c r="DJ160" s="9"/>
      <c r="DK160" s="9"/>
      <c r="DL160" s="9"/>
      <c r="DM160" s="9"/>
      <c r="DN160" s="9"/>
      <c r="DO160" s="9"/>
      <c r="DP160" s="9"/>
      <c r="DQ160" s="9"/>
      <c r="DR160" s="9"/>
      <c r="DS160" s="9"/>
      <c r="DT160" s="9"/>
      <c r="DU160" s="9"/>
      <c r="DV160" s="9"/>
      <c r="DW160" s="9"/>
      <c r="DX160" s="9"/>
      <c r="DY160" s="9"/>
      <c r="DZ160" s="9"/>
      <c r="EA160" s="9"/>
      <c r="EB160" s="9"/>
      <c r="EC160" s="9"/>
      <c r="ED160" s="9"/>
      <c r="EE160" s="9"/>
      <c r="EF160" s="9"/>
      <c r="EG160" s="9"/>
      <c r="EH160" s="9"/>
      <c r="EI160" s="9"/>
      <c r="EJ160" s="9"/>
      <c r="EK160" s="9"/>
      <c r="EL160" s="9"/>
      <c r="EM160" s="9"/>
      <c r="EN160" s="9"/>
      <c r="EO160" s="9"/>
      <c r="EP160" s="9"/>
      <c r="EQ160" s="9"/>
      <c r="ER160" s="9"/>
      <c r="ES160" s="9"/>
      <c r="ET160" s="9"/>
      <c r="EU160" s="9"/>
      <c r="EV160" s="9"/>
      <c r="EW160" s="9"/>
      <c r="EX160" s="9"/>
      <c r="EY160" s="9"/>
      <c r="EZ160" s="9"/>
      <c r="FA160" s="9"/>
      <c r="FB160" s="9"/>
      <c r="FC160" s="9"/>
      <c r="FD160" s="9"/>
      <c r="FE160" s="9"/>
      <c r="FF160" s="9"/>
      <c r="FG160" s="9"/>
      <c r="FH160" s="9"/>
      <c r="FI160" s="9"/>
      <c r="FJ160" s="9"/>
      <c r="FK160" s="9"/>
      <c r="FL160" s="9"/>
      <c r="FM160" s="9"/>
      <c r="FN160" s="9"/>
      <c r="FO160" s="9"/>
      <c r="FP160" s="9"/>
      <c r="FQ160" s="9"/>
      <c r="FR160" s="9"/>
      <c r="FS160" s="9"/>
      <c r="FT160" s="9"/>
      <c r="FU160" s="9"/>
      <c r="FV160" s="9"/>
      <c r="FW160" s="9"/>
      <c r="FX160" s="9"/>
      <c r="FY160" s="9"/>
      <c r="FZ160" s="9"/>
      <c r="GA160" s="9"/>
      <c r="GB160" s="9"/>
      <c r="GC160" s="9"/>
      <c r="GD160" s="9"/>
      <c r="GE160" s="9"/>
      <c r="GF160" s="9"/>
      <c r="GG160" s="9"/>
      <c r="GH160" s="9"/>
      <c r="GI160" s="9"/>
      <c r="GJ160" s="9"/>
      <c r="GK160" s="9"/>
      <c r="GL160" s="9"/>
      <c r="GM160" s="9"/>
      <c r="GN160" s="9"/>
      <c r="GO160" s="9"/>
      <c r="GP160" s="9"/>
      <c r="GQ160" s="9"/>
      <c r="GR160" s="9"/>
      <c r="GS160" s="9"/>
      <c r="GT160" s="9"/>
      <c r="GU160" s="9"/>
      <c r="GV160" s="9"/>
      <c r="GW160" s="9"/>
      <c r="GX160" s="9"/>
      <c r="GY160" s="9"/>
      <c r="GZ160" s="9"/>
      <c r="HA160" s="9"/>
      <c r="HB160" s="9"/>
      <c r="HC160" s="9"/>
      <c r="HD160" s="9"/>
      <c r="HE160" s="9"/>
      <c r="HF160" s="9"/>
      <c r="HG160" s="9"/>
      <c r="HH160" s="9"/>
      <c r="HI160" s="9"/>
      <c r="HJ160" s="9"/>
      <c r="HK160" s="9"/>
      <c r="HL160" s="9"/>
      <c r="HM160" s="9"/>
      <c r="HN160" s="9"/>
      <c r="HO160" s="9"/>
      <c r="HP160" s="9"/>
      <c r="HQ160" s="9"/>
      <c r="HR160" s="9"/>
      <c r="HS160" s="9"/>
      <c r="HT160" s="9"/>
      <c r="HU160" s="9"/>
      <c r="HV160" s="9"/>
      <c r="HW160" s="9"/>
      <c r="HX160" s="9"/>
      <c r="HY160" s="9"/>
      <c r="HZ160" s="9"/>
      <c r="IA160" s="9"/>
      <c r="IB160" s="9"/>
      <c r="IC160" s="9"/>
      <c r="ID160" s="9"/>
      <c r="IE160" s="9"/>
      <c r="IF160" s="9"/>
      <c r="IG160" s="9"/>
      <c r="IH160" s="9"/>
      <c r="II160" s="9"/>
      <c r="IJ160" s="9"/>
      <c r="IK160" s="9"/>
      <c r="IL160" s="9"/>
      <c r="IM160" s="9"/>
      <c r="IN160" s="9"/>
      <c r="IO160" s="9"/>
      <c r="IP160" s="9"/>
      <c r="IQ160" s="9"/>
      <c r="IR160" s="9"/>
      <c r="IS160" s="9"/>
      <c r="IT160" s="9"/>
      <c r="IU160" s="9"/>
      <c r="IV160" s="9"/>
      <c r="IW160" s="9"/>
      <c r="IX160" s="9"/>
      <c r="IY160" s="9"/>
      <c r="IZ160" s="9"/>
      <c r="JA160" s="9"/>
      <c r="JB160" s="9"/>
      <c r="JC160" s="9"/>
      <c r="JD160" s="9"/>
      <c r="JE160" s="9"/>
      <c r="JF160" s="9"/>
      <c r="JG160" s="9"/>
      <c r="JH160" s="9"/>
      <c r="JI160" s="9"/>
      <c r="JJ160" s="9"/>
      <c r="JK160" s="9"/>
      <c r="JL160" s="9"/>
      <c r="JM160" s="9"/>
      <c r="JN160" s="9"/>
      <c r="JO160" s="9"/>
      <c r="JP160" s="9"/>
      <c r="JQ160" s="9"/>
      <c r="JR160" s="9"/>
      <c r="JS160" s="9"/>
      <c r="JT160" s="9"/>
      <c r="JU160" s="9"/>
      <c r="JV160" s="9"/>
      <c r="JW160" s="9"/>
      <c r="JX160" s="9"/>
      <c r="JY160" s="9"/>
      <c r="JZ160" s="9"/>
      <c r="KA160" s="9"/>
      <c r="KB160" s="9"/>
      <c r="KC160" s="9"/>
      <c r="KD160" s="9"/>
      <c r="KE160" s="9"/>
      <c r="KF160" s="9"/>
      <c r="KG160" s="9"/>
      <c r="KH160" s="9"/>
      <c r="KI160" s="9"/>
      <c r="KJ160" s="9"/>
      <c r="KK160" s="9"/>
      <c r="KL160" s="9"/>
      <c r="KM160" s="9"/>
      <c r="KN160" s="9"/>
      <c r="KO160" s="9"/>
      <c r="KP160" s="9"/>
      <c r="KQ160" s="9"/>
      <c r="KR160" s="9"/>
      <c r="KS160" s="9"/>
      <c r="KT160" s="9"/>
      <c r="KU160" s="9"/>
      <c r="KV160" s="9"/>
      <c r="KW160" s="9"/>
      <c r="KX160" s="9"/>
      <c r="KY160" s="9"/>
      <c r="KZ160" s="9"/>
      <c r="LA160" s="9"/>
      <c r="LB160" s="9"/>
      <c r="LC160" s="9"/>
      <c r="LD160" s="9"/>
      <c r="LE160" s="9"/>
      <c r="LF160" s="9"/>
      <c r="LG160" s="9"/>
      <c r="LH160" s="9"/>
      <c r="LI160" s="9"/>
      <c r="LJ160" s="9"/>
      <c r="LK160" s="9"/>
      <c r="LL160" s="9"/>
      <c r="LM160" s="9"/>
      <c r="LN160" s="9"/>
      <c r="LO160" s="9"/>
      <c r="LP160" s="9"/>
      <c r="LQ160" s="9"/>
      <c r="LR160" s="9"/>
      <c r="LS160" s="9"/>
      <c r="LT160" s="9"/>
      <c r="LU160" s="9"/>
      <c r="LV160" s="9"/>
      <c r="LW160" s="9"/>
      <c r="LX160" s="9"/>
      <c r="LY160" s="9"/>
      <c r="LZ160" s="9"/>
      <c r="MA160" s="9"/>
      <c r="MB160" s="9"/>
      <c r="MC160" s="9"/>
      <c r="MD160" s="9"/>
      <c r="ME160" s="9"/>
      <c r="MF160" s="9"/>
      <c r="MG160" s="9"/>
      <c r="MH160" s="9"/>
      <c r="MI160" s="9"/>
      <c r="MJ160" s="9"/>
      <c r="MK160" s="9"/>
      <c r="ML160" s="9"/>
      <c r="MM160" s="9"/>
      <c r="MN160" s="9"/>
      <c r="MO160" s="9"/>
      <c r="MP160" s="9"/>
      <c r="MQ160" s="9"/>
      <c r="MR160" s="9"/>
      <c r="MS160" s="9"/>
      <c r="MT160" s="9"/>
      <c r="MU160" s="9"/>
      <c r="MV160" s="9"/>
      <c r="MW160" s="9"/>
      <c r="MX160" s="9"/>
      <c r="MY160" s="9"/>
      <c r="MZ160" s="9"/>
      <c r="NA160" s="9"/>
      <c r="NB160" s="9"/>
      <c r="NC160" s="9"/>
      <c r="ND160" s="9"/>
      <c r="NE160" s="9"/>
      <c r="NF160" s="9"/>
      <c r="NG160" s="9"/>
      <c r="NH160" s="9"/>
      <c r="NI160" s="9"/>
      <c r="NJ160" s="9"/>
      <c r="NK160" s="9"/>
      <c r="NL160" s="9"/>
      <c r="NM160" s="9"/>
      <c r="NN160" s="9"/>
      <c r="NO160" s="9"/>
      <c r="NP160" s="9"/>
      <c r="NQ160" s="9"/>
      <c r="NR160" s="9"/>
      <c r="NS160" s="9"/>
      <c r="NT160" s="9"/>
      <c r="NU160" s="9"/>
      <c r="NV160" s="9"/>
      <c r="NW160" s="9"/>
      <c r="NX160" s="9"/>
      <c r="NY160" s="9"/>
      <c r="NZ160" s="9"/>
      <c r="OA160" s="9"/>
      <c r="OB160" s="9"/>
      <c r="OC160" s="9"/>
      <c r="OD160" s="9"/>
      <c r="OE160" s="9"/>
      <c r="OF160" s="9"/>
      <c r="OG160" s="9"/>
      <c r="OH160" s="9"/>
      <c r="OI160" s="9"/>
      <c r="OJ160" s="9"/>
      <c r="OK160" s="9"/>
      <c r="OL160" s="9"/>
      <c r="OM160" s="9"/>
      <c r="ON160" s="9"/>
      <c r="OO160" s="9"/>
      <c r="OP160" s="9"/>
      <c r="OQ160" s="9"/>
      <c r="OR160" s="9"/>
      <c r="OS160" s="9"/>
      <c r="OT160" s="9"/>
      <c r="OU160" s="9"/>
      <c r="OV160" s="9"/>
      <c r="OW160" s="9"/>
      <c r="OX160" s="9"/>
      <c r="OY160" s="9"/>
      <c r="OZ160" s="9"/>
      <c r="PA160" s="9"/>
      <c r="PB160" s="9"/>
      <c r="PC160" s="9"/>
      <c r="PD160" s="9"/>
      <c r="PE160" s="9"/>
      <c r="PF160" s="9"/>
      <c r="PG160" s="9"/>
      <c r="PH160" s="9"/>
      <c r="PI160" s="9"/>
      <c r="PJ160" s="9"/>
      <c r="PK160" s="9"/>
      <c r="PL160" s="9"/>
      <c r="PM160" s="9"/>
      <c r="PN160" s="9"/>
      <c r="PO160" s="9"/>
      <c r="PP160" s="9"/>
      <c r="PQ160" s="9"/>
      <c r="PR160" s="9"/>
      <c r="PS160" s="9"/>
      <c r="PT160" s="9"/>
      <c r="PU160" s="9"/>
      <c r="PV160" s="9"/>
      <c r="PW160" s="9"/>
      <c r="PX160" s="9"/>
      <c r="PY160" s="9"/>
      <c r="PZ160" s="9"/>
      <c r="QA160" s="9"/>
      <c r="QB160" s="9"/>
      <c r="QC160" s="9"/>
      <c r="QD160" s="9"/>
      <c r="QE160" s="9"/>
      <c r="QF160" s="9"/>
      <c r="QG160" s="9"/>
      <c r="QH160" s="9"/>
      <c r="QI160" s="9"/>
      <c r="QJ160" s="9"/>
      <c r="QK160" s="9"/>
      <c r="QL160" s="9"/>
      <c r="QM160" s="9"/>
      <c r="QN160" s="9"/>
      <c r="QO160" s="9"/>
      <c r="QP160" s="9"/>
      <c r="QQ160" s="9"/>
      <c r="QR160" s="9"/>
      <c r="QS160" s="9"/>
      <c r="QT160" s="9"/>
      <c r="QU160" s="9"/>
      <c r="QV160" s="9"/>
      <c r="QW160" s="9"/>
      <c r="QX160" s="9"/>
      <c r="QY160" s="9"/>
      <c r="QZ160" s="9"/>
      <c r="RA160" s="9"/>
      <c r="RB160" s="9"/>
      <c r="RC160" s="9"/>
      <c r="RD160" s="9"/>
      <c r="RE160" s="9"/>
      <c r="RF160" s="9"/>
      <c r="RG160" s="9"/>
      <c r="RH160" s="9"/>
      <c r="RI160" s="9"/>
      <c r="RJ160" s="9"/>
      <c r="RK160" s="9"/>
      <c r="RL160" s="9"/>
      <c r="RM160" s="9"/>
      <c r="RN160" s="9"/>
      <c r="RO160" s="9"/>
      <c r="RP160" s="9"/>
      <c r="RQ160" s="9"/>
      <c r="RR160" s="9"/>
      <c r="RS160" s="9"/>
      <c r="RT160" s="9"/>
      <c r="RU160" s="9"/>
      <c r="RV160" s="9"/>
      <c r="RW160" s="9"/>
      <c r="RX160" s="9"/>
      <c r="RY160" s="9"/>
      <c r="RZ160" s="9"/>
      <c r="SA160" s="9"/>
      <c r="SB160" s="9"/>
      <c r="SC160" s="9"/>
      <c r="SD160" s="9"/>
      <c r="SE160" s="9"/>
      <c r="SF160" s="9"/>
      <c r="SG160" s="9"/>
      <c r="SH160" s="9"/>
      <c r="SI160" s="9"/>
      <c r="SJ160" s="9"/>
      <c r="SK160" s="8"/>
      <c r="SL160" s="8"/>
      <c r="SM160" s="8"/>
      <c r="SN160" s="8"/>
      <c r="SO160" s="8"/>
      <c r="SP160" s="8"/>
      <c r="SQ160" s="8"/>
      <c r="SR160" s="8"/>
      <c r="SS160" s="8"/>
      <c r="ST160" s="8"/>
      <c r="SU160" s="8"/>
      <c r="SV160" s="8"/>
      <c r="SW160" s="8"/>
      <c r="SX160" s="8"/>
      <c r="SY160" s="8"/>
      <c r="SZ160" s="8"/>
      <c r="TA160" s="8"/>
      <c r="TB160" s="8"/>
      <c r="TC160" s="8"/>
      <c r="TD160" s="8"/>
      <c r="TE160" s="8"/>
      <c r="TF160" s="8"/>
      <c r="TG160" s="8"/>
      <c r="TH160" s="8"/>
      <c r="TI160" s="8"/>
      <c r="TJ160" s="8"/>
      <c r="TK160" s="8"/>
      <c r="TL160" s="8"/>
      <c r="TM160" s="8"/>
      <c r="TN160" s="8"/>
      <c r="TO160" s="8"/>
    </row>
    <row r="161" spans="1:535" x14ac:dyDescent="0.2">
      <c r="A161" s="7"/>
      <c r="B161" s="7"/>
      <c r="C161" s="9"/>
      <c r="D161" s="8"/>
      <c r="E161" s="8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/>
      <c r="DI161" s="9"/>
      <c r="DJ161" s="9"/>
      <c r="DK161" s="9"/>
      <c r="DL161" s="9"/>
      <c r="DM161" s="9"/>
      <c r="DN161" s="9"/>
      <c r="DO161" s="9"/>
      <c r="DP161" s="9"/>
      <c r="DQ161" s="9"/>
      <c r="DR161" s="9"/>
      <c r="DS161" s="9"/>
      <c r="DT161" s="9"/>
      <c r="DU161" s="9"/>
      <c r="DV161" s="9"/>
      <c r="DW161" s="9"/>
      <c r="DX161" s="9"/>
      <c r="DY161" s="9"/>
      <c r="DZ161" s="9"/>
      <c r="EA161" s="9"/>
      <c r="EB161" s="9"/>
      <c r="EC161" s="9"/>
      <c r="ED161" s="9"/>
      <c r="EE161" s="9"/>
      <c r="EF161" s="9"/>
      <c r="EG161" s="9"/>
      <c r="EH161" s="9"/>
      <c r="EI161" s="9"/>
      <c r="EJ161" s="9"/>
      <c r="EK161" s="9"/>
      <c r="EL161" s="9"/>
      <c r="EM161" s="9"/>
      <c r="EN161" s="9"/>
      <c r="EO161" s="9"/>
      <c r="EP161" s="9"/>
      <c r="EQ161" s="9"/>
      <c r="ER161" s="9"/>
      <c r="ES161" s="9"/>
      <c r="ET161" s="9"/>
      <c r="EU161" s="9"/>
      <c r="EV161" s="9"/>
      <c r="EW161" s="9"/>
      <c r="EX161" s="9"/>
      <c r="EY161" s="9"/>
      <c r="EZ161" s="9"/>
      <c r="FA161" s="9"/>
      <c r="FB161" s="9"/>
      <c r="FC161" s="9"/>
      <c r="FD161" s="9"/>
      <c r="FE161" s="9"/>
      <c r="FF161" s="9"/>
      <c r="FG161" s="9"/>
      <c r="FH161" s="9"/>
      <c r="FI161" s="9"/>
      <c r="FJ161" s="9"/>
      <c r="FK161" s="9"/>
      <c r="FL161" s="9"/>
      <c r="FM161" s="9"/>
      <c r="FN161" s="9"/>
      <c r="FO161" s="9"/>
      <c r="FP161" s="9"/>
      <c r="FQ161" s="9"/>
      <c r="FR161" s="9"/>
      <c r="FS161" s="9"/>
      <c r="FT161" s="9"/>
      <c r="FU161" s="9"/>
      <c r="FV161" s="9"/>
      <c r="FW161" s="9"/>
      <c r="FX161" s="9"/>
      <c r="FY161" s="9"/>
      <c r="FZ161" s="9"/>
      <c r="GA161" s="9"/>
      <c r="GB161" s="9"/>
      <c r="GC161" s="9"/>
      <c r="GD161" s="9"/>
      <c r="GE161" s="9"/>
      <c r="GF161" s="9"/>
      <c r="GG161" s="9"/>
      <c r="GH161" s="9"/>
      <c r="GI161" s="9"/>
      <c r="GJ161" s="9"/>
      <c r="GK161" s="9"/>
      <c r="GL161" s="9"/>
      <c r="GM161" s="9"/>
      <c r="GN161" s="9"/>
      <c r="GO161" s="9"/>
      <c r="GP161" s="9"/>
      <c r="GQ161" s="9"/>
      <c r="GR161" s="9"/>
      <c r="GS161" s="9"/>
      <c r="GT161" s="9"/>
      <c r="GU161" s="9"/>
      <c r="GV161" s="9"/>
      <c r="GW161" s="9"/>
      <c r="GX161" s="9"/>
      <c r="GY161" s="9"/>
      <c r="GZ161" s="9"/>
      <c r="HA161" s="9"/>
      <c r="HB161" s="9"/>
      <c r="HC161" s="9"/>
      <c r="HD161" s="9"/>
      <c r="HE161" s="9"/>
      <c r="HF161" s="9"/>
      <c r="HG161" s="9"/>
      <c r="HH161" s="9"/>
      <c r="HI161" s="9"/>
      <c r="HJ161" s="9"/>
      <c r="HK161" s="9"/>
      <c r="HL161" s="9"/>
      <c r="HM161" s="9"/>
      <c r="HN161" s="9"/>
      <c r="HO161" s="9"/>
      <c r="HP161" s="9"/>
      <c r="HQ161" s="9"/>
      <c r="HR161" s="9"/>
      <c r="HS161" s="9"/>
      <c r="HT161" s="9"/>
      <c r="HU161" s="9"/>
      <c r="HV161" s="9"/>
      <c r="HW161" s="9"/>
      <c r="HX161" s="9"/>
      <c r="HY161" s="9"/>
      <c r="HZ161" s="9"/>
      <c r="IA161" s="9"/>
      <c r="IB161" s="9"/>
      <c r="IC161" s="9"/>
      <c r="ID161" s="9"/>
      <c r="IE161" s="9"/>
      <c r="IF161" s="9"/>
      <c r="IG161" s="9"/>
      <c r="IH161" s="9"/>
      <c r="II161" s="9"/>
      <c r="IJ161" s="9"/>
      <c r="IK161" s="9"/>
      <c r="IL161" s="9"/>
      <c r="IM161" s="9"/>
      <c r="IN161" s="9"/>
      <c r="IO161" s="9"/>
      <c r="IP161" s="9"/>
      <c r="IQ161" s="9"/>
      <c r="IR161" s="9"/>
      <c r="IS161" s="9"/>
      <c r="IT161" s="9"/>
      <c r="IU161" s="9"/>
      <c r="IV161" s="9"/>
      <c r="IW161" s="9"/>
      <c r="IX161" s="9"/>
      <c r="IY161" s="9"/>
      <c r="IZ161" s="9"/>
      <c r="JA161" s="9"/>
      <c r="JB161" s="9"/>
      <c r="JC161" s="9"/>
      <c r="JD161" s="9"/>
      <c r="JE161" s="9"/>
      <c r="JF161" s="9"/>
      <c r="JG161" s="9"/>
      <c r="JH161" s="9"/>
      <c r="JI161" s="9"/>
      <c r="JJ161" s="9"/>
      <c r="JK161" s="9"/>
      <c r="JL161" s="9"/>
      <c r="JM161" s="9"/>
      <c r="JN161" s="9"/>
      <c r="JO161" s="9"/>
      <c r="JP161" s="9"/>
      <c r="JQ161" s="9"/>
      <c r="JR161" s="9"/>
      <c r="JS161" s="9"/>
      <c r="JT161" s="9"/>
      <c r="JU161" s="9"/>
      <c r="JV161" s="9"/>
      <c r="JW161" s="9"/>
      <c r="JX161" s="9"/>
      <c r="JY161" s="9"/>
      <c r="JZ161" s="9"/>
      <c r="KA161" s="9"/>
      <c r="KB161" s="9"/>
      <c r="KC161" s="9"/>
      <c r="KD161" s="9"/>
      <c r="KE161" s="9"/>
      <c r="KF161" s="9"/>
      <c r="KG161" s="9"/>
      <c r="KH161" s="9"/>
      <c r="KI161" s="9"/>
      <c r="KJ161" s="9"/>
      <c r="KK161" s="9"/>
      <c r="KL161" s="9"/>
      <c r="KM161" s="9"/>
      <c r="KN161" s="9"/>
      <c r="KO161" s="9"/>
      <c r="KP161" s="9"/>
      <c r="KQ161" s="9"/>
      <c r="KR161" s="9"/>
      <c r="KS161" s="9"/>
      <c r="KT161" s="9"/>
      <c r="KU161" s="9"/>
      <c r="KV161" s="9"/>
      <c r="KW161" s="9"/>
      <c r="KX161" s="9"/>
      <c r="KY161" s="9"/>
      <c r="KZ161" s="9"/>
      <c r="LA161" s="9"/>
      <c r="LB161" s="9"/>
      <c r="LC161" s="9"/>
      <c r="LD161" s="9"/>
      <c r="LE161" s="9"/>
      <c r="LF161" s="9"/>
      <c r="LG161" s="9"/>
      <c r="LH161" s="9"/>
      <c r="LI161" s="9"/>
      <c r="LJ161" s="9"/>
      <c r="LK161" s="9"/>
      <c r="LL161" s="9"/>
      <c r="LM161" s="9"/>
      <c r="LN161" s="9"/>
      <c r="LO161" s="9"/>
      <c r="LP161" s="9"/>
      <c r="LQ161" s="9"/>
      <c r="LR161" s="9"/>
      <c r="LS161" s="9"/>
      <c r="LT161" s="9"/>
      <c r="LU161" s="9"/>
      <c r="LV161" s="9"/>
      <c r="LW161" s="9"/>
      <c r="LX161" s="9"/>
      <c r="LY161" s="9"/>
      <c r="LZ161" s="9"/>
      <c r="MA161" s="9"/>
      <c r="MB161" s="9"/>
      <c r="MC161" s="9"/>
      <c r="MD161" s="9"/>
      <c r="ME161" s="9"/>
      <c r="MF161" s="9"/>
      <c r="MG161" s="9"/>
      <c r="MH161" s="9"/>
      <c r="MI161" s="9"/>
      <c r="MJ161" s="9"/>
      <c r="MK161" s="9"/>
      <c r="ML161" s="9"/>
      <c r="MM161" s="9"/>
      <c r="MN161" s="9"/>
      <c r="MO161" s="9"/>
      <c r="MP161" s="9"/>
      <c r="MQ161" s="9"/>
      <c r="MR161" s="9"/>
      <c r="MS161" s="9"/>
      <c r="MT161" s="9"/>
      <c r="MU161" s="9"/>
      <c r="MV161" s="9"/>
      <c r="MW161" s="9"/>
      <c r="MX161" s="9"/>
      <c r="MY161" s="9"/>
      <c r="MZ161" s="9"/>
      <c r="NA161" s="9"/>
      <c r="NB161" s="9"/>
      <c r="NC161" s="9"/>
      <c r="ND161" s="9"/>
      <c r="NE161" s="9"/>
      <c r="NF161" s="9"/>
      <c r="NG161" s="9"/>
      <c r="NH161" s="9"/>
      <c r="NI161" s="9"/>
      <c r="NJ161" s="9"/>
      <c r="NK161" s="9"/>
      <c r="NL161" s="9"/>
      <c r="NM161" s="9"/>
      <c r="NN161" s="9"/>
      <c r="NO161" s="9"/>
      <c r="NP161" s="9"/>
      <c r="NQ161" s="9"/>
      <c r="NR161" s="9"/>
      <c r="NS161" s="9"/>
      <c r="NT161" s="9"/>
      <c r="NU161" s="9"/>
      <c r="NV161" s="9"/>
      <c r="NW161" s="9"/>
      <c r="NX161" s="9"/>
      <c r="NY161" s="9"/>
      <c r="NZ161" s="9"/>
      <c r="OA161" s="9"/>
      <c r="OB161" s="9"/>
      <c r="OC161" s="9"/>
      <c r="OD161" s="9"/>
      <c r="OE161" s="9"/>
      <c r="OF161" s="9"/>
      <c r="OG161" s="9"/>
      <c r="OH161" s="9"/>
      <c r="OI161" s="9"/>
      <c r="OJ161" s="9"/>
      <c r="OK161" s="9"/>
      <c r="OL161" s="9"/>
      <c r="OM161" s="9"/>
      <c r="ON161" s="9"/>
      <c r="OO161" s="9"/>
      <c r="OP161" s="9"/>
      <c r="OQ161" s="9"/>
      <c r="OR161" s="9"/>
      <c r="OS161" s="9"/>
      <c r="OT161" s="9"/>
      <c r="OU161" s="9"/>
      <c r="OV161" s="9"/>
      <c r="OW161" s="9"/>
      <c r="OX161" s="9"/>
      <c r="OY161" s="9"/>
      <c r="OZ161" s="9"/>
      <c r="PA161" s="9"/>
      <c r="PB161" s="9"/>
      <c r="PC161" s="9"/>
      <c r="PD161" s="9"/>
      <c r="PE161" s="9"/>
      <c r="PF161" s="9"/>
      <c r="PG161" s="9"/>
      <c r="PH161" s="9"/>
      <c r="PI161" s="9"/>
      <c r="PJ161" s="9"/>
      <c r="PK161" s="9"/>
      <c r="PL161" s="9"/>
      <c r="PM161" s="9"/>
      <c r="PN161" s="9"/>
      <c r="PO161" s="9"/>
      <c r="PP161" s="9"/>
      <c r="PQ161" s="9"/>
      <c r="PR161" s="9"/>
      <c r="PS161" s="9"/>
      <c r="PT161" s="9"/>
      <c r="PU161" s="9"/>
      <c r="PV161" s="9"/>
      <c r="PW161" s="9"/>
      <c r="PX161" s="9"/>
      <c r="PY161" s="9"/>
      <c r="PZ161" s="9"/>
      <c r="QA161" s="9"/>
      <c r="QB161" s="9"/>
      <c r="QC161" s="9"/>
      <c r="QD161" s="9"/>
      <c r="QE161" s="9"/>
      <c r="QF161" s="9"/>
      <c r="QG161" s="9"/>
      <c r="QH161" s="9"/>
      <c r="QI161" s="9"/>
      <c r="QJ161" s="9"/>
      <c r="QK161" s="9"/>
      <c r="QL161" s="9"/>
      <c r="QM161" s="9"/>
      <c r="QN161" s="9"/>
      <c r="QO161" s="9"/>
      <c r="QP161" s="9"/>
      <c r="QQ161" s="9"/>
      <c r="QR161" s="9"/>
      <c r="QS161" s="9"/>
      <c r="QT161" s="9"/>
      <c r="QU161" s="9"/>
      <c r="QV161" s="9"/>
      <c r="QW161" s="9"/>
      <c r="QX161" s="9"/>
      <c r="QY161" s="9"/>
      <c r="QZ161" s="9"/>
      <c r="RA161" s="9"/>
      <c r="RB161" s="9"/>
      <c r="RC161" s="9"/>
      <c r="RD161" s="9"/>
      <c r="RE161" s="9"/>
      <c r="RF161" s="9"/>
      <c r="RG161" s="9"/>
      <c r="RH161" s="9"/>
      <c r="RI161" s="9"/>
      <c r="RJ161" s="9"/>
      <c r="RK161" s="9"/>
      <c r="RL161" s="9"/>
      <c r="RM161" s="9"/>
      <c r="RN161" s="9"/>
      <c r="RO161" s="9"/>
      <c r="RP161" s="9"/>
      <c r="RQ161" s="9"/>
      <c r="RR161" s="9"/>
      <c r="RS161" s="9"/>
      <c r="RT161" s="9"/>
      <c r="RU161" s="9"/>
      <c r="RV161" s="9"/>
      <c r="RW161" s="9"/>
      <c r="RX161" s="9"/>
      <c r="RY161" s="9"/>
      <c r="RZ161" s="9"/>
      <c r="SA161" s="9"/>
      <c r="SB161" s="9"/>
      <c r="SC161" s="9"/>
      <c r="SD161" s="9"/>
      <c r="SE161" s="9"/>
      <c r="SF161" s="9"/>
      <c r="SG161" s="9"/>
      <c r="SH161" s="9"/>
      <c r="SI161" s="9"/>
      <c r="SJ161" s="9"/>
      <c r="SK161" s="8"/>
      <c r="SL161" s="8"/>
      <c r="SM161" s="8"/>
      <c r="SN161" s="8"/>
      <c r="SO161" s="8"/>
      <c r="SP161" s="8"/>
      <c r="SQ161" s="8"/>
      <c r="SR161" s="8"/>
      <c r="SS161" s="8"/>
      <c r="ST161" s="8"/>
      <c r="SU161" s="8"/>
      <c r="SV161" s="8"/>
      <c r="SW161" s="8"/>
      <c r="SX161" s="8"/>
      <c r="SY161" s="8"/>
      <c r="SZ161" s="8"/>
      <c r="TA161" s="8"/>
      <c r="TB161" s="8"/>
      <c r="TC161" s="8"/>
      <c r="TD161" s="8"/>
      <c r="TE161" s="8"/>
      <c r="TF161" s="8"/>
      <c r="TG161" s="8"/>
      <c r="TH161" s="8"/>
      <c r="TI161" s="8"/>
      <c r="TJ161" s="8"/>
      <c r="TK161" s="8"/>
      <c r="TL161" s="8"/>
      <c r="TM161" s="8"/>
      <c r="TN161" s="8"/>
      <c r="TO161" s="8"/>
    </row>
    <row r="162" spans="1:535" x14ac:dyDescent="0.2">
      <c r="A162" s="7"/>
      <c r="B162" s="7"/>
      <c r="C162" s="9"/>
      <c r="D162" s="8"/>
      <c r="E162" s="8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  <c r="CJ162" s="9"/>
      <c r="CK162" s="9"/>
      <c r="CL162" s="9"/>
      <c r="CM162" s="9"/>
      <c r="CN162" s="9"/>
      <c r="CO162" s="9"/>
      <c r="CP162" s="9"/>
      <c r="CQ162" s="9"/>
      <c r="CR162" s="9"/>
      <c r="CS162" s="9"/>
      <c r="CT162" s="9"/>
      <c r="CU162" s="9"/>
      <c r="CV162" s="9"/>
      <c r="CW162" s="9"/>
      <c r="CX162" s="9"/>
      <c r="CY162" s="9"/>
      <c r="CZ162" s="9"/>
      <c r="DA162" s="9"/>
      <c r="DB162" s="9"/>
      <c r="DC162" s="9"/>
      <c r="DD162" s="9"/>
      <c r="DE162" s="9"/>
      <c r="DF162" s="9"/>
      <c r="DG162" s="9"/>
      <c r="DH162" s="9"/>
      <c r="DI162" s="9"/>
      <c r="DJ162" s="9"/>
      <c r="DK162" s="9"/>
      <c r="DL162" s="9"/>
      <c r="DM162" s="9"/>
      <c r="DN162" s="9"/>
      <c r="DO162" s="9"/>
      <c r="DP162" s="9"/>
      <c r="DQ162" s="9"/>
      <c r="DR162" s="9"/>
      <c r="DS162" s="9"/>
      <c r="DT162" s="9"/>
      <c r="DU162" s="9"/>
      <c r="DV162" s="9"/>
      <c r="DW162" s="9"/>
      <c r="DX162" s="9"/>
      <c r="DY162" s="9"/>
      <c r="DZ162" s="9"/>
      <c r="EA162" s="9"/>
      <c r="EB162" s="9"/>
      <c r="EC162" s="9"/>
      <c r="ED162" s="9"/>
      <c r="EE162" s="9"/>
      <c r="EF162" s="9"/>
      <c r="EG162" s="9"/>
      <c r="EH162" s="9"/>
      <c r="EI162" s="9"/>
      <c r="EJ162" s="9"/>
      <c r="EK162" s="9"/>
      <c r="EL162" s="9"/>
      <c r="EM162" s="9"/>
      <c r="EN162" s="9"/>
      <c r="EO162" s="9"/>
      <c r="EP162" s="9"/>
      <c r="EQ162" s="9"/>
      <c r="ER162" s="9"/>
      <c r="ES162" s="9"/>
      <c r="ET162" s="9"/>
      <c r="EU162" s="9"/>
      <c r="EV162" s="9"/>
      <c r="EW162" s="9"/>
      <c r="EX162" s="9"/>
      <c r="EY162" s="9"/>
      <c r="EZ162" s="9"/>
      <c r="FA162" s="9"/>
      <c r="FB162" s="9"/>
      <c r="FC162" s="9"/>
      <c r="FD162" s="9"/>
      <c r="FE162" s="9"/>
      <c r="FF162" s="9"/>
      <c r="FG162" s="9"/>
      <c r="FH162" s="9"/>
      <c r="FI162" s="9"/>
      <c r="FJ162" s="9"/>
      <c r="FK162" s="9"/>
      <c r="FL162" s="9"/>
      <c r="FM162" s="9"/>
      <c r="FN162" s="9"/>
      <c r="FO162" s="9"/>
      <c r="FP162" s="9"/>
      <c r="FQ162" s="9"/>
      <c r="FR162" s="9"/>
      <c r="FS162" s="9"/>
      <c r="FT162" s="9"/>
      <c r="FU162" s="9"/>
      <c r="FV162" s="9"/>
      <c r="FW162" s="9"/>
      <c r="FX162" s="9"/>
      <c r="FY162" s="9"/>
      <c r="FZ162" s="9"/>
      <c r="GA162" s="9"/>
      <c r="GB162" s="9"/>
      <c r="GC162" s="9"/>
      <c r="GD162" s="9"/>
      <c r="GE162" s="9"/>
      <c r="GF162" s="9"/>
      <c r="GG162" s="9"/>
      <c r="GH162" s="9"/>
      <c r="GI162" s="9"/>
      <c r="GJ162" s="9"/>
      <c r="GK162" s="9"/>
      <c r="GL162" s="9"/>
      <c r="GM162" s="9"/>
      <c r="GN162" s="9"/>
      <c r="GO162" s="9"/>
      <c r="GP162" s="9"/>
      <c r="GQ162" s="9"/>
      <c r="GR162" s="9"/>
      <c r="GS162" s="9"/>
      <c r="GT162" s="9"/>
      <c r="GU162" s="9"/>
      <c r="GV162" s="9"/>
      <c r="GW162" s="9"/>
      <c r="GX162" s="9"/>
      <c r="GY162" s="9"/>
      <c r="GZ162" s="9"/>
      <c r="HA162" s="9"/>
      <c r="HB162" s="9"/>
      <c r="HC162" s="9"/>
      <c r="HD162" s="9"/>
      <c r="HE162" s="9"/>
      <c r="HF162" s="9"/>
      <c r="HG162" s="9"/>
      <c r="HH162" s="9"/>
      <c r="HI162" s="9"/>
      <c r="HJ162" s="9"/>
      <c r="HK162" s="9"/>
      <c r="HL162" s="9"/>
      <c r="HM162" s="9"/>
      <c r="HN162" s="9"/>
      <c r="HO162" s="9"/>
      <c r="HP162" s="9"/>
      <c r="HQ162" s="9"/>
      <c r="HR162" s="9"/>
      <c r="HS162" s="9"/>
      <c r="HT162" s="9"/>
      <c r="HU162" s="9"/>
      <c r="HV162" s="9"/>
      <c r="HW162" s="9"/>
      <c r="HX162" s="9"/>
      <c r="HY162" s="9"/>
      <c r="HZ162" s="9"/>
      <c r="IA162" s="9"/>
      <c r="IB162" s="9"/>
      <c r="IC162" s="9"/>
      <c r="ID162" s="9"/>
      <c r="IE162" s="9"/>
      <c r="IF162" s="9"/>
      <c r="IG162" s="9"/>
      <c r="IH162" s="9"/>
      <c r="II162" s="9"/>
      <c r="IJ162" s="9"/>
      <c r="IK162" s="9"/>
      <c r="IL162" s="9"/>
      <c r="IM162" s="9"/>
      <c r="IN162" s="9"/>
      <c r="IO162" s="9"/>
      <c r="IP162" s="9"/>
      <c r="IQ162" s="9"/>
      <c r="IR162" s="9"/>
      <c r="IS162" s="9"/>
      <c r="IT162" s="9"/>
      <c r="IU162" s="9"/>
      <c r="IV162" s="9"/>
      <c r="IW162" s="9"/>
      <c r="IX162" s="9"/>
      <c r="IY162" s="9"/>
      <c r="IZ162" s="9"/>
      <c r="JA162" s="9"/>
      <c r="JB162" s="9"/>
      <c r="JC162" s="9"/>
      <c r="JD162" s="9"/>
      <c r="JE162" s="9"/>
      <c r="JF162" s="9"/>
      <c r="JG162" s="9"/>
      <c r="JH162" s="9"/>
      <c r="JI162" s="9"/>
      <c r="JJ162" s="9"/>
      <c r="JK162" s="9"/>
      <c r="JL162" s="9"/>
      <c r="JM162" s="9"/>
      <c r="JN162" s="9"/>
      <c r="JO162" s="9"/>
      <c r="JP162" s="9"/>
      <c r="JQ162" s="9"/>
      <c r="JR162" s="9"/>
      <c r="JS162" s="9"/>
      <c r="JT162" s="9"/>
      <c r="JU162" s="9"/>
      <c r="JV162" s="9"/>
      <c r="JW162" s="9"/>
      <c r="JX162" s="9"/>
      <c r="JY162" s="9"/>
      <c r="JZ162" s="9"/>
      <c r="KA162" s="9"/>
      <c r="KB162" s="9"/>
      <c r="KC162" s="9"/>
      <c r="KD162" s="9"/>
      <c r="KE162" s="9"/>
      <c r="KF162" s="9"/>
      <c r="KG162" s="9"/>
      <c r="KH162" s="9"/>
      <c r="KI162" s="9"/>
      <c r="KJ162" s="9"/>
      <c r="KK162" s="9"/>
      <c r="KL162" s="9"/>
      <c r="KM162" s="9"/>
      <c r="KN162" s="9"/>
      <c r="KO162" s="9"/>
      <c r="KP162" s="9"/>
      <c r="KQ162" s="9"/>
      <c r="KR162" s="9"/>
      <c r="KS162" s="9"/>
      <c r="KT162" s="9"/>
      <c r="KU162" s="9"/>
      <c r="KV162" s="9"/>
      <c r="KW162" s="9"/>
      <c r="KX162" s="9"/>
      <c r="KY162" s="9"/>
      <c r="KZ162" s="9"/>
      <c r="LA162" s="9"/>
      <c r="LB162" s="9"/>
      <c r="LC162" s="9"/>
      <c r="LD162" s="9"/>
      <c r="LE162" s="9"/>
      <c r="LF162" s="9"/>
      <c r="LG162" s="9"/>
      <c r="LH162" s="9"/>
      <c r="LI162" s="9"/>
      <c r="LJ162" s="9"/>
      <c r="LK162" s="9"/>
      <c r="LL162" s="9"/>
      <c r="LM162" s="9"/>
      <c r="LN162" s="9"/>
      <c r="LO162" s="9"/>
      <c r="LP162" s="9"/>
      <c r="LQ162" s="9"/>
      <c r="LR162" s="9"/>
      <c r="LS162" s="9"/>
      <c r="LT162" s="9"/>
      <c r="LU162" s="9"/>
      <c r="LV162" s="9"/>
      <c r="LW162" s="9"/>
      <c r="LX162" s="9"/>
      <c r="LY162" s="9"/>
      <c r="LZ162" s="9"/>
      <c r="MA162" s="9"/>
      <c r="MB162" s="9"/>
      <c r="MC162" s="9"/>
      <c r="MD162" s="9"/>
      <c r="ME162" s="9"/>
      <c r="MF162" s="9"/>
      <c r="MG162" s="9"/>
      <c r="MH162" s="9"/>
      <c r="MI162" s="9"/>
      <c r="MJ162" s="9"/>
      <c r="MK162" s="9"/>
      <c r="ML162" s="9"/>
      <c r="MM162" s="9"/>
      <c r="MN162" s="9"/>
      <c r="MO162" s="9"/>
      <c r="MP162" s="9"/>
      <c r="MQ162" s="9"/>
      <c r="MR162" s="9"/>
      <c r="MS162" s="9"/>
      <c r="MT162" s="9"/>
      <c r="MU162" s="9"/>
      <c r="MV162" s="9"/>
      <c r="MW162" s="9"/>
      <c r="MX162" s="9"/>
      <c r="MY162" s="9"/>
      <c r="MZ162" s="9"/>
      <c r="NA162" s="9"/>
      <c r="NB162" s="9"/>
      <c r="NC162" s="9"/>
      <c r="ND162" s="9"/>
      <c r="NE162" s="9"/>
      <c r="NF162" s="9"/>
      <c r="NG162" s="9"/>
      <c r="NH162" s="9"/>
      <c r="NI162" s="9"/>
      <c r="NJ162" s="9"/>
      <c r="NK162" s="9"/>
      <c r="NL162" s="9"/>
      <c r="NM162" s="9"/>
      <c r="NN162" s="9"/>
      <c r="NO162" s="9"/>
      <c r="NP162" s="9"/>
      <c r="NQ162" s="9"/>
      <c r="NR162" s="9"/>
      <c r="NS162" s="9"/>
      <c r="NT162" s="9"/>
      <c r="NU162" s="9"/>
      <c r="NV162" s="9"/>
      <c r="NW162" s="9"/>
      <c r="NX162" s="9"/>
      <c r="NY162" s="9"/>
      <c r="NZ162" s="9"/>
      <c r="OA162" s="9"/>
      <c r="OB162" s="9"/>
      <c r="OC162" s="9"/>
      <c r="OD162" s="9"/>
      <c r="OE162" s="9"/>
      <c r="OF162" s="9"/>
      <c r="OG162" s="9"/>
      <c r="OH162" s="9"/>
      <c r="OI162" s="9"/>
      <c r="OJ162" s="9"/>
      <c r="OK162" s="9"/>
      <c r="OL162" s="9"/>
      <c r="OM162" s="9"/>
      <c r="ON162" s="9"/>
      <c r="OO162" s="9"/>
      <c r="OP162" s="9"/>
      <c r="OQ162" s="9"/>
      <c r="OR162" s="9"/>
      <c r="OS162" s="9"/>
      <c r="OT162" s="9"/>
      <c r="OU162" s="9"/>
      <c r="OV162" s="9"/>
      <c r="OW162" s="9"/>
      <c r="OX162" s="9"/>
      <c r="OY162" s="9"/>
      <c r="OZ162" s="9"/>
      <c r="PA162" s="9"/>
      <c r="PB162" s="9"/>
      <c r="PC162" s="9"/>
      <c r="PD162" s="9"/>
      <c r="PE162" s="9"/>
      <c r="PF162" s="9"/>
      <c r="PG162" s="9"/>
      <c r="PH162" s="9"/>
      <c r="PI162" s="9"/>
      <c r="PJ162" s="9"/>
      <c r="PK162" s="9"/>
      <c r="PL162" s="9"/>
      <c r="PM162" s="9"/>
      <c r="PN162" s="9"/>
      <c r="PO162" s="9"/>
      <c r="PP162" s="9"/>
      <c r="PQ162" s="9"/>
      <c r="PR162" s="9"/>
      <c r="PS162" s="9"/>
      <c r="PT162" s="9"/>
      <c r="PU162" s="9"/>
      <c r="PV162" s="9"/>
      <c r="PW162" s="9"/>
      <c r="PX162" s="9"/>
      <c r="PY162" s="9"/>
      <c r="PZ162" s="9"/>
      <c r="QA162" s="9"/>
      <c r="QB162" s="9"/>
      <c r="QC162" s="9"/>
      <c r="QD162" s="9"/>
      <c r="QE162" s="9"/>
      <c r="QF162" s="9"/>
      <c r="QG162" s="9"/>
      <c r="QH162" s="9"/>
      <c r="QI162" s="9"/>
      <c r="QJ162" s="9"/>
      <c r="QK162" s="9"/>
      <c r="QL162" s="9"/>
      <c r="QM162" s="9"/>
      <c r="QN162" s="9"/>
      <c r="QO162" s="9"/>
      <c r="QP162" s="9"/>
      <c r="QQ162" s="9"/>
      <c r="QR162" s="9"/>
      <c r="QS162" s="9"/>
      <c r="QT162" s="9"/>
      <c r="QU162" s="9"/>
      <c r="QV162" s="9"/>
      <c r="QW162" s="9"/>
      <c r="QX162" s="9"/>
      <c r="QY162" s="9"/>
      <c r="QZ162" s="9"/>
      <c r="RA162" s="9"/>
      <c r="RB162" s="9"/>
      <c r="RC162" s="9"/>
      <c r="RD162" s="9"/>
      <c r="RE162" s="9"/>
      <c r="RF162" s="9"/>
      <c r="RG162" s="9"/>
      <c r="RH162" s="9"/>
      <c r="RI162" s="9"/>
      <c r="RJ162" s="9"/>
      <c r="RK162" s="9"/>
      <c r="RL162" s="9"/>
      <c r="RM162" s="9"/>
      <c r="RN162" s="9"/>
      <c r="RO162" s="9"/>
      <c r="RP162" s="9"/>
      <c r="RQ162" s="9"/>
      <c r="RR162" s="9"/>
      <c r="RS162" s="9"/>
      <c r="RT162" s="9"/>
      <c r="RU162" s="9"/>
      <c r="RV162" s="9"/>
      <c r="RW162" s="9"/>
      <c r="RX162" s="9"/>
      <c r="RY162" s="9"/>
      <c r="RZ162" s="9"/>
      <c r="SA162" s="9"/>
      <c r="SB162" s="9"/>
      <c r="SC162" s="9"/>
      <c r="SD162" s="9"/>
      <c r="SE162" s="9"/>
      <c r="SF162" s="9"/>
      <c r="SG162" s="9"/>
      <c r="SH162" s="9"/>
      <c r="SI162" s="9"/>
      <c r="SJ162" s="9"/>
      <c r="SK162" s="8"/>
      <c r="SL162" s="8"/>
      <c r="SM162" s="8"/>
      <c r="SN162" s="8"/>
      <c r="SO162" s="8"/>
      <c r="SP162" s="8"/>
      <c r="SQ162" s="8"/>
      <c r="SR162" s="8"/>
      <c r="SS162" s="8"/>
      <c r="ST162" s="8"/>
      <c r="SU162" s="8"/>
      <c r="SV162" s="8"/>
      <c r="SW162" s="8"/>
      <c r="SX162" s="8"/>
      <c r="SY162" s="8"/>
      <c r="SZ162" s="8"/>
      <c r="TA162" s="8"/>
      <c r="TB162" s="8"/>
      <c r="TC162" s="8"/>
      <c r="TD162" s="8"/>
      <c r="TE162" s="8"/>
      <c r="TF162" s="8"/>
      <c r="TG162" s="8"/>
      <c r="TH162" s="8"/>
      <c r="TI162" s="8"/>
      <c r="TJ162" s="8"/>
      <c r="TK162" s="8"/>
      <c r="TL162" s="8"/>
      <c r="TM162" s="8"/>
      <c r="TN162" s="8"/>
      <c r="TO162" s="8"/>
    </row>
    <row r="163" spans="1:535" x14ac:dyDescent="0.2">
      <c r="A163" s="7"/>
      <c r="B163" s="7"/>
      <c r="C163" s="9"/>
      <c r="D163" s="8"/>
      <c r="E163" s="8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  <c r="CJ163" s="9"/>
      <c r="CK163" s="9"/>
      <c r="CL163" s="9"/>
      <c r="CM163" s="9"/>
      <c r="CN163" s="9"/>
      <c r="CO163" s="9"/>
      <c r="CP163" s="9"/>
      <c r="CQ163" s="9"/>
      <c r="CR163" s="9"/>
      <c r="CS163" s="9"/>
      <c r="CT163" s="9"/>
      <c r="CU163" s="9"/>
      <c r="CV163" s="9"/>
      <c r="CW163" s="9"/>
      <c r="CX163" s="9"/>
      <c r="CY163" s="9"/>
      <c r="CZ163" s="9"/>
      <c r="DA163" s="9"/>
      <c r="DB163" s="9"/>
      <c r="DC163" s="9"/>
      <c r="DD163" s="9"/>
      <c r="DE163" s="9"/>
      <c r="DF163" s="9"/>
      <c r="DG163" s="9"/>
      <c r="DH163" s="9"/>
      <c r="DI163" s="9"/>
      <c r="DJ163" s="9"/>
      <c r="DK163" s="9"/>
      <c r="DL163" s="9"/>
      <c r="DM163" s="9"/>
      <c r="DN163" s="9"/>
      <c r="DO163" s="9"/>
      <c r="DP163" s="9"/>
      <c r="DQ163" s="9"/>
      <c r="DR163" s="9"/>
      <c r="DS163" s="9"/>
      <c r="DT163" s="9"/>
      <c r="DU163" s="9"/>
      <c r="DV163" s="9"/>
      <c r="DW163" s="9"/>
      <c r="DX163" s="9"/>
      <c r="DY163" s="9"/>
      <c r="DZ163" s="9"/>
      <c r="EA163" s="9"/>
      <c r="EB163" s="9"/>
      <c r="EC163" s="9"/>
      <c r="ED163" s="9"/>
      <c r="EE163" s="9"/>
      <c r="EF163" s="9"/>
      <c r="EG163" s="9"/>
      <c r="EH163" s="9"/>
      <c r="EI163" s="9"/>
      <c r="EJ163" s="9"/>
      <c r="EK163" s="9"/>
      <c r="EL163" s="9"/>
      <c r="EM163" s="9"/>
      <c r="EN163" s="9"/>
      <c r="EO163" s="9"/>
      <c r="EP163" s="9"/>
      <c r="EQ163" s="9"/>
      <c r="ER163" s="9"/>
      <c r="ES163" s="9"/>
      <c r="ET163" s="9"/>
      <c r="EU163" s="9"/>
      <c r="EV163" s="9"/>
      <c r="EW163" s="9"/>
      <c r="EX163" s="9"/>
      <c r="EY163" s="9"/>
      <c r="EZ163" s="9"/>
      <c r="FA163" s="9"/>
      <c r="FB163" s="9"/>
      <c r="FC163" s="9"/>
      <c r="FD163" s="9"/>
      <c r="FE163" s="9"/>
      <c r="FF163" s="9"/>
      <c r="FG163" s="9"/>
      <c r="FH163" s="9"/>
      <c r="FI163" s="9"/>
      <c r="FJ163" s="9"/>
      <c r="FK163" s="9"/>
      <c r="FL163" s="9"/>
      <c r="FM163" s="9"/>
      <c r="FN163" s="9"/>
      <c r="FO163" s="9"/>
      <c r="FP163" s="9"/>
      <c r="FQ163" s="9"/>
      <c r="FR163" s="9"/>
      <c r="FS163" s="9"/>
      <c r="FT163" s="9"/>
      <c r="FU163" s="9"/>
      <c r="FV163" s="9"/>
      <c r="FW163" s="9"/>
      <c r="FX163" s="9"/>
      <c r="FY163" s="9"/>
      <c r="FZ163" s="9"/>
      <c r="GA163" s="9"/>
      <c r="GB163" s="9"/>
      <c r="GC163" s="9"/>
      <c r="GD163" s="9"/>
      <c r="GE163" s="9"/>
      <c r="GF163" s="9"/>
      <c r="GG163" s="9"/>
      <c r="GH163" s="9"/>
      <c r="GI163" s="9"/>
      <c r="GJ163" s="9"/>
      <c r="GK163" s="9"/>
      <c r="GL163" s="9"/>
      <c r="GM163" s="9"/>
      <c r="GN163" s="9"/>
      <c r="GO163" s="9"/>
      <c r="GP163" s="9"/>
      <c r="GQ163" s="9"/>
      <c r="GR163" s="9"/>
      <c r="GS163" s="9"/>
      <c r="GT163" s="9"/>
      <c r="GU163" s="9"/>
      <c r="GV163" s="9"/>
      <c r="GW163" s="9"/>
      <c r="GX163" s="9"/>
      <c r="GY163" s="9"/>
      <c r="GZ163" s="9"/>
      <c r="HA163" s="9"/>
      <c r="HB163" s="9"/>
      <c r="HC163" s="9"/>
      <c r="HD163" s="9"/>
      <c r="HE163" s="9"/>
      <c r="HF163" s="9"/>
      <c r="HG163" s="9"/>
      <c r="HH163" s="9"/>
      <c r="HI163" s="9"/>
      <c r="HJ163" s="9"/>
      <c r="HK163" s="9"/>
      <c r="HL163" s="9"/>
      <c r="HM163" s="9"/>
      <c r="HN163" s="9"/>
      <c r="HO163" s="9"/>
      <c r="HP163" s="9"/>
      <c r="HQ163" s="9"/>
      <c r="HR163" s="9"/>
      <c r="HS163" s="9"/>
      <c r="HT163" s="9"/>
      <c r="HU163" s="9"/>
      <c r="HV163" s="9"/>
      <c r="HW163" s="9"/>
      <c r="HX163" s="9"/>
      <c r="HY163" s="9"/>
      <c r="HZ163" s="9"/>
      <c r="IA163" s="9"/>
      <c r="IB163" s="9"/>
      <c r="IC163" s="9"/>
      <c r="ID163" s="9"/>
      <c r="IE163" s="9"/>
      <c r="IF163" s="9"/>
      <c r="IG163" s="9"/>
      <c r="IH163" s="9"/>
      <c r="II163" s="9"/>
      <c r="IJ163" s="9"/>
      <c r="IK163" s="9"/>
      <c r="IL163" s="9"/>
      <c r="IM163" s="9"/>
      <c r="IN163" s="9"/>
      <c r="IO163" s="9"/>
      <c r="IP163" s="9"/>
      <c r="IQ163" s="9"/>
      <c r="IR163" s="9"/>
      <c r="IS163" s="9"/>
      <c r="IT163" s="9"/>
      <c r="IU163" s="9"/>
      <c r="IV163" s="9"/>
      <c r="IW163" s="9"/>
      <c r="IX163" s="9"/>
      <c r="IY163" s="9"/>
      <c r="IZ163" s="9"/>
      <c r="JA163" s="9"/>
      <c r="JB163" s="9"/>
      <c r="JC163" s="9"/>
      <c r="JD163" s="9"/>
      <c r="JE163" s="9"/>
      <c r="JF163" s="9"/>
      <c r="JG163" s="9"/>
      <c r="JH163" s="9"/>
      <c r="JI163" s="9"/>
      <c r="JJ163" s="9"/>
      <c r="JK163" s="9"/>
      <c r="JL163" s="9"/>
      <c r="JM163" s="9"/>
      <c r="JN163" s="9"/>
      <c r="JO163" s="9"/>
      <c r="JP163" s="9"/>
      <c r="JQ163" s="9"/>
      <c r="JR163" s="9"/>
      <c r="JS163" s="9"/>
      <c r="JT163" s="9"/>
      <c r="JU163" s="9"/>
      <c r="JV163" s="9"/>
      <c r="JW163" s="9"/>
      <c r="JX163" s="9"/>
      <c r="JY163" s="9"/>
      <c r="JZ163" s="9"/>
      <c r="KA163" s="9"/>
      <c r="KB163" s="9"/>
      <c r="KC163" s="9"/>
      <c r="KD163" s="9"/>
      <c r="KE163" s="9"/>
      <c r="KF163" s="9"/>
      <c r="KG163" s="9"/>
      <c r="KH163" s="9"/>
      <c r="KI163" s="9"/>
      <c r="KJ163" s="9"/>
      <c r="KK163" s="9"/>
      <c r="KL163" s="9"/>
      <c r="KM163" s="9"/>
      <c r="KN163" s="9"/>
      <c r="KO163" s="9"/>
      <c r="KP163" s="9"/>
      <c r="KQ163" s="9"/>
      <c r="KR163" s="9"/>
      <c r="KS163" s="9"/>
      <c r="KT163" s="9"/>
      <c r="KU163" s="9"/>
      <c r="KV163" s="9"/>
      <c r="KW163" s="9"/>
      <c r="KX163" s="9"/>
      <c r="KY163" s="9"/>
      <c r="KZ163" s="9"/>
      <c r="LA163" s="9"/>
      <c r="LB163" s="9"/>
      <c r="LC163" s="9"/>
      <c r="LD163" s="9"/>
      <c r="LE163" s="9"/>
      <c r="LF163" s="9"/>
      <c r="LG163" s="9"/>
      <c r="LH163" s="9"/>
      <c r="LI163" s="9"/>
      <c r="LJ163" s="9"/>
      <c r="LK163" s="9"/>
      <c r="LL163" s="9"/>
      <c r="LM163" s="9"/>
      <c r="LN163" s="9"/>
      <c r="LO163" s="9"/>
      <c r="LP163" s="9"/>
      <c r="LQ163" s="9"/>
      <c r="LR163" s="9"/>
      <c r="LS163" s="9"/>
      <c r="LT163" s="9"/>
      <c r="LU163" s="9"/>
      <c r="LV163" s="9"/>
      <c r="LW163" s="9"/>
      <c r="LX163" s="9"/>
      <c r="LY163" s="9"/>
      <c r="LZ163" s="9"/>
      <c r="MA163" s="9"/>
      <c r="MB163" s="9"/>
      <c r="MC163" s="9"/>
      <c r="MD163" s="9"/>
      <c r="ME163" s="9"/>
      <c r="MF163" s="9"/>
      <c r="MG163" s="9"/>
      <c r="MH163" s="9"/>
      <c r="MI163" s="9"/>
      <c r="MJ163" s="9"/>
      <c r="MK163" s="9"/>
      <c r="ML163" s="9"/>
      <c r="MM163" s="9"/>
      <c r="MN163" s="9"/>
      <c r="MO163" s="9"/>
      <c r="MP163" s="9"/>
      <c r="MQ163" s="9"/>
      <c r="MR163" s="9"/>
      <c r="MS163" s="9"/>
      <c r="MT163" s="9"/>
      <c r="MU163" s="9"/>
      <c r="MV163" s="9"/>
      <c r="MW163" s="9"/>
      <c r="MX163" s="9"/>
      <c r="MY163" s="9"/>
      <c r="MZ163" s="9"/>
      <c r="NA163" s="9"/>
      <c r="NB163" s="9"/>
      <c r="NC163" s="9"/>
      <c r="ND163" s="9"/>
      <c r="NE163" s="9"/>
      <c r="NF163" s="9"/>
      <c r="NG163" s="9"/>
      <c r="NH163" s="9"/>
      <c r="NI163" s="9"/>
      <c r="NJ163" s="9"/>
      <c r="NK163" s="9"/>
      <c r="NL163" s="9"/>
      <c r="NM163" s="9"/>
      <c r="NN163" s="9"/>
      <c r="NO163" s="9"/>
      <c r="NP163" s="9"/>
      <c r="NQ163" s="9"/>
      <c r="NR163" s="9"/>
      <c r="NS163" s="9"/>
      <c r="NT163" s="9"/>
      <c r="NU163" s="9"/>
      <c r="NV163" s="9"/>
      <c r="NW163" s="9"/>
      <c r="NX163" s="9"/>
      <c r="NY163" s="9"/>
      <c r="NZ163" s="9"/>
      <c r="OA163" s="9"/>
      <c r="OB163" s="9"/>
      <c r="OC163" s="9"/>
      <c r="OD163" s="9"/>
      <c r="OE163" s="9"/>
      <c r="OF163" s="9"/>
      <c r="OG163" s="9"/>
      <c r="OH163" s="9"/>
      <c r="OI163" s="9"/>
      <c r="OJ163" s="9"/>
      <c r="OK163" s="9"/>
      <c r="OL163" s="9"/>
      <c r="OM163" s="9"/>
      <c r="ON163" s="9"/>
      <c r="OO163" s="9"/>
      <c r="OP163" s="9"/>
      <c r="OQ163" s="9"/>
      <c r="OR163" s="9"/>
      <c r="OS163" s="9"/>
      <c r="OT163" s="9"/>
      <c r="OU163" s="9"/>
      <c r="OV163" s="9"/>
      <c r="OW163" s="9"/>
      <c r="OX163" s="9"/>
      <c r="OY163" s="9"/>
      <c r="OZ163" s="9"/>
      <c r="PA163" s="9"/>
      <c r="PB163" s="9"/>
      <c r="PC163" s="9"/>
      <c r="PD163" s="9"/>
      <c r="PE163" s="9"/>
      <c r="PF163" s="9"/>
      <c r="PG163" s="9"/>
      <c r="PH163" s="9"/>
      <c r="PI163" s="9"/>
      <c r="PJ163" s="9"/>
      <c r="PK163" s="9"/>
      <c r="PL163" s="9"/>
      <c r="PM163" s="9"/>
      <c r="PN163" s="9"/>
      <c r="PO163" s="9"/>
      <c r="PP163" s="9"/>
      <c r="PQ163" s="9"/>
      <c r="PR163" s="9"/>
      <c r="PS163" s="9"/>
      <c r="PT163" s="9"/>
      <c r="PU163" s="9"/>
      <c r="PV163" s="9"/>
      <c r="PW163" s="9"/>
      <c r="PX163" s="9"/>
      <c r="PY163" s="9"/>
      <c r="PZ163" s="9"/>
      <c r="QA163" s="9"/>
      <c r="QB163" s="9"/>
      <c r="QC163" s="9"/>
      <c r="QD163" s="9"/>
      <c r="QE163" s="9"/>
      <c r="QF163" s="9"/>
      <c r="QG163" s="9"/>
      <c r="QH163" s="9"/>
      <c r="QI163" s="9"/>
      <c r="QJ163" s="9"/>
      <c r="QK163" s="9"/>
      <c r="QL163" s="9"/>
      <c r="QM163" s="9"/>
      <c r="QN163" s="9"/>
      <c r="QO163" s="9"/>
      <c r="QP163" s="9"/>
      <c r="QQ163" s="9"/>
      <c r="QR163" s="9"/>
      <c r="QS163" s="9"/>
      <c r="QT163" s="9"/>
      <c r="QU163" s="9"/>
      <c r="QV163" s="9"/>
      <c r="QW163" s="9"/>
      <c r="QX163" s="9"/>
      <c r="QY163" s="9"/>
      <c r="QZ163" s="9"/>
      <c r="RA163" s="9"/>
      <c r="RB163" s="9"/>
      <c r="RC163" s="9"/>
      <c r="RD163" s="9"/>
      <c r="RE163" s="9"/>
      <c r="RF163" s="9"/>
      <c r="RG163" s="9"/>
      <c r="RH163" s="9"/>
      <c r="RI163" s="9"/>
      <c r="RJ163" s="9"/>
      <c r="RK163" s="9"/>
      <c r="RL163" s="9"/>
      <c r="RM163" s="9"/>
      <c r="RN163" s="9"/>
      <c r="RO163" s="9"/>
      <c r="RP163" s="9"/>
      <c r="RQ163" s="9"/>
      <c r="RR163" s="9"/>
      <c r="RS163" s="9"/>
      <c r="RT163" s="9"/>
      <c r="RU163" s="9"/>
      <c r="RV163" s="9"/>
      <c r="RW163" s="9"/>
      <c r="RX163" s="9"/>
      <c r="RY163" s="9"/>
      <c r="RZ163" s="9"/>
      <c r="SA163" s="9"/>
      <c r="SB163" s="9"/>
      <c r="SC163" s="9"/>
      <c r="SD163" s="9"/>
      <c r="SE163" s="9"/>
      <c r="SF163" s="9"/>
      <c r="SG163" s="9"/>
      <c r="SH163" s="9"/>
      <c r="SI163" s="9"/>
      <c r="SJ163" s="9"/>
      <c r="SK163" s="8"/>
      <c r="SL163" s="8"/>
      <c r="SM163" s="8"/>
      <c r="SN163" s="8"/>
      <c r="SO163" s="8"/>
      <c r="SP163" s="8"/>
      <c r="SQ163" s="8"/>
      <c r="SR163" s="8"/>
      <c r="SS163" s="8"/>
      <c r="ST163" s="8"/>
      <c r="SU163" s="8"/>
      <c r="SV163" s="8"/>
      <c r="SW163" s="8"/>
      <c r="SX163" s="8"/>
      <c r="SY163" s="8"/>
      <c r="SZ163" s="8"/>
      <c r="TA163" s="8"/>
      <c r="TB163" s="8"/>
      <c r="TC163" s="8"/>
      <c r="TD163" s="8"/>
      <c r="TE163" s="8"/>
      <c r="TF163" s="8"/>
      <c r="TG163" s="8"/>
      <c r="TH163" s="8"/>
      <c r="TI163" s="8"/>
      <c r="TJ163" s="8"/>
      <c r="TK163" s="8"/>
      <c r="TL163" s="8"/>
      <c r="TM163" s="8"/>
      <c r="TN163" s="8"/>
      <c r="TO163" s="8"/>
    </row>
    <row r="164" spans="1:535" x14ac:dyDescent="0.2">
      <c r="A164" s="7"/>
      <c r="B164" s="7"/>
      <c r="C164" s="9"/>
      <c r="D164" s="8"/>
      <c r="E164" s="8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  <c r="CJ164" s="9"/>
      <c r="CK164" s="9"/>
      <c r="CL164" s="9"/>
      <c r="CM164" s="9"/>
      <c r="CN164" s="9"/>
      <c r="CO164" s="9"/>
      <c r="CP164" s="9"/>
      <c r="CQ164" s="9"/>
      <c r="CR164" s="9"/>
      <c r="CS164" s="9"/>
      <c r="CT164" s="9"/>
      <c r="CU164" s="9"/>
      <c r="CV164" s="9"/>
      <c r="CW164" s="9"/>
      <c r="CX164" s="9"/>
      <c r="CY164" s="9"/>
      <c r="CZ164" s="9"/>
      <c r="DA164" s="9"/>
      <c r="DB164" s="9"/>
      <c r="DC164" s="9"/>
      <c r="DD164" s="9"/>
      <c r="DE164" s="9"/>
      <c r="DF164" s="9"/>
      <c r="DG164" s="9"/>
      <c r="DH164" s="9"/>
      <c r="DI164" s="9"/>
      <c r="DJ164" s="9"/>
      <c r="DK164" s="9"/>
      <c r="DL164" s="9"/>
      <c r="DM164" s="9"/>
      <c r="DN164" s="9"/>
      <c r="DO164" s="9"/>
      <c r="DP164" s="9"/>
      <c r="DQ164" s="9"/>
      <c r="DR164" s="9"/>
      <c r="DS164" s="9"/>
      <c r="DT164" s="9"/>
      <c r="DU164" s="9"/>
      <c r="DV164" s="9"/>
      <c r="DW164" s="9"/>
      <c r="DX164" s="9"/>
      <c r="DY164" s="9"/>
      <c r="DZ164" s="9"/>
      <c r="EA164" s="9"/>
      <c r="EB164" s="9"/>
      <c r="EC164" s="9"/>
      <c r="ED164" s="9"/>
      <c r="EE164" s="9"/>
      <c r="EF164" s="9"/>
      <c r="EG164" s="9"/>
      <c r="EH164" s="9"/>
      <c r="EI164" s="9"/>
      <c r="EJ164" s="9"/>
      <c r="EK164" s="9"/>
      <c r="EL164" s="9"/>
      <c r="EM164" s="9"/>
      <c r="EN164" s="9"/>
      <c r="EO164" s="9"/>
      <c r="EP164" s="9"/>
      <c r="EQ164" s="9"/>
      <c r="ER164" s="9"/>
      <c r="ES164" s="9"/>
      <c r="ET164" s="9"/>
      <c r="EU164" s="9"/>
      <c r="EV164" s="9"/>
      <c r="EW164" s="9"/>
      <c r="EX164" s="9"/>
      <c r="EY164" s="9"/>
      <c r="EZ164" s="9"/>
      <c r="FA164" s="9"/>
      <c r="FB164" s="9"/>
      <c r="FC164" s="9"/>
      <c r="FD164" s="9"/>
      <c r="FE164" s="9"/>
      <c r="FF164" s="9"/>
      <c r="FG164" s="9"/>
      <c r="FH164" s="9"/>
      <c r="FI164" s="9"/>
      <c r="FJ164" s="9"/>
      <c r="FK164" s="9"/>
      <c r="FL164" s="9"/>
      <c r="FM164" s="9"/>
      <c r="FN164" s="9"/>
      <c r="FO164" s="9"/>
      <c r="FP164" s="9"/>
      <c r="FQ164" s="9"/>
      <c r="FR164" s="9"/>
      <c r="FS164" s="9"/>
      <c r="FT164" s="9"/>
      <c r="FU164" s="9"/>
      <c r="FV164" s="9"/>
      <c r="FW164" s="9"/>
      <c r="FX164" s="9"/>
      <c r="FY164" s="9"/>
      <c r="FZ164" s="9"/>
      <c r="GA164" s="9"/>
      <c r="GB164" s="9"/>
      <c r="GC164" s="9"/>
      <c r="GD164" s="9"/>
      <c r="GE164" s="9"/>
      <c r="GF164" s="9"/>
      <c r="GG164" s="9"/>
      <c r="GH164" s="9"/>
      <c r="GI164" s="9"/>
      <c r="GJ164" s="9"/>
      <c r="GK164" s="9"/>
      <c r="GL164" s="9"/>
      <c r="GM164" s="9"/>
      <c r="GN164" s="9"/>
      <c r="GO164" s="9"/>
      <c r="GP164" s="9"/>
      <c r="GQ164" s="9"/>
      <c r="GR164" s="9"/>
      <c r="GS164" s="9"/>
      <c r="GT164" s="9"/>
      <c r="GU164" s="9"/>
      <c r="GV164" s="9"/>
      <c r="GW164" s="9"/>
      <c r="GX164" s="9"/>
      <c r="GY164" s="9"/>
      <c r="GZ164" s="9"/>
      <c r="HA164" s="9"/>
      <c r="HB164" s="9"/>
      <c r="HC164" s="9"/>
      <c r="HD164" s="9"/>
      <c r="HE164" s="9"/>
      <c r="HF164" s="9"/>
      <c r="HG164" s="9"/>
      <c r="HH164" s="9"/>
      <c r="HI164" s="9"/>
      <c r="HJ164" s="9"/>
      <c r="HK164" s="9"/>
      <c r="HL164" s="9"/>
      <c r="HM164" s="9"/>
      <c r="HN164" s="9"/>
      <c r="HO164" s="9"/>
      <c r="HP164" s="9"/>
      <c r="HQ164" s="9"/>
      <c r="HR164" s="9"/>
      <c r="HS164" s="9"/>
      <c r="HT164" s="9"/>
      <c r="HU164" s="9"/>
      <c r="HV164" s="9"/>
      <c r="HW164" s="9"/>
      <c r="HX164" s="9"/>
      <c r="HY164" s="9"/>
      <c r="HZ164" s="9"/>
      <c r="IA164" s="9"/>
      <c r="IB164" s="9"/>
      <c r="IC164" s="9"/>
      <c r="ID164" s="9"/>
      <c r="IE164" s="9"/>
      <c r="IF164" s="9"/>
      <c r="IG164" s="9"/>
      <c r="IH164" s="9"/>
      <c r="II164" s="9"/>
      <c r="IJ164" s="9"/>
      <c r="IK164" s="9"/>
      <c r="IL164" s="9"/>
      <c r="IM164" s="9"/>
      <c r="IN164" s="9"/>
      <c r="IO164" s="9"/>
      <c r="IP164" s="9"/>
      <c r="IQ164" s="9"/>
      <c r="IR164" s="9"/>
      <c r="IS164" s="9"/>
      <c r="IT164" s="9"/>
      <c r="IU164" s="9"/>
      <c r="IV164" s="9"/>
      <c r="IW164" s="9"/>
      <c r="IX164" s="9"/>
      <c r="IY164" s="9"/>
      <c r="IZ164" s="9"/>
      <c r="JA164" s="9"/>
      <c r="JB164" s="9"/>
      <c r="JC164" s="9"/>
      <c r="JD164" s="9"/>
      <c r="JE164" s="9"/>
      <c r="JF164" s="9"/>
      <c r="JG164" s="9"/>
      <c r="JH164" s="9"/>
      <c r="JI164" s="9"/>
      <c r="JJ164" s="9"/>
      <c r="JK164" s="9"/>
      <c r="JL164" s="9"/>
      <c r="JM164" s="9"/>
      <c r="JN164" s="9"/>
      <c r="JO164" s="9"/>
      <c r="JP164" s="9"/>
      <c r="JQ164" s="9"/>
      <c r="JR164" s="9"/>
      <c r="JS164" s="9"/>
      <c r="JT164" s="9"/>
      <c r="JU164" s="9"/>
      <c r="JV164" s="9"/>
      <c r="JW164" s="9"/>
      <c r="JX164" s="9"/>
      <c r="JY164" s="9"/>
      <c r="JZ164" s="9"/>
      <c r="KA164" s="9"/>
      <c r="KB164" s="9"/>
      <c r="KC164" s="9"/>
      <c r="KD164" s="9"/>
      <c r="KE164" s="9"/>
      <c r="KF164" s="9"/>
      <c r="KG164" s="9"/>
      <c r="KH164" s="9"/>
      <c r="KI164" s="9"/>
      <c r="KJ164" s="9"/>
      <c r="KK164" s="9"/>
      <c r="KL164" s="9"/>
      <c r="KM164" s="9"/>
      <c r="KN164" s="9"/>
      <c r="KO164" s="9"/>
      <c r="KP164" s="9"/>
      <c r="KQ164" s="9"/>
      <c r="KR164" s="9"/>
      <c r="KS164" s="9"/>
      <c r="KT164" s="9"/>
      <c r="KU164" s="9"/>
      <c r="KV164" s="9"/>
      <c r="KW164" s="9"/>
      <c r="KX164" s="9"/>
      <c r="KY164" s="9"/>
      <c r="KZ164" s="9"/>
      <c r="LA164" s="9"/>
      <c r="LB164" s="9"/>
      <c r="LC164" s="9"/>
      <c r="LD164" s="9"/>
      <c r="LE164" s="9"/>
      <c r="LF164" s="9"/>
      <c r="LG164" s="9"/>
      <c r="LH164" s="9"/>
      <c r="LI164" s="9"/>
      <c r="LJ164" s="9"/>
      <c r="LK164" s="9"/>
      <c r="LL164" s="9"/>
      <c r="LM164" s="9"/>
      <c r="LN164" s="9"/>
      <c r="LO164" s="9"/>
      <c r="LP164" s="9"/>
      <c r="LQ164" s="9"/>
      <c r="LR164" s="9"/>
      <c r="LS164" s="9"/>
      <c r="LT164" s="9"/>
      <c r="LU164" s="9"/>
      <c r="LV164" s="9"/>
      <c r="LW164" s="9"/>
      <c r="LX164" s="9"/>
      <c r="LY164" s="9"/>
      <c r="LZ164" s="9"/>
      <c r="MA164" s="9"/>
      <c r="MB164" s="9"/>
      <c r="MC164" s="9"/>
      <c r="MD164" s="9"/>
      <c r="ME164" s="9"/>
      <c r="MF164" s="9"/>
      <c r="MG164" s="9"/>
      <c r="MH164" s="9"/>
      <c r="MI164" s="9"/>
      <c r="MJ164" s="9"/>
      <c r="MK164" s="9"/>
      <c r="ML164" s="9"/>
      <c r="MM164" s="9"/>
      <c r="MN164" s="9"/>
      <c r="MO164" s="9"/>
      <c r="MP164" s="9"/>
      <c r="MQ164" s="9"/>
      <c r="MR164" s="9"/>
      <c r="MS164" s="9"/>
      <c r="MT164" s="9"/>
      <c r="MU164" s="9"/>
      <c r="MV164" s="9"/>
      <c r="MW164" s="9"/>
      <c r="MX164" s="9"/>
      <c r="MY164" s="9"/>
      <c r="MZ164" s="9"/>
      <c r="NA164" s="9"/>
      <c r="NB164" s="9"/>
      <c r="NC164" s="9"/>
      <c r="ND164" s="9"/>
      <c r="NE164" s="9"/>
      <c r="NF164" s="9"/>
      <c r="NG164" s="9"/>
      <c r="NH164" s="9"/>
      <c r="NI164" s="9"/>
      <c r="NJ164" s="9"/>
      <c r="NK164" s="9"/>
      <c r="NL164" s="9"/>
      <c r="NM164" s="9"/>
      <c r="NN164" s="9"/>
      <c r="NO164" s="9"/>
      <c r="NP164" s="9"/>
      <c r="NQ164" s="9"/>
      <c r="NR164" s="9"/>
      <c r="NS164" s="9"/>
      <c r="NT164" s="9"/>
      <c r="NU164" s="9"/>
      <c r="NV164" s="9"/>
      <c r="NW164" s="9"/>
      <c r="NX164" s="9"/>
      <c r="NY164" s="9"/>
      <c r="NZ164" s="9"/>
      <c r="OA164" s="9"/>
      <c r="OB164" s="9"/>
      <c r="OC164" s="9"/>
      <c r="OD164" s="9"/>
      <c r="OE164" s="9"/>
      <c r="OF164" s="9"/>
      <c r="OG164" s="9"/>
      <c r="OH164" s="9"/>
      <c r="OI164" s="9"/>
      <c r="OJ164" s="9"/>
      <c r="OK164" s="9"/>
      <c r="OL164" s="9"/>
      <c r="OM164" s="9"/>
      <c r="ON164" s="9"/>
      <c r="OO164" s="9"/>
      <c r="OP164" s="9"/>
      <c r="OQ164" s="9"/>
      <c r="OR164" s="9"/>
      <c r="OS164" s="9"/>
      <c r="OT164" s="9"/>
      <c r="OU164" s="9"/>
      <c r="OV164" s="9"/>
      <c r="OW164" s="9"/>
      <c r="OX164" s="9"/>
      <c r="OY164" s="9"/>
      <c r="OZ164" s="9"/>
      <c r="PA164" s="9"/>
      <c r="PB164" s="9"/>
      <c r="PC164" s="9"/>
      <c r="PD164" s="9"/>
      <c r="PE164" s="9"/>
      <c r="PF164" s="9"/>
      <c r="PG164" s="9"/>
      <c r="PH164" s="9"/>
      <c r="PI164" s="9"/>
      <c r="PJ164" s="9"/>
      <c r="PK164" s="9"/>
      <c r="PL164" s="9"/>
      <c r="PM164" s="9"/>
      <c r="PN164" s="9"/>
      <c r="PO164" s="9"/>
      <c r="PP164" s="9"/>
      <c r="PQ164" s="9"/>
      <c r="PR164" s="9"/>
      <c r="PS164" s="9"/>
      <c r="PT164" s="9"/>
      <c r="PU164" s="9"/>
      <c r="PV164" s="9"/>
      <c r="PW164" s="9"/>
      <c r="PX164" s="9"/>
      <c r="PY164" s="9"/>
      <c r="PZ164" s="9"/>
      <c r="QA164" s="9"/>
      <c r="QB164" s="9"/>
      <c r="QC164" s="9"/>
      <c r="QD164" s="9"/>
      <c r="QE164" s="9"/>
      <c r="QF164" s="9"/>
      <c r="QG164" s="9"/>
      <c r="QH164" s="9"/>
      <c r="QI164" s="9"/>
      <c r="QJ164" s="9"/>
      <c r="QK164" s="9"/>
      <c r="QL164" s="9"/>
      <c r="QM164" s="9"/>
      <c r="QN164" s="9"/>
      <c r="QO164" s="9"/>
      <c r="QP164" s="9"/>
      <c r="QQ164" s="9"/>
      <c r="QR164" s="9"/>
      <c r="QS164" s="9"/>
      <c r="QT164" s="9"/>
      <c r="QU164" s="9"/>
      <c r="QV164" s="9"/>
      <c r="QW164" s="9"/>
      <c r="QX164" s="9"/>
      <c r="QY164" s="9"/>
      <c r="QZ164" s="9"/>
      <c r="RA164" s="9"/>
      <c r="RB164" s="9"/>
      <c r="RC164" s="9"/>
      <c r="RD164" s="9"/>
      <c r="RE164" s="9"/>
      <c r="RF164" s="9"/>
      <c r="RG164" s="9"/>
      <c r="RH164" s="9"/>
      <c r="RI164" s="9"/>
      <c r="RJ164" s="9"/>
      <c r="RK164" s="9"/>
      <c r="RL164" s="9"/>
      <c r="RM164" s="9"/>
      <c r="RN164" s="9"/>
      <c r="RO164" s="9"/>
      <c r="RP164" s="9"/>
      <c r="RQ164" s="9"/>
      <c r="RR164" s="9"/>
      <c r="RS164" s="9"/>
      <c r="RT164" s="9"/>
      <c r="RU164" s="9"/>
      <c r="RV164" s="9"/>
      <c r="RW164" s="9"/>
      <c r="RX164" s="9"/>
      <c r="RY164" s="9"/>
      <c r="RZ164" s="9"/>
      <c r="SA164" s="9"/>
      <c r="SB164" s="9"/>
      <c r="SC164" s="9"/>
      <c r="SD164" s="9"/>
      <c r="SE164" s="9"/>
      <c r="SF164" s="9"/>
      <c r="SG164" s="9"/>
      <c r="SH164" s="9"/>
      <c r="SI164" s="9"/>
      <c r="SJ164" s="9"/>
      <c r="SK164" s="8"/>
      <c r="SL164" s="8"/>
      <c r="SM164" s="8"/>
      <c r="SN164" s="8"/>
      <c r="SO164" s="8"/>
      <c r="SP164" s="8"/>
      <c r="SQ164" s="8"/>
      <c r="SR164" s="8"/>
      <c r="SS164" s="8"/>
      <c r="ST164" s="8"/>
      <c r="SU164" s="8"/>
      <c r="SV164" s="8"/>
      <c r="SW164" s="8"/>
      <c r="SX164" s="8"/>
      <c r="SY164" s="8"/>
      <c r="SZ164" s="8"/>
      <c r="TA164" s="8"/>
      <c r="TB164" s="8"/>
      <c r="TC164" s="8"/>
      <c r="TD164" s="8"/>
      <c r="TE164" s="8"/>
      <c r="TF164" s="8"/>
      <c r="TG164" s="8"/>
      <c r="TH164" s="8"/>
      <c r="TI164" s="8"/>
      <c r="TJ164" s="8"/>
      <c r="TK164" s="8"/>
      <c r="TL164" s="8"/>
      <c r="TM164" s="8"/>
      <c r="TN164" s="8"/>
      <c r="TO164" s="8"/>
    </row>
    <row r="165" spans="1:535" x14ac:dyDescent="0.2">
      <c r="A165" s="7"/>
      <c r="B165" s="7"/>
      <c r="C165" s="9"/>
      <c r="D165" s="8"/>
      <c r="E165" s="8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  <c r="CJ165" s="9"/>
      <c r="CK165" s="9"/>
      <c r="CL165" s="9"/>
      <c r="CM165" s="9"/>
      <c r="CN165" s="9"/>
      <c r="CO165" s="9"/>
      <c r="CP165" s="9"/>
      <c r="CQ165" s="9"/>
      <c r="CR165" s="9"/>
      <c r="CS165" s="9"/>
      <c r="CT165" s="9"/>
      <c r="CU165" s="9"/>
      <c r="CV165" s="9"/>
      <c r="CW165" s="9"/>
      <c r="CX165" s="9"/>
      <c r="CY165" s="9"/>
      <c r="CZ165" s="9"/>
      <c r="DA165" s="9"/>
      <c r="DB165" s="9"/>
      <c r="DC165" s="9"/>
      <c r="DD165" s="9"/>
      <c r="DE165" s="9"/>
      <c r="DF165" s="9"/>
      <c r="DG165" s="9"/>
      <c r="DH165" s="9"/>
      <c r="DI165" s="9"/>
      <c r="DJ165" s="9"/>
      <c r="DK165" s="9"/>
      <c r="DL165" s="9"/>
      <c r="DM165" s="9"/>
      <c r="DN165" s="9"/>
      <c r="DO165" s="9"/>
      <c r="DP165" s="9"/>
      <c r="DQ165" s="9"/>
      <c r="DR165" s="9"/>
      <c r="DS165" s="9"/>
      <c r="DT165" s="9"/>
      <c r="DU165" s="9"/>
      <c r="DV165" s="9"/>
      <c r="DW165" s="9"/>
      <c r="DX165" s="9"/>
      <c r="DY165" s="9"/>
      <c r="DZ165" s="9"/>
      <c r="EA165" s="9"/>
      <c r="EB165" s="9"/>
      <c r="EC165" s="9"/>
      <c r="ED165" s="9"/>
      <c r="EE165" s="9"/>
      <c r="EF165" s="9"/>
      <c r="EG165" s="9"/>
      <c r="EH165" s="9"/>
      <c r="EI165" s="9"/>
      <c r="EJ165" s="9"/>
      <c r="EK165" s="9"/>
      <c r="EL165" s="9"/>
      <c r="EM165" s="9"/>
      <c r="EN165" s="9"/>
      <c r="EO165" s="9"/>
      <c r="EP165" s="9"/>
      <c r="EQ165" s="9"/>
      <c r="ER165" s="9"/>
      <c r="ES165" s="9"/>
      <c r="ET165" s="9"/>
      <c r="EU165" s="9"/>
      <c r="EV165" s="9"/>
      <c r="EW165" s="9"/>
      <c r="EX165" s="9"/>
      <c r="EY165" s="9"/>
      <c r="EZ165" s="9"/>
      <c r="FA165" s="9"/>
      <c r="FB165" s="9"/>
      <c r="FC165" s="9"/>
      <c r="FD165" s="9"/>
      <c r="FE165" s="9"/>
      <c r="FF165" s="9"/>
      <c r="FG165" s="9"/>
      <c r="FH165" s="9"/>
      <c r="FI165" s="9"/>
      <c r="FJ165" s="9"/>
      <c r="FK165" s="9"/>
      <c r="FL165" s="9"/>
      <c r="FM165" s="9"/>
      <c r="FN165" s="9"/>
      <c r="FO165" s="9"/>
      <c r="FP165" s="9"/>
      <c r="FQ165" s="9"/>
      <c r="FR165" s="9"/>
      <c r="FS165" s="9"/>
      <c r="FT165" s="9"/>
      <c r="FU165" s="9"/>
      <c r="FV165" s="9"/>
      <c r="FW165" s="9"/>
      <c r="FX165" s="9"/>
      <c r="FY165" s="9"/>
      <c r="FZ165" s="9"/>
      <c r="GA165" s="9"/>
      <c r="GB165" s="9"/>
      <c r="GC165" s="9"/>
      <c r="GD165" s="9"/>
      <c r="GE165" s="9"/>
      <c r="GF165" s="9"/>
      <c r="GG165" s="9"/>
      <c r="GH165" s="9"/>
      <c r="GI165" s="9"/>
      <c r="GJ165" s="9"/>
      <c r="GK165" s="9"/>
      <c r="GL165" s="9"/>
      <c r="GM165" s="9"/>
      <c r="GN165" s="9"/>
      <c r="GO165" s="9"/>
      <c r="GP165" s="9"/>
      <c r="GQ165" s="9"/>
      <c r="GR165" s="9"/>
      <c r="GS165" s="9"/>
      <c r="GT165" s="9"/>
      <c r="GU165" s="9"/>
      <c r="GV165" s="9"/>
      <c r="GW165" s="9"/>
      <c r="GX165" s="9"/>
      <c r="GY165" s="9"/>
      <c r="GZ165" s="9"/>
      <c r="HA165" s="9"/>
      <c r="HB165" s="9"/>
      <c r="HC165" s="9"/>
      <c r="HD165" s="9"/>
      <c r="HE165" s="9"/>
      <c r="HF165" s="9"/>
      <c r="HG165" s="9"/>
      <c r="HH165" s="9"/>
      <c r="HI165" s="9"/>
      <c r="HJ165" s="9"/>
      <c r="HK165" s="9"/>
      <c r="HL165" s="9"/>
      <c r="HM165" s="9"/>
      <c r="HN165" s="9"/>
      <c r="HO165" s="9"/>
      <c r="HP165" s="9"/>
      <c r="HQ165" s="9"/>
      <c r="HR165" s="9"/>
      <c r="HS165" s="9"/>
      <c r="HT165" s="9"/>
      <c r="HU165" s="9"/>
      <c r="HV165" s="9"/>
      <c r="HW165" s="9"/>
      <c r="HX165" s="9"/>
      <c r="HY165" s="9"/>
      <c r="HZ165" s="9"/>
      <c r="IA165" s="9"/>
      <c r="IB165" s="9"/>
      <c r="IC165" s="9"/>
      <c r="ID165" s="9"/>
      <c r="IE165" s="9"/>
      <c r="IF165" s="9"/>
      <c r="IG165" s="9"/>
      <c r="IH165" s="9"/>
      <c r="II165" s="9"/>
      <c r="IJ165" s="9"/>
      <c r="IK165" s="9"/>
      <c r="IL165" s="9"/>
      <c r="IM165" s="9"/>
      <c r="IN165" s="9"/>
      <c r="IO165" s="9"/>
      <c r="IP165" s="9"/>
      <c r="IQ165" s="9"/>
      <c r="IR165" s="9"/>
      <c r="IS165" s="9"/>
      <c r="IT165" s="9"/>
      <c r="IU165" s="9"/>
      <c r="IV165" s="9"/>
      <c r="IW165" s="9"/>
      <c r="IX165" s="9"/>
      <c r="IY165" s="9"/>
      <c r="IZ165" s="9"/>
      <c r="JA165" s="9"/>
      <c r="JB165" s="9"/>
      <c r="JC165" s="9"/>
      <c r="JD165" s="9"/>
      <c r="JE165" s="9"/>
      <c r="JF165" s="9"/>
      <c r="JG165" s="9"/>
      <c r="JH165" s="9"/>
      <c r="JI165" s="9"/>
      <c r="JJ165" s="9"/>
      <c r="JK165" s="9"/>
      <c r="JL165" s="9"/>
      <c r="JM165" s="9"/>
      <c r="JN165" s="9"/>
      <c r="JO165" s="9"/>
      <c r="JP165" s="9"/>
      <c r="JQ165" s="9"/>
      <c r="JR165" s="9"/>
      <c r="JS165" s="9"/>
      <c r="JT165" s="9"/>
      <c r="JU165" s="9"/>
      <c r="JV165" s="9"/>
      <c r="JW165" s="9"/>
      <c r="JX165" s="9"/>
      <c r="JY165" s="9"/>
      <c r="JZ165" s="9"/>
      <c r="KA165" s="9"/>
      <c r="KB165" s="9"/>
      <c r="KC165" s="9"/>
      <c r="KD165" s="9"/>
      <c r="KE165" s="9"/>
      <c r="KF165" s="9"/>
      <c r="KG165" s="9"/>
      <c r="KH165" s="9"/>
      <c r="KI165" s="9"/>
      <c r="KJ165" s="9"/>
      <c r="KK165" s="9"/>
      <c r="KL165" s="9"/>
      <c r="KM165" s="9"/>
      <c r="KN165" s="9"/>
      <c r="KO165" s="9"/>
      <c r="KP165" s="9"/>
      <c r="KQ165" s="9"/>
      <c r="KR165" s="9"/>
      <c r="KS165" s="9"/>
      <c r="KT165" s="9"/>
      <c r="KU165" s="9"/>
      <c r="KV165" s="9"/>
      <c r="KW165" s="9"/>
      <c r="KX165" s="9"/>
      <c r="KY165" s="9"/>
      <c r="KZ165" s="9"/>
      <c r="LA165" s="9"/>
      <c r="LB165" s="9"/>
      <c r="LC165" s="9"/>
      <c r="LD165" s="9"/>
      <c r="LE165" s="9"/>
      <c r="LF165" s="9"/>
      <c r="LG165" s="9"/>
      <c r="LH165" s="9"/>
      <c r="LI165" s="9"/>
      <c r="LJ165" s="9"/>
      <c r="LK165" s="9"/>
      <c r="LL165" s="9"/>
      <c r="LM165" s="9"/>
      <c r="LN165" s="9"/>
      <c r="LO165" s="9"/>
      <c r="LP165" s="9"/>
      <c r="LQ165" s="9"/>
      <c r="LR165" s="9"/>
      <c r="LS165" s="9"/>
      <c r="LT165" s="9"/>
      <c r="LU165" s="9"/>
      <c r="LV165" s="9"/>
      <c r="LW165" s="9"/>
      <c r="LX165" s="9"/>
      <c r="LY165" s="9"/>
      <c r="LZ165" s="9"/>
      <c r="MA165" s="9"/>
      <c r="MB165" s="9"/>
      <c r="MC165" s="9"/>
      <c r="MD165" s="9"/>
      <c r="ME165" s="9"/>
      <c r="MF165" s="9"/>
      <c r="MG165" s="9"/>
      <c r="MH165" s="9"/>
      <c r="MI165" s="9"/>
      <c r="MJ165" s="9"/>
      <c r="MK165" s="9"/>
      <c r="ML165" s="9"/>
      <c r="MM165" s="9"/>
      <c r="MN165" s="9"/>
      <c r="MO165" s="9"/>
      <c r="MP165" s="9"/>
      <c r="MQ165" s="9"/>
      <c r="MR165" s="9"/>
      <c r="MS165" s="9"/>
      <c r="MT165" s="9"/>
      <c r="MU165" s="9"/>
      <c r="MV165" s="9"/>
      <c r="MW165" s="9"/>
      <c r="MX165" s="9"/>
      <c r="MY165" s="9"/>
      <c r="MZ165" s="9"/>
      <c r="NA165" s="9"/>
      <c r="NB165" s="9"/>
      <c r="NC165" s="9"/>
      <c r="ND165" s="9"/>
      <c r="NE165" s="9"/>
      <c r="NF165" s="9"/>
      <c r="NG165" s="9"/>
      <c r="NH165" s="9"/>
      <c r="NI165" s="9"/>
      <c r="NJ165" s="9"/>
      <c r="NK165" s="9"/>
      <c r="NL165" s="9"/>
      <c r="NM165" s="9"/>
      <c r="NN165" s="9"/>
      <c r="NO165" s="9"/>
      <c r="NP165" s="9"/>
      <c r="NQ165" s="9"/>
      <c r="NR165" s="9"/>
      <c r="NS165" s="9"/>
      <c r="NT165" s="9"/>
      <c r="NU165" s="9"/>
      <c r="NV165" s="9"/>
      <c r="NW165" s="9"/>
      <c r="NX165" s="9"/>
      <c r="NY165" s="9"/>
      <c r="NZ165" s="9"/>
      <c r="OA165" s="9"/>
      <c r="OB165" s="9"/>
      <c r="OC165" s="9"/>
      <c r="OD165" s="9"/>
      <c r="OE165" s="9"/>
      <c r="OF165" s="9"/>
      <c r="OG165" s="9"/>
      <c r="OH165" s="9"/>
      <c r="OI165" s="9"/>
      <c r="OJ165" s="9"/>
      <c r="OK165" s="9"/>
      <c r="OL165" s="9"/>
      <c r="OM165" s="9"/>
      <c r="ON165" s="9"/>
      <c r="OO165" s="9"/>
      <c r="OP165" s="9"/>
      <c r="OQ165" s="9"/>
      <c r="OR165" s="9"/>
      <c r="OS165" s="9"/>
      <c r="OT165" s="9"/>
      <c r="OU165" s="9"/>
      <c r="OV165" s="9"/>
      <c r="OW165" s="9"/>
      <c r="OX165" s="9"/>
      <c r="OY165" s="9"/>
      <c r="OZ165" s="9"/>
      <c r="PA165" s="9"/>
      <c r="PB165" s="9"/>
      <c r="PC165" s="9"/>
      <c r="PD165" s="9"/>
      <c r="PE165" s="9"/>
      <c r="PF165" s="9"/>
      <c r="PG165" s="9"/>
      <c r="PH165" s="9"/>
      <c r="PI165" s="9"/>
      <c r="PJ165" s="9"/>
      <c r="PK165" s="9"/>
      <c r="PL165" s="9"/>
      <c r="PM165" s="9"/>
      <c r="PN165" s="9"/>
      <c r="PO165" s="9"/>
      <c r="PP165" s="9"/>
      <c r="PQ165" s="9"/>
      <c r="PR165" s="9"/>
      <c r="PS165" s="9"/>
      <c r="PT165" s="9"/>
      <c r="PU165" s="9"/>
      <c r="PV165" s="9"/>
      <c r="PW165" s="9"/>
      <c r="PX165" s="9"/>
      <c r="PY165" s="9"/>
      <c r="PZ165" s="9"/>
      <c r="QA165" s="9"/>
      <c r="QB165" s="9"/>
      <c r="QC165" s="9"/>
      <c r="QD165" s="9"/>
      <c r="QE165" s="9"/>
      <c r="QF165" s="9"/>
      <c r="QG165" s="9"/>
      <c r="QH165" s="9"/>
      <c r="QI165" s="9"/>
      <c r="QJ165" s="9"/>
      <c r="QK165" s="9"/>
      <c r="QL165" s="9"/>
      <c r="QM165" s="9"/>
      <c r="QN165" s="9"/>
      <c r="QO165" s="9"/>
      <c r="QP165" s="9"/>
      <c r="QQ165" s="9"/>
      <c r="QR165" s="9"/>
      <c r="QS165" s="9"/>
      <c r="QT165" s="9"/>
      <c r="QU165" s="9"/>
      <c r="QV165" s="9"/>
      <c r="QW165" s="9"/>
      <c r="QX165" s="9"/>
      <c r="QY165" s="9"/>
      <c r="QZ165" s="9"/>
      <c r="RA165" s="9"/>
      <c r="RB165" s="9"/>
      <c r="RC165" s="9"/>
      <c r="RD165" s="9"/>
      <c r="RE165" s="9"/>
      <c r="RF165" s="9"/>
      <c r="RG165" s="9"/>
      <c r="RH165" s="9"/>
      <c r="RI165" s="9"/>
      <c r="RJ165" s="9"/>
      <c r="RK165" s="9"/>
      <c r="RL165" s="9"/>
      <c r="RM165" s="9"/>
      <c r="RN165" s="9"/>
      <c r="RO165" s="9"/>
      <c r="RP165" s="9"/>
      <c r="RQ165" s="9"/>
      <c r="RR165" s="9"/>
      <c r="RS165" s="9"/>
      <c r="RT165" s="9"/>
      <c r="RU165" s="9"/>
      <c r="RV165" s="9"/>
      <c r="RW165" s="9"/>
      <c r="RX165" s="9"/>
      <c r="RY165" s="9"/>
      <c r="RZ165" s="9"/>
      <c r="SA165" s="9"/>
      <c r="SB165" s="9"/>
      <c r="SC165" s="9"/>
      <c r="SD165" s="9"/>
      <c r="SE165" s="9"/>
      <c r="SF165" s="9"/>
      <c r="SG165" s="9"/>
      <c r="SH165" s="9"/>
      <c r="SI165" s="9"/>
      <c r="SJ165" s="9"/>
      <c r="SK165" s="8"/>
      <c r="SL165" s="8"/>
      <c r="SM165" s="8"/>
      <c r="SN165" s="8"/>
      <c r="SO165" s="8"/>
      <c r="SP165" s="8"/>
      <c r="SQ165" s="8"/>
      <c r="SR165" s="8"/>
      <c r="SS165" s="8"/>
      <c r="ST165" s="8"/>
      <c r="SU165" s="8"/>
      <c r="SV165" s="8"/>
      <c r="SW165" s="8"/>
      <c r="SX165" s="8"/>
      <c r="SY165" s="8"/>
      <c r="SZ165" s="8"/>
      <c r="TA165" s="8"/>
      <c r="TB165" s="8"/>
      <c r="TC165" s="8"/>
      <c r="TD165" s="8"/>
      <c r="TE165" s="8"/>
      <c r="TF165" s="8"/>
      <c r="TG165" s="8"/>
      <c r="TH165" s="8"/>
      <c r="TI165" s="8"/>
      <c r="TJ165" s="8"/>
      <c r="TK165" s="8"/>
      <c r="TL165" s="8"/>
      <c r="TM165" s="8"/>
      <c r="TN165" s="8"/>
      <c r="TO165" s="8"/>
    </row>
    <row r="166" spans="1:535" x14ac:dyDescent="0.2">
      <c r="A166" s="7"/>
      <c r="B166" s="7"/>
      <c r="C166" s="9"/>
      <c r="D166" s="8"/>
      <c r="E166" s="8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9"/>
      <c r="CE166" s="9"/>
      <c r="CF166" s="9"/>
      <c r="CG166" s="9"/>
      <c r="CH166" s="9"/>
      <c r="CI166" s="9"/>
      <c r="CJ166" s="9"/>
      <c r="CK166" s="9"/>
      <c r="CL166" s="9"/>
      <c r="CM166" s="9"/>
      <c r="CN166" s="9"/>
      <c r="CO166" s="9"/>
      <c r="CP166" s="9"/>
      <c r="CQ166" s="9"/>
      <c r="CR166" s="9"/>
      <c r="CS166" s="9"/>
      <c r="CT166" s="9"/>
      <c r="CU166" s="9"/>
      <c r="CV166" s="9"/>
      <c r="CW166" s="9"/>
      <c r="CX166" s="9"/>
      <c r="CY166" s="9"/>
      <c r="CZ166" s="9"/>
      <c r="DA166" s="9"/>
      <c r="DB166" s="9"/>
      <c r="DC166" s="9"/>
      <c r="DD166" s="9"/>
      <c r="DE166" s="9"/>
      <c r="DF166" s="9"/>
      <c r="DG166" s="9"/>
      <c r="DH166" s="9"/>
      <c r="DI166" s="9"/>
      <c r="DJ166" s="9"/>
      <c r="DK166" s="9"/>
      <c r="DL166" s="9"/>
      <c r="DM166" s="9"/>
      <c r="DN166" s="9"/>
      <c r="DO166" s="9"/>
      <c r="DP166" s="9"/>
      <c r="DQ166" s="9"/>
      <c r="DR166" s="9"/>
      <c r="DS166" s="9"/>
      <c r="DT166" s="9"/>
      <c r="DU166" s="9"/>
      <c r="DV166" s="9"/>
      <c r="DW166" s="9"/>
      <c r="DX166" s="9"/>
      <c r="DY166" s="9"/>
      <c r="DZ166" s="9"/>
      <c r="EA166" s="9"/>
      <c r="EB166" s="9"/>
      <c r="EC166" s="9"/>
      <c r="ED166" s="9"/>
      <c r="EE166" s="9"/>
      <c r="EF166" s="9"/>
      <c r="EG166" s="9"/>
      <c r="EH166" s="9"/>
      <c r="EI166" s="9"/>
      <c r="EJ166" s="9"/>
      <c r="EK166" s="9"/>
      <c r="EL166" s="9"/>
      <c r="EM166" s="9"/>
      <c r="EN166" s="9"/>
      <c r="EO166" s="9"/>
      <c r="EP166" s="9"/>
      <c r="EQ166" s="9"/>
      <c r="ER166" s="9"/>
      <c r="ES166" s="9"/>
      <c r="ET166" s="9"/>
      <c r="EU166" s="9"/>
      <c r="EV166" s="9"/>
      <c r="EW166" s="9"/>
      <c r="EX166" s="9"/>
      <c r="EY166" s="9"/>
      <c r="EZ166" s="9"/>
      <c r="FA166" s="9"/>
      <c r="FB166" s="9"/>
      <c r="FC166" s="9"/>
      <c r="FD166" s="9"/>
      <c r="FE166" s="9"/>
      <c r="FF166" s="9"/>
      <c r="FG166" s="9"/>
      <c r="FH166" s="9"/>
      <c r="FI166" s="9"/>
      <c r="FJ166" s="9"/>
      <c r="FK166" s="9"/>
      <c r="FL166" s="9"/>
      <c r="FM166" s="9"/>
      <c r="FN166" s="9"/>
      <c r="FO166" s="9"/>
      <c r="FP166" s="9"/>
      <c r="FQ166" s="9"/>
      <c r="FR166" s="9"/>
      <c r="FS166" s="9"/>
      <c r="FT166" s="9"/>
      <c r="FU166" s="9"/>
      <c r="FV166" s="9"/>
      <c r="FW166" s="9"/>
      <c r="FX166" s="9"/>
      <c r="FY166" s="9"/>
      <c r="FZ166" s="9"/>
      <c r="GA166" s="9"/>
      <c r="GB166" s="9"/>
      <c r="GC166" s="9"/>
      <c r="GD166" s="9"/>
      <c r="GE166" s="9"/>
      <c r="GF166" s="9"/>
      <c r="GG166" s="9"/>
      <c r="GH166" s="9"/>
      <c r="GI166" s="9"/>
      <c r="GJ166" s="9"/>
      <c r="GK166" s="9"/>
      <c r="GL166" s="9"/>
      <c r="GM166" s="9"/>
      <c r="GN166" s="9"/>
      <c r="GO166" s="9"/>
      <c r="GP166" s="9"/>
      <c r="GQ166" s="9"/>
      <c r="GR166" s="9"/>
      <c r="GS166" s="9"/>
      <c r="GT166" s="9"/>
      <c r="GU166" s="9"/>
      <c r="GV166" s="9"/>
      <c r="GW166" s="9"/>
      <c r="GX166" s="9"/>
      <c r="GY166" s="9"/>
      <c r="GZ166" s="9"/>
      <c r="HA166" s="9"/>
      <c r="HB166" s="9"/>
      <c r="HC166" s="9"/>
      <c r="HD166" s="9"/>
      <c r="HE166" s="9"/>
      <c r="HF166" s="9"/>
      <c r="HG166" s="9"/>
      <c r="HH166" s="9"/>
      <c r="HI166" s="9"/>
      <c r="HJ166" s="9"/>
      <c r="HK166" s="9"/>
      <c r="HL166" s="9"/>
      <c r="HM166" s="9"/>
      <c r="HN166" s="9"/>
      <c r="HO166" s="9"/>
      <c r="HP166" s="9"/>
      <c r="HQ166" s="9"/>
      <c r="HR166" s="9"/>
      <c r="HS166" s="9"/>
      <c r="HT166" s="9"/>
      <c r="HU166" s="9"/>
      <c r="HV166" s="9"/>
      <c r="HW166" s="9"/>
      <c r="HX166" s="9"/>
      <c r="HY166" s="9"/>
      <c r="HZ166" s="9"/>
      <c r="IA166" s="9"/>
      <c r="IB166" s="9"/>
      <c r="IC166" s="9"/>
      <c r="ID166" s="9"/>
      <c r="IE166" s="9"/>
      <c r="IF166" s="9"/>
      <c r="IG166" s="9"/>
      <c r="IH166" s="9"/>
      <c r="II166" s="9"/>
      <c r="IJ166" s="9"/>
      <c r="IK166" s="9"/>
      <c r="IL166" s="9"/>
      <c r="IM166" s="9"/>
      <c r="IN166" s="9"/>
      <c r="IO166" s="9"/>
      <c r="IP166" s="9"/>
      <c r="IQ166" s="9"/>
      <c r="IR166" s="9"/>
      <c r="IS166" s="9"/>
      <c r="IT166" s="9"/>
      <c r="IU166" s="9"/>
      <c r="IV166" s="9"/>
      <c r="IW166" s="9"/>
      <c r="IX166" s="9"/>
      <c r="IY166" s="9"/>
      <c r="IZ166" s="9"/>
      <c r="JA166" s="9"/>
      <c r="JB166" s="9"/>
      <c r="JC166" s="9"/>
      <c r="JD166" s="9"/>
      <c r="JE166" s="9"/>
      <c r="JF166" s="9"/>
      <c r="JG166" s="9"/>
      <c r="JH166" s="9"/>
      <c r="JI166" s="9"/>
      <c r="JJ166" s="9"/>
      <c r="JK166" s="9"/>
      <c r="JL166" s="9"/>
      <c r="JM166" s="9"/>
      <c r="JN166" s="9"/>
      <c r="JO166" s="9"/>
      <c r="JP166" s="9"/>
      <c r="JQ166" s="9"/>
      <c r="JR166" s="9"/>
      <c r="JS166" s="9"/>
      <c r="JT166" s="9"/>
      <c r="JU166" s="9"/>
      <c r="JV166" s="9"/>
      <c r="JW166" s="9"/>
      <c r="JX166" s="9"/>
      <c r="JY166" s="9"/>
      <c r="JZ166" s="9"/>
      <c r="KA166" s="9"/>
      <c r="KB166" s="9"/>
      <c r="KC166" s="9"/>
      <c r="KD166" s="9"/>
      <c r="KE166" s="9"/>
      <c r="KF166" s="9"/>
      <c r="KG166" s="9"/>
      <c r="KH166" s="9"/>
      <c r="KI166" s="9"/>
      <c r="KJ166" s="9"/>
      <c r="KK166" s="9"/>
      <c r="KL166" s="9"/>
      <c r="KM166" s="9"/>
      <c r="KN166" s="9"/>
      <c r="KO166" s="9"/>
      <c r="KP166" s="9"/>
      <c r="KQ166" s="9"/>
      <c r="KR166" s="9"/>
      <c r="KS166" s="9"/>
      <c r="KT166" s="9"/>
      <c r="KU166" s="9"/>
      <c r="KV166" s="9"/>
      <c r="KW166" s="9"/>
      <c r="KX166" s="9"/>
      <c r="KY166" s="9"/>
      <c r="KZ166" s="9"/>
      <c r="LA166" s="9"/>
      <c r="LB166" s="9"/>
      <c r="LC166" s="9"/>
      <c r="LD166" s="9"/>
      <c r="LE166" s="9"/>
      <c r="LF166" s="9"/>
      <c r="LG166" s="9"/>
      <c r="LH166" s="9"/>
      <c r="LI166" s="9"/>
      <c r="LJ166" s="9"/>
      <c r="LK166" s="9"/>
      <c r="LL166" s="9"/>
      <c r="LM166" s="9"/>
      <c r="LN166" s="9"/>
      <c r="LO166" s="9"/>
      <c r="LP166" s="9"/>
      <c r="LQ166" s="9"/>
      <c r="LR166" s="9"/>
      <c r="LS166" s="9"/>
      <c r="LT166" s="9"/>
      <c r="LU166" s="9"/>
      <c r="LV166" s="9"/>
      <c r="LW166" s="9"/>
      <c r="LX166" s="9"/>
      <c r="LY166" s="9"/>
      <c r="LZ166" s="9"/>
      <c r="MA166" s="9"/>
      <c r="MB166" s="9"/>
      <c r="MC166" s="9"/>
      <c r="MD166" s="9"/>
      <c r="ME166" s="9"/>
      <c r="MF166" s="9"/>
      <c r="MG166" s="9"/>
      <c r="MH166" s="9"/>
      <c r="MI166" s="9"/>
      <c r="MJ166" s="9"/>
      <c r="MK166" s="9"/>
      <c r="ML166" s="9"/>
      <c r="MM166" s="9"/>
      <c r="MN166" s="9"/>
      <c r="MO166" s="9"/>
      <c r="MP166" s="9"/>
      <c r="MQ166" s="9"/>
      <c r="MR166" s="9"/>
      <c r="MS166" s="9"/>
      <c r="MT166" s="9"/>
      <c r="MU166" s="9"/>
      <c r="MV166" s="9"/>
      <c r="MW166" s="9"/>
      <c r="MX166" s="9"/>
      <c r="MY166" s="9"/>
      <c r="MZ166" s="9"/>
      <c r="NA166" s="9"/>
      <c r="NB166" s="9"/>
      <c r="NC166" s="9"/>
      <c r="ND166" s="9"/>
      <c r="NE166" s="9"/>
      <c r="NF166" s="9"/>
      <c r="NG166" s="9"/>
      <c r="NH166" s="9"/>
      <c r="NI166" s="9"/>
      <c r="NJ166" s="9"/>
      <c r="NK166" s="9"/>
      <c r="NL166" s="9"/>
      <c r="NM166" s="9"/>
      <c r="NN166" s="9"/>
      <c r="NO166" s="9"/>
      <c r="NP166" s="9"/>
      <c r="NQ166" s="9"/>
      <c r="NR166" s="9"/>
      <c r="NS166" s="9"/>
      <c r="NT166" s="9"/>
      <c r="NU166" s="9"/>
      <c r="NV166" s="9"/>
      <c r="NW166" s="9"/>
      <c r="NX166" s="9"/>
      <c r="NY166" s="9"/>
      <c r="NZ166" s="9"/>
      <c r="OA166" s="9"/>
      <c r="OB166" s="9"/>
      <c r="OC166" s="9"/>
      <c r="OD166" s="9"/>
      <c r="OE166" s="9"/>
      <c r="OF166" s="9"/>
      <c r="OG166" s="9"/>
      <c r="OH166" s="9"/>
      <c r="OI166" s="9"/>
      <c r="OJ166" s="9"/>
      <c r="OK166" s="9"/>
      <c r="OL166" s="9"/>
      <c r="OM166" s="9"/>
      <c r="ON166" s="9"/>
      <c r="OO166" s="9"/>
      <c r="OP166" s="9"/>
      <c r="OQ166" s="9"/>
      <c r="OR166" s="9"/>
      <c r="OS166" s="9"/>
      <c r="OT166" s="9"/>
      <c r="OU166" s="9"/>
      <c r="OV166" s="9"/>
      <c r="OW166" s="9"/>
      <c r="OX166" s="9"/>
      <c r="OY166" s="9"/>
      <c r="OZ166" s="9"/>
      <c r="PA166" s="9"/>
      <c r="PB166" s="9"/>
      <c r="PC166" s="9"/>
      <c r="PD166" s="9"/>
      <c r="PE166" s="9"/>
      <c r="PF166" s="9"/>
      <c r="PG166" s="9"/>
      <c r="PH166" s="9"/>
      <c r="PI166" s="9"/>
      <c r="PJ166" s="9"/>
      <c r="PK166" s="9"/>
      <c r="PL166" s="9"/>
      <c r="PM166" s="9"/>
      <c r="PN166" s="9"/>
      <c r="PO166" s="9"/>
      <c r="PP166" s="9"/>
      <c r="PQ166" s="9"/>
      <c r="PR166" s="9"/>
      <c r="PS166" s="9"/>
      <c r="PT166" s="9"/>
      <c r="PU166" s="9"/>
      <c r="PV166" s="9"/>
      <c r="PW166" s="9"/>
      <c r="PX166" s="9"/>
      <c r="PY166" s="9"/>
      <c r="PZ166" s="9"/>
      <c r="QA166" s="9"/>
      <c r="QB166" s="9"/>
      <c r="QC166" s="9"/>
      <c r="QD166" s="9"/>
      <c r="QE166" s="9"/>
      <c r="QF166" s="9"/>
      <c r="QG166" s="9"/>
      <c r="QH166" s="9"/>
      <c r="QI166" s="9"/>
      <c r="QJ166" s="9"/>
      <c r="QK166" s="9"/>
      <c r="QL166" s="9"/>
      <c r="QM166" s="9"/>
      <c r="QN166" s="9"/>
      <c r="QO166" s="9"/>
      <c r="QP166" s="9"/>
      <c r="QQ166" s="9"/>
      <c r="QR166" s="9"/>
      <c r="QS166" s="9"/>
      <c r="QT166" s="9"/>
      <c r="QU166" s="9"/>
      <c r="QV166" s="9"/>
      <c r="QW166" s="9"/>
      <c r="QX166" s="9"/>
      <c r="QY166" s="9"/>
      <c r="QZ166" s="9"/>
      <c r="RA166" s="9"/>
      <c r="RB166" s="9"/>
      <c r="RC166" s="9"/>
      <c r="RD166" s="9"/>
      <c r="RE166" s="9"/>
      <c r="RF166" s="9"/>
      <c r="RG166" s="9"/>
      <c r="RH166" s="9"/>
      <c r="RI166" s="9"/>
      <c r="RJ166" s="9"/>
      <c r="RK166" s="9"/>
      <c r="RL166" s="9"/>
      <c r="RM166" s="9"/>
      <c r="RN166" s="9"/>
      <c r="RO166" s="9"/>
      <c r="RP166" s="9"/>
      <c r="RQ166" s="9"/>
      <c r="RR166" s="9"/>
      <c r="RS166" s="9"/>
      <c r="RT166" s="9"/>
      <c r="RU166" s="9"/>
      <c r="RV166" s="9"/>
      <c r="RW166" s="9"/>
      <c r="RX166" s="9"/>
      <c r="RY166" s="9"/>
      <c r="RZ166" s="9"/>
      <c r="SA166" s="9"/>
      <c r="SB166" s="9"/>
      <c r="SC166" s="9"/>
      <c r="SD166" s="9"/>
      <c r="SE166" s="9"/>
      <c r="SF166" s="9"/>
      <c r="SG166" s="9"/>
      <c r="SH166" s="9"/>
      <c r="SI166" s="9"/>
      <c r="SJ166" s="9"/>
      <c r="SK166" s="8"/>
      <c r="SL166" s="8"/>
      <c r="SM166" s="8"/>
      <c r="SN166" s="8"/>
      <c r="SO166" s="8"/>
      <c r="SP166" s="8"/>
      <c r="SQ166" s="8"/>
      <c r="SR166" s="8"/>
      <c r="SS166" s="8"/>
      <c r="ST166" s="8"/>
      <c r="SU166" s="8"/>
      <c r="SV166" s="8"/>
      <c r="SW166" s="8"/>
      <c r="SX166" s="8"/>
      <c r="SY166" s="8"/>
      <c r="SZ166" s="8"/>
      <c r="TA166" s="8"/>
      <c r="TB166" s="8"/>
      <c r="TC166" s="8"/>
      <c r="TD166" s="8"/>
      <c r="TE166" s="8"/>
      <c r="TF166" s="8"/>
      <c r="TG166" s="8"/>
      <c r="TH166" s="8"/>
      <c r="TI166" s="8"/>
      <c r="TJ166" s="8"/>
      <c r="TK166" s="8"/>
      <c r="TL166" s="8"/>
      <c r="TM166" s="8"/>
      <c r="TN166" s="8"/>
      <c r="TO166" s="8"/>
    </row>
    <row r="167" spans="1:535" x14ac:dyDescent="0.2">
      <c r="A167" s="7"/>
      <c r="B167" s="7"/>
      <c r="C167" s="9"/>
      <c r="D167" s="8"/>
      <c r="E167" s="8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  <c r="CJ167" s="9"/>
      <c r="CK167" s="9"/>
      <c r="CL167" s="9"/>
      <c r="CM167" s="9"/>
      <c r="CN167" s="9"/>
      <c r="CO167" s="9"/>
      <c r="CP167" s="9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  <c r="DC167" s="9"/>
      <c r="DD167" s="9"/>
      <c r="DE167" s="9"/>
      <c r="DF167" s="9"/>
      <c r="DG167" s="9"/>
      <c r="DH167" s="9"/>
      <c r="DI167" s="9"/>
      <c r="DJ167" s="9"/>
      <c r="DK167" s="9"/>
      <c r="DL167" s="9"/>
      <c r="DM167" s="9"/>
      <c r="DN167" s="9"/>
      <c r="DO167" s="9"/>
      <c r="DP167" s="9"/>
      <c r="DQ167" s="9"/>
      <c r="DR167" s="9"/>
      <c r="DS167" s="9"/>
      <c r="DT167" s="9"/>
      <c r="DU167" s="9"/>
      <c r="DV167" s="9"/>
      <c r="DW167" s="9"/>
      <c r="DX167" s="9"/>
      <c r="DY167" s="9"/>
      <c r="DZ167" s="9"/>
      <c r="EA167" s="9"/>
      <c r="EB167" s="9"/>
      <c r="EC167" s="9"/>
      <c r="ED167" s="9"/>
      <c r="EE167" s="9"/>
      <c r="EF167" s="9"/>
      <c r="EG167" s="9"/>
      <c r="EH167" s="9"/>
      <c r="EI167" s="9"/>
      <c r="EJ167" s="9"/>
      <c r="EK167" s="9"/>
      <c r="EL167" s="9"/>
      <c r="EM167" s="9"/>
      <c r="EN167" s="9"/>
      <c r="EO167" s="9"/>
      <c r="EP167" s="9"/>
      <c r="EQ167" s="9"/>
      <c r="ER167" s="9"/>
      <c r="ES167" s="9"/>
      <c r="ET167" s="9"/>
      <c r="EU167" s="9"/>
      <c r="EV167" s="9"/>
      <c r="EW167" s="9"/>
      <c r="EX167" s="9"/>
      <c r="EY167" s="9"/>
      <c r="EZ167" s="9"/>
      <c r="FA167" s="9"/>
      <c r="FB167" s="9"/>
      <c r="FC167" s="9"/>
      <c r="FD167" s="9"/>
      <c r="FE167" s="9"/>
      <c r="FF167" s="9"/>
      <c r="FG167" s="9"/>
      <c r="FH167" s="9"/>
      <c r="FI167" s="9"/>
      <c r="FJ167" s="9"/>
      <c r="FK167" s="9"/>
      <c r="FL167" s="9"/>
      <c r="FM167" s="9"/>
      <c r="FN167" s="9"/>
      <c r="FO167" s="9"/>
      <c r="FP167" s="9"/>
      <c r="FQ167" s="9"/>
      <c r="FR167" s="9"/>
      <c r="FS167" s="9"/>
      <c r="FT167" s="9"/>
      <c r="FU167" s="9"/>
      <c r="FV167" s="9"/>
      <c r="FW167" s="9"/>
      <c r="FX167" s="9"/>
      <c r="FY167" s="9"/>
      <c r="FZ167" s="9"/>
      <c r="GA167" s="9"/>
      <c r="GB167" s="9"/>
      <c r="GC167" s="9"/>
      <c r="GD167" s="9"/>
      <c r="GE167" s="9"/>
      <c r="GF167" s="9"/>
      <c r="GG167" s="9"/>
      <c r="GH167" s="9"/>
      <c r="GI167" s="9"/>
      <c r="GJ167" s="9"/>
      <c r="GK167" s="9"/>
      <c r="GL167" s="9"/>
      <c r="GM167" s="9"/>
      <c r="GN167" s="9"/>
      <c r="GO167" s="9"/>
      <c r="GP167" s="9"/>
      <c r="GQ167" s="9"/>
      <c r="GR167" s="9"/>
      <c r="GS167" s="9"/>
      <c r="GT167" s="9"/>
      <c r="GU167" s="9"/>
      <c r="GV167" s="9"/>
      <c r="GW167" s="9"/>
      <c r="GX167" s="9"/>
      <c r="GY167" s="9"/>
      <c r="GZ167" s="9"/>
      <c r="HA167" s="9"/>
      <c r="HB167" s="9"/>
      <c r="HC167" s="9"/>
      <c r="HD167" s="9"/>
      <c r="HE167" s="9"/>
      <c r="HF167" s="9"/>
      <c r="HG167" s="9"/>
      <c r="HH167" s="9"/>
      <c r="HI167" s="9"/>
      <c r="HJ167" s="9"/>
      <c r="HK167" s="9"/>
      <c r="HL167" s="9"/>
      <c r="HM167" s="9"/>
      <c r="HN167" s="9"/>
      <c r="HO167" s="9"/>
      <c r="HP167" s="9"/>
      <c r="HQ167" s="9"/>
      <c r="HR167" s="9"/>
      <c r="HS167" s="9"/>
      <c r="HT167" s="9"/>
      <c r="HU167" s="9"/>
      <c r="HV167" s="9"/>
      <c r="HW167" s="9"/>
      <c r="HX167" s="9"/>
      <c r="HY167" s="9"/>
      <c r="HZ167" s="9"/>
      <c r="IA167" s="9"/>
      <c r="IB167" s="9"/>
      <c r="IC167" s="9"/>
      <c r="ID167" s="9"/>
      <c r="IE167" s="9"/>
      <c r="IF167" s="9"/>
      <c r="IG167" s="9"/>
      <c r="IH167" s="9"/>
      <c r="II167" s="9"/>
      <c r="IJ167" s="9"/>
      <c r="IK167" s="9"/>
      <c r="IL167" s="9"/>
      <c r="IM167" s="9"/>
      <c r="IN167" s="9"/>
      <c r="IO167" s="9"/>
      <c r="IP167" s="9"/>
      <c r="IQ167" s="9"/>
      <c r="IR167" s="9"/>
      <c r="IS167" s="9"/>
      <c r="IT167" s="9"/>
      <c r="IU167" s="9"/>
      <c r="IV167" s="9"/>
      <c r="IW167" s="9"/>
      <c r="IX167" s="9"/>
      <c r="IY167" s="9"/>
      <c r="IZ167" s="9"/>
      <c r="JA167" s="9"/>
      <c r="JB167" s="9"/>
      <c r="JC167" s="9"/>
      <c r="JD167" s="9"/>
      <c r="JE167" s="9"/>
      <c r="JF167" s="9"/>
      <c r="JG167" s="9"/>
      <c r="JH167" s="9"/>
      <c r="JI167" s="9"/>
      <c r="JJ167" s="9"/>
      <c r="JK167" s="9"/>
      <c r="JL167" s="9"/>
      <c r="JM167" s="9"/>
      <c r="JN167" s="9"/>
      <c r="JO167" s="9"/>
      <c r="JP167" s="9"/>
      <c r="JQ167" s="9"/>
      <c r="JR167" s="9"/>
      <c r="JS167" s="9"/>
      <c r="JT167" s="9"/>
      <c r="JU167" s="9"/>
      <c r="JV167" s="9"/>
      <c r="JW167" s="9"/>
      <c r="JX167" s="9"/>
      <c r="JY167" s="9"/>
      <c r="JZ167" s="9"/>
      <c r="KA167" s="9"/>
      <c r="KB167" s="9"/>
      <c r="KC167" s="9"/>
      <c r="KD167" s="9"/>
      <c r="KE167" s="9"/>
      <c r="KF167" s="9"/>
      <c r="KG167" s="9"/>
      <c r="KH167" s="9"/>
      <c r="KI167" s="9"/>
      <c r="KJ167" s="9"/>
      <c r="KK167" s="9"/>
      <c r="KL167" s="9"/>
      <c r="KM167" s="9"/>
      <c r="KN167" s="9"/>
      <c r="KO167" s="9"/>
      <c r="KP167" s="9"/>
      <c r="KQ167" s="9"/>
      <c r="KR167" s="9"/>
      <c r="KS167" s="9"/>
      <c r="KT167" s="9"/>
      <c r="KU167" s="9"/>
      <c r="KV167" s="9"/>
      <c r="KW167" s="9"/>
      <c r="KX167" s="9"/>
      <c r="KY167" s="9"/>
      <c r="KZ167" s="9"/>
      <c r="LA167" s="9"/>
      <c r="LB167" s="9"/>
      <c r="LC167" s="9"/>
      <c r="LD167" s="9"/>
      <c r="LE167" s="9"/>
      <c r="LF167" s="9"/>
      <c r="LG167" s="9"/>
      <c r="LH167" s="9"/>
      <c r="LI167" s="9"/>
      <c r="LJ167" s="9"/>
      <c r="LK167" s="9"/>
      <c r="LL167" s="9"/>
      <c r="LM167" s="9"/>
      <c r="LN167" s="9"/>
      <c r="LO167" s="9"/>
      <c r="LP167" s="9"/>
      <c r="LQ167" s="9"/>
      <c r="LR167" s="9"/>
      <c r="LS167" s="9"/>
      <c r="LT167" s="9"/>
      <c r="LU167" s="9"/>
      <c r="LV167" s="9"/>
      <c r="LW167" s="9"/>
      <c r="LX167" s="9"/>
      <c r="LY167" s="9"/>
      <c r="LZ167" s="9"/>
      <c r="MA167" s="9"/>
      <c r="MB167" s="9"/>
      <c r="MC167" s="9"/>
      <c r="MD167" s="9"/>
      <c r="ME167" s="9"/>
      <c r="MF167" s="9"/>
      <c r="MG167" s="9"/>
      <c r="MH167" s="9"/>
      <c r="MI167" s="9"/>
      <c r="MJ167" s="9"/>
      <c r="MK167" s="9"/>
      <c r="ML167" s="9"/>
      <c r="MM167" s="9"/>
      <c r="MN167" s="9"/>
      <c r="MO167" s="9"/>
      <c r="MP167" s="9"/>
      <c r="MQ167" s="9"/>
      <c r="MR167" s="9"/>
      <c r="MS167" s="9"/>
      <c r="MT167" s="9"/>
      <c r="MU167" s="9"/>
      <c r="MV167" s="9"/>
      <c r="MW167" s="9"/>
      <c r="MX167" s="9"/>
      <c r="MY167" s="9"/>
      <c r="MZ167" s="9"/>
      <c r="NA167" s="9"/>
      <c r="NB167" s="9"/>
      <c r="NC167" s="9"/>
      <c r="ND167" s="9"/>
      <c r="NE167" s="9"/>
      <c r="NF167" s="9"/>
      <c r="NG167" s="9"/>
      <c r="NH167" s="9"/>
      <c r="NI167" s="9"/>
      <c r="NJ167" s="9"/>
      <c r="NK167" s="9"/>
      <c r="NL167" s="9"/>
      <c r="NM167" s="9"/>
      <c r="NN167" s="9"/>
      <c r="NO167" s="9"/>
      <c r="NP167" s="9"/>
      <c r="NQ167" s="9"/>
      <c r="NR167" s="9"/>
      <c r="NS167" s="9"/>
      <c r="NT167" s="9"/>
      <c r="NU167" s="9"/>
      <c r="NV167" s="9"/>
      <c r="NW167" s="9"/>
      <c r="NX167" s="9"/>
      <c r="NY167" s="9"/>
      <c r="NZ167" s="9"/>
      <c r="OA167" s="9"/>
      <c r="OB167" s="9"/>
      <c r="OC167" s="9"/>
      <c r="OD167" s="9"/>
      <c r="OE167" s="9"/>
      <c r="OF167" s="9"/>
      <c r="OG167" s="9"/>
      <c r="OH167" s="9"/>
      <c r="OI167" s="9"/>
      <c r="OJ167" s="9"/>
      <c r="OK167" s="9"/>
      <c r="OL167" s="9"/>
      <c r="OM167" s="9"/>
      <c r="ON167" s="9"/>
      <c r="OO167" s="9"/>
      <c r="OP167" s="9"/>
      <c r="OQ167" s="9"/>
      <c r="OR167" s="9"/>
      <c r="OS167" s="9"/>
      <c r="OT167" s="9"/>
      <c r="OU167" s="9"/>
      <c r="OV167" s="9"/>
      <c r="OW167" s="9"/>
      <c r="OX167" s="9"/>
      <c r="OY167" s="9"/>
      <c r="OZ167" s="9"/>
      <c r="PA167" s="9"/>
      <c r="PB167" s="9"/>
      <c r="PC167" s="9"/>
      <c r="PD167" s="9"/>
      <c r="PE167" s="9"/>
      <c r="PF167" s="9"/>
      <c r="PG167" s="9"/>
      <c r="PH167" s="9"/>
      <c r="PI167" s="9"/>
      <c r="PJ167" s="9"/>
      <c r="PK167" s="9"/>
      <c r="PL167" s="9"/>
      <c r="PM167" s="9"/>
      <c r="PN167" s="9"/>
      <c r="PO167" s="9"/>
      <c r="PP167" s="9"/>
      <c r="PQ167" s="9"/>
      <c r="PR167" s="9"/>
      <c r="PS167" s="9"/>
      <c r="PT167" s="9"/>
      <c r="PU167" s="9"/>
      <c r="PV167" s="9"/>
      <c r="PW167" s="9"/>
      <c r="PX167" s="9"/>
      <c r="PY167" s="9"/>
      <c r="PZ167" s="9"/>
      <c r="QA167" s="9"/>
      <c r="QB167" s="9"/>
      <c r="QC167" s="9"/>
      <c r="QD167" s="9"/>
      <c r="QE167" s="9"/>
      <c r="QF167" s="9"/>
      <c r="QG167" s="9"/>
      <c r="QH167" s="9"/>
      <c r="QI167" s="9"/>
      <c r="QJ167" s="9"/>
      <c r="QK167" s="9"/>
      <c r="QL167" s="9"/>
      <c r="QM167" s="9"/>
      <c r="QN167" s="9"/>
      <c r="QO167" s="9"/>
      <c r="QP167" s="9"/>
      <c r="QQ167" s="9"/>
      <c r="QR167" s="9"/>
      <c r="QS167" s="9"/>
      <c r="QT167" s="9"/>
      <c r="QU167" s="9"/>
      <c r="QV167" s="9"/>
      <c r="QW167" s="9"/>
      <c r="QX167" s="9"/>
      <c r="QY167" s="9"/>
      <c r="QZ167" s="9"/>
      <c r="RA167" s="9"/>
      <c r="RB167" s="9"/>
      <c r="RC167" s="9"/>
      <c r="RD167" s="9"/>
      <c r="RE167" s="9"/>
      <c r="RF167" s="9"/>
      <c r="RG167" s="9"/>
      <c r="RH167" s="9"/>
      <c r="RI167" s="9"/>
      <c r="RJ167" s="9"/>
      <c r="RK167" s="9"/>
      <c r="RL167" s="9"/>
      <c r="RM167" s="9"/>
      <c r="RN167" s="9"/>
      <c r="RO167" s="9"/>
      <c r="RP167" s="9"/>
      <c r="RQ167" s="9"/>
      <c r="RR167" s="9"/>
      <c r="RS167" s="9"/>
      <c r="RT167" s="9"/>
      <c r="RU167" s="9"/>
      <c r="RV167" s="9"/>
      <c r="RW167" s="9"/>
      <c r="RX167" s="9"/>
      <c r="RY167" s="9"/>
      <c r="RZ167" s="9"/>
      <c r="SA167" s="9"/>
      <c r="SB167" s="9"/>
      <c r="SC167" s="9"/>
      <c r="SD167" s="9"/>
      <c r="SE167" s="9"/>
      <c r="SF167" s="9"/>
      <c r="SG167" s="9"/>
      <c r="SH167" s="9"/>
      <c r="SI167" s="9"/>
      <c r="SJ167" s="9"/>
      <c r="SK167" s="8"/>
      <c r="SL167" s="8"/>
      <c r="SM167" s="8"/>
      <c r="SN167" s="8"/>
      <c r="SO167" s="8"/>
      <c r="SP167" s="8"/>
      <c r="SQ167" s="8"/>
      <c r="SR167" s="8"/>
      <c r="SS167" s="8"/>
      <c r="ST167" s="8"/>
      <c r="SU167" s="8"/>
      <c r="SV167" s="8"/>
      <c r="SW167" s="8"/>
      <c r="SX167" s="8"/>
      <c r="SY167" s="8"/>
      <c r="SZ167" s="8"/>
      <c r="TA167" s="8"/>
      <c r="TB167" s="8"/>
      <c r="TC167" s="8"/>
      <c r="TD167" s="8"/>
      <c r="TE167" s="8"/>
      <c r="TF167" s="8"/>
      <c r="TG167" s="8"/>
      <c r="TH167" s="8"/>
      <c r="TI167" s="8"/>
      <c r="TJ167" s="8"/>
      <c r="TK167" s="8"/>
      <c r="TL167" s="8"/>
      <c r="TM167" s="8"/>
      <c r="TN167" s="8"/>
      <c r="TO167" s="8"/>
    </row>
    <row r="168" spans="1:535" x14ac:dyDescent="0.2">
      <c r="A168" s="7"/>
      <c r="B168" s="7"/>
      <c r="C168" s="9"/>
      <c r="D168" s="8"/>
      <c r="E168" s="8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  <c r="CE168" s="9"/>
      <c r="CF168" s="9"/>
      <c r="CG168" s="9"/>
      <c r="CH168" s="9"/>
      <c r="CI168" s="9"/>
      <c r="CJ168" s="9"/>
      <c r="CK168" s="9"/>
      <c r="CL168" s="9"/>
      <c r="CM168" s="9"/>
      <c r="CN168" s="9"/>
      <c r="CO168" s="9"/>
      <c r="CP168" s="9"/>
      <c r="CQ168" s="9"/>
      <c r="CR168" s="9"/>
      <c r="CS168" s="9"/>
      <c r="CT168" s="9"/>
      <c r="CU168" s="9"/>
      <c r="CV168" s="9"/>
      <c r="CW168" s="9"/>
      <c r="CX168" s="9"/>
      <c r="CY168" s="9"/>
      <c r="CZ168" s="9"/>
      <c r="DA168" s="9"/>
      <c r="DB168" s="9"/>
      <c r="DC168" s="9"/>
      <c r="DD168" s="9"/>
      <c r="DE168" s="9"/>
      <c r="DF168" s="9"/>
      <c r="DG168" s="9"/>
      <c r="DH168" s="9"/>
      <c r="DI168" s="9"/>
      <c r="DJ168" s="9"/>
      <c r="DK168" s="9"/>
      <c r="DL168" s="9"/>
      <c r="DM168" s="9"/>
      <c r="DN168" s="9"/>
      <c r="DO168" s="9"/>
      <c r="DP168" s="9"/>
      <c r="DQ168" s="9"/>
      <c r="DR168" s="9"/>
      <c r="DS168" s="9"/>
      <c r="DT168" s="9"/>
      <c r="DU168" s="9"/>
      <c r="DV168" s="9"/>
      <c r="DW168" s="9"/>
      <c r="DX168" s="9"/>
      <c r="DY168" s="9"/>
      <c r="DZ168" s="9"/>
      <c r="EA168" s="9"/>
      <c r="EB168" s="9"/>
      <c r="EC168" s="9"/>
      <c r="ED168" s="9"/>
      <c r="EE168" s="9"/>
      <c r="EF168" s="9"/>
      <c r="EG168" s="9"/>
      <c r="EH168" s="9"/>
      <c r="EI168" s="9"/>
      <c r="EJ168" s="9"/>
      <c r="EK168" s="9"/>
      <c r="EL168" s="9"/>
      <c r="EM168" s="9"/>
      <c r="EN168" s="9"/>
      <c r="EO168" s="9"/>
      <c r="EP168" s="9"/>
      <c r="EQ168" s="9"/>
      <c r="ER168" s="9"/>
      <c r="ES168" s="9"/>
      <c r="ET168" s="9"/>
      <c r="EU168" s="9"/>
      <c r="EV168" s="9"/>
      <c r="EW168" s="9"/>
      <c r="EX168" s="9"/>
      <c r="EY168" s="9"/>
      <c r="EZ168" s="9"/>
      <c r="FA168" s="9"/>
      <c r="FB168" s="9"/>
      <c r="FC168" s="9"/>
      <c r="FD168" s="9"/>
      <c r="FE168" s="9"/>
      <c r="FF168" s="9"/>
      <c r="FG168" s="9"/>
      <c r="FH168" s="9"/>
      <c r="FI168" s="9"/>
      <c r="FJ168" s="9"/>
      <c r="FK168" s="9"/>
      <c r="FL168" s="9"/>
      <c r="FM168" s="9"/>
      <c r="FN168" s="9"/>
      <c r="FO168" s="9"/>
      <c r="FP168" s="9"/>
      <c r="FQ168" s="9"/>
      <c r="FR168" s="9"/>
      <c r="FS168" s="9"/>
      <c r="FT168" s="9"/>
      <c r="FU168" s="9"/>
      <c r="FV168" s="9"/>
      <c r="FW168" s="9"/>
      <c r="FX168" s="9"/>
      <c r="FY168" s="9"/>
      <c r="FZ168" s="9"/>
      <c r="GA168" s="9"/>
      <c r="GB168" s="9"/>
      <c r="GC168" s="9"/>
      <c r="GD168" s="9"/>
      <c r="GE168" s="9"/>
      <c r="GF168" s="9"/>
      <c r="GG168" s="9"/>
      <c r="GH168" s="9"/>
      <c r="GI168" s="9"/>
      <c r="GJ168" s="9"/>
      <c r="GK168" s="9"/>
      <c r="GL168" s="9"/>
      <c r="GM168" s="9"/>
      <c r="GN168" s="9"/>
      <c r="GO168" s="9"/>
      <c r="GP168" s="9"/>
      <c r="GQ168" s="9"/>
      <c r="GR168" s="9"/>
      <c r="GS168" s="9"/>
      <c r="GT168" s="9"/>
      <c r="GU168" s="9"/>
      <c r="GV168" s="9"/>
      <c r="GW168" s="9"/>
      <c r="GX168" s="9"/>
      <c r="GY168" s="9"/>
      <c r="GZ168" s="9"/>
      <c r="HA168" s="9"/>
      <c r="HB168" s="9"/>
      <c r="HC168" s="9"/>
      <c r="HD168" s="9"/>
      <c r="HE168" s="9"/>
      <c r="HF168" s="9"/>
      <c r="HG168" s="9"/>
      <c r="HH168" s="9"/>
      <c r="HI168" s="9"/>
      <c r="HJ168" s="9"/>
      <c r="HK168" s="9"/>
      <c r="HL168" s="9"/>
      <c r="HM168" s="9"/>
      <c r="HN168" s="9"/>
      <c r="HO168" s="9"/>
      <c r="HP168" s="9"/>
      <c r="HQ168" s="9"/>
      <c r="HR168" s="9"/>
      <c r="HS168" s="9"/>
      <c r="HT168" s="9"/>
      <c r="HU168" s="9"/>
      <c r="HV168" s="9"/>
      <c r="HW168" s="9"/>
      <c r="HX168" s="9"/>
      <c r="HY168" s="9"/>
      <c r="HZ168" s="9"/>
      <c r="IA168" s="9"/>
      <c r="IB168" s="9"/>
      <c r="IC168" s="9"/>
      <c r="ID168" s="9"/>
      <c r="IE168" s="9"/>
      <c r="IF168" s="9"/>
      <c r="IG168" s="9"/>
      <c r="IH168" s="9"/>
      <c r="II168" s="9"/>
      <c r="IJ168" s="9"/>
      <c r="IK168" s="9"/>
      <c r="IL168" s="9"/>
      <c r="IM168" s="9"/>
      <c r="IN168" s="9"/>
      <c r="IO168" s="9"/>
      <c r="IP168" s="9"/>
      <c r="IQ168" s="9"/>
      <c r="IR168" s="9"/>
      <c r="IS168" s="9"/>
      <c r="IT168" s="9"/>
      <c r="IU168" s="9"/>
      <c r="IV168" s="9"/>
      <c r="IW168" s="9"/>
      <c r="IX168" s="9"/>
      <c r="IY168" s="9"/>
      <c r="IZ168" s="9"/>
      <c r="JA168" s="9"/>
      <c r="JB168" s="9"/>
      <c r="JC168" s="9"/>
      <c r="JD168" s="9"/>
      <c r="JE168" s="9"/>
      <c r="JF168" s="9"/>
      <c r="JG168" s="9"/>
      <c r="JH168" s="9"/>
      <c r="JI168" s="9"/>
      <c r="JJ168" s="9"/>
      <c r="JK168" s="9"/>
      <c r="JL168" s="9"/>
      <c r="JM168" s="9"/>
      <c r="JN168" s="9"/>
      <c r="JO168" s="9"/>
      <c r="JP168" s="9"/>
      <c r="JQ168" s="9"/>
      <c r="JR168" s="9"/>
      <c r="JS168" s="9"/>
      <c r="JT168" s="9"/>
      <c r="JU168" s="9"/>
      <c r="JV168" s="9"/>
      <c r="JW168" s="9"/>
      <c r="JX168" s="9"/>
      <c r="JY168" s="9"/>
      <c r="JZ168" s="9"/>
      <c r="KA168" s="9"/>
      <c r="KB168" s="9"/>
      <c r="KC168" s="9"/>
      <c r="KD168" s="9"/>
      <c r="KE168" s="9"/>
      <c r="KF168" s="9"/>
      <c r="KG168" s="9"/>
      <c r="KH168" s="9"/>
      <c r="KI168" s="9"/>
      <c r="KJ168" s="9"/>
      <c r="KK168" s="9"/>
      <c r="KL168" s="9"/>
      <c r="KM168" s="9"/>
      <c r="KN168" s="9"/>
      <c r="KO168" s="9"/>
      <c r="KP168" s="9"/>
      <c r="KQ168" s="9"/>
      <c r="KR168" s="9"/>
      <c r="KS168" s="9"/>
      <c r="KT168" s="9"/>
      <c r="KU168" s="9"/>
      <c r="KV168" s="9"/>
      <c r="KW168" s="9"/>
      <c r="KX168" s="9"/>
      <c r="KY168" s="9"/>
      <c r="KZ168" s="9"/>
      <c r="LA168" s="9"/>
      <c r="LB168" s="9"/>
      <c r="LC168" s="9"/>
      <c r="LD168" s="9"/>
      <c r="LE168" s="9"/>
      <c r="LF168" s="9"/>
      <c r="LG168" s="9"/>
      <c r="LH168" s="9"/>
      <c r="LI168" s="9"/>
      <c r="LJ168" s="9"/>
      <c r="LK168" s="9"/>
      <c r="LL168" s="9"/>
      <c r="LM168" s="9"/>
      <c r="LN168" s="9"/>
      <c r="LO168" s="9"/>
      <c r="LP168" s="9"/>
      <c r="LQ168" s="9"/>
      <c r="LR168" s="9"/>
      <c r="LS168" s="9"/>
      <c r="LT168" s="9"/>
      <c r="LU168" s="9"/>
      <c r="LV168" s="9"/>
      <c r="LW168" s="9"/>
      <c r="LX168" s="9"/>
      <c r="LY168" s="9"/>
      <c r="LZ168" s="9"/>
      <c r="MA168" s="9"/>
      <c r="MB168" s="9"/>
      <c r="MC168" s="9"/>
      <c r="MD168" s="9"/>
      <c r="ME168" s="9"/>
      <c r="MF168" s="9"/>
      <c r="MG168" s="9"/>
      <c r="MH168" s="9"/>
      <c r="MI168" s="9"/>
      <c r="MJ168" s="9"/>
      <c r="MK168" s="9"/>
      <c r="ML168" s="9"/>
      <c r="MM168" s="9"/>
      <c r="MN168" s="9"/>
      <c r="MO168" s="9"/>
      <c r="MP168" s="9"/>
      <c r="MQ168" s="9"/>
      <c r="MR168" s="9"/>
      <c r="MS168" s="9"/>
      <c r="MT168" s="9"/>
      <c r="MU168" s="9"/>
      <c r="MV168" s="9"/>
      <c r="MW168" s="9"/>
      <c r="MX168" s="9"/>
      <c r="MY168" s="9"/>
      <c r="MZ168" s="9"/>
      <c r="NA168" s="9"/>
      <c r="NB168" s="9"/>
      <c r="NC168" s="9"/>
      <c r="ND168" s="9"/>
      <c r="NE168" s="9"/>
      <c r="NF168" s="9"/>
      <c r="NG168" s="9"/>
      <c r="NH168" s="9"/>
      <c r="NI168" s="9"/>
      <c r="NJ168" s="9"/>
      <c r="NK168" s="9"/>
      <c r="NL168" s="9"/>
      <c r="NM168" s="9"/>
      <c r="NN168" s="9"/>
      <c r="NO168" s="9"/>
      <c r="NP168" s="9"/>
      <c r="NQ168" s="9"/>
      <c r="NR168" s="9"/>
      <c r="NS168" s="9"/>
      <c r="NT168" s="9"/>
      <c r="NU168" s="9"/>
      <c r="NV168" s="9"/>
      <c r="NW168" s="9"/>
      <c r="NX168" s="9"/>
      <c r="NY168" s="9"/>
      <c r="NZ168" s="9"/>
      <c r="OA168" s="9"/>
      <c r="OB168" s="9"/>
      <c r="OC168" s="9"/>
      <c r="OD168" s="9"/>
      <c r="OE168" s="9"/>
      <c r="OF168" s="9"/>
      <c r="OG168" s="9"/>
      <c r="OH168" s="9"/>
      <c r="OI168" s="9"/>
      <c r="OJ168" s="9"/>
      <c r="OK168" s="9"/>
      <c r="OL168" s="9"/>
      <c r="OM168" s="9"/>
      <c r="ON168" s="9"/>
      <c r="OO168" s="9"/>
      <c r="OP168" s="9"/>
      <c r="OQ168" s="9"/>
      <c r="OR168" s="9"/>
      <c r="OS168" s="9"/>
      <c r="OT168" s="9"/>
      <c r="OU168" s="9"/>
      <c r="OV168" s="9"/>
      <c r="OW168" s="9"/>
      <c r="OX168" s="9"/>
      <c r="OY168" s="9"/>
      <c r="OZ168" s="9"/>
      <c r="PA168" s="9"/>
      <c r="PB168" s="9"/>
      <c r="PC168" s="9"/>
      <c r="PD168" s="9"/>
      <c r="PE168" s="9"/>
      <c r="PF168" s="9"/>
      <c r="PG168" s="9"/>
      <c r="PH168" s="9"/>
      <c r="PI168" s="9"/>
      <c r="PJ168" s="9"/>
      <c r="PK168" s="9"/>
      <c r="PL168" s="9"/>
      <c r="PM168" s="9"/>
      <c r="PN168" s="9"/>
      <c r="PO168" s="9"/>
      <c r="PP168" s="9"/>
      <c r="PQ168" s="9"/>
      <c r="PR168" s="9"/>
      <c r="PS168" s="9"/>
      <c r="PT168" s="9"/>
      <c r="PU168" s="9"/>
      <c r="PV168" s="9"/>
      <c r="PW168" s="9"/>
      <c r="PX168" s="9"/>
      <c r="PY168" s="9"/>
      <c r="PZ168" s="9"/>
      <c r="QA168" s="9"/>
      <c r="QB168" s="9"/>
      <c r="QC168" s="9"/>
      <c r="QD168" s="9"/>
      <c r="QE168" s="9"/>
      <c r="QF168" s="9"/>
      <c r="QG168" s="9"/>
      <c r="QH168" s="9"/>
      <c r="QI168" s="9"/>
      <c r="QJ168" s="9"/>
      <c r="QK168" s="9"/>
      <c r="QL168" s="9"/>
      <c r="QM168" s="9"/>
      <c r="QN168" s="9"/>
      <c r="QO168" s="9"/>
      <c r="QP168" s="9"/>
      <c r="QQ168" s="9"/>
      <c r="QR168" s="9"/>
      <c r="QS168" s="9"/>
      <c r="QT168" s="9"/>
      <c r="QU168" s="9"/>
      <c r="QV168" s="9"/>
      <c r="QW168" s="9"/>
      <c r="QX168" s="9"/>
      <c r="QY168" s="9"/>
      <c r="QZ168" s="9"/>
      <c r="RA168" s="9"/>
      <c r="RB168" s="9"/>
      <c r="RC168" s="9"/>
      <c r="RD168" s="9"/>
      <c r="RE168" s="9"/>
      <c r="RF168" s="9"/>
      <c r="RG168" s="9"/>
      <c r="RH168" s="9"/>
      <c r="RI168" s="9"/>
      <c r="RJ168" s="9"/>
      <c r="RK168" s="9"/>
      <c r="RL168" s="9"/>
      <c r="RM168" s="9"/>
      <c r="RN168" s="9"/>
      <c r="RO168" s="9"/>
      <c r="RP168" s="9"/>
      <c r="RQ168" s="9"/>
      <c r="RR168" s="9"/>
      <c r="RS168" s="9"/>
      <c r="RT168" s="9"/>
      <c r="RU168" s="9"/>
      <c r="RV168" s="9"/>
      <c r="RW168" s="9"/>
      <c r="RX168" s="9"/>
      <c r="RY168" s="9"/>
      <c r="RZ168" s="9"/>
      <c r="SA168" s="9"/>
      <c r="SB168" s="9"/>
      <c r="SC168" s="9"/>
      <c r="SD168" s="9"/>
      <c r="SE168" s="9"/>
      <c r="SF168" s="9"/>
      <c r="SG168" s="9"/>
      <c r="SH168" s="9"/>
      <c r="SI168" s="9"/>
      <c r="SJ168" s="9"/>
      <c r="SK168" s="8"/>
      <c r="SL168" s="8"/>
      <c r="SM168" s="8"/>
      <c r="SN168" s="8"/>
      <c r="SO168" s="8"/>
      <c r="SP168" s="8"/>
      <c r="SQ168" s="8"/>
      <c r="SR168" s="8"/>
      <c r="SS168" s="8"/>
      <c r="ST168" s="8"/>
      <c r="SU168" s="8"/>
      <c r="SV168" s="8"/>
      <c r="SW168" s="8"/>
      <c r="SX168" s="8"/>
      <c r="SY168" s="8"/>
      <c r="SZ168" s="8"/>
      <c r="TA168" s="8"/>
      <c r="TB168" s="8"/>
      <c r="TC168" s="8"/>
      <c r="TD168" s="8"/>
      <c r="TE168" s="8"/>
      <c r="TF168" s="8"/>
      <c r="TG168" s="8"/>
      <c r="TH168" s="8"/>
      <c r="TI168" s="8"/>
      <c r="TJ168" s="8"/>
      <c r="TK168" s="8"/>
      <c r="TL168" s="8"/>
      <c r="TM168" s="8"/>
      <c r="TN168" s="8"/>
      <c r="TO168" s="8"/>
    </row>
    <row r="169" spans="1:535" x14ac:dyDescent="0.2">
      <c r="A169" s="7"/>
      <c r="B169" s="7"/>
      <c r="C169" s="9"/>
      <c r="D169" s="8"/>
      <c r="E169" s="8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  <c r="CJ169" s="9"/>
      <c r="CK169" s="9"/>
      <c r="CL169" s="9"/>
      <c r="CM169" s="9"/>
      <c r="CN169" s="9"/>
      <c r="CO169" s="9"/>
      <c r="CP169" s="9"/>
      <c r="CQ169" s="9"/>
      <c r="CR169" s="9"/>
      <c r="CS169" s="9"/>
      <c r="CT169" s="9"/>
      <c r="CU169" s="9"/>
      <c r="CV169" s="9"/>
      <c r="CW169" s="9"/>
      <c r="CX169" s="9"/>
      <c r="CY169" s="9"/>
      <c r="CZ169" s="9"/>
      <c r="DA169" s="9"/>
      <c r="DB169" s="9"/>
      <c r="DC169" s="9"/>
      <c r="DD169" s="9"/>
      <c r="DE169" s="9"/>
      <c r="DF169" s="9"/>
      <c r="DG169" s="9"/>
      <c r="DH169" s="9"/>
      <c r="DI169" s="9"/>
      <c r="DJ169" s="9"/>
      <c r="DK169" s="9"/>
      <c r="DL169" s="9"/>
      <c r="DM169" s="9"/>
      <c r="DN169" s="9"/>
      <c r="DO169" s="9"/>
      <c r="DP169" s="9"/>
      <c r="DQ169" s="9"/>
      <c r="DR169" s="9"/>
      <c r="DS169" s="9"/>
      <c r="DT169" s="9"/>
      <c r="DU169" s="9"/>
      <c r="DV169" s="9"/>
      <c r="DW169" s="9"/>
      <c r="DX169" s="9"/>
      <c r="DY169" s="9"/>
      <c r="DZ169" s="9"/>
      <c r="EA169" s="9"/>
      <c r="EB169" s="9"/>
      <c r="EC169" s="9"/>
      <c r="ED169" s="9"/>
      <c r="EE169" s="9"/>
      <c r="EF169" s="9"/>
      <c r="EG169" s="9"/>
      <c r="EH169" s="9"/>
      <c r="EI169" s="9"/>
      <c r="EJ169" s="9"/>
      <c r="EK169" s="9"/>
      <c r="EL169" s="9"/>
      <c r="EM169" s="9"/>
      <c r="EN169" s="9"/>
      <c r="EO169" s="9"/>
      <c r="EP169" s="9"/>
      <c r="EQ169" s="9"/>
      <c r="ER169" s="9"/>
      <c r="ES169" s="9"/>
      <c r="ET169" s="9"/>
      <c r="EU169" s="9"/>
      <c r="EV169" s="9"/>
      <c r="EW169" s="9"/>
      <c r="EX169" s="9"/>
      <c r="EY169" s="9"/>
      <c r="EZ169" s="9"/>
      <c r="FA169" s="9"/>
      <c r="FB169" s="9"/>
      <c r="FC169" s="9"/>
      <c r="FD169" s="9"/>
      <c r="FE169" s="9"/>
      <c r="FF169" s="9"/>
      <c r="FG169" s="9"/>
      <c r="FH169" s="9"/>
      <c r="FI169" s="9"/>
      <c r="FJ169" s="9"/>
      <c r="FK169" s="9"/>
      <c r="FL169" s="9"/>
      <c r="FM169" s="9"/>
      <c r="FN169" s="9"/>
      <c r="FO169" s="9"/>
      <c r="FP169" s="9"/>
      <c r="FQ169" s="9"/>
      <c r="FR169" s="9"/>
      <c r="FS169" s="9"/>
      <c r="FT169" s="9"/>
      <c r="FU169" s="9"/>
      <c r="FV169" s="9"/>
      <c r="FW169" s="9"/>
      <c r="FX169" s="9"/>
      <c r="FY169" s="9"/>
      <c r="FZ169" s="9"/>
      <c r="GA169" s="9"/>
      <c r="GB169" s="9"/>
      <c r="GC169" s="9"/>
      <c r="GD169" s="9"/>
      <c r="GE169" s="9"/>
      <c r="GF169" s="9"/>
      <c r="GG169" s="9"/>
      <c r="GH169" s="9"/>
      <c r="GI169" s="9"/>
      <c r="GJ169" s="9"/>
      <c r="GK169" s="9"/>
      <c r="GL169" s="9"/>
      <c r="GM169" s="9"/>
      <c r="GN169" s="9"/>
      <c r="GO169" s="9"/>
      <c r="GP169" s="9"/>
      <c r="GQ169" s="9"/>
      <c r="GR169" s="9"/>
      <c r="GS169" s="9"/>
      <c r="GT169" s="9"/>
      <c r="GU169" s="9"/>
      <c r="GV169" s="9"/>
      <c r="GW169" s="9"/>
      <c r="GX169" s="9"/>
      <c r="GY169" s="9"/>
      <c r="GZ169" s="9"/>
      <c r="HA169" s="9"/>
      <c r="HB169" s="9"/>
      <c r="HC169" s="9"/>
      <c r="HD169" s="9"/>
      <c r="HE169" s="9"/>
      <c r="HF169" s="9"/>
      <c r="HG169" s="9"/>
      <c r="HH169" s="9"/>
      <c r="HI169" s="9"/>
      <c r="HJ169" s="9"/>
      <c r="HK169" s="9"/>
      <c r="HL169" s="9"/>
      <c r="HM169" s="9"/>
      <c r="HN169" s="9"/>
      <c r="HO169" s="9"/>
      <c r="HP169" s="9"/>
      <c r="HQ169" s="9"/>
      <c r="HR169" s="9"/>
      <c r="HS169" s="9"/>
      <c r="HT169" s="9"/>
      <c r="HU169" s="9"/>
      <c r="HV169" s="9"/>
      <c r="HW169" s="9"/>
      <c r="HX169" s="9"/>
      <c r="HY169" s="9"/>
      <c r="HZ169" s="9"/>
      <c r="IA169" s="9"/>
      <c r="IB169" s="9"/>
      <c r="IC169" s="9"/>
      <c r="ID169" s="9"/>
      <c r="IE169" s="9"/>
      <c r="IF169" s="9"/>
      <c r="IG169" s="9"/>
      <c r="IH169" s="9"/>
      <c r="II169" s="9"/>
      <c r="IJ169" s="9"/>
      <c r="IK169" s="9"/>
      <c r="IL169" s="9"/>
      <c r="IM169" s="9"/>
      <c r="IN169" s="9"/>
      <c r="IO169" s="9"/>
      <c r="IP169" s="9"/>
      <c r="IQ169" s="9"/>
      <c r="IR169" s="9"/>
      <c r="IS169" s="9"/>
      <c r="IT169" s="9"/>
      <c r="IU169" s="9"/>
      <c r="IV169" s="9"/>
      <c r="IW169" s="9"/>
      <c r="IX169" s="9"/>
      <c r="IY169" s="9"/>
      <c r="IZ169" s="9"/>
      <c r="JA169" s="9"/>
      <c r="JB169" s="9"/>
      <c r="JC169" s="9"/>
      <c r="JD169" s="9"/>
      <c r="JE169" s="9"/>
      <c r="JF169" s="9"/>
      <c r="JG169" s="9"/>
      <c r="JH169" s="9"/>
      <c r="JI169" s="9"/>
      <c r="JJ169" s="9"/>
      <c r="JK169" s="9"/>
      <c r="JL169" s="9"/>
      <c r="JM169" s="9"/>
      <c r="JN169" s="9"/>
      <c r="JO169" s="9"/>
      <c r="JP169" s="9"/>
      <c r="JQ169" s="9"/>
      <c r="JR169" s="9"/>
      <c r="JS169" s="9"/>
      <c r="JT169" s="9"/>
      <c r="JU169" s="9"/>
      <c r="JV169" s="9"/>
      <c r="JW169" s="9"/>
      <c r="JX169" s="9"/>
      <c r="JY169" s="9"/>
      <c r="JZ169" s="9"/>
      <c r="KA169" s="9"/>
      <c r="KB169" s="9"/>
      <c r="KC169" s="9"/>
      <c r="KD169" s="9"/>
      <c r="KE169" s="9"/>
      <c r="KF169" s="9"/>
      <c r="KG169" s="9"/>
      <c r="KH169" s="9"/>
      <c r="KI169" s="9"/>
      <c r="KJ169" s="9"/>
      <c r="KK169" s="9"/>
      <c r="KL169" s="9"/>
      <c r="KM169" s="9"/>
      <c r="KN169" s="9"/>
      <c r="KO169" s="9"/>
      <c r="KP169" s="9"/>
      <c r="KQ169" s="9"/>
      <c r="KR169" s="9"/>
      <c r="KS169" s="9"/>
      <c r="KT169" s="9"/>
      <c r="KU169" s="9"/>
      <c r="KV169" s="9"/>
      <c r="KW169" s="9"/>
      <c r="KX169" s="9"/>
      <c r="KY169" s="9"/>
      <c r="KZ169" s="9"/>
      <c r="LA169" s="9"/>
      <c r="LB169" s="9"/>
      <c r="LC169" s="9"/>
      <c r="LD169" s="9"/>
      <c r="LE169" s="9"/>
      <c r="LF169" s="9"/>
      <c r="LG169" s="9"/>
      <c r="LH169" s="9"/>
      <c r="LI169" s="9"/>
      <c r="LJ169" s="9"/>
      <c r="LK169" s="9"/>
      <c r="LL169" s="9"/>
      <c r="LM169" s="9"/>
      <c r="LN169" s="9"/>
      <c r="LO169" s="9"/>
      <c r="LP169" s="9"/>
      <c r="LQ169" s="9"/>
      <c r="LR169" s="9"/>
      <c r="LS169" s="9"/>
      <c r="LT169" s="9"/>
      <c r="LU169" s="9"/>
      <c r="LV169" s="9"/>
      <c r="LW169" s="9"/>
      <c r="LX169" s="9"/>
      <c r="LY169" s="9"/>
      <c r="LZ169" s="9"/>
      <c r="MA169" s="9"/>
      <c r="MB169" s="9"/>
      <c r="MC169" s="9"/>
      <c r="MD169" s="9"/>
      <c r="ME169" s="9"/>
      <c r="MF169" s="9"/>
      <c r="MG169" s="9"/>
      <c r="MH169" s="9"/>
      <c r="MI169" s="9"/>
      <c r="MJ169" s="9"/>
      <c r="MK169" s="9"/>
      <c r="ML169" s="9"/>
      <c r="MM169" s="9"/>
      <c r="MN169" s="9"/>
      <c r="MO169" s="9"/>
      <c r="MP169" s="9"/>
      <c r="MQ169" s="9"/>
      <c r="MR169" s="9"/>
      <c r="MS169" s="9"/>
      <c r="MT169" s="9"/>
      <c r="MU169" s="9"/>
      <c r="MV169" s="9"/>
      <c r="MW169" s="9"/>
      <c r="MX169" s="9"/>
      <c r="MY169" s="9"/>
      <c r="MZ169" s="9"/>
      <c r="NA169" s="9"/>
      <c r="NB169" s="9"/>
      <c r="NC169" s="9"/>
      <c r="ND169" s="9"/>
      <c r="NE169" s="9"/>
      <c r="NF169" s="9"/>
      <c r="NG169" s="9"/>
      <c r="NH169" s="9"/>
      <c r="NI169" s="9"/>
      <c r="NJ169" s="9"/>
      <c r="NK169" s="9"/>
      <c r="NL169" s="9"/>
      <c r="NM169" s="9"/>
      <c r="NN169" s="9"/>
      <c r="NO169" s="9"/>
      <c r="NP169" s="9"/>
      <c r="NQ169" s="9"/>
      <c r="NR169" s="9"/>
      <c r="NS169" s="9"/>
      <c r="NT169" s="9"/>
      <c r="NU169" s="9"/>
      <c r="NV169" s="9"/>
      <c r="NW169" s="9"/>
      <c r="NX169" s="9"/>
      <c r="NY169" s="9"/>
      <c r="NZ169" s="9"/>
      <c r="OA169" s="9"/>
      <c r="OB169" s="9"/>
      <c r="OC169" s="9"/>
      <c r="OD169" s="9"/>
      <c r="OE169" s="9"/>
      <c r="OF169" s="9"/>
      <c r="OG169" s="9"/>
      <c r="OH169" s="9"/>
      <c r="OI169" s="9"/>
      <c r="OJ169" s="9"/>
      <c r="OK169" s="9"/>
      <c r="OL169" s="9"/>
      <c r="OM169" s="9"/>
      <c r="ON169" s="9"/>
      <c r="OO169" s="9"/>
      <c r="OP169" s="9"/>
      <c r="OQ169" s="9"/>
      <c r="OR169" s="9"/>
      <c r="OS169" s="9"/>
      <c r="OT169" s="9"/>
      <c r="OU169" s="9"/>
      <c r="OV169" s="9"/>
      <c r="OW169" s="9"/>
      <c r="OX169" s="9"/>
      <c r="OY169" s="9"/>
      <c r="OZ169" s="9"/>
      <c r="PA169" s="9"/>
      <c r="PB169" s="9"/>
      <c r="PC169" s="9"/>
      <c r="PD169" s="9"/>
      <c r="PE169" s="9"/>
      <c r="PF169" s="9"/>
      <c r="PG169" s="9"/>
      <c r="PH169" s="9"/>
      <c r="PI169" s="9"/>
      <c r="PJ169" s="9"/>
      <c r="PK169" s="9"/>
      <c r="PL169" s="9"/>
      <c r="PM169" s="9"/>
      <c r="PN169" s="9"/>
      <c r="PO169" s="9"/>
      <c r="PP169" s="9"/>
      <c r="PQ169" s="9"/>
      <c r="PR169" s="9"/>
      <c r="PS169" s="9"/>
      <c r="PT169" s="9"/>
      <c r="PU169" s="9"/>
      <c r="PV169" s="9"/>
      <c r="PW169" s="9"/>
      <c r="PX169" s="9"/>
      <c r="PY169" s="9"/>
      <c r="PZ169" s="9"/>
      <c r="QA169" s="9"/>
      <c r="QB169" s="9"/>
      <c r="QC169" s="9"/>
      <c r="QD169" s="9"/>
      <c r="QE169" s="9"/>
      <c r="QF169" s="9"/>
      <c r="QG169" s="9"/>
      <c r="QH169" s="9"/>
      <c r="QI169" s="9"/>
      <c r="QJ169" s="9"/>
      <c r="QK169" s="9"/>
      <c r="QL169" s="9"/>
      <c r="QM169" s="9"/>
      <c r="QN169" s="9"/>
      <c r="QO169" s="9"/>
      <c r="QP169" s="9"/>
      <c r="QQ169" s="9"/>
      <c r="QR169" s="9"/>
      <c r="QS169" s="9"/>
      <c r="QT169" s="9"/>
      <c r="QU169" s="9"/>
      <c r="QV169" s="9"/>
      <c r="QW169" s="9"/>
      <c r="QX169" s="9"/>
      <c r="QY169" s="9"/>
      <c r="QZ169" s="9"/>
      <c r="RA169" s="9"/>
      <c r="RB169" s="9"/>
      <c r="RC169" s="9"/>
      <c r="RD169" s="9"/>
      <c r="RE169" s="9"/>
      <c r="RF169" s="9"/>
      <c r="RG169" s="9"/>
      <c r="RH169" s="9"/>
      <c r="RI169" s="9"/>
      <c r="RJ169" s="9"/>
      <c r="RK169" s="9"/>
      <c r="RL169" s="9"/>
      <c r="RM169" s="9"/>
      <c r="RN169" s="9"/>
      <c r="RO169" s="9"/>
      <c r="RP169" s="9"/>
      <c r="RQ169" s="9"/>
      <c r="RR169" s="9"/>
      <c r="RS169" s="9"/>
      <c r="RT169" s="9"/>
      <c r="RU169" s="9"/>
      <c r="RV169" s="9"/>
      <c r="RW169" s="9"/>
      <c r="RX169" s="9"/>
      <c r="RY169" s="9"/>
      <c r="RZ169" s="9"/>
      <c r="SA169" s="9"/>
      <c r="SB169" s="9"/>
      <c r="SC169" s="9"/>
      <c r="SD169" s="9"/>
      <c r="SE169" s="9"/>
      <c r="SF169" s="9"/>
      <c r="SG169" s="9"/>
      <c r="SH169" s="9"/>
      <c r="SI169" s="9"/>
      <c r="SJ169" s="9"/>
      <c r="SK169" s="8"/>
      <c r="SL169" s="8"/>
      <c r="SM169" s="8"/>
      <c r="SN169" s="8"/>
      <c r="SO169" s="8"/>
      <c r="SP169" s="8"/>
      <c r="SQ169" s="8"/>
      <c r="SR169" s="8"/>
      <c r="SS169" s="8"/>
      <c r="ST169" s="8"/>
      <c r="SU169" s="8"/>
      <c r="SV169" s="8"/>
      <c r="SW169" s="8"/>
      <c r="SX169" s="8"/>
      <c r="SY169" s="8"/>
      <c r="SZ169" s="8"/>
      <c r="TA169" s="8"/>
      <c r="TB169" s="8"/>
      <c r="TC169" s="8"/>
      <c r="TD169" s="8"/>
      <c r="TE169" s="8"/>
      <c r="TF169" s="8"/>
      <c r="TG169" s="8"/>
      <c r="TH169" s="8"/>
      <c r="TI169" s="8"/>
      <c r="TJ169" s="8"/>
      <c r="TK169" s="8"/>
      <c r="TL169" s="8"/>
      <c r="TM169" s="8"/>
      <c r="TN169" s="8"/>
      <c r="TO169" s="8"/>
    </row>
    <row r="170" spans="1:535" x14ac:dyDescent="0.2">
      <c r="A170" s="7"/>
      <c r="B170" s="7"/>
      <c r="C170" s="9"/>
      <c r="D170" s="8"/>
      <c r="E170" s="8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9"/>
      <c r="CK170" s="9"/>
      <c r="CL170" s="9"/>
      <c r="CM170" s="9"/>
      <c r="CN170" s="9"/>
      <c r="CO170" s="9"/>
      <c r="CP170" s="9"/>
      <c r="CQ170" s="9"/>
      <c r="CR170" s="9"/>
      <c r="CS170" s="9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/>
      <c r="DI170" s="9"/>
      <c r="DJ170" s="9"/>
      <c r="DK170" s="9"/>
      <c r="DL170" s="9"/>
      <c r="DM170" s="9"/>
      <c r="DN170" s="9"/>
      <c r="DO170" s="9"/>
      <c r="DP170" s="9"/>
      <c r="DQ170" s="9"/>
      <c r="DR170" s="9"/>
      <c r="DS170" s="9"/>
      <c r="DT170" s="9"/>
      <c r="DU170" s="9"/>
      <c r="DV170" s="9"/>
      <c r="DW170" s="9"/>
      <c r="DX170" s="9"/>
      <c r="DY170" s="9"/>
      <c r="DZ170" s="9"/>
      <c r="EA170" s="9"/>
      <c r="EB170" s="9"/>
      <c r="EC170" s="9"/>
      <c r="ED170" s="9"/>
      <c r="EE170" s="9"/>
      <c r="EF170" s="9"/>
      <c r="EG170" s="9"/>
      <c r="EH170" s="9"/>
      <c r="EI170" s="9"/>
      <c r="EJ170" s="9"/>
      <c r="EK170" s="9"/>
      <c r="EL170" s="9"/>
      <c r="EM170" s="9"/>
      <c r="EN170" s="9"/>
      <c r="EO170" s="9"/>
      <c r="EP170" s="9"/>
      <c r="EQ170" s="9"/>
      <c r="ER170" s="9"/>
      <c r="ES170" s="9"/>
      <c r="ET170" s="9"/>
      <c r="EU170" s="9"/>
      <c r="EV170" s="9"/>
      <c r="EW170" s="9"/>
      <c r="EX170" s="9"/>
      <c r="EY170" s="9"/>
      <c r="EZ170" s="9"/>
      <c r="FA170" s="9"/>
      <c r="FB170" s="9"/>
      <c r="FC170" s="9"/>
      <c r="FD170" s="9"/>
      <c r="FE170" s="9"/>
      <c r="FF170" s="9"/>
      <c r="FG170" s="9"/>
      <c r="FH170" s="9"/>
      <c r="FI170" s="9"/>
      <c r="FJ170" s="9"/>
      <c r="FK170" s="9"/>
      <c r="FL170" s="9"/>
      <c r="FM170" s="9"/>
      <c r="FN170" s="9"/>
      <c r="FO170" s="9"/>
      <c r="FP170" s="9"/>
      <c r="FQ170" s="9"/>
      <c r="FR170" s="9"/>
      <c r="FS170" s="9"/>
      <c r="FT170" s="9"/>
      <c r="FU170" s="9"/>
      <c r="FV170" s="9"/>
      <c r="FW170" s="9"/>
      <c r="FX170" s="9"/>
      <c r="FY170" s="9"/>
      <c r="FZ170" s="9"/>
      <c r="GA170" s="9"/>
      <c r="GB170" s="9"/>
      <c r="GC170" s="9"/>
      <c r="GD170" s="9"/>
      <c r="GE170" s="9"/>
      <c r="GF170" s="9"/>
      <c r="GG170" s="9"/>
      <c r="GH170" s="9"/>
      <c r="GI170" s="9"/>
      <c r="GJ170" s="9"/>
      <c r="GK170" s="9"/>
      <c r="GL170" s="9"/>
      <c r="GM170" s="9"/>
      <c r="GN170" s="9"/>
      <c r="GO170" s="9"/>
      <c r="GP170" s="9"/>
      <c r="GQ170" s="9"/>
      <c r="GR170" s="9"/>
      <c r="GS170" s="9"/>
      <c r="GT170" s="9"/>
      <c r="GU170" s="9"/>
      <c r="GV170" s="9"/>
      <c r="GW170" s="9"/>
      <c r="GX170" s="9"/>
      <c r="GY170" s="9"/>
      <c r="GZ170" s="9"/>
      <c r="HA170" s="9"/>
      <c r="HB170" s="9"/>
      <c r="HC170" s="9"/>
      <c r="HD170" s="9"/>
      <c r="HE170" s="9"/>
      <c r="HF170" s="9"/>
      <c r="HG170" s="9"/>
      <c r="HH170" s="9"/>
      <c r="HI170" s="9"/>
      <c r="HJ170" s="9"/>
      <c r="HK170" s="9"/>
      <c r="HL170" s="9"/>
      <c r="HM170" s="9"/>
      <c r="HN170" s="9"/>
      <c r="HO170" s="9"/>
      <c r="HP170" s="9"/>
      <c r="HQ170" s="9"/>
      <c r="HR170" s="9"/>
      <c r="HS170" s="9"/>
      <c r="HT170" s="9"/>
      <c r="HU170" s="9"/>
      <c r="HV170" s="9"/>
      <c r="HW170" s="9"/>
      <c r="HX170" s="9"/>
      <c r="HY170" s="9"/>
      <c r="HZ170" s="9"/>
      <c r="IA170" s="9"/>
      <c r="IB170" s="9"/>
      <c r="IC170" s="9"/>
      <c r="ID170" s="9"/>
      <c r="IE170" s="9"/>
      <c r="IF170" s="9"/>
      <c r="IG170" s="9"/>
      <c r="IH170" s="9"/>
      <c r="II170" s="9"/>
      <c r="IJ170" s="9"/>
      <c r="IK170" s="9"/>
      <c r="IL170" s="9"/>
      <c r="IM170" s="9"/>
      <c r="IN170" s="9"/>
      <c r="IO170" s="9"/>
      <c r="IP170" s="9"/>
      <c r="IQ170" s="9"/>
      <c r="IR170" s="9"/>
      <c r="IS170" s="9"/>
      <c r="IT170" s="9"/>
      <c r="IU170" s="9"/>
      <c r="IV170" s="9"/>
      <c r="IW170" s="9"/>
      <c r="IX170" s="9"/>
      <c r="IY170" s="9"/>
      <c r="IZ170" s="9"/>
      <c r="JA170" s="9"/>
      <c r="JB170" s="9"/>
      <c r="JC170" s="9"/>
      <c r="JD170" s="9"/>
      <c r="JE170" s="9"/>
      <c r="JF170" s="9"/>
      <c r="JG170" s="9"/>
      <c r="JH170" s="9"/>
      <c r="JI170" s="9"/>
      <c r="JJ170" s="9"/>
      <c r="JK170" s="9"/>
      <c r="JL170" s="9"/>
      <c r="JM170" s="9"/>
      <c r="JN170" s="9"/>
      <c r="JO170" s="9"/>
      <c r="JP170" s="9"/>
      <c r="JQ170" s="9"/>
      <c r="JR170" s="9"/>
      <c r="JS170" s="9"/>
      <c r="JT170" s="9"/>
      <c r="JU170" s="9"/>
      <c r="JV170" s="9"/>
      <c r="JW170" s="9"/>
      <c r="JX170" s="9"/>
      <c r="JY170" s="9"/>
      <c r="JZ170" s="9"/>
      <c r="KA170" s="9"/>
      <c r="KB170" s="9"/>
      <c r="KC170" s="9"/>
      <c r="KD170" s="9"/>
      <c r="KE170" s="9"/>
      <c r="KF170" s="9"/>
      <c r="KG170" s="9"/>
      <c r="KH170" s="9"/>
      <c r="KI170" s="9"/>
      <c r="KJ170" s="9"/>
      <c r="KK170" s="9"/>
      <c r="KL170" s="9"/>
      <c r="KM170" s="9"/>
      <c r="KN170" s="9"/>
      <c r="KO170" s="9"/>
      <c r="KP170" s="9"/>
      <c r="KQ170" s="9"/>
      <c r="KR170" s="9"/>
      <c r="KS170" s="9"/>
      <c r="KT170" s="9"/>
      <c r="KU170" s="9"/>
      <c r="KV170" s="9"/>
      <c r="KW170" s="9"/>
      <c r="KX170" s="9"/>
      <c r="KY170" s="9"/>
      <c r="KZ170" s="9"/>
      <c r="LA170" s="9"/>
      <c r="LB170" s="9"/>
      <c r="LC170" s="9"/>
      <c r="LD170" s="9"/>
      <c r="LE170" s="9"/>
      <c r="LF170" s="9"/>
      <c r="LG170" s="9"/>
      <c r="LH170" s="9"/>
      <c r="LI170" s="9"/>
      <c r="LJ170" s="9"/>
      <c r="LK170" s="9"/>
      <c r="LL170" s="9"/>
      <c r="LM170" s="9"/>
      <c r="LN170" s="9"/>
      <c r="LO170" s="9"/>
      <c r="LP170" s="9"/>
      <c r="LQ170" s="9"/>
      <c r="LR170" s="9"/>
      <c r="LS170" s="9"/>
      <c r="LT170" s="9"/>
      <c r="LU170" s="9"/>
      <c r="LV170" s="9"/>
      <c r="LW170" s="9"/>
      <c r="LX170" s="9"/>
      <c r="LY170" s="9"/>
      <c r="LZ170" s="9"/>
      <c r="MA170" s="9"/>
      <c r="MB170" s="9"/>
      <c r="MC170" s="9"/>
      <c r="MD170" s="9"/>
      <c r="ME170" s="9"/>
      <c r="MF170" s="9"/>
      <c r="MG170" s="9"/>
      <c r="MH170" s="9"/>
      <c r="MI170" s="9"/>
      <c r="MJ170" s="9"/>
      <c r="MK170" s="9"/>
      <c r="ML170" s="9"/>
      <c r="MM170" s="9"/>
      <c r="MN170" s="9"/>
      <c r="MO170" s="9"/>
      <c r="MP170" s="9"/>
      <c r="MQ170" s="9"/>
      <c r="MR170" s="9"/>
      <c r="MS170" s="9"/>
      <c r="MT170" s="9"/>
      <c r="MU170" s="9"/>
      <c r="MV170" s="9"/>
      <c r="MW170" s="9"/>
      <c r="MX170" s="9"/>
      <c r="MY170" s="9"/>
      <c r="MZ170" s="9"/>
      <c r="NA170" s="9"/>
      <c r="NB170" s="9"/>
      <c r="NC170" s="9"/>
      <c r="ND170" s="9"/>
      <c r="NE170" s="9"/>
      <c r="NF170" s="9"/>
      <c r="NG170" s="9"/>
      <c r="NH170" s="9"/>
      <c r="NI170" s="9"/>
      <c r="NJ170" s="9"/>
      <c r="NK170" s="9"/>
      <c r="NL170" s="9"/>
      <c r="NM170" s="9"/>
      <c r="NN170" s="9"/>
      <c r="NO170" s="9"/>
      <c r="NP170" s="9"/>
      <c r="NQ170" s="9"/>
      <c r="NR170" s="9"/>
      <c r="NS170" s="9"/>
      <c r="NT170" s="9"/>
      <c r="NU170" s="9"/>
      <c r="NV170" s="9"/>
      <c r="NW170" s="9"/>
      <c r="NX170" s="9"/>
      <c r="NY170" s="9"/>
      <c r="NZ170" s="9"/>
      <c r="OA170" s="9"/>
      <c r="OB170" s="9"/>
      <c r="OC170" s="9"/>
      <c r="OD170" s="9"/>
      <c r="OE170" s="9"/>
      <c r="OF170" s="9"/>
      <c r="OG170" s="9"/>
      <c r="OH170" s="9"/>
      <c r="OI170" s="9"/>
      <c r="OJ170" s="9"/>
      <c r="OK170" s="9"/>
      <c r="OL170" s="9"/>
      <c r="OM170" s="9"/>
      <c r="ON170" s="9"/>
      <c r="OO170" s="9"/>
      <c r="OP170" s="9"/>
      <c r="OQ170" s="9"/>
      <c r="OR170" s="9"/>
      <c r="OS170" s="9"/>
      <c r="OT170" s="9"/>
      <c r="OU170" s="9"/>
      <c r="OV170" s="9"/>
      <c r="OW170" s="9"/>
      <c r="OX170" s="9"/>
      <c r="OY170" s="9"/>
      <c r="OZ170" s="9"/>
      <c r="PA170" s="9"/>
      <c r="PB170" s="9"/>
      <c r="PC170" s="9"/>
      <c r="PD170" s="9"/>
      <c r="PE170" s="9"/>
      <c r="PF170" s="9"/>
      <c r="PG170" s="9"/>
      <c r="PH170" s="9"/>
      <c r="PI170" s="9"/>
      <c r="PJ170" s="9"/>
      <c r="PK170" s="9"/>
      <c r="PL170" s="9"/>
      <c r="PM170" s="9"/>
      <c r="PN170" s="9"/>
      <c r="PO170" s="9"/>
      <c r="PP170" s="9"/>
      <c r="PQ170" s="9"/>
      <c r="PR170" s="9"/>
      <c r="PS170" s="9"/>
      <c r="PT170" s="9"/>
      <c r="PU170" s="9"/>
      <c r="PV170" s="9"/>
      <c r="PW170" s="9"/>
      <c r="PX170" s="9"/>
      <c r="PY170" s="9"/>
      <c r="PZ170" s="9"/>
      <c r="QA170" s="9"/>
      <c r="QB170" s="9"/>
      <c r="QC170" s="9"/>
      <c r="QD170" s="9"/>
      <c r="QE170" s="9"/>
      <c r="QF170" s="9"/>
      <c r="QG170" s="9"/>
      <c r="QH170" s="9"/>
      <c r="QI170" s="9"/>
      <c r="QJ170" s="9"/>
      <c r="QK170" s="9"/>
      <c r="QL170" s="9"/>
      <c r="QM170" s="9"/>
      <c r="QN170" s="9"/>
      <c r="QO170" s="9"/>
      <c r="QP170" s="9"/>
      <c r="QQ170" s="9"/>
      <c r="QR170" s="9"/>
      <c r="QS170" s="9"/>
      <c r="QT170" s="9"/>
      <c r="QU170" s="9"/>
      <c r="QV170" s="9"/>
      <c r="QW170" s="9"/>
      <c r="QX170" s="9"/>
      <c r="QY170" s="9"/>
      <c r="QZ170" s="9"/>
      <c r="RA170" s="9"/>
      <c r="RB170" s="9"/>
      <c r="RC170" s="9"/>
      <c r="RD170" s="9"/>
      <c r="RE170" s="9"/>
      <c r="RF170" s="9"/>
      <c r="RG170" s="9"/>
      <c r="RH170" s="9"/>
      <c r="RI170" s="9"/>
      <c r="RJ170" s="9"/>
      <c r="RK170" s="9"/>
      <c r="RL170" s="9"/>
      <c r="RM170" s="9"/>
      <c r="RN170" s="9"/>
      <c r="RO170" s="9"/>
      <c r="RP170" s="9"/>
      <c r="RQ170" s="9"/>
      <c r="RR170" s="9"/>
      <c r="RS170" s="9"/>
      <c r="RT170" s="9"/>
      <c r="RU170" s="9"/>
      <c r="RV170" s="9"/>
      <c r="RW170" s="9"/>
      <c r="RX170" s="9"/>
      <c r="RY170" s="9"/>
      <c r="RZ170" s="9"/>
      <c r="SA170" s="9"/>
      <c r="SB170" s="9"/>
      <c r="SC170" s="9"/>
      <c r="SD170" s="9"/>
      <c r="SE170" s="9"/>
      <c r="SF170" s="9"/>
      <c r="SG170" s="9"/>
      <c r="SH170" s="9"/>
      <c r="SI170" s="9"/>
      <c r="SJ170" s="9"/>
      <c r="SK170" s="8"/>
      <c r="SL170" s="8"/>
      <c r="SM170" s="8"/>
      <c r="SN170" s="8"/>
      <c r="SO170" s="8"/>
      <c r="SP170" s="8"/>
      <c r="SQ170" s="8"/>
      <c r="SR170" s="8"/>
      <c r="SS170" s="8"/>
      <c r="ST170" s="8"/>
      <c r="SU170" s="8"/>
      <c r="SV170" s="8"/>
      <c r="SW170" s="8"/>
      <c r="SX170" s="8"/>
      <c r="SY170" s="8"/>
      <c r="SZ170" s="8"/>
      <c r="TA170" s="8"/>
      <c r="TB170" s="8"/>
      <c r="TC170" s="8"/>
      <c r="TD170" s="8"/>
      <c r="TE170" s="8"/>
      <c r="TF170" s="8"/>
      <c r="TG170" s="8"/>
      <c r="TH170" s="8"/>
      <c r="TI170" s="8"/>
      <c r="TJ170" s="8"/>
      <c r="TK170" s="8"/>
      <c r="TL170" s="8"/>
      <c r="TM170" s="8"/>
      <c r="TN170" s="8"/>
      <c r="TO170" s="8"/>
    </row>
    <row r="171" spans="1:535" x14ac:dyDescent="0.2">
      <c r="A171" s="7"/>
      <c r="B171" s="7"/>
      <c r="C171" s="9"/>
      <c r="D171" s="8"/>
      <c r="E171" s="8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  <c r="DJ171" s="9"/>
      <c r="DK171" s="9"/>
      <c r="DL171" s="9"/>
      <c r="DM171" s="9"/>
      <c r="DN171" s="9"/>
      <c r="DO171" s="9"/>
      <c r="DP171" s="9"/>
      <c r="DQ171" s="9"/>
      <c r="DR171" s="9"/>
      <c r="DS171" s="9"/>
      <c r="DT171" s="9"/>
      <c r="DU171" s="9"/>
      <c r="DV171" s="9"/>
      <c r="DW171" s="9"/>
      <c r="DX171" s="9"/>
      <c r="DY171" s="9"/>
      <c r="DZ171" s="9"/>
      <c r="EA171" s="9"/>
      <c r="EB171" s="9"/>
      <c r="EC171" s="9"/>
      <c r="ED171" s="9"/>
      <c r="EE171" s="9"/>
      <c r="EF171" s="9"/>
      <c r="EG171" s="9"/>
      <c r="EH171" s="9"/>
      <c r="EI171" s="9"/>
      <c r="EJ171" s="9"/>
      <c r="EK171" s="9"/>
      <c r="EL171" s="9"/>
      <c r="EM171" s="9"/>
      <c r="EN171" s="9"/>
      <c r="EO171" s="9"/>
      <c r="EP171" s="9"/>
      <c r="EQ171" s="9"/>
      <c r="ER171" s="9"/>
      <c r="ES171" s="9"/>
      <c r="ET171" s="9"/>
      <c r="EU171" s="9"/>
      <c r="EV171" s="9"/>
      <c r="EW171" s="9"/>
      <c r="EX171" s="9"/>
      <c r="EY171" s="9"/>
      <c r="EZ171" s="9"/>
      <c r="FA171" s="9"/>
      <c r="FB171" s="9"/>
      <c r="FC171" s="9"/>
      <c r="FD171" s="9"/>
      <c r="FE171" s="9"/>
      <c r="FF171" s="9"/>
      <c r="FG171" s="9"/>
      <c r="FH171" s="9"/>
      <c r="FI171" s="9"/>
      <c r="FJ171" s="9"/>
      <c r="FK171" s="9"/>
      <c r="FL171" s="9"/>
      <c r="FM171" s="9"/>
      <c r="FN171" s="9"/>
      <c r="FO171" s="9"/>
      <c r="FP171" s="9"/>
      <c r="FQ171" s="9"/>
      <c r="FR171" s="9"/>
      <c r="FS171" s="9"/>
      <c r="FT171" s="9"/>
      <c r="FU171" s="9"/>
      <c r="FV171" s="9"/>
      <c r="FW171" s="9"/>
      <c r="FX171" s="9"/>
      <c r="FY171" s="9"/>
      <c r="FZ171" s="9"/>
      <c r="GA171" s="9"/>
      <c r="GB171" s="9"/>
      <c r="GC171" s="9"/>
      <c r="GD171" s="9"/>
      <c r="GE171" s="9"/>
      <c r="GF171" s="9"/>
      <c r="GG171" s="9"/>
      <c r="GH171" s="9"/>
      <c r="GI171" s="9"/>
      <c r="GJ171" s="9"/>
      <c r="GK171" s="9"/>
      <c r="GL171" s="9"/>
      <c r="GM171" s="9"/>
      <c r="GN171" s="9"/>
      <c r="GO171" s="9"/>
      <c r="GP171" s="9"/>
      <c r="GQ171" s="9"/>
      <c r="GR171" s="9"/>
      <c r="GS171" s="9"/>
      <c r="GT171" s="9"/>
      <c r="GU171" s="9"/>
      <c r="GV171" s="9"/>
      <c r="GW171" s="9"/>
      <c r="GX171" s="9"/>
      <c r="GY171" s="9"/>
      <c r="GZ171" s="9"/>
      <c r="HA171" s="9"/>
      <c r="HB171" s="9"/>
      <c r="HC171" s="9"/>
      <c r="HD171" s="9"/>
      <c r="HE171" s="9"/>
      <c r="HF171" s="9"/>
      <c r="HG171" s="9"/>
      <c r="HH171" s="9"/>
      <c r="HI171" s="9"/>
      <c r="HJ171" s="9"/>
      <c r="HK171" s="9"/>
      <c r="HL171" s="9"/>
      <c r="HM171" s="9"/>
      <c r="HN171" s="9"/>
      <c r="HO171" s="9"/>
      <c r="HP171" s="9"/>
      <c r="HQ171" s="9"/>
      <c r="HR171" s="9"/>
      <c r="HS171" s="9"/>
      <c r="HT171" s="9"/>
      <c r="HU171" s="9"/>
      <c r="HV171" s="9"/>
      <c r="HW171" s="9"/>
      <c r="HX171" s="9"/>
      <c r="HY171" s="9"/>
      <c r="HZ171" s="9"/>
      <c r="IA171" s="9"/>
      <c r="IB171" s="9"/>
      <c r="IC171" s="9"/>
      <c r="ID171" s="9"/>
      <c r="IE171" s="9"/>
      <c r="IF171" s="9"/>
      <c r="IG171" s="9"/>
      <c r="IH171" s="9"/>
      <c r="II171" s="9"/>
      <c r="IJ171" s="9"/>
      <c r="IK171" s="9"/>
      <c r="IL171" s="9"/>
      <c r="IM171" s="9"/>
      <c r="IN171" s="9"/>
      <c r="IO171" s="9"/>
      <c r="IP171" s="9"/>
      <c r="IQ171" s="9"/>
      <c r="IR171" s="9"/>
      <c r="IS171" s="9"/>
      <c r="IT171" s="9"/>
      <c r="IU171" s="9"/>
      <c r="IV171" s="9"/>
      <c r="IW171" s="9"/>
      <c r="IX171" s="9"/>
      <c r="IY171" s="9"/>
      <c r="IZ171" s="9"/>
      <c r="JA171" s="9"/>
      <c r="JB171" s="9"/>
      <c r="JC171" s="9"/>
      <c r="JD171" s="9"/>
      <c r="JE171" s="9"/>
      <c r="JF171" s="9"/>
      <c r="JG171" s="9"/>
      <c r="JH171" s="9"/>
      <c r="JI171" s="9"/>
      <c r="JJ171" s="9"/>
      <c r="JK171" s="9"/>
      <c r="JL171" s="9"/>
      <c r="JM171" s="9"/>
      <c r="JN171" s="9"/>
      <c r="JO171" s="9"/>
      <c r="JP171" s="9"/>
      <c r="JQ171" s="9"/>
      <c r="JR171" s="9"/>
      <c r="JS171" s="9"/>
      <c r="JT171" s="9"/>
      <c r="JU171" s="9"/>
      <c r="JV171" s="9"/>
      <c r="JW171" s="9"/>
      <c r="JX171" s="9"/>
      <c r="JY171" s="9"/>
      <c r="JZ171" s="9"/>
      <c r="KA171" s="9"/>
      <c r="KB171" s="9"/>
      <c r="KC171" s="9"/>
      <c r="KD171" s="9"/>
      <c r="KE171" s="9"/>
      <c r="KF171" s="9"/>
      <c r="KG171" s="9"/>
      <c r="KH171" s="9"/>
      <c r="KI171" s="9"/>
      <c r="KJ171" s="9"/>
      <c r="KK171" s="9"/>
      <c r="KL171" s="9"/>
      <c r="KM171" s="9"/>
      <c r="KN171" s="9"/>
      <c r="KO171" s="9"/>
      <c r="KP171" s="9"/>
      <c r="KQ171" s="9"/>
      <c r="KR171" s="9"/>
      <c r="KS171" s="9"/>
      <c r="KT171" s="9"/>
      <c r="KU171" s="9"/>
      <c r="KV171" s="9"/>
      <c r="KW171" s="9"/>
      <c r="KX171" s="9"/>
      <c r="KY171" s="9"/>
      <c r="KZ171" s="9"/>
      <c r="LA171" s="9"/>
      <c r="LB171" s="9"/>
      <c r="LC171" s="9"/>
      <c r="LD171" s="9"/>
      <c r="LE171" s="9"/>
      <c r="LF171" s="9"/>
      <c r="LG171" s="9"/>
      <c r="LH171" s="9"/>
      <c r="LI171" s="9"/>
      <c r="LJ171" s="9"/>
      <c r="LK171" s="9"/>
      <c r="LL171" s="9"/>
      <c r="LM171" s="9"/>
      <c r="LN171" s="9"/>
      <c r="LO171" s="9"/>
      <c r="LP171" s="9"/>
      <c r="LQ171" s="9"/>
      <c r="LR171" s="9"/>
      <c r="LS171" s="9"/>
      <c r="LT171" s="9"/>
      <c r="LU171" s="9"/>
      <c r="LV171" s="9"/>
      <c r="LW171" s="9"/>
      <c r="LX171" s="9"/>
      <c r="LY171" s="9"/>
      <c r="LZ171" s="9"/>
      <c r="MA171" s="9"/>
      <c r="MB171" s="9"/>
      <c r="MC171" s="9"/>
      <c r="MD171" s="9"/>
      <c r="ME171" s="9"/>
      <c r="MF171" s="9"/>
      <c r="MG171" s="9"/>
      <c r="MH171" s="9"/>
      <c r="MI171" s="9"/>
      <c r="MJ171" s="9"/>
      <c r="MK171" s="9"/>
      <c r="ML171" s="9"/>
      <c r="MM171" s="9"/>
      <c r="MN171" s="9"/>
      <c r="MO171" s="9"/>
      <c r="MP171" s="9"/>
      <c r="MQ171" s="9"/>
      <c r="MR171" s="9"/>
      <c r="MS171" s="9"/>
      <c r="MT171" s="9"/>
      <c r="MU171" s="9"/>
      <c r="MV171" s="9"/>
      <c r="MW171" s="9"/>
      <c r="MX171" s="9"/>
      <c r="MY171" s="9"/>
      <c r="MZ171" s="9"/>
      <c r="NA171" s="9"/>
      <c r="NB171" s="9"/>
      <c r="NC171" s="9"/>
      <c r="ND171" s="9"/>
      <c r="NE171" s="9"/>
      <c r="NF171" s="9"/>
      <c r="NG171" s="9"/>
      <c r="NH171" s="9"/>
      <c r="NI171" s="9"/>
      <c r="NJ171" s="9"/>
      <c r="NK171" s="9"/>
      <c r="NL171" s="9"/>
      <c r="NM171" s="9"/>
      <c r="NN171" s="9"/>
      <c r="NO171" s="9"/>
      <c r="NP171" s="9"/>
      <c r="NQ171" s="9"/>
      <c r="NR171" s="9"/>
      <c r="NS171" s="9"/>
      <c r="NT171" s="9"/>
      <c r="NU171" s="9"/>
      <c r="NV171" s="9"/>
      <c r="NW171" s="9"/>
      <c r="NX171" s="9"/>
      <c r="NY171" s="9"/>
      <c r="NZ171" s="9"/>
      <c r="OA171" s="9"/>
      <c r="OB171" s="9"/>
      <c r="OC171" s="9"/>
      <c r="OD171" s="9"/>
      <c r="OE171" s="9"/>
      <c r="OF171" s="9"/>
      <c r="OG171" s="9"/>
      <c r="OH171" s="9"/>
      <c r="OI171" s="9"/>
      <c r="OJ171" s="9"/>
      <c r="OK171" s="9"/>
      <c r="OL171" s="9"/>
      <c r="OM171" s="9"/>
      <c r="ON171" s="9"/>
      <c r="OO171" s="9"/>
      <c r="OP171" s="9"/>
      <c r="OQ171" s="9"/>
      <c r="OR171" s="9"/>
      <c r="OS171" s="9"/>
      <c r="OT171" s="9"/>
      <c r="OU171" s="9"/>
      <c r="OV171" s="9"/>
      <c r="OW171" s="9"/>
      <c r="OX171" s="9"/>
      <c r="OY171" s="9"/>
      <c r="OZ171" s="9"/>
      <c r="PA171" s="9"/>
      <c r="PB171" s="9"/>
      <c r="PC171" s="9"/>
      <c r="PD171" s="9"/>
      <c r="PE171" s="9"/>
      <c r="PF171" s="9"/>
      <c r="PG171" s="9"/>
      <c r="PH171" s="9"/>
      <c r="PI171" s="9"/>
      <c r="PJ171" s="9"/>
      <c r="PK171" s="9"/>
      <c r="PL171" s="9"/>
      <c r="PM171" s="9"/>
      <c r="PN171" s="9"/>
      <c r="PO171" s="9"/>
      <c r="PP171" s="9"/>
      <c r="PQ171" s="9"/>
      <c r="PR171" s="9"/>
      <c r="PS171" s="9"/>
      <c r="PT171" s="9"/>
      <c r="PU171" s="9"/>
      <c r="PV171" s="9"/>
      <c r="PW171" s="9"/>
      <c r="PX171" s="9"/>
      <c r="PY171" s="9"/>
      <c r="PZ171" s="9"/>
      <c r="QA171" s="9"/>
      <c r="QB171" s="9"/>
      <c r="QC171" s="9"/>
      <c r="QD171" s="9"/>
      <c r="QE171" s="9"/>
      <c r="QF171" s="9"/>
      <c r="QG171" s="9"/>
      <c r="QH171" s="9"/>
      <c r="QI171" s="9"/>
      <c r="QJ171" s="9"/>
      <c r="QK171" s="9"/>
      <c r="QL171" s="9"/>
      <c r="QM171" s="9"/>
      <c r="QN171" s="9"/>
      <c r="QO171" s="9"/>
      <c r="QP171" s="9"/>
      <c r="QQ171" s="9"/>
      <c r="QR171" s="9"/>
      <c r="QS171" s="9"/>
      <c r="QT171" s="9"/>
      <c r="QU171" s="9"/>
      <c r="QV171" s="9"/>
      <c r="QW171" s="9"/>
      <c r="QX171" s="9"/>
      <c r="QY171" s="9"/>
      <c r="QZ171" s="9"/>
      <c r="RA171" s="9"/>
      <c r="RB171" s="9"/>
      <c r="RC171" s="9"/>
      <c r="RD171" s="9"/>
      <c r="RE171" s="9"/>
      <c r="RF171" s="9"/>
      <c r="RG171" s="9"/>
      <c r="RH171" s="9"/>
      <c r="RI171" s="9"/>
      <c r="RJ171" s="9"/>
      <c r="RK171" s="9"/>
      <c r="RL171" s="9"/>
      <c r="RM171" s="9"/>
      <c r="RN171" s="9"/>
      <c r="RO171" s="9"/>
      <c r="RP171" s="9"/>
      <c r="RQ171" s="9"/>
      <c r="RR171" s="9"/>
      <c r="RS171" s="9"/>
      <c r="RT171" s="9"/>
      <c r="RU171" s="9"/>
      <c r="RV171" s="9"/>
      <c r="RW171" s="9"/>
      <c r="RX171" s="9"/>
      <c r="RY171" s="9"/>
      <c r="RZ171" s="9"/>
      <c r="SA171" s="9"/>
      <c r="SB171" s="9"/>
      <c r="SC171" s="9"/>
      <c r="SD171" s="9"/>
      <c r="SE171" s="9"/>
      <c r="SF171" s="9"/>
      <c r="SG171" s="9"/>
      <c r="SH171" s="9"/>
      <c r="SI171" s="9"/>
      <c r="SJ171" s="9"/>
      <c r="SK171" s="8"/>
      <c r="SL171" s="8"/>
      <c r="SM171" s="8"/>
      <c r="SN171" s="8"/>
      <c r="SO171" s="8"/>
      <c r="SP171" s="8"/>
      <c r="SQ171" s="8"/>
      <c r="SR171" s="8"/>
      <c r="SS171" s="8"/>
      <c r="ST171" s="8"/>
      <c r="SU171" s="8"/>
      <c r="SV171" s="8"/>
      <c r="SW171" s="8"/>
      <c r="SX171" s="8"/>
      <c r="SY171" s="8"/>
      <c r="SZ171" s="8"/>
      <c r="TA171" s="8"/>
      <c r="TB171" s="8"/>
      <c r="TC171" s="8"/>
      <c r="TD171" s="8"/>
      <c r="TE171" s="8"/>
      <c r="TF171" s="8"/>
      <c r="TG171" s="8"/>
      <c r="TH171" s="8"/>
      <c r="TI171" s="8"/>
      <c r="TJ171" s="8"/>
      <c r="TK171" s="8"/>
      <c r="TL171" s="8"/>
      <c r="TM171" s="8"/>
      <c r="TN171" s="8"/>
      <c r="TO171" s="8"/>
    </row>
    <row r="172" spans="1:535" x14ac:dyDescent="0.2">
      <c r="A172" s="7"/>
      <c r="B172" s="7"/>
      <c r="C172" s="9"/>
      <c r="D172" s="8"/>
      <c r="E172" s="8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9"/>
      <c r="CK172" s="9"/>
      <c r="CL172" s="9"/>
      <c r="CM172" s="9"/>
      <c r="CN172" s="9"/>
      <c r="CO172" s="9"/>
      <c r="CP172" s="9"/>
      <c r="CQ172" s="9"/>
      <c r="CR172" s="9"/>
      <c r="CS172" s="9"/>
      <c r="CT172" s="9"/>
      <c r="CU172" s="9"/>
      <c r="CV172" s="9"/>
      <c r="CW172" s="9"/>
      <c r="CX172" s="9"/>
      <c r="CY172" s="9"/>
      <c r="CZ172" s="9"/>
      <c r="DA172" s="9"/>
      <c r="DB172" s="9"/>
      <c r="DC172" s="9"/>
      <c r="DD172" s="9"/>
      <c r="DE172" s="9"/>
      <c r="DF172" s="9"/>
      <c r="DG172" s="9"/>
      <c r="DH172" s="9"/>
      <c r="DI172" s="9"/>
      <c r="DJ172" s="9"/>
      <c r="DK172" s="9"/>
      <c r="DL172" s="9"/>
      <c r="DM172" s="9"/>
      <c r="DN172" s="9"/>
      <c r="DO172" s="9"/>
      <c r="DP172" s="9"/>
      <c r="DQ172" s="9"/>
      <c r="DR172" s="9"/>
      <c r="DS172" s="9"/>
      <c r="DT172" s="9"/>
      <c r="DU172" s="9"/>
      <c r="DV172" s="9"/>
      <c r="DW172" s="9"/>
      <c r="DX172" s="9"/>
      <c r="DY172" s="9"/>
      <c r="DZ172" s="9"/>
      <c r="EA172" s="9"/>
      <c r="EB172" s="9"/>
      <c r="EC172" s="9"/>
      <c r="ED172" s="9"/>
      <c r="EE172" s="9"/>
      <c r="EF172" s="9"/>
      <c r="EG172" s="9"/>
      <c r="EH172" s="9"/>
      <c r="EI172" s="9"/>
      <c r="EJ172" s="9"/>
      <c r="EK172" s="9"/>
      <c r="EL172" s="9"/>
      <c r="EM172" s="9"/>
      <c r="EN172" s="9"/>
      <c r="EO172" s="9"/>
      <c r="EP172" s="9"/>
      <c r="EQ172" s="9"/>
      <c r="ER172" s="9"/>
      <c r="ES172" s="9"/>
      <c r="ET172" s="9"/>
      <c r="EU172" s="9"/>
      <c r="EV172" s="9"/>
      <c r="EW172" s="9"/>
      <c r="EX172" s="9"/>
      <c r="EY172" s="9"/>
      <c r="EZ172" s="9"/>
      <c r="FA172" s="9"/>
      <c r="FB172" s="9"/>
      <c r="FC172" s="9"/>
      <c r="FD172" s="9"/>
      <c r="FE172" s="9"/>
      <c r="FF172" s="9"/>
      <c r="FG172" s="9"/>
      <c r="FH172" s="9"/>
      <c r="FI172" s="9"/>
      <c r="FJ172" s="9"/>
      <c r="FK172" s="9"/>
      <c r="FL172" s="9"/>
      <c r="FM172" s="9"/>
      <c r="FN172" s="9"/>
      <c r="FO172" s="9"/>
      <c r="FP172" s="9"/>
      <c r="FQ172" s="9"/>
      <c r="FR172" s="9"/>
      <c r="FS172" s="9"/>
      <c r="FT172" s="9"/>
      <c r="FU172" s="9"/>
      <c r="FV172" s="9"/>
      <c r="FW172" s="9"/>
      <c r="FX172" s="9"/>
      <c r="FY172" s="9"/>
      <c r="FZ172" s="9"/>
      <c r="GA172" s="9"/>
      <c r="GB172" s="9"/>
      <c r="GC172" s="9"/>
      <c r="GD172" s="9"/>
      <c r="GE172" s="9"/>
      <c r="GF172" s="9"/>
      <c r="GG172" s="9"/>
      <c r="GH172" s="9"/>
      <c r="GI172" s="9"/>
      <c r="GJ172" s="9"/>
      <c r="GK172" s="9"/>
      <c r="GL172" s="9"/>
      <c r="GM172" s="9"/>
      <c r="GN172" s="9"/>
      <c r="GO172" s="9"/>
      <c r="GP172" s="9"/>
      <c r="GQ172" s="9"/>
      <c r="GR172" s="9"/>
      <c r="GS172" s="9"/>
      <c r="GT172" s="9"/>
      <c r="GU172" s="9"/>
      <c r="GV172" s="9"/>
      <c r="GW172" s="9"/>
      <c r="GX172" s="9"/>
      <c r="GY172" s="9"/>
      <c r="GZ172" s="9"/>
      <c r="HA172" s="9"/>
      <c r="HB172" s="9"/>
      <c r="HC172" s="9"/>
      <c r="HD172" s="9"/>
      <c r="HE172" s="9"/>
      <c r="HF172" s="9"/>
      <c r="HG172" s="9"/>
      <c r="HH172" s="9"/>
      <c r="HI172" s="9"/>
      <c r="HJ172" s="9"/>
      <c r="HK172" s="9"/>
      <c r="HL172" s="9"/>
      <c r="HM172" s="9"/>
      <c r="HN172" s="9"/>
      <c r="HO172" s="9"/>
      <c r="HP172" s="9"/>
      <c r="HQ172" s="9"/>
      <c r="HR172" s="9"/>
      <c r="HS172" s="9"/>
      <c r="HT172" s="9"/>
      <c r="HU172" s="9"/>
      <c r="HV172" s="9"/>
      <c r="HW172" s="9"/>
      <c r="HX172" s="9"/>
      <c r="HY172" s="9"/>
      <c r="HZ172" s="9"/>
      <c r="IA172" s="9"/>
      <c r="IB172" s="9"/>
      <c r="IC172" s="9"/>
      <c r="ID172" s="9"/>
      <c r="IE172" s="9"/>
      <c r="IF172" s="9"/>
      <c r="IG172" s="9"/>
      <c r="IH172" s="9"/>
      <c r="II172" s="9"/>
      <c r="IJ172" s="9"/>
      <c r="IK172" s="9"/>
      <c r="IL172" s="9"/>
      <c r="IM172" s="9"/>
      <c r="IN172" s="9"/>
      <c r="IO172" s="9"/>
      <c r="IP172" s="9"/>
      <c r="IQ172" s="9"/>
      <c r="IR172" s="9"/>
      <c r="IS172" s="9"/>
      <c r="IT172" s="9"/>
      <c r="IU172" s="9"/>
      <c r="IV172" s="9"/>
      <c r="IW172" s="9"/>
      <c r="IX172" s="9"/>
      <c r="IY172" s="9"/>
      <c r="IZ172" s="9"/>
      <c r="JA172" s="9"/>
      <c r="JB172" s="9"/>
      <c r="JC172" s="9"/>
      <c r="JD172" s="9"/>
      <c r="JE172" s="9"/>
      <c r="JF172" s="9"/>
      <c r="JG172" s="9"/>
      <c r="JH172" s="9"/>
      <c r="JI172" s="9"/>
      <c r="JJ172" s="9"/>
      <c r="JK172" s="9"/>
      <c r="JL172" s="9"/>
      <c r="JM172" s="9"/>
      <c r="JN172" s="9"/>
      <c r="JO172" s="9"/>
      <c r="JP172" s="9"/>
      <c r="JQ172" s="9"/>
      <c r="JR172" s="9"/>
      <c r="JS172" s="9"/>
      <c r="JT172" s="9"/>
      <c r="JU172" s="9"/>
      <c r="JV172" s="9"/>
      <c r="JW172" s="9"/>
      <c r="JX172" s="9"/>
      <c r="JY172" s="9"/>
      <c r="JZ172" s="9"/>
      <c r="KA172" s="9"/>
      <c r="KB172" s="9"/>
      <c r="KC172" s="9"/>
      <c r="KD172" s="9"/>
      <c r="KE172" s="9"/>
      <c r="KF172" s="9"/>
      <c r="KG172" s="9"/>
      <c r="KH172" s="9"/>
      <c r="KI172" s="9"/>
      <c r="KJ172" s="9"/>
      <c r="KK172" s="9"/>
      <c r="KL172" s="9"/>
      <c r="KM172" s="9"/>
      <c r="KN172" s="9"/>
      <c r="KO172" s="9"/>
      <c r="KP172" s="9"/>
      <c r="KQ172" s="9"/>
      <c r="KR172" s="9"/>
      <c r="KS172" s="9"/>
      <c r="KT172" s="9"/>
      <c r="KU172" s="9"/>
      <c r="KV172" s="9"/>
      <c r="KW172" s="9"/>
      <c r="KX172" s="9"/>
      <c r="KY172" s="9"/>
      <c r="KZ172" s="9"/>
      <c r="LA172" s="9"/>
      <c r="LB172" s="9"/>
      <c r="LC172" s="9"/>
      <c r="LD172" s="9"/>
      <c r="LE172" s="9"/>
      <c r="LF172" s="9"/>
      <c r="LG172" s="9"/>
      <c r="LH172" s="9"/>
      <c r="LI172" s="9"/>
      <c r="LJ172" s="9"/>
      <c r="LK172" s="9"/>
      <c r="LL172" s="9"/>
      <c r="LM172" s="9"/>
      <c r="LN172" s="9"/>
      <c r="LO172" s="9"/>
      <c r="LP172" s="9"/>
      <c r="LQ172" s="9"/>
      <c r="LR172" s="9"/>
      <c r="LS172" s="9"/>
      <c r="LT172" s="9"/>
      <c r="LU172" s="9"/>
      <c r="LV172" s="9"/>
      <c r="LW172" s="9"/>
      <c r="LX172" s="9"/>
      <c r="LY172" s="9"/>
      <c r="LZ172" s="9"/>
      <c r="MA172" s="9"/>
      <c r="MB172" s="9"/>
      <c r="MC172" s="9"/>
      <c r="MD172" s="9"/>
      <c r="ME172" s="9"/>
      <c r="MF172" s="9"/>
      <c r="MG172" s="9"/>
      <c r="MH172" s="9"/>
      <c r="MI172" s="9"/>
      <c r="MJ172" s="9"/>
      <c r="MK172" s="9"/>
      <c r="ML172" s="9"/>
      <c r="MM172" s="9"/>
      <c r="MN172" s="9"/>
      <c r="MO172" s="9"/>
      <c r="MP172" s="9"/>
      <c r="MQ172" s="9"/>
      <c r="MR172" s="9"/>
      <c r="MS172" s="9"/>
      <c r="MT172" s="9"/>
      <c r="MU172" s="9"/>
      <c r="MV172" s="9"/>
      <c r="MW172" s="9"/>
      <c r="MX172" s="9"/>
      <c r="MY172" s="9"/>
      <c r="MZ172" s="9"/>
      <c r="NA172" s="9"/>
      <c r="NB172" s="9"/>
      <c r="NC172" s="9"/>
      <c r="ND172" s="9"/>
      <c r="NE172" s="9"/>
      <c r="NF172" s="9"/>
      <c r="NG172" s="9"/>
      <c r="NH172" s="9"/>
      <c r="NI172" s="9"/>
      <c r="NJ172" s="9"/>
      <c r="NK172" s="9"/>
      <c r="NL172" s="9"/>
      <c r="NM172" s="9"/>
      <c r="NN172" s="9"/>
      <c r="NO172" s="9"/>
      <c r="NP172" s="9"/>
      <c r="NQ172" s="9"/>
      <c r="NR172" s="9"/>
      <c r="NS172" s="9"/>
      <c r="NT172" s="9"/>
      <c r="NU172" s="9"/>
      <c r="NV172" s="9"/>
      <c r="NW172" s="9"/>
      <c r="NX172" s="9"/>
      <c r="NY172" s="9"/>
      <c r="NZ172" s="9"/>
      <c r="OA172" s="9"/>
      <c r="OB172" s="9"/>
      <c r="OC172" s="9"/>
      <c r="OD172" s="9"/>
      <c r="OE172" s="9"/>
      <c r="OF172" s="9"/>
      <c r="OG172" s="9"/>
      <c r="OH172" s="9"/>
      <c r="OI172" s="9"/>
      <c r="OJ172" s="9"/>
      <c r="OK172" s="9"/>
      <c r="OL172" s="9"/>
      <c r="OM172" s="9"/>
      <c r="ON172" s="9"/>
      <c r="OO172" s="9"/>
      <c r="OP172" s="9"/>
      <c r="OQ172" s="9"/>
      <c r="OR172" s="9"/>
      <c r="OS172" s="9"/>
      <c r="OT172" s="9"/>
      <c r="OU172" s="9"/>
      <c r="OV172" s="9"/>
      <c r="OW172" s="9"/>
      <c r="OX172" s="9"/>
      <c r="OY172" s="9"/>
      <c r="OZ172" s="9"/>
      <c r="PA172" s="9"/>
      <c r="PB172" s="9"/>
      <c r="PC172" s="9"/>
      <c r="PD172" s="9"/>
      <c r="PE172" s="9"/>
      <c r="PF172" s="9"/>
      <c r="PG172" s="9"/>
      <c r="PH172" s="9"/>
      <c r="PI172" s="9"/>
      <c r="PJ172" s="9"/>
      <c r="PK172" s="9"/>
      <c r="PL172" s="9"/>
      <c r="PM172" s="9"/>
      <c r="PN172" s="9"/>
      <c r="PO172" s="9"/>
      <c r="PP172" s="9"/>
      <c r="PQ172" s="9"/>
      <c r="PR172" s="9"/>
      <c r="PS172" s="9"/>
      <c r="PT172" s="9"/>
      <c r="PU172" s="9"/>
      <c r="PV172" s="9"/>
      <c r="PW172" s="9"/>
      <c r="PX172" s="9"/>
      <c r="PY172" s="9"/>
      <c r="PZ172" s="9"/>
      <c r="QA172" s="9"/>
      <c r="QB172" s="9"/>
      <c r="QC172" s="9"/>
      <c r="QD172" s="9"/>
      <c r="QE172" s="9"/>
      <c r="QF172" s="9"/>
      <c r="QG172" s="9"/>
      <c r="QH172" s="9"/>
      <c r="QI172" s="9"/>
      <c r="QJ172" s="9"/>
      <c r="QK172" s="9"/>
      <c r="QL172" s="9"/>
      <c r="QM172" s="9"/>
      <c r="QN172" s="9"/>
      <c r="QO172" s="9"/>
      <c r="QP172" s="9"/>
      <c r="QQ172" s="9"/>
      <c r="QR172" s="9"/>
      <c r="QS172" s="9"/>
      <c r="QT172" s="9"/>
      <c r="QU172" s="9"/>
      <c r="QV172" s="9"/>
      <c r="QW172" s="9"/>
      <c r="QX172" s="9"/>
      <c r="QY172" s="9"/>
      <c r="QZ172" s="9"/>
      <c r="RA172" s="9"/>
      <c r="RB172" s="9"/>
      <c r="RC172" s="9"/>
      <c r="RD172" s="9"/>
      <c r="RE172" s="9"/>
      <c r="RF172" s="9"/>
      <c r="RG172" s="9"/>
      <c r="RH172" s="9"/>
      <c r="RI172" s="9"/>
      <c r="RJ172" s="9"/>
      <c r="RK172" s="9"/>
      <c r="RL172" s="9"/>
      <c r="RM172" s="9"/>
      <c r="RN172" s="9"/>
      <c r="RO172" s="9"/>
      <c r="RP172" s="9"/>
      <c r="RQ172" s="9"/>
      <c r="RR172" s="9"/>
      <c r="RS172" s="9"/>
      <c r="RT172" s="9"/>
      <c r="RU172" s="9"/>
      <c r="RV172" s="9"/>
      <c r="RW172" s="9"/>
      <c r="RX172" s="9"/>
      <c r="RY172" s="9"/>
      <c r="RZ172" s="9"/>
      <c r="SA172" s="9"/>
      <c r="SB172" s="9"/>
      <c r="SC172" s="9"/>
      <c r="SD172" s="9"/>
      <c r="SE172" s="9"/>
      <c r="SF172" s="9"/>
      <c r="SG172" s="9"/>
      <c r="SH172" s="9"/>
      <c r="SI172" s="9"/>
      <c r="SJ172" s="9"/>
      <c r="SK172" s="8"/>
      <c r="SL172" s="8"/>
      <c r="SM172" s="8"/>
      <c r="SN172" s="8"/>
      <c r="SO172" s="8"/>
      <c r="SP172" s="8"/>
      <c r="SQ172" s="8"/>
      <c r="SR172" s="8"/>
      <c r="SS172" s="8"/>
      <c r="ST172" s="8"/>
      <c r="SU172" s="8"/>
      <c r="SV172" s="8"/>
      <c r="SW172" s="8"/>
      <c r="SX172" s="8"/>
      <c r="SY172" s="8"/>
      <c r="SZ172" s="8"/>
      <c r="TA172" s="8"/>
      <c r="TB172" s="8"/>
      <c r="TC172" s="8"/>
      <c r="TD172" s="8"/>
      <c r="TE172" s="8"/>
      <c r="TF172" s="8"/>
      <c r="TG172" s="8"/>
      <c r="TH172" s="8"/>
      <c r="TI172" s="8"/>
      <c r="TJ172" s="8"/>
      <c r="TK172" s="8"/>
      <c r="TL172" s="8"/>
      <c r="TM172" s="8"/>
      <c r="TN172" s="8"/>
      <c r="TO172" s="8"/>
    </row>
    <row r="173" spans="1:535" x14ac:dyDescent="0.2">
      <c r="A173" s="7"/>
      <c r="B173" s="7"/>
      <c r="C173" s="9"/>
      <c r="D173" s="8"/>
      <c r="E173" s="8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9"/>
      <c r="CK173" s="9"/>
      <c r="CL173" s="9"/>
      <c r="CM173" s="9"/>
      <c r="CN173" s="9"/>
      <c r="CO173" s="9"/>
      <c r="CP173" s="9"/>
      <c r="CQ173" s="9"/>
      <c r="CR173" s="9"/>
      <c r="CS173" s="9"/>
      <c r="CT173" s="9"/>
      <c r="CU173" s="9"/>
      <c r="CV173" s="9"/>
      <c r="CW173" s="9"/>
      <c r="CX173" s="9"/>
      <c r="CY173" s="9"/>
      <c r="CZ173" s="9"/>
      <c r="DA173" s="9"/>
      <c r="DB173" s="9"/>
      <c r="DC173" s="9"/>
      <c r="DD173" s="9"/>
      <c r="DE173" s="9"/>
      <c r="DF173" s="9"/>
      <c r="DG173" s="9"/>
      <c r="DH173" s="9"/>
      <c r="DI173" s="9"/>
      <c r="DJ173" s="9"/>
      <c r="DK173" s="9"/>
      <c r="DL173" s="9"/>
      <c r="DM173" s="9"/>
      <c r="DN173" s="9"/>
      <c r="DO173" s="9"/>
      <c r="DP173" s="9"/>
      <c r="DQ173" s="9"/>
      <c r="DR173" s="9"/>
      <c r="DS173" s="9"/>
      <c r="DT173" s="9"/>
      <c r="DU173" s="9"/>
      <c r="DV173" s="9"/>
      <c r="DW173" s="9"/>
      <c r="DX173" s="9"/>
      <c r="DY173" s="9"/>
      <c r="DZ173" s="9"/>
      <c r="EA173" s="9"/>
      <c r="EB173" s="9"/>
      <c r="EC173" s="9"/>
      <c r="ED173" s="9"/>
      <c r="EE173" s="9"/>
      <c r="EF173" s="9"/>
      <c r="EG173" s="9"/>
      <c r="EH173" s="9"/>
      <c r="EI173" s="9"/>
      <c r="EJ173" s="9"/>
      <c r="EK173" s="9"/>
      <c r="EL173" s="9"/>
      <c r="EM173" s="9"/>
      <c r="EN173" s="9"/>
      <c r="EO173" s="9"/>
      <c r="EP173" s="9"/>
      <c r="EQ173" s="9"/>
      <c r="ER173" s="9"/>
      <c r="ES173" s="9"/>
      <c r="ET173" s="9"/>
      <c r="EU173" s="9"/>
      <c r="EV173" s="9"/>
      <c r="EW173" s="9"/>
      <c r="EX173" s="9"/>
      <c r="EY173" s="9"/>
      <c r="EZ173" s="9"/>
      <c r="FA173" s="9"/>
      <c r="FB173" s="9"/>
      <c r="FC173" s="9"/>
      <c r="FD173" s="9"/>
      <c r="FE173" s="9"/>
      <c r="FF173" s="9"/>
      <c r="FG173" s="9"/>
      <c r="FH173" s="9"/>
      <c r="FI173" s="9"/>
      <c r="FJ173" s="9"/>
      <c r="FK173" s="9"/>
      <c r="FL173" s="9"/>
      <c r="FM173" s="9"/>
      <c r="FN173" s="9"/>
      <c r="FO173" s="9"/>
      <c r="FP173" s="9"/>
      <c r="FQ173" s="9"/>
      <c r="FR173" s="9"/>
      <c r="FS173" s="9"/>
      <c r="FT173" s="9"/>
      <c r="FU173" s="9"/>
      <c r="FV173" s="9"/>
      <c r="FW173" s="9"/>
      <c r="FX173" s="9"/>
      <c r="FY173" s="9"/>
      <c r="FZ173" s="9"/>
      <c r="GA173" s="9"/>
      <c r="GB173" s="9"/>
      <c r="GC173" s="9"/>
      <c r="GD173" s="9"/>
      <c r="GE173" s="9"/>
      <c r="GF173" s="9"/>
      <c r="GG173" s="9"/>
      <c r="GH173" s="9"/>
      <c r="GI173" s="9"/>
      <c r="GJ173" s="9"/>
      <c r="GK173" s="9"/>
      <c r="GL173" s="9"/>
      <c r="GM173" s="9"/>
      <c r="GN173" s="9"/>
      <c r="GO173" s="9"/>
      <c r="GP173" s="9"/>
      <c r="GQ173" s="9"/>
      <c r="GR173" s="9"/>
      <c r="GS173" s="9"/>
      <c r="GT173" s="9"/>
      <c r="GU173" s="9"/>
      <c r="GV173" s="9"/>
      <c r="GW173" s="9"/>
      <c r="GX173" s="9"/>
      <c r="GY173" s="9"/>
      <c r="GZ173" s="9"/>
      <c r="HA173" s="9"/>
      <c r="HB173" s="9"/>
      <c r="HC173" s="9"/>
      <c r="HD173" s="9"/>
      <c r="HE173" s="9"/>
      <c r="HF173" s="9"/>
      <c r="HG173" s="9"/>
      <c r="HH173" s="9"/>
      <c r="HI173" s="9"/>
      <c r="HJ173" s="9"/>
      <c r="HK173" s="9"/>
      <c r="HL173" s="9"/>
      <c r="HM173" s="9"/>
      <c r="HN173" s="9"/>
      <c r="HO173" s="9"/>
      <c r="HP173" s="9"/>
      <c r="HQ173" s="9"/>
      <c r="HR173" s="9"/>
      <c r="HS173" s="9"/>
      <c r="HT173" s="9"/>
      <c r="HU173" s="9"/>
      <c r="HV173" s="9"/>
      <c r="HW173" s="9"/>
      <c r="HX173" s="9"/>
      <c r="HY173" s="9"/>
      <c r="HZ173" s="9"/>
      <c r="IA173" s="9"/>
      <c r="IB173" s="9"/>
      <c r="IC173" s="9"/>
      <c r="ID173" s="9"/>
      <c r="IE173" s="9"/>
      <c r="IF173" s="9"/>
      <c r="IG173" s="9"/>
      <c r="IH173" s="9"/>
      <c r="II173" s="9"/>
      <c r="IJ173" s="9"/>
      <c r="IK173" s="9"/>
      <c r="IL173" s="9"/>
      <c r="IM173" s="9"/>
      <c r="IN173" s="9"/>
      <c r="IO173" s="9"/>
      <c r="IP173" s="9"/>
      <c r="IQ173" s="9"/>
      <c r="IR173" s="9"/>
      <c r="IS173" s="9"/>
      <c r="IT173" s="9"/>
      <c r="IU173" s="9"/>
      <c r="IV173" s="9"/>
      <c r="IW173" s="9"/>
      <c r="IX173" s="9"/>
      <c r="IY173" s="9"/>
      <c r="IZ173" s="9"/>
      <c r="JA173" s="9"/>
      <c r="JB173" s="9"/>
      <c r="JC173" s="9"/>
      <c r="JD173" s="9"/>
      <c r="JE173" s="9"/>
      <c r="JF173" s="9"/>
      <c r="JG173" s="9"/>
      <c r="JH173" s="9"/>
      <c r="JI173" s="9"/>
      <c r="JJ173" s="9"/>
      <c r="JK173" s="9"/>
      <c r="JL173" s="9"/>
      <c r="JM173" s="9"/>
      <c r="JN173" s="9"/>
      <c r="JO173" s="9"/>
      <c r="JP173" s="9"/>
      <c r="JQ173" s="9"/>
      <c r="JR173" s="9"/>
      <c r="JS173" s="9"/>
      <c r="JT173" s="9"/>
      <c r="JU173" s="9"/>
      <c r="JV173" s="9"/>
      <c r="JW173" s="9"/>
      <c r="JX173" s="9"/>
      <c r="JY173" s="9"/>
      <c r="JZ173" s="9"/>
      <c r="KA173" s="9"/>
      <c r="KB173" s="9"/>
      <c r="KC173" s="9"/>
      <c r="KD173" s="9"/>
      <c r="KE173" s="9"/>
      <c r="KF173" s="9"/>
      <c r="KG173" s="9"/>
      <c r="KH173" s="9"/>
      <c r="KI173" s="9"/>
      <c r="KJ173" s="9"/>
      <c r="KK173" s="9"/>
      <c r="KL173" s="9"/>
      <c r="KM173" s="9"/>
      <c r="KN173" s="9"/>
      <c r="KO173" s="9"/>
      <c r="KP173" s="9"/>
      <c r="KQ173" s="9"/>
      <c r="KR173" s="9"/>
      <c r="KS173" s="9"/>
      <c r="KT173" s="9"/>
      <c r="KU173" s="9"/>
      <c r="KV173" s="9"/>
      <c r="KW173" s="9"/>
      <c r="KX173" s="9"/>
      <c r="KY173" s="9"/>
      <c r="KZ173" s="9"/>
      <c r="LA173" s="9"/>
      <c r="LB173" s="9"/>
      <c r="LC173" s="9"/>
      <c r="LD173" s="9"/>
      <c r="LE173" s="9"/>
      <c r="LF173" s="9"/>
      <c r="LG173" s="9"/>
      <c r="LH173" s="9"/>
      <c r="LI173" s="9"/>
      <c r="LJ173" s="9"/>
      <c r="LK173" s="9"/>
      <c r="LL173" s="9"/>
      <c r="LM173" s="9"/>
      <c r="LN173" s="9"/>
      <c r="LO173" s="9"/>
      <c r="LP173" s="9"/>
      <c r="LQ173" s="9"/>
      <c r="LR173" s="9"/>
      <c r="LS173" s="9"/>
      <c r="LT173" s="9"/>
      <c r="LU173" s="9"/>
      <c r="LV173" s="9"/>
      <c r="LW173" s="9"/>
      <c r="LX173" s="9"/>
      <c r="LY173" s="9"/>
      <c r="LZ173" s="9"/>
      <c r="MA173" s="9"/>
      <c r="MB173" s="9"/>
      <c r="MC173" s="9"/>
      <c r="MD173" s="9"/>
      <c r="ME173" s="9"/>
      <c r="MF173" s="9"/>
      <c r="MG173" s="9"/>
      <c r="MH173" s="9"/>
      <c r="MI173" s="9"/>
      <c r="MJ173" s="9"/>
      <c r="MK173" s="9"/>
      <c r="ML173" s="9"/>
      <c r="MM173" s="9"/>
      <c r="MN173" s="9"/>
      <c r="MO173" s="9"/>
      <c r="MP173" s="9"/>
      <c r="MQ173" s="9"/>
      <c r="MR173" s="9"/>
      <c r="MS173" s="9"/>
      <c r="MT173" s="9"/>
      <c r="MU173" s="9"/>
      <c r="MV173" s="9"/>
      <c r="MW173" s="9"/>
      <c r="MX173" s="9"/>
      <c r="MY173" s="9"/>
      <c r="MZ173" s="9"/>
      <c r="NA173" s="9"/>
      <c r="NB173" s="9"/>
      <c r="NC173" s="9"/>
      <c r="ND173" s="9"/>
      <c r="NE173" s="9"/>
      <c r="NF173" s="9"/>
      <c r="NG173" s="9"/>
      <c r="NH173" s="9"/>
      <c r="NI173" s="9"/>
      <c r="NJ173" s="9"/>
      <c r="NK173" s="9"/>
      <c r="NL173" s="9"/>
      <c r="NM173" s="9"/>
      <c r="NN173" s="9"/>
      <c r="NO173" s="9"/>
      <c r="NP173" s="9"/>
      <c r="NQ173" s="9"/>
      <c r="NR173" s="9"/>
      <c r="NS173" s="9"/>
      <c r="NT173" s="9"/>
      <c r="NU173" s="9"/>
      <c r="NV173" s="9"/>
      <c r="NW173" s="9"/>
      <c r="NX173" s="9"/>
      <c r="NY173" s="9"/>
      <c r="NZ173" s="9"/>
      <c r="OA173" s="9"/>
      <c r="OB173" s="9"/>
      <c r="OC173" s="9"/>
      <c r="OD173" s="9"/>
      <c r="OE173" s="9"/>
      <c r="OF173" s="9"/>
      <c r="OG173" s="9"/>
      <c r="OH173" s="9"/>
      <c r="OI173" s="9"/>
      <c r="OJ173" s="9"/>
      <c r="OK173" s="9"/>
      <c r="OL173" s="9"/>
      <c r="OM173" s="9"/>
      <c r="ON173" s="9"/>
      <c r="OO173" s="9"/>
      <c r="OP173" s="9"/>
      <c r="OQ173" s="9"/>
      <c r="OR173" s="9"/>
      <c r="OS173" s="9"/>
      <c r="OT173" s="9"/>
      <c r="OU173" s="9"/>
      <c r="OV173" s="9"/>
      <c r="OW173" s="9"/>
      <c r="OX173" s="9"/>
      <c r="OY173" s="9"/>
      <c r="OZ173" s="9"/>
      <c r="PA173" s="9"/>
      <c r="PB173" s="9"/>
      <c r="PC173" s="9"/>
      <c r="PD173" s="9"/>
      <c r="PE173" s="9"/>
      <c r="PF173" s="9"/>
      <c r="PG173" s="9"/>
      <c r="PH173" s="9"/>
      <c r="PI173" s="9"/>
      <c r="PJ173" s="9"/>
      <c r="PK173" s="9"/>
      <c r="PL173" s="9"/>
      <c r="PM173" s="9"/>
      <c r="PN173" s="9"/>
      <c r="PO173" s="9"/>
      <c r="PP173" s="9"/>
      <c r="PQ173" s="9"/>
      <c r="PR173" s="9"/>
      <c r="PS173" s="9"/>
      <c r="PT173" s="9"/>
      <c r="PU173" s="9"/>
      <c r="PV173" s="9"/>
      <c r="PW173" s="9"/>
      <c r="PX173" s="9"/>
      <c r="PY173" s="9"/>
      <c r="PZ173" s="9"/>
      <c r="QA173" s="9"/>
      <c r="QB173" s="9"/>
      <c r="QC173" s="9"/>
      <c r="QD173" s="9"/>
      <c r="QE173" s="9"/>
      <c r="QF173" s="9"/>
      <c r="QG173" s="9"/>
      <c r="QH173" s="9"/>
      <c r="QI173" s="9"/>
      <c r="QJ173" s="9"/>
      <c r="QK173" s="9"/>
      <c r="QL173" s="9"/>
      <c r="QM173" s="9"/>
      <c r="QN173" s="9"/>
      <c r="QO173" s="9"/>
      <c r="QP173" s="9"/>
      <c r="QQ173" s="9"/>
      <c r="QR173" s="9"/>
      <c r="QS173" s="9"/>
      <c r="QT173" s="9"/>
      <c r="QU173" s="9"/>
      <c r="QV173" s="9"/>
      <c r="QW173" s="9"/>
      <c r="QX173" s="9"/>
      <c r="QY173" s="9"/>
      <c r="QZ173" s="9"/>
      <c r="RA173" s="9"/>
      <c r="RB173" s="9"/>
      <c r="RC173" s="9"/>
      <c r="RD173" s="9"/>
      <c r="RE173" s="9"/>
      <c r="RF173" s="9"/>
      <c r="RG173" s="9"/>
      <c r="RH173" s="9"/>
      <c r="RI173" s="9"/>
      <c r="RJ173" s="9"/>
      <c r="RK173" s="9"/>
      <c r="RL173" s="9"/>
      <c r="RM173" s="9"/>
      <c r="RN173" s="9"/>
      <c r="RO173" s="9"/>
      <c r="RP173" s="9"/>
      <c r="RQ173" s="9"/>
      <c r="RR173" s="9"/>
      <c r="RS173" s="9"/>
      <c r="RT173" s="9"/>
      <c r="RU173" s="9"/>
      <c r="RV173" s="9"/>
      <c r="RW173" s="9"/>
      <c r="RX173" s="9"/>
      <c r="RY173" s="9"/>
      <c r="RZ173" s="9"/>
      <c r="SA173" s="9"/>
      <c r="SB173" s="9"/>
      <c r="SC173" s="9"/>
      <c r="SD173" s="9"/>
      <c r="SE173" s="9"/>
      <c r="SF173" s="9"/>
      <c r="SG173" s="9"/>
      <c r="SH173" s="9"/>
      <c r="SI173" s="9"/>
      <c r="SJ173" s="9"/>
      <c r="SK173" s="8"/>
      <c r="SL173" s="8"/>
      <c r="SM173" s="8"/>
      <c r="SN173" s="8"/>
      <c r="SO173" s="8"/>
      <c r="SP173" s="8"/>
      <c r="SQ173" s="8"/>
      <c r="SR173" s="8"/>
      <c r="SS173" s="8"/>
      <c r="ST173" s="8"/>
      <c r="SU173" s="8"/>
      <c r="SV173" s="8"/>
      <c r="SW173" s="8"/>
      <c r="SX173" s="8"/>
      <c r="SY173" s="8"/>
      <c r="SZ173" s="8"/>
      <c r="TA173" s="8"/>
      <c r="TB173" s="8"/>
      <c r="TC173" s="8"/>
      <c r="TD173" s="8"/>
      <c r="TE173" s="8"/>
      <c r="TF173" s="8"/>
      <c r="TG173" s="8"/>
      <c r="TH173" s="8"/>
      <c r="TI173" s="8"/>
      <c r="TJ173" s="8"/>
      <c r="TK173" s="8"/>
      <c r="TL173" s="8"/>
      <c r="TM173" s="8"/>
      <c r="TN173" s="8"/>
      <c r="TO173" s="8"/>
    </row>
    <row r="174" spans="1:535" x14ac:dyDescent="0.2">
      <c r="A174" s="7"/>
      <c r="B174" s="7"/>
      <c r="C174" s="9"/>
      <c r="D174" s="8"/>
      <c r="E174" s="8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  <c r="CL174" s="9"/>
      <c r="CM174" s="9"/>
      <c r="CN174" s="9"/>
      <c r="CO174" s="9"/>
      <c r="CP174" s="9"/>
      <c r="CQ174" s="9"/>
      <c r="CR174" s="9"/>
      <c r="CS174" s="9"/>
      <c r="CT174" s="9"/>
      <c r="CU174" s="9"/>
      <c r="CV174" s="9"/>
      <c r="CW174" s="9"/>
      <c r="CX174" s="9"/>
      <c r="CY174" s="9"/>
      <c r="CZ174" s="9"/>
      <c r="DA174" s="9"/>
      <c r="DB174" s="9"/>
      <c r="DC174" s="9"/>
      <c r="DD174" s="9"/>
      <c r="DE174" s="9"/>
      <c r="DF174" s="9"/>
      <c r="DG174" s="9"/>
      <c r="DH174" s="9"/>
      <c r="DI174" s="9"/>
      <c r="DJ174" s="9"/>
      <c r="DK174" s="9"/>
      <c r="DL174" s="9"/>
      <c r="DM174" s="9"/>
      <c r="DN174" s="9"/>
      <c r="DO174" s="9"/>
      <c r="DP174" s="9"/>
      <c r="DQ174" s="9"/>
      <c r="DR174" s="9"/>
      <c r="DS174" s="9"/>
      <c r="DT174" s="9"/>
      <c r="DU174" s="9"/>
      <c r="DV174" s="9"/>
      <c r="DW174" s="9"/>
      <c r="DX174" s="9"/>
      <c r="DY174" s="9"/>
      <c r="DZ174" s="9"/>
      <c r="EA174" s="9"/>
      <c r="EB174" s="9"/>
      <c r="EC174" s="9"/>
      <c r="ED174" s="9"/>
      <c r="EE174" s="9"/>
      <c r="EF174" s="9"/>
      <c r="EG174" s="9"/>
      <c r="EH174" s="9"/>
      <c r="EI174" s="9"/>
      <c r="EJ174" s="9"/>
      <c r="EK174" s="9"/>
      <c r="EL174" s="9"/>
      <c r="EM174" s="9"/>
      <c r="EN174" s="9"/>
      <c r="EO174" s="9"/>
      <c r="EP174" s="9"/>
      <c r="EQ174" s="9"/>
      <c r="ER174" s="9"/>
      <c r="ES174" s="9"/>
      <c r="ET174" s="9"/>
      <c r="EU174" s="9"/>
      <c r="EV174" s="9"/>
      <c r="EW174" s="9"/>
      <c r="EX174" s="9"/>
      <c r="EY174" s="9"/>
      <c r="EZ174" s="9"/>
      <c r="FA174" s="9"/>
      <c r="FB174" s="9"/>
      <c r="FC174" s="9"/>
      <c r="FD174" s="9"/>
      <c r="FE174" s="9"/>
      <c r="FF174" s="9"/>
      <c r="FG174" s="9"/>
      <c r="FH174" s="9"/>
      <c r="FI174" s="9"/>
      <c r="FJ174" s="9"/>
      <c r="FK174" s="9"/>
      <c r="FL174" s="9"/>
      <c r="FM174" s="9"/>
      <c r="FN174" s="9"/>
      <c r="FO174" s="9"/>
      <c r="FP174" s="9"/>
      <c r="FQ174" s="9"/>
      <c r="FR174" s="9"/>
      <c r="FS174" s="9"/>
      <c r="FT174" s="9"/>
      <c r="FU174" s="9"/>
      <c r="FV174" s="9"/>
      <c r="FW174" s="9"/>
      <c r="FX174" s="9"/>
      <c r="FY174" s="9"/>
      <c r="FZ174" s="9"/>
      <c r="GA174" s="9"/>
      <c r="GB174" s="9"/>
      <c r="GC174" s="9"/>
      <c r="GD174" s="9"/>
      <c r="GE174" s="9"/>
      <c r="GF174" s="9"/>
      <c r="GG174" s="9"/>
      <c r="GH174" s="9"/>
      <c r="GI174" s="9"/>
      <c r="GJ174" s="9"/>
      <c r="GK174" s="9"/>
      <c r="GL174" s="9"/>
      <c r="GM174" s="9"/>
      <c r="GN174" s="9"/>
      <c r="GO174" s="9"/>
      <c r="GP174" s="9"/>
      <c r="GQ174" s="9"/>
      <c r="GR174" s="9"/>
      <c r="GS174" s="9"/>
      <c r="GT174" s="9"/>
      <c r="GU174" s="9"/>
      <c r="GV174" s="9"/>
      <c r="GW174" s="9"/>
      <c r="GX174" s="9"/>
      <c r="GY174" s="9"/>
      <c r="GZ174" s="9"/>
      <c r="HA174" s="9"/>
      <c r="HB174" s="9"/>
      <c r="HC174" s="9"/>
      <c r="HD174" s="9"/>
      <c r="HE174" s="9"/>
      <c r="HF174" s="9"/>
      <c r="HG174" s="9"/>
      <c r="HH174" s="9"/>
      <c r="HI174" s="9"/>
      <c r="HJ174" s="9"/>
      <c r="HK174" s="9"/>
      <c r="HL174" s="9"/>
      <c r="HM174" s="9"/>
      <c r="HN174" s="9"/>
      <c r="HO174" s="9"/>
      <c r="HP174" s="9"/>
      <c r="HQ174" s="9"/>
      <c r="HR174" s="9"/>
      <c r="HS174" s="9"/>
      <c r="HT174" s="9"/>
      <c r="HU174" s="9"/>
      <c r="HV174" s="9"/>
      <c r="HW174" s="9"/>
      <c r="HX174" s="9"/>
      <c r="HY174" s="9"/>
      <c r="HZ174" s="9"/>
      <c r="IA174" s="9"/>
      <c r="IB174" s="9"/>
      <c r="IC174" s="9"/>
      <c r="ID174" s="9"/>
      <c r="IE174" s="9"/>
      <c r="IF174" s="9"/>
      <c r="IG174" s="9"/>
      <c r="IH174" s="9"/>
      <c r="II174" s="9"/>
      <c r="IJ174" s="9"/>
      <c r="IK174" s="9"/>
      <c r="IL174" s="9"/>
      <c r="IM174" s="9"/>
      <c r="IN174" s="9"/>
      <c r="IO174" s="9"/>
      <c r="IP174" s="9"/>
      <c r="IQ174" s="9"/>
      <c r="IR174" s="9"/>
      <c r="IS174" s="9"/>
      <c r="IT174" s="9"/>
      <c r="IU174" s="9"/>
      <c r="IV174" s="9"/>
      <c r="IW174" s="9"/>
      <c r="IX174" s="9"/>
      <c r="IY174" s="9"/>
      <c r="IZ174" s="9"/>
      <c r="JA174" s="9"/>
      <c r="JB174" s="9"/>
      <c r="JC174" s="9"/>
      <c r="JD174" s="9"/>
      <c r="JE174" s="9"/>
      <c r="JF174" s="9"/>
      <c r="JG174" s="9"/>
      <c r="JH174" s="9"/>
      <c r="JI174" s="9"/>
      <c r="JJ174" s="9"/>
      <c r="JK174" s="9"/>
      <c r="JL174" s="9"/>
      <c r="JM174" s="9"/>
      <c r="JN174" s="9"/>
      <c r="JO174" s="9"/>
      <c r="JP174" s="9"/>
      <c r="JQ174" s="9"/>
      <c r="JR174" s="9"/>
      <c r="JS174" s="9"/>
      <c r="JT174" s="9"/>
      <c r="JU174" s="9"/>
      <c r="JV174" s="9"/>
      <c r="JW174" s="9"/>
      <c r="JX174" s="9"/>
      <c r="JY174" s="9"/>
      <c r="JZ174" s="9"/>
      <c r="KA174" s="9"/>
      <c r="KB174" s="9"/>
      <c r="KC174" s="9"/>
      <c r="KD174" s="9"/>
      <c r="KE174" s="9"/>
      <c r="KF174" s="9"/>
      <c r="KG174" s="9"/>
      <c r="KH174" s="9"/>
      <c r="KI174" s="9"/>
      <c r="KJ174" s="9"/>
      <c r="KK174" s="9"/>
      <c r="KL174" s="9"/>
      <c r="KM174" s="9"/>
      <c r="KN174" s="9"/>
      <c r="KO174" s="9"/>
      <c r="KP174" s="9"/>
      <c r="KQ174" s="9"/>
      <c r="KR174" s="9"/>
      <c r="KS174" s="9"/>
      <c r="KT174" s="9"/>
      <c r="KU174" s="9"/>
      <c r="KV174" s="9"/>
      <c r="KW174" s="9"/>
      <c r="KX174" s="9"/>
      <c r="KY174" s="9"/>
      <c r="KZ174" s="9"/>
      <c r="LA174" s="9"/>
      <c r="LB174" s="9"/>
      <c r="LC174" s="9"/>
      <c r="LD174" s="9"/>
      <c r="LE174" s="9"/>
      <c r="LF174" s="9"/>
      <c r="LG174" s="9"/>
      <c r="LH174" s="9"/>
      <c r="LI174" s="9"/>
      <c r="LJ174" s="9"/>
      <c r="LK174" s="9"/>
      <c r="LL174" s="9"/>
      <c r="LM174" s="9"/>
      <c r="LN174" s="9"/>
      <c r="LO174" s="9"/>
      <c r="LP174" s="9"/>
      <c r="LQ174" s="9"/>
      <c r="LR174" s="9"/>
      <c r="LS174" s="9"/>
      <c r="LT174" s="9"/>
      <c r="LU174" s="9"/>
      <c r="LV174" s="9"/>
      <c r="LW174" s="9"/>
      <c r="LX174" s="9"/>
      <c r="LY174" s="9"/>
      <c r="LZ174" s="9"/>
      <c r="MA174" s="9"/>
      <c r="MB174" s="9"/>
      <c r="MC174" s="9"/>
      <c r="MD174" s="9"/>
      <c r="ME174" s="9"/>
      <c r="MF174" s="9"/>
      <c r="MG174" s="9"/>
      <c r="MH174" s="9"/>
      <c r="MI174" s="9"/>
      <c r="MJ174" s="9"/>
      <c r="MK174" s="9"/>
      <c r="ML174" s="9"/>
      <c r="MM174" s="9"/>
      <c r="MN174" s="9"/>
      <c r="MO174" s="9"/>
      <c r="MP174" s="9"/>
      <c r="MQ174" s="9"/>
      <c r="MR174" s="9"/>
      <c r="MS174" s="9"/>
      <c r="MT174" s="9"/>
      <c r="MU174" s="9"/>
      <c r="MV174" s="9"/>
      <c r="MW174" s="9"/>
      <c r="MX174" s="9"/>
      <c r="MY174" s="9"/>
      <c r="MZ174" s="9"/>
      <c r="NA174" s="9"/>
      <c r="NB174" s="9"/>
      <c r="NC174" s="9"/>
      <c r="ND174" s="9"/>
      <c r="NE174" s="9"/>
      <c r="NF174" s="9"/>
      <c r="NG174" s="9"/>
      <c r="NH174" s="9"/>
      <c r="NI174" s="9"/>
      <c r="NJ174" s="9"/>
      <c r="NK174" s="9"/>
      <c r="NL174" s="9"/>
      <c r="NM174" s="9"/>
      <c r="NN174" s="9"/>
      <c r="NO174" s="9"/>
      <c r="NP174" s="9"/>
      <c r="NQ174" s="9"/>
      <c r="NR174" s="9"/>
      <c r="NS174" s="9"/>
      <c r="NT174" s="9"/>
      <c r="NU174" s="9"/>
      <c r="NV174" s="9"/>
      <c r="NW174" s="9"/>
      <c r="NX174" s="9"/>
      <c r="NY174" s="9"/>
      <c r="NZ174" s="9"/>
      <c r="OA174" s="9"/>
      <c r="OB174" s="9"/>
      <c r="OC174" s="9"/>
      <c r="OD174" s="9"/>
      <c r="OE174" s="9"/>
      <c r="OF174" s="9"/>
      <c r="OG174" s="9"/>
      <c r="OH174" s="9"/>
      <c r="OI174" s="9"/>
      <c r="OJ174" s="9"/>
      <c r="OK174" s="9"/>
      <c r="OL174" s="9"/>
      <c r="OM174" s="9"/>
      <c r="ON174" s="9"/>
      <c r="OO174" s="9"/>
      <c r="OP174" s="9"/>
      <c r="OQ174" s="9"/>
      <c r="OR174" s="9"/>
      <c r="OS174" s="9"/>
      <c r="OT174" s="9"/>
      <c r="OU174" s="9"/>
      <c r="OV174" s="9"/>
      <c r="OW174" s="9"/>
      <c r="OX174" s="9"/>
      <c r="OY174" s="9"/>
      <c r="OZ174" s="9"/>
      <c r="PA174" s="9"/>
      <c r="PB174" s="9"/>
      <c r="PC174" s="9"/>
      <c r="PD174" s="9"/>
      <c r="PE174" s="9"/>
      <c r="PF174" s="9"/>
      <c r="PG174" s="9"/>
      <c r="PH174" s="9"/>
      <c r="PI174" s="9"/>
      <c r="PJ174" s="9"/>
      <c r="PK174" s="9"/>
      <c r="PL174" s="9"/>
      <c r="PM174" s="9"/>
      <c r="PN174" s="9"/>
      <c r="PO174" s="9"/>
      <c r="PP174" s="9"/>
      <c r="PQ174" s="9"/>
      <c r="PR174" s="9"/>
      <c r="PS174" s="9"/>
      <c r="PT174" s="9"/>
      <c r="PU174" s="9"/>
      <c r="PV174" s="9"/>
      <c r="PW174" s="9"/>
      <c r="PX174" s="9"/>
      <c r="PY174" s="9"/>
      <c r="PZ174" s="9"/>
      <c r="QA174" s="9"/>
      <c r="QB174" s="9"/>
      <c r="QC174" s="9"/>
      <c r="QD174" s="9"/>
      <c r="QE174" s="9"/>
      <c r="QF174" s="9"/>
      <c r="QG174" s="9"/>
      <c r="QH174" s="9"/>
      <c r="QI174" s="9"/>
      <c r="QJ174" s="9"/>
      <c r="QK174" s="9"/>
      <c r="QL174" s="9"/>
      <c r="QM174" s="9"/>
      <c r="QN174" s="9"/>
      <c r="QO174" s="9"/>
      <c r="QP174" s="9"/>
      <c r="QQ174" s="9"/>
      <c r="QR174" s="9"/>
      <c r="QS174" s="9"/>
      <c r="QT174" s="9"/>
      <c r="QU174" s="9"/>
      <c r="QV174" s="9"/>
      <c r="QW174" s="9"/>
      <c r="QX174" s="9"/>
      <c r="QY174" s="9"/>
      <c r="QZ174" s="9"/>
      <c r="RA174" s="9"/>
      <c r="RB174" s="9"/>
      <c r="RC174" s="9"/>
      <c r="RD174" s="9"/>
      <c r="RE174" s="9"/>
      <c r="RF174" s="9"/>
      <c r="RG174" s="9"/>
      <c r="RH174" s="9"/>
      <c r="RI174" s="9"/>
      <c r="RJ174" s="9"/>
      <c r="RK174" s="9"/>
      <c r="RL174" s="9"/>
      <c r="RM174" s="9"/>
      <c r="RN174" s="9"/>
      <c r="RO174" s="9"/>
      <c r="RP174" s="9"/>
      <c r="RQ174" s="9"/>
      <c r="RR174" s="9"/>
      <c r="RS174" s="9"/>
      <c r="RT174" s="9"/>
      <c r="RU174" s="9"/>
      <c r="RV174" s="9"/>
      <c r="RW174" s="9"/>
      <c r="RX174" s="9"/>
      <c r="RY174" s="9"/>
      <c r="RZ174" s="9"/>
      <c r="SA174" s="9"/>
      <c r="SB174" s="9"/>
      <c r="SC174" s="9"/>
      <c r="SD174" s="9"/>
      <c r="SE174" s="9"/>
      <c r="SF174" s="9"/>
      <c r="SG174" s="9"/>
      <c r="SH174" s="9"/>
      <c r="SI174" s="9"/>
      <c r="SJ174" s="9"/>
      <c r="SK174" s="8"/>
      <c r="SL174" s="8"/>
      <c r="SM174" s="8"/>
      <c r="SN174" s="8"/>
      <c r="SO174" s="8"/>
      <c r="SP174" s="8"/>
      <c r="SQ174" s="8"/>
      <c r="SR174" s="8"/>
      <c r="SS174" s="8"/>
      <c r="ST174" s="8"/>
      <c r="SU174" s="8"/>
      <c r="SV174" s="8"/>
      <c r="SW174" s="8"/>
      <c r="SX174" s="8"/>
      <c r="SY174" s="8"/>
      <c r="SZ174" s="8"/>
      <c r="TA174" s="8"/>
      <c r="TB174" s="8"/>
      <c r="TC174" s="8"/>
      <c r="TD174" s="8"/>
      <c r="TE174" s="8"/>
      <c r="TF174" s="8"/>
      <c r="TG174" s="8"/>
      <c r="TH174" s="8"/>
      <c r="TI174" s="8"/>
      <c r="TJ174" s="8"/>
      <c r="TK174" s="8"/>
      <c r="TL174" s="8"/>
      <c r="TM174" s="8"/>
      <c r="TN174" s="8"/>
      <c r="TO174" s="8"/>
    </row>
    <row r="175" spans="1:535" x14ac:dyDescent="0.2">
      <c r="A175" s="7"/>
      <c r="B175" s="7"/>
      <c r="C175" s="9"/>
      <c r="D175" s="8"/>
      <c r="E175" s="8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9"/>
      <c r="CM175" s="9"/>
      <c r="CN175" s="9"/>
      <c r="CO175" s="9"/>
      <c r="CP175" s="9"/>
      <c r="CQ175" s="9"/>
      <c r="CR175" s="9"/>
      <c r="CS175" s="9"/>
      <c r="CT175" s="9"/>
      <c r="CU175" s="9"/>
      <c r="CV175" s="9"/>
      <c r="CW175" s="9"/>
      <c r="CX175" s="9"/>
      <c r="CY175" s="9"/>
      <c r="CZ175" s="9"/>
      <c r="DA175" s="9"/>
      <c r="DB175" s="9"/>
      <c r="DC175" s="9"/>
      <c r="DD175" s="9"/>
      <c r="DE175" s="9"/>
      <c r="DF175" s="9"/>
      <c r="DG175" s="9"/>
      <c r="DH175" s="9"/>
      <c r="DI175" s="9"/>
      <c r="DJ175" s="9"/>
      <c r="DK175" s="9"/>
      <c r="DL175" s="9"/>
      <c r="DM175" s="9"/>
      <c r="DN175" s="9"/>
      <c r="DO175" s="9"/>
      <c r="DP175" s="9"/>
      <c r="DQ175" s="9"/>
      <c r="DR175" s="9"/>
      <c r="DS175" s="9"/>
      <c r="DT175" s="9"/>
      <c r="DU175" s="9"/>
      <c r="DV175" s="9"/>
      <c r="DW175" s="9"/>
      <c r="DX175" s="9"/>
      <c r="DY175" s="9"/>
      <c r="DZ175" s="9"/>
      <c r="EA175" s="9"/>
      <c r="EB175" s="9"/>
      <c r="EC175" s="9"/>
      <c r="ED175" s="9"/>
      <c r="EE175" s="9"/>
      <c r="EF175" s="9"/>
      <c r="EG175" s="9"/>
      <c r="EH175" s="9"/>
      <c r="EI175" s="9"/>
      <c r="EJ175" s="9"/>
      <c r="EK175" s="9"/>
      <c r="EL175" s="9"/>
      <c r="EM175" s="9"/>
      <c r="EN175" s="9"/>
      <c r="EO175" s="9"/>
      <c r="EP175" s="9"/>
      <c r="EQ175" s="9"/>
      <c r="ER175" s="9"/>
      <c r="ES175" s="9"/>
      <c r="ET175" s="9"/>
      <c r="EU175" s="9"/>
      <c r="EV175" s="9"/>
      <c r="EW175" s="9"/>
      <c r="EX175" s="9"/>
      <c r="EY175" s="9"/>
      <c r="EZ175" s="9"/>
      <c r="FA175" s="9"/>
      <c r="FB175" s="9"/>
      <c r="FC175" s="9"/>
      <c r="FD175" s="9"/>
      <c r="FE175" s="9"/>
      <c r="FF175" s="9"/>
      <c r="FG175" s="9"/>
      <c r="FH175" s="9"/>
      <c r="FI175" s="9"/>
      <c r="FJ175" s="9"/>
      <c r="FK175" s="9"/>
      <c r="FL175" s="9"/>
      <c r="FM175" s="9"/>
      <c r="FN175" s="9"/>
      <c r="FO175" s="9"/>
      <c r="FP175" s="9"/>
      <c r="FQ175" s="9"/>
      <c r="FR175" s="9"/>
      <c r="FS175" s="9"/>
      <c r="FT175" s="9"/>
      <c r="FU175" s="9"/>
      <c r="FV175" s="9"/>
      <c r="FW175" s="9"/>
      <c r="FX175" s="9"/>
      <c r="FY175" s="9"/>
      <c r="FZ175" s="9"/>
      <c r="GA175" s="9"/>
      <c r="GB175" s="9"/>
      <c r="GC175" s="9"/>
      <c r="GD175" s="9"/>
      <c r="GE175" s="9"/>
      <c r="GF175" s="9"/>
      <c r="GG175" s="9"/>
      <c r="GH175" s="9"/>
      <c r="GI175" s="9"/>
      <c r="GJ175" s="9"/>
      <c r="GK175" s="9"/>
      <c r="GL175" s="9"/>
      <c r="GM175" s="9"/>
      <c r="GN175" s="9"/>
      <c r="GO175" s="9"/>
      <c r="GP175" s="9"/>
      <c r="GQ175" s="9"/>
      <c r="GR175" s="9"/>
      <c r="GS175" s="9"/>
      <c r="GT175" s="9"/>
      <c r="GU175" s="9"/>
      <c r="GV175" s="9"/>
      <c r="GW175" s="9"/>
      <c r="GX175" s="9"/>
      <c r="GY175" s="9"/>
      <c r="GZ175" s="9"/>
      <c r="HA175" s="9"/>
      <c r="HB175" s="9"/>
      <c r="HC175" s="9"/>
      <c r="HD175" s="9"/>
      <c r="HE175" s="9"/>
      <c r="HF175" s="9"/>
      <c r="HG175" s="9"/>
      <c r="HH175" s="9"/>
      <c r="HI175" s="9"/>
      <c r="HJ175" s="9"/>
      <c r="HK175" s="9"/>
      <c r="HL175" s="9"/>
      <c r="HM175" s="9"/>
      <c r="HN175" s="9"/>
      <c r="HO175" s="9"/>
      <c r="HP175" s="9"/>
      <c r="HQ175" s="9"/>
      <c r="HR175" s="9"/>
      <c r="HS175" s="9"/>
      <c r="HT175" s="9"/>
      <c r="HU175" s="9"/>
      <c r="HV175" s="9"/>
      <c r="HW175" s="9"/>
      <c r="HX175" s="9"/>
      <c r="HY175" s="9"/>
      <c r="HZ175" s="9"/>
      <c r="IA175" s="9"/>
      <c r="IB175" s="9"/>
      <c r="IC175" s="9"/>
      <c r="ID175" s="9"/>
      <c r="IE175" s="9"/>
      <c r="IF175" s="9"/>
      <c r="IG175" s="9"/>
      <c r="IH175" s="9"/>
      <c r="II175" s="9"/>
      <c r="IJ175" s="9"/>
      <c r="IK175" s="9"/>
      <c r="IL175" s="9"/>
      <c r="IM175" s="9"/>
      <c r="IN175" s="9"/>
      <c r="IO175" s="9"/>
      <c r="IP175" s="9"/>
      <c r="IQ175" s="9"/>
      <c r="IR175" s="9"/>
      <c r="IS175" s="9"/>
      <c r="IT175" s="9"/>
      <c r="IU175" s="9"/>
      <c r="IV175" s="9"/>
      <c r="IW175" s="9"/>
      <c r="IX175" s="9"/>
      <c r="IY175" s="9"/>
      <c r="IZ175" s="9"/>
      <c r="JA175" s="9"/>
      <c r="JB175" s="9"/>
      <c r="JC175" s="9"/>
      <c r="JD175" s="9"/>
      <c r="JE175" s="9"/>
      <c r="JF175" s="9"/>
      <c r="JG175" s="9"/>
      <c r="JH175" s="9"/>
      <c r="JI175" s="9"/>
      <c r="JJ175" s="9"/>
      <c r="JK175" s="9"/>
      <c r="JL175" s="9"/>
      <c r="JM175" s="9"/>
      <c r="JN175" s="9"/>
      <c r="JO175" s="9"/>
      <c r="JP175" s="9"/>
      <c r="JQ175" s="9"/>
      <c r="JR175" s="9"/>
      <c r="JS175" s="9"/>
      <c r="JT175" s="9"/>
      <c r="JU175" s="9"/>
      <c r="JV175" s="9"/>
      <c r="JW175" s="9"/>
      <c r="JX175" s="9"/>
      <c r="JY175" s="9"/>
      <c r="JZ175" s="9"/>
      <c r="KA175" s="9"/>
      <c r="KB175" s="9"/>
      <c r="KC175" s="9"/>
      <c r="KD175" s="9"/>
      <c r="KE175" s="9"/>
      <c r="KF175" s="9"/>
      <c r="KG175" s="9"/>
      <c r="KH175" s="9"/>
      <c r="KI175" s="9"/>
      <c r="KJ175" s="9"/>
      <c r="KK175" s="9"/>
      <c r="KL175" s="9"/>
      <c r="KM175" s="9"/>
      <c r="KN175" s="9"/>
      <c r="KO175" s="9"/>
      <c r="KP175" s="9"/>
      <c r="KQ175" s="9"/>
      <c r="KR175" s="9"/>
      <c r="KS175" s="9"/>
      <c r="KT175" s="9"/>
      <c r="KU175" s="9"/>
      <c r="KV175" s="9"/>
      <c r="KW175" s="9"/>
      <c r="KX175" s="9"/>
      <c r="KY175" s="9"/>
      <c r="KZ175" s="9"/>
      <c r="LA175" s="9"/>
      <c r="LB175" s="9"/>
      <c r="LC175" s="9"/>
      <c r="LD175" s="9"/>
      <c r="LE175" s="9"/>
      <c r="LF175" s="9"/>
      <c r="LG175" s="9"/>
      <c r="LH175" s="9"/>
      <c r="LI175" s="9"/>
      <c r="LJ175" s="9"/>
      <c r="LK175" s="9"/>
      <c r="LL175" s="9"/>
      <c r="LM175" s="9"/>
      <c r="LN175" s="9"/>
      <c r="LO175" s="9"/>
      <c r="LP175" s="9"/>
      <c r="LQ175" s="9"/>
      <c r="LR175" s="9"/>
      <c r="LS175" s="9"/>
      <c r="LT175" s="9"/>
      <c r="LU175" s="9"/>
      <c r="LV175" s="9"/>
      <c r="LW175" s="9"/>
      <c r="LX175" s="9"/>
      <c r="LY175" s="9"/>
      <c r="LZ175" s="9"/>
      <c r="MA175" s="9"/>
      <c r="MB175" s="9"/>
      <c r="MC175" s="9"/>
      <c r="MD175" s="9"/>
      <c r="ME175" s="9"/>
      <c r="MF175" s="9"/>
      <c r="MG175" s="9"/>
      <c r="MH175" s="9"/>
      <c r="MI175" s="9"/>
      <c r="MJ175" s="9"/>
      <c r="MK175" s="9"/>
      <c r="ML175" s="9"/>
      <c r="MM175" s="9"/>
      <c r="MN175" s="9"/>
      <c r="MO175" s="9"/>
      <c r="MP175" s="9"/>
      <c r="MQ175" s="9"/>
      <c r="MR175" s="9"/>
      <c r="MS175" s="9"/>
      <c r="MT175" s="9"/>
      <c r="MU175" s="9"/>
      <c r="MV175" s="9"/>
      <c r="MW175" s="9"/>
      <c r="MX175" s="9"/>
      <c r="MY175" s="9"/>
      <c r="MZ175" s="9"/>
      <c r="NA175" s="9"/>
      <c r="NB175" s="9"/>
      <c r="NC175" s="9"/>
      <c r="ND175" s="9"/>
      <c r="NE175" s="9"/>
      <c r="NF175" s="9"/>
      <c r="NG175" s="9"/>
      <c r="NH175" s="9"/>
      <c r="NI175" s="9"/>
      <c r="NJ175" s="9"/>
      <c r="NK175" s="9"/>
      <c r="NL175" s="9"/>
      <c r="NM175" s="9"/>
      <c r="NN175" s="9"/>
      <c r="NO175" s="9"/>
      <c r="NP175" s="9"/>
      <c r="NQ175" s="9"/>
      <c r="NR175" s="9"/>
      <c r="NS175" s="9"/>
      <c r="NT175" s="9"/>
      <c r="NU175" s="9"/>
      <c r="NV175" s="9"/>
      <c r="NW175" s="9"/>
      <c r="NX175" s="9"/>
      <c r="NY175" s="9"/>
      <c r="NZ175" s="9"/>
      <c r="OA175" s="9"/>
      <c r="OB175" s="9"/>
      <c r="OC175" s="9"/>
      <c r="OD175" s="9"/>
      <c r="OE175" s="9"/>
      <c r="OF175" s="9"/>
      <c r="OG175" s="9"/>
      <c r="OH175" s="9"/>
      <c r="OI175" s="9"/>
      <c r="OJ175" s="9"/>
      <c r="OK175" s="9"/>
      <c r="OL175" s="9"/>
      <c r="OM175" s="9"/>
      <c r="ON175" s="9"/>
      <c r="OO175" s="9"/>
      <c r="OP175" s="9"/>
      <c r="OQ175" s="9"/>
      <c r="OR175" s="9"/>
      <c r="OS175" s="9"/>
      <c r="OT175" s="9"/>
      <c r="OU175" s="9"/>
      <c r="OV175" s="9"/>
      <c r="OW175" s="9"/>
      <c r="OX175" s="9"/>
      <c r="OY175" s="9"/>
      <c r="OZ175" s="9"/>
      <c r="PA175" s="9"/>
      <c r="PB175" s="9"/>
      <c r="PC175" s="9"/>
      <c r="PD175" s="9"/>
      <c r="PE175" s="9"/>
      <c r="PF175" s="9"/>
      <c r="PG175" s="9"/>
      <c r="PH175" s="9"/>
      <c r="PI175" s="9"/>
      <c r="PJ175" s="9"/>
      <c r="PK175" s="9"/>
      <c r="PL175" s="9"/>
      <c r="PM175" s="9"/>
      <c r="PN175" s="9"/>
      <c r="PO175" s="9"/>
      <c r="PP175" s="9"/>
      <c r="PQ175" s="9"/>
      <c r="PR175" s="9"/>
      <c r="PS175" s="9"/>
      <c r="PT175" s="9"/>
      <c r="PU175" s="9"/>
      <c r="PV175" s="9"/>
      <c r="PW175" s="9"/>
      <c r="PX175" s="9"/>
      <c r="PY175" s="9"/>
      <c r="PZ175" s="9"/>
      <c r="QA175" s="9"/>
      <c r="QB175" s="9"/>
      <c r="QC175" s="9"/>
      <c r="QD175" s="9"/>
      <c r="QE175" s="9"/>
      <c r="QF175" s="9"/>
      <c r="QG175" s="9"/>
      <c r="QH175" s="9"/>
      <c r="QI175" s="9"/>
      <c r="QJ175" s="9"/>
      <c r="QK175" s="9"/>
      <c r="QL175" s="9"/>
      <c r="QM175" s="9"/>
      <c r="QN175" s="9"/>
      <c r="QO175" s="9"/>
      <c r="QP175" s="9"/>
      <c r="QQ175" s="9"/>
      <c r="QR175" s="9"/>
      <c r="QS175" s="9"/>
      <c r="QT175" s="9"/>
      <c r="QU175" s="9"/>
      <c r="QV175" s="9"/>
      <c r="QW175" s="9"/>
      <c r="QX175" s="9"/>
      <c r="QY175" s="9"/>
      <c r="QZ175" s="9"/>
      <c r="RA175" s="9"/>
      <c r="RB175" s="9"/>
      <c r="RC175" s="9"/>
      <c r="RD175" s="9"/>
      <c r="RE175" s="9"/>
      <c r="RF175" s="9"/>
      <c r="RG175" s="9"/>
      <c r="RH175" s="9"/>
      <c r="RI175" s="9"/>
      <c r="RJ175" s="9"/>
      <c r="RK175" s="9"/>
      <c r="RL175" s="9"/>
      <c r="RM175" s="9"/>
      <c r="RN175" s="9"/>
      <c r="RO175" s="9"/>
      <c r="RP175" s="9"/>
      <c r="RQ175" s="9"/>
      <c r="RR175" s="9"/>
      <c r="RS175" s="9"/>
      <c r="RT175" s="9"/>
      <c r="RU175" s="9"/>
      <c r="RV175" s="9"/>
      <c r="RW175" s="9"/>
      <c r="RX175" s="9"/>
      <c r="RY175" s="9"/>
      <c r="RZ175" s="9"/>
      <c r="SA175" s="9"/>
      <c r="SB175" s="9"/>
      <c r="SC175" s="9"/>
      <c r="SD175" s="9"/>
      <c r="SE175" s="9"/>
      <c r="SF175" s="9"/>
      <c r="SG175" s="9"/>
      <c r="SH175" s="9"/>
      <c r="SI175" s="9"/>
      <c r="SJ175" s="9"/>
      <c r="SK175" s="8"/>
      <c r="SL175" s="8"/>
      <c r="SM175" s="8"/>
      <c r="SN175" s="8"/>
      <c r="SO175" s="8"/>
      <c r="SP175" s="8"/>
      <c r="SQ175" s="8"/>
      <c r="SR175" s="8"/>
      <c r="SS175" s="8"/>
      <c r="ST175" s="8"/>
      <c r="SU175" s="8"/>
      <c r="SV175" s="8"/>
      <c r="SW175" s="8"/>
      <c r="SX175" s="8"/>
      <c r="SY175" s="8"/>
      <c r="SZ175" s="8"/>
      <c r="TA175" s="8"/>
      <c r="TB175" s="8"/>
      <c r="TC175" s="8"/>
      <c r="TD175" s="8"/>
      <c r="TE175" s="8"/>
      <c r="TF175" s="8"/>
      <c r="TG175" s="8"/>
      <c r="TH175" s="8"/>
      <c r="TI175" s="8"/>
      <c r="TJ175" s="8"/>
      <c r="TK175" s="8"/>
      <c r="TL175" s="8"/>
      <c r="TM175" s="8"/>
      <c r="TN175" s="8"/>
      <c r="TO175" s="8"/>
    </row>
    <row r="176" spans="1:535" x14ac:dyDescent="0.2">
      <c r="A176" s="7"/>
      <c r="B176" s="7"/>
      <c r="C176" s="9"/>
      <c r="D176" s="8"/>
      <c r="E176" s="8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  <c r="CJ176" s="9"/>
      <c r="CK176" s="9"/>
      <c r="CL176" s="9"/>
      <c r="CM176" s="9"/>
      <c r="CN176" s="9"/>
      <c r="CO176" s="9"/>
      <c r="CP176" s="9"/>
      <c r="CQ176" s="9"/>
      <c r="CR176" s="9"/>
      <c r="CS176" s="9"/>
      <c r="CT176" s="9"/>
      <c r="CU176" s="9"/>
      <c r="CV176" s="9"/>
      <c r="CW176" s="9"/>
      <c r="CX176" s="9"/>
      <c r="CY176" s="9"/>
      <c r="CZ176" s="9"/>
      <c r="DA176" s="9"/>
      <c r="DB176" s="9"/>
      <c r="DC176" s="9"/>
      <c r="DD176" s="9"/>
      <c r="DE176" s="9"/>
      <c r="DF176" s="9"/>
      <c r="DG176" s="9"/>
      <c r="DH176" s="9"/>
      <c r="DI176" s="9"/>
      <c r="DJ176" s="9"/>
      <c r="DK176" s="9"/>
      <c r="DL176" s="9"/>
      <c r="DM176" s="9"/>
      <c r="DN176" s="9"/>
      <c r="DO176" s="9"/>
      <c r="DP176" s="9"/>
      <c r="DQ176" s="9"/>
      <c r="DR176" s="9"/>
      <c r="DS176" s="9"/>
      <c r="DT176" s="9"/>
      <c r="DU176" s="9"/>
      <c r="DV176" s="9"/>
      <c r="DW176" s="9"/>
      <c r="DX176" s="9"/>
      <c r="DY176" s="9"/>
      <c r="DZ176" s="9"/>
      <c r="EA176" s="9"/>
      <c r="EB176" s="9"/>
      <c r="EC176" s="9"/>
      <c r="ED176" s="9"/>
      <c r="EE176" s="9"/>
      <c r="EF176" s="9"/>
      <c r="EG176" s="9"/>
      <c r="EH176" s="9"/>
      <c r="EI176" s="9"/>
      <c r="EJ176" s="9"/>
      <c r="EK176" s="9"/>
      <c r="EL176" s="9"/>
      <c r="EM176" s="9"/>
      <c r="EN176" s="9"/>
      <c r="EO176" s="9"/>
      <c r="EP176" s="9"/>
      <c r="EQ176" s="9"/>
      <c r="ER176" s="9"/>
      <c r="ES176" s="9"/>
      <c r="ET176" s="9"/>
      <c r="EU176" s="9"/>
      <c r="EV176" s="9"/>
      <c r="EW176" s="9"/>
      <c r="EX176" s="9"/>
      <c r="EY176" s="9"/>
      <c r="EZ176" s="9"/>
      <c r="FA176" s="9"/>
      <c r="FB176" s="9"/>
      <c r="FC176" s="9"/>
      <c r="FD176" s="9"/>
      <c r="FE176" s="9"/>
      <c r="FF176" s="9"/>
      <c r="FG176" s="9"/>
      <c r="FH176" s="9"/>
      <c r="FI176" s="9"/>
      <c r="FJ176" s="9"/>
      <c r="FK176" s="9"/>
      <c r="FL176" s="9"/>
      <c r="FM176" s="9"/>
      <c r="FN176" s="9"/>
      <c r="FO176" s="9"/>
      <c r="FP176" s="9"/>
      <c r="FQ176" s="9"/>
      <c r="FR176" s="9"/>
      <c r="FS176" s="9"/>
      <c r="FT176" s="9"/>
      <c r="FU176" s="9"/>
      <c r="FV176" s="9"/>
      <c r="FW176" s="9"/>
      <c r="FX176" s="9"/>
      <c r="FY176" s="9"/>
      <c r="FZ176" s="9"/>
      <c r="GA176" s="9"/>
      <c r="GB176" s="9"/>
      <c r="GC176" s="9"/>
      <c r="GD176" s="9"/>
      <c r="GE176" s="9"/>
      <c r="GF176" s="9"/>
      <c r="GG176" s="9"/>
      <c r="GH176" s="9"/>
      <c r="GI176" s="9"/>
      <c r="GJ176" s="9"/>
      <c r="GK176" s="9"/>
      <c r="GL176" s="9"/>
      <c r="GM176" s="9"/>
      <c r="GN176" s="9"/>
      <c r="GO176" s="9"/>
      <c r="GP176" s="9"/>
      <c r="GQ176" s="9"/>
      <c r="GR176" s="9"/>
      <c r="GS176" s="9"/>
      <c r="GT176" s="9"/>
      <c r="GU176" s="9"/>
      <c r="GV176" s="9"/>
      <c r="GW176" s="9"/>
      <c r="GX176" s="9"/>
      <c r="GY176" s="9"/>
      <c r="GZ176" s="9"/>
      <c r="HA176" s="9"/>
      <c r="HB176" s="9"/>
      <c r="HC176" s="9"/>
      <c r="HD176" s="9"/>
      <c r="HE176" s="9"/>
      <c r="HF176" s="9"/>
      <c r="HG176" s="9"/>
      <c r="HH176" s="9"/>
      <c r="HI176" s="9"/>
      <c r="HJ176" s="9"/>
      <c r="HK176" s="9"/>
      <c r="HL176" s="9"/>
      <c r="HM176" s="9"/>
      <c r="HN176" s="9"/>
      <c r="HO176" s="9"/>
      <c r="HP176" s="9"/>
      <c r="HQ176" s="9"/>
      <c r="HR176" s="9"/>
      <c r="HS176" s="9"/>
      <c r="HT176" s="9"/>
      <c r="HU176" s="9"/>
      <c r="HV176" s="9"/>
      <c r="HW176" s="9"/>
      <c r="HX176" s="9"/>
      <c r="HY176" s="9"/>
      <c r="HZ176" s="9"/>
      <c r="IA176" s="9"/>
      <c r="IB176" s="9"/>
      <c r="IC176" s="9"/>
      <c r="ID176" s="9"/>
      <c r="IE176" s="9"/>
      <c r="IF176" s="9"/>
      <c r="IG176" s="9"/>
      <c r="IH176" s="9"/>
      <c r="II176" s="9"/>
      <c r="IJ176" s="9"/>
      <c r="IK176" s="9"/>
      <c r="IL176" s="9"/>
      <c r="IM176" s="9"/>
      <c r="IN176" s="9"/>
      <c r="IO176" s="9"/>
      <c r="IP176" s="9"/>
      <c r="IQ176" s="9"/>
      <c r="IR176" s="9"/>
      <c r="IS176" s="9"/>
      <c r="IT176" s="9"/>
      <c r="IU176" s="9"/>
      <c r="IV176" s="9"/>
      <c r="IW176" s="9"/>
      <c r="IX176" s="9"/>
      <c r="IY176" s="9"/>
      <c r="IZ176" s="9"/>
      <c r="JA176" s="9"/>
      <c r="JB176" s="9"/>
      <c r="JC176" s="9"/>
      <c r="JD176" s="9"/>
      <c r="JE176" s="9"/>
      <c r="JF176" s="9"/>
      <c r="JG176" s="9"/>
      <c r="JH176" s="9"/>
      <c r="JI176" s="9"/>
      <c r="JJ176" s="9"/>
      <c r="JK176" s="9"/>
      <c r="JL176" s="9"/>
      <c r="JM176" s="9"/>
      <c r="JN176" s="9"/>
      <c r="JO176" s="9"/>
      <c r="JP176" s="9"/>
      <c r="JQ176" s="9"/>
      <c r="JR176" s="9"/>
      <c r="JS176" s="9"/>
      <c r="JT176" s="9"/>
      <c r="JU176" s="9"/>
      <c r="JV176" s="9"/>
      <c r="JW176" s="9"/>
      <c r="JX176" s="9"/>
      <c r="JY176" s="9"/>
      <c r="JZ176" s="9"/>
      <c r="KA176" s="9"/>
      <c r="KB176" s="9"/>
      <c r="KC176" s="9"/>
      <c r="KD176" s="9"/>
      <c r="KE176" s="9"/>
      <c r="KF176" s="9"/>
      <c r="KG176" s="9"/>
      <c r="KH176" s="9"/>
      <c r="KI176" s="9"/>
      <c r="KJ176" s="9"/>
      <c r="KK176" s="9"/>
      <c r="KL176" s="9"/>
      <c r="KM176" s="9"/>
      <c r="KN176" s="9"/>
      <c r="KO176" s="9"/>
      <c r="KP176" s="9"/>
      <c r="KQ176" s="9"/>
      <c r="KR176" s="9"/>
      <c r="KS176" s="9"/>
      <c r="KT176" s="9"/>
      <c r="KU176" s="9"/>
      <c r="KV176" s="9"/>
      <c r="KW176" s="9"/>
      <c r="KX176" s="9"/>
      <c r="KY176" s="9"/>
      <c r="KZ176" s="9"/>
      <c r="LA176" s="9"/>
      <c r="LB176" s="9"/>
      <c r="LC176" s="9"/>
      <c r="LD176" s="9"/>
      <c r="LE176" s="9"/>
      <c r="LF176" s="9"/>
      <c r="LG176" s="9"/>
      <c r="LH176" s="9"/>
      <c r="LI176" s="9"/>
      <c r="LJ176" s="9"/>
      <c r="LK176" s="9"/>
      <c r="LL176" s="9"/>
      <c r="LM176" s="9"/>
      <c r="LN176" s="9"/>
      <c r="LO176" s="9"/>
      <c r="LP176" s="9"/>
      <c r="LQ176" s="9"/>
      <c r="LR176" s="9"/>
      <c r="LS176" s="9"/>
      <c r="LT176" s="9"/>
      <c r="LU176" s="9"/>
      <c r="LV176" s="9"/>
      <c r="LW176" s="9"/>
      <c r="LX176" s="9"/>
      <c r="LY176" s="9"/>
      <c r="LZ176" s="9"/>
      <c r="MA176" s="9"/>
      <c r="MB176" s="9"/>
      <c r="MC176" s="9"/>
      <c r="MD176" s="9"/>
      <c r="ME176" s="9"/>
      <c r="MF176" s="9"/>
      <c r="MG176" s="9"/>
      <c r="MH176" s="9"/>
      <c r="MI176" s="9"/>
      <c r="MJ176" s="9"/>
      <c r="MK176" s="9"/>
      <c r="ML176" s="9"/>
      <c r="MM176" s="9"/>
      <c r="MN176" s="9"/>
      <c r="MO176" s="9"/>
      <c r="MP176" s="9"/>
      <c r="MQ176" s="9"/>
      <c r="MR176" s="9"/>
      <c r="MS176" s="9"/>
      <c r="MT176" s="9"/>
      <c r="MU176" s="9"/>
      <c r="MV176" s="9"/>
      <c r="MW176" s="9"/>
      <c r="MX176" s="9"/>
      <c r="MY176" s="9"/>
      <c r="MZ176" s="9"/>
      <c r="NA176" s="9"/>
      <c r="NB176" s="9"/>
      <c r="NC176" s="9"/>
      <c r="ND176" s="9"/>
      <c r="NE176" s="9"/>
      <c r="NF176" s="9"/>
      <c r="NG176" s="9"/>
      <c r="NH176" s="9"/>
      <c r="NI176" s="9"/>
      <c r="NJ176" s="9"/>
      <c r="NK176" s="9"/>
      <c r="NL176" s="9"/>
      <c r="NM176" s="9"/>
      <c r="NN176" s="9"/>
      <c r="NO176" s="9"/>
      <c r="NP176" s="9"/>
      <c r="NQ176" s="9"/>
      <c r="NR176" s="9"/>
      <c r="NS176" s="9"/>
      <c r="NT176" s="9"/>
      <c r="NU176" s="9"/>
      <c r="NV176" s="9"/>
      <c r="NW176" s="9"/>
      <c r="NX176" s="9"/>
      <c r="NY176" s="9"/>
      <c r="NZ176" s="9"/>
      <c r="OA176" s="9"/>
      <c r="OB176" s="9"/>
      <c r="OC176" s="9"/>
      <c r="OD176" s="9"/>
      <c r="OE176" s="9"/>
      <c r="OF176" s="9"/>
      <c r="OG176" s="9"/>
      <c r="OH176" s="9"/>
      <c r="OI176" s="9"/>
      <c r="OJ176" s="9"/>
      <c r="OK176" s="9"/>
      <c r="OL176" s="9"/>
      <c r="OM176" s="9"/>
      <c r="ON176" s="9"/>
      <c r="OO176" s="9"/>
      <c r="OP176" s="9"/>
      <c r="OQ176" s="9"/>
      <c r="OR176" s="9"/>
      <c r="OS176" s="9"/>
      <c r="OT176" s="9"/>
      <c r="OU176" s="9"/>
      <c r="OV176" s="9"/>
      <c r="OW176" s="9"/>
      <c r="OX176" s="9"/>
      <c r="OY176" s="9"/>
      <c r="OZ176" s="9"/>
      <c r="PA176" s="9"/>
      <c r="PB176" s="9"/>
      <c r="PC176" s="9"/>
      <c r="PD176" s="9"/>
      <c r="PE176" s="9"/>
      <c r="PF176" s="9"/>
      <c r="PG176" s="9"/>
      <c r="PH176" s="9"/>
      <c r="PI176" s="9"/>
      <c r="PJ176" s="9"/>
      <c r="PK176" s="9"/>
      <c r="PL176" s="9"/>
      <c r="PM176" s="9"/>
      <c r="PN176" s="9"/>
      <c r="PO176" s="9"/>
      <c r="PP176" s="9"/>
      <c r="PQ176" s="9"/>
      <c r="PR176" s="9"/>
      <c r="PS176" s="9"/>
      <c r="PT176" s="9"/>
      <c r="PU176" s="9"/>
      <c r="PV176" s="9"/>
      <c r="PW176" s="9"/>
      <c r="PX176" s="9"/>
      <c r="PY176" s="9"/>
      <c r="PZ176" s="9"/>
      <c r="QA176" s="9"/>
      <c r="QB176" s="9"/>
      <c r="QC176" s="9"/>
      <c r="QD176" s="9"/>
      <c r="QE176" s="9"/>
      <c r="QF176" s="9"/>
      <c r="QG176" s="9"/>
      <c r="QH176" s="9"/>
      <c r="QI176" s="9"/>
      <c r="QJ176" s="9"/>
      <c r="QK176" s="9"/>
      <c r="QL176" s="9"/>
      <c r="QM176" s="9"/>
      <c r="QN176" s="9"/>
      <c r="QO176" s="9"/>
      <c r="QP176" s="9"/>
      <c r="QQ176" s="9"/>
      <c r="QR176" s="9"/>
      <c r="QS176" s="9"/>
      <c r="QT176" s="9"/>
      <c r="QU176" s="9"/>
      <c r="QV176" s="9"/>
      <c r="QW176" s="9"/>
      <c r="QX176" s="9"/>
      <c r="QY176" s="9"/>
      <c r="QZ176" s="9"/>
      <c r="RA176" s="9"/>
      <c r="RB176" s="9"/>
      <c r="RC176" s="9"/>
      <c r="RD176" s="9"/>
      <c r="RE176" s="9"/>
      <c r="RF176" s="9"/>
      <c r="RG176" s="9"/>
      <c r="RH176" s="9"/>
      <c r="RI176" s="9"/>
      <c r="RJ176" s="9"/>
      <c r="RK176" s="9"/>
      <c r="RL176" s="9"/>
      <c r="RM176" s="9"/>
      <c r="RN176" s="9"/>
      <c r="RO176" s="9"/>
      <c r="RP176" s="9"/>
      <c r="RQ176" s="9"/>
      <c r="RR176" s="9"/>
      <c r="RS176" s="9"/>
      <c r="RT176" s="9"/>
      <c r="RU176" s="9"/>
      <c r="RV176" s="9"/>
      <c r="RW176" s="9"/>
      <c r="RX176" s="9"/>
      <c r="RY176" s="9"/>
      <c r="RZ176" s="9"/>
      <c r="SA176" s="9"/>
      <c r="SB176" s="9"/>
      <c r="SC176" s="9"/>
      <c r="SD176" s="9"/>
      <c r="SE176" s="9"/>
      <c r="SF176" s="9"/>
      <c r="SG176" s="9"/>
      <c r="SH176" s="9"/>
      <c r="SI176" s="9"/>
      <c r="SJ176" s="9"/>
      <c r="SK176" s="8"/>
      <c r="SL176" s="8"/>
      <c r="SM176" s="8"/>
      <c r="SN176" s="8"/>
      <c r="SO176" s="8"/>
      <c r="SP176" s="8"/>
      <c r="SQ176" s="8"/>
      <c r="SR176" s="8"/>
      <c r="SS176" s="8"/>
      <c r="ST176" s="8"/>
      <c r="SU176" s="8"/>
      <c r="SV176" s="8"/>
      <c r="SW176" s="8"/>
      <c r="SX176" s="8"/>
      <c r="SY176" s="8"/>
      <c r="SZ176" s="8"/>
      <c r="TA176" s="8"/>
      <c r="TB176" s="8"/>
      <c r="TC176" s="8"/>
      <c r="TD176" s="8"/>
      <c r="TE176" s="8"/>
      <c r="TF176" s="8"/>
      <c r="TG176" s="8"/>
      <c r="TH176" s="8"/>
      <c r="TI176" s="8"/>
      <c r="TJ176" s="8"/>
      <c r="TK176" s="8"/>
      <c r="TL176" s="8"/>
      <c r="TM176" s="8"/>
      <c r="TN176" s="8"/>
      <c r="TO176" s="8"/>
    </row>
    <row r="177" spans="1:535" x14ac:dyDescent="0.2">
      <c r="A177" s="7"/>
      <c r="B177" s="7"/>
      <c r="C177" s="9"/>
      <c r="D177" s="8"/>
      <c r="E177" s="8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  <c r="CE177" s="9"/>
      <c r="CF177" s="9"/>
      <c r="CG177" s="9"/>
      <c r="CH177" s="9"/>
      <c r="CI177" s="9"/>
      <c r="CJ177" s="9"/>
      <c r="CK177" s="9"/>
      <c r="CL177" s="9"/>
      <c r="CM177" s="9"/>
      <c r="CN177" s="9"/>
      <c r="CO177" s="9"/>
      <c r="CP177" s="9"/>
      <c r="CQ177" s="9"/>
      <c r="CR177" s="9"/>
      <c r="CS177" s="9"/>
      <c r="CT177" s="9"/>
      <c r="CU177" s="9"/>
      <c r="CV177" s="9"/>
      <c r="CW177" s="9"/>
      <c r="CX177" s="9"/>
      <c r="CY177" s="9"/>
      <c r="CZ177" s="9"/>
      <c r="DA177" s="9"/>
      <c r="DB177" s="9"/>
      <c r="DC177" s="9"/>
      <c r="DD177" s="9"/>
      <c r="DE177" s="9"/>
      <c r="DF177" s="9"/>
      <c r="DG177" s="9"/>
      <c r="DH177" s="9"/>
      <c r="DI177" s="9"/>
      <c r="DJ177" s="9"/>
      <c r="DK177" s="9"/>
      <c r="DL177" s="9"/>
      <c r="DM177" s="9"/>
      <c r="DN177" s="9"/>
      <c r="DO177" s="9"/>
      <c r="DP177" s="9"/>
      <c r="DQ177" s="9"/>
      <c r="DR177" s="9"/>
      <c r="DS177" s="9"/>
      <c r="DT177" s="9"/>
      <c r="DU177" s="9"/>
      <c r="DV177" s="9"/>
      <c r="DW177" s="9"/>
      <c r="DX177" s="9"/>
      <c r="DY177" s="9"/>
      <c r="DZ177" s="9"/>
      <c r="EA177" s="9"/>
      <c r="EB177" s="9"/>
      <c r="EC177" s="9"/>
      <c r="ED177" s="9"/>
      <c r="EE177" s="9"/>
      <c r="EF177" s="9"/>
      <c r="EG177" s="9"/>
      <c r="EH177" s="9"/>
      <c r="EI177" s="9"/>
      <c r="EJ177" s="9"/>
      <c r="EK177" s="9"/>
      <c r="EL177" s="9"/>
      <c r="EM177" s="9"/>
      <c r="EN177" s="9"/>
      <c r="EO177" s="9"/>
      <c r="EP177" s="9"/>
      <c r="EQ177" s="9"/>
      <c r="ER177" s="9"/>
      <c r="ES177" s="9"/>
      <c r="ET177" s="9"/>
      <c r="EU177" s="9"/>
      <c r="EV177" s="9"/>
      <c r="EW177" s="9"/>
      <c r="EX177" s="9"/>
      <c r="EY177" s="9"/>
      <c r="EZ177" s="9"/>
      <c r="FA177" s="9"/>
      <c r="FB177" s="9"/>
      <c r="FC177" s="9"/>
      <c r="FD177" s="9"/>
      <c r="FE177" s="9"/>
      <c r="FF177" s="9"/>
      <c r="FG177" s="9"/>
      <c r="FH177" s="9"/>
      <c r="FI177" s="9"/>
      <c r="FJ177" s="9"/>
      <c r="FK177" s="9"/>
      <c r="FL177" s="9"/>
      <c r="FM177" s="9"/>
      <c r="FN177" s="9"/>
      <c r="FO177" s="9"/>
      <c r="FP177" s="9"/>
      <c r="FQ177" s="9"/>
      <c r="FR177" s="9"/>
      <c r="FS177" s="9"/>
      <c r="FT177" s="9"/>
      <c r="FU177" s="9"/>
      <c r="FV177" s="9"/>
      <c r="FW177" s="9"/>
      <c r="FX177" s="9"/>
      <c r="FY177" s="9"/>
      <c r="FZ177" s="9"/>
      <c r="GA177" s="9"/>
      <c r="GB177" s="9"/>
      <c r="GC177" s="9"/>
      <c r="GD177" s="9"/>
      <c r="GE177" s="9"/>
      <c r="GF177" s="9"/>
      <c r="GG177" s="9"/>
      <c r="GH177" s="9"/>
      <c r="GI177" s="9"/>
      <c r="GJ177" s="9"/>
      <c r="GK177" s="9"/>
      <c r="GL177" s="9"/>
      <c r="GM177" s="9"/>
      <c r="GN177" s="9"/>
      <c r="GO177" s="9"/>
      <c r="GP177" s="9"/>
      <c r="GQ177" s="9"/>
      <c r="GR177" s="9"/>
      <c r="GS177" s="9"/>
      <c r="GT177" s="9"/>
      <c r="GU177" s="9"/>
      <c r="GV177" s="9"/>
      <c r="GW177" s="9"/>
      <c r="GX177" s="9"/>
      <c r="GY177" s="9"/>
      <c r="GZ177" s="9"/>
      <c r="HA177" s="9"/>
      <c r="HB177" s="9"/>
      <c r="HC177" s="9"/>
      <c r="HD177" s="9"/>
      <c r="HE177" s="9"/>
      <c r="HF177" s="9"/>
      <c r="HG177" s="9"/>
      <c r="HH177" s="9"/>
      <c r="HI177" s="9"/>
      <c r="HJ177" s="9"/>
      <c r="HK177" s="9"/>
      <c r="HL177" s="9"/>
      <c r="HM177" s="9"/>
      <c r="HN177" s="9"/>
      <c r="HO177" s="9"/>
      <c r="HP177" s="9"/>
      <c r="HQ177" s="9"/>
      <c r="HR177" s="9"/>
      <c r="HS177" s="9"/>
      <c r="HT177" s="9"/>
      <c r="HU177" s="9"/>
      <c r="HV177" s="9"/>
      <c r="HW177" s="9"/>
      <c r="HX177" s="9"/>
      <c r="HY177" s="9"/>
      <c r="HZ177" s="9"/>
      <c r="IA177" s="9"/>
      <c r="IB177" s="9"/>
      <c r="IC177" s="9"/>
      <c r="ID177" s="9"/>
      <c r="IE177" s="9"/>
      <c r="IF177" s="9"/>
      <c r="IG177" s="9"/>
      <c r="IH177" s="9"/>
      <c r="II177" s="9"/>
      <c r="IJ177" s="9"/>
      <c r="IK177" s="9"/>
      <c r="IL177" s="9"/>
      <c r="IM177" s="9"/>
      <c r="IN177" s="9"/>
      <c r="IO177" s="9"/>
      <c r="IP177" s="9"/>
      <c r="IQ177" s="9"/>
      <c r="IR177" s="9"/>
      <c r="IS177" s="9"/>
      <c r="IT177" s="9"/>
      <c r="IU177" s="9"/>
      <c r="IV177" s="9"/>
      <c r="IW177" s="9"/>
      <c r="IX177" s="9"/>
      <c r="IY177" s="9"/>
      <c r="IZ177" s="9"/>
      <c r="JA177" s="9"/>
      <c r="JB177" s="9"/>
      <c r="JC177" s="9"/>
      <c r="JD177" s="9"/>
      <c r="JE177" s="9"/>
      <c r="JF177" s="9"/>
      <c r="JG177" s="9"/>
      <c r="JH177" s="9"/>
      <c r="JI177" s="9"/>
      <c r="JJ177" s="9"/>
      <c r="JK177" s="9"/>
      <c r="JL177" s="9"/>
      <c r="JM177" s="9"/>
      <c r="JN177" s="9"/>
      <c r="JO177" s="9"/>
      <c r="JP177" s="9"/>
      <c r="JQ177" s="9"/>
      <c r="JR177" s="9"/>
      <c r="JS177" s="9"/>
      <c r="JT177" s="9"/>
      <c r="JU177" s="9"/>
      <c r="JV177" s="9"/>
      <c r="JW177" s="9"/>
      <c r="JX177" s="9"/>
      <c r="JY177" s="9"/>
      <c r="JZ177" s="9"/>
      <c r="KA177" s="9"/>
      <c r="KB177" s="9"/>
      <c r="KC177" s="9"/>
      <c r="KD177" s="9"/>
      <c r="KE177" s="9"/>
      <c r="KF177" s="9"/>
      <c r="KG177" s="9"/>
      <c r="KH177" s="9"/>
      <c r="KI177" s="9"/>
      <c r="KJ177" s="9"/>
      <c r="KK177" s="9"/>
      <c r="KL177" s="9"/>
      <c r="KM177" s="9"/>
      <c r="KN177" s="9"/>
      <c r="KO177" s="9"/>
      <c r="KP177" s="9"/>
      <c r="KQ177" s="9"/>
      <c r="KR177" s="9"/>
      <c r="KS177" s="9"/>
      <c r="KT177" s="9"/>
      <c r="KU177" s="9"/>
      <c r="KV177" s="9"/>
      <c r="KW177" s="9"/>
      <c r="KX177" s="9"/>
      <c r="KY177" s="9"/>
      <c r="KZ177" s="9"/>
      <c r="LA177" s="9"/>
      <c r="LB177" s="9"/>
      <c r="LC177" s="9"/>
      <c r="LD177" s="9"/>
      <c r="LE177" s="9"/>
      <c r="LF177" s="9"/>
      <c r="LG177" s="9"/>
      <c r="LH177" s="9"/>
      <c r="LI177" s="9"/>
      <c r="LJ177" s="9"/>
      <c r="LK177" s="9"/>
      <c r="LL177" s="9"/>
      <c r="LM177" s="9"/>
      <c r="LN177" s="9"/>
      <c r="LO177" s="9"/>
      <c r="LP177" s="9"/>
      <c r="LQ177" s="9"/>
      <c r="LR177" s="9"/>
      <c r="LS177" s="9"/>
      <c r="LT177" s="9"/>
      <c r="LU177" s="9"/>
      <c r="LV177" s="9"/>
      <c r="LW177" s="9"/>
      <c r="LX177" s="9"/>
      <c r="LY177" s="9"/>
      <c r="LZ177" s="9"/>
      <c r="MA177" s="9"/>
      <c r="MB177" s="9"/>
      <c r="MC177" s="9"/>
      <c r="MD177" s="9"/>
      <c r="ME177" s="9"/>
      <c r="MF177" s="9"/>
      <c r="MG177" s="9"/>
      <c r="MH177" s="9"/>
      <c r="MI177" s="9"/>
      <c r="MJ177" s="9"/>
      <c r="MK177" s="9"/>
      <c r="ML177" s="9"/>
      <c r="MM177" s="9"/>
      <c r="MN177" s="9"/>
      <c r="MO177" s="9"/>
      <c r="MP177" s="9"/>
      <c r="MQ177" s="9"/>
      <c r="MR177" s="9"/>
      <c r="MS177" s="9"/>
      <c r="MT177" s="9"/>
      <c r="MU177" s="9"/>
      <c r="MV177" s="9"/>
      <c r="MW177" s="9"/>
      <c r="MX177" s="9"/>
      <c r="MY177" s="9"/>
      <c r="MZ177" s="9"/>
      <c r="NA177" s="9"/>
      <c r="NB177" s="9"/>
      <c r="NC177" s="9"/>
      <c r="ND177" s="9"/>
      <c r="NE177" s="9"/>
      <c r="NF177" s="9"/>
      <c r="NG177" s="9"/>
      <c r="NH177" s="9"/>
      <c r="NI177" s="9"/>
      <c r="NJ177" s="9"/>
      <c r="NK177" s="9"/>
      <c r="NL177" s="9"/>
      <c r="NM177" s="9"/>
      <c r="NN177" s="9"/>
      <c r="NO177" s="9"/>
      <c r="NP177" s="9"/>
      <c r="NQ177" s="9"/>
      <c r="NR177" s="9"/>
      <c r="NS177" s="9"/>
      <c r="NT177" s="9"/>
      <c r="NU177" s="9"/>
      <c r="NV177" s="9"/>
      <c r="NW177" s="9"/>
      <c r="NX177" s="9"/>
      <c r="NY177" s="9"/>
      <c r="NZ177" s="9"/>
      <c r="OA177" s="9"/>
      <c r="OB177" s="9"/>
      <c r="OC177" s="9"/>
      <c r="OD177" s="9"/>
      <c r="OE177" s="9"/>
      <c r="OF177" s="9"/>
      <c r="OG177" s="9"/>
      <c r="OH177" s="9"/>
      <c r="OI177" s="9"/>
      <c r="OJ177" s="9"/>
      <c r="OK177" s="9"/>
      <c r="OL177" s="9"/>
      <c r="OM177" s="9"/>
      <c r="ON177" s="9"/>
      <c r="OO177" s="9"/>
      <c r="OP177" s="9"/>
      <c r="OQ177" s="9"/>
      <c r="OR177" s="9"/>
      <c r="OS177" s="9"/>
      <c r="OT177" s="9"/>
      <c r="OU177" s="9"/>
      <c r="OV177" s="9"/>
      <c r="OW177" s="9"/>
      <c r="OX177" s="9"/>
      <c r="OY177" s="9"/>
      <c r="OZ177" s="9"/>
      <c r="PA177" s="9"/>
      <c r="PB177" s="9"/>
      <c r="PC177" s="9"/>
      <c r="PD177" s="9"/>
      <c r="PE177" s="9"/>
      <c r="PF177" s="9"/>
      <c r="PG177" s="9"/>
      <c r="PH177" s="9"/>
      <c r="PI177" s="9"/>
      <c r="PJ177" s="9"/>
      <c r="PK177" s="9"/>
      <c r="PL177" s="9"/>
      <c r="PM177" s="9"/>
      <c r="PN177" s="9"/>
      <c r="PO177" s="9"/>
      <c r="PP177" s="9"/>
      <c r="PQ177" s="9"/>
      <c r="PR177" s="9"/>
      <c r="PS177" s="9"/>
      <c r="PT177" s="9"/>
      <c r="PU177" s="9"/>
      <c r="PV177" s="9"/>
      <c r="PW177" s="9"/>
      <c r="PX177" s="9"/>
      <c r="PY177" s="9"/>
      <c r="PZ177" s="9"/>
      <c r="QA177" s="9"/>
      <c r="QB177" s="9"/>
      <c r="QC177" s="9"/>
      <c r="QD177" s="9"/>
      <c r="QE177" s="9"/>
      <c r="QF177" s="9"/>
      <c r="QG177" s="9"/>
      <c r="QH177" s="9"/>
      <c r="QI177" s="9"/>
      <c r="QJ177" s="9"/>
      <c r="QK177" s="9"/>
      <c r="QL177" s="9"/>
      <c r="QM177" s="9"/>
      <c r="QN177" s="9"/>
      <c r="QO177" s="9"/>
      <c r="QP177" s="9"/>
      <c r="QQ177" s="9"/>
      <c r="QR177" s="9"/>
      <c r="QS177" s="9"/>
      <c r="QT177" s="9"/>
      <c r="QU177" s="9"/>
      <c r="QV177" s="9"/>
      <c r="QW177" s="9"/>
      <c r="QX177" s="9"/>
      <c r="QY177" s="9"/>
      <c r="QZ177" s="9"/>
      <c r="RA177" s="9"/>
      <c r="RB177" s="9"/>
      <c r="RC177" s="9"/>
      <c r="RD177" s="9"/>
      <c r="RE177" s="9"/>
      <c r="RF177" s="9"/>
      <c r="RG177" s="9"/>
      <c r="RH177" s="9"/>
      <c r="RI177" s="9"/>
      <c r="RJ177" s="9"/>
      <c r="RK177" s="9"/>
      <c r="RL177" s="9"/>
      <c r="RM177" s="9"/>
      <c r="RN177" s="9"/>
      <c r="RO177" s="9"/>
      <c r="RP177" s="9"/>
      <c r="RQ177" s="9"/>
      <c r="RR177" s="9"/>
      <c r="RS177" s="9"/>
      <c r="RT177" s="9"/>
      <c r="RU177" s="9"/>
      <c r="RV177" s="9"/>
      <c r="RW177" s="9"/>
      <c r="RX177" s="9"/>
      <c r="RY177" s="9"/>
      <c r="RZ177" s="9"/>
      <c r="SA177" s="9"/>
      <c r="SB177" s="9"/>
      <c r="SC177" s="9"/>
      <c r="SD177" s="9"/>
      <c r="SE177" s="9"/>
      <c r="SF177" s="9"/>
      <c r="SG177" s="9"/>
      <c r="SH177" s="9"/>
      <c r="SI177" s="9"/>
      <c r="SJ177" s="9"/>
      <c r="SK177" s="8"/>
      <c r="SL177" s="8"/>
      <c r="SM177" s="8"/>
      <c r="SN177" s="8"/>
      <c r="SO177" s="8"/>
      <c r="SP177" s="8"/>
      <c r="SQ177" s="8"/>
      <c r="SR177" s="8"/>
      <c r="SS177" s="8"/>
      <c r="ST177" s="8"/>
      <c r="SU177" s="8"/>
      <c r="SV177" s="8"/>
      <c r="SW177" s="8"/>
      <c r="SX177" s="8"/>
      <c r="SY177" s="8"/>
      <c r="SZ177" s="8"/>
      <c r="TA177" s="8"/>
      <c r="TB177" s="8"/>
      <c r="TC177" s="8"/>
      <c r="TD177" s="8"/>
      <c r="TE177" s="8"/>
      <c r="TF177" s="8"/>
      <c r="TG177" s="8"/>
      <c r="TH177" s="8"/>
      <c r="TI177" s="8"/>
      <c r="TJ177" s="8"/>
      <c r="TK177" s="8"/>
      <c r="TL177" s="8"/>
      <c r="TM177" s="8"/>
      <c r="TN177" s="8"/>
      <c r="TO177" s="8"/>
    </row>
    <row r="178" spans="1:535" x14ac:dyDescent="0.2">
      <c r="A178" s="7"/>
      <c r="B178" s="7"/>
      <c r="C178" s="9"/>
      <c r="D178" s="8"/>
      <c r="E178" s="8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  <c r="CJ178" s="9"/>
      <c r="CK178" s="9"/>
      <c r="CL178" s="9"/>
      <c r="CM178" s="9"/>
      <c r="CN178" s="9"/>
      <c r="CO178" s="9"/>
      <c r="CP178" s="9"/>
      <c r="CQ178" s="9"/>
      <c r="CR178" s="9"/>
      <c r="CS178" s="9"/>
      <c r="CT178" s="9"/>
      <c r="CU178" s="9"/>
      <c r="CV178" s="9"/>
      <c r="CW178" s="9"/>
      <c r="CX178" s="9"/>
      <c r="CY178" s="9"/>
      <c r="CZ178" s="9"/>
      <c r="DA178" s="9"/>
      <c r="DB178" s="9"/>
      <c r="DC178" s="9"/>
      <c r="DD178" s="9"/>
      <c r="DE178" s="9"/>
      <c r="DF178" s="9"/>
      <c r="DG178" s="9"/>
      <c r="DH178" s="9"/>
      <c r="DI178" s="9"/>
      <c r="DJ178" s="9"/>
      <c r="DK178" s="9"/>
      <c r="DL178" s="9"/>
      <c r="DM178" s="9"/>
      <c r="DN178" s="9"/>
      <c r="DO178" s="9"/>
      <c r="DP178" s="9"/>
      <c r="DQ178" s="9"/>
      <c r="DR178" s="9"/>
      <c r="DS178" s="9"/>
      <c r="DT178" s="9"/>
      <c r="DU178" s="9"/>
      <c r="DV178" s="9"/>
      <c r="DW178" s="9"/>
      <c r="DX178" s="9"/>
      <c r="DY178" s="9"/>
      <c r="DZ178" s="9"/>
      <c r="EA178" s="9"/>
      <c r="EB178" s="9"/>
      <c r="EC178" s="9"/>
      <c r="ED178" s="9"/>
      <c r="EE178" s="9"/>
      <c r="EF178" s="9"/>
      <c r="EG178" s="9"/>
      <c r="EH178" s="9"/>
      <c r="EI178" s="9"/>
      <c r="EJ178" s="9"/>
      <c r="EK178" s="9"/>
      <c r="EL178" s="9"/>
      <c r="EM178" s="9"/>
      <c r="EN178" s="9"/>
      <c r="EO178" s="9"/>
      <c r="EP178" s="9"/>
      <c r="EQ178" s="9"/>
      <c r="ER178" s="9"/>
      <c r="ES178" s="9"/>
      <c r="ET178" s="9"/>
      <c r="EU178" s="9"/>
      <c r="EV178" s="9"/>
      <c r="EW178" s="9"/>
      <c r="EX178" s="9"/>
      <c r="EY178" s="9"/>
      <c r="EZ178" s="9"/>
      <c r="FA178" s="9"/>
      <c r="FB178" s="9"/>
      <c r="FC178" s="9"/>
      <c r="FD178" s="9"/>
      <c r="FE178" s="9"/>
      <c r="FF178" s="9"/>
      <c r="FG178" s="9"/>
      <c r="FH178" s="9"/>
      <c r="FI178" s="9"/>
      <c r="FJ178" s="9"/>
      <c r="FK178" s="9"/>
      <c r="FL178" s="9"/>
      <c r="FM178" s="9"/>
      <c r="FN178" s="9"/>
      <c r="FO178" s="9"/>
      <c r="FP178" s="9"/>
      <c r="FQ178" s="9"/>
      <c r="FR178" s="9"/>
      <c r="FS178" s="9"/>
      <c r="FT178" s="9"/>
      <c r="FU178" s="9"/>
      <c r="FV178" s="9"/>
      <c r="FW178" s="9"/>
      <c r="FX178" s="9"/>
      <c r="FY178" s="9"/>
      <c r="FZ178" s="9"/>
      <c r="GA178" s="9"/>
      <c r="GB178" s="9"/>
      <c r="GC178" s="9"/>
      <c r="GD178" s="9"/>
      <c r="GE178" s="9"/>
      <c r="GF178" s="9"/>
      <c r="GG178" s="9"/>
      <c r="GH178" s="9"/>
      <c r="GI178" s="9"/>
      <c r="GJ178" s="9"/>
      <c r="GK178" s="9"/>
      <c r="GL178" s="9"/>
      <c r="GM178" s="9"/>
      <c r="GN178" s="9"/>
      <c r="GO178" s="9"/>
      <c r="GP178" s="9"/>
      <c r="GQ178" s="9"/>
      <c r="GR178" s="9"/>
      <c r="GS178" s="9"/>
      <c r="GT178" s="9"/>
      <c r="GU178" s="9"/>
      <c r="GV178" s="9"/>
      <c r="GW178" s="9"/>
      <c r="GX178" s="9"/>
      <c r="GY178" s="9"/>
      <c r="GZ178" s="9"/>
      <c r="HA178" s="9"/>
      <c r="HB178" s="9"/>
      <c r="HC178" s="9"/>
      <c r="HD178" s="9"/>
      <c r="HE178" s="9"/>
      <c r="HF178" s="9"/>
      <c r="HG178" s="9"/>
      <c r="HH178" s="9"/>
      <c r="HI178" s="9"/>
      <c r="HJ178" s="9"/>
      <c r="HK178" s="9"/>
      <c r="HL178" s="9"/>
      <c r="HM178" s="9"/>
      <c r="HN178" s="9"/>
      <c r="HO178" s="9"/>
      <c r="HP178" s="9"/>
      <c r="HQ178" s="9"/>
      <c r="HR178" s="9"/>
      <c r="HS178" s="9"/>
      <c r="HT178" s="9"/>
      <c r="HU178" s="9"/>
      <c r="HV178" s="9"/>
      <c r="HW178" s="9"/>
      <c r="HX178" s="9"/>
      <c r="HY178" s="9"/>
      <c r="HZ178" s="9"/>
      <c r="IA178" s="9"/>
      <c r="IB178" s="9"/>
      <c r="IC178" s="9"/>
      <c r="ID178" s="9"/>
      <c r="IE178" s="9"/>
      <c r="IF178" s="9"/>
      <c r="IG178" s="9"/>
      <c r="IH178" s="9"/>
      <c r="II178" s="9"/>
      <c r="IJ178" s="9"/>
      <c r="IK178" s="9"/>
      <c r="IL178" s="9"/>
      <c r="IM178" s="9"/>
      <c r="IN178" s="9"/>
      <c r="IO178" s="9"/>
      <c r="IP178" s="9"/>
      <c r="IQ178" s="9"/>
      <c r="IR178" s="9"/>
      <c r="IS178" s="9"/>
      <c r="IT178" s="9"/>
      <c r="IU178" s="9"/>
      <c r="IV178" s="9"/>
      <c r="IW178" s="9"/>
      <c r="IX178" s="9"/>
      <c r="IY178" s="9"/>
      <c r="IZ178" s="9"/>
      <c r="JA178" s="9"/>
      <c r="JB178" s="9"/>
      <c r="JC178" s="9"/>
      <c r="JD178" s="9"/>
      <c r="JE178" s="9"/>
      <c r="JF178" s="9"/>
      <c r="JG178" s="9"/>
      <c r="JH178" s="9"/>
      <c r="JI178" s="9"/>
      <c r="JJ178" s="9"/>
      <c r="JK178" s="9"/>
      <c r="JL178" s="9"/>
      <c r="JM178" s="9"/>
      <c r="JN178" s="9"/>
      <c r="JO178" s="9"/>
      <c r="JP178" s="9"/>
      <c r="JQ178" s="9"/>
      <c r="JR178" s="9"/>
      <c r="JS178" s="9"/>
      <c r="JT178" s="9"/>
      <c r="JU178" s="9"/>
      <c r="JV178" s="9"/>
      <c r="JW178" s="9"/>
      <c r="JX178" s="9"/>
      <c r="JY178" s="9"/>
      <c r="JZ178" s="9"/>
      <c r="KA178" s="9"/>
      <c r="KB178" s="9"/>
      <c r="KC178" s="9"/>
      <c r="KD178" s="9"/>
      <c r="KE178" s="9"/>
      <c r="KF178" s="9"/>
      <c r="KG178" s="9"/>
      <c r="KH178" s="9"/>
      <c r="KI178" s="9"/>
      <c r="KJ178" s="9"/>
      <c r="KK178" s="9"/>
      <c r="KL178" s="9"/>
      <c r="KM178" s="9"/>
      <c r="KN178" s="9"/>
      <c r="KO178" s="9"/>
      <c r="KP178" s="9"/>
      <c r="KQ178" s="9"/>
      <c r="KR178" s="9"/>
      <c r="KS178" s="9"/>
      <c r="KT178" s="9"/>
      <c r="KU178" s="9"/>
      <c r="KV178" s="9"/>
      <c r="KW178" s="9"/>
      <c r="KX178" s="9"/>
      <c r="KY178" s="9"/>
      <c r="KZ178" s="9"/>
      <c r="LA178" s="9"/>
      <c r="LB178" s="9"/>
      <c r="LC178" s="9"/>
      <c r="LD178" s="9"/>
      <c r="LE178" s="9"/>
      <c r="LF178" s="9"/>
      <c r="LG178" s="9"/>
      <c r="LH178" s="9"/>
      <c r="LI178" s="9"/>
      <c r="LJ178" s="9"/>
      <c r="LK178" s="9"/>
      <c r="LL178" s="9"/>
      <c r="LM178" s="9"/>
      <c r="LN178" s="9"/>
      <c r="LO178" s="9"/>
      <c r="LP178" s="9"/>
      <c r="LQ178" s="9"/>
      <c r="LR178" s="9"/>
      <c r="LS178" s="9"/>
      <c r="LT178" s="9"/>
      <c r="LU178" s="9"/>
      <c r="LV178" s="9"/>
      <c r="LW178" s="9"/>
      <c r="LX178" s="9"/>
      <c r="LY178" s="9"/>
      <c r="LZ178" s="9"/>
      <c r="MA178" s="9"/>
      <c r="MB178" s="9"/>
      <c r="MC178" s="9"/>
      <c r="MD178" s="9"/>
      <c r="ME178" s="9"/>
      <c r="MF178" s="9"/>
      <c r="MG178" s="9"/>
      <c r="MH178" s="9"/>
      <c r="MI178" s="9"/>
      <c r="MJ178" s="9"/>
      <c r="MK178" s="9"/>
      <c r="ML178" s="9"/>
      <c r="MM178" s="9"/>
      <c r="MN178" s="9"/>
      <c r="MO178" s="9"/>
      <c r="MP178" s="9"/>
      <c r="MQ178" s="9"/>
      <c r="MR178" s="9"/>
      <c r="MS178" s="9"/>
      <c r="MT178" s="9"/>
      <c r="MU178" s="9"/>
      <c r="MV178" s="9"/>
      <c r="MW178" s="9"/>
      <c r="MX178" s="9"/>
      <c r="MY178" s="9"/>
      <c r="MZ178" s="9"/>
      <c r="NA178" s="9"/>
      <c r="NB178" s="9"/>
      <c r="NC178" s="9"/>
      <c r="ND178" s="9"/>
      <c r="NE178" s="9"/>
      <c r="NF178" s="9"/>
      <c r="NG178" s="9"/>
      <c r="NH178" s="9"/>
      <c r="NI178" s="9"/>
      <c r="NJ178" s="9"/>
      <c r="NK178" s="9"/>
      <c r="NL178" s="9"/>
      <c r="NM178" s="9"/>
      <c r="NN178" s="9"/>
      <c r="NO178" s="9"/>
      <c r="NP178" s="9"/>
      <c r="NQ178" s="9"/>
      <c r="NR178" s="9"/>
      <c r="NS178" s="9"/>
      <c r="NT178" s="9"/>
      <c r="NU178" s="9"/>
      <c r="NV178" s="9"/>
      <c r="NW178" s="9"/>
      <c r="NX178" s="9"/>
      <c r="NY178" s="9"/>
      <c r="NZ178" s="9"/>
      <c r="OA178" s="9"/>
      <c r="OB178" s="9"/>
      <c r="OC178" s="9"/>
      <c r="OD178" s="9"/>
      <c r="OE178" s="9"/>
      <c r="OF178" s="9"/>
      <c r="OG178" s="9"/>
      <c r="OH178" s="9"/>
      <c r="OI178" s="9"/>
      <c r="OJ178" s="9"/>
      <c r="OK178" s="9"/>
      <c r="OL178" s="9"/>
      <c r="OM178" s="9"/>
      <c r="ON178" s="9"/>
      <c r="OO178" s="9"/>
      <c r="OP178" s="9"/>
      <c r="OQ178" s="9"/>
      <c r="OR178" s="9"/>
      <c r="OS178" s="9"/>
      <c r="OT178" s="9"/>
      <c r="OU178" s="9"/>
      <c r="OV178" s="9"/>
      <c r="OW178" s="9"/>
      <c r="OX178" s="9"/>
      <c r="OY178" s="9"/>
      <c r="OZ178" s="9"/>
      <c r="PA178" s="9"/>
      <c r="PB178" s="9"/>
      <c r="PC178" s="9"/>
      <c r="PD178" s="9"/>
      <c r="PE178" s="9"/>
      <c r="PF178" s="9"/>
      <c r="PG178" s="9"/>
      <c r="PH178" s="9"/>
      <c r="PI178" s="9"/>
      <c r="PJ178" s="9"/>
      <c r="PK178" s="9"/>
      <c r="PL178" s="9"/>
      <c r="PM178" s="9"/>
      <c r="PN178" s="9"/>
      <c r="PO178" s="9"/>
      <c r="PP178" s="9"/>
      <c r="PQ178" s="9"/>
      <c r="PR178" s="9"/>
      <c r="PS178" s="9"/>
      <c r="PT178" s="9"/>
      <c r="PU178" s="9"/>
      <c r="PV178" s="9"/>
      <c r="PW178" s="9"/>
      <c r="PX178" s="9"/>
      <c r="PY178" s="9"/>
      <c r="PZ178" s="9"/>
      <c r="QA178" s="9"/>
      <c r="QB178" s="9"/>
      <c r="QC178" s="9"/>
      <c r="QD178" s="9"/>
      <c r="QE178" s="9"/>
      <c r="QF178" s="9"/>
      <c r="QG178" s="9"/>
      <c r="QH178" s="9"/>
      <c r="QI178" s="9"/>
      <c r="QJ178" s="9"/>
      <c r="QK178" s="9"/>
      <c r="QL178" s="9"/>
      <c r="QM178" s="9"/>
      <c r="QN178" s="9"/>
      <c r="QO178" s="9"/>
      <c r="QP178" s="9"/>
      <c r="QQ178" s="9"/>
      <c r="QR178" s="9"/>
      <c r="QS178" s="9"/>
      <c r="QT178" s="9"/>
      <c r="QU178" s="9"/>
      <c r="QV178" s="9"/>
      <c r="QW178" s="9"/>
      <c r="QX178" s="9"/>
      <c r="QY178" s="9"/>
      <c r="QZ178" s="9"/>
      <c r="RA178" s="9"/>
      <c r="RB178" s="9"/>
      <c r="RC178" s="9"/>
      <c r="RD178" s="9"/>
      <c r="RE178" s="9"/>
      <c r="RF178" s="9"/>
      <c r="RG178" s="9"/>
      <c r="RH178" s="9"/>
      <c r="RI178" s="9"/>
      <c r="RJ178" s="9"/>
      <c r="RK178" s="9"/>
      <c r="RL178" s="9"/>
      <c r="RM178" s="9"/>
      <c r="RN178" s="9"/>
      <c r="RO178" s="9"/>
      <c r="RP178" s="9"/>
      <c r="RQ178" s="9"/>
      <c r="RR178" s="9"/>
      <c r="RS178" s="9"/>
      <c r="RT178" s="9"/>
      <c r="RU178" s="9"/>
      <c r="RV178" s="9"/>
      <c r="RW178" s="9"/>
      <c r="RX178" s="9"/>
      <c r="RY178" s="9"/>
      <c r="RZ178" s="9"/>
      <c r="SA178" s="9"/>
      <c r="SB178" s="9"/>
      <c r="SC178" s="9"/>
      <c r="SD178" s="9"/>
      <c r="SE178" s="9"/>
      <c r="SF178" s="9"/>
      <c r="SG178" s="9"/>
      <c r="SH178" s="9"/>
      <c r="SI178" s="9"/>
      <c r="SJ178" s="9"/>
      <c r="SK178" s="8"/>
      <c r="SL178" s="8"/>
      <c r="SM178" s="8"/>
      <c r="SN178" s="8"/>
      <c r="SO178" s="8"/>
      <c r="SP178" s="8"/>
      <c r="SQ178" s="8"/>
      <c r="SR178" s="8"/>
      <c r="SS178" s="8"/>
      <c r="ST178" s="8"/>
      <c r="SU178" s="8"/>
      <c r="SV178" s="8"/>
      <c r="SW178" s="8"/>
      <c r="SX178" s="8"/>
      <c r="SY178" s="8"/>
      <c r="SZ178" s="8"/>
      <c r="TA178" s="8"/>
      <c r="TB178" s="8"/>
      <c r="TC178" s="8"/>
      <c r="TD178" s="8"/>
      <c r="TE178" s="8"/>
      <c r="TF178" s="8"/>
      <c r="TG178" s="8"/>
      <c r="TH178" s="8"/>
      <c r="TI178" s="8"/>
      <c r="TJ178" s="8"/>
      <c r="TK178" s="8"/>
      <c r="TL178" s="8"/>
      <c r="TM178" s="8"/>
      <c r="TN178" s="8"/>
      <c r="TO178" s="8"/>
    </row>
    <row r="179" spans="1:535" x14ac:dyDescent="0.2">
      <c r="A179" s="7"/>
      <c r="B179" s="7"/>
      <c r="C179" s="9"/>
      <c r="D179" s="8"/>
      <c r="E179" s="8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9"/>
      <c r="CE179" s="9"/>
      <c r="CF179" s="9"/>
      <c r="CG179" s="9"/>
      <c r="CH179" s="9"/>
      <c r="CI179" s="9"/>
      <c r="CJ179" s="9"/>
      <c r="CK179" s="9"/>
      <c r="CL179" s="9"/>
      <c r="CM179" s="9"/>
      <c r="CN179" s="9"/>
      <c r="CO179" s="9"/>
      <c r="CP179" s="9"/>
      <c r="CQ179" s="9"/>
      <c r="CR179" s="9"/>
      <c r="CS179" s="9"/>
      <c r="CT179" s="9"/>
      <c r="CU179" s="9"/>
      <c r="CV179" s="9"/>
      <c r="CW179" s="9"/>
      <c r="CX179" s="9"/>
      <c r="CY179" s="9"/>
      <c r="CZ179" s="9"/>
      <c r="DA179" s="9"/>
      <c r="DB179" s="9"/>
      <c r="DC179" s="9"/>
      <c r="DD179" s="9"/>
      <c r="DE179" s="9"/>
      <c r="DF179" s="9"/>
      <c r="DG179" s="9"/>
      <c r="DH179" s="9"/>
      <c r="DI179" s="9"/>
      <c r="DJ179" s="9"/>
      <c r="DK179" s="9"/>
      <c r="DL179" s="9"/>
      <c r="DM179" s="9"/>
      <c r="DN179" s="9"/>
      <c r="DO179" s="9"/>
      <c r="DP179" s="9"/>
      <c r="DQ179" s="9"/>
      <c r="DR179" s="9"/>
      <c r="DS179" s="9"/>
      <c r="DT179" s="9"/>
      <c r="DU179" s="9"/>
      <c r="DV179" s="9"/>
      <c r="DW179" s="9"/>
      <c r="DX179" s="9"/>
      <c r="DY179" s="9"/>
      <c r="DZ179" s="9"/>
      <c r="EA179" s="9"/>
      <c r="EB179" s="9"/>
      <c r="EC179" s="9"/>
      <c r="ED179" s="9"/>
      <c r="EE179" s="9"/>
      <c r="EF179" s="9"/>
      <c r="EG179" s="9"/>
      <c r="EH179" s="9"/>
      <c r="EI179" s="9"/>
      <c r="EJ179" s="9"/>
      <c r="EK179" s="9"/>
      <c r="EL179" s="9"/>
      <c r="EM179" s="9"/>
      <c r="EN179" s="9"/>
      <c r="EO179" s="9"/>
      <c r="EP179" s="9"/>
      <c r="EQ179" s="9"/>
      <c r="ER179" s="9"/>
      <c r="ES179" s="9"/>
      <c r="ET179" s="9"/>
      <c r="EU179" s="9"/>
      <c r="EV179" s="9"/>
      <c r="EW179" s="9"/>
      <c r="EX179" s="9"/>
      <c r="EY179" s="9"/>
      <c r="EZ179" s="9"/>
      <c r="FA179" s="9"/>
      <c r="FB179" s="9"/>
      <c r="FC179" s="9"/>
      <c r="FD179" s="9"/>
      <c r="FE179" s="9"/>
      <c r="FF179" s="9"/>
      <c r="FG179" s="9"/>
      <c r="FH179" s="9"/>
      <c r="FI179" s="9"/>
      <c r="FJ179" s="9"/>
      <c r="FK179" s="9"/>
      <c r="FL179" s="9"/>
      <c r="FM179" s="9"/>
      <c r="FN179" s="9"/>
      <c r="FO179" s="9"/>
      <c r="FP179" s="9"/>
      <c r="FQ179" s="9"/>
      <c r="FR179" s="9"/>
      <c r="FS179" s="9"/>
      <c r="FT179" s="9"/>
      <c r="FU179" s="9"/>
      <c r="FV179" s="9"/>
      <c r="FW179" s="9"/>
      <c r="FX179" s="9"/>
      <c r="FY179" s="9"/>
      <c r="FZ179" s="9"/>
      <c r="GA179" s="9"/>
      <c r="GB179" s="9"/>
      <c r="GC179" s="9"/>
      <c r="GD179" s="9"/>
      <c r="GE179" s="9"/>
      <c r="GF179" s="9"/>
      <c r="GG179" s="9"/>
      <c r="GH179" s="9"/>
      <c r="GI179" s="9"/>
      <c r="GJ179" s="9"/>
      <c r="GK179" s="9"/>
      <c r="GL179" s="9"/>
      <c r="GM179" s="9"/>
      <c r="GN179" s="9"/>
      <c r="GO179" s="9"/>
      <c r="GP179" s="9"/>
      <c r="GQ179" s="9"/>
      <c r="GR179" s="9"/>
      <c r="GS179" s="9"/>
      <c r="GT179" s="9"/>
      <c r="GU179" s="9"/>
      <c r="GV179" s="9"/>
      <c r="GW179" s="9"/>
      <c r="GX179" s="9"/>
      <c r="GY179" s="9"/>
      <c r="GZ179" s="9"/>
      <c r="HA179" s="9"/>
      <c r="HB179" s="9"/>
      <c r="HC179" s="9"/>
      <c r="HD179" s="9"/>
      <c r="HE179" s="9"/>
      <c r="HF179" s="9"/>
      <c r="HG179" s="9"/>
      <c r="HH179" s="9"/>
      <c r="HI179" s="9"/>
      <c r="HJ179" s="9"/>
      <c r="HK179" s="9"/>
      <c r="HL179" s="9"/>
      <c r="HM179" s="9"/>
      <c r="HN179" s="9"/>
      <c r="HO179" s="9"/>
      <c r="HP179" s="9"/>
      <c r="HQ179" s="9"/>
      <c r="HR179" s="9"/>
      <c r="HS179" s="9"/>
      <c r="HT179" s="9"/>
      <c r="HU179" s="9"/>
      <c r="HV179" s="9"/>
      <c r="HW179" s="9"/>
      <c r="HX179" s="9"/>
      <c r="HY179" s="9"/>
      <c r="HZ179" s="9"/>
      <c r="IA179" s="9"/>
      <c r="IB179" s="9"/>
      <c r="IC179" s="9"/>
      <c r="ID179" s="9"/>
      <c r="IE179" s="9"/>
      <c r="IF179" s="9"/>
      <c r="IG179" s="9"/>
      <c r="IH179" s="9"/>
      <c r="II179" s="9"/>
      <c r="IJ179" s="9"/>
      <c r="IK179" s="9"/>
      <c r="IL179" s="9"/>
      <c r="IM179" s="9"/>
      <c r="IN179" s="9"/>
      <c r="IO179" s="9"/>
      <c r="IP179" s="9"/>
      <c r="IQ179" s="9"/>
      <c r="IR179" s="9"/>
      <c r="IS179" s="9"/>
      <c r="IT179" s="9"/>
      <c r="IU179" s="9"/>
      <c r="IV179" s="9"/>
      <c r="IW179" s="9"/>
      <c r="IX179" s="9"/>
      <c r="IY179" s="9"/>
      <c r="IZ179" s="9"/>
      <c r="JA179" s="9"/>
      <c r="JB179" s="9"/>
      <c r="JC179" s="9"/>
      <c r="JD179" s="9"/>
      <c r="JE179" s="9"/>
      <c r="JF179" s="9"/>
      <c r="JG179" s="9"/>
      <c r="JH179" s="9"/>
      <c r="JI179" s="9"/>
      <c r="JJ179" s="9"/>
      <c r="JK179" s="9"/>
      <c r="JL179" s="9"/>
      <c r="JM179" s="9"/>
      <c r="JN179" s="9"/>
      <c r="JO179" s="9"/>
      <c r="JP179" s="9"/>
      <c r="JQ179" s="9"/>
      <c r="JR179" s="9"/>
      <c r="JS179" s="9"/>
      <c r="JT179" s="9"/>
      <c r="JU179" s="9"/>
      <c r="JV179" s="9"/>
      <c r="JW179" s="9"/>
      <c r="JX179" s="9"/>
      <c r="JY179" s="9"/>
      <c r="JZ179" s="9"/>
      <c r="KA179" s="9"/>
      <c r="KB179" s="9"/>
      <c r="KC179" s="9"/>
      <c r="KD179" s="9"/>
      <c r="KE179" s="9"/>
      <c r="KF179" s="9"/>
      <c r="KG179" s="9"/>
      <c r="KH179" s="9"/>
      <c r="KI179" s="9"/>
      <c r="KJ179" s="9"/>
      <c r="KK179" s="9"/>
      <c r="KL179" s="9"/>
      <c r="KM179" s="9"/>
      <c r="KN179" s="9"/>
      <c r="KO179" s="9"/>
      <c r="KP179" s="9"/>
      <c r="KQ179" s="9"/>
      <c r="KR179" s="9"/>
      <c r="KS179" s="9"/>
      <c r="KT179" s="9"/>
      <c r="KU179" s="9"/>
      <c r="KV179" s="9"/>
      <c r="KW179" s="9"/>
      <c r="KX179" s="9"/>
      <c r="KY179" s="9"/>
      <c r="KZ179" s="9"/>
      <c r="LA179" s="9"/>
      <c r="LB179" s="9"/>
      <c r="LC179" s="9"/>
      <c r="LD179" s="9"/>
      <c r="LE179" s="9"/>
      <c r="LF179" s="9"/>
      <c r="LG179" s="9"/>
      <c r="LH179" s="9"/>
      <c r="LI179" s="9"/>
      <c r="LJ179" s="9"/>
      <c r="LK179" s="9"/>
      <c r="LL179" s="9"/>
      <c r="LM179" s="9"/>
      <c r="LN179" s="9"/>
      <c r="LO179" s="9"/>
      <c r="LP179" s="9"/>
      <c r="LQ179" s="9"/>
      <c r="LR179" s="9"/>
      <c r="LS179" s="9"/>
      <c r="LT179" s="9"/>
      <c r="LU179" s="9"/>
      <c r="LV179" s="9"/>
      <c r="LW179" s="9"/>
      <c r="LX179" s="9"/>
      <c r="LY179" s="9"/>
      <c r="LZ179" s="9"/>
      <c r="MA179" s="9"/>
      <c r="MB179" s="9"/>
      <c r="MC179" s="9"/>
      <c r="MD179" s="9"/>
      <c r="ME179" s="9"/>
      <c r="MF179" s="9"/>
      <c r="MG179" s="9"/>
      <c r="MH179" s="9"/>
      <c r="MI179" s="9"/>
      <c r="MJ179" s="9"/>
      <c r="MK179" s="9"/>
      <c r="ML179" s="9"/>
      <c r="MM179" s="9"/>
      <c r="MN179" s="9"/>
      <c r="MO179" s="9"/>
      <c r="MP179" s="9"/>
      <c r="MQ179" s="9"/>
      <c r="MR179" s="9"/>
      <c r="MS179" s="9"/>
      <c r="MT179" s="9"/>
      <c r="MU179" s="9"/>
      <c r="MV179" s="9"/>
      <c r="MW179" s="9"/>
      <c r="MX179" s="9"/>
      <c r="MY179" s="9"/>
      <c r="MZ179" s="9"/>
      <c r="NA179" s="9"/>
      <c r="NB179" s="9"/>
      <c r="NC179" s="9"/>
      <c r="ND179" s="9"/>
      <c r="NE179" s="9"/>
      <c r="NF179" s="9"/>
      <c r="NG179" s="9"/>
      <c r="NH179" s="9"/>
      <c r="NI179" s="9"/>
      <c r="NJ179" s="9"/>
      <c r="NK179" s="9"/>
      <c r="NL179" s="9"/>
      <c r="NM179" s="9"/>
      <c r="NN179" s="9"/>
      <c r="NO179" s="9"/>
      <c r="NP179" s="9"/>
      <c r="NQ179" s="9"/>
      <c r="NR179" s="9"/>
      <c r="NS179" s="9"/>
      <c r="NT179" s="9"/>
      <c r="NU179" s="9"/>
      <c r="NV179" s="9"/>
      <c r="NW179" s="9"/>
      <c r="NX179" s="9"/>
      <c r="NY179" s="9"/>
      <c r="NZ179" s="9"/>
      <c r="OA179" s="9"/>
      <c r="OB179" s="9"/>
      <c r="OC179" s="9"/>
      <c r="OD179" s="9"/>
      <c r="OE179" s="9"/>
      <c r="OF179" s="9"/>
      <c r="OG179" s="9"/>
      <c r="OH179" s="9"/>
      <c r="OI179" s="9"/>
      <c r="OJ179" s="9"/>
      <c r="OK179" s="9"/>
      <c r="OL179" s="9"/>
      <c r="OM179" s="9"/>
      <c r="ON179" s="9"/>
      <c r="OO179" s="9"/>
      <c r="OP179" s="9"/>
      <c r="OQ179" s="9"/>
      <c r="OR179" s="9"/>
      <c r="OS179" s="9"/>
      <c r="OT179" s="9"/>
      <c r="OU179" s="9"/>
      <c r="OV179" s="9"/>
      <c r="OW179" s="9"/>
      <c r="OX179" s="9"/>
      <c r="OY179" s="9"/>
      <c r="OZ179" s="9"/>
      <c r="PA179" s="9"/>
      <c r="PB179" s="9"/>
      <c r="PC179" s="9"/>
      <c r="PD179" s="9"/>
      <c r="PE179" s="9"/>
      <c r="PF179" s="9"/>
      <c r="PG179" s="9"/>
      <c r="PH179" s="9"/>
      <c r="PI179" s="9"/>
      <c r="PJ179" s="9"/>
      <c r="PK179" s="9"/>
      <c r="PL179" s="9"/>
      <c r="PM179" s="9"/>
      <c r="PN179" s="9"/>
      <c r="PO179" s="9"/>
      <c r="PP179" s="9"/>
      <c r="PQ179" s="9"/>
      <c r="PR179" s="9"/>
      <c r="PS179" s="9"/>
      <c r="PT179" s="9"/>
      <c r="PU179" s="9"/>
      <c r="PV179" s="9"/>
      <c r="PW179" s="9"/>
      <c r="PX179" s="9"/>
      <c r="PY179" s="9"/>
      <c r="PZ179" s="9"/>
      <c r="QA179" s="9"/>
      <c r="QB179" s="9"/>
      <c r="QC179" s="9"/>
      <c r="QD179" s="9"/>
      <c r="QE179" s="9"/>
      <c r="QF179" s="9"/>
      <c r="QG179" s="9"/>
      <c r="QH179" s="9"/>
      <c r="QI179" s="9"/>
      <c r="QJ179" s="9"/>
      <c r="QK179" s="9"/>
      <c r="QL179" s="9"/>
      <c r="QM179" s="9"/>
      <c r="QN179" s="9"/>
      <c r="QO179" s="9"/>
      <c r="QP179" s="9"/>
      <c r="QQ179" s="9"/>
      <c r="QR179" s="9"/>
      <c r="QS179" s="9"/>
      <c r="QT179" s="9"/>
      <c r="QU179" s="9"/>
      <c r="QV179" s="9"/>
      <c r="QW179" s="9"/>
      <c r="QX179" s="9"/>
      <c r="QY179" s="9"/>
      <c r="QZ179" s="9"/>
      <c r="RA179" s="9"/>
      <c r="RB179" s="9"/>
      <c r="RC179" s="9"/>
      <c r="RD179" s="9"/>
      <c r="RE179" s="9"/>
      <c r="RF179" s="9"/>
      <c r="RG179" s="9"/>
      <c r="RH179" s="9"/>
      <c r="RI179" s="9"/>
      <c r="RJ179" s="9"/>
      <c r="RK179" s="9"/>
      <c r="RL179" s="9"/>
      <c r="RM179" s="9"/>
      <c r="RN179" s="9"/>
      <c r="RO179" s="9"/>
      <c r="RP179" s="9"/>
      <c r="RQ179" s="9"/>
      <c r="RR179" s="9"/>
      <c r="RS179" s="9"/>
      <c r="RT179" s="9"/>
      <c r="RU179" s="9"/>
      <c r="RV179" s="9"/>
      <c r="RW179" s="9"/>
      <c r="RX179" s="9"/>
      <c r="RY179" s="9"/>
      <c r="RZ179" s="9"/>
      <c r="SA179" s="9"/>
      <c r="SB179" s="9"/>
      <c r="SC179" s="9"/>
      <c r="SD179" s="9"/>
      <c r="SE179" s="9"/>
      <c r="SF179" s="9"/>
      <c r="SG179" s="9"/>
      <c r="SH179" s="9"/>
      <c r="SI179" s="9"/>
      <c r="SJ179" s="9"/>
      <c r="SK179" s="8"/>
      <c r="SL179" s="8"/>
      <c r="SM179" s="8"/>
      <c r="SN179" s="8"/>
      <c r="SO179" s="8"/>
      <c r="SP179" s="8"/>
      <c r="SQ179" s="8"/>
      <c r="SR179" s="8"/>
      <c r="SS179" s="8"/>
      <c r="ST179" s="8"/>
      <c r="SU179" s="8"/>
      <c r="SV179" s="8"/>
      <c r="SW179" s="8"/>
      <c r="SX179" s="8"/>
      <c r="SY179" s="8"/>
      <c r="SZ179" s="8"/>
      <c r="TA179" s="8"/>
      <c r="TB179" s="8"/>
      <c r="TC179" s="8"/>
      <c r="TD179" s="8"/>
      <c r="TE179" s="8"/>
      <c r="TF179" s="8"/>
      <c r="TG179" s="8"/>
      <c r="TH179" s="8"/>
      <c r="TI179" s="8"/>
      <c r="TJ179" s="8"/>
      <c r="TK179" s="8"/>
      <c r="TL179" s="8"/>
      <c r="TM179" s="8"/>
      <c r="TN179" s="8"/>
      <c r="TO179" s="8"/>
    </row>
    <row r="180" spans="1:535" x14ac:dyDescent="0.2">
      <c r="A180" s="7"/>
      <c r="B180" s="7"/>
      <c r="C180" s="9"/>
      <c r="D180" s="8"/>
      <c r="E180" s="8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9"/>
      <c r="CE180" s="9"/>
      <c r="CF180" s="9"/>
      <c r="CG180" s="9"/>
      <c r="CH180" s="9"/>
      <c r="CI180" s="9"/>
      <c r="CJ180" s="9"/>
      <c r="CK180" s="9"/>
      <c r="CL180" s="9"/>
      <c r="CM180" s="9"/>
      <c r="CN180" s="9"/>
      <c r="CO180" s="9"/>
      <c r="CP180" s="9"/>
      <c r="CQ180" s="9"/>
      <c r="CR180" s="9"/>
      <c r="CS180" s="9"/>
      <c r="CT180" s="9"/>
      <c r="CU180" s="9"/>
      <c r="CV180" s="9"/>
      <c r="CW180" s="9"/>
      <c r="CX180" s="9"/>
      <c r="CY180" s="9"/>
      <c r="CZ180" s="9"/>
      <c r="DA180" s="9"/>
      <c r="DB180" s="9"/>
      <c r="DC180" s="9"/>
      <c r="DD180" s="9"/>
      <c r="DE180" s="9"/>
      <c r="DF180" s="9"/>
      <c r="DG180" s="9"/>
      <c r="DH180" s="9"/>
      <c r="DI180" s="9"/>
      <c r="DJ180" s="9"/>
      <c r="DK180" s="9"/>
      <c r="DL180" s="9"/>
      <c r="DM180" s="9"/>
      <c r="DN180" s="9"/>
      <c r="DO180" s="9"/>
      <c r="DP180" s="9"/>
      <c r="DQ180" s="9"/>
      <c r="DR180" s="9"/>
      <c r="DS180" s="9"/>
      <c r="DT180" s="9"/>
      <c r="DU180" s="9"/>
      <c r="DV180" s="9"/>
      <c r="DW180" s="9"/>
      <c r="DX180" s="9"/>
      <c r="DY180" s="9"/>
      <c r="DZ180" s="9"/>
      <c r="EA180" s="9"/>
      <c r="EB180" s="9"/>
      <c r="EC180" s="9"/>
      <c r="ED180" s="9"/>
      <c r="EE180" s="9"/>
      <c r="EF180" s="9"/>
      <c r="EG180" s="9"/>
      <c r="EH180" s="9"/>
      <c r="EI180" s="9"/>
      <c r="EJ180" s="9"/>
      <c r="EK180" s="9"/>
      <c r="EL180" s="9"/>
      <c r="EM180" s="9"/>
      <c r="EN180" s="9"/>
      <c r="EO180" s="9"/>
      <c r="EP180" s="9"/>
      <c r="EQ180" s="9"/>
      <c r="ER180" s="9"/>
      <c r="ES180" s="9"/>
      <c r="ET180" s="9"/>
      <c r="EU180" s="9"/>
      <c r="EV180" s="9"/>
      <c r="EW180" s="9"/>
      <c r="EX180" s="9"/>
      <c r="EY180" s="9"/>
      <c r="EZ180" s="9"/>
      <c r="FA180" s="9"/>
      <c r="FB180" s="9"/>
      <c r="FC180" s="9"/>
      <c r="FD180" s="9"/>
      <c r="FE180" s="9"/>
      <c r="FF180" s="9"/>
      <c r="FG180" s="9"/>
      <c r="FH180" s="9"/>
      <c r="FI180" s="9"/>
      <c r="FJ180" s="9"/>
      <c r="FK180" s="9"/>
      <c r="FL180" s="9"/>
      <c r="FM180" s="9"/>
      <c r="FN180" s="9"/>
      <c r="FO180" s="9"/>
      <c r="FP180" s="9"/>
      <c r="FQ180" s="9"/>
      <c r="FR180" s="9"/>
      <c r="FS180" s="9"/>
      <c r="FT180" s="9"/>
      <c r="FU180" s="9"/>
      <c r="FV180" s="9"/>
      <c r="FW180" s="9"/>
      <c r="FX180" s="9"/>
      <c r="FY180" s="9"/>
      <c r="FZ180" s="9"/>
      <c r="GA180" s="9"/>
      <c r="GB180" s="9"/>
      <c r="GC180" s="9"/>
      <c r="GD180" s="9"/>
      <c r="GE180" s="9"/>
      <c r="GF180" s="9"/>
      <c r="GG180" s="9"/>
      <c r="GH180" s="9"/>
      <c r="GI180" s="9"/>
      <c r="GJ180" s="9"/>
      <c r="GK180" s="9"/>
      <c r="GL180" s="9"/>
      <c r="GM180" s="9"/>
      <c r="GN180" s="9"/>
      <c r="GO180" s="9"/>
      <c r="GP180" s="9"/>
      <c r="GQ180" s="9"/>
      <c r="GR180" s="9"/>
      <c r="GS180" s="9"/>
      <c r="GT180" s="9"/>
      <c r="GU180" s="9"/>
      <c r="GV180" s="9"/>
      <c r="GW180" s="9"/>
      <c r="GX180" s="9"/>
      <c r="GY180" s="9"/>
      <c r="GZ180" s="9"/>
      <c r="HA180" s="9"/>
      <c r="HB180" s="9"/>
      <c r="HC180" s="9"/>
      <c r="HD180" s="9"/>
      <c r="HE180" s="9"/>
      <c r="HF180" s="9"/>
      <c r="HG180" s="9"/>
      <c r="HH180" s="9"/>
      <c r="HI180" s="9"/>
      <c r="HJ180" s="9"/>
      <c r="HK180" s="9"/>
      <c r="HL180" s="9"/>
      <c r="HM180" s="9"/>
      <c r="HN180" s="9"/>
      <c r="HO180" s="9"/>
      <c r="HP180" s="9"/>
      <c r="HQ180" s="9"/>
      <c r="HR180" s="9"/>
      <c r="HS180" s="9"/>
      <c r="HT180" s="9"/>
      <c r="HU180" s="9"/>
      <c r="HV180" s="9"/>
      <c r="HW180" s="9"/>
      <c r="HX180" s="9"/>
      <c r="HY180" s="9"/>
      <c r="HZ180" s="9"/>
      <c r="IA180" s="9"/>
      <c r="IB180" s="9"/>
      <c r="IC180" s="9"/>
      <c r="ID180" s="9"/>
      <c r="IE180" s="9"/>
      <c r="IF180" s="9"/>
      <c r="IG180" s="9"/>
      <c r="IH180" s="9"/>
      <c r="II180" s="9"/>
      <c r="IJ180" s="9"/>
      <c r="IK180" s="9"/>
      <c r="IL180" s="9"/>
      <c r="IM180" s="9"/>
      <c r="IN180" s="9"/>
      <c r="IO180" s="9"/>
      <c r="IP180" s="9"/>
      <c r="IQ180" s="9"/>
      <c r="IR180" s="9"/>
      <c r="IS180" s="9"/>
      <c r="IT180" s="9"/>
      <c r="IU180" s="9"/>
      <c r="IV180" s="9"/>
      <c r="IW180" s="9"/>
      <c r="IX180" s="9"/>
      <c r="IY180" s="9"/>
      <c r="IZ180" s="9"/>
      <c r="JA180" s="9"/>
      <c r="JB180" s="9"/>
      <c r="JC180" s="9"/>
      <c r="JD180" s="9"/>
      <c r="JE180" s="9"/>
      <c r="JF180" s="9"/>
      <c r="JG180" s="9"/>
      <c r="JH180" s="9"/>
      <c r="JI180" s="9"/>
      <c r="JJ180" s="9"/>
      <c r="JK180" s="9"/>
      <c r="JL180" s="9"/>
      <c r="JM180" s="9"/>
      <c r="JN180" s="9"/>
      <c r="JO180" s="9"/>
      <c r="JP180" s="9"/>
      <c r="JQ180" s="9"/>
      <c r="JR180" s="9"/>
      <c r="JS180" s="9"/>
      <c r="JT180" s="9"/>
      <c r="JU180" s="9"/>
      <c r="JV180" s="9"/>
      <c r="JW180" s="9"/>
      <c r="JX180" s="9"/>
      <c r="JY180" s="9"/>
      <c r="JZ180" s="9"/>
      <c r="KA180" s="9"/>
      <c r="KB180" s="9"/>
      <c r="KC180" s="9"/>
      <c r="KD180" s="9"/>
      <c r="KE180" s="9"/>
      <c r="KF180" s="9"/>
      <c r="KG180" s="9"/>
      <c r="KH180" s="9"/>
      <c r="KI180" s="9"/>
      <c r="KJ180" s="9"/>
      <c r="KK180" s="9"/>
      <c r="KL180" s="9"/>
      <c r="KM180" s="9"/>
      <c r="KN180" s="9"/>
      <c r="KO180" s="9"/>
      <c r="KP180" s="9"/>
      <c r="KQ180" s="9"/>
      <c r="KR180" s="9"/>
      <c r="KS180" s="9"/>
      <c r="KT180" s="9"/>
      <c r="KU180" s="9"/>
      <c r="KV180" s="9"/>
      <c r="KW180" s="9"/>
      <c r="KX180" s="9"/>
      <c r="KY180" s="9"/>
      <c r="KZ180" s="9"/>
      <c r="LA180" s="9"/>
      <c r="LB180" s="9"/>
      <c r="LC180" s="9"/>
      <c r="LD180" s="9"/>
      <c r="LE180" s="9"/>
      <c r="LF180" s="9"/>
      <c r="LG180" s="9"/>
      <c r="LH180" s="9"/>
      <c r="LI180" s="9"/>
      <c r="LJ180" s="9"/>
      <c r="LK180" s="9"/>
      <c r="LL180" s="9"/>
      <c r="LM180" s="9"/>
      <c r="LN180" s="9"/>
      <c r="LO180" s="9"/>
      <c r="LP180" s="9"/>
      <c r="LQ180" s="9"/>
      <c r="LR180" s="9"/>
      <c r="LS180" s="9"/>
      <c r="LT180" s="9"/>
      <c r="LU180" s="9"/>
      <c r="LV180" s="9"/>
      <c r="LW180" s="9"/>
      <c r="LX180" s="9"/>
      <c r="LY180" s="9"/>
      <c r="LZ180" s="9"/>
      <c r="MA180" s="9"/>
      <c r="MB180" s="9"/>
      <c r="MC180" s="9"/>
      <c r="MD180" s="9"/>
      <c r="ME180" s="9"/>
      <c r="MF180" s="9"/>
      <c r="MG180" s="9"/>
      <c r="MH180" s="9"/>
      <c r="MI180" s="9"/>
      <c r="MJ180" s="9"/>
      <c r="MK180" s="9"/>
      <c r="ML180" s="9"/>
      <c r="MM180" s="9"/>
      <c r="MN180" s="9"/>
      <c r="MO180" s="9"/>
      <c r="MP180" s="9"/>
      <c r="MQ180" s="9"/>
      <c r="MR180" s="9"/>
      <c r="MS180" s="9"/>
      <c r="MT180" s="9"/>
      <c r="MU180" s="9"/>
      <c r="MV180" s="9"/>
      <c r="MW180" s="9"/>
      <c r="MX180" s="9"/>
      <c r="MY180" s="9"/>
      <c r="MZ180" s="9"/>
      <c r="NA180" s="9"/>
      <c r="NB180" s="9"/>
      <c r="NC180" s="9"/>
      <c r="ND180" s="9"/>
      <c r="NE180" s="9"/>
      <c r="NF180" s="9"/>
      <c r="NG180" s="9"/>
      <c r="NH180" s="9"/>
      <c r="NI180" s="9"/>
      <c r="NJ180" s="9"/>
      <c r="NK180" s="9"/>
      <c r="NL180" s="9"/>
      <c r="NM180" s="9"/>
      <c r="NN180" s="9"/>
      <c r="NO180" s="9"/>
      <c r="NP180" s="9"/>
      <c r="NQ180" s="9"/>
      <c r="NR180" s="9"/>
      <c r="NS180" s="9"/>
      <c r="NT180" s="9"/>
      <c r="NU180" s="9"/>
      <c r="NV180" s="9"/>
      <c r="NW180" s="9"/>
      <c r="NX180" s="9"/>
      <c r="NY180" s="9"/>
      <c r="NZ180" s="9"/>
      <c r="OA180" s="9"/>
      <c r="OB180" s="9"/>
      <c r="OC180" s="9"/>
      <c r="OD180" s="9"/>
      <c r="OE180" s="9"/>
      <c r="OF180" s="9"/>
      <c r="OG180" s="9"/>
      <c r="OH180" s="9"/>
      <c r="OI180" s="9"/>
      <c r="OJ180" s="9"/>
      <c r="OK180" s="9"/>
      <c r="OL180" s="9"/>
      <c r="OM180" s="9"/>
      <c r="ON180" s="9"/>
      <c r="OO180" s="9"/>
      <c r="OP180" s="9"/>
      <c r="OQ180" s="9"/>
      <c r="OR180" s="9"/>
      <c r="OS180" s="9"/>
      <c r="OT180" s="9"/>
      <c r="OU180" s="9"/>
      <c r="OV180" s="9"/>
      <c r="OW180" s="9"/>
      <c r="OX180" s="9"/>
      <c r="OY180" s="9"/>
      <c r="OZ180" s="9"/>
      <c r="PA180" s="9"/>
      <c r="PB180" s="9"/>
      <c r="PC180" s="9"/>
      <c r="PD180" s="9"/>
      <c r="PE180" s="9"/>
      <c r="PF180" s="9"/>
      <c r="PG180" s="9"/>
      <c r="PH180" s="9"/>
      <c r="PI180" s="9"/>
      <c r="PJ180" s="9"/>
      <c r="PK180" s="9"/>
      <c r="PL180" s="9"/>
      <c r="PM180" s="9"/>
      <c r="PN180" s="9"/>
      <c r="PO180" s="9"/>
      <c r="PP180" s="9"/>
      <c r="PQ180" s="9"/>
      <c r="PR180" s="9"/>
      <c r="PS180" s="9"/>
      <c r="PT180" s="9"/>
      <c r="PU180" s="9"/>
      <c r="PV180" s="9"/>
      <c r="PW180" s="9"/>
      <c r="PX180" s="9"/>
      <c r="PY180" s="9"/>
      <c r="PZ180" s="9"/>
      <c r="QA180" s="9"/>
      <c r="QB180" s="9"/>
      <c r="QC180" s="9"/>
      <c r="QD180" s="9"/>
      <c r="QE180" s="9"/>
      <c r="QF180" s="9"/>
      <c r="QG180" s="9"/>
      <c r="QH180" s="9"/>
      <c r="QI180" s="9"/>
      <c r="QJ180" s="9"/>
      <c r="QK180" s="9"/>
      <c r="QL180" s="9"/>
      <c r="QM180" s="9"/>
      <c r="QN180" s="9"/>
      <c r="QO180" s="9"/>
      <c r="QP180" s="9"/>
      <c r="QQ180" s="9"/>
      <c r="QR180" s="9"/>
      <c r="QS180" s="9"/>
      <c r="QT180" s="9"/>
      <c r="QU180" s="9"/>
      <c r="QV180" s="9"/>
      <c r="QW180" s="9"/>
      <c r="QX180" s="9"/>
      <c r="QY180" s="9"/>
      <c r="QZ180" s="9"/>
      <c r="RA180" s="9"/>
      <c r="RB180" s="9"/>
      <c r="RC180" s="9"/>
      <c r="RD180" s="9"/>
      <c r="RE180" s="9"/>
      <c r="RF180" s="9"/>
      <c r="RG180" s="9"/>
      <c r="RH180" s="9"/>
      <c r="RI180" s="9"/>
      <c r="RJ180" s="9"/>
      <c r="RK180" s="9"/>
      <c r="RL180" s="9"/>
      <c r="RM180" s="9"/>
      <c r="RN180" s="9"/>
      <c r="RO180" s="9"/>
      <c r="RP180" s="9"/>
      <c r="RQ180" s="9"/>
      <c r="RR180" s="9"/>
      <c r="RS180" s="9"/>
      <c r="RT180" s="9"/>
      <c r="RU180" s="9"/>
      <c r="RV180" s="9"/>
      <c r="RW180" s="9"/>
      <c r="RX180" s="9"/>
      <c r="RY180" s="9"/>
      <c r="RZ180" s="9"/>
      <c r="SA180" s="9"/>
      <c r="SB180" s="9"/>
      <c r="SC180" s="9"/>
      <c r="SD180" s="9"/>
      <c r="SE180" s="9"/>
      <c r="SF180" s="9"/>
      <c r="SG180" s="9"/>
      <c r="SH180" s="9"/>
      <c r="SI180" s="9"/>
      <c r="SJ180" s="9"/>
      <c r="SK180" s="8"/>
      <c r="SL180" s="8"/>
      <c r="SM180" s="8"/>
      <c r="SN180" s="8"/>
      <c r="SO180" s="8"/>
      <c r="SP180" s="8"/>
      <c r="SQ180" s="8"/>
      <c r="SR180" s="8"/>
      <c r="SS180" s="8"/>
      <c r="ST180" s="8"/>
      <c r="SU180" s="8"/>
      <c r="SV180" s="8"/>
      <c r="SW180" s="8"/>
      <c r="SX180" s="8"/>
      <c r="SY180" s="8"/>
      <c r="SZ180" s="8"/>
      <c r="TA180" s="8"/>
      <c r="TB180" s="8"/>
      <c r="TC180" s="8"/>
      <c r="TD180" s="8"/>
      <c r="TE180" s="8"/>
      <c r="TF180" s="8"/>
      <c r="TG180" s="8"/>
      <c r="TH180" s="8"/>
      <c r="TI180" s="8"/>
      <c r="TJ180" s="8"/>
      <c r="TK180" s="8"/>
      <c r="TL180" s="8"/>
      <c r="TM180" s="8"/>
      <c r="TN180" s="8"/>
      <c r="TO180" s="8"/>
    </row>
    <row r="181" spans="1:535" x14ac:dyDescent="0.2">
      <c r="A181" s="7"/>
      <c r="B181" s="7"/>
      <c r="C181" s="9"/>
      <c r="D181" s="8"/>
      <c r="E181" s="8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  <c r="CJ181" s="9"/>
      <c r="CK181" s="9"/>
      <c r="CL181" s="9"/>
      <c r="CM181" s="9"/>
      <c r="CN181" s="9"/>
      <c r="CO181" s="9"/>
      <c r="CP181" s="9"/>
      <c r="CQ181" s="9"/>
      <c r="CR181" s="9"/>
      <c r="CS181" s="9"/>
      <c r="CT181" s="9"/>
      <c r="CU181" s="9"/>
      <c r="CV181" s="9"/>
      <c r="CW181" s="9"/>
      <c r="CX181" s="9"/>
      <c r="CY181" s="9"/>
      <c r="CZ181" s="9"/>
      <c r="DA181" s="9"/>
      <c r="DB181" s="9"/>
      <c r="DC181" s="9"/>
      <c r="DD181" s="9"/>
      <c r="DE181" s="9"/>
      <c r="DF181" s="9"/>
      <c r="DG181" s="9"/>
      <c r="DH181" s="9"/>
      <c r="DI181" s="9"/>
      <c r="DJ181" s="9"/>
      <c r="DK181" s="9"/>
      <c r="DL181" s="9"/>
      <c r="DM181" s="9"/>
      <c r="DN181" s="9"/>
      <c r="DO181" s="9"/>
      <c r="DP181" s="9"/>
      <c r="DQ181" s="9"/>
      <c r="DR181" s="9"/>
      <c r="DS181" s="9"/>
      <c r="DT181" s="9"/>
      <c r="DU181" s="9"/>
      <c r="DV181" s="9"/>
      <c r="DW181" s="9"/>
      <c r="DX181" s="9"/>
      <c r="DY181" s="9"/>
      <c r="DZ181" s="9"/>
      <c r="EA181" s="9"/>
      <c r="EB181" s="9"/>
      <c r="EC181" s="9"/>
      <c r="ED181" s="9"/>
      <c r="EE181" s="9"/>
      <c r="EF181" s="9"/>
      <c r="EG181" s="9"/>
      <c r="EH181" s="9"/>
      <c r="EI181" s="9"/>
      <c r="EJ181" s="9"/>
      <c r="EK181" s="9"/>
      <c r="EL181" s="9"/>
      <c r="EM181" s="9"/>
      <c r="EN181" s="9"/>
      <c r="EO181" s="9"/>
      <c r="EP181" s="9"/>
      <c r="EQ181" s="9"/>
      <c r="ER181" s="9"/>
      <c r="ES181" s="9"/>
      <c r="ET181" s="9"/>
      <c r="EU181" s="9"/>
      <c r="EV181" s="9"/>
      <c r="EW181" s="9"/>
      <c r="EX181" s="9"/>
      <c r="EY181" s="9"/>
      <c r="EZ181" s="9"/>
      <c r="FA181" s="9"/>
      <c r="FB181" s="9"/>
      <c r="FC181" s="9"/>
      <c r="FD181" s="9"/>
      <c r="FE181" s="9"/>
      <c r="FF181" s="9"/>
      <c r="FG181" s="9"/>
      <c r="FH181" s="9"/>
      <c r="FI181" s="9"/>
      <c r="FJ181" s="9"/>
      <c r="FK181" s="9"/>
      <c r="FL181" s="9"/>
      <c r="FM181" s="9"/>
      <c r="FN181" s="9"/>
      <c r="FO181" s="9"/>
      <c r="FP181" s="9"/>
      <c r="FQ181" s="9"/>
      <c r="FR181" s="9"/>
      <c r="FS181" s="9"/>
      <c r="FT181" s="9"/>
      <c r="FU181" s="9"/>
      <c r="FV181" s="9"/>
      <c r="FW181" s="9"/>
      <c r="FX181" s="9"/>
      <c r="FY181" s="9"/>
      <c r="FZ181" s="9"/>
      <c r="GA181" s="9"/>
      <c r="GB181" s="9"/>
      <c r="GC181" s="9"/>
      <c r="GD181" s="9"/>
      <c r="GE181" s="9"/>
      <c r="GF181" s="9"/>
      <c r="GG181" s="9"/>
      <c r="GH181" s="9"/>
      <c r="GI181" s="9"/>
      <c r="GJ181" s="9"/>
      <c r="GK181" s="9"/>
      <c r="GL181" s="9"/>
      <c r="GM181" s="9"/>
      <c r="GN181" s="9"/>
      <c r="GO181" s="9"/>
      <c r="GP181" s="9"/>
      <c r="GQ181" s="9"/>
      <c r="GR181" s="9"/>
      <c r="GS181" s="9"/>
      <c r="GT181" s="9"/>
      <c r="GU181" s="9"/>
      <c r="GV181" s="9"/>
      <c r="GW181" s="9"/>
      <c r="GX181" s="9"/>
      <c r="GY181" s="9"/>
      <c r="GZ181" s="9"/>
      <c r="HA181" s="9"/>
      <c r="HB181" s="9"/>
      <c r="HC181" s="9"/>
      <c r="HD181" s="9"/>
      <c r="HE181" s="9"/>
      <c r="HF181" s="9"/>
      <c r="HG181" s="9"/>
      <c r="HH181" s="9"/>
      <c r="HI181" s="9"/>
      <c r="HJ181" s="9"/>
      <c r="HK181" s="9"/>
      <c r="HL181" s="9"/>
      <c r="HM181" s="9"/>
      <c r="HN181" s="9"/>
      <c r="HO181" s="9"/>
      <c r="HP181" s="9"/>
      <c r="HQ181" s="9"/>
      <c r="HR181" s="9"/>
      <c r="HS181" s="9"/>
      <c r="HT181" s="9"/>
      <c r="HU181" s="9"/>
      <c r="HV181" s="9"/>
      <c r="HW181" s="9"/>
      <c r="HX181" s="9"/>
      <c r="HY181" s="9"/>
      <c r="HZ181" s="9"/>
      <c r="IA181" s="9"/>
      <c r="IB181" s="9"/>
      <c r="IC181" s="9"/>
      <c r="ID181" s="9"/>
      <c r="IE181" s="9"/>
      <c r="IF181" s="9"/>
      <c r="IG181" s="9"/>
      <c r="IH181" s="9"/>
      <c r="II181" s="9"/>
      <c r="IJ181" s="9"/>
      <c r="IK181" s="9"/>
      <c r="IL181" s="9"/>
      <c r="IM181" s="9"/>
      <c r="IN181" s="9"/>
      <c r="IO181" s="9"/>
      <c r="IP181" s="9"/>
      <c r="IQ181" s="9"/>
      <c r="IR181" s="9"/>
      <c r="IS181" s="9"/>
      <c r="IT181" s="9"/>
      <c r="IU181" s="9"/>
      <c r="IV181" s="9"/>
      <c r="IW181" s="9"/>
      <c r="IX181" s="9"/>
      <c r="IY181" s="9"/>
      <c r="IZ181" s="9"/>
      <c r="JA181" s="9"/>
      <c r="JB181" s="9"/>
      <c r="JC181" s="9"/>
      <c r="JD181" s="9"/>
      <c r="JE181" s="9"/>
      <c r="JF181" s="9"/>
      <c r="JG181" s="9"/>
      <c r="JH181" s="9"/>
      <c r="JI181" s="9"/>
      <c r="JJ181" s="9"/>
      <c r="JK181" s="9"/>
      <c r="JL181" s="9"/>
      <c r="JM181" s="9"/>
      <c r="JN181" s="9"/>
      <c r="JO181" s="9"/>
      <c r="JP181" s="9"/>
      <c r="JQ181" s="9"/>
      <c r="JR181" s="9"/>
      <c r="JS181" s="9"/>
      <c r="JT181" s="9"/>
      <c r="JU181" s="9"/>
      <c r="JV181" s="9"/>
      <c r="JW181" s="9"/>
      <c r="JX181" s="9"/>
      <c r="JY181" s="9"/>
      <c r="JZ181" s="9"/>
      <c r="KA181" s="9"/>
      <c r="KB181" s="9"/>
      <c r="KC181" s="9"/>
      <c r="KD181" s="9"/>
      <c r="KE181" s="9"/>
      <c r="KF181" s="9"/>
      <c r="KG181" s="9"/>
      <c r="KH181" s="9"/>
      <c r="KI181" s="9"/>
      <c r="KJ181" s="9"/>
      <c r="KK181" s="9"/>
      <c r="KL181" s="9"/>
      <c r="KM181" s="9"/>
      <c r="KN181" s="9"/>
      <c r="KO181" s="9"/>
      <c r="KP181" s="9"/>
      <c r="KQ181" s="9"/>
      <c r="KR181" s="9"/>
      <c r="KS181" s="9"/>
      <c r="KT181" s="9"/>
      <c r="KU181" s="9"/>
      <c r="KV181" s="9"/>
      <c r="KW181" s="9"/>
      <c r="KX181" s="9"/>
      <c r="KY181" s="9"/>
      <c r="KZ181" s="9"/>
      <c r="LA181" s="9"/>
      <c r="LB181" s="9"/>
      <c r="LC181" s="9"/>
      <c r="LD181" s="9"/>
      <c r="LE181" s="9"/>
      <c r="LF181" s="9"/>
      <c r="LG181" s="9"/>
      <c r="LH181" s="9"/>
      <c r="LI181" s="9"/>
      <c r="LJ181" s="9"/>
      <c r="LK181" s="9"/>
      <c r="LL181" s="9"/>
      <c r="LM181" s="9"/>
      <c r="LN181" s="9"/>
      <c r="LO181" s="9"/>
      <c r="LP181" s="9"/>
      <c r="LQ181" s="9"/>
      <c r="LR181" s="9"/>
      <c r="LS181" s="9"/>
      <c r="LT181" s="9"/>
      <c r="LU181" s="9"/>
      <c r="LV181" s="9"/>
      <c r="LW181" s="9"/>
      <c r="LX181" s="9"/>
      <c r="LY181" s="9"/>
      <c r="LZ181" s="9"/>
      <c r="MA181" s="9"/>
      <c r="MB181" s="9"/>
      <c r="MC181" s="9"/>
      <c r="MD181" s="9"/>
      <c r="ME181" s="9"/>
      <c r="MF181" s="9"/>
      <c r="MG181" s="9"/>
      <c r="MH181" s="9"/>
      <c r="MI181" s="9"/>
      <c r="MJ181" s="9"/>
      <c r="MK181" s="9"/>
      <c r="ML181" s="9"/>
      <c r="MM181" s="9"/>
      <c r="MN181" s="9"/>
      <c r="MO181" s="9"/>
      <c r="MP181" s="9"/>
      <c r="MQ181" s="9"/>
      <c r="MR181" s="9"/>
      <c r="MS181" s="9"/>
      <c r="MT181" s="9"/>
      <c r="MU181" s="9"/>
      <c r="MV181" s="9"/>
      <c r="MW181" s="9"/>
      <c r="MX181" s="9"/>
      <c r="MY181" s="9"/>
      <c r="MZ181" s="9"/>
      <c r="NA181" s="9"/>
      <c r="NB181" s="9"/>
      <c r="NC181" s="9"/>
      <c r="ND181" s="9"/>
      <c r="NE181" s="9"/>
      <c r="NF181" s="9"/>
      <c r="NG181" s="9"/>
      <c r="NH181" s="9"/>
      <c r="NI181" s="9"/>
      <c r="NJ181" s="9"/>
      <c r="NK181" s="9"/>
      <c r="NL181" s="9"/>
      <c r="NM181" s="9"/>
      <c r="NN181" s="9"/>
      <c r="NO181" s="9"/>
      <c r="NP181" s="9"/>
      <c r="NQ181" s="9"/>
      <c r="NR181" s="9"/>
      <c r="NS181" s="9"/>
      <c r="NT181" s="9"/>
      <c r="NU181" s="9"/>
      <c r="NV181" s="9"/>
      <c r="NW181" s="9"/>
      <c r="NX181" s="9"/>
      <c r="NY181" s="9"/>
      <c r="NZ181" s="9"/>
      <c r="OA181" s="9"/>
      <c r="OB181" s="9"/>
      <c r="OC181" s="9"/>
      <c r="OD181" s="9"/>
      <c r="OE181" s="9"/>
      <c r="OF181" s="9"/>
      <c r="OG181" s="9"/>
      <c r="OH181" s="9"/>
      <c r="OI181" s="9"/>
      <c r="OJ181" s="9"/>
      <c r="OK181" s="9"/>
      <c r="OL181" s="9"/>
      <c r="OM181" s="9"/>
      <c r="ON181" s="9"/>
      <c r="OO181" s="9"/>
      <c r="OP181" s="9"/>
      <c r="OQ181" s="9"/>
      <c r="OR181" s="9"/>
      <c r="OS181" s="9"/>
      <c r="OT181" s="9"/>
      <c r="OU181" s="9"/>
      <c r="OV181" s="9"/>
      <c r="OW181" s="9"/>
      <c r="OX181" s="9"/>
      <c r="OY181" s="9"/>
      <c r="OZ181" s="9"/>
      <c r="PA181" s="9"/>
      <c r="PB181" s="9"/>
      <c r="PC181" s="9"/>
      <c r="PD181" s="9"/>
      <c r="PE181" s="9"/>
      <c r="PF181" s="9"/>
      <c r="PG181" s="9"/>
      <c r="PH181" s="9"/>
      <c r="PI181" s="9"/>
      <c r="PJ181" s="9"/>
      <c r="PK181" s="9"/>
      <c r="PL181" s="9"/>
      <c r="PM181" s="9"/>
      <c r="PN181" s="9"/>
      <c r="PO181" s="9"/>
      <c r="PP181" s="9"/>
      <c r="PQ181" s="9"/>
      <c r="PR181" s="9"/>
      <c r="PS181" s="9"/>
      <c r="PT181" s="9"/>
      <c r="PU181" s="9"/>
      <c r="PV181" s="9"/>
      <c r="PW181" s="9"/>
      <c r="PX181" s="9"/>
      <c r="PY181" s="9"/>
      <c r="PZ181" s="9"/>
      <c r="QA181" s="9"/>
      <c r="QB181" s="9"/>
      <c r="QC181" s="9"/>
      <c r="QD181" s="9"/>
      <c r="QE181" s="9"/>
      <c r="QF181" s="9"/>
      <c r="QG181" s="9"/>
      <c r="QH181" s="9"/>
      <c r="QI181" s="9"/>
      <c r="QJ181" s="9"/>
      <c r="QK181" s="9"/>
      <c r="QL181" s="9"/>
      <c r="QM181" s="9"/>
      <c r="QN181" s="9"/>
      <c r="QO181" s="9"/>
      <c r="QP181" s="9"/>
      <c r="QQ181" s="9"/>
      <c r="QR181" s="9"/>
      <c r="QS181" s="9"/>
      <c r="QT181" s="9"/>
      <c r="QU181" s="9"/>
      <c r="QV181" s="9"/>
      <c r="QW181" s="9"/>
      <c r="QX181" s="9"/>
      <c r="QY181" s="9"/>
      <c r="QZ181" s="9"/>
      <c r="RA181" s="9"/>
      <c r="RB181" s="9"/>
      <c r="RC181" s="9"/>
      <c r="RD181" s="9"/>
      <c r="RE181" s="9"/>
      <c r="RF181" s="9"/>
      <c r="RG181" s="9"/>
      <c r="RH181" s="9"/>
      <c r="RI181" s="9"/>
      <c r="RJ181" s="9"/>
      <c r="RK181" s="9"/>
      <c r="RL181" s="9"/>
      <c r="RM181" s="9"/>
      <c r="RN181" s="9"/>
      <c r="RO181" s="9"/>
      <c r="RP181" s="9"/>
      <c r="RQ181" s="9"/>
      <c r="RR181" s="9"/>
      <c r="RS181" s="9"/>
      <c r="RT181" s="9"/>
      <c r="RU181" s="9"/>
      <c r="RV181" s="9"/>
      <c r="RW181" s="9"/>
      <c r="RX181" s="9"/>
      <c r="RY181" s="9"/>
      <c r="RZ181" s="9"/>
      <c r="SA181" s="9"/>
      <c r="SB181" s="9"/>
      <c r="SC181" s="9"/>
      <c r="SD181" s="9"/>
      <c r="SE181" s="9"/>
      <c r="SF181" s="9"/>
      <c r="SG181" s="9"/>
      <c r="SH181" s="9"/>
      <c r="SI181" s="9"/>
      <c r="SJ181" s="9"/>
      <c r="SK181" s="8"/>
      <c r="SL181" s="8"/>
      <c r="SM181" s="8"/>
      <c r="SN181" s="8"/>
      <c r="SO181" s="8"/>
      <c r="SP181" s="8"/>
      <c r="SQ181" s="8"/>
      <c r="SR181" s="8"/>
      <c r="SS181" s="8"/>
      <c r="ST181" s="8"/>
      <c r="SU181" s="8"/>
      <c r="SV181" s="8"/>
      <c r="SW181" s="8"/>
      <c r="SX181" s="8"/>
      <c r="SY181" s="8"/>
      <c r="SZ181" s="8"/>
      <c r="TA181" s="8"/>
      <c r="TB181" s="8"/>
      <c r="TC181" s="8"/>
      <c r="TD181" s="8"/>
      <c r="TE181" s="8"/>
      <c r="TF181" s="8"/>
      <c r="TG181" s="8"/>
      <c r="TH181" s="8"/>
      <c r="TI181" s="8"/>
      <c r="TJ181" s="8"/>
      <c r="TK181" s="8"/>
      <c r="TL181" s="8"/>
      <c r="TM181" s="8"/>
      <c r="TN181" s="8"/>
      <c r="TO181" s="8"/>
    </row>
    <row r="182" spans="1:535" x14ac:dyDescent="0.2">
      <c r="A182" s="7"/>
      <c r="B182" s="7"/>
      <c r="C182" s="9"/>
      <c r="D182" s="8"/>
      <c r="E182" s="8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L182" s="9"/>
      <c r="CM182" s="9"/>
      <c r="CN182" s="9"/>
      <c r="CO182" s="9"/>
      <c r="CP182" s="9"/>
      <c r="CQ182" s="9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  <c r="DO182" s="9"/>
      <c r="DP182" s="9"/>
      <c r="DQ182" s="9"/>
      <c r="DR182" s="9"/>
      <c r="DS182" s="9"/>
      <c r="DT182" s="9"/>
      <c r="DU182" s="9"/>
      <c r="DV182" s="9"/>
      <c r="DW182" s="9"/>
      <c r="DX182" s="9"/>
      <c r="DY182" s="9"/>
      <c r="DZ182" s="9"/>
      <c r="EA182" s="9"/>
      <c r="EB182" s="9"/>
      <c r="EC182" s="9"/>
      <c r="ED182" s="9"/>
      <c r="EE182" s="9"/>
      <c r="EF182" s="9"/>
      <c r="EG182" s="9"/>
      <c r="EH182" s="9"/>
      <c r="EI182" s="9"/>
      <c r="EJ182" s="9"/>
      <c r="EK182" s="9"/>
      <c r="EL182" s="9"/>
      <c r="EM182" s="9"/>
      <c r="EN182" s="9"/>
      <c r="EO182" s="9"/>
      <c r="EP182" s="9"/>
      <c r="EQ182" s="9"/>
      <c r="ER182" s="9"/>
      <c r="ES182" s="9"/>
      <c r="ET182" s="9"/>
      <c r="EU182" s="9"/>
      <c r="EV182" s="9"/>
      <c r="EW182" s="9"/>
      <c r="EX182" s="9"/>
      <c r="EY182" s="9"/>
      <c r="EZ182" s="9"/>
      <c r="FA182" s="9"/>
      <c r="FB182" s="9"/>
      <c r="FC182" s="9"/>
      <c r="FD182" s="9"/>
      <c r="FE182" s="9"/>
      <c r="FF182" s="9"/>
      <c r="FG182" s="9"/>
      <c r="FH182" s="9"/>
      <c r="FI182" s="9"/>
      <c r="FJ182" s="9"/>
      <c r="FK182" s="9"/>
      <c r="FL182" s="9"/>
      <c r="FM182" s="9"/>
      <c r="FN182" s="9"/>
      <c r="FO182" s="9"/>
      <c r="FP182" s="9"/>
      <c r="FQ182" s="9"/>
      <c r="FR182" s="9"/>
      <c r="FS182" s="9"/>
      <c r="FT182" s="9"/>
      <c r="FU182" s="9"/>
      <c r="FV182" s="9"/>
      <c r="FW182" s="9"/>
      <c r="FX182" s="9"/>
      <c r="FY182" s="9"/>
      <c r="FZ182" s="9"/>
      <c r="GA182" s="9"/>
      <c r="GB182" s="9"/>
      <c r="GC182" s="9"/>
      <c r="GD182" s="9"/>
      <c r="GE182" s="9"/>
      <c r="GF182" s="9"/>
      <c r="GG182" s="9"/>
      <c r="GH182" s="9"/>
      <c r="GI182" s="9"/>
      <c r="GJ182" s="9"/>
      <c r="GK182" s="9"/>
      <c r="GL182" s="9"/>
      <c r="GM182" s="9"/>
      <c r="GN182" s="9"/>
      <c r="GO182" s="9"/>
      <c r="GP182" s="9"/>
      <c r="GQ182" s="9"/>
      <c r="GR182" s="9"/>
      <c r="GS182" s="9"/>
      <c r="GT182" s="9"/>
      <c r="GU182" s="9"/>
      <c r="GV182" s="9"/>
      <c r="GW182" s="9"/>
      <c r="GX182" s="9"/>
      <c r="GY182" s="9"/>
      <c r="GZ182" s="9"/>
      <c r="HA182" s="9"/>
      <c r="HB182" s="9"/>
      <c r="HC182" s="9"/>
      <c r="HD182" s="9"/>
      <c r="HE182" s="9"/>
      <c r="HF182" s="9"/>
      <c r="HG182" s="9"/>
      <c r="HH182" s="9"/>
      <c r="HI182" s="9"/>
      <c r="HJ182" s="9"/>
      <c r="HK182" s="9"/>
      <c r="HL182" s="9"/>
      <c r="HM182" s="9"/>
      <c r="HN182" s="9"/>
      <c r="HO182" s="9"/>
      <c r="HP182" s="9"/>
      <c r="HQ182" s="9"/>
      <c r="HR182" s="9"/>
      <c r="HS182" s="9"/>
      <c r="HT182" s="9"/>
      <c r="HU182" s="9"/>
      <c r="HV182" s="9"/>
      <c r="HW182" s="9"/>
      <c r="HX182" s="9"/>
      <c r="HY182" s="9"/>
      <c r="HZ182" s="9"/>
      <c r="IA182" s="9"/>
      <c r="IB182" s="9"/>
      <c r="IC182" s="9"/>
      <c r="ID182" s="9"/>
      <c r="IE182" s="9"/>
      <c r="IF182" s="9"/>
      <c r="IG182" s="9"/>
      <c r="IH182" s="9"/>
      <c r="II182" s="9"/>
      <c r="IJ182" s="9"/>
      <c r="IK182" s="9"/>
      <c r="IL182" s="9"/>
      <c r="IM182" s="9"/>
      <c r="IN182" s="9"/>
      <c r="IO182" s="9"/>
      <c r="IP182" s="9"/>
      <c r="IQ182" s="9"/>
      <c r="IR182" s="9"/>
      <c r="IS182" s="9"/>
      <c r="IT182" s="9"/>
      <c r="IU182" s="9"/>
      <c r="IV182" s="9"/>
      <c r="IW182" s="9"/>
      <c r="IX182" s="9"/>
      <c r="IY182" s="9"/>
      <c r="IZ182" s="9"/>
      <c r="JA182" s="9"/>
      <c r="JB182" s="9"/>
      <c r="JC182" s="9"/>
      <c r="JD182" s="9"/>
      <c r="JE182" s="9"/>
      <c r="JF182" s="9"/>
      <c r="JG182" s="9"/>
      <c r="JH182" s="9"/>
      <c r="JI182" s="9"/>
      <c r="JJ182" s="9"/>
      <c r="JK182" s="9"/>
      <c r="JL182" s="9"/>
      <c r="JM182" s="9"/>
      <c r="JN182" s="9"/>
      <c r="JO182" s="9"/>
      <c r="JP182" s="9"/>
      <c r="JQ182" s="9"/>
      <c r="JR182" s="9"/>
      <c r="JS182" s="9"/>
      <c r="JT182" s="9"/>
      <c r="JU182" s="9"/>
      <c r="JV182" s="9"/>
      <c r="JW182" s="9"/>
      <c r="JX182" s="9"/>
      <c r="JY182" s="9"/>
      <c r="JZ182" s="9"/>
      <c r="KA182" s="9"/>
      <c r="KB182" s="9"/>
      <c r="KC182" s="9"/>
      <c r="KD182" s="9"/>
      <c r="KE182" s="9"/>
      <c r="KF182" s="9"/>
      <c r="KG182" s="9"/>
      <c r="KH182" s="9"/>
      <c r="KI182" s="9"/>
      <c r="KJ182" s="9"/>
      <c r="KK182" s="9"/>
      <c r="KL182" s="9"/>
      <c r="KM182" s="9"/>
      <c r="KN182" s="9"/>
      <c r="KO182" s="9"/>
      <c r="KP182" s="9"/>
      <c r="KQ182" s="9"/>
      <c r="KR182" s="9"/>
      <c r="KS182" s="9"/>
      <c r="KT182" s="9"/>
      <c r="KU182" s="9"/>
      <c r="KV182" s="9"/>
      <c r="KW182" s="9"/>
      <c r="KX182" s="9"/>
      <c r="KY182" s="9"/>
      <c r="KZ182" s="9"/>
      <c r="LA182" s="9"/>
      <c r="LB182" s="9"/>
      <c r="LC182" s="9"/>
      <c r="LD182" s="9"/>
      <c r="LE182" s="9"/>
      <c r="LF182" s="9"/>
      <c r="LG182" s="9"/>
      <c r="LH182" s="9"/>
      <c r="LI182" s="9"/>
      <c r="LJ182" s="9"/>
      <c r="LK182" s="9"/>
      <c r="LL182" s="9"/>
      <c r="LM182" s="9"/>
      <c r="LN182" s="9"/>
      <c r="LO182" s="9"/>
      <c r="LP182" s="9"/>
      <c r="LQ182" s="9"/>
      <c r="LR182" s="9"/>
      <c r="LS182" s="9"/>
      <c r="LT182" s="9"/>
      <c r="LU182" s="9"/>
      <c r="LV182" s="9"/>
      <c r="LW182" s="9"/>
      <c r="LX182" s="9"/>
      <c r="LY182" s="9"/>
      <c r="LZ182" s="9"/>
      <c r="MA182" s="9"/>
      <c r="MB182" s="9"/>
      <c r="MC182" s="9"/>
      <c r="MD182" s="9"/>
      <c r="ME182" s="9"/>
      <c r="MF182" s="9"/>
      <c r="MG182" s="9"/>
      <c r="MH182" s="9"/>
      <c r="MI182" s="9"/>
      <c r="MJ182" s="9"/>
      <c r="MK182" s="9"/>
      <c r="ML182" s="9"/>
      <c r="MM182" s="9"/>
      <c r="MN182" s="9"/>
      <c r="MO182" s="9"/>
      <c r="MP182" s="9"/>
      <c r="MQ182" s="9"/>
      <c r="MR182" s="9"/>
      <c r="MS182" s="9"/>
      <c r="MT182" s="9"/>
      <c r="MU182" s="9"/>
      <c r="MV182" s="9"/>
      <c r="MW182" s="9"/>
      <c r="MX182" s="9"/>
      <c r="MY182" s="9"/>
      <c r="MZ182" s="9"/>
      <c r="NA182" s="9"/>
      <c r="NB182" s="9"/>
      <c r="NC182" s="9"/>
      <c r="ND182" s="9"/>
      <c r="NE182" s="9"/>
      <c r="NF182" s="9"/>
      <c r="NG182" s="9"/>
      <c r="NH182" s="9"/>
      <c r="NI182" s="9"/>
      <c r="NJ182" s="9"/>
      <c r="NK182" s="9"/>
      <c r="NL182" s="9"/>
      <c r="NM182" s="9"/>
      <c r="NN182" s="9"/>
      <c r="NO182" s="9"/>
      <c r="NP182" s="9"/>
      <c r="NQ182" s="9"/>
      <c r="NR182" s="9"/>
      <c r="NS182" s="9"/>
      <c r="NT182" s="9"/>
      <c r="NU182" s="9"/>
      <c r="NV182" s="9"/>
      <c r="NW182" s="9"/>
      <c r="NX182" s="9"/>
      <c r="NY182" s="9"/>
      <c r="NZ182" s="9"/>
      <c r="OA182" s="9"/>
      <c r="OB182" s="9"/>
      <c r="OC182" s="9"/>
      <c r="OD182" s="9"/>
      <c r="OE182" s="9"/>
      <c r="OF182" s="9"/>
      <c r="OG182" s="9"/>
      <c r="OH182" s="9"/>
      <c r="OI182" s="9"/>
      <c r="OJ182" s="9"/>
      <c r="OK182" s="9"/>
      <c r="OL182" s="9"/>
      <c r="OM182" s="9"/>
      <c r="ON182" s="9"/>
      <c r="OO182" s="9"/>
      <c r="OP182" s="9"/>
      <c r="OQ182" s="9"/>
      <c r="OR182" s="9"/>
      <c r="OS182" s="9"/>
      <c r="OT182" s="9"/>
      <c r="OU182" s="9"/>
      <c r="OV182" s="9"/>
      <c r="OW182" s="9"/>
      <c r="OX182" s="9"/>
      <c r="OY182" s="9"/>
      <c r="OZ182" s="9"/>
      <c r="PA182" s="9"/>
      <c r="PB182" s="9"/>
      <c r="PC182" s="9"/>
      <c r="PD182" s="9"/>
      <c r="PE182" s="9"/>
      <c r="PF182" s="9"/>
      <c r="PG182" s="9"/>
      <c r="PH182" s="9"/>
      <c r="PI182" s="9"/>
      <c r="PJ182" s="9"/>
      <c r="PK182" s="9"/>
      <c r="PL182" s="9"/>
      <c r="PM182" s="9"/>
      <c r="PN182" s="9"/>
      <c r="PO182" s="9"/>
      <c r="PP182" s="9"/>
      <c r="PQ182" s="9"/>
      <c r="PR182" s="9"/>
      <c r="PS182" s="9"/>
      <c r="PT182" s="9"/>
      <c r="PU182" s="9"/>
      <c r="PV182" s="9"/>
      <c r="PW182" s="9"/>
      <c r="PX182" s="9"/>
      <c r="PY182" s="9"/>
      <c r="PZ182" s="9"/>
      <c r="QA182" s="9"/>
      <c r="QB182" s="9"/>
      <c r="QC182" s="9"/>
      <c r="QD182" s="9"/>
      <c r="QE182" s="9"/>
      <c r="QF182" s="9"/>
      <c r="QG182" s="9"/>
      <c r="QH182" s="9"/>
      <c r="QI182" s="9"/>
      <c r="QJ182" s="9"/>
      <c r="QK182" s="9"/>
      <c r="QL182" s="9"/>
      <c r="QM182" s="9"/>
      <c r="QN182" s="9"/>
      <c r="QO182" s="9"/>
      <c r="QP182" s="9"/>
      <c r="QQ182" s="9"/>
      <c r="QR182" s="9"/>
      <c r="QS182" s="9"/>
      <c r="QT182" s="9"/>
      <c r="QU182" s="9"/>
      <c r="QV182" s="9"/>
      <c r="QW182" s="9"/>
      <c r="QX182" s="9"/>
      <c r="QY182" s="9"/>
      <c r="QZ182" s="9"/>
      <c r="RA182" s="9"/>
      <c r="RB182" s="9"/>
      <c r="RC182" s="9"/>
      <c r="RD182" s="9"/>
      <c r="RE182" s="9"/>
      <c r="RF182" s="9"/>
      <c r="RG182" s="9"/>
      <c r="RH182" s="9"/>
      <c r="RI182" s="9"/>
      <c r="RJ182" s="9"/>
      <c r="RK182" s="9"/>
      <c r="RL182" s="9"/>
      <c r="RM182" s="9"/>
      <c r="RN182" s="9"/>
      <c r="RO182" s="9"/>
      <c r="RP182" s="9"/>
      <c r="RQ182" s="9"/>
      <c r="RR182" s="9"/>
      <c r="RS182" s="9"/>
      <c r="RT182" s="9"/>
      <c r="RU182" s="9"/>
      <c r="RV182" s="9"/>
      <c r="RW182" s="9"/>
      <c r="RX182" s="9"/>
      <c r="RY182" s="9"/>
      <c r="RZ182" s="9"/>
      <c r="SA182" s="9"/>
      <c r="SB182" s="9"/>
      <c r="SC182" s="9"/>
      <c r="SD182" s="9"/>
      <c r="SE182" s="9"/>
      <c r="SF182" s="9"/>
      <c r="SG182" s="9"/>
      <c r="SH182" s="9"/>
      <c r="SI182" s="9"/>
      <c r="SJ182" s="9"/>
      <c r="SK182" s="8"/>
      <c r="SL182" s="8"/>
      <c r="SM182" s="8"/>
      <c r="SN182" s="8"/>
      <c r="SO182" s="8"/>
      <c r="SP182" s="8"/>
      <c r="SQ182" s="8"/>
      <c r="SR182" s="8"/>
      <c r="SS182" s="8"/>
      <c r="ST182" s="8"/>
      <c r="SU182" s="8"/>
      <c r="SV182" s="8"/>
      <c r="SW182" s="8"/>
      <c r="SX182" s="8"/>
      <c r="SY182" s="8"/>
      <c r="SZ182" s="8"/>
      <c r="TA182" s="8"/>
      <c r="TB182" s="8"/>
      <c r="TC182" s="8"/>
      <c r="TD182" s="8"/>
      <c r="TE182" s="8"/>
      <c r="TF182" s="8"/>
      <c r="TG182" s="8"/>
      <c r="TH182" s="8"/>
      <c r="TI182" s="8"/>
      <c r="TJ182" s="8"/>
      <c r="TK182" s="8"/>
      <c r="TL182" s="8"/>
      <c r="TM182" s="8"/>
      <c r="TN182" s="8"/>
      <c r="TO182" s="8"/>
    </row>
    <row r="183" spans="1:535" x14ac:dyDescent="0.2">
      <c r="A183" s="7"/>
      <c r="B183" s="7"/>
      <c r="C183" s="9"/>
      <c r="D183" s="8"/>
      <c r="E183" s="8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9"/>
      <c r="EA183" s="9"/>
      <c r="EB183" s="9"/>
      <c r="EC183" s="9"/>
      <c r="ED183" s="9"/>
      <c r="EE183" s="9"/>
      <c r="EF183" s="9"/>
      <c r="EG183" s="9"/>
      <c r="EH183" s="9"/>
      <c r="EI183" s="9"/>
      <c r="EJ183" s="9"/>
      <c r="EK183" s="9"/>
      <c r="EL183" s="9"/>
      <c r="EM183" s="9"/>
      <c r="EN183" s="9"/>
      <c r="EO183" s="9"/>
      <c r="EP183" s="9"/>
      <c r="EQ183" s="9"/>
      <c r="ER183" s="9"/>
      <c r="ES183" s="9"/>
      <c r="ET183" s="9"/>
      <c r="EU183" s="9"/>
      <c r="EV183" s="9"/>
      <c r="EW183" s="9"/>
      <c r="EX183" s="9"/>
      <c r="EY183" s="9"/>
      <c r="EZ183" s="9"/>
      <c r="FA183" s="9"/>
      <c r="FB183" s="9"/>
      <c r="FC183" s="9"/>
      <c r="FD183" s="9"/>
      <c r="FE183" s="9"/>
      <c r="FF183" s="9"/>
      <c r="FG183" s="9"/>
      <c r="FH183" s="9"/>
      <c r="FI183" s="9"/>
      <c r="FJ183" s="9"/>
      <c r="FK183" s="9"/>
      <c r="FL183" s="9"/>
      <c r="FM183" s="9"/>
      <c r="FN183" s="9"/>
      <c r="FO183" s="9"/>
      <c r="FP183" s="9"/>
      <c r="FQ183" s="9"/>
      <c r="FR183" s="9"/>
      <c r="FS183" s="9"/>
      <c r="FT183" s="9"/>
      <c r="FU183" s="9"/>
      <c r="FV183" s="9"/>
      <c r="FW183" s="9"/>
      <c r="FX183" s="9"/>
      <c r="FY183" s="9"/>
      <c r="FZ183" s="9"/>
      <c r="GA183" s="9"/>
      <c r="GB183" s="9"/>
      <c r="GC183" s="9"/>
      <c r="GD183" s="9"/>
      <c r="GE183" s="9"/>
      <c r="GF183" s="9"/>
      <c r="GG183" s="9"/>
      <c r="GH183" s="9"/>
      <c r="GI183" s="9"/>
      <c r="GJ183" s="9"/>
      <c r="GK183" s="9"/>
      <c r="GL183" s="9"/>
      <c r="GM183" s="9"/>
      <c r="GN183" s="9"/>
      <c r="GO183" s="9"/>
      <c r="GP183" s="9"/>
      <c r="GQ183" s="9"/>
      <c r="GR183" s="9"/>
      <c r="GS183" s="9"/>
      <c r="GT183" s="9"/>
      <c r="GU183" s="9"/>
      <c r="GV183" s="9"/>
      <c r="GW183" s="9"/>
      <c r="GX183" s="9"/>
      <c r="GY183" s="9"/>
      <c r="GZ183" s="9"/>
      <c r="HA183" s="9"/>
      <c r="HB183" s="9"/>
      <c r="HC183" s="9"/>
      <c r="HD183" s="9"/>
      <c r="HE183" s="9"/>
      <c r="HF183" s="9"/>
      <c r="HG183" s="9"/>
      <c r="HH183" s="9"/>
      <c r="HI183" s="9"/>
      <c r="HJ183" s="9"/>
      <c r="HK183" s="9"/>
      <c r="HL183" s="9"/>
      <c r="HM183" s="9"/>
      <c r="HN183" s="9"/>
      <c r="HO183" s="9"/>
      <c r="HP183" s="9"/>
      <c r="HQ183" s="9"/>
      <c r="HR183" s="9"/>
      <c r="HS183" s="9"/>
      <c r="HT183" s="9"/>
      <c r="HU183" s="9"/>
      <c r="HV183" s="9"/>
      <c r="HW183" s="9"/>
      <c r="HX183" s="9"/>
      <c r="HY183" s="9"/>
      <c r="HZ183" s="9"/>
      <c r="IA183" s="9"/>
      <c r="IB183" s="9"/>
      <c r="IC183" s="9"/>
      <c r="ID183" s="9"/>
      <c r="IE183" s="9"/>
      <c r="IF183" s="9"/>
      <c r="IG183" s="9"/>
      <c r="IH183" s="9"/>
      <c r="II183" s="9"/>
      <c r="IJ183" s="9"/>
      <c r="IK183" s="9"/>
      <c r="IL183" s="9"/>
      <c r="IM183" s="9"/>
      <c r="IN183" s="9"/>
      <c r="IO183" s="9"/>
      <c r="IP183" s="9"/>
      <c r="IQ183" s="9"/>
      <c r="IR183" s="9"/>
      <c r="IS183" s="9"/>
      <c r="IT183" s="9"/>
      <c r="IU183" s="9"/>
      <c r="IV183" s="9"/>
      <c r="IW183" s="9"/>
      <c r="IX183" s="9"/>
      <c r="IY183" s="9"/>
      <c r="IZ183" s="9"/>
      <c r="JA183" s="9"/>
      <c r="JB183" s="9"/>
      <c r="JC183" s="9"/>
      <c r="JD183" s="9"/>
      <c r="JE183" s="9"/>
      <c r="JF183" s="9"/>
      <c r="JG183" s="9"/>
      <c r="JH183" s="9"/>
      <c r="JI183" s="9"/>
      <c r="JJ183" s="9"/>
      <c r="JK183" s="9"/>
      <c r="JL183" s="9"/>
      <c r="JM183" s="9"/>
      <c r="JN183" s="9"/>
      <c r="JO183" s="9"/>
      <c r="JP183" s="9"/>
      <c r="JQ183" s="9"/>
      <c r="JR183" s="9"/>
      <c r="JS183" s="9"/>
      <c r="JT183" s="9"/>
      <c r="JU183" s="9"/>
      <c r="JV183" s="9"/>
      <c r="JW183" s="9"/>
      <c r="JX183" s="9"/>
      <c r="JY183" s="9"/>
      <c r="JZ183" s="9"/>
      <c r="KA183" s="9"/>
      <c r="KB183" s="9"/>
      <c r="KC183" s="9"/>
      <c r="KD183" s="9"/>
      <c r="KE183" s="9"/>
      <c r="KF183" s="9"/>
      <c r="KG183" s="9"/>
      <c r="KH183" s="9"/>
      <c r="KI183" s="9"/>
      <c r="KJ183" s="9"/>
      <c r="KK183" s="9"/>
      <c r="KL183" s="9"/>
      <c r="KM183" s="9"/>
      <c r="KN183" s="9"/>
      <c r="KO183" s="9"/>
      <c r="KP183" s="9"/>
      <c r="KQ183" s="9"/>
      <c r="KR183" s="9"/>
      <c r="KS183" s="9"/>
      <c r="KT183" s="9"/>
      <c r="KU183" s="9"/>
      <c r="KV183" s="9"/>
      <c r="KW183" s="9"/>
      <c r="KX183" s="9"/>
      <c r="KY183" s="9"/>
      <c r="KZ183" s="9"/>
      <c r="LA183" s="9"/>
      <c r="LB183" s="9"/>
      <c r="LC183" s="9"/>
      <c r="LD183" s="9"/>
      <c r="LE183" s="9"/>
      <c r="LF183" s="9"/>
      <c r="LG183" s="9"/>
      <c r="LH183" s="9"/>
      <c r="LI183" s="9"/>
      <c r="LJ183" s="9"/>
      <c r="LK183" s="9"/>
      <c r="LL183" s="9"/>
      <c r="LM183" s="9"/>
      <c r="LN183" s="9"/>
      <c r="LO183" s="9"/>
      <c r="LP183" s="9"/>
      <c r="LQ183" s="9"/>
      <c r="LR183" s="9"/>
      <c r="LS183" s="9"/>
      <c r="LT183" s="9"/>
      <c r="LU183" s="9"/>
      <c r="LV183" s="9"/>
      <c r="LW183" s="9"/>
      <c r="LX183" s="9"/>
      <c r="LY183" s="9"/>
      <c r="LZ183" s="9"/>
      <c r="MA183" s="9"/>
      <c r="MB183" s="9"/>
      <c r="MC183" s="9"/>
      <c r="MD183" s="9"/>
      <c r="ME183" s="9"/>
      <c r="MF183" s="9"/>
      <c r="MG183" s="9"/>
      <c r="MH183" s="9"/>
      <c r="MI183" s="9"/>
      <c r="MJ183" s="9"/>
      <c r="MK183" s="9"/>
      <c r="ML183" s="9"/>
      <c r="MM183" s="9"/>
      <c r="MN183" s="9"/>
      <c r="MO183" s="9"/>
      <c r="MP183" s="9"/>
      <c r="MQ183" s="9"/>
      <c r="MR183" s="9"/>
      <c r="MS183" s="9"/>
      <c r="MT183" s="9"/>
      <c r="MU183" s="9"/>
      <c r="MV183" s="9"/>
      <c r="MW183" s="9"/>
      <c r="MX183" s="9"/>
      <c r="MY183" s="9"/>
      <c r="MZ183" s="9"/>
      <c r="NA183" s="9"/>
      <c r="NB183" s="9"/>
      <c r="NC183" s="9"/>
      <c r="ND183" s="9"/>
      <c r="NE183" s="9"/>
      <c r="NF183" s="9"/>
      <c r="NG183" s="9"/>
      <c r="NH183" s="9"/>
      <c r="NI183" s="9"/>
      <c r="NJ183" s="9"/>
      <c r="NK183" s="9"/>
      <c r="NL183" s="9"/>
      <c r="NM183" s="9"/>
      <c r="NN183" s="9"/>
      <c r="NO183" s="9"/>
      <c r="NP183" s="9"/>
      <c r="NQ183" s="9"/>
      <c r="NR183" s="9"/>
      <c r="NS183" s="9"/>
      <c r="NT183" s="9"/>
      <c r="NU183" s="9"/>
      <c r="NV183" s="9"/>
      <c r="NW183" s="9"/>
      <c r="NX183" s="9"/>
      <c r="NY183" s="9"/>
      <c r="NZ183" s="9"/>
      <c r="OA183" s="9"/>
      <c r="OB183" s="9"/>
      <c r="OC183" s="9"/>
      <c r="OD183" s="9"/>
      <c r="OE183" s="9"/>
      <c r="OF183" s="9"/>
      <c r="OG183" s="9"/>
      <c r="OH183" s="9"/>
      <c r="OI183" s="9"/>
      <c r="OJ183" s="9"/>
      <c r="OK183" s="9"/>
      <c r="OL183" s="9"/>
      <c r="OM183" s="9"/>
      <c r="ON183" s="9"/>
      <c r="OO183" s="9"/>
      <c r="OP183" s="9"/>
      <c r="OQ183" s="9"/>
      <c r="OR183" s="9"/>
      <c r="OS183" s="9"/>
      <c r="OT183" s="9"/>
      <c r="OU183" s="9"/>
      <c r="OV183" s="9"/>
      <c r="OW183" s="9"/>
      <c r="OX183" s="9"/>
      <c r="OY183" s="9"/>
      <c r="OZ183" s="9"/>
      <c r="PA183" s="9"/>
      <c r="PB183" s="9"/>
      <c r="PC183" s="9"/>
      <c r="PD183" s="9"/>
      <c r="PE183" s="9"/>
      <c r="PF183" s="9"/>
      <c r="PG183" s="9"/>
      <c r="PH183" s="9"/>
      <c r="PI183" s="9"/>
      <c r="PJ183" s="9"/>
      <c r="PK183" s="9"/>
      <c r="PL183" s="9"/>
      <c r="PM183" s="9"/>
      <c r="PN183" s="9"/>
      <c r="PO183" s="9"/>
      <c r="PP183" s="9"/>
      <c r="PQ183" s="9"/>
      <c r="PR183" s="9"/>
      <c r="PS183" s="9"/>
      <c r="PT183" s="9"/>
      <c r="PU183" s="9"/>
      <c r="PV183" s="9"/>
      <c r="PW183" s="9"/>
      <c r="PX183" s="9"/>
      <c r="PY183" s="9"/>
      <c r="PZ183" s="9"/>
      <c r="QA183" s="9"/>
      <c r="QB183" s="9"/>
      <c r="QC183" s="9"/>
      <c r="QD183" s="9"/>
      <c r="QE183" s="9"/>
      <c r="QF183" s="9"/>
      <c r="QG183" s="9"/>
      <c r="QH183" s="9"/>
      <c r="QI183" s="9"/>
      <c r="QJ183" s="9"/>
      <c r="QK183" s="9"/>
      <c r="QL183" s="9"/>
      <c r="QM183" s="9"/>
      <c r="QN183" s="9"/>
      <c r="QO183" s="9"/>
      <c r="QP183" s="9"/>
      <c r="QQ183" s="9"/>
      <c r="QR183" s="9"/>
      <c r="QS183" s="9"/>
      <c r="QT183" s="9"/>
      <c r="QU183" s="9"/>
      <c r="QV183" s="9"/>
      <c r="QW183" s="9"/>
      <c r="QX183" s="9"/>
      <c r="QY183" s="9"/>
      <c r="QZ183" s="9"/>
      <c r="RA183" s="9"/>
      <c r="RB183" s="9"/>
      <c r="RC183" s="9"/>
      <c r="RD183" s="9"/>
      <c r="RE183" s="9"/>
      <c r="RF183" s="9"/>
      <c r="RG183" s="9"/>
      <c r="RH183" s="9"/>
      <c r="RI183" s="9"/>
      <c r="RJ183" s="9"/>
      <c r="RK183" s="9"/>
      <c r="RL183" s="9"/>
      <c r="RM183" s="9"/>
      <c r="RN183" s="9"/>
      <c r="RO183" s="9"/>
      <c r="RP183" s="9"/>
      <c r="RQ183" s="9"/>
      <c r="RR183" s="9"/>
      <c r="RS183" s="9"/>
      <c r="RT183" s="9"/>
      <c r="RU183" s="9"/>
      <c r="RV183" s="9"/>
      <c r="RW183" s="9"/>
      <c r="RX183" s="9"/>
      <c r="RY183" s="9"/>
      <c r="RZ183" s="9"/>
      <c r="SA183" s="9"/>
      <c r="SB183" s="9"/>
      <c r="SC183" s="9"/>
      <c r="SD183" s="9"/>
      <c r="SE183" s="9"/>
      <c r="SF183" s="9"/>
      <c r="SG183" s="9"/>
      <c r="SH183" s="9"/>
      <c r="SI183" s="9"/>
      <c r="SJ183" s="9"/>
      <c r="SK183" s="8"/>
      <c r="SL183" s="8"/>
      <c r="SM183" s="8"/>
      <c r="SN183" s="8"/>
      <c r="SO183" s="8"/>
      <c r="SP183" s="8"/>
      <c r="SQ183" s="8"/>
      <c r="SR183" s="8"/>
      <c r="SS183" s="8"/>
      <c r="ST183" s="8"/>
      <c r="SU183" s="8"/>
      <c r="SV183" s="8"/>
      <c r="SW183" s="8"/>
      <c r="SX183" s="8"/>
      <c r="SY183" s="8"/>
      <c r="SZ183" s="8"/>
      <c r="TA183" s="8"/>
      <c r="TB183" s="8"/>
      <c r="TC183" s="8"/>
      <c r="TD183" s="8"/>
      <c r="TE183" s="8"/>
      <c r="TF183" s="8"/>
      <c r="TG183" s="8"/>
      <c r="TH183" s="8"/>
      <c r="TI183" s="8"/>
      <c r="TJ183" s="8"/>
      <c r="TK183" s="8"/>
      <c r="TL183" s="8"/>
      <c r="TM183" s="8"/>
      <c r="TN183" s="8"/>
      <c r="TO183" s="8"/>
    </row>
    <row r="184" spans="1:535" x14ac:dyDescent="0.2">
      <c r="A184" s="7"/>
      <c r="B184" s="7"/>
      <c r="C184" s="9"/>
      <c r="D184" s="8"/>
      <c r="E184" s="8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  <c r="CL184" s="9"/>
      <c r="CM184" s="9"/>
      <c r="CN184" s="9"/>
      <c r="CO184" s="9"/>
      <c r="CP184" s="9"/>
      <c r="CQ184" s="9"/>
      <c r="CR184" s="9"/>
      <c r="CS184" s="9"/>
      <c r="CT184" s="9"/>
      <c r="CU184" s="9"/>
      <c r="CV184" s="9"/>
      <c r="CW184" s="9"/>
      <c r="CX184" s="9"/>
      <c r="CY184" s="9"/>
      <c r="CZ184" s="9"/>
      <c r="DA184" s="9"/>
      <c r="DB184" s="9"/>
      <c r="DC184" s="9"/>
      <c r="DD184" s="9"/>
      <c r="DE184" s="9"/>
      <c r="DF184" s="9"/>
      <c r="DG184" s="9"/>
      <c r="DH184" s="9"/>
      <c r="DI184" s="9"/>
      <c r="DJ184" s="9"/>
      <c r="DK184" s="9"/>
      <c r="DL184" s="9"/>
      <c r="DM184" s="9"/>
      <c r="DN184" s="9"/>
      <c r="DO184" s="9"/>
      <c r="DP184" s="9"/>
      <c r="DQ184" s="9"/>
      <c r="DR184" s="9"/>
      <c r="DS184" s="9"/>
      <c r="DT184" s="9"/>
      <c r="DU184" s="9"/>
      <c r="DV184" s="9"/>
      <c r="DW184" s="9"/>
      <c r="DX184" s="9"/>
      <c r="DY184" s="9"/>
      <c r="DZ184" s="9"/>
      <c r="EA184" s="9"/>
      <c r="EB184" s="9"/>
      <c r="EC184" s="9"/>
      <c r="ED184" s="9"/>
      <c r="EE184" s="9"/>
      <c r="EF184" s="9"/>
      <c r="EG184" s="9"/>
      <c r="EH184" s="9"/>
      <c r="EI184" s="9"/>
      <c r="EJ184" s="9"/>
      <c r="EK184" s="9"/>
      <c r="EL184" s="9"/>
      <c r="EM184" s="9"/>
      <c r="EN184" s="9"/>
      <c r="EO184" s="9"/>
      <c r="EP184" s="9"/>
      <c r="EQ184" s="9"/>
      <c r="ER184" s="9"/>
      <c r="ES184" s="9"/>
      <c r="ET184" s="9"/>
      <c r="EU184" s="9"/>
      <c r="EV184" s="9"/>
      <c r="EW184" s="9"/>
      <c r="EX184" s="9"/>
      <c r="EY184" s="9"/>
      <c r="EZ184" s="9"/>
      <c r="FA184" s="9"/>
      <c r="FB184" s="9"/>
      <c r="FC184" s="9"/>
      <c r="FD184" s="9"/>
      <c r="FE184" s="9"/>
      <c r="FF184" s="9"/>
      <c r="FG184" s="9"/>
      <c r="FH184" s="9"/>
      <c r="FI184" s="9"/>
      <c r="FJ184" s="9"/>
      <c r="FK184" s="9"/>
      <c r="FL184" s="9"/>
      <c r="FM184" s="9"/>
      <c r="FN184" s="9"/>
      <c r="FO184" s="9"/>
      <c r="FP184" s="9"/>
      <c r="FQ184" s="9"/>
      <c r="FR184" s="9"/>
      <c r="FS184" s="9"/>
      <c r="FT184" s="9"/>
      <c r="FU184" s="9"/>
      <c r="FV184" s="9"/>
      <c r="FW184" s="9"/>
      <c r="FX184" s="9"/>
      <c r="FY184" s="9"/>
      <c r="FZ184" s="9"/>
      <c r="GA184" s="9"/>
      <c r="GB184" s="9"/>
      <c r="GC184" s="9"/>
      <c r="GD184" s="9"/>
      <c r="GE184" s="9"/>
      <c r="GF184" s="9"/>
      <c r="GG184" s="9"/>
      <c r="GH184" s="9"/>
      <c r="GI184" s="9"/>
      <c r="GJ184" s="9"/>
      <c r="GK184" s="9"/>
      <c r="GL184" s="9"/>
      <c r="GM184" s="9"/>
      <c r="GN184" s="9"/>
      <c r="GO184" s="9"/>
      <c r="GP184" s="9"/>
      <c r="GQ184" s="9"/>
      <c r="GR184" s="9"/>
      <c r="GS184" s="9"/>
      <c r="GT184" s="9"/>
      <c r="GU184" s="9"/>
      <c r="GV184" s="9"/>
      <c r="GW184" s="9"/>
      <c r="GX184" s="9"/>
      <c r="GY184" s="9"/>
      <c r="GZ184" s="9"/>
      <c r="HA184" s="9"/>
      <c r="HB184" s="9"/>
      <c r="HC184" s="9"/>
      <c r="HD184" s="9"/>
      <c r="HE184" s="9"/>
      <c r="HF184" s="9"/>
      <c r="HG184" s="9"/>
      <c r="HH184" s="9"/>
      <c r="HI184" s="9"/>
      <c r="HJ184" s="9"/>
      <c r="HK184" s="9"/>
      <c r="HL184" s="9"/>
      <c r="HM184" s="9"/>
      <c r="HN184" s="9"/>
      <c r="HO184" s="9"/>
      <c r="HP184" s="9"/>
      <c r="HQ184" s="9"/>
      <c r="HR184" s="9"/>
      <c r="HS184" s="9"/>
      <c r="HT184" s="9"/>
      <c r="HU184" s="9"/>
      <c r="HV184" s="9"/>
      <c r="HW184" s="9"/>
      <c r="HX184" s="9"/>
      <c r="HY184" s="9"/>
      <c r="HZ184" s="9"/>
      <c r="IA184" s="9"/>
      <c r="IB184" s="9"/>
      <c r="IC184" s="9"/>
      <c r="ID184" s="9"/>
      <c r="IE184" s="9"/>
      <c r="IF184" s="9"/>
      <c r="IG184" s="9"/>
      <c r="IH184" s="9"/>
      <c r="II184" s="9"/>
      <c r="IJ184" s="9"/>
      <c r="IK184" s="9"/>
      <c r="IL184" s="9"/>
      <c r="IM184" s="9"/>
      <c r="IN184" s="9"/>
      <c r="IO184" s="9"/>
      <c r="IP184" s="9"/>
      <c r="IQ184" s="9"/>
      <c r="IR184" s="9"/>
      <c r="IS184" s="9"/>
      <c r="IT184" s="9"/>
      <c r="IU184" s="9"/>
      <c r="IV184" s="9"/>
      <c r="IW184" s="9"/>
      <c r="IX184" s="9"/>
      <c r="IY184" s="9"/>
      <c r="IZ184" s="9"/>
      <c r="JA184" s="9"/>
      <c r="JB184" s="9"/>
      <c r="JC184" s="9"/>
      <c r="JD184" s="9"/>
      <c r="JE184" s="9"/>
      <c r="JF184" s="9"/>
      <c r="JG184" s="9"/>
      <c r="JH184" s="9"/>
      <c r="JI184" s="9"/>
      <c r="JJ184" s="9"/>
      <c r="JK184" s="9"/>
      <c r="JL184" s="9"/>
      <c r="JM184" s="9"/>
      <c r="JN184" s="9"/>
      <c r="JO184" s="9"/>
      <c r="JP184" s="9"/>
      <c r="JQ184" s="9"/>
      <c r="JR184" s="9"/>
      <c r="JS184" s="9"/>
      <c r="JT184" s="9"/>
      <c r="JU184" s="9"/>
      <c r="JV184" s="9"/>
      <c r="JW184" s="9"/>
      <c r="JX184" s="9"/>
      <c r="JY184" s="9"/>
      <c r="JZ184" s="9"/>
      <c r="KA184" s="9"/>
      <c r="KB184" s="9"/>
      <c r="KC184" s="9"/>
      <c r="KD184" s="9"/>
      <c r="KE184" s="9"/>
      <c r="KF184" s="9"/>
      <c r="KG184" s="9"/>
      <c r="KH184" s="9"/>
      <c r="KI184" s="9"/>
      <c r="KJ184" s="9"/>
      <c r="KK184" s="9"/>
      <c r="KL184" s="9"/>
      <c r="KM184" s="9"/>
      <c r="KN184" s="9"/>
      <c r="KO184" s="9"/>
      <c r="KP184" s="9"/>
      <c r="KQ184" s="9"/>
      <c r="KR184" s="9"/>
      <c r="KS184" s="9"/>
      <c r="KT184" s="9"/>
      <c r="KU184" s="9"/>
      <c r="KV184" s="9"/>
      <c r="KW184" s="9"/>
      <c r="KX184" s="9"/>
      <c r="KY184" s="9"/>
      <c r="KZ184" s="9"/>
      <c r="LA184" s="9"/>
      <c r="LB184" s="9"/>
      <c r="LC184" s="9"/>
      <c r="LD184" s="9"/>
      <c r="LE184" s="9"/>
      <c r="LF184" s="9"/>
      <c r="LG184" s="9"/>
      <c r="LH184" s="9"/>
      <c r="LI184" s="9"/>
      <c r="LJ184" s="9"/>
      <c r="LK184" s="9"/>
      <c r="LL184" s="9"/>
      <c r="LM184" s="9"/>
      <c r="LN184" s="9"/>
      <c r="LO184" s="9"/>
      <c r="LP184" s="9"/>
      <c r="LQ184" s="9"/>
      <c r="LR184" s="9"/>
      <c r="LS184" s="9"/>
      <c r="LT184" s="9"/>
      <c r="LU184" s="9"/>
      <c r="LV184" s="9"/>
      <c r="LW184" s="9"/>
      <c r="LX184" s="9"/>
      <c r="LY184" s="9"/>
      <c r="LZ184" s="9"/>
      <c r="MA184" s="9"/>
      <c r="MB184" s="9"/>
      <c r="MC184" s="9"/>
      <c r="MD184" s="9"/>
      <c r="ME184" s="9"/>
      <c r="MF184" s="9"/>
      <c r="MG184" s="9"/>
      <c r="MH184" s="9"/>
      <c r="MI184" s="9"/>
      <c r="MJ184" s="9"/>
      <c r="MK184" s="9"/>
      <c r="ML184" s="9"/>
      <c r="MM184" s="9"/>
      <c r="MN184" s="9"/>
      <c r="MO184" s="9"/>
      <c r="MP184" s="9"/>
      <c r="MQ184" s="9"/>
      <c r="MR184" s="9"/>
      <c r="MS184" s="9"/>
      <c r="MT184" s="9"/>
      <c r="MU184" s="9"/>
      <c r="MV184" s="9"/>
      <c r="MW184" s="9"/>
      <c r="MX184" s="9"/>
      <c r="MY184" s="9"/>
      <c r="MZ184" s="9"/>
      <c r="NA184" s="9"/>
      <c r="NB184" s="9"/>
      <c r="NC184" s="9"/>
      <c r="ND184" s="9"/>
      <c r="NE184" s="9"/>
      <c r="NF184" s="9"/>
      <c r="NG184" s="9"/>
      <c r="NH184" s="9"/>
      <c r="NI184" s="9"/>
      <c r="NJ184" s="9"/>
      <c r="NK184" s="9"/>
      <c r="NL184" s="9"/>
      <c r="NM184" s="9"/>
      <c r="NN184" s="9"/>
      <c r="NO184" s="9"/>
      <c r="NP184" s="9"/>
      <c r="NQ184" s="9"/>
      <c r="NR184" s="9"/>
      <c r="NS184" s="9"/>
      <c r="NT184" s="9"/>
      <c r="NU184" s="9"/>
      <c r="NV184" s="9"/>
      <c r="NW184" s="9"/>
      <c r="NX184" s="9"/>
      <c r="NY184" s="9"/>
      <c r="NZ184" s="9"/>
      <c r="OA184" s="9"/>
      <c r="OB184" s="9"/>
      <c r="OC184" s="9"/>
      <c r="OD184" s="9"/>
      <c r="OE184" s="9"/>
      <c r="OF184" s="9"/>
      <c r="OG184" s="9"/>
      <c r="OH184" s="9"/>
      <c r="OI184" s="9"/>
      <c r="OJ184" s="9"/>
      <c r="OK184" s="9"/>
      <c r="OL184" s="9"/>
      <c r="OM184" s="9"/>
      <c r="ON184" s="9"/>
      <c r="OO184" s="9"/>
      <c r="OP184" s="9"/>
      <c r="OQ184" s="9"/>
      <c r="OR184" s="9"/>
      <c r="OS184" s="9"/>
      <c r="OT184" s="9"/>
      <c r="OU184" s="9"/>
      <c r="OV184" s="9"/>
      <c r="OW184" s="9"/>
      <c r="OX184" s="9"/>
      <c r="OY184" s="9"/>
      <c r="OZ184" s="9"/>
      <c r="PA184" s="9"/>
      <c r="PB184" s="9"/>
      <c r="PC184" s="9"/>
      <c r="PD184" s="9"/>
      <c r="PE184" s="9"/>
      <c r="PF184" s="9"/>
      <c r="PG184" s="9"/>
      <c r="PH184" s="9"/>
      <c r="PI184" s="9"/>
      <c r="PJ184" s="9"/>
      <c r="PK184" s="9"/>
      <c r="PL184" s="9"/>
      <c r="PM184" s="9"/>
      <c r="PN184" s="9"/>
      <c r="PO184" s="9"/>
      <c r="PP184" s="9"/>
      <c r="PQ184" s="9"/>
      <c r="PR184" s="9"/>
      <c r="PS184" s="9"/>
      <c r="PT184" s="9"/>
      <c r="PU184" s="9"/>
      <c r="PV184" s="9"/>
      <c r="PW184" s="9"/>
      <c r="PX184" s="9"/>
      <c r="PY184" s="9"/>
      <c r="PZ184" s="9"/>
      <c r="QA184" s="9"/>
      <c r="QB184" s="9"/>
      <c r="QC184" s="9"/>
      <c r="QD184" s="9"/>
      <c r="QE184" s="9"/>
      <c r="QF184" s="9"/>
      <c r="QG184" s="9"/>
      <c r="QH184" s="9"/>
      <c r="QI184" s="9"/>
      <c r="QJ184" s="9"/>
      <c r="QK184" s="9"/>
      <c r="QL184" s="9"/>
      <c r="QM184" s="9"/>
      <c r="QN184" s="9"/>
      <c r="QO184" s="9"/>
      <c r="QP184" s="9"/>
      <c r="QQ184" s="9"/>
      <c r="QR184" s="9"/>
      <c r="QS184" s="9"/>
      <c r="QT184" s="9"/>
      <c r="QU184" s="9"/>
      <c r="QV184" s="9"/>
      <c r="QW184" s="9"/>
      <c r="QX184" s="9"/>
      <c r="QY184" s="9"/>
      <c r="QZ184" s="9"/>
      <c r="RA184" s="9"/>
      <c r="RB184" s="9"/>
      <c r="RC184" s="9"/>
      <c r="RD184" s="9"/>
      <c r="RE184" s="9"/>
      <c r="RF184" s="9"/>
      <c r="RG184" s="9"/>
      <c r="RH184" s="9"/>
      <c r="RI184" s="9"/>
      <c r="RJ184" s="9"/>
      <c r="RK184" s="9"/>
      <c r="RL184" s="9"/>
      <c r="RM184" s="9"/>
      <c r="RN184" s="9"/>
      <c r="RO184" s="9"/>
      <c r="RP184" s="9"/>
      <c r="RQ184" s="9"/>
      <c r="RR184" s="9"/>
      <c r="RS184" s="9"/>
      <c r="RT184" s="9"/>
      <c r="RU184" s="9"/>
      <c r="RV184" s="9"/>
      <c r="RW184" s="9"/>
      <c r="RX184" s="9"/>
      <c r="RY184" s="9"/>
      <c r="RZ184" s="9"/>
      <c r="SA184" s="9"/>
      <c r="SB184" s="9"/>
      <c r="SC184" s="9"/>
      <c r="SD184" s="9"/>
      <c r="SE184" s="9"/>
      <c r="SF184" s="9"/>
      <c r="SG184" s="9"/>
      <c r="SH184" s="9"/>
      <c r="SI184" s="9"/>
      <c r="SJ184" s="9"/>
      <c r="SK184" s="8"/>
      <c r="SL184" s="8"/>
      <c r="SM184" s="8"/>
      <c r="SN184" s="8"/>
      <c r="SO184" s="8"/>
      <c r="SP184" s="8"/>
      <c r="SQ184" s="8"/>
      <c r="SR184" s="8"/>
      <c r="SS184" s="8"/>
      <c r="ST184" s="8"/>
      <c r="SU184" s="8"/>
      <c r="SV184" s="8"/>
      <c r="SW184" s="8"/>
      <c r="SX184" s="8"/>
      <c r="SY184" s="8"/>
      <c r="SZ184" s="8"/>
      <c r="TA184" s="8"/>
      <c r="TB184" s="8"/>
      <c r="TC184" s="8"/>
      <c r="TD184" s="8"/>
      <c r="TE184" s="8"/>
      <c r="TF184" s="8"/>
      <c r="TG184" s="8"/>
      <c r="TH184" s="8"/>
      <c r="TI184" s="8"/>
      <c r="TJ184" s="8"/>
      <c r="TK184" s="8"/>
      <c r="TL184" s="8"/>
      <c r="TM184" s="8"/>
      <c r="TN184" s="8"/>
      <c r="TO184" s="8"/>
    </row>
    <row r="185" spans="1:535" x14ac:dyDescent="0.2">
      <c r="A185" s="7"/>
      <c r="B185" s="7"/>
      <c r="C185" s="9"/>
      <c r="D185" s="8"/>
      <c r="E185" s="8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9"/>
      <c r="CK185" s="9"/>
      <c r="CL185" s="9"/>
      <c r="CM185" s="9"/>
      <c r="CN185" s="9"/>
      <c r="CO185" s="9"/>
      <c r="CP185" s="9"/>
      <c r="CQ185" s="9"/>
      <c r="CR185" s="9"/>
      <c r="CS185" s="9"/>
      <c r="CT185" s="9"/>
      <c r="CU185" s="9"/>
      <c r="CV185" s="9"/>
      <c r="CW185" s="9"/>
      <c r="CX185" s="9"/>
      <c r="CY185" s="9"/>
      <c r="CZ185" s="9"/>
      <c r="DA185" s="9"/>
      <c r="DB185" s="9"/>
      <c r="DC185" s="9"/>
      <c r="DD185" s="9"/>
      <c r="DE185" s="9"/>
      <c r="DF185" s="9"/>
      <c r="DG185" s="9"/>
      <c r="DH185" s="9"/>
      <c r="DI185" s="9"/>
      <c r="DJ185" s="9"/>
      <c r="DK185" s="9"/>
      <c r="DL185" s="9"/>
      <c r="DM185" s="9"/>
      <c r="DN185" s="9"/>
      <c r="DO185" s="9"/>
      <c r="DP185" s="9"/>
      <c r="DQ185" s="9"/>
      <c r="DR185" s="9"/>
      <c r="DS185" s="9"/>
      <c r="DT185" s="9"/>
      <c r="DU185" s="9"/>
      <c r="DV185" s="9"/>
      <c r="DW185" s="9"/>
      <c r="DX185" s="9"/>
      <c r="DY185" s="9"/>
      <c r="DZ185" s="9"/>
      <c r="EA185" s="9"/>
      <c r="EB185" s="9"/>
      <c r="EC185" s="9"/>
      <c r="ED185" s="9"/>
      <c r="EE185" s="9"/>
      <c r="EF185" s="9"/>
      <c r="EG185" s="9"/>
      <c r="EH185" s="9"/>
      <c r="EI185" s="9"/>
      <c r="EJ185" s="9"/>
      <c r="EK185" s="9"/>
      <c r="EL185" s="9"/>
      <c r="EM185" s="9"/>
      <c r="EN185" s="9"/>
      <c r="EO185" s="9"/>
      <c r="EP185" s="9"/>
      <c r="EQ185" s="9"/>
      <c r="ER185" s="9"/>
      <c r="ES185" s="9"/>
      <c r="ET185" s="9"/>
      <c r="EU185" s="9"/>
      <c r="EV185" s="9"/>
      <c r="EW185" s="9"/>
      <c r="EX185" s="9"/>
      <c r="EY185" s="9"/>
      <c r="EZ185" s="9"/>
      <c r="FA185" s="9"/>
      <c r="FB185" s="9"/>
      <c r="FC185" s="9"/>
      <c r="FD185" s="9"/>
      <c r="FE185" s="9"/>
      <c r="FF185" s="9"/>
      <c r="FG185" s="9"/>
      <c r="FH185" s="9"/>
      <c r="FI185" s="9"/>
      <c r="FJ185" s="9"/>
      <c r="FK185" s="9"/>
      <c r="FL185" s="9"/>
      <c r="FM185" s="9"/>
      <c r="FN185" s="9"/>
      <c r="FO185" s="9"/>
      <c r="FP185" s="9"/>
      <c r="FQ185" s="9"/>
      <c r="FR185" s="9"/>
      <c r="FS185" s="9"/>
      <c r="FT185" s="9"/>
      <c r="FU185" s="9"/>
      <c r="FV185" s="9"/>
      <c r="FW185" s="9"/>
      <c r="FX185" s="9"/>
      <c r="FY185" s="9"/>
      <c r="FZ185" s="9"/>
      <c r="GA185" s="9"/>
      <c r="GB185" s="9"/>
      <c r="GC185" s="9"/>
      <c r="GD185" s="9"/>
      <c r="GE185" s="9"/>
      <c r="GF185" s="9"/>
      <c r="GG185" s="9"/>
      <c r="GH185" s="9"/>
      <c r="GI185" s="9"/>
      <c r="GJ185" s="9"/>
      <c r="GK185" s="9"/>
      <c r="GL185" s="9"/>
      <c r="GM185" s="9"/>
      <c r="GN185" s="9"/>
      <c r="GO185" s="9"/>
      <c r="GP185" s="9"/>
      <c r="GQ185" s="9"/>
      <c r="GR185" s="9"/>
      <c r="GS185" s="9"/>
      <c r="GT185" s="9"/>
      <c r="GU185" s="9"/>
      <c r="GV185" s="9"/>
      <c r="GW185" s="9"/>
      <c r="GX185" s="9"/>
      <c r="GY185" s="9"/>
      <c r="GZ185" s="9"/>
      <c r="HA185" s="9"/>
      <c r="HB185" s="9"/>
      <c r="HC185" s="9"/>
      <c r="HD185" s="9"/>
      <c r="HE185" s="9"/>
      <c r="HF185" s="9"/>
      <c r="HG185" s="9"/>
      <c r="HH185" s="9"/>
      <c r="HI185" s="9"/>
      <c r="HJ185" s="9"/>
      <c r="HK185" s="9"/>
      <c r="HL185" s="9"/>
      <c r="HM185" s="9"/>
      <c r="HN185" s="9"/>
      <c r="HO185" s="9"/>
      <c r="HP185" s="9"/>
      <c r="HQ185" s="9"/>
      <c r="HR185" s="9"/>
      <c r="HS185" s="9"/>
      <c r="HT185" s="9"/>
      <c r="HU185" s="9"/>
      <c r="HV185" s="9"/>
      <c r="HW185" s="9"/>
      <c r="HX185" s="9"/>
      <c r="HY185" s="9"/>
      <c r="HZ185" s="9"/>
      <c r="IA185" s="9"/>
      <c r="IB185" s="9"/>
      <c r="IC185" s="9"/>
      <c r="ID185" s="9"/>
      <c r="IE185" s="9"/>
      <c r="IF185" s="9"/>
      <c r="IG185" s="9"/>
      <c r="IH185" s="9"/>
      <c r="II185" s="9"/>
      <c r="IJ185" s="9"/>
      <c r="IK185" s="9"/>
      <c r="IL185" s="9"/>
      <c r="IM185" s="9"/>
      <c r="IN185" s="9"/>
      <c r="IO185" s="9"/>
      <c r="IP185" s="9"/>
      <c r="IQ185" s="9"/>
      <c r="IR185" s="9"/>
      <c r="IS185" s="9"/>
      <c r="IT185" s="9"/>
      <c r="IU185" s="9"/>
      <c r="IV185" s="9"/>
      <c r="IW185" s="9"/>
      <c r="IX185" s="9"/>
      <c r="IY185" s="9"/>
      <c r="IZ185" s="9"/>
      <c r="JA185" s="9"/>
      <c r="JB185" s="9"/>
      <c r="JC185" s="9"/>
      <c r="JD185" s="9"/>
      <c r="JE185" s="9"/>
      <c r="JF185" s="9"/>
      <c r="JG185" s="9"/>
      <c r="JH185" s="9"/>
      <c r="JI185" s="9"/>
      <c r="JJ185" s="9"/>
      <c r="JK185" s="9"/>
      <c r="JL185" s="9"/>
      <c r="JM185" s="9"/>
      <c r="JN185" s="9"/>
      <c r="JO185" s="9"/>
      <c r="JP185" s="9"/>
      <c r="JQ185" s="9"/>
      <c r="JR185" s="9"/>
      <c r="JS185" s="9"/>
      <c r="JT185" s="9"/>
      <c r="JU185" s="9"/>
      <c r="JV185" s="9"/>
      <c r="JW185" s="9"/>
      <c r="JX185" s="9"/>
      <c r="JY185" s="9"/>
      <c r="JZ185" s="9"/>
      <c r="KA185" s="9"/>
      <c r="KB185" s="9"/>
      <c r="KC185" s="9"/>
      <c r="KD185" s="9"/>
      <c r="KE185" s="9"/>
      <c r="KF185" s="9"/>
      <c r="KG185" s="9"/>
      <c r="KH185" s="9"/>
      <c r="KI185" s="9"/>
      <c r="KJ185" s="9"/>
      <c r="KK185" s="9"/>
      <c r="KL185" s="9"/>
      <c r="KM185" s="9"/>
      <c r="KN185" s="9"/>
      <c r="KO185" s="9"/>
      <c r="KP185" s="9"/>
      <c r="KQ185" s="9"/>
      <c r="KR185" s="9"/>
      <c r="KS185" s="9"/>
      <c r="KT185" s="9"/>
      <c r="KU185" s="9"/>
      <c r="KV185" s="9"/>
      <c r="KW185" s="9"/>
      <c r="KX185" s="9"/>
      <c r="KY185" s="9"/>
      <c r="KZ185" s="9"/>
      <c r="LA185" s="9"/>
      <c r="LB185" s="9"/>
      <c r="LC185" s="9"/>
      <c r="LD185" s="9"/>
      <c r="LE185" s="9"/>
      <c r="LF185" s="9"/>
      <c r="LG185" s="9"/>
      <c r="LH185" s="9"/>
      <c r="LI185" s="9"/>
      <c r="LJ185" s="9"/>
      <c r="LK185" s="9"/>
      <c r="LL185" s="9"/>
      <c r="LM185" s="9"/>
      <c r="LN185" s="9"/>
      <c r="LO185" s="9"/>
      <c r="LP185" s="9"/>
      <c r="LQ185" s="9"/>
      <c r="LR185" s="9"/>
      <c r="LS185" s="9"/>
      <c r="LT185" s="9"/>
      <c r="LU185" s="9"/>
      <c r="LV185" s="9"/>
      <c r="LW185" s="9"/>
      <c r="LX185" s="9"/>
      <c r="LY185" s="9"/>
      <c r="LZ185" s="9"/>
      <c r="MA185" s="9"/>
      <c r="MB185" s="9"/>
      <c r="MC185" s="9"/>
      <c r="MD185" s="9"/>
      <c r="ME185" s="9"/>
      <c r="MF185" s="9"/>
      <c r="MG185" s="9"/>
      <c r="MH185" s="9"/>
      <c r="MI185" s="9"/>
      <c r="MJ185" s="9"/>
      <c r="MK185" s="9"/>
      <c r="ML185" s="9"/>
      <c r="MM185" s="9"/>
      <c r="MN185" s="9"/>
      <c r="MO185" s="9"/>
      <c r="MP185" s="9"/>
      <c r="MQ185" s="9"/>
      <c r="MR185" s="9"/>
      <c r="MS185" s="9"/>
      <c r="MT185" s="9"/>
      <c r="MU185" s="9"/>
      <c r="MV185" s="9"/>
      <c r="MW185" s="9"/>
      <c r="MX185" s="9"/>
      <c r="MY185" s="9"/>
      <c r="MZ185" s="9"/>
      <c r="NA185" s="9"/>
      <c r="NB185" s="9"/>
      <c r="NC185" s="9"/>
      <c r="ND185" s="9"/>
      <c r="NE185" s="9"/>
      <c r="NF185" s="9"/>
      <c r="NG185" s="9"/>
      <c r="NH185" s="9"/>
      <c r="NI185" s="9"/>
      <c r="NJ185" s="9"/>
      <c r="NK185" s="9"/>
      <c r="NL185" s="9"/>
      <c r="NM185" s="9"/>
      <c r="NN185" s="9"/>
      <c r="NO185" s="9"/>
      <c r="NP185" s="9"/>
      <c r="NQ185" s="9"/>
      <c r="NR185" s="9"/>
      <c r="NS185" s="9"/>
      <c r="NT185" s="9"/>
      <c r="NU185" s="9"/>
      <c r="NV185" s="9"/>
      <c r="NW185" s="9"/>
      <c r="NX185" s="9"/>
      <c r="NY185" s="9"/>
      <c r="NZ185" s="9"/>
      <c r="OA185" s="9"/>
      <c r="OB185" s="9"/>
      <c r="OC185" s="9"/>
      <c r="OD185" s="9"/>
      <c r="OE185" s="9"/>
      <c r="OF185" s="9"/>
      <c r="OG185" s="9"/>
      <c r="OH185" s="9"/>
      <c r="OI185" s="9"/>
      <c r="OJ185" s="9"/>
      <c r="OK185" s="9"/>
      <c r="OL185" s="9"/>
      <c r="OM185" s="9"/>
      <c r="ON185" s="9"/>
      <c r="OO185" s="9"/>
      <c r="OP185" s="9"/>
      <c r="OQ185" s="9"/>
      <c r="OR185" s="9"/>
      <c r="OS185" s="9"/>
      <c r="OT185" s="9"/>
      <c r="OU185" s="9"/>
      <c r="OV185" s="9"/>
      <c r="OW185" s="9"/>
      <c r="OX185" s="9"/>
      <c r="OY185" s="9"/>
      <c r="OZ185" s="9"/>
      <c r="PA185" s="9"/>
      <c r="PB185" s="9"/>
      <c r="PC185" s="9"/>
      <c r="PD185" s="9"/>
      <c r="PE185" s="9"/>
      <c r="PF185" s="9"/>
      <c r="PG185" s="9"/>
      <c r="PH185" s="9"/>
      <c r="PI185" s="9"/>
      <c r="PJ185" s="9"/>
      <c r="PK185" s="9"/>
      <c r="PL185" s="9"/>
      <c r="PM185" s="9"/>
      <c r="PN185" s="9"/>
      <c r="PO185" s="9"/>
      <c r="PP185" s="9"/>
      <c r="PQ185" s="9"/>
      <c r="PR185" s="9"/>
      <c r="PS185" s="9"/>
      <c r="PT185" s="9"/>
      <c r="PU185" s="9"/>
      <c r="PV185" s="9"/>
      <c r="PW185" s="9"/>
      <c r="PX185" s="9"/>
      <c r="PY185" s="9"/>
      <c r="PZ185" s="9"/>
      <c r="QA185" s="9"/>
      <c r="QB185" s="9"/>
      <c r="QC185" s="9"/>
      <c r="QD185" s="9"/>
      <c r="QE185" s="9"/>
      <c r="QF185" s="9"/>
      <c r="QG185" s="9"/>
      <c r="QH185" s="9"/>
      <c r="QI185" s="9"/>
      <c r="QJ185" s="9"/>
      <c r="QK185" s="9"/>
      <c r="QL185" s="9"/>
      <c r="QM185" s="9"/>
      <c r="QN185" s="9"/>
      <c r="QO185" s="9"/>
      <c r="QP185" s="9"/>
      <c r="QQ185" s="9"/>
      <c r="QR185" s="9"/>
      <c r="QS185" s="9"/>
      <c r="QT185" s="9"/>
      <c r="QU185" s="9"/>
      <c r="QV185" s="9"/>
      <c r="QW185" s="9"/>
      <c r="QX185" s="9"/>
      <c r="QY185" s="9"/>
      <c r="QZ185" s="9"/>
      <c r="RA185" s="9"/>
      <c r="RB185" s="9"/>
      <c r="RC185" s="9"/>
      <c r="RD185" s="9"/>
      <c r="RE185" s="9"/>
      <c r="RF185" s="9"/>
      <c r="RG185" s="9"/>
      <c r="RH185" s="9"/>
      <c r="RI185" s="9"/>
      <c r="RJ185" s="9"/>
      <c r="RK185" s="9"/>
      <c r="RL185" s="9"/>
      <c r="RM185" s="9"/>
      <c r="RN185" s="9"/>
      <c r="RO185" s="9"/>
      <c r="RP185" s="9"/>
      <c r="RQ185" s="9"/>
      <c r="RR185" s="9"/>
      <c r="RS185" s="9"/>
      <c r="RT185" s="9"/>
      <c r="RU185" s="9"/>
      <c r="RV185" s="9"/>
      <c r="RW185" s="9"/>
      <c r="RX185" s="9"/>
      <c r="RY185" s="9"/>
      <c r="RZ185" s="9"/>
      <c r="SA185" s="9"/>
      <c r="SB185" s="9"/>
      <c r="SC185" s="9"/>
      <c r="SD185" s="9"/>
      <c r="SE185" s="9"/>
      <c r="SF185" s="9"/>
      <c r="SG185" s="9"/>
      <c r="SH185" s="9"/>
      <c r="SI185" s="9"/>
      <c r="SJ185" s="9"/>
      <c r="SK185" s="8"/>
      <c r="SL185" s="8"/>
      <c r="SM185" s="8"/>
      <c r="SN185" s="8"/>
      <c r="SO185" s="8"/>
      <c r="SP185" s="8"/>
      <c r="SQ185" s="8"/>
      <c r="SR185" s="8"/>
      <c r="SS185" s="8"/>
      <c r="ST185" s="8"/>
      <c r="SU185" s="8"/>
      <c r="SV185" s="8"/>
      <c r="SW185" s="8"/>
      <c r="SX185" s="8"/>
      <c r="SY185" s="8"/>
      <c r="SZ185" s="8"/>
      <c r="TA185" s="8"/>
      <c r="TB185" s="8"/>
      <c r="TC185" s="8"/>
      <c r="TD185" s="8"/>
      <c r="TE185" s="8"/>
      <c r="TF185" s="8"/>
      <c r="TG185" s="8"/>
      <c r="TH185" s="8"/>
      <c r="TI185" s="8"/>
      <c r="TJ185" s="8"/>
      <c r="TK185" s="8"/>
      <c r="TL185" s="8"/>
      <c r="TM185" s="8"/>
      <c r="TN185" s="8"/>
      <c r="TO185" s="8"/>
    </row>
    <row r="186" spans="1:535" x14ac:dyDescent="0.2">
      <c r="A186" s="7"/>
      <c r="B186" s="7"/>
      <c r="C186" s="9"/>
      <c r="D186" s="8"/>
      <c r="E186" s="8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9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  <c r="DS186" s="9"/>
      <c r="DT186" s="9"/>
      <c r="DU186" s="9"/>
      <c r="DV186" s="9"/>
      <c r="DW186" s="9"/>
      <c r="DX186" s="9"/>
      <c r="DY186" s="9"/>
      <c r="DZ186" s="9"/>
      <c r="EA186" s="9"/>
      <c r="EB186" s="9"/>
      <c r="EC186" s="9"/>
      <c r="ED186" s="9"/>
      <c r="EE186" s="9"/>
      <c r="EF186" s="9"/>
      <c r="EG186" s="9"/>
      <c r="EH186" s="9"/>
      <c r="EI186" s="9"/>
      <c r="EJ186" s="9"/>
      <c r="EK186" s="9"/>
      <c r="EL186" s="9"/>
      <c r="EM186" s="9"/>
      <c r="EN186" s="9"/>
      <c r="EO186" s="9"/>
      <c r="EP186" s="9"/>
      <c r="EQ186" s="9"/>
      <c r="ER186" s="9"/>
      <c r="ES186" s="9"/>
      <c r="ET186" s="9"/>
      <c r="EU186" s="9"/>
      <c r="EV186" s="9"/>
      <c r="EW186" s="9"/>
      <c r="EX186" s="9"/>
      <c r="EY186" s="9"/>
      <c r="EZ186" s="9"/>
      <c r="FA186" s="9"/>
      <c r="FB186" s="9"/>
      <c r="FC186" s="9"/>
      <c r="FD186" s="9"/>
      <c r="FE186" s="9"/>
      <c r="FF186" s="9"/>
      <c r="FG186" s="9"/>
      <c r="FH186" s="9"/>
      <c r="FI186" s="9"/>
      <c r="FJ186" s="9"/>
      <c r="FK186" s="9"/>
      <c r="FL186" s="9"/>
      <c r="FM186" s="9"/>
      <c r="FN186" s="9"/>
      <c r="FO186" s="9"/>
      <c r="FP186" s="9"/>
      <c r="FQ186" s="9"/>
      <c r="FR186" s="9"/>
      <c r="FS186" s="9"/>
      <c r="FT186" s="9"/>
      <c r="FU186" s="9"/>
      <c r="FV186" s="9"/>
      <c r="FW186" s="9"/>
      <c r="FX186" s="9"/>
      <c r="FY186" s="9"/>
      <c r="FZ186" s="9"/>
      <c r="GA186" s="9"/>
      <c r="GB186" s="9"/>
      <c r="GC186" s="9"/>
      <c r="GD186" s="9"/>
      <c r="GE186" s="9"/>
      <c r="GF186" s="9"/>
      <c r="GG186" s="9"/>
      <c r="GH186" s="9"/>
      <c r="GI186" s="9"/>
      <c r="GJ186" s="9"/>
      <c r="GK186" s="9"/>
      <c r="GL186" s="9"/>
      <c r="GM186" s="9"/>
      <c r="GN186" s="9"/>
      <c r="GO186" s="9"/>
      <c r="GP186" s="9"/>
      <c r="GQ186" s="9"/>
      <c r="GR186" s="9"/>
      <c r="GS186" s="9"/>
      <c r="GT186" s="9"/>
      <c r="GU186" s="9"/>
      <c r="GV186" s="9"/>
      <c r="GW186" s="9"/>
      <c r="GX186" s="9"/>
      <c r="GY186" s="9"/>
      <c r="GZ186" s="9"/>
      <c r="HA186" s="9"/>
      <c r="HB186" s="9"/>
      <c r="HC186" s="9"/>
      <c r="HD186" s="9"/>
      <c r="HE186" s="9"/>
      <c r="HF186" s="9"/>
      <c r="HG186" s="9"/>
      <c r="HH186" s="9"/>
      <c r="HI186" s="9"/>
      <c r="HJ186" s="9"/>
      <c r="HK186" s="9"/>
      <c r="HL186" s="9"/>
      <c r="HM186" s="9"/>
      <c r="HN186" s="9"/>
      <c r="HO186" s="9"/>
      <c r="HP186" s="9"/>
      <c r="HQ186" s="9"/>
      <c r="HR186" s="9"/>
      <c r="HS186" s="9"/>
      <c r="HT186" s="9"/>
      <c r="HU186" s="9"/>
      <c r="HV186" s="9"/>
      <c r="HW186" s="9"/>
      <c r="HX186" s="9"/>
      <c r="HY186" s="9"/>
      <c r="HZ186" s="9"/>
      <c r="IA186" s="9"/>
      <c r="IB186" s="9"/>
      <c r="IC186" s="9"/>
      <c r="ID186" s="9"/>
      <c r="IE186" s="9"/>
      <c r="IF186" s="9"/>
      <c r="IG186" s="9"/>
      <c r="IH186" s="9"/>
      <c r="II186" s="9"/>
      <c r="IJ186" s="9"/>
      <c r="IK186" s="9"/>
      <c r="IL186" s="9"/>
      <c r="IM186" s="9"/>
      <c r="IN186" s="9"/>
      <c r="IO186" s="9"/>
      <c r="IP186" s="9"/>
      <c r="IQ186" s="9"/>
      <c r="IR186" s="9"/>
      <c r="IS186" s="9"/>
      <c r="IT186" s="9"/>
      <c r="IU186" s="9"/>
      <c r="IV186" s="9"/>
      <c r="IW186" s="9"/>
      <c r="IX186" s="9"/>
      <c r="IY186" s="9"/>
      <c r="IZ186" s="9"/>
      <c r="JA186" s="9"/>
      <c r="JB186" s="9"/>
      <c r="JC186" s="9"/>
      <c r="JD186" s="9"/>
      <c r="JE186" s="9"/>
      <c r="JF186" s="9"/>
      <c r="JG186" s="9"/>
      <c r="JH186" s="9"/>
      <c r="JI186" s="9"/>
      <c r="JJ186" s="9"/>
      <c r="JK186" s="9"/>
      <c r="JL186" s="9"/>
      <c r="JM186" s="9"/>
      <c r="JN186" s="9"/>
      <c r="JO186" s="9"/>
      <c r="JP186" s="9"/>
      <c r="JQ186" s="9"/>
      <c r="JR186" s="9"/>
      <c r="JS186" s="9"/>
      <c r="JT186" s="9"/>
      <c r="JU186" s="9"/>
      <c r="JV186" s="9"/>
      <c r="JW186" s="9"/>
      <c r="JX186" s="9"/>
      <c r="JY186" s="9"/>
      <c r="JZ186" s="9"/>
      <c r="KA186" s="9"/>
      <c r="KB186" s="9"/>
      <c r="KC186" s="9"/>
      <c r="KD186" s="9"/>
      <c r="KE186" s="9"/>
      <c r="KF186" s="9"/>
      <c r="KG186" s="9"/>
      <c r="KH186" s="9"/>
      <c r="KI186" s="9"/>
      <c r="KJ186" s="9"/>
      <c r="KK186" s="9"/>
      <c r="KL186" s="9"/>
      <c r="KM186" s="9"/>
      <c r="KN186" s="9"/>
      <c r="KO186" s="9"/>
      <c r="KP186" s="9"/>
      <c r="KQ186" s="9"/>
      <c r="KR186" s="9"/>
      <c r="KS186" s="9"/>
      <c r="KT186" s="9"/>
      <c r="KU186" s="9"/>
      <c r="KV186" s="9"/>
      <c r="KW186" s="9"/>
      <c r="KX186" s="9"/>
      <c r="KY186" s="9"/>
      <c r="KZ186" s="9"/>
      <c r="LA186" s="9"/>
      <c r="LB186" s="9"/>
      <c r="LC186" s="9"/>
      <c r="LD186" s="9"/>
      <c r="LE186" s="9"/>
      <c r="LF186" s="9"/>
      <c r="LG186" s="9"/>
      <c r="LH186" s="9"/>
      <c r="LI186" s="9"/>
      <c r="LJ186" s="9"/>
      <c r="LK186" s="9"/>
      <c r="LL186" s="9"/>
      <c r="LM186" s="9"/>
      <c r="LN186" s="9"/>
      <c r="LO186" s="9"/>
      <c r="LP186" s="9"/>
      <c r="LQ186" s="9"/>
      <c r="LR186" s="9"/>
      <c r="LS186" s="9"/>
      <c r="LT186" s="9"/>
      <c r="LU186" s="9"/>
      <c r="LV186" s="9"/>
      <c r="LW186" s="9"/>
      <c r="LX186" s="9"/>
      <c r="LY186" s="9"/>
      <c r="LZ186" s="9"/>
      <c r="MA186" s="9"/>
      <c r="MB186" s="9"/>
      <c r="MC186" s="9"/>
      <c r="MD186" s="9"/>
      <c r="ME186" s="9"/>
      <c r="MF186" s="9"/>
      <c r="MG186" s="9"/>
      <c r="MH186" s="9"/>
      <c r="MI186" s="9"/>
      <c r="MJ186" s="9"/>
      <c r="MK186" s="9"/>
      <c r="ML186" s="9"/>
      <c r="MM186" s="9"/>
      <c r="MN186" s="9"/>
      <c r="MO186" s="9"/>
      <c r="MP186" s="9"/>
      <c r="MQ186" s="9"/>
      <c r="MR186" s="9"/>
      <c r="MS186" s="9"/>
      <c r="MT186" s="9"/>
      <c r="MU186" s="9"/>
      <c r="MV186" s="9"/>
      <c r="MW186" s="9"/>
      <c r="MX186" s="9"/>
      <c r="MY186" s="9"/>
      <c r="MZ186" s="9"/>
      <c r="NA186" s="9"/>
      <c r="NB186" s="9"/>
      <c r="NC186" s="9"/>
      <c r="ND186" s="9"/>
      <c r="NE186" s="9"/>
      <c r="NF186" s="9"/>
      <c r="NG186" s="9"/>
      <c r="NH186" s="9"/>
      <c r="NI186" s="9"/>
      <c r="NJ186" s="9"/>
      <c r="NK186" s="9"/>
      <c r="NL186" s="9"/>
      <c r="NM186" s="9"/>
      <c r="NN186" s="9"/>
      <c r="NO186" s="9"/>
      <c r="NP186" s="9"/>
      <c r="NQ186" s="9"/>
      <c r="NR186" s="9"/>
      <c r="NS186" s="9"/>
      <c r="NT186" s="9"/>
      <c r="NU186" s="9"/>
      <c r="NV186" s="9"/>
      <c r="NW186" s="9"/>
      <c r="NX186" s="9"/>
      <c r="NY186" s="9"/>
      <c r="NZ186" s="9"/>
      <c r="OA186" s="9"/>
      <c r="OB186" s="9"/>
      <c r="OC186" s="9"/>
      <c r="OD186" s="9"/>
      <c r="OE186" s="9"/>
      <c r="OF186" s="9"/>
      <c r="OG186" s="9"/>
      <c r="OH186" s="9"/>
      <c r="OI186" s="9"/>
      <c r="OJ186" s="9"/>
      <c r="OK186" s="9"/>
      <c r="OL186" s="9"/>
      <c r="OM186" s="9"/>
      <c r="ON186" s="9"/>
      <c r="OO186" s="9"/>
      <c r="OP186" s="9"/>
      <c r="OQ186" s="9"/>
      <c r="OR186" s="9"/>
      <c r="OS186" s="9"/>
      <c r="OT186" s="9"/>
      <c r="OU186" s="9"/>
      <c r="OV186" s="9"/>
      <c r="OW186" s="9"/>
      <c r="OX186" s="9"/>
      <c r="OY186" s="9"/>
      <c r="OZ186" s="9"/>
      <c r="PA186" s="9"/>
      <c r="PB186" s="9"/>
      <c r="PC186" s="9"/>
      <c r="PD186" s="9"/>
      <c r="PE186" s="9"/>
      <c r="PF186" s="9"/>
      <c r="PG186" s="9"/>
      <c r="PH186" s="9"/>
      <c r="PI186" s="9"/>
      <c r="PJ186" s="9"/>
      <c r="PK186" s="9"/>
      <c r="PL186" s="9"/>
      <c r="PM186" s="9"/>
      <c r="PN186" s="9"/>
      <c r="PO186" s="9"/>
      <c r="PP186" s="9"/>
      <c r="PQ186" s="9"/>
      <c r="PR186" s="9"/>
      <c r="PS186" s="9"/>
      <c r="PT186" s="9"/>
      <c r="PU186" s="9"/>
      <c r="PV186" s="9"/>
      <c r="PW186" s="9"/>
      <c r="PX186" s="9"/>
      <c r="PY186" s="9"/>
      <c r="PZ186" s="9"/>
      <c r="QA186" s="9"/>
      <c r="QB186" s="9"/>
      <c r="QC186" s="9"/>
      <c r="QD186" s="9"/>
      <c r="QE186" s="9"/>
      <c r="QF186" s="9"/>
      <c r="QG186" s="9"/>
      <c r="QH186" s="9"/>
      <c r="QI186" s="9"/>
      <c r="QJ186" s="9"/>
      <c r="QK186" s="9"/>
      <c r="QL186" s="9"/>
      <c r="QM186" s="9"/>
      <c r="QN186" s="9"/>
      <c r="QO186" s="9"/>
      <c r="QP186" s="9"/>
      <c r="QQ186" s="9"/>
      <c r="QR186" s="9"/>
      <c r="QS186" s="9"/>
      <c r="QT186" s="9"/>
      <c r="QU186" s="9"/>
      <c r="QV186" s="9"/>
      <c r="QW186" s="9"/>
      <c r="QX186" s="9"/>
      <c r="QY186" s="9"/>
      <c r="QZ186" s="9"/>
      <c r="RA186" s="9"/>
      <c r="RB186" s="9"/>
      <c r="RC186" s="9"/>
      <c r="RD186" s="9"/>
      <c r="RE186" s="9"/>
      <c r="RF186" s="9"/>
      <c r="RG186" s="9"/>
      <c r="RH186" s="9"/>
      <c r="RI186" s="9"/>
      <c r="RJ186" s="9"/>
      <c r="RK186" s="9"/>
      <c r="RL186" s="9"/>
      <c r="RM186" s="9"/>
      <c r="RN186" s="9"/>
      <c r="RO186" s="9"/>
      <c r="RP186" s="9"/>
      <c r="RQ186" s="9"/>
      <c r="RR186" s="9"/>
      <c r="RS186" s="9"/>
      <c r="RT186" s="9"/>
      <c r="RU186" s="9"/>
      <c r="RV186" s="9"/>
      <c r="RW186" s="9"/>
      <c r="RX186" s="9"/>
      <c r="RY186" s="9"/>
      <c r="RZ186" s="9"/>
      <c r="SA186" s="9"/>
      <c r="SB186" s="9"/>
      <c r="SC186" s="9"/>
      <c r="SD186" s="9"/>
      <c r="SE186" s="9"/>
      <c r="SF186" s="9"/>
      <c r="SG186" s="9"/>
      <c r="SH186" s="9"/>
      <c r="SI186" s="9"/>
      <c r="SJ186" s="9"/>
      <c r="SK186" s="8"/>
      <c r="SL186" s="8"/>
      <c r="SM186" s="8"/>
      <c r="SN186" s="8"/>
      <c r="SO186" s="8"/>
      <c r="SP186" s="8"/>
      <c r="SQ186" s="8"/>
      <c r="SR186" s="8"/>
      <c r="SS186" s="8"/>
      <c r="ST186" s="8"/>
      <c r="SU186" s="8"/>
      <c r="SV186" s="8"/>
      <c r="SW186" s="8"/>
      <c r="SX186" s="8"/>
      <c r="SY186" s="8"/>
      <c r="SZ186" s="8"/>
      <c r="TA186" s="8"/>
      <c r="TB186" s="8"/>
      <c r="TC186" s="8"/>
      <c r="TD186" s="8"/>
      <c r="TE186" s="8"/>
      <c r="TF186" s="8"/>
      <c r="TG186" s="8"/>
      <c r="TH186" s="8"/>
      <c r="TI186" s="8"/>
      <c r="TJ186" s="8"/>
      <c r="TK186" s="8"/>
      <c r="TL186" s="8"/>
      <c r="TM186" s="8"/>
      <c r="TN186" s="8"/>
      <c r="TO186" s="8"/>
    </row>
    <row r="187" spans="1:535" x14ac:dyDescent="0.2">
      <c r="A187" s="7"/>
      <c r="B187" s="7"/>
      <c r="C187" s="9"/>
      <c r="D187" s="8"/>
      <c r="E187" s="8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L187" s="9"/>
      <c r="CM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  <c r="DO187" s="9"/>
      <c r="DP187" s="9"/>
      <c r="DQ187" s="9"/>
      <c r="DR187" s="9"/>
      <c r="DS187" s="9"/>
      <c r="DT187" s="9"/>
      <c r="DU187" s="9"/>
      <c r="DV187" s="9"/>
      <c r="DW187" s="9"/>
      <c r="DX187" s="9"/>
      <c r="DY187" s="9"/>
      <c r="DZ187" s="9"/>
      <c r="EA187" s="9"/>
      <c r="EB187" s="9"/>
      <c r="EC187" s="9"/>
      <c r="ED187" s="9"/>
      <c r="EE187" s="9"/>
      <c r="EF187" s="9"/>
      <c r="EG187" s="9"/>
      <c r="EH187" s="9"/>
      <c r="EI187" s="9"/>
      <c r="EJ187" s="9"/>
      <c r="EK187" s="9"/>
      <c r="EL187" s="9"/>
      <c r="EM187" s="9"/>
      <c r="EN187" s="9"/>
      <c r="EO187" s="9"/>
      <c r="EP187" s="9"/>
      <c r="EQ187" s="9"/>
      <c r="ER187" s="9"/>
      <c r="ES187" s="9"/>
      <c r="ET187" s="9"/>
      <c r="EU187" s="9"/>
      <c r="EV187" s="9"/>
      <c r="EW187" s="9"/>
      <c r="EX187" s="9"/>
      <c r="EY187" s="9"/>
      <c r="EZ187" s="9"/>
      <c r="FA187" s="9"/>
      <c r="FB187" s="9"/>
      <c r="FC187" s="9"/>
      <c r="FD187" s="9"/>
      <c r="FE187" s="9"/>
      <c r="FF187" s="9"/>
      <c r="FG187" s="9"/>
      <c r="FH187" s="9"/>
      <c r="FI187" s="9"/>
      <c r="FJ187" s="9"/>
      <c r="FK187" s="9"/>
      <c r="FL187" s="9"/>
      <c r="FM187" s="9"/>
      <c r="FN187" s="9"/>
      <c r="FO187" s="9"/>
      <c r="FP187" s="9"/>
      <c r="FQ187" s="9"/>
      <c r="FR187" s="9"/>
      <c r="FS187" s="9"/>
      <c r="FT187" s="9"/>
      <c r="FU187" s="9"/>
      <c r="FV187" s="9"/>
      <c r="FW187" s="9"/>
      <c r="FX187" s="9"/>
      <c r="FY187" s="9"/>
      <c r="FZ187" s="9"/>
      <c r="GA187" s="9"/>
      <c r="GB187" s="9"/>
      <c r="GC187" s="9"/>
      <c r="GD187" s="9"/>
      <c r="GE187" s="9"/>
      <c r="GF187" s="9"/>
      <c r="GG187" s="9"/>
      <c r="GH187" s="9"/>
      <c r="GI187" s="9"/>
      <c r="GJ187" s="9"/>
      <c r="GK187" s="9"/>
      <c r="GL187" s="9"/>
      <c r="GM187" s="9"/>
      <c r="GN187" s="9"/>
      <c r="GO187" s="9"/>
      <c r="GP187" s="9"/>
      <c r="GQ187" s="9"/>
      <c r="GR187" s="9"/>
      <c r="GS187" s="9"/>
      <c r="GT187" s="9"/>
      <c r="GU187" s="9"/>
      <c r="GV187" s="9"/>
      <c r="GW187" s="9"/>
      <c r="GX187" s="9"/>
      <c r="GY187" s="9"/>
      <c r="GZ187" s="9"/>
      <c r="HA187" s="9"/>
      <c r="HB187" s="9"/>
      <c r="HC187" s="9"/>
      <c r="HD187" s="9"/>
      <c r="HE187" s="9"/>
      <c r="HF187" s="9"/>
      <c r="HG187" s="9"/>
      <c r="HH187" s="9"/>
      <c r="HI187" s="9"/>
      <c r="HJ187" s="9"/>
      <c r="HK187" s="9"/>
      <c r="HL187" s="9"/>
      <c r="HM187" s="9"/>
      <c r="HN187" s="9"/>
      <c r="HO187" s="9"/>
      <c r="HP187" s="9"/>
      <c r="HQ187" s="9"/>
      <c r="HR187" s="9"/>
      <c r="HS187" s="9"/>
      <c r="HT187" s="9"/>
      <c r="HU187" s="9"/>
      <c r="HV187" s="9"/>
      <c r="HW187" s="9"/>
      <c r="HX187" s="9"/>
      <c r="HY187" s="9"/>
      <c r="HZ187" s="9"/>
      <c r="IA187" s="9"/>
      <c r="IB187" s="9"/>
      <c r="IC187" s="9"/>
      <c r="ID187" s="9"/>
      <c r="IE187" s="9"/>
      <c r="IF187" s="9"/>
      <c r="IG187" s="9"/>
      <c r="IH187" s="9"/>
      <c r="II187" s="9"/>
      <c r="IJ187" s="9"/>
      <c r="IK187" s="9"/>
      <c r="IL187" s="9"/>
      <c r="IM187" s="9"/>
      <c r="IN187" s="9"/>
      <c r="IO187" s="9"/>
      <c r="IP187" s="9"/>
      <c r="IQ187" s="9"/>
      <c r="IR187" s="9"/>
      <c r="IS187" s="9"/>
      <c r="IT187" s="9"/>
      <c r="IU187" s="9"/>
      <c r="IV187" s="9"/>
      <c r="IW187" s="9"/>
      <c r="IX187" s="9"/>
      <c r="IY187" s="9"/>
      <c r="IZ187" s="9"/>
      <c r="JA187" s="9"/>
      <c r="JB187" s="9"/>
      <c r="JC187" s="9"/>
      <c r="JD187" s="9"/>
      <c r="JE187" s="9"/>
      <c r="JF187" s="9"/>
      <c r="JG187" s="9"/>
      <c r="JH187" s="9"/>
      <c r="JI187" s="9"/>
      <c r="JJ187" s="9"/>
      <c r="JK187" s="9"/>
      <c r="JL187" s="9"/>
      <c r="JM187" s="9"/>
      <c r="JN187" s="9"/>
      <c r="JO187" s="9"/>
      <c r="JP187" s="9"/>
      <c r="JQ187" s="9"/>
      <c r="JR187" s="9"/>
      <c r="JS187" s="9"/>
      <c r="JT187" s="9"/>
      <c r="JU187" s="9"/>
      <c r="JV187" s="9"/>
      <c r="JW187" s="9"/>
      <c r="JX187" s="9"/>
      <c r="JY187" s="9"/>
      <c r="JZ187" s="9"/>
      <c r="KA187" s="9"/>
      <c r="KB187" s="9"/>
      <c r="KC187" s="9"/>
      <c r="KD187" s="9"/>
      <c r="KE187" s="9"/>
      <c r="KF187" s="9"/>
      <c r="KG187" s="9"/>
      <c r="KH187" s="9"/>
      <c r="KI187" s="9"/>
      <c r="KJ187" s="9"/>
      <c r="KK187" s="9"/>
      <c r="KL187" s="9"/>
      <c r="KM187" s="9"/>
      <c r="KN187" s="9"/>
      <c r="KO187" s="9"/>
      <c r="KP187" s="9"/>
      <c r="KQ187" s="9"/>
      <c r="KR187" s="9"/>
      <c r="KS187" s="9"/>
      <c r="KT187" s="9"/>
      <c r="KU187" s="9"/>
      <c r="KV187" s="9"/>
      <c r="KW187" s="9"/>
      <c r="KX187" s="9"/>
      <c r="KY187" s="9"/>
      <c r="KZ187" s="9"/>
      <c r="LA187" s="9"/>
      <c r="LB187" s="9"/>
      <c r="LC187" s="9"/>
      <c r="LD187" s="9"/>
      <c r="LE187" s="9"/>
      <c r="LF187" s="9"/>
      <c r="LG187" s="9"/>
      <c r="LH187" s="9"/>
      <c r="LI187" s="9"/>
      <c r="LJ187" s="9"/>
      <c r="LK187" s="9"/>
      <c r="LL187" s="9"/>
      <c r="LM187" s="9"/>
      <c r="LN187" s="9"/>
      <c r="LO187" s="9"/>
      <c r="LP187" s="9"/>
      <c r="LQ187" s="9"/>
      <c r="LR187" s="9"/>
      <c r="LS187" s="9"/>
      <c r="LT187" s="9"/>
      <c r="LU187" s="9"/>
      <c r="LV187" s="9"/>
      <c r="LW187" s="9"/>
      <c r="LX187" s="9"/>
      <c r="LY187" s="9"/>
      <c r="LZ187" s="9"/>
      <c r="MA187" s="9"/>
      <c r="MB187" s="9"/>
      <c r="MC187" s="9"/>
      <c r="MD187" s="9"/>
      <c r="ME187" s="9"/>
      <c r="MF187" s="9"/>
      <c r="MG187" s="9"/>
      <c r="MH187" s="9"/>
      <c r="MI187" s="9"/>
      <c r="MJ187" s="9"/>
      <c r="MK187" s="9"/>
      <c r="ML187" s="9"/>
      <c r="MM187" s="9"/>
      <c r="MN187" s="9"/>
      <c r="MO187" s="9"/>
      <c r="MP187" s="9"/>
      <c r="MQ187" s="9"/>
      <c r="MR187" s="9"/>
      <c r="MS187" s="9"/>
      <c r="MT187" s="9"/>
      <c r="MU187" s="9"/>
      <c r="MV187" s="9"/>
      <c r="MW187" s="9"/>
      <c r="MX187" s="9"/>
      <c r="MY187" s="9"/>
      <c r="MZ187" s="9"/>
      <c r="NA187" s="9"/>
      <c r="NB187" s="9"/>
      <c r="NC187" s="9"/>
      <c r="ND187" s="9"/>
      <c r="NE187" s="9"/>
      <c r="NF187" s="9"/>
      <c r="NG187" s="9"/>
      <c r="NH187" s="9"/>
      <c r="NI187" s="9"/>
      <c r="NJ187" s="9"/>
      <c r="NK187" s="9"/>
      <c r="NL187" s="9"/>
      <c r="NM187" s="9"/>
      <c r="NN187" s="9"/>
      <c r="NO187" s="9"/>
      <c r="NP187" s="9"/>
      <c r="NQ187" s="9"/>
      <c r="NR187" s="9"/>
      <c r="NS187" s="9"/>
      <c r="NT187" s="9"/>
      <c r="NU187" s="9"/>
      <c r="NV187" s="9"/>
      <c r="NW187" s="9"/>
      <c r="NX187" s="9"/>
      <c r="NY187" s="9"/>
      <c r="NZ187" s="9"/>
      <c r="OA187" s="9"/>
      <c r="OB187" s="9"/>
      <c r="OC187" s="9"/>
      <c r="OD187" s="9"/>
      <c r="OE187" s="9"/>
      <c r="OF187" s="9"/>
      <c r="OG187" s="9"/>
      <c r="OH187" s="9"/>
      <c r="OI187" s="9"/>
      <c r="OJ187" s="9"/>
      <c r="OK187" s="9"/>
      <c r="OL187" s="9"/>
      <c r="OM187" s="9"/>
      <c r="ON187" s="9"/>
      <c r="OO187" s="9"/>
      <c r="OP187" s="9"/>
      <c r="OQ187" s="9"/>
      <c r="OR187" s="9"/>
      <c r="OS187" s="9"/>
      <c r="OT187" s="9"/>
      <c r="OU187" s="9"/>
      <c r="OV187" s="9"/>
      <c r="OW187" s="9"/>
      <c r="OX187" s="9"/>
      <c r="OY187" s="9"/>
      <c r="OZ187" s="9"/>
      <c r="PA187" s="9"/>
      <c r="PB187" s="9"/>
      <c r="PC187" s="9"/>
      <c r="PD187" s="9"/>
      <c r="PE187" s="9"/>
      <c r="PF187" s="9"/>
      <c r="PG187" s="9"/>
      <c r="PH187" s="9"/>
      <c r="PI187" s="9"/>
      <c r="PJ187" s="9"/>
      <c r="PK187" s="9"/>
      <c r="PL187" s="9"/>
      <c r="PM187" s="9"/>
      <c r="PN187" s="9"/>
      <c r="PO187" s="9"/>
      <c r="PP187" s="9"/>
      <c r="PQ187" s="9"/>
      <c r="PR187" s="9"/>
      <c r="PS187" s="9"/>
      <c r="PT187" s="9"/>
      <c r="PU187" s="9"/>
      <c r="PV187" s="9"/>
      <c r="PW187" s="9"/>
      <c r="PX187" s="9"/>
      <c r="PY187" s="9"/>
      <c r="PZ187" s="9"/>
      <c r="QA187" s="9"/>
      <c r="QB187" s="9"/>
      <c r="QC187" s="9"/>
      <c r="QD187" s="9"/>
      <c r="QE187" s="9"/>
      <c r="QF187" s="9"/>
      <c r="QG187" s="9"/>
      <c r="QH187" s="9"/>
      <c r="QI187" s="9"/>
      <c r="QJ187" s="9"/>
      <c r="QK187" s="9"/>
      <c r="QL187" s="9"/>
      <c r="QM187" s="9"/>
      <c r="QN187" s="9"/>
      <c r="QO187" s="9"/>
      <c r="QP187" s="9"/>
      <c r="QQ187" s="9"/>
      <c r="QR187" s="9"/>
      <c r="QS187" s="9"/>
      <c r="QT187" s="9"/>
      <c r="QU187" s="9"/>
      <c r="QV187" s="9"/>
      <c r="QW187" s="9"/>
      <c r="QX187" s="9"/>
      <c r="QY187" s="9"/>
      <c r="QZ187" s="9"/>
      <c r="RA187" s="9"/>
      <c r="RB187" s="9"/>
      <c r="RC187" s="9"/>
      <c r="RD187" s="9"/>
      <c r="RE187" s="9"/>
      <c r="RF187" s="9"/>
      <c r="RG187" s="9"/>
      <c r="RH187" s="9"/>
      <c r="RI187" s="9"/>
      <c r="RJ187" s="9"/>
      <c r="RK187" s="9"/>
      <c r="RL187" s="9"/>
      <c r="RM187" s="9"/>
      <c r="RN187" s="9"/>
      <c r="RO187" s="9"/>
      <c r="RP187" s="9"/>
      <c r="RQ187" s="9"/>
      <c r="RR187" s="9"/>
      <c r="RS187" s="9"/>
      <c r="RT187" s="9"/>
      <c r="RU187" s="9"/>
      <c r="RV187" s="9"/>
      <c r="RW187" s="9"/>
      <c r="RX187" s="9"/>
      <c r="RY187" s="9"/>
      <c r="RZ187" s="9"/>
      <c r="SA187" s="9"/>
      <c r="SB187" s="9"/>
      <c r="SC187" s="9"/>
      <c r="SD187" s="9"/>
      <c r="SE187" s="9"/>
      <c r="SF187" s="9"/>
      <c r="SG187" s="9"/>
      <c r="SH187" s="9"/>
      <c r="SI187" s="9"/>
      <c r="SJ187" s="9"/>
      <c r="SK187" s="8"/>
      <c r="SL187" s="8"/>
      <c r="SM187" s="8"/>
      <c r="SN187" s="8"/>
      <c r="SO187" s="8"/>
      <c r="SP187" s="8"/>
      <c r="SQ187" s="8"/>
      <c r="SR187" s="8"/>
      <c r="SS187" s="8"/>
      <c r="ST187" s="8"/>
      <c r="SU187" s="8"/>
      <c r="SV187" s="8"/>
      <c r="SW187" s="8"/>
      <c r="SX187" s="8"/>
      <c r="SY187" s="8"/>
      <c r="SZ187" s="8"/>
      <c r="TA187" s="8"/>
      <c r="TB187" s="8"/>
      <c r="TC187" s="8"/>
      <c r="TD187" s="8"/>
      <c r="TE187" s="8"/>
      <c r="TF187" s="8"/>
      <c r="TG187" s="8"/>
      <c r="TH187" s="8"/>
      <c r="TI187" s="8"/>
      <c r="TJ187" s="8"/>
      <c r="TK187" s="8"/>
      <c r="TL187" s="8"/>
      <c r="TM187" s="8"/>
      <c r="TN187" s="8"/>
      <c r="TO187" s="8"/>
    </row>
    <row r="188" spans="1:535" x14ac:dyDescent="0.2">
      <c r="A188" s="7"/>
      <c r="B188" s="7"/>
      <c r="C188" s="9"/>
      <c r="D188" s="8"/>
      <c r="E188" s="8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  <c r="CL188" s="9"/>
      <c r="CM188" s="9"/>
      <c r="CN188" s="9"/>
      <c r="CO188" s="9"/>
      <c r="CP188" s="9"/>
      <c r="CQ188" s="9"/>
      <c r="CR188" s="9"/>
      <c r="CS188" s="9"/>
      <c r="CT188" s="9"/>
      <c r="CU188" s="9"/>
      <c r="CV188" s="9"/>
      <c r="CW188" s="9"/>
      <c r="CX188" s="9"/>
      <c r="CY188" s="9"/>
      <c r="CZ188" s="9"/>
      <c r="DA188" s="9"/>
      <c r="DB188" s="9"/>
      <c r="DC188" s="9"/>
      <c r="DD188" s="9"/>
      <c r="DE188" s="9"/>
      <c r="DF188" s="9"/>
      <c r="DG188" s="9"/>
      <c r="DH188" s="9"/>
      <c r="DI188" s="9"/>
      <c r="DJ188" s="9"/>
      <c r="DK188" s="9"/>
      <c r="DL188" s="9"/>
      <c r="DM188" s="9"/>
      <c r="DN188" s="9"/>
      <c r="DO188" s="9"/>
      <c r="DP188" s="9"/>
      <c r="DQ188" s="9"/>
      <c r="DR188" s="9"/>
      <c r="DS188" s="9"/>
      <c r="DT188" s="9"/>
      <c r="DU188" s="9"/>
      <c r="DV188" s="9"/>
      <c r="DW188" s="9"/>
      <c r="DX188" s="9"/>
      <c r="DY188" s="9"/>
      <c r="DZ188" s="9"/>
      <c r="EA188" s="9"/>
      <c r="EB188" s="9"/>
      <c r="EC188" s="9"/>
      <c r="ED188" s="9"/>
      <c r="EE188" s="9"/>
      <c r="EF188" s="9"/>
      <c r="EG188" s="9"/>
      <c r="EH188" s="9"/>
      <c r="EI188" s="9"/>
      <c r="EJ188" s="9"/>
      <c r="EK188" s="9"/>
      <c r="EL188" s="9"/>
      <c r="EM188" s="9"/>
      <c r="EN188" s="9"/>
      <c r="EO188" s="9"/>
      <c r="EP188" s="9"/>
      <c r="EQ188" s="9"/>
      <c r="ER188" s="9"/>
      <c r="ES188" s="9"/>
      <c r="ET188" s="9"/>
      <c r="EU188" s="9"/>
      <c r="EV188" s="9"/>
      <c r="EW188" s="9"/>
      <c r="EX188" s="9"/>
      <c r="EY188" s="9"/>
      <c r="EZ188" s="9"/>
      <c r="FA188" s="9"/>
      <c r="FB188" s="9"/>
      <c r="FC188" s="9"/>
      <c r="FD188" s="9"/>
      <c r="FE188" s="9"/>
      <c r="FF188" s="9"/>
      <c r="FG188" s="9"/>
      <c r="FH188" s="9"/>
      <c r="FI188" s="9"/>
      <c r="FJ188" s="9"/>
      <c r="FK188" s="9"/>
      <c r="FL188" s="9"/>
      <c r="FM188" s="9"/>
      <c r="FN188" s="9"/>
      <c r="FO188" s="9"/>
      <c r="FP188" s="9"/>
      <c r="FQ188" s="9"/>
      <c r="FR188" s="9"/>
      <c r="FS188" s="9"/>
      <c r="FT188" s="9"/>
      <c r="FU188" s="9"/>
      <c r="FV188" s="9"/>
      <c r="FW188" s="9"/>
      <c r="FX188" s="9"/>
      <c r="FY188" s="9"/>
      <c r="FZ188" s="9"/>
      <c r="GA188" s="9"/>
      <c r="GB188" s="9"/>
      <c r="GC188" s="9"/>
      <c r="GD188" s="9"/>
      <c r="GE188" s="9"/>
      <c r="GF188" s="9"/>
      <c r="GG188" s="9"/>
      <c r="GH188" s="9"/>
      <c r="GI188" s="9"/>
      <c r="GJ188" s="9"/>
      <c r="GK188" s="9"/>
      <c r="GL188" s="9"/>
      <c r="GM188" s="9"/>
      <c r="GN188" s="9"/>
      <c r="GO188" s="9"/>
      <c r="GP188" s="9"/>
      <c r="GQ188" s="9"/>
      <c r="GR188" s="9"/>
      <c r="GS188" s="9"/>
      <c r="GT188" s="9"/>
      <c r="GU188" s="9"/>
      <c r="GV188" s="9"/>
      <c r="GW188" s="9"/>
      <c r="GX188" s="9"/>
      <c r="GY188" s="9"/>
      <c r="GZ188" s="9"/>
      <c r="HA188" s="9"/>
      <c r="HB188" s="9"/>
      <c r="HC188" s="9"/>
      <c r="HD188" s="9"/>
      <c r="HE188" s="9"/>
      <c r="HF188" s="9"/>
      <c r="HG188" s="9"/>
      <c r="HH188" s="9"/>
      <c r="HI188" s="9"/>
      <c r="HJ188" s="9"/>
      <c r="HK188" s="9"/>
      <c r="HL188" s="9"/>
      <c r="HM188" s="9"/>
      <c r="HN188" s="9"/>
      <c r="HO188" s="9"/>
      <c r="HP188" s="9"/>
      <c r="HQ188" s="9"/>
      <c r="HR188" s="9"/>
      <c r="HS188" s="9"/>
      <c r="HT188" s="9"/>
      <c r="HU188" s="9"/>
      <c r="HV188" s="9"/>
      <c r="HW188" s="9"/>
      <c r="HX188" s="9"/>
      <c r="HY188" s="9"/>
      <c r="HZ188" s="9"/>
      <c r="IA188" s="9"/>
      <c r="IB188" s="9"/>
      <c r="IC188" s="9"/>
      <c r="ID188" s="9"/>
      <c r="IE188" s="9"/>
      <c r="IF188" s="9"/>
      <c r="IG188" s="9"/>
      <c r="IH188" s="9"/>
      <c r="II188" s="9"/>
      <c r="IJ188" s="9"/>
      <c r="IK188" s="9"/>
      <c r="IL188" s="9"/>
      <c r="IM188" s="9"/>
      <c r="IN188" s="9"/>
      <c r="IO188" s="9"/>
      <c r="IP188" s="9"/>
      <c r="IQ188" s="9"/>
      <c r="IR188" s="9"/>
      <c r="IS188" s="9"/>
      <c r="IT188" s="9"/>
      <c r="IU188" s="9"/>
      <c r="IV188" s="9"/>
      <c r="IW188" s="9"/>
      <c r="IX188" s="9"/>
      <c r="IY188" s="9"/>
      <c r="IZ188" s="9"/>
      <c r="JA188" s="9"/>
      <c r="JB188" s="9"/>
      <c r="JC188" s="9"/>
      <c r="JD188" s="9"/>
      <c r="JE188" s="9"/>
      <c r="JF188" s="9"/>
      <c r="JG188" s="9"/>
      <c r="JH188" s="9"/>
      <c r="JI188" s="9"/>
      <c r="JJ188" s="9"/>
      <c r="JK188" s="9"/>
      <c r="JL188" s="9"/>
      <c r="JM188" s="9"/>
      <c r="JN188" s="9"/>
      <c r="JO188" s="9"/>
      <c r="JP188" s="9"/>
      <c r="JQ188" s="9"/>
      <c r="JR188" s="9"/>
      <c r="JS188" s="9"/>
      <c r="JT188" s="9"/>
      <c r="JU188" s="9"/>
      <c r="JV188" s="9"/>
      <c r="JW188" s="9"/>
      <c r="JX188" s="9"/>
      <c r="JY188" s="9"/>
      <c r="JZ188" s="9"/>
      <c r="KA188" s="9"/>
      <c r="KB188" s="9"/>
      <c r="KC188" s="9"/>
      <c r="KD188" s="9"/>
      <c r="KE188" s="9"/>
      <c r="KF188" s="9"/>
      <c r="KG188" s="9"/>
      <c r="KH188" s="9"/>
      <c r="KI188" s="9"/>
      <c r="KJ188" s="9"/>
      <c r="KK188" s="9"/>
      <c r="KL188" s="9"/>
      <c r="KM188" s="9"/>
      <c r="KN188" s="9"/>
      <c r="KO188" s="9"/>
      <c r="KP188" s="9"/>
      <c r="KQ188" s="9"/>
      <c r="KR188" s="9"/>
      <c r="KS188" s="9"/>
      <c r="KT188" s="9"/>
      <c r="KU188" s="9"/>
      <c r="KV188" s="9"/>
      <c r="KW188" s="9"/>
      <c r="KX188" s="9"/>
      <c r="KY188" s="9"/>
      <c r="KZ188" s="9"/>
      <c r="LA188" s="9"/>
      <c r="LB188" s="9"/>
      <c r="LC188" s="9"/>
      <c r="LD188" s="9"/>
      <c r="LE188" s="9"/>
      <c r="LF188" s="9"/>
      <c r="LG188" s="9"/>
      <c r="LH188" s="9"/>
      <c r="LI188" s="9"/>
      <c r="LJ188" s="9"/>
      <c r="LK188" s="9"/>
      <c r="LL188" s="9"/>
      <c r="LM188" s="9"/>
      <c r="LN188" s="9"/>
      <c r="LO188" s="9"/>
      <c r="LP188" s="9"/>
      <c r="LQ188" s="9"/>
      <c r="LR188" s="9"/>
      <c r="LS188" s="9"/>
      <c r="LT188" s="9"/>
      <c r="LU188" s="9"/>
      <c r="LV188" s="9"/>
      <c r="LW188" s="9"/>
      <c r="LX188" s="9"/>
      <c r="LY188" s="9"/>
      <c r="LZ188" s="9"/>
      <c r="MA188" s="9"/>
      <c r="MB188" s="9"/>
      <c r="MC188" s="9"/>
      <c r="MD188" s="9"/>
      <c r="ME188" s="9"/>
      <c r="MF188" s="9"/>
      <c r="MG188" s="9"/>
      <c r="MH188" s="9"/>
      <c r="MI188" s="9"/>
      <c r="MJ188" s="9"/>
      <c r="MK188" s="9"/>
      <c r="ML188" s="9"/>
      <c r="MM188" s="9"/>
      <c r="MN188" s="9"/>
      <c r="MO188" s="9"/>
      <c r="MP188" s="9"/>
      <c r="MQ188" s="9"/>
      <c r="MR188" s="9"/>
      <c r="MS188" s="9"/>
      <c r="MT188" s="9"/>
      <c r="MU188" s="9"/>
      <c r="MV188" s="9"/>
      <c r="MW188" s="9"/>
      <c r="MX188" s="9"/>
      <c r="MY188" s="9"/>
      <c r="MZ188" s="9"/>
      <c r="NA188" s="9"/>
      <c r="NB188" s="9"/>
      <c r="NC188" s="9"/>
      <c r="ND188" s="9"/>
      <c r="NE188" s="9"/>
      <c r="NF188" s="9"/>
      <c r="NG188" s="9"/>
      <c r="NH188" s="9"/>
      <c r="NI188" s="9"/>
      <c r="NJ188" s="9"/>
      <c r="NK188" s="9"/>
      <c r="NL188" s="9"/>
      <c r="NM188" s="9"/>
      <c r="NN188" s="9"/>
      <c r="NO188" s="9"/>
      <c r="NP188" s="9"/>
      <c r="NQ188" s="9"/>
      <c r="NR188" s="9"/>
      <c r="NS188" s="9"/>
      <c r="NT188" s="9"/>
      <c r="NU188" s="9"/>
      <c r="NV188" s="9"/>
      <c r="NW188" s="9"/>
      <c r="NX188" s="9"/>
      <c r="NY188" s="9"/>
      <c r="NZ188" s="9"/>
      <c r="OA188" s="9"/>
      <c r="OB188" s="9"/>
      <c r="OC188" s="9"/>
      <c r="OD188" s="9"/>
      <c r="OE188" s="9"/>
      <c r="OF188" s="9"/>
      <c r="OG188" s="9"/>
      <c r="OH188" s="9"/>
      <c r="OI188" s="9"/>
      <c r="OJ188" s="9"/>
      <c r="OK188" s="9"/>
      <c r="OL188" s="9"/>
      <c r="OM188" s="9"/>
      <c r="ON188" s="9"/>
      <c r="OO188" s="9"/>
      <c r="OP188" s="9"/>
      <c r="OQ188" s="9"/>
      <c r="OR188" s="9"/>
      <c r="OS188" s="9"/>
      <c r="OT188" s="9"/>
      <c r="OU188" s="9"/>
      <c r="OV188" s="9"/>
      <c r="OW188" s="9"/>
      <c r="OX188" s="9"/>
      <c r="OY188" s="9"/>
      <c r="OZ188" s="9"/>
      <c r="PA188" s="9"/>
      <c r="PB188" s="9"/>
      <c r="PC188" s="9"/>
      <c r="PD188" s="9"/>
      <c r="PE188" s="9"/>
      <c r="PF188" s="9"/>
      <c r="PG188" s="9"/>
      <c r="PH188" s="9"/>
      <c r="PI188" s="9"/>
      <c r="PJ188" s="9"/>
      <c r="PK188" s="9"/>
      <c r="PL188" s="9"/>
      <c r="PM188" s="9"/>
      <c r="PN188" s="9"/>
      <c r="PO188" s="9"/>
      <c r="PP188" s="9"/>
      <c r="PQ188" s="9"/>
      <c r="PR188" s="9"/>
      <c r="PS188" s="9"/>
      <c r="PT188" s="9"/>
      <c r="PU188" s="9"/>
      <c r="PV188" s="9"/>
      <c r="PW188" s="9"/>
      <c r="PX188" s="9"/>
      <c r="PY188" s="9"/>
      <c r="PZ188" s="9"/>
      <c r="QA188" s="9"/>
      <c r="QB188" s="9"/>
      <c r="QC188" s="9"/>
      <c r="QD188" s="9"/>
      <c r="QE188" s="9"/>
      <c r="QF188" s="9"/>
      <c r="QG188" s="9"/>
      <c r="QH188" s="9"/>
      <c r="QI188" s="9"/>
      <c r="QJ188" s="9"/>
      <c r="QK188" s="9"/>
      <c r="QL188" s="9"/>
      <c r="QM188" s="9"/>
      <c r="QN188" s="9"/>
      <c r="QO188" s="9"/>
      <c r="QP188" s="9"/>
      <c r="QQ188" s="9"/>
      <c r="QR188" s="9"/>
      <c r="QS188" s="9"/>
      <c r="QT188" s="9"/>
      <c r="QU188" s="9"/>
      <c r="QV188" s="9"/>
      <c r="QW188" s="9"/>
      <c r="QX188" s="9"/>
      <c r="QY188" s="9"/>
      <c r="QZ188" s="9"/>
      <c r="RA188" s="9"/>
      <c r="RB188" s="9"/>
      <c r="RC188" s="9"/>
      <c r="RD188" s="9"/>
      <c r="RE188" s="9"/>
      <c r="RF188" s="9"/>
      <c r="RG188" s="9"/>
      <c r="RH188" s="9"/>
      <c r="RI188" s="9"/>
      <c r="RJ188" s="9"/>
      <c r="RK188" s="9"/>
      <c r="RL188" s="9"/>
      <c r="RM188" s="9"/>
      <c r="RN188" s="9"/>
      <c r="RO188" s="9"/>
      <c r="RP188" s="9"/>
      <c r="RQ188" s="9"/>
      <c r="RR188" s="9"/>
      <c r="RS188" s="9"/>
      <c r="RT188" s="9"/>
      <c r="RU188" s="9"/>
      <c r="RV188" s="9"/>
      <c r="RW188" s="9"/>
      <c r="RX188" s="9"/>
      <c r="RY188" s="9"/>
      <c r="RZ188" s="9"/>
      <c r="SA188" s="9"/>
      <c r="SB188" s="9"/>
      <c r="SC188" s="9"/>
      <c r="SD188" s="9"/>
      <c r="SE188" s="9"/>
      <c r="SF188" s="9"/>
      <c r="SG188" s="9"/>
      <c r="SH188" s="9"/>
      <c r="SI188" s="9"/>
      <c r="SJ188" s="9"/>
      <c r="SK188" s="8"/>
      <c r="SL188" s="8"/>
      <c r="SM188" s="8"/>
      <c r="SN188" s="8"/>
      <c r="SO188" s="8"/>
      <c r="SP188" s="8"/>
      <c r="SQ188" s="8"/>
      <c r="SR188" s="8"/>
      <c r="SS188" s="8"/>
      <c r="ST188" s="8"/>
      <c r="SU188" s="8"/>
      <c r="SV188" s="8"/>
      <c r="SW188" s="8"/>
      <c r="SX188" s="8"/>
      <c r="SY188" s="8"/>
      <c r="SZ188" s="8"/>
      <c r="TA188" s="8"/>
      <c r="TB188" s="8"/>
      <c r="TC188" s="8"/>
      <c r="TD188" s="8"/>
      <c r="TE188" s="8"/>
      <c r="TF188" s="8"/>
      <c r="TG188" s="8"/>
      <c r="TH188" s="8"/>
      <c r="TI188" s="8"/>
      <c r="TJ188" s="8"/>
      <c r="TK188" s="8"/>
      <c r="TL188" s="8"/>
      <c r="TM188" s="8"/>
      <c r="TN188" s="8"/>
      <c r="TO188" s="8"/>
    </row>
    <row r="189" spans="1:535" x14ac:dyDescent="0.2">
      <c r="A189" s="7"/>
      <c r="B189" s="7"/>
      <c r="C189" s="9"/>
      <c r="D189" s="8"/>
      <c r="E189" s="8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  <c r="DO189" s="9"/>
      <c r="DP189" s="9"/>
      <c r="DQ189" s="9"/>
      <c r="DR189" s="9"/>
      <c r="DS189" s="9"/>
      <c r="DT189" s="9"/>
      <c r="DU189" s="9"/>
      <c r="DV189" s="9"/>
      <c r="DW189" s="9"/>
      <c r="DX189" s="9"/>
      <c r="DY189" s="9"/>
      <c r="DZ189" s="9"/>
      <c r="EA189" s="9"/>
      <c r="EB189" s="9"/>
      <c r="EC189" s="9"/>
      <c r="ED189" s="9"/>
      <c r="EE189" s="9"/>
      <c r="EF189" s="9"/>
      <c r="EG189" s="9"/>
      <c r="EH189" s="9"/>
      <c r="EI189" s="9"/>
      <c r="EJ189" s="9"/>
      <c r="EK189" s="9"/>
      <c r="EL189" s="9"/>
      <c r="EM189" s="9"/>
      <c r="EN189" s="9"/>
      <c r="EO189" s="9"/>
      <c r="EP189" s="9"/>
      <c r="EQ189" s="9"/>
      <c r="ER189" s="9"/>
      <c r="ES189" s="9"/>
      <c r="ET189" s="9"/>
      <c r="EU189" s="9"/>
      <c r="EV189" s="9"/>
      <c r="EW189" s="9"/>
      <c r="EX189" s="9"/>
      <c r="EY189" s="9"/>
      <c r="EZ189" s="9"/>
      <c r="FA189" s="9"/>
      <c r="FB189" s="9"/>
      <c r="FC189" s="9"/>
      <c r="FD189" s="9"/>
      <c r="FE189" s="9"/>
      <c r="FF189" s="9"/>
      <c r="FG189" s="9"/>
      <c r="FH189" s="9"/>
      <c r="FI189" s="9"/>
      <c r="FJ189" s="9"/>
      <c r="FK189" s="9"/>
      <c r="FL189" s="9"/>
      <c r="FM189" s="9"/>
      <c r="FN189" s="9"/>
      <c r="FO189" s="9"/>
      <c r="FP189" s="9"/>
      <c r="FQ189" s="9"/>
      <c r="FR189" s="9"/>
      <c r="FS189" s="9"/>
      <c r="FT189" s="9"/>
      <c r="FU189" s="9"/>
      <c r="FV189" s="9"/>
      <c r="FW189" s="9"/>
      <c r="FX189" s="9"/>
      <c r="FY189" s="9"/>
      <c r="FZ189" s="9"/>
      <c r="GA189" s="9"/>
      <c r="GB189" s="9"/>
      <c r="GC189" s="9"/>
      <c r="GD189" s="9"/>
      <c r="GE189" s="9"/>
      <c r="GF189" s="9"/>
      <c r="GG189" s="9"/>
      <c r="GH189" s="9"/>
      <c r="GI189" s="9"/>
      <c r="GJ189" s="9"/>
      <c r="GK189" s="9"/>
      <c r="GL189" s="9"/>
      <c r="GM189" s="9"/>
      <c r="GN189" s="9"/>
      <c r="GO189" s="9"/>
      <c r="GP189" s="9"/>
      <c r="GQ189" s="9"/>
      <c r="GR189" s="9"/>
      <c r="GS189" s="9"/>
      <c r="GT189" s="9"/>
      <c r="GU189" s="9"/>
      <c r="GV189" s="9"/>
      <c r="GW189" s="9"/>
      <c r="GX189" s="9"/>
      <c r="GY189" s="9"/>
      <c r="GZ189" s="9"/>
      <c r="HA189" s="9"/>
      <c r="HB189" s="9"/>
      <c r="HC189" s="9"/>
      <c r="HD189" s="9"/>
      <c r="HE189" s="9"/>
      <c r="HF189" s="9"/>
      <c r="HG189" s="9"/>
      <c r="HH189" s="9"/>
      <c r="HI189" s="9"/>
      <c r="HJ189" s="9"/>
      <c r="HK189" s="9"/>
      <c r="HL189" s="9"/>
      <c r="HM189" s="9"/>
      <c r="HN189" s="9"/>
      <c r="HO189" s="9"/>
      <c r="HP189" s="9"/>
      <c r="HQ189" s="9"/>
      <c r="HR189" s="9"/>
      <c r="HS189" s="9"/>
      <c r="HT189" s="9"/>
      <c r="HU189" s="9"/>
      <c r="HV189" s="9"/>
      <c r="HW189" s="9"/>
      <c r="HX189" s="9"/>
      <c r="HY189" s="9"/>
      <c r="HZ189" s="9"/>
      <c r="IA189" s="9"/>
      <c r="IB189" s="9"/>
      <c r="IC189" s="9"/>
      <c r="ID189" s="9"/>
      <c r="IE189" s="9"/>
      <c r="IF189" s="9"/>
      <c r="IG189" s="9"/>
      <c r="IH189" s="9"/>
      <c r="II189" s="9"/>
      <c r="IJ189" s="9"/>
      <c r="IK189" s="9"/>
      <c r="IL189" s="9"/>
      <c r="IM189" s="9"/>
      <c r="IN189" s="9"/>
      <c r="IO189" s="9"/>
      <c r="IP189" s="9"/>
      <c r="IQ189" s="9"/>
      <c r="IR189" s="9"/>
      <c r="IS189" s="9"/>
      <c r="IT189" s="9"/>
      <c r="IU189" s="9"/>
      <c r="IV189" s="9"/>
      <c r="IW189" s="9"/>
      <c r="IX189" s="9"/>
      <c r="IY189" s="9"/>
      <c r="IZ189" s="9"/>
      <c r="JA189" s="9"/>
      <c r="JB189" s="9"/>
      <c r="JC189" s="9"/>
      <c r="JD189" s="9"/>
      <c r="JE189" s="9"/>
      <c r="JF189" s="9"/>
      <c r="JG189" s="9"/>
      <c r="JH189" s="9"/>
      <c r="JI189" s="9"/>
      <c r="JJ189" s="9"/>
      <c r="JK189" s="9"/>
      <c r="JL189" s="9"/>
      <c r="JM189" s="9"/>
      <c r="JN189" s="9"/>
      <c r="JO189" s="9"/>
      <c r="JP189" s="9"/>
      <c r="JQ189" s="9"/>
      <c r="JR189" s="9"/>
      <c r="JS189" s="9"/>
      <c r="JT189" s="9"/>
      <c r="JU189" s="9"/>
      <c r="JV189" s="9"/>
      <c r="JW189" s="9"/>
      <c r="JX189" s="9"/>
      <c r="JY189" s="9"/>
      <c r="JZ189" s="9"/>
      <c r="KA189" s="9"/>
      <c r="KB189" s="9"/>
      <c r="KC189" s="9"/>
      <c r="KD189" s="9"/>
      <c r="KE189" s="9"/>
      <c r="KF189" s="9"/>
      <c r="KG189" s="9"/>
      <c r="KH189" s="9"/>
      <c r="KI189" s="9"/>
      <c r="KJ189" s="9"/>
      <c r="KK189" s="9"/>
      <c r="KL189" s="9"/>
      <c r="KM189" s="9"/>
      <c r="KN189" s="9"/>
      <c r="KO189" s="9"/>
      <c r="KP189" s="9"/>
      <c r="KQ189" s="9"/>
      <c r="KR189" s="9"/>
      <c r="KS189" s="9"/>
      <c r="KT189" s="9"/>
      <c r="KU189" s="9"/>
      <c r="KV189" s="9"/>
      <c r="KW189" s="9"/>
      <c r="KX189" s="9"/>
      <c r="KY189" s="9"/>
      <c r="KZ189" s="9"/>
      <c r="LA189" s="9"/>
      <c r="LB189" s="9"/>
      <c r="LC189" s="9"/>
      <c r="LD189" s="9"/>
      <c r="LE189" s="9"/>
      <c r="LF189" s="9"/>
      <c r="LG189" s="9"/>
      <c r="LH189" s="9"/>
      <c r="LI189" s="9"/>
      <c r="LJ189" s="9"/>
      <c r="LK189" s="9"/>
      <c r="LL189" s="9"/>
      <c r="LM189" s="9"/>
      <c r="LN189" s="9"/>
      <c r="LO189" s="9"/>
      <c r="LP189" s="9"/>
      <c r="LQ189" s="9"/>
      <c r="LR189" s="9"/>
      <c r="LS189" s="9"/>
      <c r="LT189" s="9"/>
      <c r="LU189" s="9"/>
      <c r="LV189" s="9"/>
      <c r="LW189" s="9"/>
      <c r="LX189" s="9"/>
      <c r="LY189" s="9"/>
      <c r="LZ189" s="9"/>
      <c r="MA189" s="9"/>
      <c r="MB189" s="9"/>
      <c r="MC189" s="9"/>
      <c r="MD189" s="9"/>
      <c r="ME189" s="9"/>
      <c r="MF189" s="9"/>
      <c r="MG189" s="9"/>
      <c r="MH189" s="9"/>
      <c r="MI189" s="9"/>
      <c r="MJ189" s="9"/>
      <c r="MK189" s="9"/>
      <c r="ML189" s="9"/>
      <c r="MM189" s="9"/>
      <c r="MN189" s="9"/>
      <c r="MO189" s="9"/>
      <c r="MP189" s="9"/>
      <c r="MQ189" s="9"/>
      <c r="MR189" s="9"/>
      <c r="MS189" s="9"/>
      <c r="MT189" s="9"/>
      <c r="MU189" s="9"/>
      <c r="MV189" s="9"/>
      <c r="MW189" s="9"/>
      <c r="MX189" s="9"/>
      <c r="MY189" s="9"/>
      <c r="MZ189" s="9"/>
      <c r="NA189" s="9"/>
      <c r="NB189" s="9"/>
      <c r="NC189" s="9"/>
      <c r="ND189" s="9"/>
      <c r="NE189" s="9"/>
      <c r="NF189" s="9"/>
      <c r="NG189" s="9"/>
      <c r="NH189" s="9"/>
      <c r="NI189" s="9"/>
      <c r="NJ189" s="9"/>
      <c r="NK189" s="9"/>
      <c r="NL189" s="9"/>
      <c r="NM189" s="9"/>
      <c r="NN189" s="9"/>
      <c r="NO189" s="9"/>
      <c r="NP189" s="9"/>
      <c r="NQ189" s="9"/>
      <c r="NR189" s="9"/>
      <c r="NS189" s="9"/>
      <c r="NT189" s="9"/>
      <c r="NU189" s="9"/>
      <c r="NV189" s="9"/>
      <c r="NW189" s="9"/>
      <c r="NX189" s="9"/>
      <c r="NY189" s="9"/>
      <c r="NZ189" s="9"/>
      <c r="OA189" s="9"/>
      <c r="OB189" s="9"/>
      <c r="OC189" s="9"/>
      <c r="OD189" s="9"/>
      <c r="OE189" s="9"/>
      <c r="OF189" s="9"/>
      <c r="OG189" s="9"/>
      <c r="OH189" s="9"/>
      <c r="OI189" s="9"/>
      <c r="OJ189" s="9"/>
      <c r="OK189" s="9"/>
      <c r="OL189" s="9"/>
      <c r="OM189" s="9"/>
      <c r="ON189" s="9"/>
      <c r="OO189" s="9"/>
      <c r="OP189" s="9"/>
      <c r="OQ189" s="9"/>
      <c r="OR189" s="9"/>
      <c r="OS189" s="9"/>
      <c r="OT189" s="9"/>
      <c r="OU189" s="9"/>
      <c r="OV189" s="9"/>
      <c r="OW189" s="9"/>
      <c r="OX189" s="9"/>
      <c r="OY189" s="9"/>
      <c r="OZ189" s="9"/>
      <c r="PA189" s="9"/>
      <c r="PB189" s="9"/>
      <c r="PC189" s="9"/>
      <c r="PD189" s="9"/>
      <c r="PE189" s="9"/>
      <c r="PF189" s="9"/>
      <c r="PG189" s="9"/>
      <c r="PH189" s="9"/>
      <c r="PI189" s="9"/>
      <c r="PJ189" s="9"/>
      <c r="PK189" s="9"/>
      <c r="PL189" s="9"/>
      <c r="PM189" s="9"/>
      <c r="PN189" s="9"/>
      <c r="PO189" s="9"/>
      <c r="PP189" s="9"/>
      <c r="PQ189" s="9"/>
      <c r="PR189" s="9"/>
      <c r="PS189" s="9"/>
      <c r="PT189" s="9"/>
      <c r="PU189" s="9"/>
      <c r="PV189" s="9"/>
      <c r="PW189" s="9"/>
      <c r="PX189" s="9"/>
      <c r="PY189" s="9"/>
      <c r="PZ189" s="9"/>
      <c r="QA189" s="9"/>
      <c r="QB189" s="9"/>
      <c r="QC189" s="9"/>
      <c r="QD189" s="9"/>
      <c r="QE189" s="9"/>
      <c r="QF189" s="9"/>
      <c r="QG189" s="9"/>
      <c r="QH189" s="9"/>
      <c r="QI189" s="9"/>
      <c r="QJ189" s="9"/>
      <c r="QK189" s="9"/>
      <c r="QL189" s="9"/>
      <c r="QM189" s="9"/>
      <c r="QN189" s="9"/>
      <c r="QO189" s="9"/>
      <c r="QP189" s="9"/>
      <c r="QQ189" s="9"/>
      <c r="QR189" s="9"/>
      <c r="QS189" s="9"/>
      <c r="QT189" s="9"/>
      <c r="QU189" s="9"/>
      <c r="QV189" s="9"/>
      <c r="QW189" s="9"/>
      <c r="QX189" s="9"/>
      <c r="QY189" s="9"/>
      <c r="QZ189" s="9"/>
      <c r="RA189" s="9"/>
      <c r="RB189" s="9"/>
      <c r="RC189" s="9"/>
      <c r="RD189" s="9"/>
      <c r="RE189" s="9"/>
      <c r="RF189" s="9"/>
      <c r="RG189" s="9"/>
      <c r="RH189" s="9"/>
      <c r="RI189" s="9"/>
      <c r="RJ189" s="9"/>
      <c r="RK189" s="9"/>
      <c r="RL189" s="9"/>
      <c r="RM189" s="9"/>
      <c r="RN189" s="9"/>
      <c r="RO189" s="9"/>
      <c r="RP189" s="9"/>
      <c r="RQ189" s="9"/>
      <c r="RR189" s="9"/>
      <c r="RS189" s="9"/>
      <c r="RT189" s="9"/>
      <c r="RU189" s="9"/>
      <c r="RV189" s="9"/>
      <c r="RW189" s="9"/>
      <c r="RX189" s="9"/>
      <c r="RY189" s="9"/>
      <c r="RZ189" s="9"/>
      <c r="SA189" s="9"/>
      <c r="SB189" s="9"/>
      <c r="SC189" s="9"/>
      <c r="SD189" s="9"/>
      <c r="SE189" s="9"/>
      <c r="SF189" s="9"/>
      <c r="SG189" s="9"/>
      <c r="SH189" s="9"/>
      <c r="SI189" s="9"/>
      <c r="SJ189" s="9"/>
      <c r="SK189" s="8"/>
      <c r="SL189" s="8"/>
      <c r="SM189" s="8"/>
      <c r="SN189" s="8"/>
      <c r="SO189" s="8"/>
      <c r="SP189" s="8"/>
      <c r="SQ189" s="8"/>
      <c r="SR189" s="8"/>
      <c r="SS189" s="8"/>
      <c r="ST189" s="8"/>
      <c r="SU189" s="8"/>
      <c r="SV189" s="8"/>
      <c r="SW189" s="8"/>
      <c r="SX189" s="8"/>
      <c r="SY189" s="8"/>
      <c r="SZ189" s="8"/>
      <c r="TA189" s="8"/>
      <c r="TB189" s="8"/>
      <c r="TC189" s="8"/>
      <c r="TD189" s="8"/>
      <c r="TE189" s="8"/>
      <c r="TF189" s="8"/>
      <c r="TG189" s="8"/>
      <c r="TH189" s="8"/>
      <c r="TI189" s="8"/>
      <c r="TJ189" s="8"/>
      <c r="TK189" s="8"/>
      <c r="TL189" s="8"/>
      <c r="TM189" s="8"/>
      <c r="TN189" s="8"/>
      <c r="TO189" s="8"/>
    </row>
    <row r="190" spans="1:535" x14ac:dyDescent="0.2">
      <c r="A190" s="7"/>
      <c r="B190" s="7"/>
      <c r="C190" s="9"/>
      <c r="D190" s="8"/>
      <c r="E190" s="8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  <c r="DO190" s="9"/>
      <c r="DP190" s="9"/>
      <c r="DQ190" s="9"/>
      <c r="DR190" s="9"/>
      <c r="DS190" s="9"/>
      <c r="DT190" s="9"/>
      <c r="DU190" s="9"/>
      <c r="DV190" s="9"/>
      <c r="DW190" s="9"/>
      <c r="DX190" s="9"/>
      <c r="DY190" s="9"/>
      <c r="DZ190" s="9"/>
      <c r="EA190" s="9"/>
      <c r="EB190" s="9"/>
      <c r="EC190" s="9"/>
      <c r="ED190" s="9"/>
      <c r="EE190" s="9"/>
      <c r="EF190" s="9"/>
      <c r="EG190" s="9"/>
      <c r="EH190" s="9"/>
      <c r="EI190" s="9"/>
      <c r="EJ190" s="9"/>
      <c r="EK190" s="9"/>
      <c r="EL190" s="9"/>
      <c r="EM190" s="9"/>
      <c r="EN190" s="9"/>
      <c r="EO190" s="9"/>
      <c r="EP190" s="9"/>
      <c r="EQ190" s="9"/>
      <c r="ER190" s="9"/>
      <c r="ES190" s="9"/>
      <c r="ET190" s="9"/>
      <c r="EU190" s="9"/>
      <c r="EV190" s="9"/>
      <c r="EW190" s="9"/>
      <c r="EX190" s="9"/>
      <c r="EY190" s="9"/>
      <c r="EZ190" s="9"/>
      <c r="FA190" s="9"/>
      <c r="FB190" s="9"/>
      <c r="FC190" s="9"/>
      <c r="FD190" s="9"/>
      <c r="FE190" s="9"/>
      <c r="FF190" s="9"/>
      <c r="FG190" s="9"/>
      <c r="FH190" s="9"/>
      <c r="FI190" s="9"/>
      <c r="FJ190" s="9"/>
      <c r="FK190" s="9"/>
      <c r="FL190" s="9"/>
      <c r="FM190" s="9"/>
      <c r="FN190" s="9"/>
      <c r="FO190" s="9"/>
      <c r="FP190" s="9"/>
      <c r="FQ190" s="9"/>
      <c r="FR190" s="9"/>
      <c r="FS190" s="9"/>
      <c r="FT190" s="9"/>
      <c r="FU190" s="9"/>
      <c r="FV190" s="9"/>
      <c r="FW190" s="9"/>
      <c r="FX190" s="9"/>
      <c r="FY190" s="9"/>
      <c r="FZ190" s="9"/>
      <c r="GA190" s="9"/>
      <c r="GB190" s="9"/>
      <c r="GC190" s="9"/>
      <c r="GD190" s="9"/>
      <c r="GE190" s="9"/>
      <c r="GF190" s="9"/>
      <c r="GG190" s="9"/>
      <c r="GH190" s="9"/>
      <c r="GI190" s="9"/>
      <c r="GJ190" s="9"/>
      <c r="GK190" s="9"/>
      <c r="GL190" s="9"/>
      <c r="GM190" s="9"/>
      <c r="GN190" s="9"/>
      <c r="GO190" s="9"/>
      <c r="GP190" s="9"/>
      <c r="GQ190" s="9"/>
      <c r="GR190" s="9"/>
      <c r="GS190" s="9"/>
      <c r="GT190" s="9"/>
      <c r="GU190" s="9"/>
      <c r="GV190" s="9"/>
      <c r="GW190" s="9"/>
      <c r="GX190" s="9"/>
      <c r="GY190" s="9"/>
      <c r="GZ190" s="9"/>
      <c r="HA190" s="9"/>
      <c r="HB190" s="9"/>
      <c r="HC190" s="9"/>
      <c r="HD190" s="9"/>
      <c r="HE190" s="9"/>
      <c r="HF190" s="9"/>
      <c r="HG190" s="9"/>
      <c r="HH190" s="9"/>
      <c r="HI190" s="9"/>
      <c r="HJ190" s="9"/>
      <c r="HK190" s="9"/>
      <c r="HL190" s="9"/>
      <c r="HM190" s="9"/>
      <c r="HN190" s="9"/>
      <c r="HO190" s="9"/>
      <c r="HP190" s="9"/>
      <c r="HQ190" s="9"/>
      <c r="HR190" s="9"/>
      <c r="HS190" s="9"/>
      <c r="HT190" s="9"/>
      <c r="HU190" s="9"/>
      <c r="HV190" s="9"/>
      <c r="HW190" s="9"/>
      <c r="HX190" s="9"/>
      <c r="HY190" s="9"/>
      <c r="HZ190" s="9"/>
      <c r="IA190" s="9"/>
      <c r="IB190" s="9"/>
      <c r="IC190" s="9"/>
      <c r="ID190" s="9"/>
      <c r="IE190" s="9"/>
      <c r="IF190" s="9"/>
      <c r="IG190" s="9"/>
      <c r="IH190" s="9"/>
      <c r="II190" s="9"/>
      <c r="IJ190" s="9"/>
      <c r="IK190" s="9"/>
      <c r="IL190" s="9"/>
      <c r="IM190" s="9"/>
      <c r="IN190" s="9"/>
      <c r="IO190" s="9"/>
      <c r="IP190" s="9"/>
      <c r="IQ190" s="9"/>
      <c r="IR190" s="9"/>
      <c r="IS190" s="9"/>
      <c r="IT190" s="9"/>
      <c r="IU190" s="9"/>
      <c r="IV190" s="9"/>
      <c r="IW190" s="9"/>
      <c r="IX190" s="9"/>
      <c r="IY190" s="9"/>
      <c r="IZ190" s="9"/>
      <c r="JA190" s="9"/>
      <c r="JB190" s="9"/>
      <c r="JC190" s="9"/>
      <c r="JD190" s="9"/>
      <c r="JE190" s="9"/>
      <c r="JF190" s="9"/>
      <c r="JG190" s="9"/>
      <c r="JH190" s="9"/>
      <c r="JI190" s="9"/>
      <c r="JJ190" s="9"/>
      <c r="JK190" s="9"/>
      <c r="JL190" s="9"/>
      <c r="JM190" s="9"/>
      <c r="JN190" s="9"/>
      <c r="JO190" s="9"/>
      <c r="JP190" s="9"/>
      <c r="JQ190" s="9"/>
      <c r="JR190" s="9"/>
      <c r="JS190" s="9"/>
      <c r="JT190" s="9"/>
      <c r="JU190" s="9"/>
      <c r="JV190" s="9"/>
      <c r="JW190" s="9"/>
      <c r="JX190" s="9"/>
      <c r="JY190" s="9"/>
      <c r="JZ190" s="9"/>
      <c r="KA190" s="9"/>
      <c r="KB190" s="9"/>
      <c r="KC190" s="9"/>
      <c r="KD190" s="9"/>
      <c r="KE190" s="9"/>
      <c r="KF190" s="9"/>
      <c r="KG190" s="9"/>
      <c r="KH190" s="9"/>
      <c r="KI190" s="9"/>
      <c r="KJ190" s="9"/>
      <c r="KK190" s="9"/>
      <c r="KL190" s="9"/>
      <c r="KM190" s="9"/>
      <c r="KN190" s="9"/>
      <c r="KO190" s="9"/>
      <c r="KP190" s="9"/>
      <c r="KQ190" s="9"/>
      <c r="KR190" s="9"/>
      <c r="KS190" s="9"/>
      <c r="KT190" s="9"/>
      <c r="KU190" s="9"/>
      <c r="KV190" s="9"/>
      <c r="KW190" s="9"/>
      <c r="KX190" s="9"/>
      <c r="KY190" s="9"/>
      <c r="KZ190" s="9"/>
      <c r="LA190" s="9"/>
      <c r="LB190" s="9"/>
      <c r="LC190" s="9"/>
      <c r="LD190" s="9"/>
      <c r="LE190" s="9"/>
      <c r="LF190" s="9"/>
      <c r="LG190" s="9"/>
      <c r="LH190" s="9"/>
      <c r="LI190" s="9"/>
      <c r="LJ190" s="9"/>
      <c r="LK190" s="9"/>
      <c r="LL190" s="9"/>
      <c r="LM190" s="9"/>
      <c r="LN190" s="9"/>
      <c r="LO190" s="9"/>
      <c r="LP190" s="9"/>
      <c r="LQ190" s="9"/>
      <c r="LR190" s="9"/>
      <c r="LS190" s="9"/>
      <c r="LT190" s="9"/>
      <c r="LU190" s="9"/>
      <c r="LV190" s="9"/>
      <c r="LW190" s="9"/>
      <c r="LX190" s="9"/>
      <c r="LY190" s="9"/>
      <c r="LZ190" s="9"/>
      <c r="MA190" s="9"/>
      <c r="MB190" s="9"/>
      <c r="MC190" s="9"/>
      <c r="MD190" s="9"/>
      <c r="ME190" s="9"/>
      <c r="MF190" s="9"/>
      <c r="MG190" s="9"/>
      <c r="MH190" s="9"/>
      <c r="MI190" s="9"/>
      <c r="MJ190" s="9"/>
      <c r="MK190" s="9"/>
      <c r="ML190" s="9"/>
      <c r="MM190" s="9"/>
      <c r="MN190" s="9"/>
      <c r="MO190" s="9"/>
      <c r="MP190" s="9"/>
      <c r="MQ190" s="9"/>
      <c r="MR190" s="9"/>
      <c r="MS190" s="9"/>
      <c r="MT190" s="9"/>
      <c r="MU190" s="9"/>
      <c r="MV190" s="9"/>
      <c r="MW190" s="9"/>
      <c r="MX190" s="9"/>
      <c r="MY190" s="9"/>
      <c r="MZ190" s="9"/>
      <c r="NA190" s="9"/>
      <c r="NB190" s="9"/>
      <c r="NC190" s="9"/>
      <c r="ND190" s="9"/>
      <c r="NE190" s="9"/>
      <c r="NF190" s="9"/>
      <c r="NG190" s="9"/>
      <c r="NH190" s="9"/>
      <c r="NI190" s="9"/>
      <c r="NJ190" s="9"/>
      <c r="NK190" s="9"/>
      <c r="NL190" s="9"/>
      <c r="NM190" s="9"/>
      <c r="NN190" s="9"/>
      <c r="NO190" s="9"/>
      <c r="NP190" s="9"/>
      <c r="NQ190" s="9"/>
      <c r="NR190" s="9"/>
      <c r="NS190" s="9"/>
      <c r="NT190" s="9"/>
      <c r="NU190" s="9"/>
      <c r="NV190" s="9"/>
      <c r="NW190" s="9"/>
      <c r="NX190" s="9"/>
      <c r="NY190" s="9"/>
      <c r="NZ190" s="9"/>
      <c r="OA190" s="9"/>
      <c r="OB190" s="9"/>
      <c r="OC190" s="9"/>
      <c r="OD190" s="9"/>
      <c r="OE190" s="9"/>
      <c r="OF190" s="9"/>
      <c r="OG190" s="9"/>
      <c r="OH190" s="9"/>
      <c r="OI190" s="9"/>
      <c r="OJ190" s="9"/>
      <c r="OK190" s="9"/>
      <c r="OL190" s="9"/>
      <c r="OM190" s="9"/>
      <c r="ON190" s="9"/>
      <c r="OO190" s="9"/>
      <c r="OP190" s="9"/>
      <c r="OQ190" s="9"/>
      <c r="OR190" s="9"/>
      <c r="OS190" s="9"/>
      <c r="OT190" s="9"/>
      <c r="OU190" s="9"/>
      <c r="OV190" s="9"/>
      <c r="OW190" s="9"/>
      <c r="OX190" s="9"/>
      <c r="OY190" s="9"/>
      <c r="OZ190" s="9"/>
      <c r="PA190" s="9"/>
      <c r="PB190" s="9"/>
      <c r="PC190" s="9"/>
      <c r="PD190" s="9"/>
      <c r="PE190" s="9"/>
      <c r="PF190" s="9"/>
      <c r="PG190" s="9"/>
      <c r="PH190" s="9"/>
      <c r="PI190" s="9"/>
      <c r="PJ190" s="9"/>
      <c r="PK190" s="9"/>
      <c r="PL190" s="9"/>
      <c r="PM190" s="9"/>
      <c r="PN190" s="9"/>
      <c r="PO190" s="9"/>
      <c r="PP190" s="9"/>
      <c r="PQ190" s="9"/>
      <c r="PR190" s="9"/>
      <c r="PS190" s="9"/>
      <c r="PT190" s="9"/>
      <c r="PU190" s="9"/>
      <c r="PV190" s="9"/>
      <c r="PW190" s="9"/>
      <c r="PX190" s="9"/>
      <c r="PY190" s="9"/>
      <c r="PZ190" s="9"/>
      <c r="QA190" s="9"/>
      <c r="QB190" s="9"/>
      <c r="QC190" s="9"/>
      <c r="QD190" s="9"/>
      <c r="QE190" s="9"/>
      <c r="QF190" s="9"/>
      <c r="QG190" s="9"/>
      <c r="QH190" s="9"/>
      <c r="QI190" s="9"/>
      <c r="QJ190" s="9"/>
      <c r="QK190" s="9"/>
      <c r="QL190" s="9"/>
      <c r="QM190" s="9"/>
      <c r="QN190" s="9"/>
      <c r="QO190" s="9"/>
      <c r="QP190" s="9"/>
      <c r="QQ190" s="9"/>
      <c r="QR190" s="9"/>
      <c r="QS190" s="9"/>
      <c r="QT190" s="9"/>
      <c r="QU190" s="9"/>
      <c r="QV190" s="9"/>
      <c r="QW190" s="9"/>
      <c r="QX190" s="9"/>
      <c r="QY190" s="9"/>
      <c r="QZ190" s="9"/>
      <c r="RA190" s="9"/>
      <c r="RB190" s="9"/>
      <c r="RC190" s="9"/>
      <c r="RD190" s="9"/>
      <c r="RE190" s="9"/>
      <c r="RF190" s="9"/>
      <c r="RG190" s="9"/>
      <c r="RH190" s="9"/>
      <c r="RI190" s="9"/>
      <c r="RJ190" s="9"/>
      <c r="RK190" s="9"/>
      <c r="RL190" s="9"/>
      <c r="RM190" s="9"/>
      <c r="RN190" s="9"/>
      <c r="RO190" s="9"/>
      <c r="RP190" s="9"/>
      <c r="RQ190" s="9"/>
      <c r="RR190" s="9"/>
      <c r="RS190" s="9"/>
      <c r="RT190" s="9"/>
      <c r="RU190" s="9"/>
      <c r="RV190" s="9"/>
      <c r="RW190" s="9"/>
      <c r="RX190" s="9"/>
      <c r="RY190" s="9"/>
      <c r="RZ190" s="9"/>
      <c r="SA190" s="9"/>
      <c r="SB190" s="9"/>
      <c r="SC190" s="9"/>
      <c r="SD190" s="9"/>
      <c r="SE190" s="9"/>
      <c r="SF190" s="9"/>
      <c r="SG190" s="9"/>
      <c r="SH190" s="9"/>
      <c r="SI190" s="9"/>
      <c r="SJ190" s="9"/>
      <c r="SK190" s="8"/>
      <c r="SL190" s="8"/>
      <c r="SM190" s="8"/>
      <c r="SN190" s="8"/>
      <c r="SO190" s="8"/>
      <c r="SP190" s="8"/>
      <c r="SQ190" s="8"/>
      <c r="SR190" s="8"/>
      <c r="SS190" s="8"/>
      <c r="ST190" s="8"/>
      <c r="SU190" s="8"/>
      <c r="SV190" s="8"/>
      <c r="SW190" s="8"/>
      <c r="SX190" s="8"/>
      <c r="SY190" s="8"/>
      <c r="SZ190" s="8"/>
      <c r="TA190" s="8"/>
      <c r="TB190" s="8"/>
      <c r="TC190" s="8"/>
      <c r="TD190" s="8"/>
      <c r="TE190" s="8"/>
      <c r="TF190" s="8"/>
      <c r="TG190" s="8"/>
      <c r="TH190" s="8"/>
      <c r="TI190" s="8"/>
      <c r="TJ190" s="8"/>
      <c r="TK190" s="8"/>
      <c r="TL190" s="8"/>
      <c r="TM190" s="8"/>
      <c r="TN190" s="8"/>
      <c r="TO190" s="8"/>
    </row>
    <row r="191" spans="1:535" x14ac:dyDescent="0.2">
      <c r="A191" s="7"/>
      <c r="B191" s="7"/>
      <c r="C191" s="9"/>
      <c r="D191" s="8"/>
      <c r="E191" s="8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9"/>
      <c r="CK191" s="9"/>
      <c r="CL191" s="9"/>
      <c r="CM191" s="9"/>
      <c r="CN191" s="9"/>
      <c r="CO191" s="9"/>
      <c r="CP191" s="9"/>
      <c r="CQ191" s="9"/>
      <c r="CR191" s="9"/>
      <c r="CS191" s="9"/>
      <c r="CT191" s="9"/>
      <c r="CU191" s="9"/>
      <c r="CV191" s="9"/>
      <c r="CW191" s="9"/>
      <c r="CX191" s="9"/>
      <c r="CY191" s="9"/>
      <c r="CZ191" s="9"/>
      <c r="DA191" s="9"/>
      <c r="DB191" s="9"/>
      <c r="DC191" s="9"/>
      <c r="DD191" s="9"/>
      <c r="DE191" s="9"/>
      <c r="DF191" s="9"/>
      <c r="DG191" s="9"/>
      <c r="DH191" s="9"/>
      <c r="DI191" s="9"/>
      <c r="DJ191" s="9"/>
      <c r="DK191" s="9"/>
      <c r="DL191" s="9"/>
      <c r="DM191" s="9"/>
      <c r="DN191" s="9"/>
      <c r="DO191" s="9"/>
      <c r="DP191" s="9"/>
      <c r="DQ191" s="9"/>
      <c r="DR191" s="9"/>
      <c r="DS191" s="9"/>
      <c r="DT191" s="9"/>
      <c r="DU191" s="9"/>
      <c r="DV191" s="9"/>
      <c r="DW191" s="9"/>
      <c r="DX191" s="9"/>
      <c r="DY191" s="9"/>
      <c r="DZ191" s="9"/>
      <c r="EA191" s="9"/>
      <c r="EB191" s="9"/>
      <c r="EC191" s="9"/>
      <c r="ED191" s="9"/>
      <c r="EE191" s="9"/>
      <c r="EF191" s="9"/>
      <c r="EG191" s="9"/>
      <c r="EH191" s="9"/>
      <c r="EI191" s="9"/>
      <c r="EJ191" s="9"/>
      <c r="EK191" s="9"/>
      <c r="EL191" s="9"/>
      <c r="EM191" s="9"/>
      <c r="EN191" s="9"/>
      <c r="EO191" s="9"/>
      <c r="EP191" s="9"/>
      <c r="EQ191" s="9"/>
      <c r="ER191" s="9"/>
      <c r="ES191" s="9"/>
      <c r="ET191" s="9"/>
      <c r="EU191" s="9"/>
      <c r="EV191" s="9"/>
      <c r="EW191" s="9"/>
      <c r="EX191" s="9"/>
      <c r="EY191" s="9"/>
      <c r="EZ191" s="9"/>
      <c r="FA191" s="9"/>
      <c r="FB191" s="9"/>
      <c r="FC191" s="9"/>
      <c r="FD191" s="9"/>
      <c r="FE191" s="9"/>
      <c r="FF191" s="9"/>
      <c r="FG191" s="9"/>
      <c r="FH191" s="9"/>
      <c r="FI191" s="9"/>
      <c r="FJ191" s="9"/>
      <c r="FK191" s="9"/>
      <c r="FL191" s="9"/>
      <c r="FM191" s="9"/>
      <c r="FN191" s="9"/>
      <c r="FO191" s="9"/>
      <c r="FP191" s="9"/>
      <c r="FQ191" s="9"/>
      <c r="FR191" s="9"/>
      <c r="FS191" s="9"/>
      <c r="FT191" s="9"/>
      <c r="FU191" s="9"/>
      <c r="FV191" s="9"/>
      <c r="FW191" s="9"/>
      <c r="FX191" s="9"/>
      <c r="FY191" s="9"/>
      <c r="FZ191" s="9"/>
      <c r="GA191" s="9"/>
      <c r="GB191" s="9"/>
      <c r="GC191" s="9"/>
      <c r="GD191" s="9"/>
      <c r="GE191" s="9"/>
      <c r="GF191" s="9"/>
      <c r="GG191" s="9"/>
      <c r="GH191" s="9"/>
      <c r="GI191" s="9"/>
      <c r="GJ191" s="9"/>
      <c r="GK191" s="9"/>
      <c r="GL191" s="9"/>
      <c r="GM191" s="9"/>
      <c r="GN191" s="9"/>
      <c r="GO191" s="9"/>
      <c r="GP191" s="9"/>
      <c r="GQ191" s="9"/>
      <c r="GR191" s="9"/>
      <c r="GS191" s="9"/>
      <c r="GT191" s="9"/>
      <c r="GU191" s="9"/>
      <c r="GV191" s="9"/>
      <c r="GW191" s="9"/>
      <c r="GX191" s="9"/>
      <c r="GY191" s="9"/>
      <c r="GZ191" s="9"/>
      <c r="HA191" s="9"/>
      <c r="HB191" s="9"/>
      <c r="HC191" s="9"/>
      <c r="HD191" s="9"/>
      <c r="HE191" s="9"/>
      <c r="HF191" s="9"/>
      <c r="HG191" s="9"/>
      <c r="HH191" s="9"/>
      <c r="HI191" s="9"/>
      <c r="HJ191" s="9"/>
      <c r="HK191" s="9"/>
      <c r="HL191" s="9"/>
      <c r="HM191" s="9"/>
      <c r="HN191" s="9"/>
      <c r="HO191" s="9"/>
      <c r="HP191" s="9"/>
      <c r="HQ191" s="9"/>
      <c r="HR191" s="9"/>
      <c r="HS191" s="9"/>
      <c r="HT191" s="9"/>
      <c r="HU191" s="9"/>
      <c r="HV191" s="9"/>
      <c r="HW191" s="9"/>
      <c r="HX191" s="9"/>
      <c r="HY191" s="9"/>
      <c r="HZ191" s="9"/>
      <c r="IA191" s="9"/>
      <c r="IB191" s="9"/>
      <c r="IC191" s="9"/>
      <c r="ID191" s="9"/>
      <c r="IE191" s="9"/>
      <c r="IF191" s="9"/>
      <c r="IG191" s="9"/>
      <c r="IH191" s="9"/>
      <c r="II191" s="9"/>
      <c r="IJ191" s="9"/>
      <c r="IK191" s="9"/>
      <c r="IL191" s="9"/>
      <c r="IM191" s="9"/>
      <c r="IN191" s="9"/>
      <c r="IO191" s="9"/>
      <c r="IP191" s="9"/>
      <c r="IQ191" s="9"/>
      <c r="IR191" s="9"/>
      <c r="IS191" s="9"/>
      <c r="IT191" s="9"/>
      <c r="IU191" s="9"/>
      <c r="IV191" s="9"/>
      <c r="IW191" s="9"/>
      <c r="IX191" s="9"/>
      <c r="IY191" s="9"/>
      <c r="IZ191" s="9"/>
      <c r="JA191" s="9"/>
      <c r="JB191" s="9"/>
      <c r="JC191" s="9"/>
      <c r="JD191" s="9"/>
      <c r="JE191" s="9"/>
      <c r="JF191" s="9"/>
      <c r="JG191" s="9"/>
      <c r="JH191" s="9"/>
      <c r="JI191" s="9"/>
      <c r="JJ191" s="9"/>
      <c r="JK191" s="9"/>
      <c r="JL191" s="9"/>
      <c r="JM191" s="9"/>
      <c r="JN191" s="9"/>
      <c r="JO191" s="9"/>
      <c r="JP191" s="9"/>
      <c r="JQ191" s="9"/>
      <c r="JR191" s="9"/>
      <c r="JS191" s="9"/>
      <c r="JT191" s="9"/>
      <c r="JU191" s="9"/>
      <c r="JV191" s="9"/>
      <c r="JW191" s="9"/>
      <c r="JX191" s="9"/>
      <c r="JY191" s="9"/>
      <c r="JZ191" s="9"/>
      <c r="KA191" s="9"/>
      <c r="KB191" s="9"/>
      <c r="KC191" s="9"/>
      <c r="KD191" s="9"/>
      <c r="KE191" s="9"/>
      <c r="KF191" s="9"/>
      <c r="KG191" s="9"/>
      <c r="KH191" s="9"/>
      <c r="KI191" s="9"/>
      <c r="KJ191" s="9"/>
      <c r="KK191" s="9"/>
      <c r="KL191" s="9"/>
      <c r="KM191" s="9"/>
      <c r="KN191" s="9"/>
      <c r="KO191" s="9"/>
      <c r="KP191" s="9"/>
      <c r="KQ191" s="9"/>
      <c r="KR191" s="9"/>
      <c r="KS191" s="9"/>
      <c r="KT191" s="9"/>
      <c r="KU191" s="9"/>
      <c r="KV191" s="9"/>
      <c r="KW191" s="9"/>
      <c r="KX191" s="9"/>
      <c r="KY191" s="9"/>
      <c r="KZ191" s="9"/>
      <c r="LA191" s="9"/>
      <c r="LB191" s="9"/>
      <c r="LC191" s="9"/>
      <c r="LD191" s="9"/>
      <c r="LE191" s="9"/>
      <c r="LF191" s="9"/>
      <c r="LG191" s="9"/>
      <c r="LH191" s="9"/>
      <c r="LI191" s="9"/>
      <c r="LJ191" s="9"/>
      <c r="LK191" s="9"/>
      <c r="LL191" s="9"/>
      <c r="LM191" s="9"/>
      <c r="LN191" s="9"/>
      <c r="LO191" s="9"/>
      <c r="LP191" s="9"/>
      <c r="LQ191" s="9"/>
      <c r="LR191" s="9"/>
      <c r="LS191" s="9"/>
      <c r="LT191" s="9"/>
      <c r="LU191" s="9"/>
      <c r="LV191" s="9"/>
      <c r="LW191" s="9"/>
      <c r="LX191" s="9"/>
      <c r="LY191" s="9"/>
      <c r="LZ191" s="9"/>
      <c r="MA191" s="9"/>
      <c r="MB191" s="9"/>
      <c r="MC191" s="9"/>
      <c r="MD191" s="9"/>
      <c r="ME191" s="9"/>
      <c r="MF191" s="9"/>
      <c r="MG191" s="9"/>
      <c r="MH191" s="9"/>
      <c r="MI191" s="9"/>
      <c r="MJ191" s="9"/>
      <c r="MK191" s="9"/>
      <c r="ML191" s="9"/>
      <c r="MM191" s="9"/>
      <c r="MN191" s="9"/>
      <c r="MO191" s="9"/>
      <c r="MP191" s="9"/>
      <c r="MQ191" s="9"/>
      <c r="MR191" s="9"/>
      <c r="MS191" s="9"/>
      <c r="MT191" s="9"/>
      <c r="MU191" s="9"/>
      <c r="MV191" s="9"/>
      <c r="MW191" s="9"/>
      <c r="MX191" s="9"/>
      <c r="MY191" s="9"/>
      <c r="MZ191" s="9"/>
      <c r="NA191" s="9"/>
      <c r="NB191" s="9"/>
      <c r="NC191" s="9"/>
      <c r="ND191" s="9"/>
      <c r="NE191" s="9"/>
      <c r="NF191" s="9"/>
      <c r="NG191" s="9"/>
      <c r="NH191" s="9"/>
      <c r="NI191" s="9"/>
      <c r="NJ191" s="9"/>
      <c r="NK191" s="9"/>
      <c r="NL191" s="9"/>
      <c r="NM191" s="9"/>
      <c r="NN191" s="9"/>
      <c r="NO191" s="9"/>
      <c r="NP191" s="9"/>
      <c r="NQ191" s="9"/>
      <c r="NR191" s="9"/>
      <c r="NS191" s="9"/>
      <c r="NT191" s="9"/>
      <c r="NU191" s="9"/>
      <c r="NV191" s="9"/>
      <c r="NW191" s="9"/>
      <c r="NX191" s="9"/>
      <c r="NY191" s="9"/>
      <c r="NZ191" s="9"/>
      <c r="OA191" s="9"/>
      <c r="OB191" s="9"/>
      <c r="OC191" s="9"/>
      <c r="OD191" s="9"/>
      <c r="OE191" s="9"/>
      <c r="OF191" s="9"/>
      <c r="OG191" s="9"/>
      <c r="OH191" s="9"/>
      <c r="OI191" s="9"/>
      <c r="OJ191" s="9"/>
      <c r="OK191" s="9"/>
      <c r="OL191" s="9"/>
      <c r="OM191" s="9"/>
      <c r="ON191" s="9"/>
      <c r="OO191" s="9"/>
      <c r="OP191" s="9"/>
      <c r="OQ191" s="9"/>
      <c r="OR191" s="9"/>
      <c r="OS191" s="9"/>
      <c r="OT191" s="9"/>
      <c r="OU191" s="9"/>
      <c r="OV191" s="9"/>
      <c r="OW191" s="9"/>
      <c r="OX191" s="9"/>
      <c r="OY191" s="9"/>
      <c r="OZ191" s="9"/>
      <c r="PA191" s="9"/>
      <c r="PB191" s="9"/>
      <c r="PC191" s="9"/>
      <c r="PD191" s="9"/>
      <c r="PE191" s="9"/>
      <c r="PF191" s="9"/>
      <c r="PG191" s="9"/>
      <c r="PH191" s="9"/>
      <c r="PI191" s="9"/>
      <c r="PJ191" s="9"/>
      <c r="PK191" s="9"/>
      <c r="PL191" s="9"/>
      <c r="PM191" s="9"/>
      <c r="PN191" s="9"/>
      <c r="PO191" s="9"/>
      <c r="PP191" s="9"/>
      <c r="PQ191" s="9"/>
      <c r="PR191" s="9"/>
      <c r="PS191" s="9"/>
      <c r="PT191" s="9"/>
      <c r="PU191" s="9"/>
      <c r="PV191" s="9"/>
      <c r="PW191" s="9"/>
      <c r="PX191" s="9"/>
      <c r="PY191" s="9"/>
      <c r="PZ191" s="9"/>
      <c r="QA191" s="9"/>
      <c r="QB191" s="9"/>
      <c r="QC191" s="9"/>
      <c r="QD191" s="9"/>
      <c r="QE191" s="9"/>
      <c r="QF191" s="9"/>
      <c r="QG191" s="9"/>
      <c r="QH191" s="9"/>
      <c r="QI191" s="9"/>
      <c r="QJ191" s="9"/>
      <c r="QK191" s="9"/>
      <c r="QL191" s="9"/>
      <c r="QM191" s="9"/>
      <c r="QN191" s="9"/>
      <c r="QO191" s="9"/>
      <c r="QP191" s="9"/>
      <c r="QQ191" s="9"/>
      <c r="QR191" s="9"/>
      <c r="QS191" s="9"/>
      <c r="QT191" s="9"/>
      <c r="QU191" s="9"/>
      <c r="QV191" s="9"/>
      <c r="QW191" s="9"/>
      <c r="QX191" s="9"/>
      <c r="QY191" s="9"/>
      <c r="QZ191" s="9"/>
      <c r="RA191" s="9"/>
      <c r="RB191" s="9"/>
      <c r="RC191" s="9"/>
      <c r="RD191" s="9"/>
      <c r="RE191" s="9"/>
      <c r="RF191" s="9"/>
      <c r="RG191" s="9"/>
      <c r="RH191" s="9"/>
      <c r="RI191" s="9"/>
      <c r="RJ191" s="9"/>
      <c r="RK191" s="9"/>
      <c r="RL191" s="9"/>
      <c r="RM191" s="9"/>
      <c r="RN191" s="9"/>
      <c r="RO191" s="9"/>
      <c r="RP191" s="9"/>
      <c r="RQ191" s="9"/>
      <c r="RR191" s="9"/>
      <c r="RS191" s="9"/>
      <c r="RT191" s="9"/>
      <c r="RU191" s="9"/>
      <c r="RV191" s="9"/>
      <c r="RW191" s="9"/>
      <c r="RX191" s="9"/>
      <c r="RY191" s="9"/>
      <c r="RZ191" s="9"/>
      <c r="SA191" s="9"/>
      <c r="SB191" s="9"/>
      <c r="SC191" s="9"/>
      <c r="SD191" s="9"/>
      <c r="SE191" s="9"/>
      <c r="SF191" s="9"/>
      <c r="SG191" s="9"/>
      <c r="SH191" s="9"/>
      <c r="SI191" s="9"/>
      <c r="SJ191" s="9"/>
      <c r="SK191" s="8"/>
      <c r="SL191" s="8"/>
      <c r="SM191" s="8"/>
      <c r="SN191" s="8"/>
      <c r="SO191" s="8"/>
      <c r="SP191" s="8"/>
      <c r="SQ191" s="8"/>
      <c r="SR191" s="8"/>
      <c r="SS191" s="8"/>
      <c r="ST191" s="8"/>
      <c r="SU191" s="8"/>
      <c r="SV191" s="8"/>
      <c r="SW191" s="8"/>
      <c r="SX191" s="8"/>
      <c r="SY191" s="8"/>
      <c r="SZ191" s="8"/>
      <c r="TA191" s="8"/>
      <c r="TB191" s="8"/>
      <c r="TC191" s="8"/>
      <c r="TD191" s="8"/>
      <c r="TE191" s="8"/>
      <c r="TF191" s="8"/>
      <c r="TG191" s="8"/>
      <c r="TH191" s="8"/>
      <c r="TI191" s="8"/>
      <c r="TJ191" s="8"/>
      <c r="TK191" s="8"/>
      <c r="TL191" s="8"/>
      <c r="TM191" s="8"/>
      <c r="TN191" s="8"/>
      <c r="TO191" s="8"/>
    </row>
    <row r="192" spans="1:535" x14ac:dyDescent="0.2">
      <c r="A192" s="7"/>
      <c r="B192" s="7"/>
      <c r="C192" s="9"/>
      <c r="D192" s="8"/>
      <c r="E192" s="8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9"/>
      <c r="CK192" s="9"/>
      <c r="CL192" s="9"/>
      <c r="CM192" s="9"/>
      <c r="CN192" s="9"/>
      <c r="CO192" s="9"/>
      <c r="CP192" s="9"/>
      <c r="CQ192" s="9"/>
      <c r="CR192" s="9"/>
      <c r="CS192" s="9"/>
      <c r="CT192" s="9"/>
      <c r="CU192" s="9"/>
      <c r="CV192" s="9"/>
      <c r="CW192" s="9"/>
      <c r="CX192" s="9"/>
      <c r="CY192" s="9"/>
      <c r="CZ192" s="9"/>
      <c r="DA192" s="9"/>
      <c r="DB192" s="9"/>
      <c r="DC192" s="9"/>
      <c r="DD192" s="9"/>
      <c r="DE192" s="9"/>
      <c r="DF192" s="9"/>
      <c r="DG192" s="9"/>
      <c r="DH192" s="9"/>
      <c r="DI192" s="9"/>
      <c r="DJ192" s="9"/>
      <c r="DK192" s="9"/>
      <c r="DL192" s="9"/>
      <c r="DM192" s="9"/>
      <c r="DN192" s="9"/>
      <c r="DO192" s="9"/>
      <c r="DP192" s="9"/>
      <c r="DQ192" s="9"/>
      <c r="DR192" s="9"/>
      <c r="DS192" s="9"/>
      <c r="DT192" s="9"/>
      <c r="DU192" s="9"/>
      <c r="DV192" s="9"/>
      <c r="DW192" s="9"/>
      <c r="DX192" s="9"/>
      <c r="DY192" s="9"/>
      <c r="DZ192" s="9"/>
      <c r="EA192" s="9"/>
      <c r="EB192" s="9"/>
      <c r="EC192" s="9"/>
      <c r="ED192" s="9"/>
      <c r="EE192" s="9"/>
      <c r="EF192" s="9"/>
      <c r="EG192" s="9"/>
      <c r="EH192" s="9"/>
      <c r="EI192" s="9"/>
      <c r="EJ192" s="9"/>
      <c r="EK192" s="9"/>
      <c r="EL192" s="9"/>
      <c r="EM192" s="9"/>
      <c r="EN192" s="9"/>
      <c r="EO192" s="9"/>
      <c r="EP192" s="9"/>
      <c r="EQ192" s="9"/>
      <c r="ER192" s="9"/>
      <c r="ES192" s="9"/>
      <c r="ET192" s="9"/>
      <c r="EU192" s="9"/>
      <c r="EV192" s="9"/>
      <c r="EW192" s="9"/>
      <c r="EX192" s="9"/>
      <c r="EY192" s="9"/>
      <c r="EZ192" s="9"/>
      <c r="FA192" s="9"/>
      <c r="FB192" s="9"/>
      <c r="FC192" s="9"/>
      <c r="FD192" s="9"/>
      <c r="FE192" s="9"/>
      <c r="FF192" s="9"/>
      <c r="FG192" s="9"/>
      <c r="FH192" s="9"/>
      <c r="FI192" s="9"/>
      <c r="FJ192" s="9"/>
      <c r="FK192" s="9"/>
      <c r="FL192" s="9"/>
      <c r="FM192" s="9"/>
      <c r="FN192" s="9"/>
      <c r="FO192" s="9"/>
      <c r="FP192" s="9"/>
      <c r="FQ192" s="9"/>
      <c r="FR192" s="9"/>
      <c r="FS192" s="9"/>
      <c r="FT192" s="9"/>
      <c r="FU192" s="9"/>
      <c r="FV192" s="9"/>
      <c r="FW192" s="9"/>
      <c r="FX192" s="9"/>
      <c r="FY192" s="9"/>
      <c r="FZ192" s="9"/>
      <c r="GA192" s="9"/>
      <c r="GB192" s="9"/>
      <c r="GC192" s="9"/>
      <c r="GD192" s="9"/>
      <c r="GE192" s="9"/>
      <c r="GF192" s="9"/>
      <c r="GG192" s="9"/>
      <c r="GH192" s="9"/>
      <c r="GI192" s="9"/>
      <c r="GJ192" s="9"/>
      <c r="GK192" s="9"/>
      <c r="GL192" s="9"/>
      <c r="GM192" s="9"/>
      <c r="GN192" s="9"/>
      <c r="GO192" s="9"/>
      <c r="GP192" s="9"/>
      <c r="GQ192" s="9"/>
      <c r="GR192" s="9"/>
      <c r="GS192" s="9"/>
      <c r="GT192" s="9"/>
      <c r="GU192" s="9"/>
      <c r="GV192" s="9"/>
      <c r="GW192" s="9"/>
      <c r="GX192" s="9"/>
      <c r="GY192" s="9"/>
      <c r="GZ192" s="9"/>
      <c r="HA192" s="9"/>
      <c r="HB192" s="9"/>
      <c r="HC192" s="9"/>
      <c r="HD192" s="9"/>
      <c r="HE192" s="9"/>
      <c r="HF192" s="9"/>
      <c r="HG192" s="9"/>
      <c r="HH192" s="9"/>
      <c r="HI192" s="9"/>
      <c r="HJ192" s="9"/>
      <c r="HK192" s="9"/>
      <c r="HL192" s="9"/>
      <c r="HM192" s="9"/>
      <c r="HN192" s="9"/>
      <c r="HO192" s="9"/>
      <c r="HP192" s="9"/>
      <c r="HQ192" s="9"/>
      <c r="HR192" s="9"/>
      <c r="HS192" s="9"/>
      <c r="HT192" s="9"/>
      <c r="HU192" s="9"/>
      <c r="HV192" s="9"/>
      <c r="HW192" s="9"/>
      <c r="HX192" s="9"/>
      <c r="HY192" s="9"/>
      <c r="HZ192" s="9"/>
      <c r="IA192" s="9"/>
      <c r="IB192" s="9"/>
      <c r="IC192" s="9"/>
      <c r="ID192" s="9"/>
      <c r="IE192" s="9"/>
      <c r="IF192" s="9"/>
      <c r="IG192" s="9"/>
      <c r="IH192" s="9"/>
      <c r="II192" s="9"/>
      <c r="IJ192" s="9"/>
      <c r="IK192" s="9"/>
      <c r="IL192" s="9"/>
      <c r="IM192" s="9"/>
      <c r="IN192" s="9"/>
      <c r="IO192" s="9"/>
      <c r="IP192" s="9"/>
      <c r="IQ192" s="9"/>
      <c r="IR192" s="9"/>
      <c r="IS192" s="9"/>
      <c r="IT192" s="9"/>
      <c r="IU192" s="9"/>
      <c r="IV192" s="9"/>
      <c r="IW192" s="9"/>
      <c r="IX192" s="9"/>
      <c r="IY192" s="9"/>
      <c r="IZ192" s="9"/>
      <c r="JA192" s="9"/>
      <c r="JB192" s="9"/>
      <c r="JC192" s="9"/>
      <c r="JD192" s="9"/>
      <c r="JE192" s="9"/>
      <c r="JF192" s="9"/>
      <c r="JG192" s="9"/>
      <c r="JH192" s="9"/>
      <c r="JI192" s="9"/>
      <c r="JJ192" s="9"/>
      <c r="JK192" s="9"/>
      <c r="JL192" s="9"/>
      <c r="JM192" s="9"/>
      <c r="JN192" s="9"/>
      <c r="JO192" s="9"/>
      <c r="JP192" s="9"/>
      <c r="JQ192" s="9"/>
      <c r="JR192" s="9"/>
      <c r="JS192" s="9"/>
      <c r="JT192" s="9"/>
      <c r="JU192" s="9"/>
      <c r="JV192" s="9"/>
      <c r="JW192" s="9"/>
      <c r="JX192" s="9"/>
      <c r="JY192" s="9"/>
      <c r="JZ192" s="9"/>
      <c r="KA192" s="9"/>
      <c r="KB192" s="9"/>
      <c r="KC192" s="9"/>
      <c r="KD192" s="9"/>
      <c r="KE192" s="9"/>
      <c r="KF192" s="9"/>
      <c r="KG192" s="9"/>
      <c r="KH192" s="9"/>
      <c r="KI192" s="9"/>
      <c r="KJ192" s="9"/>
      <c r="KK192" s="9"/>
      <c r="KL192" s="9"/>
      <c r="KM192" s="9"/>
      <c r="KN192" s="9"/>
      <c r="KO192" s="9"/>
      <c r="KP192" s="9"/>
      <c r="KQ192" s="9"/>
      <c r="KR192" s="9"/>
      <c r="KS192" s="9"/>
      <c r="KT192" s="9"/>
      <c r="KU192" s="9"/>
      <c r="KV192" s="9"/>
      <c r="KW192" s="9"/>
      <c r="KX192" s="9"/>
      <c r="KY192" s="9"/>
      <c r="KZ192" s="9"/>
      <c r="LA192" s="9"/>
      <c r="LB192" s="9"/>
      <c r="LC192" s="9"/>
      <c r="LD192" s="9"/>
      <c r="LE192" s="9"/>
      <c r="LF192" s="9"/>
      <c r="LG192" s="9"/>
      <c r="LH192" s="9"/>
      <c r="LI192" s="9"/>
      <c r="LJ192" s="9"/>
      <c r="LK192" s="9"/>
      <c r="LL192" s="9"/>
      <c r="LM192" s="9"/>
      <c r="LN192" s="9"/>
      <c r="LO192" s="9"/>
      <c r="LP192" s="9"/>
      <c r="LQ192" s="9"/>
      <c r="LR192" s="9"/>
      <c r="LS192" s="9"/>
      <c r="LT192" s="9"/>
      <c r="LU192" s="9"/>
      <c r="LV192" s="9"/>
      <c r="LW192" s="9"/>
      <c r="LX192" s="9"/>
      <c r="LY192" s="9"/>
      <c r="LZ192" s="9"/>
      <c r="MA192" s="9"/>
      <c r="MB192" s="9"/>
      <c r="MC192" s="9"/>
      <c r="MD192" s="9"/>
      <c r="ME192" s="9"/>
      <c r="MF192" s="9"/>
      <c r="MG192" s="9"/>
      <c r="MH192" s="9"/>
      <c r="MI192" s="9"/>
      <c r="MJ192" s="9"/>
      <c r="MK192" s="9"/>
      <c r="ML192" s="9"/>
      <c r="MM192" s="9"/>
      <c r="MN192" s="9"/>
      <c r="MO192" s="9"/>
      <c r="MP192" s="9"/>
      <c r="MQ192" s="9"/>
      <c r="MR192" s="9"/>
      <c r="MS192" s="9"/>
      <c r="MT192" s="9"/>
      <c r="MU192" s="9"/>
      <c r="MV192" s="9"/>
      <c r="MW192" s="9"/>
      <c r="MX192" s="9"/>
      <c r="MY192" s="9"/>
      <c r="MZ192" s="9"/>
      <c r="NA192" s="9"/>
      <c r="NB192" s="9"/>
      <c r="NC192" s="9"/>
      <c r="ND192" s="9"/>
      <c r="NE192" s="9"/>
      <c r="NF192" s="9"/>
      <c r="NG192" s="9"/>
      <c r="NH192" s="9"/>
      <c r="NI192" s="9"/>
      <c r="NJ192" s="9"/>
      <c r="NK192" s="9"/>
      <c r="NL192" s="9"/>
      <c r="NM192" s="9"/>
      <c r="NN192" s="9"/>
      <c r="NO192" s="9"/>
      <c r="NP192" s="9"/>
      <c r="NQ192" s="9"/>
      <c r="NR192" s="9"/>
      <c r="NS192" s="9"/>
      <c r="NT192" s="9"/>
      <c r="NU192" s="9"/>
      <c r="NV192" s="9"/>
      <c r="NW192" s="9"/>
      <c r="NX192" s="9"/>
      <c r="NY192" s="9"/>
      <c r="NZ192" s="9"/>
      <c r="OA192" s="9"/>
      <c r="OB192" s="9"/>
      <c r="OC192" s="9"/>
      <c r="OD192" s="9"/>
      <c r="OE192" s="9"/>
      <c r="OF192" s="9"/>
      <c r="OG192" s="9"/>
      <c r="OH192" s="9"/>
      <c r="OI192" s="9"/>
      <c r="OJ192" s="9"/>
      <c r="OK192" s="9"/>
      <c r="OL192" s="9"/>
      <c r="OM192" s="9"/>
      <c r="ON192" s="9"/>
      <c r="OO192" s="9"/>
      <c r="OP192" s="9"/>
      <c r="OQ192" s="9"/>
      <c r="OR192" s="9"/>
      <c r="OS192" s="9"/>
      <c r="OT192" s="9"/>
      <c r="OU192" s="9"/>
      <c r="OV192" s="9"/>
      <c r="OW192" s="9"/>
      <c r="OX192" s="9"/>
      <c r="OY192" s="9"/>
      <c r="OZ192" s="9"/>
      <c r="PA192" s="9"/>
      <c r="PB192" s="9"/>
      <c r="PC192" s="9"/>
      <c r="PD192" s="9"/>
      <c r="PE192" s="9"/>
      <c r="PF192" s="9"/>
      <c r="PG192" s="9"/>
      <c r="PH192" s="9"/>
      <c r="PI192" s="9"/>
      <c r="PJ192" s="9"/>
      <c r="PK192" s="9"/>
      <c r="PL192" s="9"/>
      <c r="PM192" s="9"/>
      <c r="PN192" s="9"/>
      <c r="PO192" s="9"/>
      <c r="PP192" s="9"/>
      <c r="PQ192" s="9"/>
      <c r="PR192" s="9"/>
      <c r="PS192" s="9"/>
      <c r="PT192" s="9"/>
      <c r="PU192" s="9"/>
      <c r="PV192" s="9"/>
      <c r="PW192" s="9"/>
      <c r="PX192" s="9"/>
      <c r="PY192" s="9"/>
      <c r="PZ192" s="9"/>
      <c r="QA192" s="9"/>
      <c r="QB192" s="9"/>
      <c r="QC192" s="9"/>
      <c r="QD192" s="9"/>
      <c r="QE192" s="9"/>
      <c r="QF192" s="9"/>
      <c r="QG192" s="9"/>
      <c r="QH192" s="9"/>
      <c r="QI192" s="9"/>
      <c r="QJ192" s="9"/>
      <c r="QK192" s="9"/>
      <c r="QL192" s="9"/>
      <c r="QM192" s="9"/>
      <c r="QN192" s="9"/>
      <c r="QO192" s="9"/>
      <c r="QP192" s="9"/>
      <c r="QQ192" s="9"/>
      <c r="QR192" s="9"/>
      <c r="QS192" s="9"/>
      <c r="QT192" s="9"/>
      <c r="QU192" s="9"/>
      <c r="QV192" s="9"/>
      <c r="QW192" s="9"/>
      <c r="QX192" s="9"/>
      <c r="QY192" s="9"/>
      <c r="QZ192" s="9"/>
      <c r="RA192" s="9"/>
      <c r="RB192" s="9"/>
      <c r="RC192" s="9"/>
      <c r="RD192" s="9"/>
      <c r="RE192" s="9"/>
      <c r="RF192" s="9"/>
      <c r="RG192" s="9"/>
      <c r="RH192" s="9"/>
      <c r="RI192" s="9"/>
      <c r="RJ192" s="9"/>
      <c r="RK192" s="9"/>
      <c r="RL192" s="9"/>
      <c r="RM192" s="9"/>
      <c r="RN192" s="9"/>
      <c r="RO192" s="9"/>
      <c r="RP192" s="9"/>
      <c r="RQ192" s="9"/>
      <c r="RR192" s="9"/>
      <c r="RS192" s="9"/>
      <c r="RT192" s="9"/>
      <c r="RU192" s="9"/>
      <c r="RV192" s="9"/>
      <c r="RW192" s="9"/>
      <c r="RX192" s="9"/>
      <c r="RY192" s="9"/>
      <c r="RZ192" s="9"/>
      <c r="SA192" s="9"/>
      <c r="SB192" s="9"/>
      <c r="SC192" s="9"/>
      <c r="SD192" s="9"/>
      <c r="SE192" s="9"/>
      <c r="SF192" s="9"/>
      <c r="SG192" s="9"/>
      <c r="SH192" s="9"/>
      <c r="SI192" s="9"/>
      <c r="SJ192" s="9"/>
      <c r="SK192" s="8"/>
      <c r="SL192" s="8"/>
      <c r="SM192" s="8"/>
      <c r="SN192" s="8"/>
      <c r="SO192" s="8"/>
      <c r="SP192" s="8"/>
      <c r="SQ192" s="8"/>
      <c r="SR192" s="8"/>
      <c r="SS192" s="8"/>
      <c r="ST192" s="8"/>
      <c r="SU192" s="8"/>
      <c r="SV192" s="8"/>
      <c r="SW192" s="8"/>
      <c r="SX192" s="8"/>
      <c r="SY192" s="8"/>
      <c r="SZ192" s="8"/>
      <c r="TA192" s="8"/>
      <c r="TB192" s="8"/>
      <c r="TC192" s="8"/>
      <c r="TD192" s="8"/>
      <c r="TE192" s="8"/>
      <c r="TF192" s="8"/>
      <c r="TG192" s="8"/>
      <c r="TH192" s="8"/>
      <c r="TI192" s="8"/>
      <c r="TJ192" s="8"/>
      <c r="TK192" s="8"/>
      <c r="TL192" s="8"/>
      <c r="TM192" s="8"/>
      <c r="TN192" s="8"/>
      <c r="TO192" s="8"/>
    </row>
    <row r="193" spans="1:535" x14ac:dyDescent="0.2">
      <c r="A193" s="7"/>
      <c r="B193" s="7"/>
      <c r="C193" s="9"/>
      <c r="D193" s="8"/>
      <c r="E193" s="8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  <c r="CE193" s="9"/>
      <c r="CF193" s="9"/>
      <c r="CG193" s="9"/>
      <c r="CH193" s="9"/>
      <c r="CI193" s="9"/>
      <c r="CJ193" s="9"/>
      <c r="CK193" s="9"/>
      <c r="CL193" s="9"/>
      <c r="CM193" s="9"/>
      <c r="CN193" s="9"/>
      <c r="CO193" s="9"/>
      <c r="CP193" s="9"/>
      <c r="CQ193" s="9"/>
      <c r="CR193" s="9"/>
      <c r="CS193" s="9"/>
      <c r="CT193" s="9"/>
      <c r="CU193" s="9"/>
      <c r="CV193" s="9"/>
      <c r="CW193" s="9"/>
      <c r="CX193" s="9"/>
      <c r="CY193" s="9"/>
      <c r="CZ193" s="9"/>
      <c r="DA193" s="9"/>
      <c r="DB193" s="9"/>
      <c r="DC193" s="9"/>
      <c r="DD193" s="9"/>
      <c r="DE193" s="9"/>
      <c r="DF193" s="9"/>
      <c r="DG193" s="9"/>
      <c r="DH193" s="9"/>
      <c r="DI193" s="9"/>
      <c r="DJ193" s="9"/>
      <c r="DK193" s="9"/>
      <c r="DL193" s="9"/>
      <c r="DM193" s="9"/>
      <c r="DN193" s="9"/>
      <c r="DO193" s="9"/>
      <c r="DP193" s="9"/>
      <c r="DQ193" s="9"/>
      <c r="DR193" s="9"/>
      <c r="DS193" s="9"/>
      <c r="DT193" s="9"/>
      <c r="DU193" s="9"/>
      <c r="DV193" s="9"/>
      <c r="DW193" s="9"/>
      <c r="DX193" s="9"/>
      <c r="DY193" s="9"/>
      <c r="DZ193" s="9"/>
      <c r="EA193" s="9"/>
      <c r="EB193" s="9"/>
      <c r="EC193" s="9"/>
      <c r="ED193" s="9"/>
      <c r="EE193" s="9"/>
      <c r="EF193" s="9"/>
      <c r="EG193" s="9"/>
      <c r="EH193" s="9"/>
      <c r="EI193" s="9"/>
      <c r="EJ193" s="9"/>
      <c r="EK193" s="9"/>
      <c r="EL193" s="9"/>
      <c r="EM193" s="9"/>
      <c r="EN193" s="9"/>
      <c r="EO193" s="9"/>
      <c r="EP193" s="9"/>
      <c r="EQ193" s="9"/>
      <c r="ER193" s="9"/>
      <c r="ES193" s="9"/>
      <c r="ET193" s="9"/>
      <c r="EU193" s="9"/>
      <c r="EV193" s="9"/>
      <c r="EW193" s="9"/>
      <c r="EX193" s="9"/>
      <c r="EY193" s="9"/>
      <c r="EZ193" s="9"/>
      <c r="FA193" s="9"/>
      <c r="FB193" s="9"/>
      <c r="FC193" s="9"/>
      <c r="FD193" s="9"/>
      <c r="FE193" s="9"/>
      <c r="FF193" s="9"/>
      <c r="FG193" s="9"/>
      <c r="FH193" s="9"/>
      <c r="FI193" s="9"/>
      <c r="FJ193" s="9"/>
      <c r="FK193" s="9"/>
      <c r="FL193" s="9"/>
      <c r="FM193" s="9"/>
      <c r="FN193" s="9"/>
      <c r="FO193" s="9"/>
      <c r="FP193" s="9"/>
      <c r="FQ193" s="9"/>
      <c r="FR193" s="9"/>
      <c r="FS193" s="9"/>
      <c r="FT193" s="9"/>
      <c r="FU193" s="9"/>
      <c r="FV193" s="9"/>
      <c r="FW193" s="9"/>
      <c r="FX193" s="9"/>
      <c r="FY193" s="9"/>
      <c r="FZ193" s="9"/>
      <c r="GA193" s="9"/>
      <c r="GB193" s="9"/>
      <c r="GC193" s="9"/>
      <c r="GD193" s="9"/>
      <c r="GE193" s="9"/>
      <c r="GF193" s="9"/>
      <c r="GG193" s="9"/>
      <c r="GH193" s="9"/>
      <c r="GI193" s="9"/>
      <c r="GJ193" s="9"/>
      <c r="GK193" s="9"/>
      <c r="GL193" s="9"/>
      <c r="GM193" s="9"/>
      <c r="GN193" s="9"/>
      <c r="GO193" s="9"/>
      <c r="GP193" s="9"/>
      <c r="GQ193" s="9"/>
      <c r="GR193" s="9"/>
      <c r="GS193" s="9"/>
      <c r="GT193" s="9"/>
      <c r="GU193" s="9"/>
      <c r="GV193" s="9"/>
      <c r="GW193" s="9"/>
      <c r="GX193" s="9"/>
      <c r="GY193" s="9"/>
      <c r="GZ193" s="9"/>
      <c r="HA193" s="9"/>
      <c r="HB193" s="9"/>
      <c r="HC193" s="9"/>
      <c r="HD193" s="9"/>
      <c r="HE193" s="9"/>
      <c r="HF193" s="9"/>
      <c r="HG193" s="9"/>
      <c r="HH193" s="9"/>
      <c r="HI193" s="9"/>
      <c r="HJ193" s="9"/>
      <c r="HK193" s="9"/>
      <c r="HL193" s="9"/>
      <c r="HM193" s="9"/>
      <c r="HN193" s="9"/>
      <c r="HO193" s="9"/>
      <c r="HP193" s="9"/>
      <c r="HQ193" s="9"/>
      <c r="HR193" s="9"/>
      <c r="HS193" s="9"/>
      <c r="HT193" s="9"/>
      <c r="HU193" s="9"/>
      <c r="HV193" s="9"/>
      <c r="HW193" s="9"/>
      <c r="HX193" s="9"/>
      <c r="HY193" s="9"/>
      <c r="HZ193" s="9"/>
      <c r="IA193" s="9"/>
      <c r="IB193" s="9"/>
      <c r="IC193" s="9"/>
      <c r="ID193" s="9"/>
      <c r="IE193" s="9"/>
      <c r="IF193" s="9"/>
      <c r="IG193" s="9"/>
      <c r="IH193" s="9"/>
      <c r="II193" s="9"/>
      <c r="IJ193" s="9"/>
      <c r="IK193" s="9"/>
      <c r="IL193" s="9"/>
      <c r="IM193" s="9"/>
      <c r="IN193" s="9"/>
      <c r="IO193" s="9"/>
      <c r="IP193" s="9"/>
      <c r="IQ193" s="9"/>
      <c r="IR193" s="9"/>
      <c r="IS193" s="9"/>
      <c r="IT193" s="9"/>
      <c r="IU193" s="9"/>
      <c r="IV193" s="9"/>
      <c r="IW193" s="9"/>
      <c r="IX193" s="9"/>
      <c r="IY193" s="9"/>
      <c r="IZ193" s="9"/>
      <c r="JA193" s="9"/>
      <c r="JB193" s="9"/>
      <c r="JC193" s="9"/>
      <c r="JD193" s="9"/>
      <c r="JE193" s="9"/>
      <c r="JF193" s="9"/>
      <c r="JG193" s="9"/>
      <c r="JH193" s="9"/>
      <c r="JI193" s="9"/>
      <c r="JJ193" s="9"/>
      <c r="JK193" s="9"/>
      <c r="JL193" s="9"/>
      <c r="JM193" s="9"/>
      <c r="JN193" s="9"/>
      <c r="JO193" s="9"/>
      <c r="JP193" s="9"/>
      <c r="JQ193" s="9"/>
      <c r="JR193" s="9"/>
      <c r="JS193" s="9"/>
      <c r="JT193" s="9"/>
      <c r="JU193" s="9"/>
      <c r="JV193" s="9"/>
      <c r="JW193" s="9"/>
      <c r="JX193" s="9"/>
      <c r="JY193" s="9"/>
      <c r="JZ193" s="9"/>
      <c r="KA193" s="9"/>
      <c r="KB193" s="9"/>
      <c r="KC193" s="9"/>
      <c r="KD193" s="9"/>
      <c r="KE193" s="9"/>
      <c r="KF193" s="9"/>
      <c r="KG193" s="9"/>
      <c r="KH193" s="9"/>
      <c r="KI193" s="9"/>
      <c r="KJ193" s="9"/>
      <c r="KK193" s="9"/>
      <c r="KL193" s="9"/>
      <c r="KM193" s="9"/>
      <c r="KN193" s="9"/>
      <c r="KO193" s="9"/>
      <c r="KP193" s="9"/>
      <c r="KQ193" s="9"/>
      <c r="KR193" s="9"/>
      <c r="KS193" s="9"/>
      <c r="KT193" s="9"/>
      <c r="KU193" s="9"/>
      <c r="KV193" s="9"/>
      <c r="KW193" s="9"/>
      <c r="KX193" s="9"/>
      <c r="KY193" s="9"/>
      <c r="KZ193" s="9"/>
      <c r="LA193" s="9"/>
      <c r="LB193" s="9"/>
      <c r="LC193" s="9"/>
      <c r="LD193" s="9"/>
      <c r="LE193" s="9"/>
      <c r="LF193" s="9"/>
      <c r="LG193" s="9"/>
      <c r="LH193" s="9"/>
      <c r="LI193" s="9"/>
      <c r="LJ193" s="9"/>
      <c r="LK193" s="9"/>
      <c r="LL193" s="9"/>
      <c r="LM193" s="9"/>
      <c r="LN193" s="9"/>
      <c r="LO193" s="9"/>
      <c r="LP193" s="9"/>
      <c r="LQ193" s="9"/>
      <c r="LR193" s="9"/>
      <c r="LS193" s="9"/>
      <c r="LT193" s="9"/>
      <c r="LU193" s="9"/>
      <c r="LV193" s="9"/>
      <c r="LW193" s="9"/>
      <c r="LX193" s="9"/>
      <c r="LY193" s="9"/>
      <c r="LZ193" s="9"/>
      <c r="MA193" s="9"/>
      <c r="MB193" s="9"/>
      <c r="MC193" s="9"/>
      <c r="MD193" s="9"/>
      <c r="ME193" s="9"/>
      <c r="MF193" s="9"/>
      <c r="MG193" s="9"/>
      <c r="MH193" s="9"/>
      <c r="MI193" s="9"/>
      <c r="MJ193" s="9"/>
      <c r="MK193" s="9"/>
      <c r="ML193" s="9"/>
      <c r="MM193" s="9"/>
      <c r="MN193" s="9"/>
      <c r="MO193" s="9"/>
      <c r="MP193" s="9"/>
      <c r="MQ193" s="9"/>
      <c r="MR193" s="9"/>
      <c r="MS193" s="9"/>
      <c r="MT193" s="9"/>
      <c r="MU193" s="9"/>
      <c r="MV193" s="9"/>
      <c r="MW193" s="9"/>
      <c r="MX193" s="9"/>
      <c r="MY193" s="9"/>
      <c r="MZ193" s="9"/>
      <c r="NA193" s="9"/>
      <c r="NB193" s="9"/>
      <c r="NC193" s="9"/>
      <c r="ND193" s="9"/>
      <c r="NE193" s="9"/>
      <c r="NF193" s="9"/>
      <c r="NG193" s="9"/>
      <c r="NH193" s="9"/>
      <c r="NI193" s="9"/>
      <c r="NJ193" s="9"/>
      <c r="NK193" s="9"/>
      <c r="NL193" s="9"/>
      <c r="NM193" s="9"/>
      <c r="NN193" s="9"/>
      <c r="NO193" s="9"/>
      <c r="NP193" s="9"/>
      <c r="NQ193" s="9"/>
      <c r="NR193" s="9"/>
      <c r="NS193" s="9"/>
      <c r="NT193" s="9"/>
      <c r="NU193" s="9"/>
      <c r="NV193" s="9"/>
      <c r="NW193" s="9"/>
      <c r="NX193" s="9"/>
      <c r="NY193" s="9"/>
      <c r="NZ193" s="9"/>
      <c r="OA193" s="9"/>
      <c r="OB193" s="9"/>
      <c r="OC193" s="9"/>
      <c r="OD193" s="9"/>
      <c r="OE193" s="9"/>
      <c r="OF193" s="9"/>
      <c r="OG193" s="9"/>
      <c r="OH193" s="9"/>
      <c r="OI193" s="9"/>
      <c r="OJ193" s="9"/>
      <c r="OK193" s="9"/>
      <c r="OL193" s="9"/>
      <c r="OM193" s="9"/>
      <c r="ON193" s="9"/>
      <c r="OO193" s="9"/>
      <c r="OP193" s="9"/>
      <c r="OQ193" s="9"/>
      <c r="OR193" s="9"/>
      <c r="OS193" s="9"/>
      <c r="OT193" s="9"/>
      <c r="OU193" s="9"/>
      <c r="OV193" s="9"/>
      <c r="OW193" s="9"/>
      <c r="OX193" s="9"/>
      <c r="OY193" s="9"/>
      <c r="OZ193" s="9"/>
      <c r="PA193" s="9"/>
      <c r="PB193" s="9"/>
      <c r="PC193" s="9"/>
      <c r="PD193" s="9"/>
      <c r="PE193" s="9"/>
      <c r="PF193" s="9"/>
      <c r="PG193" s="9"/>
      <c r="PH193" s="9"/>
      <c r="PI193" s="9"/>
      <c r="PJ193" s="9"/>
      <c r="PK193" s="9"/>
      <c r="PL193" s="9"/>
      <c r="PM193" s="9"/>
      <c r="PN193" s="9"/>
      <c r="PO193" s="9"/>
      <c r="PP193" s="9"/>
      <c r="PQ193" s="9"/>
      <c r="PR193" s="9"/>
      <c r="PS193" s="9"/>
      <c r="PT193" s="9"/>
      <c r="PU193" s="9"/>
      <c r="PV193" s="9"/>
      <c r="PW193" s="9"/>
      <c r="PX193" s="9"/>
      <c r="PY193" s="9"/>
      <c r="PZ193" s="9"/>
      <c r="QA193" s="9"/>
      <c r="QB193" s="9"/>
      <c r="QC193" s="9"/>
      <c r="QD193" s="9"/>
      <c r="QE193" s="9"/>
      <c r="QF193" s="9"/>
      <c r="QG193" s="9"/>
      <c r="QH193" s="9"/>
      <c r="QI193" s="9"/>
      <c r="QJ193" s="9"/>
      <c r="QK193" s="9"/>
      <c r="QL193" s="9"/>
      <c r="QM193" s="9"/>
      <c r="QN193" s="9"/>
      <c r="QO193" s="9"/>
      <c r="QP193" s="9"/>
      <c r="QQ193" s="9"/>
      <c r="QR193" s="9"/>
      <c r="QS193" s="9"/>
      <c r="QT193" s="9"/>
      <c r="QU193" s="9"/>
      <c r="QV193" s="9"/>
      <c r="QW193" s="9"/>
      <c r="QX193" s="9"/>
      <c r="QY193" s="9"/>
      <c r="QZ193" s="9"/>
      <c r="RA193" s="9"/>
      <c r="RB193" s="9"/>
      <c r="RC193" s="9"/>
      <c r="RD193" s="9"/>
      <c r="RE193" s="9"/>
      <c r="RF193" s="9"/>
      <c r="RG193" s="9"/>
      <c r="RH193" s="9"/>
      <c r="RI193" s="9"/>
      <c r="RJ193" s="9"/>
      <c r="RK193" s="9"/>
      <c r="RL193" s="9"/>
      <c r="RM193" s="9"/>
      <c r="RN193" s="9"/>
      <c r="RO193" s="9"/>
      <c r="RP193" s="9"/>
      <c r="RQ193" s="9"/>
      <c r="RR193" s="9"/>
      <c r="RS193" s="9"/>
      <c r="RT193" s="9"/>
      <c r="RU193" s="9"/>
      <c r="RV193" s="9"/>
      <c r="RW193" s="9"/>
      <c r="RX193" s="9"/>
      <c r="RY193" s="9"/>
      <c r="RZ193" s="9"/>
      <c r="SA193" s="9"/>
      <c r="SB193" s="9"/>
      <c r="SC193" s="9"/>
      <c r="SD193" s="9"/>
      <c r="SE193" s="9"/>
      <c r="SF193" s="9"/>
      <c r="SG193" s="9"/>
      <c r="SH193" s="9"/>
      <c r="SI193" s="9"/>
      <c r="SJ193" s="9"/>
      <c r="SK193" s="8"/>
      <c r="SL193" s="8"/>
      <c r="SM193" s="8"/>
      <c r="SN193" s="8"/>
      <c r="SO193" s="8"/>
      <c r="SP193" s="8"/>
      <c r="SQ193" s="8"/>
      <c r="SR193" s="8"/>
      <c r="SS193" s="8"/>
      <c r="ST193" s="8"/>
      <c r="SU193" s="8"/>
      <c r="SV193" s="8"/>
      <c r="SW193" s="8"/>
      <c r="SX193" s="8"/>
      <c r="SY193" s="8"/>
      <c r="SZ193" s="8"/>
      <c r="TA193" s="8"/>
      <c r="TB193" s="8"/>
      <c r="TC193" s="8"/>
      <c r="TD193" s="8"/>
      <c r="TE193" s="8"/>
      <c r="TF193" s="8"/>
      <c r="TG193" s="8"/>
      <c r="TH193" s="8"/>
      <c r="TI193" s="8"/>
      <c r="TJ193" s="8"/>
      <c r="TK193" s="8"/>
      <c r="TL193" s="8"/>
      <c r="TM193" s="8"/>
      <c r="TN193" s="8"/>
      <c r="TO193" s="8"/>
    </row>
    <row r="194" spans="1:535" x14ac:dyDescent="0.2">
      <c r="A194" s="7"/>
      <c r="B194" s="7"/>
      <c r="C194" s="9"/>
      <c r="D194" s="8"/>
      <c r="E194" s="8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9"/>
      <c r="CK194" s="9"/>
      <c r="CL194" s="9"/>
      <c r="CM194" s="9"/>
      <c r="CN194" s="9"/>
      <c r="CO194" s="9"/>
      <c r="CP194" s="9"/>
      <c r="CQ194" s="9"/>
      <c r="CR194" s="9"/>
      <c r="CS194" s="9"/>
      <c r="CT194" s="9"/>
      <c r="CU194" s="9"/>
      <c r="CV194" s="9"/>
      <c r="CW194" s="9"/>
      <c r="CX194" s="9"/>
      <c r="CY194" s="9"/>
      <c r="CZ194" s="9"/>
      <c r="DA194" s="9"/>
      <c r="DB194" s="9"/>
      <c r="DC194" s="9"/>
      <c r="DD194" s="9"/>
      <c r="DE194" s="9"/>
      <c r="DF194" s="9"/>
      <c r="DG194" s="9"/>
      <c r="DH194" s="9"/>
      <c r="DI194" s="9"/>
      <c r="DJ194" s="9"/>
      <c r="DK194" s="9"/>
      <c r="DL194" s="9"/>
      <c r="DM194" s="9"/>
      <c r="DN194" s="9"/>
      <c r="DO194" s="9"/>
      <c r="DP194" s="9"/>
      <c r="DQ194" s="9"/>
      <c r="DR194" s="9"/>
      <c r="DS194" s="9"/>
      <c r="DT194" s="9"/>
      <c r="DU194" s="9"/>
      <c r="DV194" s="9"/>
      <c r="DW194" s="9"/>
      <c r="DX194" s="9"/>
      <c r="DY194" s="9"/>
      <c r="DZ194" s="9"/>
      <c r="EA194" s="9"/>
      <c r="EB194" s="9"/>
      <c r="EC194" s="9"/>
      <c r="ED194" s="9"/>
      <c r="EE194" s="9"/>
      <c r="EF194" s="9"/>
      <c r="EG194" s="9"/>
      <c r="EH194" s="9"/>
      <c r="EI194" s="9"/>
      <c r="EJ194" s="9"/>
      <c r="EK194" s="9"/>
      <c r="EL194" s="9"/>
      <c r="EM194" s="9"/>
      <c r="EN194" s="9"/>
      <c r="EO194" s="9"/>
      <c r="EP194" s="9"/>
      <c r="EQ194" s="9"/>
      <c r="ER194" s="9"/>
      <c r="ES194" s="9"/>
      <c r="ET194" s="9"/>
      <c r="EU194" s="9"/>
      <c r="EV194" s="9"/>
      <c r="EW194" s="9"/>
      <c r="EX194" s="9"/>
      <c r="EY194" s="9"/>
      <c r="EZ194" s="9"/>
      <c r="FA194" s="9"/>
      <c r="FB194" s="9"/>
      <c r="FC194" s="9"/>
      <c r="FD194" s="9"/>
      <c r="FE194" s="9"/>
      <c r="FF194" s="9"/>
      <c r="FG194" s="9"/>
      <c r="FH194" s="9"/>
      <c r="FI194" s="9"/>
      <c r="FJ194" s="9"/>
      <c r="FK194" s="9"/>
      <c r="FL194" s="9"/>
      <c r="FM194" s="9"/>
      <c r="FN194" s="9"/>
      <c r="FO194" s="9"/>
      <c r="FP194" s="9"/>
      <c r="FQ194" s="9"/>
      <c r="FR194" s="9"/>
      <c r="FS194" s="9"/>
      <c r="FT194" s="9"/>
      <c r="FU194" s="9"/>
      <c r="FV194" s="9"/>
      <c r="FW194" s="9"/>
      <c r="FX194" s="9"/>
      <c r="FY194" s="9"/>
      <c r="FZ194" s="9"/>
      <c r="GA194" s="9"/>
      <c r="GB194" s="9"/>
      <c r="GC194" s="9"/>
      <c r="GD194" s="9"/>
      <c r="GE194" s="9"/>
      <c r="GF194" s="9"/>
      <c r="GG194" s="9"/>
      <c r="GH194" s="9"/>
      <c r="GI194" s="9"/>
      <c r="GJ194" s="9"/>
      <c r="GK194" s="9"/>
      <c r="GL194" s="9"/>
      <c r="GM194" s="9"/>
      <c r="GN194" s="9"/>
      <c r="GO194" s="9"/>
      <c r="GP194" s="9"/>
      <c r="GQ194" s="9"/>
      <c r="GR194" s="9"/>
      <c r="GS194" s="9"/>
      <c r="GT194" s="9"/>
      <c r="GU194" s="9"/>
      <c r="GV194" s="9"/>
      <c r="GW194" s="9"/>
      <c r="GX194" s="9"/>
      <c r="GY194" s="9"/>
      <c r="GZ194" s="9"/>
      <c r="HA194" s="9"/>
      <c r="HB194" s="9"/>
      <c r="HC194" s="9"/>
      <c r="HD194" s="9"/>
      <c r="HE194" s="9"/>
      <c r="HF194" s="9"/>
      <c r="HG194" s="9"/>
      <c r="HH194" s="9"/>
      <c r="HI194" s="9"/>
      <c r="HJ194" s="9"/>
      <c r="HK194" s="9"/>
      <c r="HL194" s="9"/>
      <c r="HM194" s="9"/>
      <c r="HN194" s="9"/>
      <c r="HO194" s="9"/>
      <c r="HP194" s="9"/>
      <c r="HQ194" s="9"/>
      <c r="HR194" s="9"/>
      <c r="HS194" s="9"/>
      <c r="HT194" s="9"/>
      <c r="HU194" s="9"/>
      <c r="HV194" s="9"/>
      <c r="HW194" s="9"/>
      <c r="HX194" s="9"/>
      <c r="HY194" s="9"/>
      <c r="HZ194" s="9"/>
      <c r="IA194" s="9"/>
      <c r="IB194" s="9"/>
      <c r="IC194" s="9"/>
      <c r="ID194" s="9"/>
      <c r="IE194" s="9"/>
      <c r="IF194" s="9"/>
      <c r="IG194" s="9"/>
      <c r="IH194" s="9"/>
      <c r="II194" s="9"/>
      <c r="IJ194" s="9"/>
      <c r="IK194" s="9"/>
      <c r="IL194" s="9"/>
      <c r="IM194" s="9"/>
      <c r="IN194" s="9"/>
      <c r="IO194" s="9"/>
      <c r="IP194" s="9"/>
      <c r="IQ194" s="9"/>
      <c r="IR194" s="9"/>
      <c r="IS194" s="9"/>
      <c r="IT194" s="9"/>
      <c r="IU194" s="9"/>
      <c r="IV194" s="9"/>
      <c r="IW194" s="9"/>
      <c r="IX194" s="9"/>
      <c r="IY194" s="9"/>
      <c r="IZ194" s="9"/>
      <c r="JA194" s="9"/>
      <c r="JB194" s="9"/>
      <c r="JC194" s="9"/>
      <c r="JD194" s="9"/>
      <c r="JE194" s="9"/>
      <c r="JF194" s="9"/>
      <c r="JG194" s="9"/>
      <c r="JH194" s="9"/>
      <c r="JI194" s="9"/>
      <c r="JJ194" s="9"/>
      <c r="JK194" s="9"/>
      <c r="JL194" s="9"/>
      <c r="JM194" s="9"/>
      <c r="JN194" s="9"/>
      <c r="JO194" s="9"/>
      <c r="JP194" s="9"/>
      <c r="JQ194" s="9"/>
      <c r="JR194" s="9"/>
      <c r="JS194" s="9"/>
      <c r="JT194" s="9"/>
      <c r="JU194" s="9"/>
      <c r="JV194" s="9"/>
      <c r="JW194" s="9"/>
      <c r="JX194" s="9"/>
      <c r="JY194" s="9"/>
      <c r="JZ194" s="9"/>
      <c r="KA194" s="9"/>
      <c r="KB194" s="9"/>
      <c r="KC194" s="9"/>
      <c r="KD194" s="9"/>
      <c r="KE194" s="9"/>
      <c r="KF194" s="9"/>
      <c r="KG194" s="9"/>
      <c r="KH194" s="9"/>
      <c r="KI194" s="9"/>
      <c r="KJ194" s="9"/>
      <c r="KK194" s="9"/>
      <c r="KL194" s="9"/>
      <c r="KM194" s="9"/>
      <c r="KN194" s="9"/>
      <c r="KO194" s="9"/>
      <c r="KP194" s="9"/>
      <c r="KQ194" s="9"/>
      <c r="KR194" s="9"/>
      <c r="KS194" s="9"/>
      <c r="KT194" s="9"/>
      <c r="KU194" s="9"/>
      <c r="KV194" s="9"/>
      <c r="KW194" s="9"/>
      <c r="KX194" s="9"/>
      <c r="KY194" s="9"/>
      <c r="KZ194" s="9"/>
      <c r="LA194" s="9"/>
      <c r="LB194" s="9"/>
      <c r="LC194" s="9"/>
      <c r="LD194" s="9"/>
      <c r="LE194" s="9"/>
      <c r="LF194" s="9"/>
      <c r="LG194" s="9"/>
      <c r="LH194" s="9"/>
      <c r="LI194" s="9"/>
      <c r="LJ194" s="9"/>
      <c r="LK194" s="9"/>
      <c r="LL194" s="9"/>
      <c r="LM194" s="9"/>
      <c r="LN194" s="9"/>
      <c r="LO194" s="9"/>
      <c r="LP194" s="9"/>
      <c r="LQ194" s="9"/>
      <c r="LR194" s="9"/>
      <c r="LS194" s="9"/>
      <c r="LT194" s="9"/>
      <c r="LU194" s="9"/>
      <c r="LV194" s="9"/>
      <c r="LW194" s="9"/>
      <c r="LX194" s="9"/>
      <c r="LY194" s="9"/>
      <c r="LZ194" s="9"/>
      <c r="MA194" s="9"/>
      <c r="MB194" s="9"/>
      <c r="MC194" s="9"/>
      <c r="MD194" s="9"/>
      <c r="ME194" s="9"/>
      <c r="MF194" s="9"/>
      <c r="MG194" s="9"/>
      <c r="MH194" s="9"/>
      <c r="MI194" s="9"/>
      <c r="MJ194" s="9"/>
      <c r="MK194" s="9"/>
      <c r="ML194" s="9"/>
      <c r="MM194" s="9"/>
      <c r="MN194" s="9"/>
      <c r="MO194" s="9"/>
      <c r="MP194" s="9"/>
      <c r="MQ194" s="9"/>
      <c r="MR194" s="9"/>
      <c r="MS194" s="9"/>
      <c r="MT194" s="9"/>
      <c r="MU194" s="9"/>
      <c r="MV194" s="9"/>
      <c r="MW194" s="9"/>
      <c r="MX194" s="9"/>
      <c r="MY194" s="9"/>
      <c r="MZ194" s="9"/>
      <c r="NA194" s="9"/>
      <c r="NB194" s="9"/>
      <c r="NC194" s="9"/>
      <c r="ND194" s="9"/>
      <c r="NE194" s="9"/>
      <c r="NF194" s="9"/>
      <c r="NG194" s="9"/>
      <c r="NH194" s="9"/>
      <c r="NI194" s="9"/>
      <c r="NJ194" s="9"/>
      <c r="NK194" s="9"/>
      <c r="NL194" s="9"/>
      <c r="NM194" s="9"/>
      <c r="NN194" s="9"/>
      <c r="NO194" s="9"/>
      <c r="NP194" s="9"/>
      <c r="NQ194" s="9"/>
      <c r="NR194" s="9"/>
      <c r="NS194" s="9"/>
      <c r="NT194" s="9"/>
      <c r="NU194" s="9"/>
      <c r="NV194" s="9"/>
      <c r="NW194" s="9"/>
      <c r="NX194" s="9"/>
      <c r="NY194" s="9"/>
      <c r="NZ194" s="9"/>
      <c r="OA194" s="9"/>
      <c r="OB194" s="9"/>
      <c r="OC194" s="9"/>
      <c r="OD194" s="9"/>
      <c r="OE194" s="9"/>
      <c r="OF194" s="9"/>
      <c r="OG194" s="9"/>
      <c r="OH194" s="9"/>
      <c r="OI194" s="9"/>
      <c r="OJ194" s="9"/>
      <c r="OK194" s="9"/>
      <c r="OL194" s="9"/>
      <c r="OM194" s="9"/>
      <c r="ON194" s="9"/>
      <c r="OO194" s="9"/>
      <c r="OP194" s="9"/>
      <c r="OQ194" s="9"/>
      <c r="OR194" s="9"/>
      <c r="OS194" s="9"/>
      <c r="OT194" s="9"/>
      <c r="OU194" s="9"/>
      <c r="OV194" s="9"/>
      <c r="OW194" s="9"/>
      <c r="OX194" s="9"/>
      <c r="OY194" s="9"/>
      <c r="OZ194" s="9"/>
      <c r="PA194" s="9"/>
      <c r="PB194" s="9"/>
      <c r="PC194" s="9"/>
      <c r="PD194" s="9"/>
      <c r="PE194" s="9"/>
      <c r="PF194" s="9"/>
      <c r="PG194" s="9"/>
      <c r="PH194" s="9"/>
      <c r="PI194" s="9"/>
      <c r="PJ194" s="9"/>
      <c r="PK194" s="9"/>
      <c r="PL194" s="9"/>
      <c r="PM194" s="9"/>
      <c r="PN194" s="9"/>
      <c r="PO194" s="9"/>
      <c r="PP194" s="9"/>
      <c r="PQ194" s="9"/>
      <c r="PR194" s="9"/>
      <c r="PS194" s="9"/>
      <c r="PT194" s="9"/>
      <c r="PU194" s="9"/>
      <c r="PV194" s="9"/>
      <c r="PW194" s="9"/>
      <c r="PX194" s="9"/>
      <c r="PY194" s="9"/>
      <c r="PZ194" s="9"/>
      <c r="QA194" s="9"/>
      <c r="QB194" s="9"/>
      <c r="QC194" s="9"/>
      <c r="QD194" s="9"/>
      <c r="QE194" s="9"/>
      <c r="QF194" s="9"/>
      <c r="QG194" s="9"/>
      <c r="QH194" s="9"/>
      <c r="QI194" s="9"/>
      <c r="QJ194" s="9"/>
      <c r="QK194" s="9"/>
      <c r="QL194" s="9"/>
      <c r="QM194" s="9"/>
      <c r="QN194" s="9"/>
      <c r="QO194" s="9"/>
      <c r="QP194" s="9"/>
      <c r="QQ194" s="9"/>
      <c r="QR194" s="9"/>
      <c r="QS194" s="9"/>
      <c r="QT194" s="9"/>
      <c r="QU194" s="9"/>
      <c r="QV194" s="9"/>
      <c r="QW194" s="9"/>
      <c r="QX194" s="9"/>
      <c r="QY194" s="9"/>
      <c r="QZ194" s="9"/>
      <c r="RA194" s="9"/>
      <c r="RB194" s="9"/>
      <c r="RC194" s="9"/>
      <c r="RD194" s="9"/>
      <c r="RE194" s="9"/>
      <c r="RF194" s="9"/>
      <c r="RG194" s="9"/>
      <c r="RH194" s="9"/>
      <c r="RI194" s="9"/>
      <c r="RJ194" s="9"/>
      <c r="RK194" s="9"/>
      <c r="RL194" s="9"/>
      <c r="RM194" s="9"/>
      <c r="RN194" s="9"/>
      <c r="RO194" s="9"/>
      <c r="RP194" s="9"/>
      <c r="RQ194" s="9"/>
      <c r="RR194" s="9"/>
      <c r="RS194" s="9"/>
      <c r="RT194" s="9"/>
      <c r="RU194" s="9"/>
      <c r="RV194" s="9"/>
      <c r="RW194" s="9"/>
      <c r="RX194" s="9"/>
      <c r="RY194" s="9"/>
      <c r="RZ194" s="9"/>
      <c r="SA194" s="9"/>
      <c r="SB194" s="9"/>
      <c r="SC194" s="9"/>
      <c r="SD194" s="9"/>
      <c r="SE194" s="9"/>
      <c r="SF194" s="9"/>
      <c r="SG194" s="9"/>
      <c r="SH194" s="9"/>
      <c r="SI194" s="9"/>
      <c r="SJ194" s="9"/>
      <c r="SK194" s="8"/>
      <c r="SL194" s="8"/>
      <c r="SM194" s="8"/>
      <c r="SN194" s="8"/>
      <c r="SO194" s="8"/>
      <c r="SP194" s="8"/>
      <c r="SQ194" s="8"/>
      <c r="SR194" s="8"/>
      <c r="SS194" s="8"/>
      <c r="ST194" s="8"/>
      <c r="SU194" s="8"/>
      <c r="SV194" s="8"/>
      <c r="SW194" s="8"/>
      <c r="SX194" s="8"/>
      <c r="SY194" s="8"/>
      <c r="SZ194" s="8"/>
      <c r="TA194" s="8"/>
      <c r="TB194" s="8"/>
      <c r="TC194" s="8"/>
      <c r="TD194" s="8"/>
      <c r="TE194" s="8"/>
      <c r="TF194" s="8"/>
      <c r="TG194" s="8"/>
      <c r="TH194" s="8"/>
      <c r="TI194" s="8"/>
      <c r="TJ194" s="8"/>
      <c r="TK194" s="8"/>
      <c r="TL194" s="8"/>
      <c r="TM194" s="8"/>
      <c r="TN194" s="8"/>
      <c r="TO194" s="8"/>
    </row>
    <row r="195" spans="1:535" x14ac:dyDescent="0.2">
      <c r="A195" s="7"/>
      <c r="B195" s="7"/>
      <c r="C195" s="9"/>
      <c r="D195" s="8"/>
      <c r="E195" s="8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9"/>
      <c r="CK195" s="9"/>
      <c r="CL195" s="9"/>
      <c r="CM195" s="9"/>
      <c r="CN195" s="9"/>
      <c r="CO195" s="9"/>
      <c r="CP195" s="9"/>
      <c r="CQ195" s="9"/>
      <c r="CR195" s="9"/>
      <c r="CS195" s="9"/>
      <c r="CT195" s="9"/>
      <c r="CU195" s="9"/>
      <c r="CV195" s="9"/>
      <c r="CW195" s="9"/>
      <c r="CX195" s="9"/>
      <c r="CY195" s="9"/>
      <c r="CZ195" s="9"/>
      <c r="DA195" s="9"/>
      <c r="DB195" s="9"/>
      <c r="DC195" s="9"/>
      <c r="DD195" s="9"/>
      <c r="DE195" s="9"/>
      <c r="DF195" s="9"/>
      <c r="DG195" s="9"/>
      <c r="DH195" s="9"/>
      <c r="DI195" s="9"/>
      <c r="DJ195" s="9"/>
      <c r="DK195" s="9"/>
      <c r="DL195" s="9"/>
      <c r="DM195" s="9"/>
      <c r="DN195" s="9"/>
      <c r="DO195" s="9"/>
      <c r="DP195" s="9"/>
      <c r="DQ195" s="9"/>
      <c r="DR195" s="9"/>
      <c r="DS195" s="9"/>
      <c r="DT195" s="9"/>
      <c r="DU195" s="9"/>
      <c r="DV195" s="9"/>
      <c r="DW195" s="9"/>
      <c r="DX195" s="9"/>
      <c r="DY195" s="9"/>
      <c r="DZ195" s="9"/>
      <c r="EA195" s="9"/>
      <c r="EB195" s="9"/>
      <c r="EC195" s="9"/>
      <c r="ED195" s="9"/>
      <c r="EE195" s="9"/>
      <c r="EF195" s="9"/>
      <c r="EG195" s="9"/>
      <c r="EH195" s="9"/>
      <c r="EI195" s="9"/>
      <c r="EJ195" s="9"/>
      <c r="EK195" s="9"/>
      <c r="EL195" s="9"/>
      <c r="EM195" s="9"/>
      <c r="EN195" s="9"/>
      <c r="EO195" s="9"/>
      <c r="EP195" s="9"/>
      <c r="EQ195" s="9"/>
      <c r="ER195" s="9"/>
      <c r="ES195" s="9"/>
      <c r="ET195" s="9"/>
      <c r="EU195" s="9"/>
      <c r="EV195" s="9"/>
      <c r="EW195" s="9"/>
      <c r="EX195" s="9"/>
      <c r="EY195" s="9"/>
      <c r="EZ195" s="9"/>
      <c r="FA195" s="9"/>
      <c r="FB195" s="9"/>
      <c r="FC195" s="9"/>
      <c r="FD195" s="9"/>
      <c r="FE195" s="9"/>
      <c r="FF195" s="9"/>
      <c r="FG195" s="9"/>
      <c r="FH195" s="9"/>
      <c r="FI195" s="9"/>
      <c r="FJ195" s="9"/>
      <c r="FK195" s="9"/>
      <c r="FL195" s="9"/>
      <c r="FM195" s="9"/>
      <c r="FN195" s="9"/>
      <c r="FO195" s="9"/>
      <c r="FP195" s="9"/>
      <c r="FQ195" s="9"/>
      <c r="FR195" s="9"/>
      <c r="FS195" s="9"/>
      <c r="FT195" s="9"/>
      <c r="FU195" s="9"/>
      <c r="FV195" s="9"/>
      <c r="FW195" s="9"/>
      <c r="FX195" s="9"/>
      <c r="FY195" s="9"/>
      <c r="FZ195" s="9"/>
      <c r="GA195" s="9"/>
      <c r="GB195" s="9"/>
      <c r="GC195" s="9"/>
      <c r="GD195" s="9"/>
      <c r="GE195" s="9"/>
      <c r="GF195" s="9"/>
      <c r="GG195" s="9"/>
      <c r="GH195" s="9"/>
      <c r="GI195" s="9"/>
      <c r="GJ195" s="9"/>
      <c r="GK195" s="9"/>
      <c r="GL195" s="9"/>
      <c r="GM195" s="9"/>
      <c r="GN195" s="9"/>
      <c r="GO195" s="9"/>
      <c r="GP195" s="9"/>
      <c r="GQ195" s="9"/>
      <c r="GR195" s="9"/>
      <c r="GS195" s="9"/>
      <c r="GT195" s="9"/>
      <c r="GU195" s="9"/>
      <c r="GV195" s="9"/>
      <c r="GW195" s="9"/>
      <c r="GX195" s="9"/>
      <c r="GY195" s="9"/>
      <c r="GZ195" s="9"/>
      <c r="HA195" s="9"/>
      <c r="HB195" s="9"/>
      <c r="HC195" s="9"/>
      <c r="HD195" s="9"/>
      <c r="HE195" s="9"/>
      <c r="HF195" s="9"/>
      <c r="HG195" s="9"/>
      <c r="HH195" s="9"/>
      <c r="HI195" s="9"/>
      <c r="HJ195" s="9"/>
      <c r="HK195" s="9"/>
      <c r="HL195" s="9"/>
      <c r="HM195" s="9"/>
      <c r="HN195" s="9"/>
      <c r="HO195" s="9"/>
      <c r="HP195" s="9"/>
      <c r="HQ195" s="9"/>
      <c r="HR195" s="9"/>
      <c r="HS195" s="9"/>
      <c r="HT195" s="9"/>
      <c r="HU195" s="9"/>
      <c r="HV195" s="9"/>
      <c r="HW195" s="9"/>
      <c r="HX195" s="9"/>
      <c r="HY195" s="9"/>
      <c r="HZ195" s="9"/>
      <c r="IA195" s="9"/>
      <c r="IB195" s="9"/>
      <c r="IC195" s="9"/>
      <c r="ID195" s="9"/>
      <c r="IE195" s="9"/>
      <c r="IF195" s="9"/>
      <c r="IG195" s="9"/>
      <c r="IH195" s="9"/>
      <c r="II195" s="9"/>
      <c r="IJ195" s="9"/>
      <c r="IK195" s="9"/>
      <c r="IL195" s="9"/>
      <c r="IM195" s="9"/>
      <c r="IN195" s="9"/>
      <c r="IO195" s="9"/>
      <c r="IP195" s="9"/>
      <c r="IQ195" s="9"/>
      <c r="IR195" s="9"/>
      <c r="IS195" s="9"/>
      <c r="IT195" s="9"/>
      <c r="IU195" s="9"/>
      <c r="IV195" s="9"/>
      <c r="IW195" s="9"/>
      <c r="IX195" s="9"/>
      <c r="IY195" s="9"/>
      <c r="IZ195" s="9"/>
      <c r="JA195" s="9"/>
      <c r="JB195" s="9"/>
      <c r="JC195" s="9"/>
      <c r="JD195" s="9"/>
      <c r="JE195" s="9"/>
      <c r="JF195" s="9"/>
      <c r="JG195" s="9"/>
      <c r="JH195" s="9"/>
      <c r="JI195" s="9"/>
      <c r="JJ195" s="9"/>
      <c r="JK195" s="9"/>
      <c r="JL195" s="9"/>
      <c r="JM195" s="9"/>
      <c r="JN195" s="9"/>
      <c r="JO195" s="9"/>
      <c r="JP195" s="9"/>
      <c r="JQ195" s="9"/>
      <c r="JR195" s="9"/>
      <c r="JS195" s="9"/>
      <c r="JT195" s="9"/>
      <c r="JU195" s="9"/>
      <c r="JV195" s="9"/>
      <c r="JW195" s="9"/>
      <c r="JX195" s="9"/>
      <c r="JY195" s="9"/>
      <c r="JZ195" s="9"/>
      <c r="KA195" s="9"/>
      <c r="KB195" s="9"/>
      <c r="KC195" s="9"/>
      <c r="KD195" s="9"/>
      <c r="KE195" s="9"/>
      <c r="KF195" s="9"/>
      <c r="KG195" s="9"/>
      <c r="KH195" s="9"/>
      <c r="KI195" s="9"/>
      <c r="KJ195" s="9"/>
      <c r="KK195" s="9"/>
      <c r="KL195" s="9"/>
      <c r="KM195" s="9"/>
      <c r="KN195" s="9"/>
      <c r="KO195" s="9"/>
      <c r="KP195" s="9"/>
      <c r="KQ195" s="9"/>
      <c r="KR195" s="9"/>
      <c r="KS195" s="9"/>
      <c r="KT195" s="9"/>
      <c r="KU195" s="9"/>
      <c r="KV195" s="9"/>
      <c r="KW195" s="9"/>
      <c r="KX195" s="9"/>
      <c r="KY195" s="9"/>
      <c r="KZ195" s="9"/>
      <c r="LA195" s="9"/>
      <c r="LB195" s="9"/>
      <c r="LC195" s="9"/>
      <c r="LD195" s="9"/>
      <c r="LE195" s="9"/>
      <c r="LF195" s="9"/>
      <c r="LG195" s="9"/>
      <c r="LH195" s="9"/>
      <c r="LI195" s="9"/>
      <c r="LJ195" s="9"/>
      <c r="LK195" s="9"/>
      <c r="LL195" s="9"/>
      <c r="LM195" s="9"/>
      <c r="LN195" s="9"/>
      <c r="LO195" s="9"/>
      <c r="LP195" s="9"/>
      <c r="LQ195" s="9"/>
      <c r="LR195" s="9"/>
      <c r="LS195" s="9"/>
      <c r="LT195" s="9"/>
      <c r="LU195" s="9"/>
      <c r="LV195" s="9"/>
      <c r="LW195" s="9"/>
      <c r="LX195" s="9"/>
      <c r="LY195" s="9"/>
      <c r="LZ195" s="9"/>
      <c r="MA195" s="9"/>
      <c r="MB195" s="9"/>
      <c r="MC195" s="9"/>
      <c r="MD195" s="9"/>
      <c r="ME195" s="9"/>
      <c r="MF195" s="9"/>
      <c r="MG195" s="9"/>
      <c r="MH195" s="9"/>
      <c r="MI195" s="9"/>
      <c r="MJ195" s="9"/>
      <c r="MK195" s="9"/>
      <c r="ML195" s="9"/>
      <c r="MM195" s="9"/>
      <c r="MN195" s="9"/>
      <c r="MO195" s="9"/>
      <c r="MP195" s="9"/>
      <c r="MQ195" s="9"/>
      <c r="MR195" s="9"/>
      <c r="MS195" s="9"/>
      <c r="MT195" s="9"/>
      <c r="MU195" s="9"/>
      <c r="MV195" s="9"/>
      <c r="MW195" s="9"/>
      <c r="MX195" s="9"/>
      <c r="MY195" s="9"/>
      <c r="MZ195" s="9"/>
      <c r="NA195" s="9"/>
      <c r="NB195" s="9"/>
      <c r="NC195" s="9"/>
      <c r="ND195" s="9"/>
      <c r="NE195" s="9"/>
      <c r="NF195" s="9"/>
      <c r="NG195" s="9"/>
      <c r="NH195" s="9"/>
      <c r="NI195" s="9"/>
      <c r="NJ195" s="9"/>
      <c r="NK195" s="9"/>
      <c r="NL195" s="9"/>
      <c r="NM195" s="9"/>
      <c r="NN195" s="9"/>
      <c r="NO195" s="9"/>
      <c r="NP195" s="9"/>
      <c r="NQ195" s="9"/>
      <c r="NR195" s="9"/>
      <c r="NS195" s="9"/>
      <c r="NT195" s="9"/>
      <c r="NU195" s="9"/>
      <c r="NV195" s="9"/>
      <c r="NW195" s="9"/>
      <c r="NX195" s="9"/>
      <c r="NY195" s="9"/>
      <c r="NZ195" s="9"/>
      <c r="OA195" s="9"/>
      <c r="OB195" s="9"/>
      <c r="OC195" s="9"/>
      <c r="OD195" s="9"/>
      <c r="OE195" s="9"/>
      <c r="OF195" s="9"/>
      <c r="OG195" s="9"/>
      <c r="OH195" s="9"/>
      <c r="OI195" s="9"/>
      <c r="OJ195" s="9"/>
      <c r="OK195" s="9"/>
      <c r="OL195" s="9"/>
      <c r="OM195" s="9"/>
      <c r="ON195" s="9"/>
      <c r="OO195" s="9"/>
      <c r="OP195" s="9"/>
      <c r="OQ195" s="9"/>
      <c r="OR195" s="9"/>
      <c r="OS195" s="9"/>
      <c r="OT195" s="9"/>
      <c r="OU195" s="9"/>
      <c r="OV195" s="9"/>
      <c r="OW195" s="9"/>
      <c r="OX195" s="9"/>
      <c r="OY195" s="9"/>
      <c r="OZ195" s="9"/>
      <c r="PA195" s="9"/>
      <c r="PB195" s="9"/>
      <c r="PC195" s="9"/>
      <c r="PD195" s="9"/>
      <c r="PE195" s="9"/>
      <c r="PF195" s="9"/>
      <c r="PG195" s="9"/>
      <c r="PH195" s="9"/>
      <c r="PI195" s="9"/>
      <c r="PJ195" s="9"/>
      <c r="PK195" s="9"/>
      <c r="PL195" s="9"/>
      <c r="PM195" s="9"/>
      <c r="PN195" s="9"/>
      <c r="PO195" s="9"/>
      <c r="PP195" s="9"/>
      <c r="PQ195" s="9"/>
      <c r="PR195" s="9"/>
      <c r="PS195" s="9"/>
      <c r="PT195" s="9"/>
      <c r="PU195" s="9"/>
      <c r="PV195" s="9"/>
      <c r="PW195" s="9"/>
      <c r="PX195" s="9"/>
      <c r="PY195" s="9"/>
      <c r="PZ195" s="9"/>
      <c r="QA195" s="9"/>
      <c r="QB195" s="9"/>
      <c r="QC195" s="9"/>
      <c r="QD195" s="9"/>
      <c r="QE195" s="9"/>
      <c r="QF195" s="9"/>
      <c r="QG195" s="9"/>
      <c r="QH195" s="9"/>
      <c r="QI195" s="9"/>
      <c r="QJ195" s="9"/>
      <c r="QK195" s="9"/>
      <c r="QL195" s="9"/>
      <c r="QM195" s="9"/>
      <c r="QN195" s="9"/>
      <c r="QO195" s="9"/>
      <c r="QP195" s="9"/>
      <c r="QQ195" s="9"/>
      <c r="QR195" s="9"/>
      <c r="QS195" s="9"/>
      <c r="QT195" s="9"/>
      <c r="QU195" s="9"/>
      <c r="QV195" s="9"/>
      <c r="QW195" s="9"/>
      <c r="QX195" s="9"/>
      <c r="QY195" s="9"/>
      <c r="QZ195" s="9"/>
      <c r="RA195" s="9"/>
      <c r="RB195" s="9"/>
      <c r="RC195" s="9"/>
      <c r="RD195" s="9"/>
      <c r="RE195" s="9"/>
      <c r="RF195" s="9"/>
      <c r="RG195" s="9"/>
      <c r="RH195" s="9"/>
      <c r="RI195" s="9"/>
      <c r="RJ195" s="9"/>
      <c r="RK195" s="9"/>
      <c r="RL195" s="9"/>
      <c r="RM195" s="9"/>
      <c r="RN195" s="9"/>
      <c r="RO195" s="9"/>
      <c r="RP195" s="9"/>
      <c r="RQ195" s="9"/>
      <c r="RR195" s="9"/>
      <c r="RS195" s="9"/>
      <c r="RT195" s="9"/>
      <c r="RU195" s="9"/>
      <c r="RV195" s="9"/>
      <c r="RW195" s="9"/>
      <c r="RX195" s="9"/>
      <c r="RY195" s="9"/>
      <c r="RZ195" s="9"/>
      <c r="SA195" s="9"/>
      <c r="SB195" s="9"/>
      <c r="SC195" s="9"/>
      <c r="SD195" s="9"/>
      <c r="SE195" s="9"/>
      <c r="SF195" s="9"/>
      <c r="SG195" s="9"/>
      <c r="SH195" s="9"/>
      <c r="SI195" s="9"/>
      <c r="SJ195" s="9"/>
      <c r="SK195" s="8"/>
      <c r="SL195" s="8"/>
      <c r="SM195" s="8"/>
      <c r="SN195" s="8"/>
      <c r="SO195" s="8"/>
      <c r="SP195" s="8"/>
      <c r="SQ195" s="8"/>
      <c r="SR195" s="8"/>
      <c r="SS195" s="8"/>
      <c r="ST195" s="8"/>
      <c r="SU195" s="8"/>
      <c r="SV195" s="8"/>
      <c r="SW195" s="8"/>
      <c r="SX195" s="8"/>
      <c r="SY195" s="8"/>
      <c r="SZ195" s="8"/>
      <c r="TA195" s="8"/>
      <c r="TB195" s="8"/>
      <c r="TC195" s="8"/>
      <c r="TD195" s="8"/>
      <c r="TE195" s="8"/>
      <c r="TF195" s="8"/>
      <c r="TG195" s="8"/>
      <c r="TH195" s="8"/>
      <c r="TI195" s="8"/>
      <c r="TJ195" s="8"/>
      <c r="TK195" s="8"/>
      <c r="TL195" s="8"/>
      <c r="TM195" s="8"/>
      <c r="TN195" s="8"/>
      <c r="TO195" s="8"/>
    </row>
    <row r="196" spans="1:535" x14ac:dyDescent="0.2">
      <c r="A196" s="7"/>
      <c r="B196" s="7"/>
      <c r="C196" s="9"/>
      <c r="D196" s="8"/>
      <c r="E196" s="8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  <c r="CL196" s="9"/>
      <c r="CM196" s="9"/>
      <c r="CN196" s="9"/>
      <c r="CO196" s="9"/>
      <c r="CP196" s="9"/>
      <c r="CQ196" s="9"/>
      <c r="CR196" s="9"/>
      <c r="CS196" s="9"/>
      <c r="CT196" s="9"/>
      <c r="CU196" s="9"/>
      <c r="CV196" s="9"/>
      <c r="CW196" s="9"/>
      <c r="CX196" s="9"/>
      <c r="CY196" s="9"/>
      <c r="CZ196" s="9"/>
      <c r="DA196" s="9"/>
      <c r="DB196" s="9"/>
      <c r="DC196" s="9"/>
      <c r="DD196" s="9"/>
      <c r="DE196" s="9"/>
      <c r="DF196" s="9"/>
      <c r="DG196" s="9"/>
      <c r="DH196" s="9"/>
      <c r="DI196" s="9"/>
      <c r="DJ196" s="9"/>
      <c r="DK196" s="9"/>
      <c r="DL196" s="9"/>
      <c r="DM196" s="9"/>
      <c r="DN196" s="9"/>
      <c r="DO196" s="9"/>
      <c r="DP196" s="9"/>
      <c r="DQ196" s="9"/>
      <c r="DR196" s="9"/>
      <c r="DS196" s="9"/>
      <c r="DT196" s="9"/>
      <c r="DU196" s="9"/>
      <c r="DV196" s="9"/>
      <c r="DW196" s="9"/>
      <c r="DX196" s="9"/>
      <c r="DY196" s="9"/>
      <c r="DZ196" s="9"/>
      <c r="EA196" s="9"/>
      <c r="EB196" s="9"/>
      <c r="EC196" s="9"/>
      <c r="ED196" s="9"/>
      <c r="EE196" s="9"/>
      <c r="EF196" s="9"/>
      <c r="EG196" s="9"/>
      <c r="EH196" s="9"/>
      <c r="EI196" s="9"/>
      <c r="EJ196" s="9"/>
      <c r="EK196" s="9"/>
      <c r="EL196" s="9"/>
      <c r="EM196" s="9"/>
      <c r="EN196" s="9"/>
      <c r="EO196" s="9"/>
      <c r="EP196" s="9"/>
      <c r="EQ196" s="9"/>
      <c r="ER196" s="9"/>
      <c r="ES196" s="9"/>
      <c r="ET196" s="9"/>
      <c r="EU196" s="9"/>
      <c r="EV196" s="9"/>
      <c r="EW196" s="9"/>
      <c r="EX196" s="9"/>
      <c r="EY196" s="9"/>
      <c r="EZ196" s="9"/>
      <c r="FA196" s="9"/>
      <c r="FB196" s="9"/>
      <c r="FC196" s="9"/>
      <c r="FD196" s="9"/>
      <c r="FE196" s="9"/>
      <c r="FF196" s="9"/>
      <c r="FG196" s="9"/>
      <c r="FH196" s="9"/>
      <c r="FI196" s="9"/>
      <c r="FJ196" s="9"/>
      <c r="FK196" s="9"/>
      <c r="FL196" s="9"/>
      <c r="FM196" s="9"/>
      <c r="FN196" s="9"/>
      <c r="FO196" s="9"/>
      <c r="FP196" s="9"/>
      <c r="FQ196" s="9"/>
      <c r="FR196" s="9"/>
      <c r="FS196" s="9"/>
      <c r="FT196" s="9"/>
      <c r="FU196" s="9"/>
      <c r="FV196" s="9"/>
      <c r="FW196" s="9"/>
      <c r="FX196" s="9"/>
      <c r="FY196" s="9"/>
      <c r="FZ196" s="9"/>
      <c r="GA196" s="9"/>
      <c r="GB196" s="9"/>
      <c r="GC196" s="9"/>
      <c r="GD196" s="9"/>
      <c r="GE196" s="9"/>
      <c r="GF196" s="9"/>
      <c r="GG196" s="9"/>
      <c r="GH196" s="9"/>
      <c r="GI196" s="9"/>
      <c r="GJ196" s="9"/>
      <c r="GK196" s="9"/>
      <c r="GL196" s="9"/>
      <c r="GM196" s="9"/>
      <c r="GN196" s="9"/>
      <c r="GO196" s="9"/>
      <c r="GP196" s="9"/>
      <c r="GQ196" s="9"/>
      <c r="GR196" s="9"/>
      <c r="GS196" s="9"/>
      <c r="GT196" s="9"/>
      <c r="GU196" s="9"/>
      <c r="GV196" s="9"/>
      <c r="GW196" s="9"/>
      <c r="GX196" s="9"/>
      <c r="GY196" s="9"/>
      <c r="GZ196" s="9"/>
      <c r="HA196" s="9"/>
      <c r="HB196" s="9"/>
      <c r="HC196" s="9"/>
      <c r="HD196" s="9"/>
      <c r="HE196" s="9"/>
      <c r="HF196" s="9"/>
      <c r="HG196" s="9"/>
      <c r="HH196" s="9"/>
      <c r="HI196" s="9"/>
      <c r="HJ196" s="9"/>
      <c r="HK196" s="9"/>
      <c r="HL196" s="9"/>
      <c r="HM196" s="9"/>
      <c r="HN196" s="9"/>
      <c r="HO196" s="9"/>
      <c r="HP196" s="9"/>
      <c r="HQ196" s="9"/>
      <c r="HR196" s="9"/>
      <c r="HS196" s="9"/>
      <c r="HT196" s="9"/>
      <c r="HU196" s="9"/>
      <c r="HV196" s="9"/>
      <c r="HW196" s="9"/>
      <c r="HX196" s="9"/>
      <c r="HY196" s="9"/>
      <c r="HZ196" s="9"/>
      <c r="IA196" s="9"/>
      <c r="IB196" s="9"/>
      <c r="IC196" s="9"/>
      <c r="ID196" s="9"/>
      <c r="IE196" s="9"/>
      <c r="IF196" s="9"/>
      <c r="IG196" s="9"/>
      <c r="IH196" s="9"/>
      <c r="II196" s="9"/>
      <c r="IJ196" s="9"/>
      <c r="IK196" s="9"/>
      <c r="IL196" s="9"/>
      <c r="IM196" s="9"/>
      <c r="IN196" s="9"/>
      <c r="IO196" s="9"/>
      <c r="IP196" s="9"/>
      <c r="IQ196" s="9"/>
      <c r="IR196" s="9"/>
      <c r="IS196" s="9"/>
      <c r="IT196" s="9"/>
      <c r="IU196" s="9"/>
      <c r="IV196" s="9"/>
      <c r="IW196" s="9"/>
      <c r="IX196" s="9"/>
      <c r="IY196" s="9"/>
      <c r="IZ196" s="9"/>
      <c r="JA196" s="9"/>
      <c r="JB196" s="9"/>
      <c r="JC196" s="9"/>
      <c r="JD196" s="9"/>
      <c r="JE196" s="9"/>
      <c r="JF196" s="9"/>
      <c r="JG196" s="9"/>
      <c r="JH196" s="9"/>
      <c r="JI196" s="9"/>
      <c r="JJ196" s="9"/>
      <c r="JK196" s="9"/>
      <c r="JL196" s="9"/>
      <c r="JM196" s="9"/>
      <c r="JN196" s="9"/>
      <c r="JO196" s="9"/>
      <c r="JP196" s="9"/>
      <c r="JQ196" s="9"/>
      <c r="JR196" s="9"/>
      <c r="JS196" s="9"/>
      <c r="JT196" s="9"/>
      <c r="JU196" s="9"/>
      <c r="JV196" s="9"/>
      <c r="JW196" s="9"/>
      <c r="JX196" s="9"/>
      <c r="JY196" s="9"/>
      <c r="JZ196" s="9"/>
      <c r="KA196" s="9"/>
      <c r="KB196" s="9"/>
      <c r="KC196" s="9"/>
      <c r="KD196" s="9"/>
      <c r="KE196" s="9"/>
      <c r="KF196" s="9"/>
      <c r="KG196" s="9"/>
      <c r="KH196" s="9"/>
      <c r="KI196" s="9"/>
      <c r="KJ196" s="9"/>
      <c r="KK196" s="9"/>
      <c r="KL196" s="9"/>
      <c r="KM196" s="9"/>
      <c r="KN196" s="9"/>
      <c r="KO196" s="9"/>
      <c r="KP196" s="9"/>
      <c r="KQ196" s="9"/>
      <c r="KR196" s="9"/>
      <c r="KS196" s="9"/>
      <c r="KT196" s="9"/>
      <c r="KU196" s="9"/>
      <c r="KV196" s="9"/>
      <c r="KW196" s="9"/>
      <c r="KX196" s="9"/>
      <c r="KY196" s="9"/>
      <c r="KZ196" s="9"/>
      <c r="LA196" s="9"/>
      <c r="LB196" s="9"/>
      <c r="LC196" s="9"/>
      <c r="LD196" s="9"/>
      <c r="LE196" s="9"/>
      <c r="LF196" s="9"/>
      <c r="LG196" s="9"/>
      <c r="LH196" s="9"/>
      <c r="LI196" s="9"/>
      <c r="LJ196" s="9"/>
      <c r="LK196" s="9"/>
      <c r="LL196" s="9"/>
      <c r="LM196" s="9"/>
      <c r="LN196" s="9"/>
      <c r="LO196" s="9"/>
      <c r="LP196" s="9"/>
      <c r="LQ196" s="9"/>
      <c r="LR196" s="9"/>
      <c r="LS196" s="9"/>
      <c r="LT196" s="9"/>
      <c r="LU196" s="9"/>
      <c r="LV196" s="9"/>
      <c r="LW196" s="9"/>
      <c r="LX196" s="9"/>
      <c r="LY196" s="9"/>
      <c r="LZ196" s="9"/>
      <c r="MA196" s="9"/>
      <c r="MB196" s="9"/>
      <c r="MC196" s="9"/>
      <c r="MD196" s="9"/>
      <c r="ME196" s="9"/>
      <c r="MF196" s="9"/>
      <c r="MG196" s="9"/>
      <c r="MH196" s="9"/>
      <c r="MI196" s="9"/>
      <c r="MJ196" s="9"/>
      <c r="MK196" s="9"/>
      <c r="ML196" s="9"/>
      <c r="MM196" s="9"/>
      <c r="MN196" s="9"/>
      <c r="MO196" s="9"/>
      <c r="MP196" s="9"/>
      <c r="MQ196" s="9"/>
      <c r="MR196" s="9"/>
      <c r="MS196" s="9"/>
      <c r="MT196" s="9"/>
      <c r="MU196" s="9"/>
      <c r="MV196" s="9"/>
      <c r="MW196" s="9"/>
      <c r="MX196" s="9"/>
      <c r="MY196" s="9"/>
      <c r="MZ196" s="9"/>
      <c r="NA196" s="9"/>
      <c r="NB196" s="9"/>
      <c r="NC196" s="9"/>
      <c r="ND196" s="9"/>
      <c r="NE196" s="9"/>
      <c r="NF196" s="9"/>
      <c r="NG196" s="9"/>
      <c r="NH196" s="9"/>
      <c r="NI196" s="9"/>
      <c r="NJ196" s="9"/>
      <c r="NK196" s="9"/>
      <c r="NL196" s="9"/>
      <c r="NM196" s="9"/>
      <c r="NN196" s="9"/>
      <c r="NO196" s="9"/>
      <c r="NP196" s="9"/>
      <c r="NQ196" s="9"/>
      <c r="NR196" s="9"/>
      <c r="NS196" s="9"/>
      <c r="NT196" s="9"/>
      <c r="NU196" s="9"/>
      <c r="NV196" s="9"/>
      <c r="NW196" s="9"/>
      <c r="NX196" s="9"/>
      <c r="NY196" s="9"/>
      <c r="NZ196" s="9"/>
      <c r="OA196" s="9"/>
      <c r="OB196" s="9"/>
      <c r="OC196" s="9"/>
      <c r="OD196" s="9"/>
      <c r="OE196" s="9"/>
      <c r="OF196" s="9"/>
      <c r="OG196" s="9"/>
      <c r="OH196" s="9"/>
      <c r="OI196" s="9"/>
      <c r="OJ196" s="9"/>
      <c r="OK196" s="9"/>
      <c r="OL196" s="9"/>
      <c r="OM196" s="9"/>
      <c r="ON196" s="9"/>
      <c r="OO196" s="9"/>
      <c r="OP196" s="9"/>
      <c r="OQ196" s="9"/>
      <c r="OR196" s="9"/>
      <c r="OS196" s="9"/>
      <c r="OT196" s="9"/>
      <c r="OU196" s="9"/>
      <c r="OV196" s="9"/>
      <c r="OW196" s="9"/>
      <c r="OX196" s="9"/>
      <c r="OY196" s="9"/>
      <c r="OZ196" s="9"/>
      <c r="PA196" s="9"/>
      <c r="PB196" s="9"/>
      <c r="PC196" s="9"/>
      <c r="PD196" s="9"/>
      <c r="PE196" s="9"/>
      <c r="PF196" s="9"/>
      <c r="PG196" s="9"/>
      <c r="PH196" s="9"/>
      <c r="PI196" s="9"/>
      <c r="PJ196" s="9"/>
      <c r="PK196" s="9"/>
      <c r="PL196" s="9"/>
      <c r="PM196" s="9"/>
      <c r="PN196" s="9"/>
      <c r="PO196" s="9"/>
      <c r="PP196" s="9"/>
      <c r="PQ196" s="9"/>
      <c r="PR196" s="9"/>
      <c r="PS196" s="9"/>
      <c r="PT196" s="9"/>
      <c r="PU196" s="9"/>
      <c r="PV196" s="9"/>
      <c r="PW196" s="9"/>
      <c r="PX196" s="9"/>
      <c r="PY196" s="9"/>
      <c r="PZ196" s="9"/>
      <c r="QA196" s="9"/>
      <c r="QB196" s="9"/>
      <c r="QC196" s="9"/>
      <c r="QD196" s="9"/>
      <c r="QE196" s="9"/>
      <c r="QF196" s="9"/>
      <c r="QG196" s="9"/>
      <c r="QH196" s="9"/>
      <c r="QI196" s="9"/>
      <c r="QJ196" s="9"/>
      <c r="QK196" s="9"/>
      <c r="QL196" s="9"/>
      <c r="QM196" s="9"/>
      <c r="QN196" s="9"/>
      <c r="QO196" s="9"/>
      <c r="QP196" s="9"/>
      <c r="QQ196" s="9"/>
      <c r="QR196" s="9"/>
      <c r="QS196" s="9"/>
      <c r="QT196" s="9"/>
      <c r="QU196" s="9"/>
      <c r="QV196" s="9"/>
      <c r="QW196" s="9"/>
      <c r="QX196" s="9"/>
      <c r="QY196" s="9"/>
      <c r="QZ196" s="9"/>
      <c r="RA196" s="9"/>
      <c r="RB196" s="9"/>
      <c r="RC196" s="9"/>
      <c r="RD196" s="9"/>
      <c r="RE196" s="9"/>
      <c r="RF196" s="9"/>
      <c r="RG196" s="9"/>
      <c r="RH196" s="9"/>
      <c r="RI196" s="9"/>
      <c r="RJ196" s="9"/>
      <c r="RK196" s="9"/>
      <c r="RL196" s="9"/>
      <c r="RM196" s="9"/>
      <c r="RN196" s="9"/>
      <c r="RO196" s="9"/>
      <c r="RP196" s="9"/>
      <c r="RQ196" s="9"/>
      <c r="RR196" s="9"/>
      <c r="RS196" s="9"/>
      <c r="RT196" s="9"/>
      <c r="RU196" s="9"/>
      <c r="RV196" s="9"/>
      <c r="RW196" s="9"/>
      <c r="RX196" s="9"/>
      <c r="RY196" s="9"/>
      <c r="RZ196" s="9"/>
      <c r="SA196" s="9"/>
      <c r="SB196" s="9"/>
      <c r="SC196" s="9"/>
      <c r="SD196" s="9"/>
      <c r="SE196" s="9"/>
      <c r="SF196" s="9"/>
      <c r="SG196" s="9"/>
      <c r="SH196" s="9"/>
      <c r="SI196" s="9"/>
      <c r="SJ196" s="9"/>
      <c r="SK196" s="8"/>
      <c r="SL196" s="8"/>
      <c r="SM196" s="8"/>
      <c r="SN196" s="8"/>
      <c r="SO196" s="8"/>
      <c r="SP196" s="8"/>
      <c r="SQ196" s="8"/>
      <c r="SR196" s="8"/>
      <c r="SS196" s="8"/>
      <c r="ST196" s="8"/>
      <c r="SU196" s="8"/>
      <c r="SV196" s="8"/>
      <c r="SW196" s="8"/>
      <c r="SX196" s="8"/>
      <c r="SY196" s="8"/>
      <c r="SZ196" s="8"/>
      <c r="TA196" s="8"/>
      <c r="TB196" s="8"/>
      <c r="TC196" s="8"/>
      <c r="TD196" s="8"/>
      <c r="TE196" s="8"/>
      <c r="TF196" s="8"/>
      <c r="TG196" s="8"/>
      <c r="TH196" s="8"/>
      <c r="TI196" s="8"/>
      <c r="TJ196" s="8"/>
      <c r="TK196" s="8"/>
      <c r="TL196" s="8"/>
      <c r="TM196" s="8"/>
      <c r="TN196" s="8"/>
      <c r="TO196" s="8"/>
    </row>
    <row r="197" spans="1:535" x14ac:dyDescent="0.2">
      <c r="A197" s="7"/>
      <c r="B197" s="7"/>
      <c r="C197" s="9"/>
      <c r="D197" s="8"/>
      <c r="E197" s="8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9"/>
      <c r="CK197" s="9"/>
      <c r="CL197" s="9"/>
      <c r="CM197" s="9"/>
      <c r="CN197" s="9"/>
      <c r="CO197" s="9"/>
      <c r="CP197" s="9"/>
      <c r="CQ197" s="9"/>
      <c r="CR197" s="9"/>
      <c r="CS197" s="9"/>
      <c r="CT197" s="9"/>
      <c r="CU197" s="9"/>
      <c r="CV197" s="9"/>
      <c r="CW197" s="9"/>
      <c r="CX197" s="9"/>
      <c r="CY197" s="9"/>
      <c r="CZ197" s="9"/>
      <c r="DA197" s="9"/>
      <c r="DB197" s="9"/>
      <c r="DC197" s="9"/>
      <c r="DD197" s="9"/>
      <c r="DE197" s="9"/>
      <c r="DF197" s="9"/>
      <c r="DG197" s="9"/>
      <c r="DH197" s="9"/>
      <c r="DI197" s="9"/>
      <c r="DJ197" s="9"/>
      <c r="DK197" s="9"/>
      <c r="DL197" s="9"/>
      <c r="DM197" s="9"/>
      <c r="DN197" s="9"/>
      <c r="DO197" s="9"/>
      <c r="DP197" s="9"/>
      <c r="DQ197" s="9"/>
      <c r="DR197" s="9"/>
      <c r="DS197" s="9"/>
      <c r="DT197" s="9"/>
      <c r="DU197" s="9"/>
      <c r="DV197" s="9"/>
      <c r="DW197" s="9"/>
      <c r="DX197" s="9"/>
      <c r="DY197" s="9"/>
      <c r="DZ197" s="9"/>
      <c r="EA197" s="9"/>
      <c r="EB197" s="9"/>
      <c r="EC197" s="9"/>
      <c r="ED197" s="9"/>
      <c r="EE197" s="9"/>
      <c r="EF197" s="9"/>
      <c r="EG197" s="9"/>
      <c r="EH197" s="9"/>
      <c r="EI197" s="9"/>
      <c r="EJ197" s="9"/>
      <c r="EK197" s="9"/>
      <c r="EL197" s="9"/>
      <c r="EM197" s="9"/>
      <c r="EN197" s="9"/>
      <c r="EO197" s="9"/>
      <c r="EP197" s="9"/>
      <c r="EQ197" s="9"/>
      <c r="ER197" s="9"/>
      <c r="ES197" s="9"/>
      <c r="ET197" s="9"/>
      <c r="EU197" s="9"/>
      <c r="EV197" s="9"/>
      <c r="EW197" s="9"/>
      <c r="EX197" s="9"/>
      <c r="EY197" s="9"/>
      <c r="EZ197" s="9"/>
      <c r="FA197" s="9"/>
      <c r="FB197" s="9"/>
      <c r="FC197" s="9"/>
      <c r="FD197" s="9"/>
      <c r="FE197" s="9"/>
      <c r="FF197" s="9"/>
      <c r="FG197" s="9"/>
      <c r="FH197" s="9"/>
      <c r="FI197" s="9"/>
      <c r="FJ197" s="9"/>
      <c r="FK197" s="9"/>
      <c r="FL197" s="9"/>
      <c r="FM197" s="9"/>
      <c r="FN197" s="9"/>
      <c r="FO197" s="9"/>
      <c r="FP197" s="9"/>
      <c r="FQ197" s="9"/>
      <c r="FR197" s="9"/>
      <c r="FS197" s="9"/>
      <c r="FT197" s="9"/>
      <c r="FU197" s="9"/>
      <c r="FV197" s="9"/>
      <c r="FW197" s="9"/>
      <c r="FX197" s="9"/>
      <c r="FY197" s="9"/>
      <c r="FZ197" s="9"/>
      <c r="GA197" s="9"/>
      <c r="GB197" s="9"/>
      <c r="GC197" s="9"/>
      <c r="GD197" s="9"/>
      <c r="GE197" s="9"/>
      <c r="GF197" s="9"/>
      <c r="GG197" s="9"/>
      <c r="GH197" s="9"/>
      <c r="GI197" s="9"/>
      <c r="GJ197" s="9"/>
      <c r="GK197" s="9"/>
      <c r="GL197" s="9"/>
      <c r="GM197" s="9"/>
      <c r="GN197" s="9"/>
      <c r="GO197" s="9"/>
      <c r="GP197" s="9"/>
      <c r="GQ197" s="9"/>
      <c r="GR197" s="9"/>
      <c r="GS197" s="9"/>
      <c r="GT197" s="9"/>
      <c r="GU197" s="9"/>
      <c r="GV197" s="9"/>
      <c r="GW197" s="9"/>
      <c r="GX197" s="9"/>
      <c r="GY197" s="9"/>
      <c r="GZ197" s="9"/>
      <c r="HA197" s="9"/>
      <c r="HB197" s="9"/>
      <c r="HC197" s="9"/>
      <c r="HD197" s="9"/>
      <c r="HE197" s="9"/>
      <c r="HF197" s="9"/>
      <c r="HG197" s="9"/>
      <c r="HH197" s="9"/>
      <c r="HI197" s="9"/>
      <c r="HJ197" s="9"/>
      <c r="HK197" s="9"/>
      <c r="HL197" s="9"/>
      <c r="HM197" s="9"/>
      <c r="HN197" s="9"/>
      <c r="HO197" s="9"/>
      <c r="HP197" s="9"/>
      <c r="HQ197" s="9"/>
      <c r="HR197" s="9"/>
      <c r="HS197" s="9"/>
      <c r="HT197" s="9"/>
      <c r="HU197" s="9"/>
      <c r="HV197" s="9"/>
      <c r="HW197" s="9"/>
      <c r="HX197" s="9"/>
      <c r="HY197" s="9"/>
      <c r="HZ197" s="9"/>
      <c r="IA197" s="9"/>
      <c r="IB197" s="9"/>
      <c r="IC197" s="9"/>
      <c r="ID197" s="9"/>
      <c r="IE197" s="9"/>
      <c r="IF197" s="9"/>
      <c r="IG197" s="9"/>
      <c r="IH197" s="9"/>
      <c r="II197" s="9"/>
      <c r="IJ197" s="9"/>
      <c r="IK197" s="9"/>
      <c r="IL197" s="9"/>
      <c r="IM197" s="9"/>
      <c r="IN197" s="9"/>
      <c r="IO197" s="9"/>
      <c r="IP197" s="9"/>
      <c r="IQ197" s="9"/>
      <c r="IR197" s="9"/>
      <c r="IS197" s="9"/>
      <c r="IT197" s="9"/>
      <c r="IU197" s="9"/>
      <c r="IV197" s="9"/>
      <c r="IW197" s="9"/>
      <c r="IX197" s="9"/>
      <c r="IY197" s="9"/>
      <c r="IZ197" s="9"/>
      <c r="JA197" s="9"/>
      <c r="JB197" s="9"/>
      <c r="JC197" s="9"/>
      <c r="JD197" s="9"/>
      <c r="JE197" s="9"/>
      <c r="JF197" s="9"/>
      <c r="JG197" s="9"/>
      <c r="JH197" s="9"/>
      <c r="JI197" s="9"/>
      <c r="JJ197" s="9"/>
      <c r="JK197" s="9"/>
      <c r="JL197" s="9"/>
      <c r="JM197" s="9"/>
      <c r="JN197" s="9"/>
      <c r="JO197" s="9"/>
      <c r="JP197" s="9"/>
      <c r="JQ197" s="9"/>
      <c r="JR197" s="9"/>
      <c r="JS197" s="9"/>
      <c r="JT197" s="9"/>
      <c r="JU197" s="9"/>
      <c r="JV197" s="9"/>
      <c r="JW197" s="9"/>
      <c r="JX197" s="9"/>
      <c r="JY197" s="9"/>
      <c r="JZ197" s="9"/>
      <c r="KA197" s="9"/>
      <c r="KB197" s="9"/>
      <c r="KC197" s="9"/>
      <c r="KD197" s="9"/>
      <c r="KE197" s="9"/>
      <c r="KF197" s="9"/>
      <c r="KG197" s="9"/>
      <c r="KH197" s="9"/>
      <c r="KI197" s="9"/>
      <c r="KJ197" s="9"/>
      <c r="KK197" s="9"/>
      <c r="KL197" s="9"/>
      <c r="KM197" s="9"/>
      <c r="KN197" s="9"/>
      <c r="KO197" s="9"/>
      <c r="KP197" s="9"/>
      <c r="KQ197" s="9"/>
      <c r="KR197" s="9"/>
      <c r="KS197" s="9"/>
      <c r="KT197" s="9"/>
      <c r="KU197" s="9"/>
      <c r="KV197" s="9"/>
      <c r="KW197" s="9"/>
      <c r="KX197" s="9"/>
      <c r="KY197" s="9"/>
      <c r="KZ197" s="9"/>
      <c r="LA197" s="9"/>
      <c r="LB197" s="9"/>
      <c r="LC197" s="9"/>
      <c r="LD197" s="9"/>
      <c r="LE197" s="9"/>
      <c r="LF197" s="9"/>
      <c r="LG197" s="9"/>
      <c r="LH197" s="9"/>
      <c r="LI197" s="9"/>
      <c r="LJ197" s="9"/>
      <c r="LK197" s="9"/>
      <c r="LL197" s="9"/>
      <c r="LM197" s="9"/>
      <c r="LN197" s="9"/>
      <c r="LO197" s="9"/>
      <c r="LP197" s="9"/>
      <c r="LQ197" s="9"/>
      <c r="LR197" s="9"/>
      <c r="LS197" s="9"/>
      <c r="LT197" s="9"/>
      <c r="LU197" s="9"/>
      <c r="LV197" s="9"/>
      <c r="LW197" s="9"/>
      <c r="LX197" s="9"/>
      <c r="LY197" s="9"/>
      <c r="LZ197" s="9"/>
      <c r="MA197" s="9"/>
      <c r="MB197" s="9"/>
      <c r="MC197" s="9"/>
      <c r="MD197" s="9"/>
      <c r="ME197" s="9"/>
      <c r="MF197" s="9"/>
      <c r="MG197" s="9"/>
      <c r="MH197" s="9"/>
      <c r="MI197" s="9"/>
      <c r="MJ197" s="9"/>
      <c r="MK197" s="9"/>
      <c r="ML197" s="9"/>
      <c r="MM197" s="9"/>
      <c r="MN197" s="9"/>
      <c r="MO197" s="9"/>
      <c r="MP197" s="9"/>
      <c r="MQ197" s="9"/>
      <c r="MR197" s="9"/>
      <c r="MS197" s="9"/>
      <c r="MT197" s="9"/>
      <c r="MU197" s="9"/>
      <c r="MV197" s="9"/>
      <c r="MW197" s="9"/>
      <c r="MX197" s="9"/>
      <c r="MY197" s="9"/>
      <c r="MZ197" s="9"/>
      <c r="NA197" s="9"/>
      <c r="NB197" s="9"/>
      <c r="NC197" s="9"/>
      <c r="ND197" s="9"/>
      <c r="NE197" s="9"/>
      <c r="NF197" s="9"/>
      <c r="NG197" s="9"/>
      <c r="NH197" s="9"/>
      <c r="NI197" s="9"/>
      <c r="NJ197" s="9"/>
      <c r="NK197" s="9"/>
      <c r="NL197" s="9"/>
      <c r="NM197" s="9"/>
      <c r="NN197" s="9"/>
      <c r="NO197" s="9"/>
      <c r="NP197" s="9"/>
      <c r="NQ197" s="9"/>
      <c r="NR197" s="9"/>
      <c r="NS197" s="9"/>
      <c r="NT197" s="9"/>
      <c r="NU197" s="9"/>
      <c r="NV197" s="9"/>
      <c r="NW197" s="9"/>
      <c r="NX197" s="9"/>
      <c r="NY197" s="9"/>
      <c r="NZ197" s="9"/>
      <c r="OA197" s="9"/>
      <c r="OB197" s="9"/>
      <c r="OC197" s="9"/>
      <c r="OD197" s="9"/>
      <c r="OE197" s="9"/>
      <c r="OF197" s="9"/>
      <c r="OG197" s="9"/>
      <c r="OH197" s="9"/>
      <c r="OI197" s="9"/>
      <c r="OJ197" s="9"/>
      <c r="OK197" s="9"/>
      <c r="OL197" s="9"/>
      <c r="OM197" s="9"/>
      <c r="ON197" s="9"/>
      <c r="OO197" s="9"/>
      <c r="OP197" s="9"/>
      <c r="OQ197" s="9"/>
      <c r="OR197" s="9"/>
      <c r="OS197" s="9"/>
      <c r="OT197" s="9"/>
      <c r="OU197" s="9"/>
      <c r="OV197" s="9"/>
      <c r="OW197" s="9"/>
      <c r="OX197" s="9"/>
      <c r="OY197" s="9"/>
      <c r="OZ197" s="9"/>
      <c r="PA197" s="9"/>
      <c r="PB197" s="9"/>
      <c r="PC197" s="9"/>
      <c r="PD197" s="9"/>
      <c r="PE197" s="9"/>
      <c r="PF197" s="9"/>
      <c r="PG197" s="9"/>
      <c r="PH197" s="9"/>
      <c r="PI197" s="9"/>
      <c r="PJ197" s="9"/>
      <c r="PK197" s="9"/>
      <c r="PL197" s="9"/>
      <c r="PM197" s="9"/>
      <c r="PN197" s="9"/>
      <c r="PO197" s="9"/>
      <c r="PP197" s="9"/>
      <c r="PQ197" s="9"/>
      <c r="PR197" s="9"/>
      <c r="PS197" s="9"/>
      <c r="PT197" s="9"/>
      <c r="PU197" s="9"/>
      <c r="PV197" s="9"/>
      <c r="PW197" s="9"/>
      <c r="PX197" s="9"/>
      <c r="PY197" s="9"/>
      <c r="PZ197" s="9"/>
      <c r="QA197" s="9"/>
      <c r="QB197" s="9"/>
      <c r="QC197" s="9"/>
      <c r="QD197" s="9"/>
      <c r="QE197" s="9"/>
      <c r="QF197" s="9"/>
      <c r="QG197" s="9"/>
      <c r="QH197" s="9"/>
      <c r="QI197" s="9"/>
      <c r="QJ197" s="9"/>
      <c r="QK197" s="9"/>
      <c r="QL197" s="9"/>
      <c r="QM197" s="9"/>
      <c r="QN197" s="9"/>
      <c r="QO197" s="9"/>
      <c r="QP197" s="9"/>
      <c r="QQ197" s="9"/>
      <c r="QR197" s="9"/>
      <c r="QS197" s="9"/>
      <c r="QT197" s="9"/>
      <c r="QU197" s="9"/>
      <c r="QV197" s="9"/>
      <c r="QW197" s="9"/>
      <c r="QX197" s="9"/>
      <c r="QY197" s="9"/>
      <c r="QZ197" s="9"/>
      <c r="RA197" s="9"/>
      <c r="RB197" s="9"/>
      <c r="RC197" s="9"/>
      <c r="RD197" s="9"/>
      <c r="RE197" s="9"/>
      <c r="RF197" s="9"/>
      <c r="RG197" s="9"/>
      <c r="RH197" s="9"/>
      <c r="RI197" s="9"/>
      <c r="RJ197" s="9"/>
      <c r="RK197" s="9"/>
      <c r="RL197" s="9"/>
      <c r="RM197" s="9"/>
      <c r="RN197" s="9"/>
      <c r="RO197" s="9"/>
      <c r="RP197" s="9"/>
      <c r="RQ197" s="9"/>
      <c r="RR197" s="9"/>
      <c r="RS197" s="9"/>
      <c r="RT197" s="9"/>
      <c r="RU197" s="9"/>
      <c r="RV197" s="9"/>
      <c r="RW197" s="9"/>
      <c r="RX197" s="9"/>
      <c r="RY197" s="9"/>
      <c r="RZ197" s="9"/>
      <c r="SA197" s="9"/>
      <c r="SB197" s="9"/>
      <c r="SC197" s="9"/>
      <c r="SD197" s="9"/>
      <c r="SE197" s="9"/>
      <c r="SF197" s="9"/>
      <c r="SG197" s="9"/>
      <c r="SH197" s="9"/>
      <c r="SI197" s="9"/>
      <c r="SJ197" s="9"/>
      <c r="SK197" s="8"/>
      <c r="SL197" s="8"/>
      <c r="SM197" s="8"/>
      <c r="SN197" s="8"/>
      <c r="SO197" s="8"/>
      <c r="SP197" s="8"/>
      <c r="SQ197" s="8"/>
      <c r="SR197" s="8"/>
      <c r="SS197" s="8"/>
      <c r="ST197" s="8"/>
      <c r="SU197" s="8"/>
      <c r="SV197" s="8"/>
      <c r="SW197" s="8"/>
      <c r="SX197" s="8"/>
      <c r="SY197" s="8"/>
      <c r="SZ197" s="8"/>
      <c r="TA197" s="8"/>
      <c r="TB197" s="8"/>
      <c r="TC197" s="8"/>
      <c r="TD197" s="8"/>
      <c r="TE197" s="8"/>
      <c r="TF197" s="8"/>
      <c r="TG197" s="8"/>
      <c r="TH197" s="8"/>
      <c r="TI197" s="8"/>
      <c r="TJ197" s="8"/>
      <c r="TK197" s="8"/>
      <c r="TL197" s="8"/>
      <c r="TM197" s="8"/>
      <c r="TN197" s="8"/>
      <c r="TO197" s="8"/>
    </row>
    <row r="198" spans="1:535" x14ac:dyDescent="0.2">
      <c r="A198" s="7"/>
      <c r="B198" s="7"/>
      <c r="C198" s="9"/>
      <c r="D198" s="8"/>
      <c r="E198" s="8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L198" s="9"/>
      <c r="CM198" s="9"/>
      <c r="CN198" s="9"/>
      <c r="CO198" s="9"/>
      <c r="CP198" s="9"/>
      <c r="CQ198" s="9"/>
      <c r="CR198" s="9"/>
      <c r="CS198" s="9"/>
      <c r="CT198" s="9"/>
      <c r="CU198" s="9"/>
      <c r="CV198" s="9"/>
      <c r="CW198" s="9"/>
      <c r="CX198" s="9"/>
      <c r="CY198" s="9"/>
      <c r="CZ198" s="9"/>
      <c r="DA198" s="9"/>
      <c r="DB198" s="9"/>
      <c r="DC198" s="9"/>
      <c r="DD198" s="9"/>
      <c r="DE198" s="9"/>
      <c r="DF198" s="9"/>
      <c r="DG198" s="9"/>
      <c r="DH198" s="9"/>
      <c r="DI198" s="9"/>
      <c r="DJ198" s="9"/>
      <c r="DK198" s="9"/>
      <c r="DL198" s="9"/>
      <c r="DM198" s="9"/>
      <c r="DN198" s="9"/>
      <c r="DO198" s="9"/>
      <c r="DP198" s="9"/>
      <c r="DQ198" s="9"/>
      <c r="DR198" s="9"/>
      <c r="DS198" s="9"/>
      <c r="DT198" s="9"/>
      <c r="DU198" s="9"/>
      <c r="DV198" s="9"/>
      <c r="DW198" s="9"/>
      <c r="DX198" s="9"/>
      <c r="DY198" s="9"/>
      <c r="DZ198" s="9"/>
      <c r="EA198" s="9"/>
      <c r="EB198" s="9"/>
      <c r="EC198" s="9"/>
      <c r="ED198" s="9"/>
      <c r="EE198" s="9"/>
      <c r="EF198" s="9"/>
      <c r="EG198" s="9"/>
      <c r="EH198" s="9"/>
      <c r="EI198" s="9"/>
      <c r="EJ198" s="9"/>
      <c r="EK198" s="9"/>
      <c r="EL198" s="9"/>
      <c r="EM198" s="9"/>
      <c r="EN198" s="9"/>
      <c r="EO198" s="9"/>
      <c r="EP198" s="9"/>
      <c r="EQ198" s="9"/>
      <c r="ER198" s="9"/>
      <c r="ES198" s="9"/>
      <c r="ET198" s="9"/>
      <c r="EU198" s="9"/>
      <c r="EV198" s="9"/>
      <c r="EW198" s="9"/>
      <c r="EX198" s="9"/>
      <c r="EY198" s="9"/>
      <c r="EZ198" s="9"/>
      <c r="FA198" s="9"/>
      <c r="FB198" s="9"/>
      <c r="FC198" s="9"/>
      <c r="FD198" s="9"/>
      <c r="FE198" s="9"/>
      <c r="FF198" s="9"/>
      <c r="FG198" s="9"/>
      <c r="FH198" s="9"/>
      <c r="FI198" s="9"/>
      <c r="FJ198" s="9"/>
      <c r="FK198" s="9"/>
      <c r="FL198" s="9"/>
      <c r="FM198" s="9"/>
      <c r="FN198" s="9"/>
      <c r="FO198" s="9"/>
      <c r="FP198" s="9"/>
      <c r="FQ198" s="9"/>
      <c r="FR198" s="9"/>
      <c r="FS198" s="9"/>
      <c r="FT198" s="9"/>
      <c r="FU198" s="9"/>
      <c r="FV198" s="9"/>
      <c r="FW198" s="9"/>
      <c r="FX198" s="9"/>
      <c r="FY198" s="9"/>
      <c r="FZ198" s="9"/>
      <c r="GA198" s="9"/>
      <c r="GB198" s="9"/>
      <c r="GC198" s="9"/>
      <c r="GD198" s="9"/>
      <c r="GE198" s="9"/>
      <c r="GF198" s="9"/>
      <c r="GG198" s="9"/>
      <c r="GH198" s="9"/>
      <c r="GI198" s="9"/>
      <c r="GJ198" s="9"/>
      <c r="GK198" s="9"/>
      <c r="GL198" s="9"/>
      <c r="GM198" s="9"/>
      <c r="GN198" s="9"/>
      <c r="GO198" s="9"/>
      <c r="GP198" s="9"/>
      <c r="GQ198" s="9"/>
      <c r="GR198" s="9"/>
      <c r="GS198" s="9"/>
      <c r="GT198" s="9"/>
      <c r="GU198" s="9"/>
      <c r="GV198" s="9"/>
      <c r="GW198" s="9"/>
      <c r="GX198" s="9"/>
      <c r="GY198" s="9"/>
      <c r="GZ198" s="9"/>
      <c r="HA198" s="9"/>
      <c r="HB198" s="9"/>
      <c r="HC198" s="9"/>
      <c r="HD198" s="9"/>
      <c r="HE198" s="9"/>
      <c r="HF198" s="9"/>
      <c r="HG198" s="9"/>
      <c r="HH198" s="9"/>
      <c r="HI198" s="9"/>
      <c r="HJ198" s="9"/>
      <c r="HK198" s="9"/>
      <c r="HL198" s="9"/>
      <c r="HM198" s="9"/>
      <c r="HN198" s="9"/>
      <c r="HO198" s="9"/>
      <c r="HP198" s="9"/>
      <c r="HQ198" s="9"/>
      <c r="HR198" s="9"/>
      <c r="HS198" s="9"/>
      <c r="HT198" s="9"/>
      <c r="HU198" s="9"/>
      <c r="HV198" s="9"/>
      <c r="HW198" s="9"/>
      <c r="HX198" s="9"/>
      <c r="HY198" s="9"/>
      <c r="HZ198" s="9"/>
      <c r="IA198" s="9"/>
      <c r="IB198" s="9"/>
      <c r="IC198" s="9"/>
      <c r="ID198" s="9"/>
      <c r="IE198" s="9"/>
      <c r="IF198" s="9"/>
      <c r="IG198" s="9"/>
      <c r="IH198" s="9"/>
      <c r="II198" s="9"/>
      <c r="IJ198" s="9"/>
      <c r="IK198" s="9"/>
      <c r="IL198" s="9"/>
      <c r="IM198" s="9"/>
      <c r="IN198" s="9"/>
      <c r="IO198" s="9"/>
      <c r="IP198" s="9"/>
      <c r="IQ198" s="9"/>
      <c r="IR198" s="9"/>
      <c r="IS198" s="9"/>
      <c r="IT198" s="9"/>
      <c r="IU198" s="9"/>
      <c r="IV198" s="9"/>
      <c r="IW198" s="9"/>
      <c r="IX198" s="9"/>
      <c r="IY198" s="9"/>
      <c r="IZ198" s="9"/>
      <c r="JA198" s="9"/>
      <c r="JB198" s="9"/>
      <c r="JC198" s="9"/>
      <c r="JD198" s="9"/>
      <c r="JE198" s="9"/>
      <c r="JF198" s="9"/>
      <c r="JG198" s="9"/>
      <c r="JH198" s="9"/>
      <c r="JI198" s="9"/>
      <c r="JJ198" s="9"/>
      <c r="JK198" s="9"/>
      <c r="JL198" s="9"/>
      <c r="JM198" s="9"/>
      <c r="JN198" s="9"/>
      <c r="JO198" s="9"/>
      <c r="JP198" s="9"/>
      <c r="JQ198" s="9"/>
      <c r="JR198" s="9"/>
      <c r="JS198" s="9"/>
      <c r="JT198" s="9"/>
      <c r="JU198" s="9"/>
      <c r="JV198" s="9"/>
      <c r="JW198" s="9"/>
      <c r="JX198" s="9"/>
      <c r="JY198" s="9"/>
      <c r="JZ198" s="9"/>
      <c r="KA198" s="9"/>
      <c r="KB198" s="9"/>
      <c r="KC198" s="9"/>
      <c r="KD198" s="9"/>
      <c r="KE198" s="9"/>
      <c r="KF198" s="9"/>
      <c r="KG198" s="9"/>
      <c r="KH198" s="9"/>
      <c r="KI198" s="9"/>
      <c r="KJ198" s="9"/>
      <c r="KK198" s="9"/>
      <c r="KL198" s="9"/>
      <c r="KM198" s="9"/>
      <c r="KN198" s="9"/>
      <c r="KO198" s="9"/>
      <c r="KP198" s="9"/>
      <c r="KQ198" s="9"/>
      <c r="KR198" s="9"/>
      <c r="KS198" s="9"/>
      <c r="KT198" s="9"/>
      <c r="KU198" s="9"/>
      <c r="KV198" s="9"/>
      <c r="KW198" s="9"/>
      <c r="KX198" s="9"/>
      <c r="KY198" s="9"/>
      <c r="KZ198" s="9"/>
      <c r="LA198" s="9"/>
      <c r="LB198" s="9"/>
      <c r="LC198" s="9"/>
      <c r="LD198" s="9"/>
      <c r="LE198" s="9"/>
      <c r="LF198" s="9"/>
      <c r="LG198" s="9"/>
      <c r="LH198" s="9"/>
      <c r="LI198" s="9"/>
      <c r="LJ198" s="9"/>
      <c r="LK198" s="9"/>
      <c r="LL198" s="9"/>
      <c r="LM198" s="9"/>
      <c r="LN198" s="9"/>
      <c r="LO198" s="9"/>
      <c r="LP198" s="9"/>
      <c r="LQ198" s="9"/>
      <c r="LR198" s="9"/>
      <c r="LS198" s="9"/>
      <c r="LT198" s="9"/>
      <c r="LU198" s="9"/>
      <c r="LV198" s="9"/>
      <c r="LW198" s="9"/>
      <c r="LX198" s="9"/>
      <c r="LY198" s="9"/>
      <c r="LZ198" s="9"/>
      <c r="MA198" s="9"/>
      <c r="MB198" s="9"/>
      <c r="MC198" s="9"/>
      <c r="MD198" s="9"/>
      <c r="ME198" s="9"/>
      <c r="MF198" s="9"/>
      <c r="MG198" s="9"/>
      <c r="MH198" s="9"/>
      <c r="MI198" s="9"/>
      <c r="MJ198" s="9"/>
      <c r="MK198" s="9"/>
      <c r="ML198" s="9"/>
      <c r="MM198" s="9"/>
      <c r="MN198" s="9"/>
      <c r="MO198" s="9"/>
      <c r="MP198" s="9"/>
      <c r="MQ198" s="9"/>
      <c r="MR198" s="9"/>
      <c r="MS198" s="9"/>
      <c r="MT198" s="9"/>
      <c r="MU198" s="9"/>
      <c r="MV198" s="9"/>
      <c r="MW198" s="9"/>
      <c r="MX198" s="9"/>
      <c r="MY198" s="9"/>
      <c r="MZ198" s="9"/>
      <c r="NA198" s="9"/>
      <c r="NB198" s="9"/>
      <c r="NC198" s="9"/>
      <c r="ND198" s="9"/>
      <c r="NE198" s="9"/>
      <c r="NF198" s="9"/>
      <c r="NG198" s="9"/>
      <c r="NH198" s="9"/>
      <c r="NI198" s="9"/>
      <c r="NJ198" s="9"/>
      <c r="NK198" s="9"/>
      <c r="NL198" s="9"/>
      <c r="NM198" s="9"/>
      <c r="NN198" s="9"/>
      <c r="NO198" s="9"/>
      <c r="NP198" s="9"/>
      <c r="NQ198" s="9"/>
      <c r="NR198" s="9"/>
      <c r="NS198" s="9"/>
      <c r="NT198" s="9"/>
      <c r="NU198" s="9"/>
      <c r="NV198" s="9"/>
      <c r="NW198" s="9"/>
      <c r="NX198" s="9"/>
      <c r="NY198" s="9"/>
      <c r="NZ198" s="9"/>
      <c r="OA198" s="9"/>
      <c r="OB198" s="9"/>
      <c r="OC198" s="9"/>
      <c r="OD198" s="9"/>
      <c r="OE198" s="9"/>
      <c r="OF198" s="9"/>
      <c r="OG198" s="9"/>
      <c r="OH198" s="9"/>
      <c r="OI198" s="9"/>
      <c r="OJ198" s="9"/>
      <c r="OK198" s="9"/>
      <c r="OL198" s="9"/>
      <c r="OM198" s="9"/>
      <c r="ON198" s="9"/>
      <c r="OO198" s="9"/>
      <c r="OP198" s="9"/>
      <c r="OQ198" s="9"/>
      <c r="OR198" s="9"/>
      <c r="OS198" s="9"/>
      <c r="OT198" s="9"/>
      <c r="OU198" s="9"/>
      <c r="OV198" s="9"/>
      <c r="OW198" s="9"/>
      <c r="OX198" s="9"/>
      <c r="OY198" s="9"/>
      <c r="OZ198" s="9"/>
      <c r="PA198" s="9"/>
      <c r="PB198" s="9"/>
      <c r="PC198" s="9"/>
      <c r="PD198" s="9"/>
      <c r="PE198" s="9"/>
      <c r="PF198" s="9"/>
      <c r="PG198" s="9"/>
      <c r="PH198" s="9"/>
      <c r="PI198" s="9"/>
      <c r="PJ198" s="9"/>
      <c r="PK198" s="9"/>
      <c r="PL198" s="9"/>
      <c r="PM198" s="9"/>
      <c r="PN198" s="9"/>
      <c r="PO198" s="9"/>
      <c r="PP198" s="9"/>
      <c r="PQ198" s="9"/>
      <c r="PR198" s="9"/>
      <c r="PS198" s="9"/>
      <c r="PT198" s="9"/>
      <c r="PU198" s="9"/>
      <c r="PV198" s="9"/>
      <c r="PW198" s="9"/>
      <c r="PX198" s="9"/>
      <c r="PY198" s="9"/>
      <c r="PZ198" s="9"/>
      <c r="QA198" s="9"/>
      <c r="QB198" s="9"/>
      <c r="QC198" s="9"/>
      <c r="QD198" s="9"/>
      <c r="QE198" s="9"/>
      <c r="QF198" s="9"/>
      <c r="QG198" s="9"/>
      <c r="QH198" s="9"/>
      <c r="QI198" s="9"/>
      <c r="QJ198" s="9"/>
      <c r="QK198" s="9"/>
      <c r="QL198" s="9"/>
      <c r="QM198" s="9"/>
      <c r="QN198" s="9"/>
      <c r="QO198" s="9"/>
      <c r="QP198" s="9"/>
      <c r="QQ198" s="9"/>
      <c r="QR198" s="9"/>
      <c r="QS198" s="9"/>
      <c r="QT198" s="9"/>
      <c r="QU198" s="9"/>
      <c r="QV198" s="9"/>
      <c r="QW198" s="9"/>
      <c r="QX198" s="9"/>
      <c r="QY198" s="9"/>
      <c r="QZ198" s="9"/>
      <c r="RA198" s="9"/>
      <c r="RB198" s="9"/>
      <c r="RC198" s="9"/>
      <c r="RD198" s="9"/>
      <c r="RE198" s="9"/>
      <c r="RF198" s="9"/>
      <c r="RG198" s="9"/>
      <c r="RH198" s="9"/>
      <c r="RI198" s="9"/>
      <c r="RJ198" s="9"/>
      <c r="RK198" s="9"/>
      <c r="RL198" s="9"/>
      <c r="RM198" s="9"/>
      <c r="RN198" s="9"/>
      <c r="RO198" s="9"/>
      <c r="RP198" s="9"/>
      <c r="RQ198" s="9"/>
      <c r="RR198" s="9"/>
      <c r="RS198" s="9"/>
      <c r="RT198" s="9"/>
      <c r="RU198" s="9"/>
      <c r="RV198" s="9"/>
      <c r="RW198" s="9"/>
      <c r="RX198" s="9"/>
      <c r="RY198" s="9"/>
      <c r="RZ198" s="9"/>
      <c r="SA198" s="9"/>
      <c r="SB198" s="9"/>
      <c r="SC198" s="9"/>
      <c r="SD198" s="9"/>
      <c r="SE198" s="9"/>
      <c r="SF198" s="9"/>
      <c r="SG198" s="9"/>
      <c r="SH198" s="9"/>
      <c r="SI198" s="9"/>
      <c r="SJ198" s="9"/>
      <c r="SK198" s="8"/>
      <c r="SL198" s="8"/>
      <c r="SM198" s="8"/>
      <c r="SN198" s="8"/>
      <c r="SO198" s="8"/>
      <c r="SP198" s="8"/>
      <c r="SQ198" s="8"/>
      <c r="SR198" s="8"/>
      <c r="SS198" s="8"/>
      <c r="ST198" s="8"/>
      <c r="SU198" s="8"/>
      <c r="SV198" s="8"/>
      <c r="SW198" s="8"/>
      <c r="SX198" s="8"/>
      <c r="SY198" s="8"/>
      <c r="SZ198" s="8"/>
      <c r="TA198" s="8"/>
      <c r="TB198" s="8"/>
      <c r="TC198" s="8"/>
      <c r="TD198" s="8"/>
      <c r="TE198" s="8"/>
      <c r="TF198" s="8"/>
      <c r="TG198" s="8"/>
      <c r="TH198" s="8"/>
      <c r="TI198" s="8"/>
      <c r="TJ198" s="8"/>
      <c r="TK198" s="8"/>
      <c r="TL198" s="8"/>
      <c r="TM198" s="8"/>
      <c r="TN198" s="8"/>
      <c r="TO198" s="8"/>
    </row>
    <row r="199" spans="1:535" x14ac:dyDescent="0.2">
      <c r="A199" s="7"/>
      <c r="B199" s="7"/>
      <c r="C199" s="9"/>
      <c r="D199" s="8"/>
      <c r="E199" s="8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  <c r="CJ199" s="9"/>
      <c r="CK199" s="9"/>
      <c r="CL199" s="9"/>
      <c r="CM199" s="9"/>
      <c r="CN199" s="9"/>
      <c r="CO199" s="9"/>
      <c r="CP199" s="9"/>
      <c r="CQ199" s="9"/>
      <c r="CR199" s="9"/>
      <c r="CS199" s="9"/>
      <c r="CT199" s="9"/>
      <c r="CU199" s="9"/>
      <c r="CV199" s="9"/>
      <c r="CW199" s="9"/>
      <c r="CX199" s="9"/>
      <c r="CY199" s="9"/>
      <c r="CZ199" s="9"/>
      <c r="DA199" s="9"/>
      <c r="DB199" s="9"/>
      <c r="DC199" s="9"/>
      <c r="DD199" s="9"/>
      <c r="DE199" s="9"/>
      <c r="DF199" s="9"/>
      <c r="DG199" s="9"/>
      <c r="DH199" s="9"/>
      <c r="DI199" s="9"/>
      <c r="DJ199" s="9"/>
      <c r="DK199" s="9"/>
      <c r="DL199" s="9"/>
      <c r="DM199" s="9"/>
      <c r="DN199" s="9"/>
      <c r="DO199" s="9"/>
      <c r="DP199" s="9"/>
      <c r="DQ199" s="9"/>
      <c r="DR199" s="9"/>
      <c r="DS199" s="9"/>
      <c r="DT199" s="9"/>
      <c r="DU199" s="9"/>
      <c r="DV199" s="9"/>
      <c r="DW199" s="9"/>
      <c r="DX199" s="9"/>
      <c r="DY199" s="9"/>
      <c r="DZ199" s="9"/>
      <c r="EA199" s="9"/>
      <c r="EB199" s="9"/>
      <c r="EC199" s="9"/>
      <c r="ED199" s="9"/>
      <c r="EE199" s="9"/>
      <c r="EF199" s="9"/>
      <c r="EG199" s="9"/>
      <c r="EH199" s="9"/>
      <c r="EI199" s="9"/>
      <c r="EJ199" s="9"/>
      <c r="EK199" s="9"/>
      <c r="EL199" s="9"/>
      <c r="EM199" s="9"/>
      <c r="EN199" s="9"/>
      <c r="EO199" s="9"/>
      <c r="EP199" s="9"/>
      <c r="EQ199" s="9"/>
      <c r="ER199" s="9"/>
      <c r="ES199" s="9"/>
      <c r="ET199" s="9"/>
      <c r="EU199" s="9"/>
      <c r="EV199" s="9"/>
      <c r="EW199" s="9"/>
      <c r="EX199" s="9"/>
      <c r="EY199" s="9"/>
      <c r="EZ199" s="9"/>
      <c r="FA199" s="9"/>
      <c r="FB199" s="9"/>
      <c r="FC199" s="9"/>
      <c r="FD199" s="9"/>
      <c r="FE199" s="9"/>
      <c r="FF199" s="9"/>
      <c r="FG199" s="9"/>
      <c r="FH199" s="9"/>
      <c r="FI199" s="9"/>
      <c r="FJ199" s="9"/>
      <c r="FK199" s="9"/>
      <c r="FL199" s="9"/>
      <c r="FM199" s="9"/>
      <c r="FN199" s="9"/>
      <c r="FO199" s="9"/>
      <c r="FP199" s="9"/>
      <c r="FQ199" s="9"/>
      <c r="FR199" s="9"/>
      <c r="FS199" s="9"/>
      <c r="FT199" s="9"/>
      <c r="FU199" s="9"/>
      <c r="FV199" s="9"/>
      <c r="FW199" s="9"/>
      <c r="FX199" s="9"/>
      <c r="FY199" s="9"/>
      <c r="FZ199" s="9"/>
      <c r="GA199" s="9"/>
      <c r="GB199" s="9"/>
      <c r="GC199" s="9"/>
      <c r="GD199" s="9"/>
      <c r="GE199" s="9"/>
      <c r="GF199" s="9"/>
      <c r="GG199" s="9"/>
      <c r="GH199" s="9"/>
      <c r="GI199" s="9"/>
      <c r="GJ199" s="9"/>
      <c r="GK199" s="9"/>
      <c r="GL199" s="9"/>
      <c r="GM199" s="9"/>
      <c r="GN199" s="9"/>
      <c r="GO199" s="9"/>
      <c r="GP199" s="9"/>
      <c r="GQ199" s="9"/>
      <c r="GR199" s="9"/>
      <c r="GS199" s="9"/>
      <c r="GT199" s="9"/>
      <c r="GU199" s="9"/>
      <c r="GV199" s="9"/>
      <c r="GW199" s="9"/>
      <c r="GX199" s="9"/>
      <c r="GY199" s="9"/>
      <c r="GZ199" s="9"/>
      <c r="HA199" s="9"/>
      <c r="HB199" s="9"/>
      <c r="HC199" s="9"/>
      <c r="HD199" s="9"/>
      <c r="HE199" s="9"/>
      <c r="HF199" s="9"/>
      <c r="HG199" s="9"/>
      <c r="HH199" s="9"/>
      <c r="HI199" s="9"/>
      <c r="HJ199" s="9"/>
      <c r="HK199" s="9"/>
      <c r="HL199" s="9"/>
      <c r="HM199" s="9"/>
      <c r="HN199" s="9"/>
      <c r="HO199" s="9"/>
      <c r="HP199" s="9"/>
      <c r="HQ199" s="9"/>
      <c r="HR199" s="9"/>
      <c r="HS199" s="9"/>
      <c r="HT199" s="9"/>
      <c r="HU199" s="9"/>
      <c r="HV199" s="9"/>
      <c r="HW199" s="9"/>
      <c r="HX199" s="9"/>
      <c r="HY199" s="9"/>
      <c r="HZ199" s="9"/>
      <c r="IA199" s="9"/>
      <c r="IB199" s="9"/>
      <c r="IC199" s="9"/>
      <c r="ID199" s="9"/>
      <c r="IE199" s="9"/>
      <c r="IF199" s="9"/>
      <c r="IG199" s="9"/>
      <c r="IH199" s="9"/>
      <c r="II199" s="9"/>
      <c r="IJ199" s="9"/>
      <c r="IK199" s="9"/>
      <c r="IL199" s="9"/>
      <c r="IM199" s="9"/>
      <c r="IN199" s="9"/>
      <c r="IO199" s="9"/>
      <c r="IP199" s="9"/>
      <c r="IQ199" s="9"/>
      <c r="IR199" s="9"/>
      <c r="IS199" s="9"/>
      <c r="IT199" s="9"/>
      <c r="IU199" s="9"/>
      <c r="IV199" s="9"/>
      <c r="IW199" s="9"/>
      <c r="IX199" s="9"/>
      <c r="IY199" s="9"/>
      <c r="IZ199" s="9"/>
      <c r="JA199" s="9"/>
      <c r="JB199" s="9"/>
      <c r="JC199" s="9"/>
      <c r="JD199" s="9"/>
      <c r="JE199" s="9"/>
      <c r="JF199" s="9"/>
      <c r="JG199" s="9"/>
      <c r="JH199" s="9"/>
      <c r="JI199" s="9"/>
      <c r="JJ199" s="9"/>
      <c r="JK199" s="9"/>
      <c r="JL199" s="9"/>
      <c r="JM199" s="9"/>
      <c r="JN199" s="9"/>
      <c r="JO199" s="9"/>
      <c r="JP199" s="9"/>
      <c r="JQ199" s="9"/>
      <c r="JR199" s="9"/>
      <c r="JS199" s="9"/>
      <c r="JT199" s="9"/>
      <c r="JU199" s="9"/>
      <c r="JV199" s="9"/>
      <c r="JW199" s="9"/>
      <c r="JX199" s="9"/>
      <c r="JY199" s="9"/>
      <c r="JZ199" s="9"/>
      <c r="KA199" s="9"/>
      <c r="KB199" s="9"/>
      <c r="KC199" s="9"/>
      <c r="KD199" s="9"/>
      <c r="KE199" s="9"/>
      <c r="KF199" s="9"/>
      <c r="KG199" s="9"/>
      <c r="KH199" s="9"/>
      <c r="KI199" s="9"/>
      <c r="KJ199" s="9"/>
      <c r="KK199" s="9"/>
      <c r="KL199" s="9"/>
      <c r="KM199" s="9"/>
      <c r="KN199" s="9"/>
      <c r="KO199" s="9"/>
      <c r="KP199" s="9"/>
      <c r="KQ199" s="9"/>
      <c r="KR199" s="9"/>
      <c r="KS199" s="9"/>
      <c r="KT199" s="9"/>
      <c r="KU199" s="9"/>
      <c r="KV199" s="9"/>
      <c r="KW199" s="9"/>
      <c r="KX199" s="9"/>
      <c r="KY199" s="9"/>
      <c r="KZ199" s="9"/>
      <c r="LA199" s="9"/>
      <c r="LB199" s="9"/>
      <c r="LC199" s="9"/>
      <c r="LD199" s="9"/>
      <c r="LE199" s="9"/>
      <c r="LF199" s="9"/>
      <c r="LG199" s="9"/>
      <c r="LH199" s="9"/>
      <c r="LI199" s="9"/>
      <c r="LJ199" s="9"/>
      <c r="LK199" s="9"/>
      <c r="LL199" s="9"/>
      <c r="LM199" s="9"/>
      <c r="LN199" s="9"/>
      <c r="LO199" s="9"/>
      <c r="LP199" s="9"/>
      <c r="LQ199" s="9"/>
      <c r="LR199" s="9"/>
      <c r="LS199" s="9"/>
      <c r="LT199" s="9"/>
      <c r="LU199" s="9"/>
      <c r="LV199" s="9"/>
      <c r="LW199" s="9"/>
      <c r="LX199" s="9"/>
      <c r="LY199" s="9"/>
      <c r="LZ199" s="9"/>
      <c r="MA199" s="9"/>
      <c r="MB199" s="9"/>
      <c r="MC199" s="9"/>
      <c r="MD199" s="9"/>
      <c r="ME199" s="9"/>
      <c r="MF199" s="9"/>
      <c r="MG199" s="9"/>
      <c r="MH199" s="9"/>
      <c r="MI199" s="9"/>
      <c r="MJ199" s="9"/>
      <c r="MK199" s="9"/>
      <c r="ML199" s="9"/>
      <c r="MM199" s="9"/>
      <c r="MN199" s="9"/>
      <c r="MO199" s="9"/>
      <c r="MP199" s="9"/>
      <c r="MQ199" s="9"/>
      <c r="MR199" s="9"/>
      <c r="MS199" s="9"/>
      <c r="MT199" s="9"/>
      <c r="MU199" s="9"/>
      <c r="MV199" s="9"/>
      <c r="MW199" s="9"/>
      <c r="MX199" s="9"/>
      <c r="MY199" s="9"/>
      <c r="MZ199" s="9"/>
      <c r="NA199" s="9"/>
      <c r="NB199" s="9"/>
      <c r="NC199" s="9"/>
      <c r="ND199" s="9"/>
      <c r="NE199" s="9"/>
      <c r="NF199" s="9"/>
      <c r="NG199" s="9"/>
      <c r="NH199" s="9"/>
      <c r="NI199" s="9"/>
      <c r="NJ199" s="9"/>
      <c r="NK199" s="9"/>
      <c r="NL199" s="9"/>
      <c r="NM199" s="9"/>
      <c r="NN199" s="9"/>
      <c r="NO199" s="9"/>
      <c r="NP199" s="9"/>
      <c r="NQ199" s="9"/>
      <c r="NR199" s="9"/>
      <c r="NS199" s="9"/>
      <c r="NT199" s="9"/>
      <c r="NU199" s="9"/>
      <c r="NV199" s="9"/>
      <c r="NW199" s="9"/>
      <c r="NX199" s="9"/>
      <c r="NY199" s="9"/>
      <c r="NZ199" s="9"/>
      <c r="OA199" s="9"/>
      <c r="OB199" s="9"/>
      <c r="OC199" s="9"/>
      <c r="OD199" s="9"/>
      <c r="OE199" s="9"/>
      <c r="OF199" s="9"/>
      <c r="OG199" s="9"/>
      <c r="OH199" s="9"/>
      <c r="OI199" s="9"/>
      <c r="OJ199" s="9"/>
      <c r="OK199" s="9"/>
      <c r="OL199" s="9"/>
      <c r="OM199" s="9"/>
      <c r="ON199" s="9"/>
      <c r="OO199" s="9"/>
      <c r="OP199" s="9"/>
      <c r="OQ199" s="9"/>
      <c r="OR199" s="9"/>
      <c r="OS199" s="9"/>
      <c r="OT199" s="9"/>
      <c r="OU199" s="9"/>
      <c r="OV199" s="9"/>
      <c r="OW199" s="9"/>
      <c r="OX199" s="9"/>
      <c r="OY199" s="9"/>
      <c r="OZ199" s="9"/>
      <c r="PA199" s="9"/>
      <c r="PB199" s="9"/>
      <c r="PC199" s="9"/>
      <c r="PD199" s="9"/>
      <c r="PE199" s="9"/>
      <c r="PF199" s="9"/>
      <c r="PG199" s="9"/>
      <c r="PH199" s="9"/>
      <c r="PI199" s="9"/>
      <c r="PJ199" s="9"/>
      <c r="PK199" s="9"/>
      <c r="PL199" s="9"/>
      <c r="PM199" s="9"/>
      <c r="PN199" s="9"/>
      <c r="PO199" s="9"/>
      <c r="PP199" s="9"/>
      <c r="PQ199" s="9"/>
      <c r="PR199" s="9"/>
      <c r="PS199" s="9"/>
      <c r="PT199" s="9"/>
      <c r="PU199" s="9"/>
      <c r="PV199" s="9"/>
      <c r="PW199" s="9"/>
      <c r="PX199" s="9"/>
      <c r="PY199" s="9"/>
      <c r="PZ199" s="9"/>
      <c r="QA199" s="9"/>
      <c r="QB199" s="9"/>
      <c r="QC199" s="9"/>
      <c r="QD199" s="9"/>
      <c r="QE199" s="9"/>
      <c r="QF199" s="9"/>
      <c r="QG199" s="9"/>
      <c r="QH199" s="9"/>
      <c r="QI199" s="9"/>
      <c r="QJ199" s="9"/>
      <c r="QK199" s="9"/>
      <c r="QL199" s="9"/>
      <c r="QM199" s="9"/>
      <c r="QN199" s="9"/>
      <c r="QO199" s="9"/>
      <c r="QP199" s="9"/>
      <c r="QQ199" s="9"/>
      <c r="QR199" s="9"/>
      <c r="QS199" s="9"/>
      <c r="QT199" s="9"/>
      <c r="QU199" s="9"/>
      <c r="QV199" s="9"/>
      <c r="QW199" s="9"/>
      <c r="QX199" s="9"/>
      <c r="QY199" s="9"/>
      <c r="QZ199" s="9"/>
      <c r="RA199" s="9"/>
      <c r="RB199" s="9"/>
      <c r="RC199" s="9"/>
      <c r="RD199" s="9"/>
      <c r="RE199" s="9"/>
      <c r="RF199" s="9"/>
      <c r="RG199" s="9"/>
      <c r="RH199" s="9"/>
      <c r="RI199" s="9"/>
      <c r="RJ199" s="9"/>
      <c r="RK199" s="9"/>
      <c r="RL199" s="9"/>
      <c r="RM199" s="9"/>
      <c r="RN199" s="9"/>
      <c r="RO199" s="9"/>
      <c r="RP199" s="9"/>
      <c r="RQ199" s="9"/>
      <c r="RR199" s="9"/>
      <c r="RS199" s="9"/>
      <c r="RT199" s="9"/>
      <c r="RU199" s="9"/>
      <c r="RV199" s="9"/>
      <c r="RW199" s="9"/>
      <c r="RX199" s="9"/>
      <c r="RY199" s="9"/>
      <c r="RZ199" s="9"/>
      <c r="SA199" s="9"/>
      <c r="SB199" s="9"/>
      <c r="SC199" s="9"/>
      <c r="SD199" s="9"/>
      <c r="SE199" s="9"/>
      <c r="SF199" s="9"/>
      <c r="SG199" s="9"/>
      <c r="SH199" s="9"/>
      <c r="SI199" s="9"/>
      <c r="SJ199" s="9"/>
      <c r="SK199" s="8"/>
      <c r="SL199" s="8"/>
      <c r="SM199" s="8"/>
      <c r="SN199" s="8"/>
      <c r="SO199" s="8"/>
      <c r="SP199" s="8"/>
      <c r="SQ199" s="8"/>
      <c r="SR199" s="8"/>
      <c r="SS199" s="8"/>
      <c r="ST199" s="8"/>
      <c r="SU199" s="8"/>
      <c r="SV199" s="8"/>
      <c r="SW199" s="8"/>
      <c r="SX199" s="8"/>
      <c r="SY199" s="8"/>
      <c r="SZ199" s="8"/>
      <c r="TA199" s="8"/>
      <c r="TB199" s="8"/>
      <c r="TC199" s="8"/>
      <c r="TD199" s="8"/>
      <c r="TE199" s="8"/>
      <c r="TF199" s="8"/>
      <c r="TG199" s="8"/>
      <c r="TH199" s="8"/>
      <c r="TI199" s="8"/>
      <c r="TJ199" s="8"/>
      <c r="TK199" s="8"/>
      <c r="TL199" s="8"/>
      <c r="TM199" s="8"/>
      <c r="TN199" s="8"/>
      <c r="TO199" s="8"/>
    </row>
    <row r="200" spans="1:535" x14ac:dyDescent="0.2">
      <c r="A200" s="7"/>
      <c r="B200" s="7"/>
      <c r="C200" s="9"/>
      <c r="D200" s="8"/>
      <c r="E200" s="8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9"/>
      <c r="CK200" s="9"/>
      <c r="CL200" s="9"/>
      <c r="CM200" s="9"/>
      <c r="CN200" s="9"/>
      <c r="CO200" s="9"/>
      <c r="CP200" s="9"/>
      <c r="CQ200" s="9"/>
      <c r="CR200" s="9"/>
      <c r="CS200" s="9"/>
      <c r="CT200" s="9"/>
      <c r="CU200" s="9"/>
      <c r="CV200" s="9"/>
      <c r="CW200" s="9"/>
      <c r="CX200" s="9"/>
      <c r="CY200" s="9"/>
      <c r="CZ200" s="9"/>
      <c r="DA200" s="9"/>
      <c r="DB200" s="9"/>
      <c r="DC200" s="9"/>
      <c r="DD200" s="9"/>
      <c r="DE200" s="9"/>
      <c r="DF200" s="9"/>
      <c r="DG200" s="9"/>
      <c r="DH200" s="9"/>
      <c r="DI200" s="9"/>
      <c r="DJ200" s="9"/>
      <c r="DK200" s="9"/>
      <c r="DL200" s="9"/>
      <c r="DM200" s="9"/>
      <c r="DN200" s="9"/>
      <c r="DO200" s="9"/>
      <c r="DP200" s="9"/>
      <c r="DQ200" s="9"/>
      <c r="DR200" s="9"/>
      <c r="DS200" s="9"/>
      <c r="DT200" s="9"/>
      <c r="DU200" s="9"/>
      <c r="DV200" s="9"/>
      <c r="DW200" s="9"/>
      <c r="DX200" s="9"/>
      <c r="DY200" s="9"/>
      <c r="DZ200" s="9"/>
      <c r="EA200" s="9"/>
      <c r="EB200" s="9"/>
      <c r="EC200" s="9"/>
      <c r="ED200" s="9"/>
      <c r="EE200" s="9"/>
      <c r="EF200" s="9"/>
      <c r="EG200" s="9"/>
      <c r="EH200" s="9"/>
      <c r="EI200" s="9"/>
      <c r="EJ200" s="9"/>
      <c r="EK200" s="9"/>
      <c r="EL200" s="9"/>
      <c r="EM200" s="9"/>
      <c r="EN200" s="9"/>
      <c r="EO200" s="9"/>
      <c r="EP200" s="9"/>
      <c r="EQ200" s="9"/>
      <c r="ER200" s="9"/>
      <c r="ES200" s="9"/>
      <c r="ET200" s="9"/>
      <c r="EU200" s="9"/>
      <c r="EV200" s="9"/>
      <c r="EW200" s="9"/>
      <c r="EX200" s="9"/>
      <c r="EY200" s="9"/>
      <c r="EZ200" s="9"/>
      <c r="FA200" s="9"/>
      <c r="FB200" s="9"/>
      <c r="FC200" s="9"/>
      <c r="FD200" s="9"/>
      <c r="FE200" s="9"/>
      <c r="FF200" s="9"/>
      <c r="FG200" s="9"/>
      <c r="FH200" s="9"/>
      <c r="FI200" s="9"/>
      <c r="FJ200" s="9"/>
      <c r="FK200" s="9"/>
      <c r="FL200" s="9"/>
      <c r="FM200" s="9"/>
      <c r="FN200" s="9"/>
      <c r="FO200" s="9"/>
      <c r="FP200" s="9"/>
      <c r="FQ200" s="9"/>
      <c r="FR200" s="9"/>
      <c r="FS200" s="9"/>
      <c r="FT200" s="9"/>
      <c r="FU200" s="9"/>
      <c r="FV200" s="9"/>
      <c r="FW200" s="9"/>
      <c r="FX200" s="9"/>
      <c r="FY200" s="9"/>
      <c r="FZ200" s="9"/>
      <c r="GA200" s="9"/>
      <c r="GB200" s="9"/>
      <c r="GC200" s="9"/>
      <c r="GD200" s="9"/>
      <c r="GE200" s="9"/>
      <c r="GF200" s="9"/>
      <c r="GG200" s="9"/>
      <c r="GH200" s="9"/>
      <c r="GI200" s="9"/>
      <c r="GJ200" s="9"/>
      <c r="GK200" s="9"/>
      <c r="GL200" s="9"/>
      <c r="GM200" s="9"/>
      <c r="GN200" s="9"/>
      <c r="GO200" s="9"/>
      <c r="GP200" s="9"/>
      <c r="GQ200" s="9"/>
      <c r="GR200" s="9"/>
      <c r="GS200" s="9"/>
      <c r="GT200" s="9"/>
      <c r="GU200" s="9"/>
      <c r="GV200" s="9"/>
      <c r="GW200" s="9"/>
      <c r="GX200" s="9"/>
      <c r="GY200" s="9"/>
      <c r="GZ200" s="9"/>
      <c r="HA200" s="9"/>
      <c r="HB200" s="9"/>
      <c r="HC200" s="9"/>
      <c r="HD200" s="9"/>
      <c r="HE200" s="9"/>
      <c r="HF200" s="9"/>
      <c r="HG200" s="9"/>
      <c r="HH200" s="9"/>
      <c r="HI200" s="9"/>
      <c r="HJ200" s="9"/>
      <c r="HK200" s="9"/>
      <c r="HL200" s="9"/>
      <c r="HM200" s="9"/>
      <c r="HN200" s="9"/>
      <c r="HO200" s="9"/>
      <c r="HP200" s="9"/>
      <c r="HQ200" s="9"/>
      <c r="HR200" s="9"/>
      <c r="HS200" s="9"/>
      <c r="HT200" s="9"/>
      <c r="HU200" s="9"/>
      <c r="HV200" s="9"/>
      <c r="HW200" s="9"/>
      <c r="HX200" s="9"/>
      <c r="HY200" s="9"/>
      <c r="HZ200" s="9"/>
      <c r="IA200" s="9"/>
      <c r="IB200" s="9"/>
      <c r="IC200" s="9"/>
      <c r="ID200" s="9"/>
      <c r="IE200" s="9"/>
      <c r="IF200" s="9"/>
      <c r="IG200" s="9"/>
      <c r="IH200" s="9"/>
      <c r="II200" s="9"/>
      <c r="IJ200" s="9"/>
      <c r="IK200" s="9"/>
      <c r="IL200" s="9"/>
      <c r="IM200" s="9"/>
      <c r="IN200" s="9"/>
      <c r="IO200" s="9"/>
      <c r="IP200" s="9"/>
      <c r="IQ200" s="9"/>
      <c r="IR200" s="9"/>
      <c r="IS200" s="9"/>
      <c r="IT200" s="9"/>
      <c r="IU200" s="9"/>
      <c r="IV200" s="9"/>
      <c r="IW200" s="9"/>
      <c r="IX200" s="9"/>
      <c r="IY200" s="9"/>
      <c r="IZ200" s="9"/>
      <c r="JA200" s="9"/>
      <c r="JB200" s="9"/>
      <c r="JC200" s="9"/>
      <c r="JD200" s="9"/>
      <c r="JE200" s="9"/>
      <c r="JF200" s="9"/>
      <c r="JG200" s="9"/>
      <c r="JH200" s="9"/>
      <c r="JI200" s="9"/>
      <c r="JJ200" s="9"/>
      <c r="JK200" s="9"/>
      <c r="JL200" s="9"/>
      <c r="JM200" s="9"/>
      <c r="JN200" s="9"/>
      <c r="JO200" s="9"/>
      <c r="JP200" s="9"/>
      <c r="JQ200" s="9"/>
      <c r="JR200" s="9"/>
      <c r="JS200" s="9"/>
      <c r="JT200" s="9"/>
      <c r="JU200" s="9"/>
      <c r="JV200" s="9"/>
      <c r="JW200" s="9"/>
      <c r="JX200" s="9"/>
      <c r="JY200" s="9"/>
      <c r="JZ200" s="9"/>
      <c r="KA200" s="9"/>
      <c r="KB200" s="9"/>
      <c r="KC200" s="9"/>
      <c r="KD200" s="9"/>
      <c r="KE200" s="9"/>
      <c r="KF200" s="9"/>
      <c r="KG200" s="9"/>
      <c r="KH200" s="9"/>
      <c r="KI200" s="9"/>
      <c r="KJ200" s="9"/>
      <c r="KK200" s="9"/>
      <c r="KL200" s="9"/>
      <c r="KM200" s="9"/>
      <c r="KN200" s="9"/>
      <c r="KO200" s="9"/>
      <c r="KP200" s="9"/>
      <c r="KQ200" s="9"/>
      <c r="KR200" s="9"/>
      <c r="KS200" s="9"/>
      <c r="KT200" s="9"/>
      <c r="KU200" s="9"/>
      <c r="KV200" s="9"/>
      <c r="KW200" s="9"/>
      <c r="KX200" s="9"/>
      <c r="KY200" s="9"/>
      <c r="KZ200" s="9"/>
      <c r="LA200" s="9"/>
      <c r="LB200" s="9"/>
      <c r="LC200" s="9"/>
      <c r="LD200" s="9"/>
      <c r="LE200" s="9"/>
      <c r="LF200" s="9"/>
      <c r="LG200" s="9"/>
      <c r="LH200" s="9"/>
      <c r="LI200" s="9"/>
      <c r="LJ200" s="9"/>
      <c r="LK200" s="9"/>
      <c r="LL200" s="9"/>
      <c r="LM200" s="9"/>
      <c r="LN200" s="9"/>
      <c r="LO200" s="9"/>
      <c r="LP200" s="9"/>
      <c r="LQ200" s="9"/>
      <c r="LR200" s="9"/>
      <c r="LS200" s="9"/>
      <c r="LT200" s="9"/>
      <c r="LU200" s="9"/>
      <c r="LV200" s="9"/>
      <c r="LW200" s="9"/>
      <c r="LX200" s="9"/>
      <c r="LY200" s="9"/>
      <c r="LZ200" s="9"/>
      <c r="MA200" s="9"/>
      <c r="MB200" s="9"/>
      <c r="MC200" s="9"/>
      <c r="MD200" s="9"/>
      <c r="ME200" s="9"/>
      <c r="MF200" s="9"/>
      <c r="MG200" s="9"/>
      <c r="MH200" s="9"/>
      <c r="MI200" s="9"/>
      <c r="MJ200" s="9"/>
      <c r="MK200" s="9"/>
      <c r="ML200" s="9"/>
      <c r="MM200" s="9"/>
      <c r="MN200" s="9"/>
      <c r="MO200" s="9"/>
      <c r="MP200" s="9"/>
      <c r="MQ200" s="9"/>
      <c r="MR200" s="9"/>
      <c r="MS200" s="9"/>
      <c r="MT200" s="9"/>
      <c r="MU200" s="9"/>
      <c r="MV200" s="9"/>
      <c r="MW200" s="9"/>
      <c r="MX200" s="9"/>
      <c r="MY200" s="9"/>
      <c r="MZ200" s="9"/>
      <c r="NA200" s="9"/>
      <c r="NB200" s="9"/>
      <c r="NC200" s="9"/>
      <c r="ND200" s="9"/>
      <c r="NE200" s="9"/>
      <c r="NF200" s="9"/>
      <c r="NG200" s="9"/>
      <c r="NH200" s="9"/>
      <c r="NI200" s="9"/>
      <c r="NJ200" s="9"/>
      <c r="NK200" s="9"/>
      <c r="NL200" s="9"/>
      <c r="NM200" s="9"/>
      <c r="NN200" s="9"/>
      <c r="NO200" s="9"/>
      <c r="NP200" s="9"/>
      <c r="NQ200" s="9"/>
      <c r="NR200" s="9"/>
      <c r="NS200" s="9"/>
      <c r="NT200" s="9"/>
      <c r="NU200" s="9"/>
      <c r="NV200" s="9"/>
      <c r="NW200" s="9"/>
      <c r="NX200" s="9"/>
      <c r="NY200" s="9"/>
      <c r="NZ200" s="9"/>
      <c r="OA200" s="9"/>
      <c r="OB200" s="9"/>
      <c r="OC200" s="9"/>
      <c r="OD200" s="9"/>
      <c r="OE200" s="9"/>
      <c r="OF200" s="9"/>
      <c r="OG200" s="9"/>
      <c r="OH200" s="9"/>
      <c r="OI200" s="9"/>
      <c r="OJ200" s="9"/>
      <c r="OK200" s="9"/>
      <c r="OL200" s="9"/>
      <c r="OM200" s="9"/>
      <c r="ON200" s="9"/>
      <c r="OO200" s="9"/>
      <c r="OP200" s="9"/>
      <c r="OQ200" s="9"/>
      <c r="OR200" s="9"/>
      <c r="OS200" s="9"/>
      <c r="OT200" s="9"/>
      <c r="OU200" s="9"/>
      <c r="OV200" s="9"/>
      <c r="OW200" s="9"/>
      <c r="OX200" s="9"/>
      <c r="OY200" s="9"/>
      <c r="OZ200" s="9"/>
      <c r="PA200" s="9"/>
      <c r="PB200" s="9"/>
      <c r="PC200" s="9"/>
      <c r="PD200" s="9"/>
      <c r="PE200" s="9"/>
      <c r="PF200" s="9"/>
      <c r="PG200" s="9"/>
      <c r="PH200" s="9"/>
      <c r="PI200" s="9"/>
      <c r="PJ200" s="9"/>
      <c r="PK200" s="9"/>
      <c r="PL200" s="9"/>
      <c r="PM200" s="9"/>
      <c r="PN200" s="9"/>
      <c r="PO200" s="9"/>
      <c r="PP200" s="9"/>
      <c r="PQ200" s="9"/>
      <c r="PR200" s="9"/>
      <c r="PS200" s="9"/>
      <c r="PT200" s="9"/>
      <c r="PU200" s="9"/>
      <c r="PV200" s="9"/>
      <c r="PW200" s="9"/>
      <c r="PX200" s="9"/>
      <c r="PY200" s="9"/>
      <c r="PZ200" s="9"/>
      <c r="QA200" s="9"/>
      <c r="QB200" s="9"/>
      <c r="QC200" s="9"/>
      <c r="QD200" s="9"/>
      <c r="QE200" s="9"/>
      <c r="QF200" s="9"/>
      <c r="QG200" s="9"/>
      <c r="QH200" s="9"/>
      <c r="QI200" s="9"/>
      <c r="QJ200" s="9"/>
      <c r="QK200" s="9"/>
      <c r="QL200" s="9"/>
      <c r="QM200" s="9"/>
      <c r="QN200" s="9"/>
      <c r="QO200" s="9"/>
      <c r="QP200" s="9"/>
      <c r="QQ200" s="9"/>
      <c r="QR200" s="9"/>
      <c r="QS200" s="9"/>
      <c r="QT200" s="9"/>
      <c r="QU200" s="9"/>
      <c r="QV200" s="9"/>
      <c r="QW200" s="9"/>
      <c r="QX200" s="9"/>
      <c r="QY200" s="9"/>
      <c r="QZ200" s="9"/>
      <c r="RA200" s="9"/>
      <c r="RB200" s="9"/>
      <c r="RC200" s="9"/>
      <c r="RD200" s="9"/>
      <c r="RE200" s="9"/>
      <c r="RF200" s="9"/>
      <c r="RG200" s="9"/>
      <c r="RH200" s="9"/>
      <c r="RI200" s="9"/>
      <c r="RJ200" s="9"/>
      <c r="RK200" s="9"/>
      <c r="RL200" s="9"/>
      <c r="RM200" s="9"/>
      <c r="RN200" s="9"/>
      <c r="RO200" s="9"/>
      <c r="RP200" s="9"/>
      <c r="RQ200" s="9"/>
      <c r="RR200" s="9"/>
      <c r="RS200" s="9"/>
      <c r="RT200" s="9"/>
      <c r="RU200" s="9"/>
      <c r="RV200" s="9"/>
      <c r="RW200" s="9"/>
      <c r="RX200" s="9"/>
      <c r="RY200" s="9"/>
      <c r="RZ200" s="9"/>
      <c r="SA200" s="9"/>
      <c r="SB200" s="9"/>
      <c r="SC200" s="9"/>
      <c r="SD200" s="9"/>
      <c r="SE200" s="9"/>
      <c r="SF200" s="9"/>
      <c r="SG200" s="9"/>
      <c r="SH200" s="9"/>
      <c r="SI200" s="9"/>
      <c r="SJ200" s="9"/>
      <c r="SK200" s="8"/>
      <c r="SL200" s="8"/>
      <c r="SM200" s="8"/>
      <c r="SN200" s="8"/>
      <c r="SO200" s="8"/>
      <c r="SP200" s="8"/>
      <c r="SQ200" s="8"/>
      <c r="SR200" s="8"/>
      <c r="SS200" s="8"/>
      <c r="ST200" s="8"/>
      <c r="SU200" s="8"/>
      <c r="SV200" s="8"/>
      <c r="SW200" s="8"/>
      <c r="SX200" s="8"/>
      <c r="SY200" s="8"/>
      <c r="SZ200" s="8"/>
      <c r="TA200" s="8"/>
      <c r="TB200" s="8"/>
      <c r="TC200" s="8"/>
      <c r="TD200" s="8"/>
      <c r="TE200" s="8"/>
      <c r="TF200" s="8"/>
      <c r="TG200" s="8"/>
      <c r="TH200" s="8"/>
      <c r="TI200" s="8"/>
      <c r="TJ200" s="8"/>
      <c r="TK200" s="8"/>
      <c r="TL200" s="8"/>
      <c r="TM200" s="8"/>
      <c r="TN200" s="8"/>
      <c r="TO200" s="8"/>
    </row>
    <row r="201" spans="1:535" x14ac:dyDescent="0.2">
      <c r="A201" s="7"/>
      <c r="B201" s="7"/>
      <c r="C201" s="9"/>
      <c r="D201" s="8"/>
      <c r="E201" s="8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9"/>
      <c r="CE201" s="9"/>
      <c r="CF201" s="9"/>
      <c r="CG201" s="9"/>
      <c r="CH201" s="9"/>
      <c r="CI201" s="9"/>
      <c r="CJ201" s="9"/>
      <c r="CK201" s="9"/>
      <c r="CL201" s="9"/>
      <c r="CM201" s="9"/>
      <c r="CN201" s="9"/>
      <c r="CO201" s="9"/>
      <c r="CP201" s="9"/>
      <c r="CQ201" s="9"/>
      <c r="CR201" s="9"/>
      <c r="CS201" s="9"/>
      <c r="CT201" s="9"/>
      <c r="CU201" s="9"/>
      <c r="CV201" s="9"/>
      <c r="CW201" s="9"/>
      <c r="CX201" s="9"/>
      <c r="CY201" s="9"/>
      <c r="CZ201" s="9"/>
      <c r="DA201" s="9"/>
      <c r="DB201" s="9"/>
      <c r="DC201" s="9"/>
      <c r="DD201" s="9"/>
      <c r="DE201" s="9"/>
      <c r="DF201" s="9"/>
      <c r="DG201" s="9"/>
      <c r="DH201" s="9"/>
      <c r="DI201" s="9"/>
      <c r="DJ201" s="9"/>
      <c r="DK201" s="9"/>
      <c r="DL201" s="9"/>
      <c r="DM201" s="9"/>
      <c r="DN201" s="9"/>
      <c r="DO201" s="9"/>
      <c r="DP201" s="9"/>
      <c r="DQ201" s="9"/>
      <c r="DR201" s="9"/>
      <c r="DS201" s="9"/>
      <c r="DT201" s="9"/>
      <c r="DU201" s="9"/>
      <c r="DV201" s="9"/>
      <c r="DW201" s="9"/>
      <c r="DX201" s="9"/>
      <c r="DY201" s="9"/>
      <c r="DZ201" s="9"/>
      <c r="EA201" s="9"/>
      <c r="EB201" s="9"/>
      <c r="EC201" s="9"/>
      <c r="ED201" s="9"/>
      <c r="EE201" s="9"/>
      <c r="EF201" s="9"/>
      <c r="EG201" s="9"/>
      <c r="EH201" s="9"/>
      <c r="EI201" s="9"/>
      <c r="EJ201" s="9"/>
      <c r="EK201" s="9"/>
      <c r="EL201" s="9"/>
      <c r="EM201" s="9"/>
      <c r="EN201" s="9"/>
      <c r="EO201" s="9"/>
      <c r="EP201" s="9"/>
      <c r="EQ201" s="9"/>
      <c r="ER201" s="9"/>
      <c r="ES201" s="9"/>
      <c r="ET201" s="9"/>
      <c r="EU201" s="9"/>
      <c r="EV201" s="9"/>
      <c r="EW201" s="9"/>
      <c r="EX201" s="9"/>
      <c r="EY201" s="9"/>
      <c r="EZ201" s="9"/>
      <c r="FA201" s="9"/>
      <c r="FB201" s="9"/>
      <c r="FC201" s="9"/>
      <c r="FD201" s="9"/>
      <c r="FE201" s="9"/>
      <c r="FF201" s="9"/>
      <c r="FG201" s="9"/>
      <c r="FH201" s="9"/>
      <c r="FI201" s="9"/>
      <c r="FJ201" s="9"/>
      <c r="FK201" s="9"/>
      <c r="FL201" s="9"/>
      <c r="FM201" s="9"/>
      <c r="FN201" s="9"/>
      <c r="FO201" s="9"/>
      <c r="FP201" s="9"/>
      <c r="FQ201" s="9"/>
      <c r="FR201" s="9"/>
      <c r="FS201" s="9"/>
      <c r="FT201" s="9"/>
      <c r="FU201" s="9"/>
      <c r="FV201" s="9"/>
      <c r="FW201" s="9"/>
      <c r="FX201" s="9"/>
      <c r="FY201" s="9"/>
      <c r="FZ201" s="9"/>
      <c r="GA201" s="9"/>
      <c r="GB201" s="9"/>
      <c r="GC201" s="9"/>
      <c r="GD201" s="9"/>
      <c r="GE201" s="9"/>
      <c r="GF201" s="9"/>
      <c r="GG201" s="9"/>
      <c r="GH201" s="9"/>
      <c r="GI201" s="9"/>
      <c r="GJ201" s="9"/>
      <c r="GK201" s="9"/>
      <c r="GL201" s="9"/>
      <c r="GM201" s="9"/>
      <c r="GN201" s="9"/>
      <c r="GO201" s="9"/>
      <c r="GP201" s="9"/>
      <c r="GQ201" s="9"/>
      <c r="GR201" s="9"/>
      <c r="GS201" s="9"/>
      <c r="GT201" s="9"/>
      <c r="GU201" s="9"/>
      <c r="GV201" s="9"/>
      <c r="GW201" s="9"/>
      <c r="GX201" s="9"/>
      <c r="GY201" s="9"/>
      <c r="GZ201" s="9"/>
      <c r="HA201" s="9"/>
      <c r="HB201" s="9"/>
      <c r="HC201" s="9"/>
      <c r="HD201" s="9"/>
      <c r="HE201" s="9"/>
      <c r="HF201" s="9"/>
      <c r="HG201" s="9"/>
      <c r="HH201" s="9"/>
      <c r="HI201" s="9"/>
      <c r="HJ201" s="9"/>
      <c r="HK201" s="9"/>
      <c r="HL201" s="9"/>
      <c r="HM201" s="9"/>
      <c r="HN201" s="9"/>
      <c r="HO201" s="9"/>
      <c r="HP201" s="9"/>
      <c r="HQ201" s="9"/>
      <c r="HR201" s="9"/>
      <c r="HS201" s="9"/>
      <c r="HT201" s="9"/>
      <c r="HU201" s="9"/>
      <c r="HV201" s="9"/>
      <c r="HW201" s="9"/>
      <c r="HX201" s="9"/>
      <c r="HY201" s="9"/>
      <c r="HZ201" s="9"/>
      <c r="IA201" s="9"/>
      <c r="IB201" s="9"/>
      <c r="IC201" s="9"/>
      <c r="ID201" s="9"/>
      <c r="IE201" s="9"/>
      <c r="IF201" s="9"/>
      <c r="IG201" s="9"/>
      <c r="IH201" s="9"/>
      <c r="II201" s="9"/>
      <c r="IJ201" s="9"/>
      <c r="IK201" s="9"/>
      <c r="IL201" s="9"/>
      <c r="IM201" s="9"/>
      <c r="IN201" s="9"/>
      <c r="IO201" s="9"/>
      <c r="IP201" s="9"/>
      <c r="IQ201" s="9"/>
      <c r="IR201" s="9"/>
      <c r="IS201" s="9"/>
      <c r="IT201" s="9"/>
      <c r="IU201" s="9"/>
      <c r="IV201" s="9"/>
      <c r="IW201" s="9"/>
      <c r="IX201" s="9"/>
      <c r="IY201" s="9"/>
      <c r="IZ201" s="9"/>
      <c r="JA201" s="9"/>
      <c r="JB201" s="9"/>
      <c r="JC201" s="9"/>
      <c r="JD201" s="9"/>
      <c r="JE201" s="9"/>
      <c r="JF201" s="9"/>
      <c r="JG201" s="9"/>
      <c r="JH201" s="9"/>
      <c r="JI201" s="9"/>
      <c r="JJ201" s="9"/>
      <c r="JK201" s="9"/>
      <c r="JL201" s="9"/>
      <c r="JM201" s="9"/>
      <c r="JN201" s="9"/>
      <c r="JO201" s="9"/>
      <c r="JP201" s="9"/>
      <c r="JQ201" s="9"/>
      <c r="JR201" s="9"/>
      <c r="JS201" s="9"/>
      <c r="JT201" s="9"/>
      <c r="JU201" s="9"/>
      <c r="JV201" s="9"/>
      <c r="JW201" s="9"/>
      <c r="JX201" s="9"/>
      <c r="JY201" s="9"/>
      <c r="JZ201" s="9"/>
      <c r="KA201" s="9"/>
      <c r="KB201" s="9"/>
      <c r="KC201" s="9"/>
      <c r="KD201" s="9"/>
      <c r="KE201" s="9"/>
      <c r="KF201" s="9"/>
      <c r="KG201" s="9"/>
      <c r="KH201" s="9"/>
      <c r="KI201" s="9"/>
      <c r="KJ201" s="9"/>
      <c r="KK201" s="9"/>
      <c r="KL201" s="9"/>
      <c r="KM201" s="9"/>
      <c r="KN201" s="9"/>
      <c r="KO201" s="9"/>
      <c r="KP201" s="9"/>
      <c r="KQ201" s="9"/>
      <c r="KR201" s="9"/>
      <c r="KS201" s="9"/>
      <c r="KT201" s="9"/>
      <c r="KU201" s="9"/>
      <c r="KV201" s="9"/>
      <c r="KW201" s="9"/>
      <c r="KX201" s="9"/>
      <c r="KY201" s="9"/>
      <c r="KZ201" s="9"/>
      <c r="LA201" s="9"/>
      <c r="LB201" s="9"/>
      <c r="LC201" s="9"/>
      <c r="LD201" s="9"/>
      <c r="LE201" s="9"/>
      <c r="LF201" s="9"/>
      <c r="LG201" s="9"/>
      <c r="LH201" s="9"/>
      <c r="LI201" s="9"/>
      <c r="LJ201" s="9"/>
      <c r="LK201" s="9"/>
      <c r="LL201" s="9"/>
      <c r="LM201" s="9"/>
      <c r="LN201" s="9"/>
      <c r="LO201" s="9"/>
      <c r="LP201" s="9"/>
      <c r="LQ201" s="9"/>
      <c r="LR201" s="9"/>
      <c r="LS201" s="9"/>
      <c r="LT201" s="9"/>
      <c r="LU201" s="9"/>
      <c r="LV201" s="9"/>
      <c r="LW201" s="9"/>
      <c r="LX201" s="9"/>
      <c r="LY201" s="9"/>
      <c r="LZ201" s="9"/>
      <c r="MA201" s="9"/>
      <c r="MB201" s="9"/>
      <c r="MC201" s="9"/>
      <c r="MD201" s="9"/>
      <c r="ME201" s="9"/>
      <c r="MF201" s="9"/>
      <c r="MG201" s="9"/>
      <c r="MH201" s="9"/>
      <c r="MI201" s="9"/>
      <c r="MJ201" s="9"/>
      <c r="MK201" s="9"/>
      <c r="ML201" s="9"/>
      <c r="MM201" s="9"/>
      <c r="MN201" s="9"/>
      <c r="MO201" s="9"/>
      <c r="MP201" s="9"/>
      <c r="MQ201" s="9"/>
      <c r="MR201" s="9"/>
      <c r="MS201" s="9"/>
      <c r="MT201" s="9"/>
      <c r="MU201" s="9"/>
      <c r="MV201" s="9"/>
      <c r="MW201" s="9"/>
      <c r="MX201" s="9"/>
      <c r="MY201" s="9"/>
      <c r="MZ201" s="9"/>
      <c r="NA201" s="9"/>
      <c r="NB201" s="9"/>
      <c r="NC201" s="9"/>
      <c r="ND201" s="9"/>
      <c r="NE201" s="9"/>
      <c r="NF201" s="9"/>
      <c r="NG201" s="9"/>
      <c r="NH201" s="9"/>
      <c r="NI201" s="9"/>
      <c r="NJ201" s="9"/>
      <c r="NK201" s="9"/>
      <c r="NL201" s="9"/>
      <c r="NM201" s="9"/>
      <c r="NN201" s="9"/>
      <c r="NO201" s="9"/>
      <c r="NP201" s="9"/>
      <c r="NQ201" s="9"/>
      <c r="NR201" s="9"/>
      <c r="NS201" s="9"/>
      <c r="NT201" s="9"/>
      <c r="NU201" s="9"/>
      <c r="NV201" s="9"/>
      <c r="NW201" s="9"/>
      <c r="NX201" s="9"/>
      <c r="NY201" s="9"/>
      <c r="NZ201" s="9"/>
      <c r="OA201" s="9"/>
      <c r="OB201" s="9"/>
      <c r="OC201" s="9"/>
      <c r="OD201" s="9"/>
      <c r="OE201" s="9"/>
      <c r="OF201" s="9"/>
      <c r="OG201" s="9"/>
      <c r="OH201" s="9"/>
      <c r="OI201" s="9"/>
      <c r="OJ201" s="9"/>
      <c r="OK201" s="9"/>
      <c r="OL201" s="9"/>
      <c r="OM201" s="9"/>
      <c r="ON201" s="9"/>
      <c r="OO201" s="9"/>
      <c r="OP201" s="9"/>
      <c r="OQ201" s="9"/>
      <c r="OR201" s="9"/>
      <c r="OS201" s="9"/>
      <c r="OT201" s="9"/>
      <c r="OU201" s="9"/>
      <c r="OV201" s="9"/>
      <c r="OW201" s="9"/>
      <c r="OX201" s="9"/>
      <c r="OY201" s="9"/>
      <c r="OZ201" s="9"/>
      <c r="PA201" s="9"/>
      <c r="PB201" s="9"/>
      <c r="PC201" s="9"/>
      <c r="PD201" s="9"/>
      <c r="PE201" s="9"/>
      <c r="PF201" s="9"/>
      <c r="PG201" s="9"/>
      <c r="PH201" s="9"/>
      <c r="PI201" s="9"/>
      <c r="PJ201" s="9"/>
      <c r="PK201" s="9"/>
      <c r="PL201" s="9"/>
      <c r="PM201" s="9"/>
      <c r="PN201" s="9"/>
      <c r="PO201" s="9"/>
      <c r="PP201" s="9"/>
      <c r="PQ201" s="9"/>
      <c r="PR201" s="9"/>
      <c r="PS201" s="9"/>
      <c r="PT201" s="9"/>
      <c r="PU201" s="9"/>
      <c r="PV201" s="9"/>
      <c r="PW201" s="9"/>
      <c r="PX201" s="9"/>
      <c r="PY201" s="9"/>
      <c r="PZ201" s="9"/>
      <c r="QA201" s="9"/>
      <c r="QB201" s="9"/>
      <c r="QC201" s="9"/>
      <c r="QD201" s="9"/>
      <c r="QE201" s="9"/>
      <c r="QF201" s="9"/>
      <c r="QG201" s="9"/>
      <c r="QH201" s="9"/>
      <c r="QI201" s="9"/>
      <c r="QJ201" s="9"/>
      <c r="QK201" s="9"/>
      <c r="QL201" s="9"/>
      <c r="QM201" s="9"/>
      <c r="QN201" s="9"/>
      <c r="QO201" s="9"/>
      <c r="QP201" s="9"/>
      <c r="QQ201" s="9"/>
      <c r="QR201" s="9"/>
      <c r="QS201" s="9"/>
      <c r="QT201" s="9"/>
      <c r="QU201" s="9"/>
      <c r="QV201" s="9"/>
      <c r="QW201" s="9"/>
      <c r="QX201" s="9"/>
      <c r="QY201" s="9"/>
      <c r="QZ201" s="9"/>
      <c r="RA201" s="9"/>
      <c r="RB201" s="9"/>
      <c r="RC201" s="9"/>
      <c r="RD201" s="9"/>
      <c r="RE201" s="9"/>
      <c r="RF201" s="9"/>
      <c r="RG201" s="9"/>
      <c r="RH201" s="9"/>
      <c r="RI201" s="9"/>
      <c r="RJ201" s="9"/>
      <c r="RK201" s="9"/>
      <c r="RL201" s="9"/>
      <c r="RM201" s="9"/>
      <c r="RN201" s="9"/>
      <c r="RO201" s="9"/>
      <c r="RP201" s="9"/>
      <c r="RQ201" s="9"/>
      <c r="RR201" s="9"/>
      <c r="RS201" s="9"/>
      <c r="RT201" s="9"/>
      <c r="RU201" s="9"/>
      <c r="RV201" s="9"/>
      <c r="RW201" s="9"/>
      <c r="RX201" s="9"/>
      <c r="RY201" s="9"/>
      <c r="RZ201" s="9"/>
      <c r="SA201" s="9"/>
      <c r="SB201" s="9"/>
      <c r="SC201" s="9"/>
      <c r="SD201" s="9"/>
      <c r="SE201" s="9"/>
      <c r="SF201" s="9"/>
      <c r="SG201" s="9"/>
      <c r="SH201" s="9"/>
      <c r="SI201" s="9"/>
      <c r="SJ201" s="9"/>
      <c r="SK201" s="8"/>
      <c r="SL201" s="8"/>
      <c r="SM201" s="8"/>
      <c r="SN201" s="8"/>
      <c r="SO201" s="8"/>
      <c r="SP201" s="8"/>
      <c r="SQ201" s="8"/>
      <c r="SR201" s="8"/>
      <c r="SS201" s="8"/>
      <c r="ST201" s="8"/>
      <c r="SU201" s="8"/>
      <c r="SV201" s="8"/>
      <c r="SW201" s="8"/>
      <c r="SX201" s="8"/>
      <c r="SY201" s="8"/>
      <c r="SZ201" s="8"/>
      <c r="TA201" s="8"/>
      <c r="TB201" s="8"/>
      <c r="TC201" s="8"/>
      <c r="TD201" s="8"/>
      <c r="TE201" s="8"/>
      <c r="TF201" s="8"/>
      <c r="TG201" s="8"/>
      <c r="TH201" s="8"/>
      <c r="TI201" s="8"/>
      <c r="TJ201" s="8"/>
      <c r="TK201" s="8"/>
      <c r="TL201" s="8"/>
      <c r="TM201" s="8"/>
      <c r="TN201" s="8"/>
      <c r="TO201" s="8"/>
    </row>
    <row r="202" spans="1:535" x14ac:dyDescent="0.2">
      <c r="A202" s="7"/>
      <c r="B202" s="7"/>
      <c r="C202" s="9"/>
      <c r="D202" s="8"/>
      <c r="E202" s="8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9"/>
      <c r="CE202" s="9"/>
      <c r="CF202" s="9"/>
      <c r="CG202" s="9"/>
      <c r="CH202" s="9"/>
      <c r="CI202" s="9"/>
      <c r="CJ202" s="9"/>
      <c r="CK202" s="9"/>
      <c r="CL202" s="9"/>
      <c r="CM202" s="9"/>
      <c r="CN202" s="9"/>
      <c r="CO202" s="9"/>
      <c r="CP202" s="9"/>
      <c r="CQ202" s="9"/>
      <c r="CR202" s="9"/>
      <c r="CS202" s="9"/>
      <c r="CT202" s="9"/>
      <c r="CU202" s="9"/>
      <c r="CV202" s="9"/>
      <c r="CW202" s="9"/>
      <c r="CX202" s="9"/>
      <c r="CY202" s="9"/>
      <c r="CZ202" s="9"/>
      <c r="DA202" s="9"/>
      <c r="DB202" s="9"/>
      <c r="DC202" s="9"/>
      <c r="DD202" s="9"/>
      <c r="DE202" s="9"/>
      <c r="DF202" s="9"/>
      <c r="DG202" s="9"/>
      <c r="DH202" s="9"/>
      <c r="DI202" s="9"/>
      <c r="DJ202" s="9"/>
      <c r="DK202" s="9"/>
      <c r="DL202" s="9"/>
      <c r="DM202" s="9"/>
      <c r="DN202" s="9"/>
      <c r="DO202" s="9"/>
      <c r="DP202" s="9"/>
      <c r="DQ202" s="9"/>
      <c r="DR202" s="9"/>
      <c r="DS202" s="9"/>
      <c r="DT202" s="9"/>
      <c r="DU202" s="9"/>
      <c r="DV202" s="9"/>
      <c r="DW202" s="9"/>
      <c r="DX202" s="9"/>
      <c r="DY202" s="9"/>
      <c r="DZ202" s="9"/>
      <c r="EA202" s="9"/>
      <c r="EB202" s="9"/>
      <c r="EC202" s="9"/>
      <c r="ED202" s="9"/>
      <c r="EE202" s="9"/>
      <c r="EF202" s="9"/>
      <c r="EG202" s="9"/>
      <c r="EH202" s="9"/>
      <c r="EI202" s="9"/>
      <c r="EJ202" s="9"/>
      <c r="EK202" s="9"/>
      <c r="EL202" s="9"/>
      <c r="EM202" s="9"/>
      <c r="EN202" s="9"/>
      <c r="EO202" s="9"/>
      <c r="EP202" s="9"/>
      <c r="EQ202" s="9"/>
      <c r="ER202" s="9"/>
      <c r="ES202" s="9"/>
      <c r="ET202" s="9"/>
      <c r="EU202" s="9"/>
      <c r="EV202" s="9"/>
      <c r="EW202" s="9"/>
      <c r="EX202" s="9"/>
      <c r="EY202" s="9"/>
      <c r="EZ202" s="9"/>
      <c r="FA202" s="9"/>
      <c r="FB202" s="9"/>
      <c r="FC202" s="9"/>
      <c r="FD202" s="9"/>
      <c r="FE202" s="9"/>
      <c r="FF202" s="9"/>
      <c r="FG202" s="9"/>
      <c r="FH202" s="9"/>
      <c r="FI202" s="9"/>
      <c r="FJ202" s="9"/>
      <c r="FK202" s="9"/>
      <c r="FL202" s="9"/>
      <c r="FM202" s="9"/>
      <c r="FN202" s="9"/>
      <c r="FO202" s="9"/>
      <c r="FP202" s="9"/>
      <c r="FQ202" s="9"/>
      <c r="FR202" s="9"/>
      <c r="FS202" s="9"/>
      <c r="FT202" s="9"/>
      <c r="FU202" s="9"/>
      <c r="FV202" s="9"/>
      <c r="FW202" s="9"/>
      <c r="FX202" s="9"/>
      <c r="FY202" s="9"/>
      <c r="FZ202" s="9"/>
      <c r="GA202" s="9"/>
      <c r="GB202" s="9"/>
      <c r="GC202" s="9"/>
      <c r="GD202" s="9"/>
      <c r="GE202" s="9"/>
      <c r="GF202" s="9"/>
      <c r="GG202" s="9"/>
      <c r="GH202" s="9"/>
      <c r="GI202" s="9"/>
      <c r="GJ202" s="9"/>
      <c r="GK202" s="9"/>
      <c r="GL202" s="9"/>
      <c r="GM202" s="9"/>
      <c r="GN202" s="9"/>
      <c r="GO202" s="9"/>
      <c r="GP202" s="9"/>
      <c r="GQ202" s="9"/>
      <c r="GR202" s="9"/>
      <c r="GS202" s="9"/>
      <c r="GT202" s="9"/>
      <c r="GU202" s="9"/>
      <c r="GV202" s="9"/>
      <c r="GW202" s="9"/>
      <c r="GX202" s="9"/>
      <c r="GY202" s="9"/>
      <c r="GZ202" s="9"/>
      <c r="HA202" s="9"/>
      <c r="HB202" s="9"/>
      <c r="HC202" s="9"/>
      <c r="HD202" s="9"/>
      <c r="HE202" s="9"/>
      <c r="HF202" s="9"/>
      <c r="HG202" s="9"/>
      <c r="HH202" s="9"/>
      <c r="HI202" s="9"/>
      <c r="HJ202" s="9"/>
      <c r="HK202" s="9"/>
      <c r="HL202" s="9"/>
      <c r="HM202" s="9"/>
      <c r="HN202" s="9"/>
      <c r="HO202" s="9"/>
      <c r="HP202" s="9"/>
      <c r="HQ202" s="9"/>
      <c r="HR202" s="9"/>
      <c r="HS202" s="9"/>
      <c r="HT202" s="9"/>
      <c r="HU202" s="9"/>
      <c r="HV202" s="9"/>
      <c r="HW202" s="9"/>
      <c r="HX202" s="9"/>
      <c r="HY202" s="9"/>
      <c r="HZ202" s="9"/>
      <c r="IA202" s="9"/>
      <c r="IB202" s="9"/>
      <c r="IC202" s="9"/>
      <c r="ID202" s="9"/>
      <c r="IE202" s="9"/>
      <c r="IF202" s="9"/>
      <c r="IG202" s="9"/>
      <c r="IH202" s="9"/>
      <c r="II202" s="9"/>
      <c r="IJ202" s="9"/>
      <c r="IK202" s="9"/>
      <c r="IL202" s="9"/>
      <c r="IM202" s="9"/>
      <c r="IN202" s="9"/>
      <c r="IO202" s="9"/>
      <c r="IP202" s="9"/>
      <c r="IQ202" s="9"/>
      <c r="IR202" s="9"/>
      <c r="IS202" s="9"/>
      <c r="IT202" s="9"/>
      <c r="IU202" s="9"/>
      <c r="IV202" s="9"/>
      <c r="IW202" s="9"/>
      <c r="IX202" s="9"/>
      <c r="IY202" s="9"/>
      <c r="IZ202" s="9"/>
      <c r="JA202" s="9"/>
      <c r="JB202" s="9"/>
      <c r="JC202" s="9"/>
      <c r="JD202" s="9"/>
      <c r="JE202" s="9"/>
      <c r="JF202" s="9"/>
      <c r="JG202" s="9"/>
      <c r="JH202" s="9"/>
      <c r="JI202" s="9"/>
      <c r="JJ202" s="9"/>
      <c r="JK202" s="9"/>
      <c r="JL202" s="9"/>
      <c r="JM202" s="9"/>
      <c r="JN202" s="9"/>
      <c r="JO202" s="9"/>
      <c r="JP202" s="9"/>
      <c r="JQ202" s="9"/>
      <c r="JR202" s="9"/>
      <c r="JS202" s="9"/>
      <c r="JT202" s="9"/>
      <c r="JU202" s="9"/>
      <c r="JV202" s="9"/>
      <c r="JW202" s="9"/>
      <c r="JX202" s="9"/>
      <c r="JY202" s="9"/>
      <c r="JZ202" s="9"/>
      <c r="KA202" s="9"/>
      <c r="KB202" s="9"/>
      <c r="KC202" s="9"/>
      <c r="KD202" s="9"/>
      <c r="KE202" s="9"/>
      <c r="KF202" s="9"/>
      <c r="KG202" s="9"/>
      <c r="KH202" s="9"/>
      <c r="KI202" s="9"/>
      <c r="KJ202" s="9"/>
      <c r="KK202" s="9"/>
      <c r="KL202" s="9"/>
      <c r="KM202" s="9"/>
      <c r="KN202" s="9"/>
      <c r="KO202" s="9"/>
      <c r="KP202" s="9"/>
      <c r="KQ202" s="9"/>
      <c r="KR202" s="9"/>
      <c r="KS202" s="9"/>
      <c r="KT202" s="9"/>
      <c r="KU202" s="9"/>
      <c r="KV202" s="9"/>
      <c r="KW202" s="9"/>
      <c r="KX202" s="9"/>
      <c r="KY202" s="9"/>
      <c r="KZ202" s="9"/>
      <c r="LA202" s="9"/>
      <c r="LB202" s="9"/>
      <c r="LC202" s="9"/>
      <c r="LD202" s="9"/>
      <c r="LE202" s="9"/>
      <c r="LF202" s="9"/>
      <c r="LG202" s="9"/>
      <c r="LH202" s="9"/>
      <c r="LI202" s="9"/>
      <c r="LJ202" s="9"/>
      <c r="LK202" s="9"/>
      <c r="LL202" s="9"/>
      <c r="LM202" s="9"/>
      <c r="LN202" s="9"/>
      <c r="LO202" s="9"/>
      <c r="LP202" s="9"/>
      <c r="LQ202" s="9"/>
      <c r="LR202" s="9"/>
      <c r="LS202" s="9"/>
      <c r="LT202" s="9"/>
      <c r="LU202" s="9"/>
      <c r="LV202" s="9"/>
      <c r="LW202" s="9"/>
      <c r="LX202" s="9"/>
      <c r="LY202" s="9"/>
      <c r="LZ202" s="9"/>
      <c r="MA202" s="9"/>
      <c r="MB202" s="9"/>
      <c r="MC202" s="9"/>
      <c r="MD202" s="9"/>
      <c r="ME202" s="9"/>
      <c r="MF202" s="9"/>
      <c r="MG202" s="9"/>
      <c r="MH202" s="9"/>
      <c r="MI202" s="9"/>
      <c r="MJ202" s="9"/>
      <c r="MK202" s="9"/>
      <c r="ML202" s="9"/>
      <c r="MM202" s="9"/>
      <c r="MN202" s="9"/>
      <c r="MO202" s="9"/>
      <c r="MP202" s="9"/>
      <c r="MQ202" s="9"/>
      <c r="MR202" s="9"/>
      <c r="MS202" s="9"/>
      <c r="MT202" s="9"/>
      <c r="MU202" s="9"/>
      <c r="MV202" s="9"/>
      <c r="MW202" s="9"/>
      <c r="MX202" s="9"/>
      <c r="MY202" s="9"/>
      <c r="MZ202" s="9"/>
      <c r="NA202" s="9"/>
      <c r="NB202" s="9"/>
      <c r="NC202" s="9"/>
      <c r="ND202" s="9"/>
      <c r="NE202" s="9"/>
      <c r="NF202" s="9"/>
      <c r="NG202" s="9"/>
      <c r="NH202" s="9"/>
      <c r="NI202" s="9"/>
      <c r="NJ202" s="9"/>
      <c r="NK202" s="9"/>
      <c r="NL202" s="9"/>
      <c r="NM202" s="9"/>
      <c r="NN202" s="9"/>
      <c r="NO202" s="9"/>
      <c r="NP202" s="9"/>
      <c r="NQ202" s="9"/>
      <c r="NR202" s="9"/>
      <c r="NS202" s="9"/>
      <c r="NT202" s="9"/>
      <c r="NU202" s="9"/>
      <c r="NV202" s="9"/>
      <c r="NW202" s="9"/>
      <c r="NX202" s="9"/>
      <c r="NY202" s="9"/>
      <c r="NZ202" s="9"/>
      <c r="OA202" s="9"/>
      <c r="OB202" s="9"/>
      <c r="OC202" s="9"/>
      <c r="OD202" s="9"/>
      <c r="OE202" s="9"/>
      <c r="OF202" s="9"/>
      <c r="OG202" s="9"/>
      <c r="OH202" s="9"/>
      <c r="OI202" s="9"/>
      <c r="OJ202" s="9"/>
      <c r="OK202" s="9"/>
      <c r="OL202" s="9"/>
      <c r="OM202" s="9"/>
      <c r="ON202" s="9"/>
      <c r="OO202" s="9"/>
      <c r="OP202" s="9"/>
      <c r="OQ202" s="9"/>
      <c r="OR202" s="9"/>
      <c r="OS202" s="9"/>
      <c r="OT202" s="9"/>
      <c r="OU202" s="9"/>
      <c r="OV202" s="9"/>
      <c r="OW202" s="9"/>
      <c r="OX202" s="9"/>
      <c r="OY202" s="9"/>
      <c r="OZ202" s="9"/>
      <c r="PA202" s="9"/>
      <c r="PB202" s="9"/>
      <c r="PC202" s="9"/>
      <c r="PD202" s="9"/>
      <c r="PE202" s="9"/>
      <c r="PF202" s="9"/>
      <c r="PG202" s="9"/>
      <c r="PH202" s="9"/>
      <c r="PI202" s="9"/>
      <c r="PJ202" s="9"/>
      <c r="PK202" s="9"/>
      <c r="PL202" s="9"/>
      <c r="PM202" s="9"/>
      <c r="PN202" s="9"/>
      <c r="PO202" s="9"/>
      <c r="PP202" s="9"/>
      <c r="PQ202" s="9"/>
      <c r="PR202" s="9"/>
      <c r="PS202" s="9"/>
      <c r="PT202" s="9"/>
      <c r="PU202" s="9"/>
      <c r="PV202" s="9"/>
      <c r="PW202" s="9"/>
      <c r="PX202" s="9"/>
      <c r="PY202" s="9"/>
      <c r="PZ202" s="9"/>
      <c r="QA202" s="9"/>
      <c r="QB202" s="9"/>
      <c r="QC202" s="9"/>
      <c r="QD202" s="9"/>
      <c r="QE202" s="9"/>
      <c r="QF202" s="9"/>
      <c r="QG202" s="9"/>
      <c r="QH202" s="9"/>
      <c r="QI202" s="9"/>
      <c r="QJ202" s="9"/>
      <c r="QK202" s="9"/>
      <c r="QL202" s="9"/>
      <c r="QM202" s="9"/>
      <c r="QN202" s="9"/>
      <c r="QO202" s="9"/>
      <c r="QP202" s="9"/>
      <c r="QQ202" s="9"/>
      <c r="QR202" s="9"/>
      <c r="QS202" s="9"/>
      <c r="QT202" s="9"/>
      <c r="QU202" s="9"/>
      <c r="QV202" s="9"/>
      <c r="QW202" s="9"/>
      <c r="QX202" s="9"/>
      <c r="QY202" s="9"/>
      <c r="QZ202" s="9"/>
      <c r="RA202" s="9"/>
      <c r="RB202" s="9"/>
      <c r="RC202" s="9"/>
      <c r="RD202" s="9"/>
      <c r="RE202" s="9"/>
      <c r="RF202" s="9"/>
      <c r="RG202" s="9"/>
      <c r="RH202" s="9"/>
      <c r="RI202" s="9"/>
      <c r="RJ202" s="9"/>
      <c r="RK202" s="9"/>
      <c r="RL202" s="9"/>
      <c r="RM202" s="9"/>
      <c r="RN202" s="9"/>
      <c r="RO202" s="9"/>
      <c r="RP202" s="9"/>
      <c r="RQ202" s="9"/>
      <c r="RR202" s="9"/>
      <c r="RS202" s="9"/>
      <c r="RT202" s="9"/>
      <c r="RU202" s="9"/>
      <c r="RV202" s="9"/>
      <c r="RW202" s="9"/>
      <c r="RX202" s="9"/>
      <c r="RY202" s="9"/>
      <c r="RZ202" s="9"/>
      <c r="SA202" s="9"/>
      <c r="SB202" s="9"/>
      <c r="SC202" s="9"/>
      <c r="SD202" s="9"/>
      <c r="SE202" s="9"/>
      <c r="SF202" s="9"/>
      <c r="SG202" s="9"/>
      <c r="SH202" s="9"/>
      <c r="SI202" s="9"/>
      <c r="SJ202" s="9"/>
      <c r="SK202" s="8"/>
      <c r="SL202" s="8"/>
      <c r="SM202" s="8"/>
      <c r="SN202" s="8"/>
      <c r="SO202" s="8"/>
      <c r="SP202" s="8"/>
      <c r="SQ202" s="8"/>
      <c r="SR202" s="8"/>
      <c r="SS202" s="8"/>
      <c r="ST202" s="8"/>
      <c r="SU202" s="8"/>
      <c r="SV202" s="8"/>
      <c r="SW202" s="8"/>
      <c r="SX202" s="8"/>
      <c r="SY202" s="8"/>
      <c r="SZ202" s="8"/>
      <c r="TA202" s="8"/>
      <c r="TB202" s="8"/>
      <c r="TC202" s="8"/>
      <c r="TD202" s="8"/>
      <c r="TE202" s="8"/>
      <c r="TF202" s="8"/>
      <c r="TG202" s="8"/>
      <c r="TH202" s="8"/>
      <c r="TI202" s="8"/>
      <c r="TJ202" s="8"/>
      <c r="TK202" s="8"/>
      <c r="TL202" s="8"/>
      <c r="TM202" s="8"/>
      <c r="TN202" s="8"/>
      <c r="TO202" s="8"/>
    </row>
    <row r="203" spans="1:535" x14ac:dyDescent="0.2">
      <c r="A203" s="7"/>
      <c r="B203" s="7"/>
      <c r="C203" s="9"/>
      <c r="D203" s="8"/>
      <c r="E203" s="8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  <c r="BZ203" s="9"/>
      <c r="CA203" s="9"/>
      <c r="CB203" s="9"/>
      <c r="CC203" s="9"/>
      <c r="CD203" s="9"/>
      <c r="CE203" s="9"/>
      <c r="CF203" s="9"/>
      <c r="CG203" s="9"/>
      <c r="CH203" s="9"/>
      <c r="CI203" s="9"/>
      <c r="CJ203" s="9"/>
      <c r="CK203" s="9"/>
      <c r="CL203" s="9"/>
      <c r="CM203" s="9"/>
      <c r="CN203" s="9"/>
      <c r="CO203" s="9"/>
      <c r="CP203" s="9"/>
      <c r="CQ203" s="9"/>
      <c r="CR203" s="9"/>
      <c r="CS203" s="9"/>
      <c r="CT203" s="9"/>
      <c r="CU203" s="9"/>
      <c r="CV203" s="9"/>
      <c r="CW203" s="9"/>
      <c r="CX203" s="9"/>
      <c r="CY203" s="9"/>
      <c r="CZ203" s="9"/>
      <c r="DA203" s="9"/>
      <c r="DB203" s="9"/>
      <c r="DC203" s="9"/>
      <c r="DD203" s="9"/>
      <c r="DE203" s="9"/>
      <c r="DF203" s="9"/>
      <c r="DG203" s="9"/>
      <c r="DH203" s="9"/>
      <c r="DI203" s="9"/>
      <c r="DJ203" s="9"/>
      <c r="DK203" s="9"/>
      <c r="DL203" s="9"/>
      <c r="DM203" s="9"/>
      <c r="DN203" s="9"/>
      <c r="DO203" s="9"/>
      <c r="DP203" s="9"/>
      <c r="DQ203" s="9"/>
      <c r="DR203" s="9"/>
      <c r="DS203" s="9"/>
      <c r="DT203" s="9"/>
      <c r="DU203" s="9"/>
      <c r="DV203" s="9"/>
      <c r="DW203" s="9"/>
      <c r="DX203" s="9"/>
      <c r="DY203" s="9"/>
      <c r="DZ203" s="9"/>
      <c r="EA203" s="9"/>
      <c r="EB203" s="9"/>
      <c r="EC203" s="9"/>
      <c r="ED203" s="9"/>
      <c r="EE203" s="9"/>
      <c r="EF203" s="9"/>
      <c r="EG203" s="9"/>
      <c r="EH203" s="9"/>
      <c r="EI203" s="9"/>
      <c r="EJ203" s="9"/>
      <c r="EK203" s="9"/>
      <c r="EL203" s="9"/>
      <c r="EM203" s="9"/>
      <c r="EN203" s="9"/>
      <c r="EO203" s="9"/>
      <c r="EP203" s="9"/>
      <c r="EQ203" s="9"/>
      <c r="ER203" s="9"/>
      <c r="ES203" s="9"/>
      <c r="ET203" s="9"/>
      <c r="EU203" s="9"/>
      <c r="EV203" s="9"/>
      <c r="EW203" s="9"/>
      <c r="EX203" s="9"/>
      <c r="EY203" s="9"/>
      <c r="EZ203" s="9"/>
      <c r="FA203" s="9"/>
      <c r="FB203" s="9"/>
      <c r="FC203" s="9"/>
      <c r="FD203" s="9"/>
      <c r="FE203" s="9"/>
      <c r="FF203" s="9"/>
      <c r="FG203" s="9"/>
      <c r="FH203" s="9"/>
      <c r="FI203" s="9"/>
      <c r="FJ203" s="9"/>
      <c r="FK203" s="9"/>
      <c r="FL203" s="9"/>
      <c r="FM203" s="9"/>
      <c r="FN203" s="9"/>
      <c r="FO203" s="9"/>
      <c r="FP203" s="9"/>
      <c r="FQ203" s="9"/>
      <c r="FR203" s="9"/>
      <c r="FS203" s="9"/>
      <c r="FT203" s="9"/>
      <c r="FU203" s="9"/>
      <c r="FV203" s="9"/>
      <c r="FW203" s="9"/>
      <c r="FX203" s="9"/>
      <c r="FY203" s="9"/>
      <c r="FZ203" s="9"/>
      <c r="GA203" s="9"/>
      <c r="GB203" s="9"/>
      <c r="GC203" s="9"/>
      <c r="GD203" s="9"/>
      <c r="GE203" s="9"/>
      <c r="GF203" s="9"/>
      <c r="GG203" s="9"/>
      <c r="GH203" s="9"/>
      <c r="GI203" s="9"/>
      <c r="GJ203" s="9"/>
      <c r="GK203" s="9"/>
      <c r="GL203" s="9"/>
      <c r="GM203" s="9"/>
      <c r="GN203" s="9"/>
      <c r="GO203" s="9"/>
      <c r="GP203" s="9"/>
      <c r="GQ203" s="9"/>
      <c r="GR203" s="9"/>
      <c r="GS203" s="9"/>
      <c r="GT203" s="9"/>
      <c r="GU203" s="9"/>
      <c r="GV203" s="9"/>
      <c r="GW203" s="9"/>
      <c r="GX203" s="9"/>
      <c r="GY203" s="9"/>
      <c r="GZ203" s="9"/>
      <c r="HA203" s="9"/>
      <c r="HB203" s="9"/>
      <c r="HC203" s="9"/>
      <c r="HD203" s="9"/>
      <c r="HE203" s="9"/>
      <c r="HF203" s="9"/>
      <c r="HG203" s="9"/>
      <c r="HH203" s="9"/>
      <c r="HI203" s="9"/>
      <c r="HJ203" s="9"/>
      <c r="HK203" s="9"/>
      <c r="HL203" s="9"/>
      <c r="HM203" s="9"/>
      <c r="HN203" s="9"/>
      <c r="HO203" s="9"/>
      <c r="HP203" s="9"/>
      <c r="HQ203" s="9"/>
      <c r="HR203" s="9"/>
      <c r="HS203" s="9"/>
      <c r="HT203" s="9"/>
      <c r="HU203" s="9"/>
      <c r="HV203" s="9"/>
      <c r="HW203" s="9"/>
      <c r="HX203" s="9"/>
      <c r="HY203" s="9"/>
      <c r="HZ203" s="9"/>
      <c r="IA203" s="9"/>
      <c r="IB203" s="9"/>
      <c r="IC203" s="9"/>
      <c r="ID203" s="9"/>
      <c r="IE203" s="9"/>
      <c r="IF203" s="9"/>
      <c r="IG203" s="9"/>
      <c r="IH203" s="9"/>
      <c r="II203" s="9"/>
      <c r="IJ203" s="9"/>
      <c r="IK203" s="9"/>
      <c r="IL203" s="9"/>
      <c r="IM203" s="9"/>
      <c r="IN203" s="9"/>
      <c r="IO203" s="9"/>
      <c r="IP203" s="9"/>
      <c r="IQ203" s="9"/>
      <c r="IR203" s="9"/>
      <c r="IS203" s="9"/>
      <c r="IT203" s="9"/>
      <c r="IU203" s="9"/>
      <c r="IV203" s="9"/>
      <c r="IW203" s="9"/>
      <c r="IX203" s="9"/>
      <c r="IY203" s="9"/>
      <c r="IZ203" s="9"/>
      <c r="JA203" s="9"/>
      <c r="JB203" s="9"/>
      <c r="JC203" s="9"/>
      <c r="JD203" s="9"/>
      <c r="JE203" s="9"/>
      <c r="JF203" s="9"/>
      <c r="JG203" s="9"/>
      <c r="JH203" s="9"/>
      <c r="JI203" s="9"/>
      <c r="JJ203" s="9"/>
      <c r="JK203" s="9"/>
      <c r="JL203" s="9"/>
      <c r="JM203" s="9"/>
      <c r="JN203" s="9"/>
      <c r="JO203" s="9"/>
      <c r="JP203" s="9"/>
      <c r="JQ203" s="9"/>
      <c r="JR203" s="9"/>
      <c r="JS203" s="9"/>
      <c r="JT203" s="9"/>
      <c r="JU203" s="9"/>
      <c r="JV203" s="9"/>
      <c r="JW203" s="9"/>
      <c r="JX203" s="9"/>
      <c r="JY203" s="9"/>
      <c r="JZ203" s="9"/>
      <c r="KA203" s="9"/>
      <c r="KB203" s="9"/>
      <c r="KC203" s="9"/>
      <c r="KD203" s="9"/>
      <c r="KE203" s="9"/>
      <c r="KF203" s="9"/>
      <c r="KG203" s="9"/>
      <c r="KH203" s="9"/>
      <c r="KI203" s="9"/>
      <c r="KJ203" s="9"/>
      <c r="KK203" s="9"/>
      <c r="KL203" s="9"/>
      <c r="KM203" s="9"/>
      <c r="KN203" s="9"/>
      <c r="KO203" s="9"/>
      <c r="KP203" s="9"/>
      <c r="KQ203" s="9"/>
      <c r="KR203" s="9"/>
      <c r="KS203" s="9"/>
      <c r="KT203" s="9"/>
      <c r="KU203" s="9"/>
      <c r="KV203" s="9"/>
      <c r="KW203" s="9"/>
      <c r="KX203" s="9"/>
      <c r="KY203" s="9"/>
      <c r="KZ203" s="9"/>
      <c r="LA203" s="9"/>
      <c r="LB203" s="9"/>
      <c r="LC203" s="9"/>
      <c r="LD203" s="9"/>
      <c r="LE203" s="9"/>
      <c r="LF203" s="9"/>
      <c r="LG203" s="9"/>
      <c r="LH203" s="9"/>
      <c r="LI203" s="9"/>
      <c r="LJ203" s="9"/>
      <c r="LK203" s="9"/>
      <c r="LL203" s="9"/>
      <c r="LM203" s="9"/>
      <c r="LN203" s="9"/>
      <c r="LO203" s="9"/>
      <c r="LP203" s="9"/>
      <c r="LQ203" s="9"/>
      <c r="LR203" s="9"/>
      <c r="LS203" s="9"/>
      <c r="LT203" s="9"/>
      <c r="LU203" s="9"/>
      <c r="LV203" s="9"/>
      <c r="LW203" s="9"/>
      <c r="LX203" s="9"/>
      <c r="LY203" s="9"/>
      <c r="LZ203" s="9"/>
      <c r="MA203" s="9"/>
      <c r="MB203" s="9"/>
      <c r="MC203" s="9"/>
      <c r="MD203" s="9"/>
      <c r="ME203" s="9"/>
      <c r="MF203" s="9"/>
      <c r="MG203" s="9"/>
      <c r="MH203" s="9"/>
      <c r="MI203" s="9"/>
      <c r="MJ203" s="9"/>
      <c r="MK203" s="9"/>
      <c r="ML203" s="9"/>
      <c r="MM203" s="9"/>
      <c r="MN203" s="9"/>
      <c r="MO203" s="9"/>
      <c r="MP203" s="9"/>
      <c r="MQ203" s="9"/>
      <c r="MR203" s="9"/>
      <c r="MS203" s="9"/>
      <c r="MT203" s="9"/>
      <c r="MU203" s="9"/>
      <c r="MV203" s="9"/>
      <c r="MW203" s="9"/>
      <c r="MX203" s="9"/>
      <c r="MY203" s="9"/>
      <c r="MZ203" s="9"/>
      <c r="NA203" s="9"/>
      <c r="NB203" s="9"/>
      <c r="NC203" s="9"/>
      <c r="ND203" s="9"/>
      <c r="NE203" s="9"/>
      <c r="NF203" s="9"/>
      <c r="NG203" s="9"/>
      <c r="NH203" s="9"/>
      <c r="NI203" s="9"/>
      <c r="NJ203" s="9"/>
      <c r="NK203" s="9"/>
      <c r="NL203" s="9"/>
      <c r="NM203" s="9"/>
      <c r="NN203" s="9"/>
      <c r="NO203" s="9"/>
      <c r="NP203" s="9"/>
      <c r="NQ203" s="9"/>
      <c r="NR203" s="9"/>
      <c r="NS203" s="9"/>
      <c r="NT203" s="9"/>
      <c r="NU203" s="9"/>
      <c r="NV203" s="9"/>
      <c r="NW203" s="9"/>
      <c r="NX203" s="9"/>
      <c r="NY203" s="9"/>
      <c r="NZ203" s="9"/>
      <c r="OA203" s="9"/>
      <c r="OB203" s="9"/>
      <c r="OC203" s="9"/>
      <c r="OD203" s="9"/>
      <c r="OE203" s="9"/>
      <c r="OF203" s="9"/>
      <c r="OG203" s="9"/>
      <c r="OH203" s="9"/>
      <c r="OI203" s="9"/>
      <c r="OJ203" s="9"/>
      <c r="OK203" s="9"/>
      <c r="OL203" s="9"/>
      <c r="OM203" s="9"/>
      <c r="ON203" s="9"/>
      <c r="OO203" s="9"/>
      <c r="OP203" s="9"/>
      <c r="OQ203" s="9"/>
      <c r="OR203" s="9"/>
      <c r="OS203" s="9"/>
      <c r="OT203" s="9"/>
      <c r="OU203" s="9"/>
      <c r="OV203" s="9"/>
      <c r="OW203" s="9"/>
      <c r="OX203" s="9"/>
      <c r="OY203" s="9"/>
      <c r="OZ203" s="9"/>
      <c r="PA203" s="9"/>
      <c r="PB203" s="9"/>
      <c r="PC203" s="9"/>
      <c r="PD203" s="9"/>
      <c r="PE203" s="9"/>
      <c r="PF203" s="9"/>
      <c r="PG203" s="9"/>
      <c r="PH203" s="9"/>
      <c r="PI203" s="9"/>
      <c r="PJ203" s="9"/>
      <c r="PK203" s="9"/>
      <c r="PL203" s="9"/>
      <c r="PM203" s="9"/>
      <c r="PN203" s="9"/>
      <c r="PO203" s="9"/>
      <c r="PP203" s="9"/>
      <c r="PQ203" s="9"/>
      <c r="PR203" s="9"/>
      <c r="PS203" s="9"/>
      <c r="PT203" s="9"/>
      <c r="PU203" s="9"/>
      <c r="PV203" s="9"/>
      <c r="PW203" s="9"/>
      <c r="PX203" s="9"/>
      <c r="PY203" s="9"/>
      <c r="PZ203" s="9"/>
      <c r="QA203" s="9"/>
      <c r="QB203" s="9"/>
      <c r="QC203" s="9"/>
      <c r="QD203" s="9"/>
      <c r="QE203" s="9"/>
      <c r="QF203" s="9"/>
      <c r="QG203" s="9"/>
      <c r="QH203" s="9"/>
      <c r="QI203" s="9"/>
      <c r="QJ203" s="9"/>
      <c r="QK203" s="9"/>
      <c r="QL203" s="9"/>
      <c r="QM203" s="9"/>
      <c r="QN203" s="9"/>
      <c r="QO203" s="9"/>
      <c r="QP203" s="9"/>
      <c r="QQ203" s="9"/>
      <c r="QR203" s="9"/>
      <c r="QS203" s="9"/>
      <c r="QT203" s="9"/>
      <c r="QU203" s="9"/>
      <c r="QV203" s="9"/>
      <c r="QW203" s="9"/>
      <c r="QX203" s="9"/>
      <c r="QY203" s="9"/>
      <c r="QZ203" s="9"/>
      <c r="RA203" s="9"/>
      <c r="RB203" s="9"/>
      <c r="RC203" s="9"/>
      <c r="RD203" s="9"/>
      <c r="RE203" s="9"/>
      <c r="RF203" s="9"/>
      <c r="RG203" s="9"/>
      <c r="RH203" s="9"/>
      <c r="RI203" s="9"/>
      <c r="RJ203" s="9"/>
      <c r="RK203" s="9"/>
      <c r="RL203" s="9"/>
      <c r="RM203" s="9"/>
      <c r="RN203" s="9"/>
      <c r="RO203" s="9"/>
      <c r="RP203" s="9"/>
      <c r="RQ203" s="9"/>
      <c r="RR203" s="9"/>
      <c r="RS203" s="9"/>
      <c r="RT203" s="9"/>
      <c r="RU203" s="9"/>
      <c r="RV203" s="9"/>
      <c r="RW203" s="9"/>
      <c r="RX203" s="9"/>
      <c r="RY203" s="9"/>
      <c r="RZ203" s="9"/>
      <c r="SA203" s="9"/>
      <c r="SB203" s="9"/>
      <c r="SC203" s="9"/>
      <c r="SD203" s="9"/>
      <c r="SE203" s="9"/>
      <c r="SF203" s="9"/>
      <c r="SG203" s="9"/>
      <c r="SH203" s="9"/>
      <c r="SI203" s="9"/>
      <c r="SJ203" s="9"/>
      <c r="SK203" s="8"/>
      <c r="SL203" s="8"/>
      <c r="SM203" s="8"/>
      <c r="SN203" s="8"/>
      <c r="SO203" s="8"/>
      <c r="SP203" s="8"/>
      <c r="SQ203" s="8"/>
      <c r="SR203" s="8"/>
      <c r="SS203" s="8"/>
      <c r="ST203" s="8"/>
      <c r="SU203" s="8"/>
      <c r="SV203" s="8"/>
      <c r="SW203" s="8"/>
      <c r="SX203" s="8"/>
      <c r="SY203" s="8"/>
      <c r="SZ203" s="8"/>
      <c r="TA203" s="8"/>
      <c r="TB203" s="8"/>
      <c r="TC203" s="8"/>
      <c r="TD203" s="8"/>
      <c r="TE203" s="8"/>
      <c r="TF203" s="8"/>
      <c r="TG203" s="8"/>
      <c r="TH203" s="8"/>
      <c r="TI203" s="8"/>
      <c r="TJ203" s="8"/>
      <c r="TK203" s="8"/>
      <c r="TL203" s="8"/>
      <c r="TM203" s="8"/>
      <c r="TN203" s="8"/>
      <c r="TO203" s="8"/>
    </row>
    <row r="204" spans="1:535" x14ac:dyDescent="0.2">
      <c r="A204" s="7"/>
      <c r="B204" s="7"/>
      <c r="C204" s="9"/>
      <c r="D204" s="8"/>
      <c r="E204" s="8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9"/>
      <c r="CE204" s="9"/>
      <c r="CF204" s="9"/>
      <c r="CG204" s="9"/>
      <c r="CH204" s="9"/>
      <c r="CI204" s="9"/>
      <c r="CJ204" s="9"/>
      <c r="CK204" s="9"/>
      <c r="CL204" s="9"/>
      <c r="CM204" s="9"/>
      <c r="CN204" s="9"/>
      <c r="CO204" s="9"/>
      <c r="CP204" s="9"/>
      <c r="CQ204" s="9"/>
      <c r="CR204" s="9"/>
      <c r="CS204" s="9"/>
      <c r="CT204" s="9"/>
      <c r="CU204" s="9"/>
      <c r="CV204" s="9"/>
      <c r="CW204" s="9"/>
      <c r="CX204" s="9"/>
      <c r="CY204" s="9"/>
      <c r="CZ204" s="9"/>
      <c r="DA204" s="9"/>
      <c r="DB204" s="9"/>
      <c r="DC204" s="9"/>
      <c r="DD204" s="9"/>
      <c r="DE204" s="9"/>
      <c r="DF204" s="9"/>
      <c r="DG204" s="9"/>
      <c r="DH204" s="9"/>
      <c r="DI204" s="9"/>
      <c r="DJ204" s="9"/>
      <c r="DK204" s="9"/>
      <c r="DL204" s="9"/>
      <c r="DM204" s="9"/>
      <c r="DN204" s="9"/>
      <c r="DO204" s="9"/>
      <c r="DP204" s="9"/>
      <c r="DQ204" s="9"/>
      <c r="DR204" s="9"/>
      <c r="DS204" s="9"/>
      <c r="DT204" s="9"/>
      <c r="DU204" s="9"/>
      <c r="DV204" s="9"/>
      <c r="DW204" s="9"/>
      <c r="DX204" s="9"/>
      <c r="DY204" s="9"/>
      <c r="DZ204" s="9"/>
      <c r="EA204" s="9"/>
      <c r="EB204" s="9"/>
      <c r="EC204" s="9"/>
      <c r="ED204" s="9"/>
      <c r="EE204" s="9"/>
      <c r="EF204" s="9"/>
      <c r="EG204" s="9"/>
      <c r="EH204" s="9"/>
      <c r="EI204" s="9"/>
      <c r="EJ204" s="9"/>
      <c r="EK204" s="9"/>
      <c r="EL204" s="9"/>
      <c r="EM204" s="9"/>
      <c r="EN204" s="9"/>
      <c r="EO204" s="9"/>
      <c r="EP204" s="9"/>
      <c r="EQ204" s="9"/>
      <c r="ER204" s="9"/>
      <c r="ES204" s="9"/>
      <c r="ET204" s="9"/>
      <c r="EU204" s="9"/>
      <c r="EV204" s="9"/>
      <c r="EW204" s="9"/>
      <c r="EX204" s="9"/>
      <c r="EY204" s="9"/>
      <c r="EZ204" s="9"/>
      <c r="FA204" s="9"/>
      <c r="FB204" s="9"/>
      <c r="FC204" s="9"/>
      <c r="FD204" s="9"/>
      <c r="FE204" s="9"/>
      <c r="FF204" s="9"/>
      <c r="FG204" s="9"/>
      <c r="FH204" s="9"/>
      <c r="FI204" s="9"/>
      <c r="FJ204" s="9"/>
      <c r="FK204" s="9"/>
      <c r="FL204" s="9"/>
      <c r="FM204" s="9"/>
      <c r="FN204" s="9"/>
      <c r="FO204" s="9"/>
      <c r="FP204" s="9"/>
      <c r="FQ204" s="9"/>
      <c r="FR204" s="9"/>
      <c r="FS204" s="9"/>
      <c r="FT204" s="9"/>
      <c r="FU204" s="9"/>
      <c r="FV204" s="9"/>
      <c r="FW204" s="9"/>
      <c r="FX204" s="9"/>
      <c r="FY204" s="9"/>
      <c r="FZ204" s="9"/>
      <c r="GA204" s="9"/>
      <c r="GB204" s="9"/>
      <c r="GC204" s="9"/>
      <c r="GD204" s="9"/>
      <c r="GE204" s="9"/>
      <c r="GF204" s="9"/>
      <c r="GG204" s="9"/>
      <c r="GH204" s="9"/>
      <c r="GI204" s="9"/>
      <c r="GJ204" s="9"/>
      <c r="GK204" s="9"/>
      <c r="GL204" s="9"/>
      <c r="GM204" s="9"/>
      <c r="GN204" s="9"/>
      <c r="GO204" s="9"/>
      <c r="GP204" s="9"/>
      <c r="GQ204" s="9"/>
      <c r="GR204" s="9"/>
      <c r="GS204" s="9"/>
      <c r="GT204" s="9"/>
      <c r="GU204" s="9"/>
      <c r="GV204" s="9"/>
      <c r="GW204" s="9"/>
      <c r="GX204" s="9"/>
      <c r="GY204" s="9"/>
      <c r="GZ204" s="9"/>
      <c r="HA204" s="9"/>
      <c r="HB204" s="9"/>
      <c r="HC204" s="9"/>
      <c r="HD204" s="9"/>
      <c r="HE204" s="9"/>
      <c r="HF204" s="9"/>
      <c r="HG204" s="9"/>
      <c r="HH204" s="9"/>
      <c r="HI204" s="9"/>
      <c r="HJ204" s="9"/>
      <c r="HK204" s="9"/>
      <c r="HL204" s="9"/>
      <c r="HM204" s="9"/>
      <c r="HN204" s="9"/>
      <c r="HO204" s="9"/>
      <c r="HP204" s="9"/>
      <c r="HQ204" s="9"/>
      <c r="HR204" s="9"/>
      <c r="HS204" s="9"/>
      <c r="HT204" s="9"/>
      <c r="HU204" s="9"/>
      <c r="HV204" s="9"/>
      <c r="HW204" s="9"/>
      <c r="HX204" s="9"/>
      <c r="HY204" s="9"/>
      <c r="HZ204" s="9"/>
      <c r="IA204" s="9"/>
      <c r="IB204" s="9"/>
      <c r="IC204" s="9"/>
      <c r="ID204" s="9"/>
      <c r="IE204" s="9"/>
      <c r="IF204" s="9"/>
      <c r="IG204" s="9"/>
      <c r="IH204" s="9"/>
      <c r="II204" s="9"/>
      <c r="IJ204" s="9"/>
      <c r="IK204" s="9"/>
      <c r="IL204" s="9"/>
      <c r="IM204" s="9"/>
      <c r="IN204" s="9"/>
      <c r="IO204" s="9"/>
      <c r="IP204" s="9"/>
      <c r="IQ204" s="9"/>
      <c r="IR204" s="9"/>
      <c r="IS204" s="9"/>
      <c r="IT204" s="9"/>
      <c r="IU204" s="9"/>
      <c r="IV204" s="9"/>
      <c r="IW204" s="9"/>
      <c r="IX204" s="9"/>
      <c r="IY204" s="9"/>
      <c r="IZ204" s="9"/>
      <c r="JA204" s="9"/>
      <c r="JB204" s="9"/>
      <c r="JC204" s="9"/>
      <c r="JD204" s="9"/>
      <c r="JE204" s="9"/>
      <c r="JF204" s="9"/>
      <c r="JG204" s="9"/>
      <c r="JH204" s="9"/>
      <c r="JI204" s="9"/>
      <c r="JJ204" s="9"/>
      <c r="JK204" s="9"/>
      <c r="JL204" s="9"/>
      <c r="JM204" s="9"/>
      <c r="JN204" s="9"/>
      <c r="JO204" s="9"/>
      <c r="JP204" s="9"/>
      <c r="JQ204" s="9"/>
      <c r="JR204" s="9"/>
      <c r="JS204" s="9"/>
      <c r="JT204" s="9"/>
      <c r="JU204" s="9"/>
      <c r="JV204" s="9"/>
      <c r="JW204" s="9"/>
      <c r="JX204" s="9"/>
      <c r="JY204" s="9"/>
      <c r="JZ204" s="9"/>
      <c r="KA204" s="9"/>
      <c r="KB204" s="9"/>
      <c r="KC204" s="9"/>
      <c r="KD204" s="9"/>
      <c r="KE204" s="9"/>
      <c r="KF204" s="9"/>
      <c r="KG204" s="9"/>
      <c r="KH204" s="9"/>
      <c r="KI204" s="9"/>
      <c r="KJ204" s="9"/>
      <c r="KK204" s="9"/>
      <c r="KL204" s="9"/>
      <c r="KM204" s="9"/>
      <c r="KN204" s="9"/>
      <c r="KO204" s="9"/>
      <c r="KP204" s="9"/>
      <c r="KQ204" s="9"/>
      <c r="KR204" s="9"/>
      <c r="KS204" s="9"/>
      <c r="KT204" s="9"/>
      <c r="KU204" s="9"/>
      <c r="KV204" s="9"/>
      <c r="KW204" s="9"/>
      <c r="KX204" s="9"/>
      <c r="KY204" s="9"/>
      <c r="KZ204" s="9"/>
      <c r="LA204" s="9"/>
      <c r="LB204" s="9"/>
      <c r="LC204" s="9"/>
      <c r="LD204" s="9"/>
      <c r="LE204" s="9"/>
      <c r="LF204" s="9"/>
      <c r="LG204" s="9"/>
      <c r="LH204" s="9"/>
      <c r="LI204" s="9"/>
      <c r="LJ204" s="9"/>
      <c r="LK204" s="9"/>
      <c r="LL204" s="9"/>
      <c r="LM204" s="9"/>
      <c r="LN204" s="9"/>
      <c r="LO204" s="9"/>
      <c r="LP204" s="9"/>
      <c r="LQ204" s="9"/>
      <c r="LR204" s="9"/>
      <c r="LS204" s="9"/>
      <c r="LT204" s="9"/>
      <c r="LU204" s="9"/>
      <c r="LV204" s="9"/>
      <c r="LW204" s="9"/>
      <c r="LX204" s="9"/>
      <c r="LY204" s="9"/>
      <c r="LZ204" s="9"/>
      <c r="MA204" s="9"/>
      <c r="MB204" s="9"/>
      <c r="MC204" s="9"/>
      <c r="MD204" s="9"/>
      <c r="ME204" s="9"/>
      <c r="MF204" s="9"/>
      <c r="MG204" s="9"/>
      <c r="MH204" s="9"/>
      <c r="MI204" s="9"/>
      <c r="MJ204" s="9"/>
      <c r="MK204" s="9"/>
      <c r="ML204" s="9"/>
      <c r="MM204" s="9"/>
      <c r="MN204" s="9"/>
      <c r="MO204" s="9"/>
      <c r="MP204" s="9"/>
      <c r="MQ204" s="9"/>
      <c r="MR204" s="9"/>
      <c r="MS204" s="9"/>
      <c r="MT204" s="9"/>
      <c r="MU204" s="9"/>
      <c r="MV204" s="9"/>
      <c r="MW204" s="9"/>
      <c r="MX204" s="9"/>
      <c r="MY204" s="9"/>
      <c r="MZ204" s="9"/>
      <c r="NA204" s="9"/>
      <c r="NB204" s="9"/>
      <c r="NC204" s="9"/>
      <c r="ND204" s="9"/>
      <c r="NE204" s="9"/>
      <c r="NF204" s="9"/>
      <c r="NG204" s="9"/>
      <c r="NH204" s="9"/>
      <c r="NI204" s="9"/>
      <c r="NJ204" s="9"/>
      <c r="NK204" s="9"/>
      <c r="NL204" s="9"/>
      <c r="NM204" s="9"/>
      <c r="NN204" s="9"/>
      <c r="NO204" s="9"/>
      <c r="NP204" s="9"/>
      <c r="NQ204" s="9"/>
      <c r="NR204" s="9"/>
      <c r="NS204" s="9"/>
      <c r="NT204" s="9"/>
      <c r="NU204" s="9"/>
      <c r="NV204" s="9"/>
      <c r="NW204" s="9"/>
      <c r="NX204" s="9"/>
      <c r="NY204" s="9"/>
      <c r="NZ204" s="9"/>
      <c r="OA204" s="9"/>
      <c r="OB204" s="9"/>
      <c r="OC204" s="9"/>
      <c r="OD204" s="9"/>
      <c r="OE204" s="9"/>
      <c r="OF204" s="9"/>
      <c r="OG204" s="9"/>
      <c r="OH204" s="9"/>
      <c r="OI204" s="9"/>
      <c r="OJ204" s="9"/>
      <c r="OK204" s="9"/>
      <c r="OL204" s="9"/>
      <c r="OM204" s="9"/>
      <c r="ON204" s="9"/>
      <c r="OO204" s="9"/>
      <c r="OP204" s="9"/>
      <c r="OQ204" s="9"/>
      <c r="OR204" s="9"/>
      <c r="OS204" s="9"/>
      <c r="OT204" s="9"/>
      <c r="OU204" s="9"/>
      <c r="OV204" s="9"/>
      <c r="OW204" s="9"/>
      <c r="OX204" s="9"/>
      <c r="OY204" s="9"/>
      <c r="OZ204" s="9"/>
      <c r="PA204" s="9"/>
      <c r="PB204" s="9"/>
      <c r="PC204" s="9"/>
      <c r="PD204" s="9"/>
      <c r="PE204" s="9"/>
      <c r="PF204" s="9"/>
      <c r="PG204" s="9"/>
      <c r="PH204" s="9"/>
      <c r="PI204" s="9"/>
      <c r="PJ204" s="9"/>
      <c r="PK204" s="9"/>
      <c r="PL204" s="9"/>
      <c r="PM204" s="9"/>
      <c r="PN204" s="9"/>
      <c r="PO204" s="9"/>
      <c r="PP204" s="9"/>
      <c r="PQ204" s="9"/>
      <c r="PR204" s="9"/>
      <c r="PS204" s="9"/>
      <c r="PT204" s="9"/>
      <c r="PU204" s="9"/>
      <c r="PV204" s="9"/>
      <c r="PW204" s="9"/>
      <c r="PX204" s="9"/>
      <c r="PY204" s="9"/>
      <c r="PZ204" s="9"/>
      <c r="QA204" s="9"/>
      <c r="QB204" s="9"/>
      <c r="QC204" s="9"/>
      <c r="QD204" s="9"/>
      <c r="QE204" s="9"/>
      <c r="QF204" s="9"/>
      <c r="QG204" s="9"/>
      <c r="QH204" s="9"/>
      <c r="QI204" s="9"/>
      <c r="QJ204" s="9"/>
      <c r="QK204" s="9"/>
      <c r="QL204" s="9"/>
      <c r="QM204" s="9"/>
      <c r="QN204" s="9"/>
      <c r="QO204" s="9"/>
      <c r="QP204" s="9"/>
      <c r="QQ204" s="9"/>
      <c r="QR204" s="9"/>
      <c r="QS204" s="9"/>
      <c r="QT204" s="9"/>
      <c r="QU204" s="9"/>
      <c r="QV204" s="9"/>
      <c r="QW204" s="9"/>
      <c r="QX204" s="9"/>
      <c r="QY204" s="9"/>
      <c r="QZ204" s="9"/>
      <c r="RA204" s="9"/>
      <c r="RB204" s="9"/>
      <c r="RC204" s="9"/>
      <c r="RD204" s="9"/>
      <c r="RE204" s="9"/>
      <c r="RF204" s="9"/>
      <c r="RG204" s="9"/>
      <c r="RH204" s="9"/>
      <c r="RI204" s="9"/>
      <c r="RJ204" s="9"/>
      <c r="RK204" s="9"/>
      <c r="RL204" s="9"/>
      <c r="RM204" s="9"/>
      <c r="RN204" s="9"/>
      <c r="RO204" s="9"/>
      <c r="RP204" s="9"/>
      <c r="RQ204" s="9"/>
      <c r="RR204" s="9"/>
      <c r="RS204" s="9"/>
      <c r="RT204" s="9"/>
      <c r="RU204" s="9"/>
      <c r="RV204" s="9"/>
      <c r="RW204" s="9"/>
      <c r="RX204" s="9"/>
      <c r="RY204" s="9"/>
      <c r="RZ204" s="9"/>
      <c r="SA204" s="9"/>
      <c r="SB204" s="9"/>
      <c r="SC204" s="9"/>
      <c r="SD204" s="9"/>
      <c r="SE204" s="9"/>
      <c r="SF204" s="9"/>
      <c r="SG204" s="9"/>
      <c r="SH204" s="9"/>
      <c r="SI204" s="9"/>
      <c r="SJ204" s="9"/>
      <c r="SK204" s="8"/>
      <c r="SL204" s="8"/>
      <c r="SM204" s="8"/>
      <c r="SN204" s="8"/>
      <c r="SO204" s="8"/>
      <c r="SP204" s="8"/>
      <c r="SQ204" s="8"/>
      <c r="SR204" s="8"/>
      <c r="SS204" s="8"/>
      <c r="ST204" s="8"/>
      <c r="SU204" s="8"/>
      <c r="SV204" s="8"/>
      <c r="SW204" s="8"/>
      <c r="SX204" s="8"/>
      <c r="SY204" s="8"/>
      <c r="SZ204" s="8"/>
      <c r="TA204" s="8"/>
      <c r="TB204" s="8"/>
      <c r="TC204" s="8"/>
      <c r="TD204" s="8"/>
      <c r="TE204" s="8"/>
      <c r="TF204" s="8"/>
      <c r="TG204" s="8"/>
      <c r="TH204" s="8"/>
      <c r="TI204" s="8"/>
      <c r="TJ204" s="8"/>
      <c r="TK204" s="8"/>
      <c r="TL204" s="8"/>
      <c r="TM204" s="8"/>
      <c r="TN204" s="8"/>
      <c r="TO204" s="8"/>
    </row>
    <row r="205" spans="1:535" x14ac:dyDescent="0.2">
      <c r="A205" s="7"/>
      <c r="B205" s="7"/>
      <c r="C205" s="9"/>
      <c r="D205" s="8"/>
      <c r="E205" s="8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  <c r="BZ205" s="9"/>
      <c r="CA205" s="9"/>
      <c r="CB205" s="9"/>
      <c r="CC205" s="9"/>
      <c r="CD205" s="9"/>
      <c r="CE205" s="9"/>
      <c r="CF205" s="9"/>
      <c r="CG205" s="9"/>
      <c r="CH205" s="9"/>
      <c r="CI205" s="9"/>
      <c r="CJ205" s="9"/>
      <c r="CK205" s="9"/>
      <c r="CL205" s="9"/>
      <c r="CM205" s="9"/>
      <c r="CN205" s="9"/>
      <c r="CO205" s="9"/>
      <c r="CP205" s="9"/>
      <c r="CQ205" s="9"/>
      <c r="CR205" s="9"/>
      <c r="CS205" s="9"/>
      <c r="CT205" s="9"/>
      <c r="CU205" s="9"/>
      <c r="CV205" s="9"/>
      <c r="CW205" s="9"/>
      <c r="CX205" s="9"/>
      <c r="CY205" s="9"/>
      <c r="CZ205" s="9"/>
      <c r="DA205" s="9"/>
      <c r="DB205" s="9"/>
      <c r="DC205" s="9"/>
      <c r="DD205" s="9"/>
      <c r="DE205" s="9"/>
      <c r="DF205" s="9"/>
      <c r="DG205" s="9"/>
      <c r="DH205" s="9"/>
      <c r="DI205" s="9"/>
      <c r="DJ205" s="9"/>
      <c r="DK205" s="9"/>
      <c r="DL205" s="9"/>
      <c r="DM205" s="9"/>
      <c r="DN205" s="9"/>
      <c r="DO205" s="9"/>
      <c r="DP205" s="9"/>
      <c r="DQ205" s="9"/>
      <c r="DR205" s="9"/>
      <c r="DS205" s="9"/>
      <c r="DT205" s="9"/>
      <c r="DU205" s="9"/>
      <c r="DV205" s="9"/>
      <c r="DW205" s="9"/>
      <c r="DX205" s="9"/>
      <c r="DY205" s="9"/>
      <c r="DZ205" s="9"/>
      <c r="EA205" s="9"/>
      <c r="EB205" s="9"/>
      <c r="EC205" s="9"/>
      <c r="ED205" s="9"/>
      <c r="EE205" s="9"/>
      <c r="EF205" s="9"/>
      <c r="EG205" s="9"/>
      <c r="EH205" s="9"/>
      <c r="EI205" s="9"/>
      <c r="EJ205" s="9"/>
      <c r="EK205" s="9"/>
      <c r="EL205" s="9"/>
      <c r="EM205" s="9"/>
      <c r="EN205" s="9"/>
      <c r="EO205" s="9"/>
      <c r="EP205" s="9"/>
      <c r="EQ205" s="9"/>
      <c r="ER205" s="9"/>
      <c r="ES205" s="9"/>
      <c r="ET205" s="9"/>
      <c r="EU205" s="9"/>
      <c r="EV205" s="9"/>
      <c r="EW205" s="9"/>
      <c r="EX205" s="9"/>
      <c r="EY205" s="9"/>
      <c r="EZ205" s="9"/>
      <c r="FA205" s="9"/>
      <c r="FB205" s="9"/>
      <c r="FC205" s="9"/>
      <c r="FD205" s="9"/>
      <c r="FE205" s="9"/>
      <c r="FF205" s="9"/>
      <c r="FG205" s="9"/>
      <c r="FH205" s="9"/>
      <c r="FI205" s="9"/>
      <c r="FJ205" s="9"/>
      <c r="FK205" s="9"/>
      <c r="FL205" s="9"/>
      <c r="FM205" s="9"/>
      <c r="FN205" s="9"/>
      <c r="FO205" s="9"/>
      <c r="FP205" s="9"/>
      <c r="FQ205" s="9"/>
      <c r="FR205" s="9"/>
      <c r="FS205" s="9"/>
      <c r="FT205" s="9"/>
      <c r="FU205" s="9"/>
      <c r="FV205" s="9"/>
      <c r="FW205" s="9"/>
      <c r="FX205" s="9"/>
      <c r="FY205" s="9"/>
      <c r="FZ205" s="9"/>
      <c r="GA205" s="9"/>
      <c r="GB205" s="9"/>
      <c r="GC205" s="9"/>
      <c r="GD205" s="9"/>
      <c r="GE205" s="9"/>
      <c r="GF205" s="9"/>
      <c r="GG205" s="9"/>
      <c r="GH205" s="9"/>
      <c r="GI205" s="9"/>
      <c r="GJ205" s="9"/>
      <c r="GK205" s="9"/>
      <c r="GL205" s="9"/>
      <c r="GM205" s="9"/>
      <c r="GN205" s="9"/>
      <c r="GO205" s="9"/>
      <c r="GP205" s="9"/>
      <c r="GQ205" s="9"/>
      <c r="GR205" s="9"/>
      <c r="GS205" s="9"/>
      <c r="GT205" s="9"/>
      <c r="GU205" s="9"/>
      <c r="GV205" s="9"/>
      <c r="GW205" s="9"/>
      <c r="GX205" s="9"/>
      <c r="GY205" s="9"/>
      <c r="GZ205" s="9"/>
      <c r="HA205" s="9"/>
      <c r="HB205" s="9"/>
      <c r="HC205" s="9"/>
      <c r="HD205" s="9"/>
      <c r="HE205" s="9"/>
      <c r="HF205" s="9"/>
      <c r="HG205" s="9"/>
      <c r="HH205" s="9"/>
      <c r="HI205" s="9"/>
      <c r="HJ205" s="9"/>
      <c r="HK205" s="9"/>
      <c r="HL205" s="9"/>
      <c r="HM205" s="9"/>
      <c r="HN205" s="9"/>
      <c r="HO205" s="9"/>
      <c r="HP205" s="9"/>
      <c r="HQ205" s="9"/>
      <c r="HR205" s="9"/>
      <c r="HS205" s="9"/>
      <c r="HT205" s="9"/>
      <c r="HU205" s="9"/>
      <c r="HV205" s="9"/>
      <c r="HW205" s="9"/>
      <c r="HX205" s="9"/>
      <c r="HY205" s="9"/>
      <c r="HZ205" s="9"/>
      <c r="IA205" s="9"/>
      <c r="IB205" s="9"/>
      <c r="IC205" s="9"/>
      <c r="ID205" s="9"/>
      <c r="IE205" s="9"/>
      <c r="IF205" s="9"/>
      <c r="IG205" s="9"/>
      <c r="IH205" s="9"/>
      <c r="II205" s="9"/>
      <c r="IJ205" s="9"/>
      <c r="IK205" s="9"/>
      <c r="IL205" s="9"/>
      <c r="IM205" s="9"/>
      <c r="IN205" s="9"/>
      <c r="IO205" s="9"/>
      <c r="IP205" s="9"/>
      <c r="IQ205" s="9"/>
      <c r="IR205" s="9"/>
      <c r="IS205" s="9"/>
      <c r="IT205" s="9"/>
      <c r="IU205" s="9"/>
      <c r="IV205" s="9"/>
      <c r="IW205" s="9"/>
      <c r="IX205" s="9"/>
      <c r="IY205" s="9"/>
      <c r="IZ205" s="9"/>
      <c r="JA205" s="9"/>
      <c r="JB205" s="9"/>
      <c r="JC205" s="9"/>
      <c r="JD205" s="9"/>
      <c r="JE205" s="9"/>
      <c r="JF205" s="9"/>
      <c r="JG205" s="9"/>
      <c r="JH205" s="9"/>
      <c r="JI205" s="9"/>
      <c r="JJ205" s="9"/>
      <c r="JK205" s="9"/>
      <c r="JL205" s="9"/>
      <c r="JM205" s="9"/>
      <c r="JN205" s="9"/>
      <c r="JO205" s="9"/>
      <c r="JP205" s="9"/>
      <c r="JQ205" s="9"/>
      <c r="JR205" s="9"/>
      <c r="JS205" s="9"/>
      <c r="JT205" s="9"/>
      <c r="JU205" s="9"/>
      <c r="JV205" s="9"/>
      <c r="JW205" s="9"/>
      <c r="JX205" s="9"/>
      <c r="JY205" s="9"/>
      <c r="JZ205" s="9"/>
      <c r="KA205" s="9"/>
      <c r="KB205" s="9"/>
      <c r="KC205" s="9"/>
      <c r="KD205" s="9"/>
      <c r="KE205" s="9"/>
      <c r="KF205" s="9"/>
      <c r="KG205" s="9"/>
      <c r="KH205" s="9"/>
      <c r="KI205" s="9"/>
      <c r="KJ205" s="9"/>
      <c r="KK205" s="9"/>
      <c r="KL205" s="9"/>
      <c r="KM205" s="9"/>
      <c r="KN205" s="9"/>
      <c r="KO205" s="9"/>
      <c r="KP205" s="9"/>
      <c r="KQ205" s="9"/>
      <c r="KR205" s="9"/>
      <c r="KS205" s="9"/>
      <c r="KT205" s="9"/>
      <c r="KU205" s="9"/>
      <c r="KV205" s="9"/>
      <c r="KW205" s="9"/>
      <c r="KX205" s="9"/>
      <c r="KY205" s="9"/>
      <c r="KZ205" s="9"/>
      <c r="LA205" s="9"/>
      <c r="LB205" s="9"/>
      <c r="LC205" s="9"/>
      <c r="LD205" s="9"/>
      <c r="LE205" s="9"/>
      <c r="LF205" s="9"/>
      <c r="LG205" s="9"/>
      <c r="LH205" s="9"/>
      <c r="LI205" s="9"/>
      <c r="LJ205" s="9"/>
      <c r="LK205" s="9"/>
      <c r="LL205" s="9"/>
      <c r="LM205" s="9"/>
      <c r="LN205" s="9"/>
      <c r="LO205" s="9"/>
      <c r="LP205" s="9"/>
      <c r="LQ205" s="9"/>
      <c r="LR205" s="9"/>
      <c r="LS205" s="9"/>
      <c r="LT205" s="9"/>
      <c r="LU205" s="9"/>
      <c r="LV205" s="9"/>
      <c r="LW205" s="9"/>
      <c r="LX205" s="9"/>
      <c r="LY205" s="9"/>
      <c r="LZ205" s="9"/>
      <c r="MA205" s="9"/>
      <c r="MB205" s="9"/>
      <c r="MC205" s="9"/>
      <c r="MD205" s="9"/>
      <c r="ME205" s="9"/>
      <c r="MF205" s="9"/>
      <c r="MG205" s="9"/>
      <c r="MH205" s="9"/>
      <c r="MI205" s="9"/>
      <c r="MJ205" s="9"/>
      <c r="MK205" s="9"/>
      <c r="ML205" s="9"/>
      <c r="MM205" s="9"/>
      <c r="MN205" s="9"/>
      <c r="MO205" s="9"/>
      <c r="MP205" s="9"/>
      <c r="MQ205" s="9"/>
      <c r="MR205" s="9"/>
      <c r="MS205" s="9"/>
      <c r="MT205" s="9"/>
      <c r="MU205" s="9"/>
      <c r="MV205" s="9"/>
      <c r="MW205" s="9"/>
      <c r="MX205" s="9"/>
      <c r="MY205" s="9"/>
      <c r="MZ205" s="9"/>
      <c r="NA205" s="9"/>
      <c r="NB205" s="9"/>
      <c r="NC205" s="9"/>
      <c r="ND205" s="9"/>
      <c r="NE205" s="9"/>
      <c r="NF205" s="9"/>
      <c r="NG205" s="9"/>
      <c r="NH205" s="9"/>
      <c r="NI205" s="9"/>
      <c r="NJ205" s="9"/>
      <c r="NK205" s="9"/>
      <c r="NL205" s="9"/>
      <c r="NM205" s="9"/>
      <c r="NN205" s="9"/>
      <c r="NO205" s="9"/>
      <c r="NP205" s="9"/>
      <c r="NQ205" s="9"/>
      <c r="NR205" s="9"/>
      <c r="NS205" s="9"/>
      <c r="NT205" s="9"/>
      <c r="NU205" s="9"/>
      <c r="NV205" s="9"/>
      <c r="NW205" s="9"/>
      <c r="NX205" s="9"/>
      <c r="NY205" s="9"/>
      <c r="NZ205" s="9"/>
      <c r="OA205" s="9"/>
      <c r="OB205" s="9"/>
      <c r="OC205" s="9"/>
      <c r="OD205" s="9"/>
      <c r="OE205" s="9"/>
      <c r="OF205" s="9"/>
      <c r="OG205" s="9"/>
      <c r="OH205" s="9"/>
      <c r="OI205" s="9"/>
      <c r="OJ205" s="9"/>
      <c r="OK205" s="9"/>
      <c r="OL205" s="9"/>
      <c r="OM205" s="9"/>
      <c r="ON205" s="9"/>
      <c r="OO205" s="9"/>
      <c r="OP205" s="9"/>
      <c r="OQ205" s="9"/>
      <c r="OR205" s="9"/>
      <c r="OS205" s="9"/>
      <c r="OT205" s="9"/>
      <c r="OU205" s="9"/>
      <c r="OV205" s="9"/>
      <c r="OW205" s="9"/>
      <c r="OX205" s="9"/>
      <c r="OY205" s="9"/>
      <c r="OZ205" s="9"/>
      <c r="PA205" s="9"/>
      <c r="PB205" s="9"/>
      <c r="PC205" s="9"/>
      <c r="PD205" s="9"/>
      <c r="PE205" s="9"/>
      <c r="PF205" s="9"/>
      <c r="PG205" s="9"/>
      <c r="PH205" s="9"/>
      <c r="PI205" s="9"/>
      <c r="PJ205" s="9"/>
      <c r="PK205" s="9"/>
      <c r="PL205" s="9"/>
      <c r="PM205" s="9"/>
      <c r="PN205" s="9"/>
      <c r="PO205" s="9"/>
      <c r="PP205" s="9"/>
      <c r="PQ205" s="9"/>
      <c r="PR205" s="9"/>
      <c r="PS205" s="9"/>
      <c r="PT205" s="9"/>
      <c r="PU205" s="9"/>
      <c r="PV205" s="9"/>
      <c r="PW205" s="9"/>
      <c r="PX205" s="9"/>
      <c r="PY205" s="9"/>
      <c r="PZ205" s="9"/>
      <c r="QA205" s="9"/>
      <c r="QB205" s="9"/>
      <c r="QC205" s="9"/>
      <c r="QD205" s="9"/>
      <c r="QE205" s="9"/>
      <c r="QF205" s="9"/>
      <c r="QG205" s="9"/>
      <c r="QH205" s="9"/>
      <c r="QI205" s="9"/>
      <c r="QJ205" s="9"/>
      <c r="QK205" s="9"/>
      <c r="QL205" s="9"/>
      <c r="QM205" s="9"/>
      <c r="QN205" s="9"/>
      <c r="QO205" s="9"/>
      <c r="QP205" s="9"/>
      <c r="QQ205" s="9"/>
      <c r="QR205" s="9"/>
      <c r="QS205" s="9"/>
      <c r="QT205" s="9"/>
      <c r="QU205" s="9"/>
      <c r="QV205" s="9"/>
      <c r="QW205" s="9"/>
      <c r="QX205" s="9"/>
      <c r="QY205" s="9"/>
      <c r="QZ205" s="9"/>
      <c r="RA205" s="9"/>
      <c r="RB205" s="9"/>
      <c r="RC205" s="9"/>
      <c r="RD205" s="9"/>
      <c r="RE205" s="9"/>
      <c r="RF205" s="9"/>
      <c r="RG205" s="9"/>
      <c r="RH205" s="9"/>
      <c r="RI205" s="9"/>
      <c r="RJ205" s="9"/>
      <c r="RK205" s="9"/>
      <c r="RL205" s="9"/>
      <c r="RM205" s="9"/>
      <c r="RN205" s="9"/>
      <c r="RO205" s="9"/>
      <c r="RP205" s="9"/>
      <c r="RQ205" s="9"/>
      <c r="RR205" s="9"/>
      <c r="RS205" s="9"/>
      <c r="RT205" s="9"/>
      <c r="RU205" s="9"/>
      <c r="RV205" s="9"/>
      <c r="RW205" s="9"/>
      <c r="RX205" s="9"/>
      <c r="RY205" s="9"/>
      <c r="RZ205" s="9"/>
      <c r="SA205" s="9"/>
      <c r="SB205" s="9"/>
      <c r="SC205" s="9"/>
      <c r="SD205" s="9"/>
      <c r="SE205" s="9"/>
      <c r="SF205" s="9"/>
      <c r="SG205" s="9"/>
      <c r="SH205" s="9"/>
      <c r="SI205" s="9"/>
      <c r="SJ205" s="9"/>
      <c r="SK205" s="8"/>
      <c r="SL205" s="8"/>
      <c r="SM205" s="8"/>
      <c r="SN205" s="8"/>
      <c r="SO205" s="8"/>
      <c r="SP205" s="8"/>
      <c r="SQ205" s="8"/>
      <c r="SR205" s="8"/>
      <c r="SS205" s="8"/>
      <c r="ST205" s="8"/>
      <c r="SU205" s="8"/>
      <c r="SV205" s="8"/>
      <c r="SW205" s="8"/>
      <c r="SX205" s="8"/>
      <c r="SY205" s="8"/>
      <c r="SZ205" s="8"/>
      <c r="TA205" s="8"/>
      <c r="TB205" s="8"/>
      <c r="TC205" s="8"/>
      <c r="TD205" s="8"/>
      <c r="TE205" s="8"/>
      <c r="TF205" s="8"/>
      <c r="TG205" s="8"/>
      <c r="TH205" s="8"/>
      <c r="TI205" s="8"/>
      <c r="TJ205" s="8"/>
      <c r="TK205" s="8"/>
      <c r="TL205" s="8"/>
      <c r="TM205" s="8"/>
      <c r="TN205" s="8"/>
      <c r="TO205" s="8"/>
    </row>
    <row r="206" spans="1:535" x14ac:dyDescent="0.2">
      <c r="A206" s="7"/>
      <c r="B206" s="7"/>
      <c r="C206" s="9"/>
      <c r="D206" s="8"/>
      <c r="E206" s="8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9"/>
      <c r="CE206" s="9"/>
      <c r="CF206" s="9"/>
      <c r="CG206" s="9"/>
      <c r="CH206" s="9"/>
      <c r="CI206" s="9"/>
      <c r="CJ206" s="9"/>
      <c r="CK206" s="9"/>
      <c r="CL206" s="9"/>
      <c r="CM206" s="9"/>
      <c r="CN206" s="9"/>
      <c r="CO206" s="9"/>
      <c r="CP206" s="9"/>
      <c r="CQ206" s="9"/>
      <c r="CR206" s="9"/>
      <c r="CS206" s="9"/>
      <c r="CT206" s="9"/>
      <c r="CU206" s="9"/>
      <c r="CV206" s="9"/>
      <c r="CW206" s="9"/>
      <c r="CX206" s="9"/>
      <c r="CY206" s="9"/>
      <c r="CZ206" s="9"/>
      <c r="DA206" s="9"/>
      <c r="DB206" s="9"/>
      <c r="DC206" s="9"/>
      <c r="DD206" s="9"/>
      <c r="DE206" s="9"/>
      <c r="DF206" s="9"/>
      <c r="DG206" s="9"/>
      <c r="DH206" s="9"/>
      <c r="DI206" s="9"/>
      <c r="DJ206" s="9"/>
      <c r="DK206" s="9"/>
      <c r="DL206" s="9"/>
      <c r="DM206" s="9"/>
      <c r="DN206" s="9"/>
      <c r="DO206" s="9"/>
      <c r="DP206" s="9"/>
      <c r="DQ206" s="9"/>
      <c r="DR206" s="9"/>
      <c r="DS206" s="9"/>
      <c r="DT206" s="9"/>
      <c r="DU206" s="9"/>
      <c r="DV206" s="9"/>
      <c r="DW206" s="9"/>
      <c r="DX206" s="9"/>
      <c r="DY206" s="9"/>
      <c r="DZ206" s="9"/>
      <c r="EA206" s="9"/>
      <c r="EB206" s="9"/>
      <c r="EC206" s="9"/>
      <c r="ED206" s="9"/>
      <c r="EE206" s="9"/>
      <c r="EF206" s="9"/>
      <c r="EG206" s="9"/>
      <c r="EH206" s="9"/>
      <c r="EI206" s="9"/>
      <c r="EJ206" s="9"/>
      <c r="EK206" s="9"/>
      <c r="EL206" s="9"/>
      <c r="EM206" s="9"/>
      <c r="EN206" s="9"/>
      <c r="EO206" s="9"/>
      <c r="EP206" s="9"/>
      <c r="EQ206" s="9"/>
      <c r="ER206" s="9"/>
      <c r="ES206" s="9"/>
      <c r="ET206" s="9"/>
      <c r="EU206" s="9"/>
      <c r="EV206" s="9"/>
      <c r="EW206" s="9"/>
      <c r="EX206" s="9"/>
      <c r="EY206" s="9"/>
      <c r="EZ206" s="9"/>
      <c r="FA206" s="9"/>
      <c r="FB206" s="9"/>
      <c r="FC206" s="9"/>
      <c r="FD206" s="9"/>
      <c r="FE206" s="9"/>
      <c r="FF206" s="9"/>
      <c r="FG206" s="9"/>
      <c r="FH206" s="9"/>
      <c r="FI206" s="9"/>
      <c r="FJ206" s="9"/>
      <c r="FK206" s="9"/>
      <c r="FL206" s="9"/>
      <c r="FM206" s="9"/>
      <c r="FN206" s="9"/>
      <c r="FO206" s="9"/>
      <c r="FP206" s="9"/>
      <c r="FQ206" s="9"/>
      <c r="FR206" s="9"/>
      <c r="FS206" s="9"/>
      <c r="FT206" s="9"/>
      <c r="FU206" s="9"/>
      <c r="FV206" s="9"/>
      <c r="FW206" s="9"/>
      <c r="FX206" s="9"/>
      <c r="FY206" s="9"/>
      <c r="FZ206" s="9"/>
      <c r="GA206" s="9"/>
      <c r="GB206" s="9"/>
      <c r="GC206" s="9"/>
      <c r="GD206" s="9"/>
      <c r="GE206" s="9"/>
      <c r="GF206" s="9"/>
      <c r="GG206" s="9"/>
      <c r="GH206" s="9"/>
      <c r="GI206" s="9"/>
      <c r="GJ206" s="9"/>
      <c r="GK206" s="9"/>
      <c r="GL206" s="9"/>
      <c r="GM206" s="9"/>
      <c r="GN206" s="9"/>
      <c r="GO206" s="9"/>
      <c r="GP206" s="9"/>
      <c r="GQ206" s="9"/>
      <c r="GR206" s="9"/>
      <c r="GS206" s="9"/>
      <c r="GT206" s="9"/>
      <c r="GU206" s="9"/>
      <c r="GV206" s="9"/>
      <c r="GW206" s="9"/>
      <c r="GX206" s="9"/>
      <c r="GY206" s="9"/>
      <c r="GZ206" s="9"/>
      <c r="HA206" s="9"/>
      <c r="HB206" s="9"/>
      <c r="HC206" s="9"/>
      <c r="HD206" s="9"/>
      <c r="HE206" s="9"/>
      <c r="HF206" s="9"/>
      <c r="HG206" s="9"/>
      <c r="HH206" s="9"/>
      <c r="HI206" s="9"/>
      <c r="HJ206" s="9"/>
      <c r="HK206" s="9"/>
      <c r="HL206" s="9"/>
      <c r="HM206" s="9"/>
      <c r="HN206" s="9"/>
      <c r="HO206" s="9"/>
      <c r="HP206" s="9"/>
      <c r="HQ206" s="9"/>
      <c r="HR206" s="9"/>
      <c r="HS206" s="9"/>
      <c r="HT206" s="9"/>
      <c r="HU206" s="9"/>
      <c r="HV206" s="9"/>
      <c r="HW206" s="9"/>
      <c r="HX206" s="9"/>
      <c r="HY206" s="9"/>
      <c r="HZ206" s="9"/>
      <c r="IA206" s="9"/>
      <c r="IB206" s="9"/>
      <c r="IC206" s="9"/>
      <c r="ID206" s="9"/>
      <c r="IE206" s="9"/>
      <c r="IF206" s="9"/>
      <c r="IG206" s="9"/>
      <c r="IH206" s="9"/>
      <c r="II206" s="9"/>
      <c r="IJ206" s="9"/>
      <c r="IK206" s="9"/>
      <c r="IL206" s="9"/>
      <c r="IM206" s="9"/>
      <c r="IN206" s="9"/>
      <c r="IO206" s="9"/>
      <c r="IP206" s="9"/>
      <c r="IQ206" s="9"/>
      <c r="IR206" s="9"/>
      <c r="IS206" s="9"/>
      <c r="IT206" s="9"/>
      <c r="IU206" s="9"/>
      <c r="IV206" s="9"/>
      <c r="IW206" s="9"/>
      <c r="IX206" s="9"/>
      <c r="IY206" s="9"/>
      <c r="IZ206" s="9"/>
      <c r="JA206" s="9"/>
      <c r="JB206" s="9"/>
      <c r="JC206" s="9"/>
      <c r="JD206" s="9"/>
      <c r="JE206" s="9"/>
      <c r="JF206" s="9"/>
      <c r="JG206" s="9"/>
      <c r="JH206" s="9"/>
      <c r="JI206" s="9"/>
      <c r="JJ206" s="9"/>
      <c r="JK206" s="9"/>
      <c r="JL206" s="9"/>
      <c r="JM206" s="9"/>
      <c r="JN206" s="9"/>
      <c r="JO206" s="9"/>
      <c r="JP206" s="9"/>
      <c r="JQ206" s="9"/>
      <c r="JR206" s="9"/>
      <c r="JS206" s="9"/>
      <c r="JT206" s="9"/>
      <c r="JU206" s="9"/>
      <c r="JV206" s="9"/>
      <c r="JW206" s="9"/>
      <c r="JX206" s="9"/>
      <c r="JY206" s="9"/>
      <c r="JZ206" s="9"/>
      <c r="KA206" s="9"/>
      <c r="KB206" s="9"/>
      <c r="KC206" s="9"/>
      <c r="KD206" s="9"/>
      <c r="KE206" s="9"/>
      <c r="KF206" s="9"/>
      <c r="KG206" s="9"/>
      <c r="KH206" s="9"/>
      <c r="KI206" s="9"/>
      <c r="KJ206" s="9"/>
      <c r="KK206" s="9"/>
      <c r="KL206" s="9"/>
      <c r="KM206" s="9"/>
      <c r="KN206" s="9"/>
      <c r="KO206" s="9"/>
      <c r="KP206" s="9"/>
      <c r="KQ206" s="9"/>
      <c r="KR206" s="9"/>
      <c r="KS206" s="9"/>
      <c r="KT206" s="9"/>
      <c r="KU206" s="9"/>
      <c r="KV206" s="9"/>
      <c r="KW206" s="9"/>
      <c r="KX206" s="9"/>
      <c r="KY206" s="9"/>
      <c r="KZ206" s="9"/>
      <c r="LA206" s="9"/>
      <c r="LB206" s="9"/>
      <c r="LC206" s="9"/>
      <c r="LD206" s="9"/>
      <c r="LE206" s="9"/>
      <c r="LF206" s="9"/>
      <c r="LG206" s="9"/>
      <c r="LH206" s="9"/>
      <c r="LI206" s="9"/>
      <c r="LJ206" s="9"/>
      <c r="LK206" s="9"/>
      <c r="LL206" s="9"/>
      <c r="LM206" s="9"/>
      <c r="LN206" s="9"/>
      <c r="LO206" s="9"/>
      <c r="LP206" s="9"/>
      <c r="LQ206" s="9"/>
      <c r="LR206" s="9"/>
      <c r="LS206" s="9"/>
      <c r="LT206" s="9"/>
      <c r="LU206" s="9"/>
      <c r="LV206" s="9"/>
      <c r="LW206" s="9"/>
      <c r="LX206" s="9"/>
      <c r="LY206" s="9"/>
      <c r="LZ206" s="9"/>
      <c r="MA206" s="9"/>
      <c r="MB206" s="9"/>
      <c r="MC206" s="9"/>
      <c r="MD206" s="9"/>
      <c r="ME206" s="9"/>
      <c r="MF206" s="9"/>
      <c r="MG206" s="9"/>
      <c r="MH206" s="9"/>
      <c r="MI206" s="9"/>
      <c r="MJ206" s="9"/>
      <c r="MK206" s="9"/>
      <c r="ML206" s="9"/>
      <c r="MM206" s="9"/>
      <c r="MN206" s="9"/>
      <c r="MO206" s="9"/>
      <c r="MP206" s="9"/>
      <c r="MQ206" s="9"/>
      <c r="MR206" s="9"/>
      <c r="MS206" s="9"/>
      <c r="MT206" s="9"/>
      <c r="MU206" s="9"/>
      <c r="MV206" s="9"/>
      <c r="MW206" s="9"/>
      <c r="MX206" s="9"/>
      <c r="MY206" s="9"/>
      <c r="MZ206" s="9"/>
      <c r="NA206" s="9"/>
      <c r="NB206" s="9"/>
      <c r="NC206" s="9"/>
      <c r="ND206" s="9"/>
      <c r="NE206" s="9"/>
      <c r="NF206" s="9"/>
      <c r="NG206" s="9"/>
      <c r="NH206" s="9"/>
      <c r="NI206" s="9"/>
      <c r="NJ206" s="9"/>
      <c r="NK206" s="9"/>
      <c r="NL206" s="9"/>
      <c r="NM206" s="9"/>
      <c r="NN206" s="9"/>
      <c r="NO206" s="9"/>
      <c r="NP206" s="9"/>
      <c r="NQ206" s="9"/>
      <c r="NR206" s="9"/>
      <c r="NS206" s="9"/>
      <c r="NT206" s="9"/>
      <c r="NU206" s="9"/>
      <c r="NV206" s="9"/>
      <c r="NW206" s="9"/>
      <c r="NX206" s="9"/>
      <c r="NY206" s="9"/>
      <c r="NZ206" s="9"/>
      <c r="OA206" s="9"/>
      <c r="OB206" s="9"/>
      <c r="OC206" s="9"/>
      <c r="OD206" s="9"/>
      <c r="OE206" s="9"/>
      <c r="OF206" s="9"/>
      <c r="OG206" s="9"/>
      <c r="OH206" s="9"/>
      <c r="OI206" s="9"/>
      <c r="OJ206" s="9"/>
      <c r="OK206" s="9"/>
      <c r="OL206" s="9"/>
      <c r="OM206" s="9"/>
      <c r="ON206" s="9"/>
      <c r="OO206" s="9"/>
      <c r="OP206" s="9"/>
      <c r="OQ206" s="9"/>
      <c r="OR206" s="9"/>
      <c r="OS206" s="9"/>
      <c r="OT206" s="9"/>
      <c r="OU206" s="9"/>
      <c r="OV206" s="9"/>
      <c r="OW206" s="9"/>
      <c r="OX206" s="9"/>
      <c r="OY206" s="9"/>
      <c r="OZ206" s="9"/>
      <c r="PA206" s="9"/>
      <c r="PB206" s="9"/>
      <c r="PC206" s="9"/>
      <c r="PD206" s="9"/>
      <c r="PE206" s="9"/>
      <c r="PF206" s="9"/>
      <c r="PG206" s="9"/>
      <c r="PH206" s="9"/>
      <c r="PI206" s="9"/>
      <c r="PJ206" s="9"/>
      <c r="PK206" s="9"/>
      <c r="PL206" s="9"/>
      <c r="PM206" s="9"/>
      <c r="PN206" s="9"/>
      <c r="PO206" s="9"/>
      <c r="PP206" s="9"/>
      <c r="PQ206" s="9"/>
      <c r="PR206" s="9"/>
      <c r="PS206" s="9"/>
      <c r="PT206" s="9"/>
      <c r="PU206" s="9"/>
      <c r="PV206" s="9"/>
      <c r="PW206" s="9"/>
      <c r="PX206" s="9"/>
      <c r="PY206" s="9"/>
      <c r="PZ206" s="9"/>
      <c r="QA206" s="9"/>
      <c r="QB206" s="9"/>
      <c r="QC206" s="9"/>
      <c r="QD206" s="9"/>
      <c r="QE206" s="9"/>
      <c r="QF206" s="9"/>
      <c r="QG206" s="9"/>
      <c r="QH206" s="9"/>
      <c r="QI206" s="9"/>
      <c r="QJ206" s="9"/>
      <c r="QK206" s="9"/>
      <c r="QL206" s="9"/>
      <c r="QM206" s="9"/>
      <c r="QN206" s="9"/>
      <c r="QO206" s="9"/>
      <c r="QP206" s="9"/>
      <c r="QQ206" s="9"/>
      <c r="QR206" s="9"/>
      <c r="QS206" s="9"/>
      <c r="QT206" s="9"/>
      <c r="QU206" s="9"/>
      <c r="QV206" s="9"/>
      <c r="QW206" s="9"/>
      <c r="QX206" s="9"/>
      <c r="QY206" s="9"/>
      <c r="QZ206" s="9"/>
      <c r="RA206" s="9"/>
      <c r="RB206" s="9"/>
      <c r="RC206" s="9"/>
      <c r="RD206" s="9"/>
      <c r="RE206" s="9"/>
      <c r="RF206" s="9"/>
      <c r="RG206" s="9"/>
      <c r="RH206" s="9"/>
      <c r="RI206" s="9"/>
      <c r="RJ206" s="9"/>
      <c r="RK206" s="9"/>
      <c r="RL206" s="9"/>
      <c r="RM206" s="9"/>
      <c r="RN206" s="9"/>
      <c r="RO206" s="9"/>
      <c r="RP206" s="9"/>
      <c r="RQ206" s="9"/>
      <c r="RR206" s="9"/>
      <c r="RS206" s="9"/>
      <c r="RT206" s="9"/>
      <c r="RU206" s="9"/>
      <c r="RV206" s="9"/>
      <c r="RW206" s="9"/>
      <c r="RX206" s="9"/>
      <c r="RY206" s="9"/>
      <c r="RZ206" s="9"/>
      <c r="SA206" s="9"/>
      <c r="SB206" s="9"/>
      <c r="SC206" s="9"/>
      <c r="SD206" s="9"/>
      <c r="SE206" s="9"/>
      <c r="SF206" s="9"/>
      <c r="SG206" s="9"/>
      <c r="SH206" s="9"/>
      <c r="SI206" s="9"/>
      <c r="SJ206" s="9"/>
      <c r="SK206" s="8"/>
      <c r="SL206" s="8"/>
      <c r="SM206" s="8"/>
      <c r="SN206" s="8"/>
      <c r="SO206" s="8"/>
      <c r="SP206" s="8"/>
      <c r="SQ206" s="8"/>
      <c r="SR206" s="8"/>
      <c r="SS206" s="8"/>
      <c r="ST206" s="8"/>
      <c r="SU206" s="8"/>
      <c r="SV206" s="8"/>
      <c r="SW206" s="8"/>
      <c r="SX206" s="8"/>
      <c r="SY206" s="8"/>
      <c r="SZ206" s="8"/>
      <c r="TA206" s="8"/>
      <c r="TB206" s="8"/>
      <c r="TC206" s="8"/>
      <c r="TD206" s="8"/>
      <c r="TE206" s="8"/>
      <c r="TF206" s="8"/>
      <c r="TG206" s="8"/>
      <c r="TH206" s="8"/>
      <c r="TI206" s="8"/>
      <c r="TJ206" s="8"/>
      <c r="TK206" s="8"/>
      <c r="TL206" s="8"/>
      <c r="TM206" s="8"/>
      <c r="TN206" s="8"/>
      <c r="TO206" s="8"/>
    </row>
    <row r="207" spans="1:535" x14ac:dyDescent="0.2">
      <c r="A207" s="7"/>
      <c r="B207" s="7"/>
      <c r="C207" s="9"/>
      <c r="D207" s="8"/>
      <c r="E207" s="8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  <c r="CE207" s="9"/>
      <c r="CF207" s="9"/>
      <c r="CG207" s="9"/>
      <c r="CH207" s="9"/>
      <c r="CI207" s="9"/>
      <c r="CJ207" s="9"/>
      <c r="CK207" s="9"/>
      <c r="CL207" s="9"/>
      <c r="CM207" s="9"/>
      <c r="CN207" s="9"/>
      <c r="CO207" s="9"/>
      <c r="CP207" s="9"/>
      <c r="CQ207" s="9"/>
      <c r="CR207" s="9"/>
      <c r="CS207" s="9"/>
      <c r="CT207" s="9"/>
      <c r="CU207" s="9"/>
      <c r="CV207" s="9"/>
      <c r="CW207" s="9"/>
      <c r="CX207" s="9"/>
      <c r="CY207" s="9"/>
      <c r="CZ207" s="9"/>
      <c r="DA207" s="9"/>
      <c r="DB207" s="9"/>
      <c r="DC207" s="9"/>
      <c r="DD207" s="9"/>
      <c r="DE207" s="9"/>
      <c r="DF207" s="9"/>
      <c r="DG207" s="9"/>
      <c r="DH207" s="9"/>
      <c r="DI207" s="9"/>
      <c r="DJ207" s="9"/>
      <c r="DK207" s="9"/>
      <c r="DL207" s="9"/>
      <c r="DM207" s="9"/>
      <c r="DN207" s="9"/>
      <c r="DO207" s="9"/>
      <c r="DP207" s="9"/>
      <c r="DQ207" s="9"/>
      <c r="DR207" s="9"/>
      <c r="DS207" s="9"/>
      <c r="DT207" s="9"/>
      <c r="DU207" s="9"/>
      <c r="DV207" s="9"/>
      <c r="DW207" s="9"/>
      <c r="DX207" s="9"/>
      <c r="DY207" s="9"/>
      <c r="DZ207" s="9"/>
      <c r="EA207" s="9"/>
      <c r="EB207" s="9"/>
      <c r="EC207" s="9"/>
      <c r="ED207" s="9"/>
      <c r="EE207" s="9"/>
      <c r="EF207" s="9"/>
      <c r="EG207" s="9"/>
      <c r="EH207" s="9"/>
      <c r="EI207" s="9"/>
      <c r="EJ207" s="9"/>
      <c r="EK207" s="9"/>
      <c r="EL207" s="9"/>
      <c r="EM207" s="9"/>
      <c r="EN207" s="9"/>
      <c r="EO207" s="9"/>
      <c r="EP207" s="9"/>
      <c r="EQ207" s="9"/>
      <c r="ER207" s="9"/>
      <c r="ES207" s="9"/>
      <c r="ET207" s="9"/>
      <c r="EU207" s="9"/>
      <c r="EV207" s="9"/>
      <c r="EW207" s="9"/>
      <c r="EX207" s="9"/>
      <c r="EY207" s="9"/>
      <c r="EZ207" s="9"/>
      <c r="FA207" s="9"/>
      <c r="FB207" s="9"/>
      <c r="FC207" s="9"/>
      <c r="FD207" s="9"/>
      <c r="FE207" s="9"/>
      <c r="FF207" s="9"/>
      <c r="FG207" s="9"/>
      <c r="FH207" s="9"/>
      <c r="FI207" s="9"/>
      <c r="FJ207" s="9"/>
      <c r="FK207" s="9"/>
      <c r="FL207" s="9"/>
      <c r="FM207" s="9"/>
      <c r="FN207" s="9"/>
      <c r="FO207" s="9"/>
      <c r="FP207" s="9"/>
      <c r="FQ207" s="9"/>
      <c r="FR207" s="9"/>
      <c r="FS207" s="9"/>
      <c r="FT207" s="9"/>
      <c r="FU207" s="9"/>
      <c r="FV207" s="9"/>
      <c r="FW207" s="9"/>
      <c r="FX207" s="9"/>
      <c r="FY207" s="9"/>
      <c r="FZ207" s="9"/>
      <c r="GA207" s="9"/>
      <c r="GB207" s="9"/>
      <c r="GC207" s="9"/>
      <c r="GD207" s="9"/>
      <c r="GE207" s="9"/>
      <c r="GF207" s="9"/>
      <c r="GG207" s="9"/>
      <c r="GH207" s="9"/>
      <c r="GI207" s="9"/>
      <c r="GJ207" s="9"/>
      <c r="GK207" s="9"/>
      <c r="GL207" s="9"/>
      <c r="GM207" s="9"/>
      <c r="GN207" s="9"/>
      <c r="GO207" s="9"/>
      <c r="GP207" s="9"/>
      <c r="GQ207" s="9"/>
      <c r="GR207" s="9"/>
      <c r="GS207" s="9"/>
      <c r="GT207" s="9"/>
      <c r="GU207" s="9"/>
      <c r="GV207" s="9"/>
      <c r="GW207" s="9"/>
      <c r="GX207" s="9"/>
      <c r="GY207" s="9"/>
      <c r="GZ207" s="9"/>
      <c r="HA207" s="9"/>
      <c r="HB207" s="9"/>
      <c r="HC207" s="9"/>
      <c r="HD207" s="9"/>
      <c r="HE207" s="9"/>
      <c r="HF207" s="9"/>
      <c r="HG207" s="9"/>
      <c r="HH207" s="9"/>
      <c r="HI207" s="9"/>
      <c r="HJ207" s="9"/>
      <c r="HK207" s="9"/>
      <c r="HL207" s="9"/>
      <c r="HM207" s="9"/>
      <c r="HN207" s="9"/>
      <c r="HO207" s="9"/>
      <c r="HP207" s="9"/>
      <c r="HQ207" s="9"/>
      <c r="HR207" s="9"/>
      <c r="HS207" s="9"/>
      <c r="HT207" s="9"/>
      <c r="HU207" s="9"/>
      <c r="HV207" s="9"/>
      <c r="HW207" s="9"/>
      <c r="HX207" s="9"/>
      <c r="HY207" s="9"/>
      <c r="HZ207" s="9"/>
      <c r="IA207" s="9"/>
      <c r="IB207" s="9"/>
      <c r="IC207" s="9"/>
      <c r="ID207" s="9"/>
      <c r="IE207" s="9"/>
      <c r="IF207" s="9"/>
      <c r="IG207" s="9"/>
      <c r="IH207" s="9"/>
      <c r="II207" s="9"/>
      <c r="IJ207" s="9"/>
      <c r="IK207" s="9"/>
      <c r="IL207" s="9"/>
      <c r="IM207" s="9"/>
      <c r="IN207" s="9"/>
      <c r="IO207" s="9"/>
      <c r="IP207" s="9"/>
      <c r="IQ207" s="9"/>
      <c r="IR207" s="9"/>
      <c r="IS207" s="9"/>
      <c r="IT207" s="9"/>
      <c r="IU207" s="9"/>
      <c r="IV207" s="9"/>
      <c r="IW207" s="9"/>
      <c r="IX207" s="9"/>
      <c r="IY207" s="9"/>
      <c r="IZ207" s="9"/>
      <c r="JA207" s="9"/>
      <c r="JB207" s="9"/>
      <c r="JC207" s="9"/>
      <c r="JD207" s="9"/>
      <c r="JE207" s="9"/>
      <c r="JF207" s="9"/>
      <c r="JG207" s="9"/>
      <c r="JH207" s="9"/>
      <c r="JI207" s="9"/>
      <c r="JJ207" s="9"/>
      <c r="JK207" s="9"/>
      <c r="JL207" s="9"/>
      <c r="JM207" s="9"/>
      <c r="JN207" s="9"/>
      <c r="JO207" s="9"/>
      <c r="JP207" s="9"/>
      <c r="JQ207" s="9"/>
      <c r="JR207" s="9"/>
      <c r="JS207" s="9"/>
      <c r="JT207" s="9"/>
      <c r="JU207" s="9"/>
      <c r="JV207" s="9"/>
      <c r="JW207" s="9"/>
      <c r="JX207" s="9"/>
      <c r="JY207" s="9"/>
      <c r="JZ207" s="9"/>
      <c r="KA207" s="9"/>
      <c r="KB207" s="9"/>
      <c r="KC207" s="9"/>
      <c r="KD207" s="9"/>
      <c r="KE207" s="9"/>
      <c r="KF207" s="9"/>
      <c r="KG207" s="9"/>
      <c r="KH207" s="9"/>
      <c r="KI207" s="9"/>
      <c r="KJ207" s="9"/>
      <c r="KK207" s="9"/>
      <c r="KL207" s="9"/>
      <c r="KM207" s="9"/>
      <c r="KN207" s="9"/>
      <c r="KO207" s="9"/>
      <c r="KP207" s="9"/>
      <c r="KQ207" s="9"/>
      <c r="KR207" s="9"/>
      <c r="KS207" s="9"/>
      <c r="KT207" s="9"/>
      <c r="KU207" s="9"/>
      <c r="KV207" s="9"/>
      <c r="KW207" s="9"/>
      <c r="KX207" s="9"/>
      <c r="KY207" s="9"/>
      <c r="KZ207" s="9"/>
      <c r="LA207" s="9"/>
      <c r="LB207" s="9"/>
      <c r="LC207" s="9"/>
      <c r="LD207" s="9"/>
      <c r="LE207" s="9"/>
      <c r="LF207" s="9"/>
      <c r="LG207" s="9"/>
      <c r="LH207" s="9"/>
      <c r="LI207" s="9"/>
      <c r="LJ207" s="9"/>
      <c r="LK207" s="9"/>
      <c r="LL207" s="9"/>
      <c r="LM207" s="9"/>
      <c r="LN207" s="9"/>
      <c r="LO207" s="9"/>
      <c r="LP207" s="9"/>
      <c r="LQ207" s="9"/>
      <c r="LR207" s="9"/>
      <c r="LS207" s="9"/>
      <c r="LT207" s="9"/>
      <c r="LU207" s="9"/>
      <c r="LV207" s="9"/>
      <c r="LW207" s="9"/>
      <c r="LX207" s="9"/>
      <c r="LY207" s="9"/>
      <c r="LZ207" s="9"/>
      <c r="MA207" s="9"/>
      <c r="MB207" s="9"/>
      <c r="MC207" s="9"/>
      <c r="MD207" s="9"/>
      <c r="ME207" s="9"/>
      <c r="MF207" s="9"/>
      <c r="MG207" s="9"/>
      <c r="MH207" s="9"/>
      <c r="MI207" s="9"/>
      <c r="MJ207" s="9"/>
      <c r="MK207" s="9"/>
      <c r="ML207" s="9"/>
      <c r="MM207" s="9"/>
      <c r="MN207" s="9"/>
      <c r="MO207" s="9"/>
      <c r="MP207" s="9"/>
      <c r="MQ207" s="9"/>
      <c r="MR207" s="9"/>
      <c r="MS207" s="9"/>
      <c r="MT207" s="9"/>
      <c r="MU207" s="9"/>
      <c r="MV207" s="9"/>
      <c r="MW207" s="9"/>
      <c r="MX207" s="9"/>
      <c r="MY207" s="9"/>
      <c r="MZ207" s="9"/>
      <c r="NA207" s="9"/>
      <c r="NB207" s="9"/>
      <c r="NC207" s="9"/>
      <c r="ND207" s="9"/>
      <c r="NE207" s="9"/>
      <c r="NF207" s="9"/>
      <c r="NG207" s="9"/>
      <c r="NH207" s="9"/>
      <c r="NI207" s="9"/>
      <c r="NJ207" s="9"/>
      <c r="NK207" s="9"/>
      <c r="NL207" s="9"/>
      <c r="NM207" s="9"/>
      <c r="NN207" s="9"/>
      <c r="NO207" s="9"/>
      <c r="NP207" s="9"/>
      <c r="NQ207" s="9"/>
      <c r="NR207" s="9"/>
      <c r="NS207" s="9"/>
      <c r="NT207" s="9"/>
      <c r="NU207" s="9"/>
      <c r="NV207" s="9"/>
      <c r="NW207" s="9"/>
      <c r="NX207" s="9"/>
      <c r="NY207" s="9"/>
      <c r="NZ207" s="9"/>
      <c r="OA207" s="9"/>
      <c r="OB207" s="9"/>
      <c r="OC207" s="9"/>
      <c r="OD207" s="9"/>
      <c r="OE207" s="9"/>
      <c r="OF207" s="9"/>
      <c r="OG207" s="9"/>
      <c r="OH207" s="9"/>
      <c r="OI207" s="9"/>
      <c r="OJ207" s="9"/>
      <c r="OK207" s="9"/>
      <c r="OL207" s="9"/>
      <c r="OM207" s="9"/>
      <c r="ON207" s="9"/>
      <c r="OO207" s="9"/>
      <c r="OP207" s="9"/>
      <c r="OQ207" s="9"/>
      <c r="OR207" s="9"/>
      <c r="OS207" s="9"/>
      <c r="OT207" s="9"/>
      <c r="OU207" s="9"/>
      <c r="OV207" s="9"/>
      <c r="OW207" s="9"/>
      <c r="OX207" s="9"/>
      <c r="OY207" s="9"/>
      <c r="OZ207" s="9"/>
      <c r="PA207" s="9"/>
      <c r="PB207" s="9"/>
      <c r="PC207" s="9"/>
      <c r="PD207" s="9"/>
      <c r="PE207" s="9"/>
      <c r="PF207" s="9"/>
      <c r="PG207" s="9"/>
      <c r="PH207" s="9"/>
      <c r="PI207" s="9"/>
      <c r="PJ207" s="9"/>
      <c r="PK207" s="9"/>
      <c r="PL207" s="9"/>
      <c r="PM207" s="9"/>
      <c r="PN207" s="9"/>
      <c r="PO207" s="9"/>
      <c r="PP207" s="9"/>
      <c r="PQ207" s="9"/>
      <c r="PR207" s="9"/>
      <c r="PS207" s="9"/>
      <c r="PT207" s="9"/>
      <c r="PU207" s="9"/>
      <c r="PV207" s="9"/>
      <c r="PW207" s="9"/>
      <c r="PX207" s="9"/>
      <c r="PY207" s="9"/>
      <c r="PZ207" s="9"/>
      <c r="QA207" s="9"/>
      <c r="QB207" s="9"/>
      <c r="QC207" s="9"/>
      <c r="QD207" s="9"/>
      <c r="QE207" s="9"/>
      <c r="QF207" s="9"/>
      <c r="QG207" s="9"/>
      <c r="QH207" s="9"/>
      <c r="QI207" s="9"/>
      <c r="QJ207" s="9"/>
      <c r="QK207" s="9"/>
      <c r="QL207" s="9"/>
      <c r="QM207" s="9"/>
      <c r="QN207" s="9"/>
      <c r="QO207" s="9"/>
      <c r="QP207" s="9"/>
      <c r="QQ207" s="9"/>
      <c r="QR207" s="9"/>
      <c r="QS207" s="9"/>
      <c r="QT207" s="9"/>
      <c r="QU207" s="9"/>
      <c r="QV207" s="9"/>
      <c r="QW207" s="9"/>
      <c r="QX207" s="9"/>
      <c r="QY207" s="9"/>
      <c r="QZ207" s="9"/>
      <c r="RA207" s="9"/>
      <c r="RB207" s="9"/>
      <c r="RC207" s="9"/>
      <c r="RD207" s="9"/>
      <c r="RE207" s="9"/>
      <c r="RF207" s="9"/>
      <c r="RG207" s="9"/>
      <c r="RH207" s="9"/>
      <c r="RI207" s="9"/>
      <c r="RJ207" s="9"/>
      <c r="RK207" s="9"/>
      <c r="RL207" s="9"/>
      <c r="RM207" s="9"/>
      <c r="RN207" s="9"/>
      <c r="RO207" s="9"/>
      <c r="RP207" s="9"/>
      <c r="RQ207" s="9"/>
      <c r="RR207" s="9"/>
      <c r="RS207" s="9"/>
      <c r="RT207" s="9"/>
      <c r="RU207" s="9"/>
      <c r="RV207" s="9"/>
      <c r="RW207" s="9"/>
      <c r="RX207" s="9"/>
      <c r="RY207" s="9"/>
      <c r="RZ207" s="9"/>
      <c r="SA207" s="9"/>
      <c r="SB207" s="9"/>
      <c r="SC207" s="9"/>
      <c r="SD207" s="9"/>
      <c r="SE207" s="9"/>
      <c r="SF207" s="9"/>
      <c r="SG207" s="9"/>
      <c r="SH207" s="9"/>
      <c r="SI207" s="9"/>
      <c r="SJ207" s="9"/>
      <c r="SK207" s="8"/>
      <c r="SL207" s="8"/>
      <c r="SM207" s="8"/>
      <c r="SN207" s="8"/>
      <c r="SO207" s="8"/>
      <c r="SP207" s="8"/>
      <c r="SQ207" s="8"/>
      <c r="SR207" s="8"/>
      <c r="SS207" s="8"/>
      <c r="ST207" s="8"/>
      <c r="SU207" s="8"/>
      <c r="SV207" s="8"/>
      <c r="SW207" s="8"/>
      <c r="SX207" s="8"/>
      <c r="SY207" s="8"/>
      <c r="SZ207" s="8"/>
      <c r="TA207" s="8"/>
      <c r="TB207" s="8"/>
      <c r="TC207" s="8"/>
      <c r="TD207" s="8"/>
      <c r="TE207" s="8"/>
      <c r="TF207" s="8"/>
      <c r="TG207" s="8"/>
      <c r="TH207" s="8"/>
      <c r="TI207" s="8"/>
      <c r="TJ207" s="8"/>
      <c r="TK207" s="8"/>
      <c r="TL207" s="8"/>
      <c r="TM207" s="8"/>
      <c r="TN207" s="8"/>
      <c r="TO207" s="8"/>
    </row>
    <row r="208" spans="1:535" x14ac:dyDescent="0.2">
      <c r="A208" s="7"/>
      <c r="B208" s="7"/>
      <c r="C208" s="9"/>
      <c r="D208" s="8"/>
      <c r="E208" s="8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  <c r="BZ208" s="9"/>
      <c r="CA208" s="9"/>
      <c r="CB208" s="9"/>
      <c r="CC208" s="9"/>
      <c r="CD208" s="9"/>
      <c r="CE208" s="9"/>
      <c r="CF208" s="9"/>
      <c r="CG208" s="9"/>
      <c r="CH208" s="9"/>
      <c r="CI208" s="9"/>
      <c r="CJ208" s="9"/>
      <c r="CK208" s="9"/>
      <c r="CL208" s="9"/>
      <c r="CM208" s="9"/>
      <c r="CN208" s="9"/>
      <c r="CO208" s="9"/>
      <c r="CP208" s="9"/>
      <c r="CQ208" s="9"/>
      <c r="CR208" s="9"/>
      <c r="CS208" s="9"/>
      <c r="CT208" s="9"/>
      <c r="CU208" s="9"/>
      <c r="CV208" s="9"/>
      <c r="CW208" s="9"/>
      <c r="CX208" s="9"/>
      <c r="CY208" s="9"/>
      <c r="CZ208" s="9"/>
      <c r="DA208" s="9"/>
      <c r="DB208" s="9"/>
      <c r="DC208" s="9"/>
      <c r="DD208" s="9"/>
      <c r="DE208" s="9"/>
      <c r="DF208" s="9"/>
      <c r="DG208" s="9"/>
      <c r="DH208" s="9"/>
      <c r="DI208" s="9"/>
      <c r="DJ208" s="9"/>
      <c r="DK208" s="9"/>
      <c r="DL208" s="9"/>
      <c r="DM208" s="9"/>
      <c r="DN208" s="9"/>
      <c r="DO208" s="9"/>
      <c r="DP208" s="9"/>
      <c r="DQ208" s="9"/>
      <c r="DR208" s="9"/>
      <c r="DS208" s="9"/>
      <c r="DT208" s="9"/>
      <c r="DU208" s="9"/>
      <c r="DV208" s="9"/>
      <c r="DW208" s="9"/>
      <c r="DX208" s="9"/>
      <c r="DY208" s="9"/>
      <c r="DZ208" s="9"/>
      <c r="EA208" s="9"/>
      <c r="EB208" s="9"/>
      <c r="EC208" s="9"/>
      <c r="ED208" s="9"/>
      <c r="EE208" s="9"/>
      <c r="EF208" s="9"/>
      <c r="EG208" s="9"/>
      <c r="EH208" s="9"/>
      <c r="EI208" s="9"/>
      <c r="EJ208" s="9"/>
      <c r="EK208" s="9"/>
      <c r="EL208" s="9"/>
      <c r="EM208" s="9"/>
      <c r="EN208" s="9"/>
      <c r="EO208" s="9"/>
      <c r="EP208" s="9"/>
      <c r="EQ208" s="9"/>
      <c r="ER208" s="9"/>
      <c r="ES208" s="9"/>
      <c r="ET208" s="9"/>
      <c r="EU208" s="9"/>
      <c r="EV208" s="9"/>
      <c r="EW208" s="9"/>
      <c r="EX208" s="9"/>
      <c r="EY208" s="9"/>
      <c r="EZ208" s="9"/>
      <c r="FA208" s="9"/>
      <c r="FB208" s="9"/>
      <c r="FC208" s="9"/>
      <c r="FD208" s="9"/>
      <c r="FE208" s="9"/>
      <c r="FF208" s="9"/>
      <c r="FG208" s="9"/>
      <c r="FH208" s="9"/>
      <c r="FI208" s="9"/>
      <c r="FJ208" s="9"/>
      <c r="FK208" s="9"/>
      <c r="FL208" s="9"/>
      <c r="FM208" s="9"/>
      <c r="FN208" s="9"/>
      <c r="FO208" s="9"/>
      <c r="FP208" s="9"/>
      <c r="FQ208" s="9"/>
      <c r="FR208" s="9"/>
      <c r="FS208" s="9"/>
      <c r="FT208" s="9"/>
      <c r="FU208" s="9"/>
      <c r="FV208" s="9"/>
      <c r="FW208" s="9"/>
      <c r="FX208" s="9"/>
      <c r="FY208" s="9"/>
      <c r="FZ208" s="9"/>
      <c r="GA208" s="9"/>
      <c r="GB208" s="9"/>
      <c r="GC208" s="9"/>
      <c r="GD208" s="9"/>
      <c r="GE208" s="9"/>
      <c r="GF208" s="9"/>
      <c r="GG208" s="9"/>
      <c r="GH208" s="9"/>
      <c r="GI208" s="9"/>
      <c r="GJ208" s="9"/>
      <c r="GK208" s="9"/>
      <c r="GL208" s="9"/>
      <c r="GM208" s="9"/>
      <c r="GN208" s="9"/>
      <c r="GO208" s="9"/>
      <c r="GP208" s="9"/>
      <c r="GQ208" s="9"/>
      <c r="GR208" s="9"/>
      <c r="GS208" s="9"/>
      <c r="GT208" s="9"/>
      <c r="GU208" s="9"/>
      <c r="GV208" s="9"/>
      <c r="GW208" s="9"/>
      <c r="GX208" s="9"/>
      <c r="GY208" s="9"/>
      <c r="GZ208" s="9"/>
      <c r="HA208" s="9"/>
      <c r="HB208" s="9"/>
      <c r="HC208" s="9"/>
      <c r="HD208" s="9"/>
      <c r="HE208" s="9"/>
      <c r="HF208" s="9"/>
      <c r="HG208" s="9"/>
      <c r="HH208" s="9"/>
      <c r="HI208" s="9"/>
      <c r="HJ208" s="9"/>
      <c r="HK208" s="9"/>
      <c r="HL208" s="9"/>
      <c r="HM208" s="9"/>
      <c r="HN208" s="9"/>
      <c r="HO208" s="9"/>
      <c r="HP208" s="9"/>
      <c r="HQ208" s="9"/>
      <c r="HR208" s="9"/>
      <c r="HS208" s="9"/>
      <c r="HT208" s="9"/>
      <c r="HU208" s="9"/>
      <c r="HV208" s="9"/>
      <c r="HW208" s="9"/>
      <c r="HX208" s="9"/>
      <c r="HY208" s="9"/>
      <c r="HZ208" s="9"/>
      <c r="IA208" s="9"/>
      <c r="IB208" s="9"/>
      <c r="IC208" s="9"/>
      <c r="ID208" s="9"/>
      <c r="IE208" s="9"/>
      <c r="IF208" s="9"/>
      <c r="IG208" s="9"/>
      <c r="IH208" s="9"/>
      <c r="II208" s="9"/>
      <c r="IJ208" s="9"/>
      <c r="IK208" s="9"/>
      <c r="IL208" s="9"/>
      <c r="IM208" s="9"/>
      <c r="IN208" s="9"/>
      <c r="IO208" s="9"/>
      <c r="IP208" s="9"/>
      <c r="IQ208" s="9"/>
      <c r="IR208" s="9"/>
      <c r="IS208" s="9"/>
      <c r="IT208" s="9"/>
      <c r="IU208" s="9"/>
      <c r="IV208" s="9"/>
      <c r="IW208" s="9"/>
      <c r="IX208" s="9"/>
      <c r="IY208" s="9"/>
      <c r="IZ208" s="9"/>
      <c r="JA208" s="9"/>
      <c r="JB208" s="9"/>
      <c r="JC208" s="9"/>
      <c r="JD208" s="9"/>
      <c r="JE208" s="9"/>
      <c r="JF208" s="9"/>
      <c r="JG208" s="9"/>
      <c r="JH208" s="9"/>
      <c r="JI208" s="9"/>
      <c r="JJ208" s="9"/>
      <c r="JK208" s="9"/>
      <c r="JL208" s="9"/>
      <c r="JM208" s="9"/>
      <c r="JN208" s="9"/>
      <c r="JO208" s="9"/>
      <c r="JP208" s="9"/>
      <c r="JQ208" s="9"/>
      <c r="JR208" s="9"/>
      <c r="JS208" s="9"/>
      <c r="JT208" s="9"/>
      <c r="JU208" s="9"/>
      <c r="JV208" s="9"/>
      <c r="JW208" s="9"/>
      <c r="JX208" s="9"/>
      <c r="JY208" s="9"/>
      <c r="JZ208" s="9"/>
      <c r="KA208" s="9"/>
      <c r="KB208" s="9"/>
      <c r="KC208" s="9"/>
      <c r="KD208" s="9"/>
      <c r="KE208" s="9"/>
      <c r="KF208" s="9"/>
      <c r="KG208" s="9"/>
      <c r="KH208" s="9"/>
      <c r="KI208" s="9"/>
      <c r="KJ208" s="9"/>
      <c r="KK208" s="9"/>
      <c r="KL208" s="9"/>
      <c r="KM208" s="9"/>
      <c r="KN208" s="9"/>
      <c r="KO208" s="9"/>
      <c r="KP208" s="9"/>
      <c r="KQ208" s="9"/>
      <c r="KR208" s="9"/>
      <c r="KS208" s="9"/>
      <c r="KT208" s="9"/>
      <c r="KU208" s="9"/>
      <c r="KV208" s="9"/>
      <c r="KW208" s="9"/>
      <c r="KX208" s="9"/>
      <c r="KY208" s="9"/>
      <c r="KZ208" s="9"/>
      <c r="LA208" s="9"/>
      <c r="LB208" s="9"/>
      <c r="LC208" s="9"/>
      <c r="LD208" s="9"/>
      <c r="LE208" s="9"/>
      <c r="LF208" s="9"/>
      <c r="LG208" s="9"/>
      <c r="LH208" s="9"/>
      <c r="LI208" s="9"/>
      <c r="LJ208" s="9"/>
      <c r="LK208" s="9"/>
      <c r="LL208" s="9"/>
      <c r="LM208" s="9"/>
      <c r="LN208" s="9"/>
      <c r="LO208" s="9"/>
      <c r="LP208" s="9"/>
      <c r="LQ208" s="9"/>
      <c r="LR208" s="9"/>
      <c r="LS208" s="9"/>
      <c r="LT208" s="9"/>
      <c r="LU208" s="9"/>
      <c r="LV208" s="9"/>
      <c r="LW208" s="9"/>
      <c r="LX208" s="9"/>
      <c r="LY208" s="9"/>
      <c r="LZ208" s="9"/>
      <c r="MA208" s="9"/>
      <c r="MB208" s="9"/>
      <c r="MC208" s="9"/>
      <c r="MD208" s="9"/>
      <c r="ME208" s="9"/>
      <c r="MF208" s="9"/>
      <c r="MG208" s="9"/>
      <c r="MH208" s="9"/>
      <c r="MI208" s="9"/>
      <c r="MJ208" s="9"/>
      <c r="MK208" s="9"/>
      <c r="ML208" s="9"/>
      <c r="MM208" s="9"/>
      <c r="MN208" s="9"/>
      <c r="MO208" s="9"/>
      <c r="MP208" s="9"/>
      <c r="MQ208" s="9"/>
      <c r="MR208" s="9"/>
      <c r="MS208" s="9"/>
      <c r="MT208" s="9"/>
      <c r="MU208" s="9"/>
      <c r="MV208" s="9"/>
      <c r="MW208" s="9"/>
      <c r="MX208" s="9"/>
      <c r="MY208" s="9"/>
      <c r="MZ208" s="9"/>
      <c r="NA208" s="9"/>
      <c r="NB208" s="9"/>
      <c r="NC208" s="9"/>
      <c r="ND208" s="9"/>
      <c r="NE208" s="9"/>
      <c r="NF208" s="9"/>
      <c r="NG208" s="9"/>
      <c r="NH208" s="9"/>
      <c r="NI208" s="9"/>
      <c r="NJ208" s="9"/>
      <c r="NK208" s="9"/>
      <c r="NL208" s="9"/>
      <c r="NM208" s="9"/>
      <c r="NN208" s="9"/>
      <c r="NO208" s="9"/>
      <c r="NP208" s="9"/>
      <c r="NQ208" s="9"/>
      <c r="NR208" s="9"/>
      <c r="NS208" s="9"/>
      <c r="NT208" s="9"/>
      <c r="NU208" s="9"/>
      <c r="NV208" s="9"/>
      <c r="NW208" s="9"/>
      <c r="NX208" s="9"/>
      <c r="NY208" s="9"/>
      <c r="NZ208" s="9"/>
      <c r="OA208" s="9"/>
      <c r="OB208" s="9"/>
      <c r="OC208" s="9"/>
      <c r="OD208" s="9"/>
      <c r="OE208" s="9"/>
      <c r="OF208" s="9"/>
      <c r="OG208" s="9"/>
      <c r="OH208" s="9"/>
      <c r="OI208" s="9"/>
      <c r="OJ208" s="9"/>
      <c r="OK208" s="9"/>
      <c r="OL208" s="9"/>
      <c r="OM208" s="9"/>
      <c r="ON208" s="9"/>
      <c r="OO208" s="9"/>
      <c r="OP208" s="9"/>
      <c r="OQ208" s="9"/>
      <c r="OR208" s="9"/>
      <c r="OS208" s="9"/>
      <c r="OT208" s="9"/>
      <c r="OU208" s="9"/>
      <c r="OV208" s="9"/>
      <c r="OW208" s="9"/>
      <c r="OX208" s="9"/>
      <c r="OY208" s="9"/>
      <c r="OZ208" s="9"/>
      <c r="PA208" s="9"/>
      <c r="PB208" s="9"/>
      <c r="PC208" s="9"/>
      <c r="PD208" s="9"/>
      <c r="PE208" s="9"/>
      <c r="PF208" s="9"/>
      <c r="PG208" s="9"/>
      <c r="PH208" s="9"/>
      <c r="PI208" s="9"/>
      <c r="PJ208" s="9"/>
      <c r="PK208" s="9"/>
      <c r="PL208" s="9"/>
      <c r="PM208" s="9"/>
      <c r="PN208" s="9"/>
      <c r="PO208" s="9"/>
      <c r="PP208" s="9"/>
      <c r="PQ208" s="9"/>
      <c r="PR208" s="9"/>
      <c r="PS208" s="9"/>
      <c r="PT208" s="9"/>
      <c r="PU208" s="9"/>
      <c r="PV208" s="9"/>
      <c r="PW208" s="9"/>
      <c r="PX208" s="9"/>
      <c r="PY208" s="9"/>
      <c r="PZ208" s="9"/>
      <c r="QA208" s="9"/>
      <c r="QB208" s="9"/>
      <c r="QC208" s="9"/>
      <c r="QD208" s="9"/>
      <c r="QE208" s="9"/>
      <c r="QF208" s="9"/>
      <c r="QG208" s="9"/>
      <c r="QH208" s="9"/>
      <c r="QI208" s="9"/>
      <c r="QJ208" s="9"/>
      <c r="QK208" s="9"/>
      <c r="QL208" s="9"/>
      <c r="QM208" s="9"/>
      <c r="QN208" s="9"/>
      <c r="QO208" s="9"/>
      <c r="QP208" s="9"/>
      <c r="QQ208" s="9"/>
      <c r="QR208" s="9"/>
      <c r="QS208" s="9"/>
      <c r="QT208" s="9"/>
      <c r="QU208" s="9"/>
      <c r="QV208" s="9"/>
      <c r="QW208" s="9"/>
      <c r="QX208" s="9"/>
      <c r="QY208" s="9"/>
      <c r="QZ208" s="9"/>
      <c r="RA208" s="9"/>
      <c r="RB208" s="9"/>
      <c r="RC208" s="9"/>
      <c r="RD208" s="9"/>
      <c r="RE208" s="9"/>
      <c r="RF208" s="9"/>
      <c r="RG208" s="9"/>
      <c r="RH208" s="9"/>
      <c r="RI208" s="9"/>
      <c r="RJ208" s="9"/>
      <c r="RK208" s="9"/>
      <c r="RL208" s="9"/>
      <c r="RM208" s="9"/>
      <c r="RN208" s="9"/>
      <c r="RO208" s="9"/>
      <c r="RP208" s="9"/>
      <c r="RQ208" s="9"/>
      <c r="RR208" s="9"/>
      <c r="RS208" s="9"/>
      <c r="RT208" s="9"/>
      <c r="RU208" s="9"/>
      <c r="RV208" s="9"/>
      <c r="RW208" s="9"/>
      <c r="RX208" s="9"/>
      <c r="RY208" s="9"/>
      <c r="RZ208" s="9"/>
      <c r="SA208" s="9"/>
      <c r="SB208" s="9"/>
      <c r="SC208" s="9"/>
      <c r="SD208" s="9"/>
      <c r="SE208" s="9"/>
      <c r="SF208" s="9"/>
      <c r="SG208" s="9"/>
      <c r="SH208" s="9"/>
      <c r="SI208" s="9"/>
      <c r="SJ208" s="9"/>
      <c r="SK208" s="8"/>
      <c r="SL208" s="8"/>
      <c r="SM208" s="8"/>
      <c r="SN208" s="8"/>
      <c r="SO208" s="8"/>
      <c r="SP208" s="8"/>
      <c r="SQ208" s="8"/>
      <c r="SR208" s="8"/>
      <c r="SS208" s="8"/>
      <c r="ST208" s="8"/>
      <c r="SU208" s="8"/>
      <c r="SV208" s="8"/>
      <c r="SW208" s="8"/>
      <c r="SX208" s="8"/>
      <c r="SY208" s="8"/>
      <c r="SZ208" s="8"/>
      <c r="TA208" s="8"/>
      <c r="TB208" s="8"/>
      <c r="TC208" s="8"/>
      <c r="TD208" s="8"/>
      <c r="TE208" s="8"/>
      <c r="TF208" s="8"/>
      <c r="TG208" s="8"/>
      <c r="TH208" s="8"/>
      <c r="TI208" s="8"/>
      <c r="TJ208" s="8"/>
      <c r="TK208" s="8"/>
      <c r="TL208" s="8"/>
      <c r="TM208" s="8"/>
      <c r="TN208" s="8"/>
      <c r="TO208" s="8"/>
    </row>
    <row r="209" spans="1:535" x14ac:dyDescent="0.2">
      <c r="A209" s="7"/>
      <c r="B209" s="7"/>
      <c r="C209" s="9"/>
      <c r="D209" s="8"/>
      <c r="E209" s="8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9"/>
      <c r="CO209" s="9"/>
      <c r="CP209" s="9"/>
      <c r="CQ209" s="9"/>
      <c r="CR209" s="9"/>
      <c r="CS209" s="9"/>
      <c r="CT209" s="9"/>
      <c r="CU209" s="9"/>
      <c r="CV209" s="9"/>
      <c r="CW209" s="9"/>
      <c r="CX209" s="9"/>
      <c r="CY209" s="9"/>
      <c r="CZ209" s="9"/>
      <c r="DA209" s="9"/>
      <c r="DB209" s="9"/>
      <c r="DC209" s="9"/>
      <c r="DD209" s="9"/>
      <c r="DE209" s="9"/>
      <c r="DF209" s="9"/>
      <c r="DG209" s="9"/>
      <c r="DH209" s="9"/>
      <c r="DI209" s="9"/>
      <c r="DJ209" s="9"/>
      <c r="DK209" s="9"/>
      <c r="DL209" s="9"/>
      <c r="DM209" s="9"/>
      <c r="DN209" s="9"/>
      <c r="DO209" s="9"/>
      <c r="DP209" s="9"/>
      <c r="DQ209" s="9"/>
      <c r="DR209" s="9"/>
      <c r="DS209" s="9"/>
      <c r="DT209" s="9"/>
      <c r="DU209" s="9"/>
      <c r="DV209" s="9"/>
      <c r="DW209" s="9"/>
      <c r="DX209" s="9"/>
      <c r="DY209" s="9"/>
      <c r="DZ209" s="9"/>
      <c r="EA209" s="9"/>
      <c r="EB209" s="9"/>
      <c r="EC209" s="9"/>
      <c r="ED209" s="9"/>
      <c r="EE209" s="9"/>
      <c r="EF209" s="9"/>
      <c r="EG209" s="9"/>
      <c r="EH209" s="9"/>
      <c r="EI209" s="9"/>
      <c r="EJ209" s="9"/>
      <c r="EK209" s="9"/>
      <c r="EL209" s="9"/>
      <c r="EM209" s="9"/>
      <c r="EN209" s="9"/>
      <c r="EO209" s="9"/>
      <c r="EP209" s="9"/>
      <c r="EQ209" s="9"/>
      <c r="ER209" s="9"/>
      <c r="ES209" s="9"/>
      <c r="ET209" s="9"/>
      <c r="EU209" s="9"/>
      <c r="EV209" s="9"/>
      <c r="EW209" s="9"/>
      <c r="EX209" s="9"/>
      <c r="EY209" s="9"/>
      <c r="EZ209" s="9"/>
      <c r="FA209" s="9"/>
      <c r="FB209" s="9"/>
      <c r="FC209" s="9"/>
      <c r="FD209" s="9"/>
      <c r="FE209" s="9"/>
      <c r="FF209" s="9"/>
      <c r="FG209" s="9"/>
      <c r="FH209" s="9"/>
      <c r="FI209" s="9"/>
      <c r="FJ209" s="9"/>
      <c r="FK209" s="9"/>
      <c r="FL209" s="9"/>
      <c r="FM209" s="9"/>
      <c r="FN209" s="9"/>
      <c r="FO209" s="9"/>
      <c r="FP209" s="9"/>
      <c r="FQ209" s="9"/>
      <c r="FR209" s="9"/>
      <c r="FS209" s="9"/>
      <c r="FT209" s="9"/>
      <c r="FU209" s="9"/>
      <c r="FV209" s="9"/>
      <c r="FW209" s="9"/>
      <c r="FX209" s="9"/>
      <c r="FY209" s="9"/>
      <c r="FZ209" s="9"/>
      <c r="GA209" s="9"/>
      <c r="GB209" s="9"/>
      <c r="GC209" s="9"/>
      <c r="GD209" s="9"/>
      <c r="GE209" s="9"/>
      <c r="GF209" s="9"/>
      <c r="GG209" s="9"/>
      <c r="GH209" s="9"/>
      <c r="GI209" s="9"/>
      <c r="GJ209" s="9"/>
      <c r="GK209" s="9"/>
      <c r="GL209" s="9"/>
      <c r="GM209" s="9"/>
      <c r="GN209" s="9"/>
      <c r="GO209" s="9"/>
      <c r="GP209" s="9"/>
      <c r="GQ209" s="9"/>
      <c r="GR209" s="9"/>
      <c r="GS209" s="9"/>
      <c r="GT209" s="9"/>
      <c r="GU209" s="9"/>
      <c r="GV209" s="9"/>
      <c r="GW209" s="9"/>
      <c r="GX209" s="9"/>
      <c r="GY209" s="9"/>
      <c r="GZ209" s="9"/>
      <c r="HA209" s="9"/>
      <c r="HB209" s="9"/>
      <c r="HC209" s="9"/>
      <c r="HD209" s="9"/>
      <c r="HE209" s="9"/>
      <c r="HF209" s="9"/>
      <c r="HG209" s="9"/>
      <c r="HH209" s="9"/>
      <c r="HI209" s="9"/>
      <c r="HJ209" s="9"/>
      <c r="HK209" s="9"/>
      <c r="HL209" s="9"/>
      <c r="HM209" s="9"/>
      <c r="HN209" s="9"/>
      <c r="HO209" s="9"/>
      <c r="HP209" s="9"/>
      <c r="HQ209" s="9"/>
      <c r="HR209" s="9"/>
      <c r="HS209" s="9"/>
      <c r="HT209" s="9"/>
      <c r="HU209" s="9"/>
      <c r="HV209" s="9"/>
      <c r="HW209" s="9"/>
      <c r="HX209" s="9"/>
      <c r="HY209" s="9"/>
      <c r="HZ209" s="9"/>
      <c r="IA209" s="9"/>
      <c r="IB209" s="9"/>
      <c r="IC209" s="9"/>
      <c r="ID209" s="9"/>
      <c r="IE209" s="9"/>
      <c r="IF209" s="9"/>
      <c r="IG209" s="9"/>
      <c r="IH209" s="9"/>
      <c r="II209" s="9"/>
      <c r="IJ209" s="9"/>
      <c r="IK209" s="9"/>
      <c r="IL209" s="9"/>
      <c r="IM209" s="9"/>
      <c r="IN209" s="9"/>
      <c r="IO209" s="9"/>
      <c r="IP209" s="9"/>
      <c r="IQ209" s="9"/>
      <c r="IR209" s="9"/>
      <c r="IS209" s="9"/>
      <c r="IT209" s="9"/>
      <c r="IU209" s="9"/>
      <c r="IV209" s="9"/>
      <c r="IW209" s="9"/>
      <c r="IX209" s="9"/>
      <c r="IY209" s="9"/>
      <c r="IZ209" s="9"/>
      <c r="JA209" s="9"/>
      <c r="JB209" s="9"/>
      <c r="JC209" s="9"/>
      <c r="JD209" s="9"/>
      <c r="JE209" s="9"/>
      <c r="JF209" s="9"/>
      <c r="JG209" s="9"/>
      <c r="JH209" s="9"/>
      <c r="JI209" s="9"/>
      <c r="JJ209" s="9"/>
      <c r="JK209" s="9"/>
      <c r="JL209" s="9"/>
      <c r="JM209" s="9"/>
      <c r="JN209" s="9"/>
      <c r="JO209" s="9"/>
      <c r="JP209" s="9"/>
      <c r="JQ209" s="9"/>
      <c r="JR209" s="9"/>
      <c r="JS209" s="9"/>
      <c r="JT209" s="9"/>
      <c r="JU209" s="9"/>
      <c r="JV209" s="9"/>
      <c r="JW209" s="9"/>
      <c r="JX209" s="9"/>
      <c r="JY209" s="9"/>
      <c r="JZ209" s="9"/>
      <c r="KA209" s="9"/>
      <c r="KB209" s="9"/>
      <c r="KC209" s="9"/>
      <c r="KD209" s="9"/>
      <c r="KE209" s="9"/>
      <c r="KF209" s="9"/>
      <c r="KG209" s="9"/>
      <c r="KH209" s="9"/>
      <c r="KI209" s="9"/>
      <c r="KJ209" s="9"/>
      <c r="KK209" s="9"/>
      <c r="KL209" s="9"/>
      <c r="KM209" s="9"/>
      <c r="KN209" s="9"/>
      <c r="KO209" s="9"/>
      <c r="KP209" s="9"/>
      <c r="KQ209" s="9"/>
      <c r="KR209" s="9"/>
      <c r="KS209" s="9"/>
      <c r="KT209" s="9"/>
      <c r="KU209" s="9"/>
      <c r="KV209" s="9"/>
      <c r="KW209" s="9"/>
      <c r="KX209" s="9"/>
      <c r="KY209" s="9"/>
      <c r="KZ209" s="9"/>
      <c r="LA209" s="9"/>
      <c r="LB209" s="9"/>
      <c r="LC209" s="9"/>
      <c r="LD209" s="9"/>
      <c r="LE209" s="9"/>
      <c r="LF209" s="9"/>
      <c r="LG209" s="9"/>
      <c r="LH209" s="9"/>
      <c r="LI209" s="9"/>
      <c r="LJ209" s="9"/>
      <c r="LK209" s="9"/>
      <c r="LL209" s="9"/>
      <c r="LM209" s="9"/>
      <c r="LN209" s="9"/>
      <c r="LO209" s="9"/>
      <c r="LP209" s="9"/>
      <c r="LQ209" s="9"/>
      <c r="LR209" s="9"/>
      <c r="LS209" s="9"/>
      <c r="LT209" s="9"/>
      <c r="LU209" s="9"/>
      <c r="LV209" s="9"/>
      <c r="LW209" s="9"/>
      <c r="LX209" s="9"/>
      <c r="LY209" s="9"/>
      <c r="LZ209" s="9"/>
      <c r="MA209" s="9"/>
      <c r="MB209" s="9"/>
      <c r="MC209" s="9"/>
      <c r="MD209" s="9"/>
      <c r="ME209" s="9"/>
      <c r="MF209" s="9"/>
      <c r="MG209" s="9"/>
      <c r="MH209" s="9"/>
      <c r="MI209" s="9"/>
      <c r="MJ209" s="9"/>
      <c r="MK209" s="9"/>
      <c r="ML209" s="9"/>
      <c r="MM209" s="9"/>
      <c r="MN209" s="9"/>
      <c r="MO209" s="9"/>
      <c r="MP209" s="9"/>
      <c r="MQ209" s="9"/>
      <c r="MR209" s="9"/>
      <c r="MS209" s="9"/>
      <c r="MT209" s="9"/>
      <c r="MU209" s="9"/>
      <c r="MV209" s="9"/>
      <c r="MW209" s="9"/>
      <c r="MX209" s="9"/>
      <c r="MY209" s="9"/>
      <c r="MZ209" s="9"/>
      <c r="NA209" s="9"/>
      <c r="NB209" s="9"/>
      <c r="NC209" s="9"/>
      <c r="ND209" s="9"/>
      <c r="NE209" s="9"/>
      <c r="NF209" s="9"/>
      <c r="NG209" s="9"/>
      <c r="NH209" s="9"/>
      <c r="NI209" s="9"/>
      <c r="NJ209" s="9"/>
      <c r="NK209" s="9"/>
      <c r="NL209" s="9"/>
      <c r="NM209" s="9"/>
      <c r="NN209" s="9"/>
      <c r="NO209" s="9"/>
      <c r="NP209" s="9"/>
      <c r="NQ209" s="9"/>
      <c r="NR209" s="9"/>
      <c r="NS209" s="9"/>
      <c r="NT209" s="9"/>
      <c r="NU209" s="9"/>
      <c r="NV209" s="9"/>
      <c r="NW209" s="9"/>
      <c r="NX209" s="9"/>
      <c r="NY209" s="9"/>
      <c r="NZ209" s="9"/>
      <c r="OA209" s="9"/>
      <c r="OB209" s="9"/>
      <c r="OC209" s="9"/>
      <c r="OD209" s="9"/>
      <c r="OE209" s="9"/>
      <c r="OF209" s="9"/>
      <c r="OG209" s="9"/>
      <c r="OH209" s="9"/>
      <c r="OI209" s="9"/>
      <c r="OJ209" s="9"/>
      <c r="OK209" s="9"/>
      <c r="OL209" s="9"/>
      <c r="OM209" s="9"/>
      <c r="ON209" s="9"/>
      <c r="OO209" s="9"/>
      <c r="OP209" s="9"/>
      <c r="OQ209" s="9"/>
      <c r="OR209" s="9"/>
      <c r="OS209" s="9"/>
      <c r="OT209" s="9"/>
      <c r="OU209" s="9"/>
      <c r="OV209" s="9"/>
      <c r="OW209" s="9"/>
      <c r="OX209" s="9"/>
      <c r="OY209" s="9"/>
      <c r="OZ209" s="9"/>
      <c r="PA209" s="9"/>
      <c r="PB209" s="9"/>
      <c r="PC209" s="9"/>
      <c r="PD209" s="9"/>
      <c r="PE209" s="9"/>
      <c r="PF209" s="9"/>
      <c r="PG209" s="9"/>
      <c r="PH209" s="9"/>
      <c r="PI209" s="9"/>
      <c r="PJ209" s="9"/>
      <c r="PK209" s="9"/>
      <c r="PL209" s="9"/>
      <c r="PM209" s="9"/>
      <c r="PN209" s="9"/>
      <c r="PO209" s="9"/>
      <c r="PP209" s="9"/>
      <c r="PQ209" s="9"/>
      <c r="PR209" s="9"/>
      <c r="PS209" s="9"/>
      <c r="PT209" s="9"/>
      <c r="PU209" s="9"/>
      <c r="PV209" s="9"/>
      <c r="PW209" s="9"/>
      <c r="PX209" s="9"/>
      <c r="PY209" s="9"/>
      <c r="PZ209" s="9"/>
      <c r="QA209" s="9"/>
      <c r="QB209" s="9"/>
      <c r="QC209" s="9"/>
      <c r="QD209" s="9"/>
      <c r="QE209" s="9"/>
      <c r="QF209" s="9"/>
      <c r="QG209" s="9"/>
      <c r="QH209" s="9"/>
      <c r="QI209" s="9"/>
      <c r="QJ209" s="9"/>
      <c r="QK209" s="9"/>
      <c r="QL209" s="9"/>
      <c r="QM209" s="9"/>
      <c r="QN209" s="9"/>
      <c r="QO209" s="9"/>
      <c r="QP209" s="9"/>
      <c r="QQ209" s="9"/>
      <c r="QR209" s="9"/>
      <c r="QS209" s="9"/>
      <c r="QT209" s="9"/>
      <c r="QU209" s="9"/>
      <c r="QV209" s="9"/>
      <c r="QW209" s="9"/>
      <c r="QX209" s="9"/>
      <c r="QY209" s="9"/>
      <c r="QZ209" s="9"/>
      <c r="RA209" s="9"/>
      <c r="RB209" s="9"/>
      <c r="RC209" s="9"/>
      <c r="RD209" s="9"/>
      <c r="RE209" s="9"/>
      <c r="RF209" s="9"/>
      <c r="RG209" s="9"/>
      <c r="RH209" s="9"/>
      <c r="RI209" s="9"/>
      <c r="RJ209" s="9"/>
      <c r="RK209" s="9"/>
      <c r="RL209" s="9"/>
      <c r="RM209" s="9"/>
      <c r="RN209" s="9"/>
      <c r="RO209" s="9"/>
      <c r="RP209" s="9"/>
      <c r="RQ209" s="9"/>
      <c r="RR209" s="9"/>
      <c r="RS209" s="9"/>
      <c r="RT209" s="9"/>
      <c r="RU209" s="9"/>
      <c r="RV209" s="9"/>
      <c r="RW209" s="9"/>
      <c r="RX209" s="9"/>
      <c r="RY209" s="9"/>
      <c r="RZ209" s="9"/>
      <c r="SA209" s="9"/>
      <c r="SB209" s="9"/>
      <c r="SC209" s="9"/>
      <c r="SD209" s="9"/>
      <c r="SE209" s="9"/>
      <c r="SF209" s="9"/>
      <c r="SG209" s="9"/>
      <c r="SH209" s="9"/>
      <c r="SI209" s="9"/>
      <c r="SJ209" s="9"/>
      <c r="SK209" s="8"/>
      <c r="SL209" s="8"/>
      <c r="SM209" s="8"/>
      <c r="SN209" s="8"/>
      <c r="SO209" s="8"/>
      <c r="SP209" s="8"/>
      <c r="SQ209" s="8"/>
      <c r="SR209" s="8"/>
      <c r="SS209" s="8"/>
      <c r="ST209" s="8"/>
      <c r="SU209" s="8"/>
      <c r="SV209" s="8"/>
      <c r="SW209" s="8"/>
      <c r="SX209" s="8"/>
      <c r="SY209" s="8"/>
      <c r="SZ209" s="8"/>
      <c r="TA209" s="8"/>
      <c r="TB209" s="8"/>
      <c r="TC209" s="8"/>
      <c r="TD209" s="8"/>
      <c r="TE209" s="8"/>
      <c r="TF209" s="8"/>
      <c r="TG209" s="8"/>
      <c r="TH209" s="8"/>
      <c r="TI209" s="8"/>
      <c r="TJ209" s="8"/>
      <c r="TK209" s="8"/>
      <c r="TL209" s="8"/>
      <c r="TM209" s="8"/>
      <c r="TN209" s="8"/>
      <c r="TO209" s="8"/>
    </row>
    <row r="210" spans="1:535" x14ac:dyDescent="0.2">
      <c r="A210" s="7"/>
      <c r="B210" s="7"/>
      <c r="C210" s="9"/>
      <c r="D210" s="8"/>
      <c r="E210" s="8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  <c r="DA210" s="9"/>
      <c r="DB210" s="9"/>
      <c r="DC210" s="9"/>
      <c r="DD210" s="9"/>
      <c r="DE210" s="9"/>
      <c r="DF210" s="9"/>
      <c r="DG210" s="9"/>
      <c r="DH210" s="9"/>
      <c r="DI210" s="9"/>
      <c r="DJ210" s="9"/>
      <c r="DK210" s="9"/>
      <c r="DL210" s="9"/>
      <c r="DM210" s="9"/>
      <c r="DN210" s="9"/>
      <c r="DO210" s="9"/>
      <c r="DP210" s="9"/>
      <c r="DQ210" s="9"/>
      <c r="DR210" s="9"/>
      <c r="DS210" s="9"/>
      <c r="DT210" s="9"/>
      <c r="DU210" s="9"/>
      <c r="DV210" s="9"/>
      <c r="DW210" s="9"/>
      <c r="DX210" s="9"/>
      <c r="DY210" s="9"/>
      <c r="DZ210" s="9"/>
      <c r="EA210" s="9"/>
      <c r="EB210" s="9"/>
      <c r="EC210" s="9"/>
      <c r="ED210" s="9"/>
      <c r="EE210" s="9"/>
      <c r="EF210" s="9"/>
      <c r="EG210" s="9"/>
      <c r="EH210" s="9"/>
      <c r="EI210" s="9"/>
      <c r="EJ210" s="9"/>
      <c r="EK210" s="9"/>
      <c r="EL210" s="9"/>
      <c r="EM210" s="9"/>
      <c r="EN210" s="9"/>
      <c r="EO210" s="9"/>
      <c r="EP210" s="9"/>
      <c r="EQ210" s="9"/>
      <c r="ER210" s="9"/>
      <c r="ES210" s="9"/>
      <c r="ET210" s="9"/>
      <c r="EU210" s="9"/>
      <c r="EV210" s="9"/>
      <c r="EW210" s="9"/>
      <c r="EX210" s="9"/>
      <c r="EY210" s="9"/>
      <c r="EZ210" s="9"/>
      <c r="FA210" s="9"/>
      <c r="FB210" s="9"/>
      <c r="FC210" s="9"/>
      <c r="FD210" s="9"/>
      <c r="FE210" s="9"/>
      <c r="FF210" s="9"/>
      <c r="FG210" s="9"/>
      <c r="FH210" s="9"/>
      <c r="FI210" s="9"/>
      <c r="FJ210" s="9"/>
      <c r="FK210" s="9"/>
      <c r="FL210" s="9"/>
      <c r="FM210" s="9"/>
      <c r="FN210" s="9"/>
      <c r="FO210" s="9"/>
      <c r="FP210" s="9"/>
      <c r="FQ210" s="9"/>
      <c r="FR210" s="9"/>
      <c r="FS210" s="9"/>
      <c r="FT210" s="9"/>
      <c r="FU210" s="9"/>
      <c r="FV210" s="9"/>
      <c r="FW210" s="9"/>
      <c r="FX210" s="9"/>
      <c r="FY210" s="9"/>
      <c r="FZ210" s="9"/>
      <c r="GA210" s="9"/>
      <c r="GB210" s="9"/>
      <c r="GC210" s="9"/>
      <c r="GD210" s="9"/>
      <c r="GE210" s="9"/>
      <c r="GF210" s="9"/>
      <c r="GG210" s="9"/>
      <c r="GH210" s="9"/>
      <c r="GI210" s="9"/>
      <c r="GJ210" s="9"/>
      <c r="GK210" s="9"/>
      <c r="GL210" s="9"/>
      <c r="GM210" s="9"/>
      <c r="GN210" s="9"/>
      <c r="GO210" s="9"/>
      <c r="GP210" s="9"/>
      <c r="GQ210" s="9"/>
      <c r="GR210" s="9"/>
      <c r="GS210" s="9"/>
      <c r="GT210" s="9"/>
      <c r="GU210" s="9"/>
      <c r="GV210" s="9"/>
      <c r="GW210" s="9"/>
      <c r="GX210" s="9"/>
      <c r="GY210" s="9"/>
      <c r="GZ210" s="9"/>
      <c r="HA210" s="9"/>
      <c r="HB210" s="9"/>
      <c r="HC210" s="9"/>
      <c r="HD210" s="9"/>
      <c r="HE210" s="9"/>
      <c r="HF210" s="9"/>
      <c r="HG210" s="9"/>
      <c r="HH210" s="9"/>
      <c r="HI210" s="9"/>
      <c r="HJ210" s="9"/>
      <c r="HK210" s="9"/>
      <c r="HL210" s="9"/>
      <c r="HM210" s="9"/>
      <c r="HN210" s="9"/>
      <c r="HO210" s="9"/>
      <c r="HP210" s="9"/>
      <c r="HQ210" s="9"/>
      <c r="HR210" s="9"/>
      <c r="HS210" s="9"/>
      <c r="HT210" s="9"/>
      <c r="HU210" s="9"/>
      <c r="HV210" s="9"/>
      <c r="HW210" s="9"/>
      <c r="HX210" s="9"/>
      <c r="HY210" s="9"/>
      <c r="HZ210" s="9"/>
      <c r="IA210" s="9"/>
      <c r="IB210" s="9"/>
      <c r="IC210" s="9"/>
      <c r="ID210" s="9"/>
      <c r="IE210" s="9"/>
      <c r="IF210" s="9"/>
      <c r="IG210" s="9"/>
      <c r="IH210" s="9"/>
      <c r="II210" s="9"/>
      <c r="IJ210" s="9"/>
      <c r="IK210" s="9"/>
      <c r="IL210" s="9"/>
      <c r="IM210" s="9"/>
      <c r="IN210" s="9"/>
      <c r="IO210" s="9"/>
      <c r="IP210" s="9"/>
      <c r="IQ210" s="9"/>
      <c r="IR210" s="9"/>
      <c r="IS210" s="9"/>
      <c r="IT210" s="9"/>
      <c r="IU210" s="9"/>
      <c r="IV210" s="9"/>
      <c r="IW210" s="9"/>
      <c r="IX210" s="9"/>
      <c r="IY210" s="9"/>
      <c r="IZ210" s="9"/>
      <c r="JA210" s="9"/>
      <c r="JB210" s="9"/>
      <c r="JC210" s="9"/>
      <c r="JD210" s="9"/>
      <c r="JE210" s="9"/>
      <c r="JF210" s="9"/>
      <c r="JG210" s="9"/>
      <c r="JH210" s="9"/>
      <c r="JI210" s="9"/>
      <c r="JJ210" s="9"/>
      <c r="JK210" s="9"/>
      <c r="JL210" s="9"/>
      <c r="JM210" s="9"/>
      <c r="JN210" s="9"/>
      <c r="JO210" s="9"/>
      <c r="JP210" s="9"/>
      <c r="JQ210" s="9"/>
      <c r="JR210" s="9"/>
      <c r="JS210" s="9"/>
      <c r="JT210" s="9"/>
      <c r="JU210" s="9"/>
      <c r="JV210" s="9"/>
      <c r="JW210" s="9"/>
      <c r="JX210" s="9"/>
      <c r="JY210" s="9"/>
      <c r="JZ210" s="9"/>
      <c r="KA210" s="9"/>
      <c r="KB210" s="9"/>
      <c r="KC210" s="9"/>
      <c r="KD210" s="9"/>
      <c r="KE210" s="9"/>
      <c r="KF210" s="9"/>
      <c r="KG210" s="9"/>
      <c r="KH210" s="9"/>
      <c r="KI210" s="9"/>
      <c r="KJ210" s="9"/>
      <c r="KK210" s="9"/>
      <c r="KL210" s="9"/>
      <c r="KM210" s="9"/>
      <c r="KN210" s="9"/>
      <c r="KO210" s="9"/>
      <c r="KP210" s="9"/>
      <c r="KQ210" s="9"/>
      <c r="KR210" s="9"/>
      <c r="KS210" s="9"/>
      <c r="KT210" s="9"/>
      <c r="KU210" s="9"/>
      <c r="KV210" s="9"/>
      <c r="KW210" s="9"/>
      <c r="KX210" s="9"/>
      <c r="KY210" s="9"/>
      <c r="KZ210" s="9"/>
      <c r="LA210" s="9"/>
      <c r="LB210" s="9"/>
      <c r="LC210" s="9"/>
      <c r="LD210" s="9"/>
      <c r="LE210" s="9"/>
      <c r="LF210" s="9"/>
      <c r="LG210" s="9"/>
      <c r="LH210" s="9"/>
      <c r="LI210" s="9"/>
      <c r="LJ210" s="9"/>
      <c r="LK210" s="9"/>
      <c r="LL210" s="9"/>
      <c r="LM210" s="9"/>
      <c r="LN210" s="9"/>
      <c r="LO210" s="9"/>
      <c r="LP210" s="9"/>
      <c r="LQ210" s="9"/>
      <c r="LR210" s="9"/>
      <c r="LS210" s="9"/>
      <c r="LT210" s="9"/>
      <c r="LU210" s="9"/>
      <c r="LV210" s="9"/>
      <c r="LW210" s="9"/>
      <c r="LX210" s="9"/>
      <c r="LY210" s="9"/>
      <c r="LZ210" s="9"/>
      <c r="MA210" s="9"/>
      <c r="MB210" s="9"/>
      <c r="MC210" s="9"/>
      <c r="MD210" s="9"/>
      <c r="ME210" s="9"/>
      <c r="MF210" s="9"/>
      <c r="MG210" s="9"/>
      <c r="MH210" s="9"/>
      <c r="MI210" s="9"/>
      <c r="MJ210" s="9"/>
      <c r="MK210" s="9"/>
      <c r="ML210" s="9"/>
      <c r="MM210" s="9"/>
      <c r="MN210" s="9"/>
      <c r="MO210" s="9"/>
      <c r="MP210" s="9"/>
      <c r="MQ210" s="9"/>
      <c r="MR210" s="9"/>
      <c r="MS210" s="9"/>
      <c r="MT210" s="9"/>
      <c r="MU210" s="9"/>
      <c r="MV210" s="9"/>
      <c r="MW210" s="9"/>
      <c r="MX210" s="9"/>
      <c r="MY210" s="9"/>
      <c r="MZ210" s="9"/>
      <c r="NA210" s="9"/>
      <c r="NB210" s="9"/>
      <c r="NC210" s="9"/>
      <c r="ND210" s="9"/>
      <c r="NE210" s="9"/>
      <c r="NF210" s="9"/>
      <c r="NG210" s="9"/>
      <c r="NH210" s="9"/>
      <c r="NI210" s="9"/>
      <c r="NJ210" s="9"/>
      <c r="NK210" s="9"/>
      <c r="NL210" s="9"/>
      <c r="NM210" s="9"/>
      <c r="NN210" s="9"/>
      <c r="NO210" s="9"/>
      <c r="NP210" s="9"/>
      <c r="NQ210" s="9"/>
      <c r="NR210" s="9"/>
      <c r="NS210" s="9"/>
      <c r="NT210" s="9"/>
      <c r="NU210" s="9"/>
      <c r="NV210" s="9"/>
      <c r="NW210" s="9"/>
      <c r="NX210" s="9"/>
      <c r="NY210" s="9"/>
      <c r="NZ210" s="9"/>
      <c r="OA210" s="9"/>
      <c r="OB210" s="9"/>
      <c r="OC210" s="9"/>
      <c r="OD210" s="9"/>
      <c r="OE210" s="9"/>
      <c r="OF210" s="9"/>
      <c r="OG210" s="9"/>
      <c r="OH210" s="9"/>
      <c r="OI210" s="9"/>
      <c r="OJ210" s="9"/>
      <c r="OK210" s="9"/>
      <c r="OL210" s="9"/>
      <c r="OM210" s="9"/>
      <c r="ON210" s="9"/>
      <c r="OO210" s="9"/>
      <c r="OP210" s="9"/>
      <c r="OQ210" s="9"/>
      <c r="OR210" s="9"/>
      <c r="OS210" s="9"/>
      <c r="OT210" s="9"/>
      <c r="OU210" s="9"/>
      <c r="OV210" s="9"/>
      <c r="OW210" s="9"/>
      <c r="OX210" s="9"/>
      <c r="OY210" s="9"/>
      <c r="OZ210" s="9"/>
      <c r="PA210" s="9"/>
      <c r="PB210" s="9"/>
      <c r="PC210" s="9"/>
      <c r="PD210" s="9"/>
      <c r="PE210" s="9"/>
      <c r="PF210" s="9"/>
      <c r="PG210" s="9"/>
      <c r="PH210" s="9"/>
      <c r="PI210" s="9"/>
      <c r="PJ210" s="9"/>
      <c r="PK210" s="9"/>
      <c r="PL210" s="9"/>
      <c r="PM210" s="9"/>
      <c r="PN210" s="9"/>
      <c r="PO210" s="9"/>
      <c r="PP210" s="9"/>
      <c r="PQ210" s="9"/>
      <c r="PR210" s="9"/>
      <c r="PS210" s="9"/>
      <c r="PT210" s="9"/>
      <c r="PU210" s="9"/>
      <c r="PV210" s="9"/>
      <c r="PW210" s="9"/>
      <c r="PX210" s="9"/>
      <c r="PY210" s="9"/>
      <c r="PZ210" s="9"/>
      <c r="QA210" s="9"/>
      <c r="QB210" s="9"/>
      <c r="QC210" s="9"/>
      <c r="QD210" s="9"/>
      <c r="QE210" s="9"/>
      <c r="QF210" s="9"/>
      <c r="QG210" s="9"/>
      <c r="QH210" s="9"/>
      <c r="QI210" s="9"/>
      <c r="QJ210" s="9"/>
      <c r="QK210" s="9"/>
      <c r="QL210" s="9"/>
      <c r="QM210" s="9"/>
      <c r="QN210" s="9"/>
      <c r="QO210" s="9"/>
      <c r="QP210" s="9"/>
      <c r="QQ210" s="9"/>
      <c r="QR210" s="9"/>
      <c r="QS210" s="9"/>
      <c r="QT210" s="9"/>
      <c r="QU210" s="9"/>
      <c r="QV210" s="9"/>
      <c r="QW210" s="9"/>
      <c r="QX210" s="9"/>
      <c r="QY210" s="9"/>
      <c r="QZ210" s="9"/>
      <c r="RA210" s="9"/>
      <c r="RB210" s="9"/>
      <c r="RC210" s="9"/>
      <c r="RD210" s="9"/>
      <c r="RE210" s="9"/>
      <c r="RF210" s="9"/>
      <c r="RG210" s="9"/>
      <c r="RH210" s="9"/>
      <c r="RI210" s="9"/>
      <c r="RJ210" s="9"/>
      <c r="RK210" s="9"/>
      <c r="RL210" s="9"/>
      <c r="RM210" s="9"/>
      <c r="RN210" s="9"/>
      <c r="RO210" s="9"/>
      <c r="RP210" s="9"/>
      <c r="RQ210" s="9"/>
      <c r="RR210" s="9"/>
      <c r="RS210" s="9"/>
      <c r="RT210" s="9"/>
      <c r="RU210" s="9"/>
      <c r="RV210" s="9"/>
      <c r="RW210" s="9"/>
      <c r="RX210" s="9"/>
      <c r="RY210" s="9"/>
      <c r="RZ210" s="9"/>
      <c r="SA210" s="9"/>
      <c r="SB210" s="9"/>
      <c r="SC210" s="9"/>
      <c r="SD210" s="9"/>
      <c r="SE210" s="9"/>
      <c r="SF210" s="9"/>
      <c r="SG210" s="9"/>
      <c r="SH210" s="9"/>
      <c r="SI210" s="9"/>
      <c r="SJ210" s="9"/>
      <c r="SK210" s="8"/>
      <c r="SL210" s="8"/>
      <c r="SM210" s="8"/>
      <c r="SN210" s="8"/>
      <c r="SO210" s="8"/>
      <c r="SP210" s="8"/>
      <c r="SQ210" s="8"/>
      <c r="SR210" s="8"/>
      <c r="SS210" s="8"/>
      <c r="ST210" s="8"/>
      <c r="SU210" s="8"/>
      <c r="SV210" s="8"/>
      <c r="SW210" s="8"/>
      <c r="SX210" s="8"/>
      <c r="SY210" s="8"/>
      <c r="SZ210" s="8"/>
      <c r="TA210" s="8"/>
      <c r="TB210" s="8"/>
      <c r="TC210" s="8"/>
      <c r="TD210" s="8"/>
      <c r="TE210" s="8"/>
      <c r="TF210" s="8"/>
      <c r="TG210" s="8"/>
      <c r="TH210" s="8"/>
      <c r="TI210" s="8"/>
      <c r="TJ210" s="8"/>
      <c r="TK210" s="8"/>
      <c r="TL210" s="8"/>
      <c r="TM210" s="8"/>
      <c r="TN210" s="8"/>
      <c r="TO210" s="8"/>
    </row>
    <row r="211" spans="1:535" x14ac:dyDescent="0.2">
      <c r="A211" s="7"/>
      <c r="B211" s="7"/>
      <c r="C211" s="9"/>
      <c r="D211" s="8"/>
      <c r="E211" s="8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9"/>
      <c r="CK211" s="9"/>
      <c r="CL211" s="9"/>
      <c r="CM211" s="9"/>
      <c r="CN211" s="9"/>
      <c r="CO211" s="9"/>
      <c r="CP211" s="9"/>
      <c r="CQ211" s="9"/>
      <c r="CR211" s="9"/>
      <c r="CS211" s="9"/>
      <c r="CT211" s="9"/>
      <c r="CU211" s="9"/>
      <c r="CV211" s="9"/>
      <c r="CW211" s="9"/>
      <c r="CX211" s="9"/>
      <c r="CY211" s="9"/>
      <c r="CZ211" s="9"/>
      <c r="DA211" s="9"/>
      <c r="DB211" s="9"/>
      <c r="DC211" s="9"/>
      <c r="DD211" s="9"/>
      <c r="DE211" s="9"/>
      <c r="DF211" s="9"/>
      <c r="DG211" s="9"/>
      <c r="DH211" s="9"/>
      <c r="DI211" s="9"/>
      <c r="DJ211" s="9"/>
      <c r="DK211" s="9"/>
      <c r="DL211" s="9"/>
      <c r="DM211" s="9"/>
      <c r="DN211" s="9"/>
      <c r="DO211" s="9"/>
      <c r="DP211" s="9"/>
      <c r="DQ211" s="9"/>
      <c r="DR211" s="9"/>
      <c r="DS211" s="9"/>
      <c r="DT211" s="9"/>
      <c r="DU211" s="9"/>
      <c r="DV211" s="9"/>
      <c r="DW211" s="9"/>
      <c r="DX211" s="9"/>
      <c r="DY211" s="9"/>
      <c r="DZ211" s="9"/>
      <c r="EA211" s="9"/>
      <c r="EB211" s="9"/>
      <c r="EC211" s="9"/>
      <c r="ED211" s="9"/>
      <c r="EE211" s="9"/>
      <c r="EF211" s="9"/>
      <c r="EG211" s="9"/>
      <c r="EH211" s="9"/>
      <c r="EI211" s="9"/>
      <c r="EJ211" s="9"/>
      <c r="EK211" s="9"/>
      <c r="EL211" s="9"/>
      <c r="EM211" s="9"/>
      <c r="EN211" s="9"/>
      <c r="EO211" s="9"/>
      <c r="EP211" s="9"/>
      <c r="EQ211" s="9"/>
      <c r="ER211" s="9"/>
      <c r="ES211" s="9"/>
      <c r="ET211" s="9"/>
      <c r="EU211" s="9"/>
      <c r="EV211" s="9"/>
      <c r="EW211" s="9"/>
      <c r="EX211" s="9"/>
      <c r="EY211" s="9"/>
      <c r="EZ211" s="9"/>
      <c r="FA211" s="9"/>
      <c r="FB211" s="9"/>
      <c r="FC211" s="9"/>
      <c r="FD211" s="9"/>
      <c r="FE211" s="9"/>
      <c r="FF211" s="9"/>
      <c r="FG211" s="9"/>
      <c r="FH211" s="9"/>
      <c r="FI211" s="9"/>
      <c r="FJ211" s="9"/>
      <c r="FK211" s="9"/>
      <c r="FL211" s="9"/>
      <c r="FM211" s="9"/>
      <c r="FN211" s="9"/>
      <c r="FO211" s="9"/>
      <c r="FP211" s="9"/>
      <c r="FQ211" s="9"/>
      <c r="FR211" s="9"/>
      <c r="FS211" s="9"/>
      <c r="FT211" s="9"/>
      <c r="FU211" s="9"/>
      <c r="FV211" s="9"/>
      <c r="FW211" s="9"/>
      <c r="FX211" s="9"/>
      <c r="FY211" s="9"/>
      <c r="FZ211" s="9"/>
      <c r="GA211" s="9"/>
      <c r="GB211" s="9"/>
      <c r="GC211" s="9"/>
      <c r="GD211" s="9"/>
      <c r="GE211" s="9"/>
      <c r="GF211" s="9"/>
      <c r="GG211" s="9"/>
      <c r="GH211" s="9"/>
      <c r="GI211" s="9"/>
      <c r="GJ211" s="9"/>
      <c r="GK211" s="9"/>
      <c r="GL211" s="9"/>
      <c r="GM211" s="9"/>
      <c r="GN211" s="9"/>
      <c r="GO211" s="9"/>
      <c r="GP211" s="9"/>
      <c r="GQ211" s="9"/>
      <c r="GR211" s="9"/>
      <c r="GS211" s="9"/>
      <c r="GT211" s="9"/>
      <c r="GU211" s="9"/>
      <c r="GV211" s="9"/>
      <c r="GW211" s="9"/>
      <c r="GX211" s="9"/>
      <c r="GY211" s="9"/>
      <c r="GZ211" s="9"/>
      <c r="HA211" s="9"/>
      <c r="HB211" s="9"/>
      <c r="HC211" s="9"/>
      <c r="HD211" s="9"/>
      <c r="HE211" s="9"/>
      <c r="HF211" s="9"/>
      <c r="HG211" s="9"/>
      <c r="HH211" s="9"/>
      <c r="HI211" s="9"/>
      <c r="HJ211" s="9"/>
      <c r="HK211" s="9"/>
      <c r="HL211" s="9"/>
      <c r="HM211" s="9"/>
      <c r="HN211" s="9"/>
      <c r="HO211" s="9"/>
      <c r="HP211" s="9"/>
      <c r="HQ211" s="9"/>
      <c r="HR211" s="9"/>
      <c r="HS211" s="9"/>
      <c r="HT211" s="9"/>
      <c r="HU211" s="9"/>
      <c r="HV211" s="9"/>
      <c r="HW211" s="9"/>
      <c r="HX211" s="9"/>
      <c r="HY211" s="9"/>
      <c r="HZ211" s="9"/>
      <c r="IA211" s="9"/>
      <c r="IB211" s="9"/>
      <c r="IC211" s="9"/>
      <c r="ID211" s="9"/>
      <c r="IE211" s="9"/>
      <c r="IF211" s="9"/>
      <c r="IG211" s="9"/>
      <c r="IH211" s="9"/>
      <c r="II211" s="9"/>
      <c r="IJ211" s="9"/>
      <c r="IK211" s="9"/>
      <c r="IL211" s="9"/>
      <c r="IM211" s="9"/>
      <c r="IN211" s="9"/>
      <c r="IO211" s="9"/>
      <c r="IP211" s="9"/>
      <c r="IQ211" s="9"/>
      <c r="IR211" s="9"/>
      <c r="IS211" s="9"/>
      <c r="IT211" s="9"/>
      <c r="IU211" s="9"/>
      <c r="IV211" s="9"/>
      <c r="IW211" s="9"/>
      <c r="IX211" s="9"/>
      <c r="IY211" s="9"/>
      <c r="IZ211" s="9"/>
      <c r="JA211" s="9"/>
      <c r="JB211" s="9"/>
      <c r="JC211" s="9"/>
      <c r="JD211" s="9"/>
      <c r="JE211" s="9"/>
      <c r="JF211" s="9"/>
      <c r="JG211" s="9"/>
      <c r="JH211" s="9"/>
      <c r="JI211" s="9"/>
      <c r="JJ211" s="9"/>
      <c r="JK211" s="9"/>
      <c r="JL211" s="9"/>
      <c r="JM211" s="9"/>
      <c r="JN211" s="9"/>
      <c r="JO211" s="9"/>
      <c r="JP211" s="9"/>
      <c r="JQ211" s="9"/>
      <c r="JR211" s="9"/>
      <c r="JS211" s="9"/>
      <c r="JT211" s="9"/>
      <c r="JU211" s="9"/>
      <c r="JV211" s="9"/>
      <c r="JW211" s="9"/>
      <c r="JX211" s="9"/>
      <c r="JY211" s="9"/>
      <c r="JZ211" s="9"/>
      <c r="KA211" s="9"/>
      <c r="KB211" s="9"/>
      <c r="KC211" s="9"/>
      <c r="KD211" s="9"/>
      <c r="KE211" s="9"/>
      <c r="KF211" s="9"/>
      <c r="KG211" s="9"/>
      <c r="KH211" s="9"/>
      <c r="KI211" s="9"/>
      <c r="KJ211" s="9"/>
      <c r="KK211" s="9"/>
      <c r="KL211" s="9"/>
      <c r="KM211" s="9"/>
      <c r="KN211" s="9"/>
      <c r="KO211" s="9"/>
      <c r="KP211" s="9"/>
      <c r="KQ211" s="9"/>
      <c r="KR211" s="9"/>
      <c r="KS211" s="9"/>
      <c r="KT211" s="9"/>
      <c r="KU211" s="9"/>
      <c r="KV211" s="9"/>
      <c r="KW211" s="9"/>
      <c r="KX211" s="9"/>
      <c r="KY211" s="9"/>
      <c r="KZ211" s="9"/>
      <c r="LA211" s="9"/>
      <c r="LB211" s="9"/>
      <c r="LC211" s="9"/>
      <c r="LD211" s="9"/>
      <c r="LE211" s="9"/>
      <c r="LF211" s="9"/>
      <c r="LG211" s="9"/>
      <c r="LH211" s="9"/>
      <c r="LI211" s="9"/>
      <c r="LJ211" s="9"/>
      <c r="LK211" s="9"/>
      <c r="LL211" s="9"/>
      <c r="LM211" s="9"/>
      <c r="LN211" s="9"/>
      <c r="LO211" s="9"/>
      <c r="LP211" s="9"/>
      <c r="LQ211" s="9"/>
      <c r="LR211" s="9"/>
      <c r="LS211" s="9"/>
      <c r="LT211" s="9"/>
      <c r="LU211" s="9"/>
      <c r="LV211" s="9"/>
      <c r="LW211" s="9"/>
      <c r="LX211" s="9"/>
      <c r="LY211" s="9"/>
      <c r="LZ211" s="9"/>
      <c r="MA211" s="9"/>
      <c r="MB211" s="9"/>
      <c r="MC211" s="9"/>
      <c r="MD211" s="9"/>
      <c r="ME211" s="9"/>
      <c r="MF211" s="9"/>
      <c r="MG211" s="9"/>
      <c r="MH211" s="9"/>
      <c r="MI211" s="9"/>
      <c r="MJ211" s="9"/>
      <c r="MK211" s="9"/>
      <c r="ML211" s="9"/>
      <c r="MM211" s="9"/>
      <c r="MN211" s="9"/>
      <c r="MO211" s="9"/>
      <c r="MP211" s="9"/>
      <c r="MQ211" s="9"/>
      <c r="MR211" s="9"/>
      <c r="MS211" s="9"/>
      <c r="MT211" s="9"/>
      <c r="MU211" s="9"/>
      <c r="MV211" s="9"/>
      <c r="MW211" s="9"/>
      <c r="MX211" s="9"/>
      <c r="MY211" s="9"/>
      <c r="MZ211" s="9"/>
      <c r="NA211" s="9"/>
      <c r="NB211" s="9"/>
      <c r="NC211" s="9"/>
      <c r="ND211" s="9"/>
      <c r="NE211" s="9"/>
      <c r="NF211" s="9"/>
      <c r="NG211" s="9"/>
      <c r="NH211" s="9"/>
      <c r="NI211" s="9"/>
      <c r="NJ211" s="9"/>
      <c r="NK211" s="9"/>
      <c r="NL211" s="9"/>
      <c r="NM211" s="9"/>
      <c r="NN211" s="9"/>
      <c r="NO211" s="9"/>
      <c r="NP211" s="9"/>
      <c r="NQ211" s="9"/>
      <c r="NR211" s="9"/>
      <c r="NS211" s="9"/>
      <c r="NT211" s="9"/>
      <c r="NU211" s="9"/>
      <c r="NV211" s="9"/>
      <c r="NW211" s="9"/>
      <c r="NX211" s="9"/>
      <c r="NY211" s="9"/>
      <c r="NZ211" s="9"/>
      <c r="OA211" s="9"/>
      <c r="OB211" s="9"/>
      <c r="OC211" s="9"/>
      <c r="OD211" s="9"/>
      <c r="OE211" s="9"/>
      <c r="OF211" s="9"/>
      <c r="OG211" s="9"/>
      <c r="OH211" s="9"/>
      <c r="OI211" s="9"/>
      <c r="OJ211" s="9"/>
      <c r="OK211" s="9"/>
      <c r="OL211" s="9"/>
      <c r="OM211" s="9"/>
      <c r="ON211" s="9"/>
      <c r="OO211" s="9"/>
      <c r="OP211" s="9"/>
      <c r="OQ211" s="9"/>
      <c r="OR211" s="9"/>
      <c r="OS211" s="9"/>
      <c r="OT211" s="9"/>
      <c r="OU211" s="9"/>
      <c r="OV211" s="9"/>
      <c r="OW211" s="9"/>
      <c r="OX211" s="9"/>
      <c r="OY211" s="9"/>
      <c r="OZ211" s="9"/>
      <c r="PA211" s="9"/>
      <c r="PB211" s="9"/>
      <c r="PC211" s="9"/>
      <c r="PD211" s="9"/>
      <c r="PE211" s="9"/>
      <c r="PF211" s="9"/>
      <c r="PG211" s="9"/>
      <c r="PH211" s="9"/>
      <c r="PI211" s="9"/>
      <c r="PJ211" s="9"/>
      <c r="PK211" s="9"/>
      <c r="PL211" s="9"/>
      <c r="PM211" s="9"/>
      <c r="PN211" s="9"/>
      <c r="PO211" s="9"/>
      <c r="PP211" s="9"/>
      <c r="PQ211" s="9"/>
      <c r="PR211" s="9"/>
      <c r="PS211" s="9"/>
      <c r="PT211" s="9"/>
      <c r="PU211" s="9"/>
      <c r="PV211" s="9"/>
      <c r="PW211" s="9"/>
      <c r="PX211" s="9"/>
      <c r="PY211" s="9"/>
      <c r="PZ211" s="9"/>
      <c r="QA211" s="9"/>
      <c r="QB211" s="9"/>
      <c r="QC211" s="9"/>
      <c r="QD211" s="9"/>
      <c r="QE211" s="9"/>
      <c r="QF211" s="9"/>
      <c r="QG211" s="9"/>
      <c r="QH211" s="9"/>
      <c r="QI211" s="9"/>
      <c r="QJ211" s="9"/>
      <c r="QK211" s="9"/>
      <c r="QL211" s="9"/>
      <c r="QM211" s="9"/>
      <c r="QN211" s="9"/>
      <c r="QO211" s="9"/>
      <c r="QP211" s="9"/>
      <c r="QQ211" s="9"/>
      <c r="QR211" s="9"/>
      <c r="QS211" s="9"/>
      <c r="QT211" s="9"/>
      <c r="QU211" s="9"/>
      <c r="QV211" s="9"/>
      <c r="QW211" s="9"/>
      <c r="QX211" s="9"/>
      <c r="QY211" s="9"/>
      <c r="QZ211" s="9"/>
      <c r="RA211" s="9"/>
      <c r="RB211" s="9"/>
      <c r="RC211" s="9"/>
      <c r="RD211" s="9"/>
      <c r="RE211" s="9"/>
      <c r="RF211" s="9"/>
      <c r="RG211" s="9"/>
      <c r="RH211" s="9"/>
      <c r="RI211" s="9"/>
      <c r="RJ211" s="9"/>
      <c r="RK211" s="9"/>
      <c r="RL211" s="9"/>
      <c r="RM211" s="9"/>
      <c r="RN211" s="9"/>
      <c r="RO211" s="9"/>
      <c r="RP211" s="9"/>
      <c r="RQ211" s="9"/>
      <c r="RR211" s="9"/>
      <c r="RS211" s="9"/>
      <c r="RT211" s="9"/>
      <c r="RU211" s="9"/>
      <c r="RV211" s="9"/>
      <c r="RW211" s="9"/>
      <c r="RX211" s="9"/>
      <c r="RY211" s="9"/>
      <c r="RZ211" s="9"/>
      <c r="SA211" s="9"/>
      <c r="SB211" s="9"/>
      <c r="SC211" s="9"/>
      <c r="SD211" s="9"/>
      <c r="SE211" s="9"/>
      <c r="SF211" s="9"/>
      <c r="SG211" s="9"/>
      <c r="SH211" s="9"/>
      <c r="SI211" s="9"/>
      <c r="SJ211" s="9"/>
      <c r="SK211" s="8"/>
      <c r="SL211" s="8"/>
      <c r="SM211" s="8"/>
      <c r="SN211" s="8"/>
      <c r="SO211" s="8"/>
      <c r="SP211" s="8"/>
      <c r="SQ211" s="8"/>
      <c r="SR211" s="8"/>
      <c r="SS211" s="8"/>
      <c r="ST211" s="8"/>
      <c r="SU211" s="8"/>
      <c r="SV211" s="8"/>
      <c r="SW211" s="8"/>
      <c r="SX211" s="8"/>
      <c r="SY211" s="8"/>
      <c r="SZ211" s="8"/>
      <c r="TA211" s="8"/>
      <c r="TB211" s="8"/>
      <c r="TC211" s="8"/>
      <c r="TD211" s="8"/>
      <c r="TE211" s="8"/>
      <c r="TF211" s="8"/>
      <c r="TG211" s="8"/>
      <c r="TH211" s="8"/>
      <c r="TI211" s="8"/>
      <c r="TJ211" s="8"/>
      <c r="TK211" s="8"/>
      <c r="TL211" s="8"/>
      <c r="TM211" s="8"/>
      <c r="TN211" s="8"/>
      <c r="TO211" s="8"/>
    </row>
    <row r="212" spans="1:535" x14ac:dyDescent="0.2">
      <c r="A212" s="7"/>
      <c r="B212" s="7"/>
      <c r="C212" s="9"/>
      <c r="D212" s="8"/>
      <c r="E212" s="8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  <c r="CI212" s="9"/>
      <c r="CJ212" s="9"/>
      <c r="CK212" s="9"/>
      <c r="CL212" s="9"/>
      <c r="CM212" s="9"/>
      <c r="CN212" s="9"/>
      <c r="CO212" s="9"/>
      <c r="CP212" s="9"/>
      <c r="CQ212" s="9"/>
      <c r="CR212" s="9"/>
      <c r="CS212" s="9"/>
      <c r="CT212" s="9"/>
      <c r="CU212" s="9"/>
      <c r="CV212" s="9"/>
      <c r="CW212" s="9"/>
      <c r="CX212" s="9"/>
      <c r="CY212" s="9"/>
      <c r="CZ212" s="9"/>
      <c r="DA212" s="9"/>
      <c r="DB212" s="9"/>
      <c r="DC212" s="9"/>
      <c r="DD212" s="9"/>
      <c r="DE212" s="9"/>
      <c r="DF212" s="9"/>
      <c r="DG212" s="9"/>
      <c r="DH212" s="9"/>
      <c r="DI212" s="9"/>
      <c r="DJ212" s="9"/>
      <c r="DK212" s="9"/>
      <c r="DL212" s="9"/>
      <c r="DM212" s="9"/>
      <c r="DN212" s="9"/>
      <c r="DO212" s="9"/>
      <c r="DP212" s="9"/>
      <c r="DQ212" s="9"/>
      <c r="DR212" s="9"/>
      <c r="DS212" s="9"/>
      <c r="DT212" s="9"/>
      <c r="DU212" s="9"/>
      <c r="DV212" s="9"/>
      <c r="DW212" s="9"/>
      <c r="DX212" s="9"/>
      <c r="DY212" s="9"/>
      <c r="DZ212" s="9"/>
      <c r="EA212" s="9"/>
      <c r="EB212" s="9"/>
      <c r="EC212" s="9"/>
      <c r="ED212" s="9"/>
      <c r="EE212" s="9"/>
      <c r="EF212" s="9"/>
      <c r="EG212" s="9"/>
      <c r="EH212" s="9"/>
      <c r="EI212" s="9"/>
      <c r="EJ212" s="9"/>
      <c r="EK212" s="9"/>
      <c r="EL212" s="9"/>
      <c r="EM212" s="9"/>
      <c r="EN212" s="9"/>
      <c r="EO212" s="9"/>
      <c r="EP212" s="9"/>
      <c r="EQ212" s="9"/>
      <c r="ER212" s="9"/>
      <c r="ES212" s="9"/>
      <c r="ET212" s="9"/>
      <c r="EU212" s="9"/>
      <c r="EV212" s="9"/>
      <c r="EW212" s="9"/>
      <c r="EX212" s="9"/>
      <c r="EY212" s="9"/>
      <c r="EZ212" s="9"/>
      <c r="FA212" s="9"/>
      <c r="FB212" s="9"/>
      <c r="FC212" s="9"/>
      <c r="FD212" s="9"/>
      <c r="FE212" s="9"/>
      <c r="FF212" s="9"/>
      <c r="FG212" s="9"/>
      <c r="FH212" s="9"/>
      <c r="FI212" s="9"/>
      <c r="FJ212" s="9"/>
      <c r="FK212" s="9"/>
      <c r="FL212" s="9"/>
      <c r="FM212" s="9"/>
      <c r="FN212" s="9"/>
      <c r="FO212" s="9"/>
      <c r="FP212" s="9"/>
      <c r="FQ212" s="9"/>
      <c r="FR212" s="9"/>
      <c r="FS212" s="9"/>
      <c r="FT212" s="9"/>
      <c r="FU212" s="9"/>
      <c r="FV212" s="9"/>
      <c r="FW212" s="9"/>
      <c r="FX212" s="9"/>
      <c r="FY212" s="9"/>
      <c r="FZ212" s="9"/>
      <c r="GA212" s="9"/>
      <c r="GB212" s="9"/>
      <c r="GC212" s="9"/>
      <c r="GD212" s="9"/>
      <c r="GE212" s="9"/>
      <c r="GF212" s="9"/>
      <c r="GG212" s="9"/>
      <c r="GH212" s="9"/>
      <c r="GI212" s="9"/>
      <c r="GJ212" s="9"/>
      <c r="GK212" s="9"/>
      <c r="GL212" s="9"/>
      <c r="GM212" s="9"/>
      <c r="GN212" s="9"/>
      <c r="GO212" s="9"/>
      <c r="GP212" s="9"/>
      <c r="GQ212" s="9"/>
      <c r="GR212" s="9"/>
      <c r="GS212" s="9"/>
      <c r="GT212" s="9"/>
      <c r="GU212" s="9"/>
      <c r="GV212" s="9"/>
      <c r="GW212" s="9"/>
      <c r="GX212" s="9"/>
      <c r="GY212" s="9"/>
      <c r="GZ212" s="9"/>
      <c r="HA212" s="9"/>
      <c r="HB212" s="9"/>
      <c r="HC212" s="9"/>
      <c r="HD212" s="9"/>
      <c r="HE212" s="9"/>
      <c r="HF212" s="9"/>
      <c r="HG212" s="9"/>
      <c r="HH212" s="9"/>
      <c r="HI212" s="9"/>
      <c r="HJ212" s="9"/>
      <c r="HK212" s="9"/>
      <c r="HL212" s="9"/>
      <c r="HM212" s="9"/>
      <c r="HN212" s="9"/>
      <c r="HO212" s="9"/>
      <c r="HP212" s="9"/>
      <c r="HQ212" s="9"/>
      <c r="HR212" s="9"/>
      <c r="HS212" s="9"/>
      <c r="HT212" s="9"/>
      <c r="HU212" s="9"/>
      <c r="HV212" s="9"/>
      <c r="HW212" s="9"/>
      <c r="HX212" s="9"/>
      <c r="HY212" s="9"/>
      <c r="HZ212" s="9"/>
      <c r="IA212" s="9"/>
      <c r="IB212" s="9"/>
      <c r="IC212" s="9"/>
      <c r="ID212" s="9"/>
      <c r="IE212" s="9"/>
      <c r="IF212" s="9"/>
      <c r="IG212" s="9"/>
      <c r="IH212" s="9"/>
      <c r="II212" s="9"/>
      <c r="IJ212" s="9"/>
      <c r="IK212" s="9"/>
      <c r="IL212" s="9"/>
      <c r="IM212" s="9"/>
      <c r="IN212" s="9"/>
      <c r="IO212" s="9"/>
      <c r="IP212" s="9"/>
      <c r="IQ212" s="9"/>
      <c r="IR212" s="9"/>
      <c r="IS212" s="9"/>
      <c r="IT212" s="9"/>
      <c r="IU212" s="9"/>
      <c r="IV212" s="9"/>
      <c r="IW212" s="9"/>
      <c r="IX212" s="9"/>
      <c r="IY212" s="9"/>
      <c r="IZ212" s="9"/>
      <c r="JA212" s="9"/>
      <c r="JB212" s="9"/>
      <c r="JC212" s="9"/>
      <c r="JD212" s="9"/>
      <c r="JE212" s="9"/>
      <c r="JF212" s="9"/>
      <c r="JG212" s="9"/>
      <c r="JH212" s="9"/>
      <c r="JI212" s="9"/>
      <c r="JJ212" s="9"/>
      <c r="JK212" s="9"/>
      <c r="JL212" s="9"/>
      <c r="JM212" s="9"/>
      <c r="JN212" s="9"/>
      <c r="JO212" s="9"/>
      <c r="JP212" s="9"/>
      <c r="JQ212" s="9"/>
      <c r="JR212" s="9"/>
      <c r="JS212" s="9"/>
      <c r="JT212" s="9"/>
      <c r="JU212" s="9"/>
      <c r="JV212" s="9"/>
      <c r="JW212" s="9"/>
      <c r="JX212" s="9"/>
      <c r="JY212" s="9"/>
      <c r="JZ212" s="9"/>
      <c r="KA212" s="9"/>
      <c r="KB212" s="9"/>
      <c r="KC212" s="9"/>
      <c r="KD212" s="9"/>
      <c r="KE212" s="9"/>
      <c r="KF212" s="9"/>
      <c r="KG212" s="9"/>
      <c r="KH212" s="9"/>
      <c r="KI212" s="9"/>
      <c r="KJ212" s="9"/>
      <c r="KK212" s="9"/>
      <c r="KL212" s="9"/>
      <c r="KM212" s="9"/>
      <c r="KN212" s="9"/>
      <c r="KO212" s="9"/>
      <c r="KP212" s="9"/>
      <c r="KQ212" s="9"/>
      <c r="KR212" s="9"/>
      <c r="KS212" s="9"/>
      <c r="KT212" s="9"/>
      <c r="KU212" s="9"/>
      <c r="KV212" s="9"/>
      <c r="KW212" s="9"/>
      <c r="KX212" s="9"/>
      <c r="KY212" s="9"/>
      <c r="KZ212" s="9"/>
      <c r="LA212" s="9"/>
      <c r="LB212" s="9"/>
      <c r="LC212" s="9"/>
      <c r="LD212" s="9"/>
      <c r="LE212" s="9"/>
      <c r="LF212" s="9"/>
      <c r="LG212" s="9"/>
      <c r="LH212" s="9"/>
      <c r="LI212" s="9"/>
      <c r="LJ212" s="9"/>
      <c r="LK212" s="9"/>
      <c r="LL212" s="9"/>
      <c r="LM212" s="9"/>
      <c r="LN212" s="9"/>
      <c r="LO212" s="9"/>
      <c r="LP212" s="9"/>
      <c r="LQ212" s="9"/>
      <c r="LR212" s="9"/>
      <c r="LS212" s="9"/>
      <c r="LT212" s="9"/>
      <c r="LU212" s="9"/>
      <c r="LV212" s="9"/>
      <c r="LW212" s="9"/>
      <c r="LX212" s="9"/>
      <c r="LY212" s="9"/>
      <c r="LZ212" s="9"/>
      <c r="MA212" s="9"/>
      <c r="MB212" s="9"/>
      <c r="MC212" s="9"/>
      <c r="MD212" s="9"/>
      <c r="ME212" s="9"/>
      <c r="MF212" s="9"/>
      <c r="MG212" s="9"/>
      <c r="MH212" s="9"/>
      <c r="MI212" s="9"/>
      <c r="MJ212" s="9"/>
      <c r="MK212" s="9"/>
      <c r="ML212" s="9"/>
      <c r="MM212" s="9"/>
      <c r="MN212" s="9"/>
      <c r="MO212" s="9"/>
      <c r="MP212" s="9"/>
      <c r="MQ212" s="9"/>
      <c r="MR212" s="9"/>
      <c r="MS212" s="9"/>
      <c r="MT212" s="9"/>
      <c r="MU212" s="9"/>
      <c r="MV212" s="9"/>
      <c r="MW212" s="9"/>
      <c r="MX212" s="9"/>
      <c r="MY212" s="9"/>
      <c r="MZ212" s="9"/>
      <c r="NA212" s="9"/>
      <c r="NB212" s="9"/>
      <c r="NC212" s="9"/>
      <c r="ND212" s="9"/>
      <c r="NE212" s="9"/>
      <c r="NF212" s="9"/>
      <c r="NG212" s="9"/>
      <c r="NH212" s="9"/>
      <c r="NI212" s="9"/>
      <c r="NJ212" s="9"/>
      <c r="NK212" s="9"/>
      <c r="NL212" s="9"/>
      <c r="NM212" s="9"/>
      <c r="NN212" s="9"/>
      <c r="NO212" s="9"/>
      <c r="NP212" s="9"/>
      <c r="NQ212" s="9"/>
      <c r="NR212" s="9"/>
      <c r="NS212" s="9"/>
      <c r="NT212" s="9"/>
      <c r="NU212" s="9"/>
      <c r="NV212" s="9"/>
      <c r="NW212" s="9"/>
      <c r="NX212" s="9"/>
      <c r="NY212" s="9"/>
      <c r="NZ212" s="9"/>
      <c r="OA212" s="9"/>
      <c r="OB212" s="9"/>
      <c r="OC212" s="9"/>
      <c r="OD212" s="9"/>
      <c r="OE212" s="9"/>
      <c r="OF212" s="9"/>
      <c r="OG212" s="9"/>
      <c r="OH212" s="9"/>
      <c r="OI212" s="9"/>
      <c r="OJ212" s="9"/>
      <c r="OK212" s="9"/>
      <c r="OL212" s="9"/>
      <c r="OM212" s="9"/>
      <c r="ON212" s="9"/>
      <c r="OO212" s="9"/>
      <c r="OP212" s="9"/>
      <c r="OQ212" s="9"/>
      <c r="OR212" s="9"/>
      <c r="OS212" s="9"/>
      <c r="OT212" s="9"/>
      <c r="OU212" s="9"/>
      <c r="OV212" s="9"/>
      <c r="OW212" s="9"/>
      <c r="OX212" s="9"/>
      <c r="OY212" s="9"/>
      <c r="OZ212" s="9"/>
      <c r="PA212" s="9"/>
      <c r="PB212" s="9"/>
      <c r="PC212" s="9"/>
      <c r="PD212" s="9"/>
      <c r="PE212" s="9"/>
      <c r="PF212" s="9"/>
      <c r="PG212" s="9"/>
      <c r="PH212" s="9"/>
      <c r="PI212" s="9"/>
      <c r="PJ212" s="9"/>
      <c r="PK212" s="9"/>
      <c r="PL212" s="9"/>
      <c r="PM212" s="9"/>
      <c r="PN212" s="9"/>
      <c r="PO212" s="9"/>
      <c r="PP212" s="9"/>
      <c r="PQ212" s="9"/>
      <c r="PR212" s="9"/>
      <c r="PS212" s="9"/>
      <c r="PT212" s="9"/>
      <c r="PU212" s="9"/>
      <c r="PV212" s="9"/>
      <c r="PW212" s="9"/>
      <c r="PX212" s="9"/>
      <c r="PY212" s="9"/>
      <c r="PZ212" s="9"/>
      <c r="QA212" s="9"/>
      <c r="QB212" s="9"/>
      <c r="QC212" s="9"/>
      <c r="QD212" s="9"/>
      <c r="QE212" s="9"/>
      <c r="QF212" s="9"/>
      <c r="QG212" s="9"/>
      <c r="QH212" s="9"/>
      <c r="QI212" s="9"/>
      <c r="QJ212" s="9"/>
      <c r="QK212" s="9"/>
      <c r="QL212" s="9"/>
      <c r="QM212" s="9"/>
      <c r="QN212" s="9"/>
      <c r="QO212" s="9"/>
      <c r="QP212" s="9"/>
      <c r="QQ212" s="9"/>
      <c r="QR212" s="9"/>
      <c r="QS212" s="9"/>
      <c r="QT212" s="9"/>
      <c r="QU212" s="9"/>
      <c r="QV212" s="9"/>
      <c r="QW212" s="9"/>
      <c r="QX212" s="9"/>
      <c r="QY212" s="9"/>
      <c r="QZ212" s="9"/>
      <c r="RA212" s="9"/>
      <c r="RB212" s="9"/>
      <c r="RC212" s="9"/>
      <c r="RD212" s="9"/>
      <c r="RE212" s="9"/>
      <c r="RF212" s="9"/>
      <c r="RG212" s="9"/>
      <c r="RH212" s="9"/>
      <c r="RI212" s="9"/>
      <c r="RJ212" s="9"/>
      <c r="RK212" s="9"/>
      <c r="RL212" s="9"/>
      <c r="RM212" s="9"/>
      <c r="RN212" s="9"/>
      <c r="RO212" s="9"/>
      <c r="RP212" s="9"/>
      <c r="RQ212" s="9"/>
      <c r="RR212" s="9"/>
      <c r="RS212" s="9"/>
      <c r="RT212" s="9"/>
      <c r="RU212" s="9"/>
      <c r="RV212" s="9"/>
      <c r="RW212" s="9"/>
      <c r="RX212" s="9"/>
      <c r="RY212" s="9"/>
      <c r="RZ212" s="9"/>
      <c r="SA212" s="9"/>
      <c r="SB212" s="9"/>
      <c r="SC212" s="9"/>
      <c r="SD212" s="9"/>
      <c r="SE212" s="9"/>
      <c r="SF212" s="9"/>
      <c r="SG212" s="9"/>
      <c r="SH212" s="9"/>
      <c r="SI212" s="9"/>
      <c r="SJ212" s="9"/>
      <c r="SK212" s="8"/>
      <c r="SL212" s="8"/>
      <c r="SM212" s="8"/>
      <c r="SN212" s="8"/>
      <c r="SO212" s="8"/>
      <c r="SP212" s="8"/>
      <c r="SQ212" s="8"/>
      <c r="SR212" s="8"/>
      <c r="SS212" s="8"/>
      <c r="ST212" s="8"/>
      <c r="SU212" s="8"/>
      <c r="SV212" s="8"/>
      <c r="SW212" s="8"/>
      <c r="SX212" s="8"/>
      <c r="SY212" s="8"/>
      <c r="SZ212" s="8"/>
      <c r="TA212" s="8"/>
      <c r="TB212" s="8"/>
      <c r="TC212" s="8"/>
      <c r="TD212" s="8"/>
      <c r="TE212" s="8"/>
      <c r="TF212" s="8"/>
      <c r="TG212" s="8"/>
      <c r="TH212" s="8"/>
      <c r="TI212" s="8"/>
      <c r="TJ212" s="8"/>
      <c r="TK212" s="8"/>
      <c r="TL212" s="8"/>
      <c r="TM212" s="8"/>
      <c r="TN212" s="8"/>
      <c r="TO212" s="8"/>
    </row>
    <row r="213" spans="1:535" x14ac:dyDescent="0.2">
      <c r="A213" s="7"/>
      <c r="B213" s="7"/>
      <c r="C213" s="9"/>
      <c r="D213" s="8"/>
      <c r="E213" s="8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  <c r="BP213" s="9"/>
      <c r="BQ213" s="9"/>
      <c r="BR213" s="9"/>
      <c r="BS213" s="9"/>
      <c r="BT213" s="9"/>
      <c r="BU213" s="9"/>
      <c r="BV213" s="9"/>
      <c r="BW213" s="9"/>
      <c r="BX213" s="9"/>
      <c r="BY213" s="9"/>
      <c r="BZ213" s="9"/>
      <c r="CA213" s="9"/>
      <c r="CB213" s="9"/>
      <c r="CC213" s="9"/>
      <c r="CD213" s="9"/>
      <c r="CE213" s="9"/>
      <c r="CF213" s="9"/>
      <c r="CG213" s="9"/>
      <c r="CH213" s="9"/>
      <c r="CI213" s="9"/>
      <c r="CJ213" s="9"/>
      <c r="CK213" s="9"/>
      <c r="CL213" s="9"/>
      <c r="CM213" s="9"/>
      <c r="CN213" s="9"/>
      <c r="CO213" s="9"/>
      <c r="CP213" s="9"/>
      <c r="CQ213" s="9"/>
      <c r="CR213" s="9"/>
      <c r="CS213" s="9"/>
      <c r="CT213" s="9"/>
      <c r="CU213" s="9"/>
      <c r="CV213" s="9"/>
      <c r="CW213" s="9"/>
      <c r="CX213" s="9"/>
      <c r="CY213" s="9"/>
      <c r="CZ213" s="9"/>
      <c r="DA213" s="9"/>
      <c r="DB213" s="9"/>
      <c r="DC213" s="9"/>
      <c r="DD213" s="9"/>
      <c r="DE213" s="9"/>
      <c r="DF213" s="9"/>
      <c r="DG213" s="9"/>
      <c r="DH213" s="9"/>
      <c r="DI213" s="9"/>
      <c r="DJ213" s="9"/>
      <c r="DK213" s="9"/>
      <c r="DL213" s="9"/>
      <c r="DM213" s="9"/>
      <c r="DN213" s="9"/>
      <c r="DO213" s="9"/>
      <c r="DP213" s="9"/>
      <c r="DQ213" s="9"/>
      <c r="DR213" s="9"/>
      <c r="DS213" s="9"/>
      <c r="DT213" s="9"/>
      <c r="DU213" s="9"/>
      <c r="DV213" s="9"/>
      <c r="DW213" s="9"/>
      <c r="DX213" s="9"/>
      <c r="DY213" s="9"/>
      <c r="DZ213" s="9"/>
      <c r="EA213" s="9"/>
      <c r="EB213" s="9"/>
      <c r="EC213" s="9"/>
      <c r="ED213" s="9"/>
      <c r="EE213" s="9"/>
      <c r="EF213" s="9"/>
      <c r="EG213" s="9"/>
      <c r="EH213" s="9"/>
      <c r="EI213" s="9"/>
      <c r="EJ213" s="9"/>
      <c r="EK213" s="9"/>
      <c r="EL213" s="9"/>
      <c r="EM213" s="9"/>
      <c r="EN213" s="9"/>
      <c r="EO213" s="9"/>
      <c r="EP213" s="9"/>
      <c r="EQ213" s="9"/>
      <c r="ER213" s="9"/>
      <c r="ES213" s="9"/>
      <c r="ET213" s="9"/>
      <c r="EU213" s="9"/>
      <c r="EV213" s="9"/>
      <c r="EW213" s="9"/>
      <c r="EX213" s="9"/>
      <c r="EY213" s="9"/>
      <c r="EZ213" s="9"/>
      <c r="FA213" s="9"/>
      <c r="FB213" s="9"/>
      <c r="FC213" s="9"/>
      <c r="FD213" s="9"/>
      <c r="FE213" s="9"/>
      <c r="FF213" s="9"/>
      <c r="FG213" s="9"/>
      <c r="FH213" s="9"/>
      <c r="FI213" s="9"/>
      <c r="FJ213" s="9"/>
      <c r="FK213" s="9"/>
      <c r="FL213" s="9"/>
      <c r="FM213" s="9"/>
      <c r="FN213" s="9"/>
      <c r="FO213" s="9"/>
      <c r="FP213" s="9"/>
      <c r="FQ213" s="9"/>
      <c r="FR213" s="9"/>
      <c r="FS213" s="9"/>
      <c r="FT213" s="9"/>
      <c r="FU213" s="9"/>
      <c r="FV213" s="9"/>
      <c r="FW213" s="9"/>
      <c r="FX213" s="9"/>
      <c r="FY213" s="9"/>
      <c r="FZ213" s="9"/>
      <c r="GA213" s="9"/>
      <c r="GB213" s="9"/>
      <c r="GC213" s="9"/>
      <c r="GD213" s="9"/>
      <c r="GE213" s="9"/>
      <c r="GF213" s="9"/>
      <c r="GG213" s="9"/>
      <c r="GH213" s="9"/>
      <c r="GI213" s="9"/>
      <c r="GJ213" s="9"/>
      <c r="GK213" s="9"/>
      <c r="GL213" s="9"/>
      <c r="GM213" s="9"/>
      <c r="GN213" s="9"/>
      <c r="GO213" s="9"/>
      <c r="GP213" s="9"/>
      <c r="GQ213" s="9"/>
      <c r="GR213" s="9"/>
      <c r="GS213" s="9"/>
      <c r="GT213" s="9"/>
      <c r="GU213" s="9"/>
      <c r="GV213" s="9"/>
      <c r="GW213" s="9"/>
      <c r="GX213" s="9"/>
      <c r="GY213" s="9"/>
      <c r="GZ213" s="9"/>
      <c r="HA213" s="9"/>
      <c r="HB213" s="9"/>
      <c r="HC213" s="9"/>
      <c r="HD213" s="9"/>
      <c r="HE213" s="9"/>
      <c r="HF213" s="9"/>
      <c r="HG213" s="9"/>
      <c r="HH213" s="9"/>
      <c r="HI213" s="9"/>
      <c r="HJ213" s="9"/>
      <c r="HK213" s="9"/>
      <c r="HL213" s="9"/>
      <c r="HM213" s="9"/>
      <c r="HN213" s="9"/>
      <c r="HO213" s="9"/>
      <c r="HP213" s="9"/>
      <c r="HQ213" s="9"/>
      <c r="HR213" s="9"/>
      <c r="HS213" s="9"/>
      <c r="HT213" s="9"/>
      <c r="HU213" s="9"/>
      <c r="HV213" s="9"/>
      <c r="HW213" s="9"/>
      <c r="HX213" s="9"/>
      <c r="HY213" s="9"/>
      <c r="HZ213" s="9"/>
      <c r="IA213" s="9"/>
      <c r="IB213" s="9"/>
      <c r="IC213" s="9"/>
      <c r="ID213" s="9"/>
      <c r="IE213" s="9"/>
      <c r="IF213" s="9"/>
      <c r="IG213" s="9"/>
      <c r="IH213" s="9"/>
      <c r="II213" s="9"/>
      <c r="IJ213" s="9"/>
      <c r="IK213" s="9"/>
      <c r="IL213" s="9"/>
      <c r="IM213" s="9"/>
      <c r="IN213" s="9"/>
      <c r="IO213" s="9"/>
      <c r="IP213" s="9"/>
      <c r="IQ213" s="9"/>
      <c r="IR213" s="9"/>
      <c r="IS213" s="9"/>
      <c r="IT213" s="9"/>
      <c r="IU213" s="9"/>
      <c r="IV213" s="9"/>
      <c r="IW213" s="9"/>
      <c r="IX213" s="9"/>
      <c r="IY213" s="9"/>
      <c r="IZ213" s="9"/>
      <c r="JA213" s="9"/>
      <c r="JB213" s="9"/>
      <c r="JC213" s="9"/>
      <c r="JD213" s="9"/>
      <c r="JE213" s="9"/>
      <c r="JF213" s="9"/>
      <c r="JG213" s="9"/>
      <c r="JH213" s="9"/>
      <c r="JI213" s="9"/>
      <c r="JJ213" s="9"/>
      <c r="JK213" s="9"/>
      <c r="JL213" s="9"/>
      <c r="JM213" s="9"/>
      <c r="JN213" s="9"/>
      <c r="JO213" s="9"/>
      <c r="JP213" s="9"/>
      <c r="JQ213" s="9"/>
      <c r="JR213" s="9"/>
      <c r="JS213" s="9"/>
      <c r="JT213" s="9"/>
      <c r="JU213" s="9"/>
      <c r="JV213" s="9"/>
      <c r="JW213" s="9"/>
      <c r="JX213" s="9"/>
      <c r="JY213" s="9"/>
      <c r="JZ213" s="9"/>
      <c r="KA213" s="9"/>
      <c r="KB213" s="9"/>
      <c r="KC213" s="9"/>
      <c r="KD213" s="9"/>
      <c r="KE213" s="9"/>
      <c r="KF213" s="9"/>
      <c r="KG213" s="9"/>
      <c r="KH213" s="9"/>
      <c r="KI213" s="9"/>
      <c r="KJ213" s="9"/>
      <c r="KK213" s="9"/>
      <c r="KL213" s="9"/>
      <c r="KM213" s="9"/>
      <c r="KN213" s="9"/>
      <c r="KO213" s="9"/>
      <c r="KP213" s="9"/>
      <c r="KQ213" s="9"/>
      <c r="KR213" s="9"/>
      <c r="KS213" s="9"/>
      <c r="KT213" s="9"/>
      <c r="KU213" s="9"/>
      <c r="KV213" s="9"/>
      <c r="KW213" s="9"/>
      <c r="KX213" s="9"/>
      <c r="KY213" s="9"/>
      <c r="KZ213" s="9"/>
      <c r="LA213" s="9"/>
      <c r="LB213" s="9"/>
      <c r="LC213" s="9"/>
      <c r="LD213" s="9"/>
      <c r="LE213" s="9"/>
      <c r="LF213" s="9"/>
      <c r="LG213" s="9"/>
      <c r="LH213" s="9"/>
      <c r="LI213" s="9"/>
      <c r="LJ213" s="9"/>
      <c r="LK213" s="9"/>
      <c r="LL213" s="9"/>
      <c r="LM213" s="9"/>
      <c r="LN213" s="9"/>
      <c r="LO213" s="9"/>
      <c r="LP213" s="9"/>
      <c r="LQ213" s="9"/>
      <c r="LR213" s="9"/>
      <c r="LS213" s="9"/>
      <c r="LT213" s="9"/>
      <c r="LU213" s="9"/>
      <c r="LV213" s="9"/>
      <c r="LW213" s="9"/>
      <c r="LX213" s="9"/>
      <c r="LY213" s="9"/>
      <c r="LZ213" s="9"/>
      <c r="MA213" s="9"/>
      <c r="MB213" s="9"/>
      <c r="MC213" s="9"/>
      <c r="MD213" s="9"/>
      <c r="ME213" s="9"/>
      <c r="MF213" s="9"/>
      <c r="MG213" s="9"/>
      <c r="MH213" s="9"/>
      <c r="MI213" s="9"/>
      <c r="MJ213" s="9"/>
      <c r="MK213" s="9"/>
      <c r="ML213" s="9"/>
      <c r="MM213" s="9"/>
      <c r="MN213" s="9"/>
      <c r="MO213" s="9"/>
      <c r="MP213" s="9"/>
      <c r="MQ213" s="9"/>
      <c r="MR213" s="9"/>
      <c r="MS213" s="9"/>
      <c r="MT213" s="9"/>
      <c r="MU213" s="9"/>
      <c r="MV213" s="9"/>
      <c r="MW213" s="9"/>
      <c r="MX213" s="9"/>
      <c r="MY213" s="9"/>
      <c r="MZ213" s="9"/>
      <c r="NA213" s="9"/>
      <c r="NB213" s="9"/>
      <c r="NC213" s="9"/>
      <c r="ND213" s="9"/>
      <c r="NE213" s="9"/>
      <c r="NF213" s="9"/>
      <c r="NG213" s="9"/>
      <c r="NH213" s="9"/>
      <c r="NI213" s="9"/>
      <c r="NJ213" s="9"/>
      <c r="NK213" s="9"/>
      <c r="NL213" s="9"/>
      <c r="NM213" s="9"/>
      <c r="NN213" s="9"/>
      <c r="NO213" s="9"/>
      <c r="NP213" s="9"/>
      <c r="NQ213" s="9"/>
      <c r="NR213" s="9"/>
      <c r="NS213" s="9"/>
      <c r="NT213" s="9"/>
      <c r="NU213" s="9"/>
      <c r="NV213" s="9"/>
      <c r="NW213" s="9"/>
      <c r="NX213" s="9"/>
      <c r="NY213" s="9"/>
      <c r="NZ213" s="9"/>
      <c r="OA213" s="9"/>
      <c r="OB213" s="9"/>
      <c r="OC213" s="9"/>
      <c r="OD213" s="9"/>
      <c r="OE213" s="9"/>
      <c r="OF213" s="9"/>
      <c r="OG213" s="9"/>
      <c r="OH213" s="9"/>
      <c r="OI213" s="9"/>
      <c r="OJ213" s="9"/>
      <c r="OK213" s="9"/>
      <c r="OL213" s="9"/>
      <c r="OM213" s="9"/>
      <c r="ON213" s="9"/>
      <c r="OO213" s="9"/>
      <c r="OP213" s="9"/>
      <c r="OQ213" s="9"/>
      <c r="OR213" s="9"/>
      <c r="OS213" s="9"/>
      <c r="OT213" s="9"/>
      <c r="OU213" s="9"/>
      <c r="OV213" s="9"/>
      <c r="OW213" s="9"/>
      <c r="OX213" s="9"/>
      <c r="OY213" s="9"/>
      <c r="OZ213" s="9"/>
      <c r="PA213" s="9"/>
      <c r="PB213" s="9"/>
      <c r="PC213" s="9"/>
      <c r="PD213" s="9"/>
      <c r="PE213" s="9"/>
      <c r="PF213" s="9"/>
      <c r="PG213" s="9"/>
      <c r="PH213" s="9"/>
      <c r="PI213" s="9"/>
      <c r="PJ213" s="9"/>
      <c r="PK213" s="9"/>
      <c r="PL213" s="9"/>
      <c r="PM213" s="9"/>
      <c r="PN213" s="9"/>
      <c r="PO213" s="9"/>
      <c r="PP213" s="9"/>
      <c r="PQ213" s="9"/>
      <c r="PR213" s="9"/>
      <c r="PS213" s="9"/>
      <c r="PT213" s="9"/>
      <c r="PU213" s="9"/>
      <c r="PV213" s="9"/>
      <c r="PW213" s="9"/>
      <c r="PX213" s="9"/>
      <c r="PY213" s="9"/>
      <c r="PZ213" s="9"/>
      <c r="QA213" s="9"/>
      <c r="QB213" s="9"/>
      <c r="QC213" s="9"/>
      <c r="QD213" s="9"/>
      <c r="QE213" s="9"/>
      <c r="QF213" s="9"/>
      <c r="QG213" s="9"/>
      <c r="QH213" s="9"/>
      <c r="QI213" s="9"/>
      <c r="QJ213" s="9"/>
      <c r="QK213" s="9"/>
      <c r="QL213" s="9"/>
      <c r="QM213" s="9"/>
      <c r="QN213" s="9"/>
      <c r="QO213" s="9"/>
      <c r="QP213" s="9"/>
      <c r="QQ213" s="9"/>
      <c r="QR213" s="9"/>
      <c r="QS213" s="9"/>
      <c r="QT213" s="9"/>
      <c r="QU213" s="9"/>
      <c r="QV213" s="9"/>
      <c r="QW213" s="9"/>
      <c r="QX213" s="9"/>
      <c r="QY213" s="9"/>
      <c r="QZ213" s="9"/>
      <c r="RA213" s="9"/>
      <c r="RB213" s="9"/>
      <c r="RC213" s="9"/>
      <c r="RD213" s="9"/>
      <c r="RE213" s="9"/>
      <c r="RF213" s="9"/>
      <c r="RG213" s="9"/>
      <c r="RH213" s="9"/>
      <c r="RI213" s="9"/>
      <c r="RJ213" s="9"/>
      <c r="RK213" s="9"/>
      <c r="RL213" s="9"/>
      <c r="RM213" s="9"/>
      <c r="RN213" s="9"/>
      <c r="RO213" s="9"/>
      <c r="RP213" s="9"/>
      <c r="RQ213" s="9"/>
      <c r="RR213" s="9"/>
      <c r="RS213" s="9"/>
      <c r="RT213" s="9"/>
      <c r="RU213" s="9"/>
      <c r="RV213" s="9"/>
      <c r="RW213" s="9"/>
      <c r="RX213" s="9"/>
      <c r="RY213" s="9"/>
      <c r="RZ213" s="9"/>
      <c r="SA213" s="9"/>
      <c r="SB213" s="9"/>
      <c r="SC213" s="9"/>
      <c r="SD213" s="9"/>
      <c r="SE213" s="9"/>
      <c r="SF213" s="9"/>
      <c r="SG213" s="9"/>
      <c r="SH213" s="9"/>
      <c r="SI213" s="9"/>
      <c r="SJ213" s="9"/>
      <c r="SK213" s="8"/>
      <c r="SL213" s="8"/>
      <c r="SM213" s="8"/>
      <c r="SN213" s="8"/>
      <c r="SO213" s="8"/>
      <c r="SP213" s="8"/>
      <c r="SQ213" s="8"/>
      <c r="SR213" s="8"/>
      <c r="SS213" s="8"/>
      <c r="ST213" s="8"/>
      <c r="SU213" s="8"/>
      <c r="SV213" s="8"/>
      <c r="SW213" s="8"/>
      <c r="SX213" s="8"/>
      <c r="SY213" s="8"/>
      <c r="SZ213" s="8"/>
      <c r="TA213" s="8"/>
      <c r="TB213" s="8"/>
      <c r="TC213" s="8"/>
      <c r="TD213" s="8"/>
      <c r="TE213" s="8"/>
      <c r="TF213" s="8"/>
      <c r="TG213" s="8"/>
      <c r="TH213" s="8"/>
      <c r="TI213" s="8"/>
      <c r="TJ213" s="8"/>
      <c r="TK213" s="8"/>
      <c r="TL213" s="8"/>
      <c r="TM213" s="8"/>
      <c r="TN213" s="8"/>
      <c r="TO213" s="8"/>
    </row>
    <row r="214" spans="1:535" x14ac:dyDescent="0.2">
      <c r="A214" s="7"/>
      <c r="B214" s="7"/>
      <c r="C214" s="9"/>
      <c r="D214" s="8"/>
      <c r="E214" s="8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  <c r="BG214" s="9"/>
      <c r="BH214" s="9"/>
      <c r="BI214" s="9"/>
      <c r="BJ214" s="9"/>
      <c r="BK214" s="9"/>
      <c r="BL214" s="9"/>
      <c r="BM214" s="9"/>
      <c r="BN214" s="9"/>
      <c r="BO214" s="9"/>
      <c r="BP214" s="9"/>
      <c r="BQ214" s="9"/>
      <c r="BR214" s="9"/>
      <c r="BS214" s="9"/>
      <c r="BT214" s="9"/>
      <c r="BU214" s="9"/>
      <c r="BV214" s="9"/>
      <c r="BW214" s="9"/>
      <c r="BX214" s="9"/>
      <c r="BY214" s="9"/>
      <c r="BZ214" s="9"/>
      <c r="CA214" s="9"/>
      <c r="CB214" s="9"/>
      <c r="CC214" s="9"/>
      <c r="CD214" s="9"/>
      <c r="CE214" s="9"/>
      <c r="CF214" s="9"/>
      <c r="CG214" s="9"/>
      <c r="CH214" s="9"/>
      <c r="CI214" s="9"/>
      <c r="CJ214" s="9"/>
      <c r="CK214" s="9"/>
      <c r="CL214" s="9"/>
      <c r="CM214" s="9"/>
      <c r="CN214" s="9"/>
      <c r="CO214" s="9"/>
      <c r="CP214" s="9"/>
      <c r="CQ214" s="9"/>
      <c r="CR214" s="9"/>
      <c r="CS214" s="9"/>
      <c r="CT214" s="9"/>
      <c r="CU214" s="9"/>
      <c r="CV214" s="9"/>
      <c r="CW214" s="9"/>
      <c r="CX214" s="9"/>
      <c r="CY214" s="9"/>
      <c r="CZ214" s="9"/>
      <c r="DA214" s="9"/>
      <c r="DB214" s="9"/>
      <c r="DC214" s="9"/>
      <c r="DD214" s="9"/>
      <c r="DE214" s="9"/>
      <c r="DF214" s="9"/>
      <c r="DG214" s="9"/>
      <c r="DH214" s="9"/>
      <c r="DI214" s="9"/>
      <c r="DJ214" s="9"/>
      <c r="DK214" s="9"/>
      <c r="DL214" s="9"/>
      <c r="DM214" s="9"/>
      <c r="DN214" s="9"/>
      <c r="DO214" s="9"/>
      <c r="DP214" s="9"/>
      <c r="DQ214" s="9"/>
      <c r="DR214" s="9"/>
      <c r="DS214" s="9"/>
      <c r="DT214" s="9"/>
      <c r="DU214" s="9"/>
      <c r="DV214" s="9"/>
      <c r="DW214" s="9"/>
      <c r="DX214" s="9"/>
      <c r="DY214" s="9"/>
      <c r="DZ214" s="9"/>
      <c r="EA214" s="9"/>
      <c r="EB214" s="9"/>
      <c r="EC214" s="9"/>
      <c r="ED214" s="9"/>
      <c r="EE214" s="9"/>
      <c r="EF214" s="9"/>
      <c r="EG214" s="9"/>
      <c r="EH214" s="9"/>
      <c r="EI214" s="9"/>
      <c r="EJ214" s="9"/>
      <c r="EK214" s="9"/>
      <c r="EL214" s="9"/>
      <c r="EM214" s="9"/>
      <c r="EN214" s="9"/>
      <c r="EO214" s="9"/>
      <c r="EP214" s="9"/>
      <c r="EQ214" s="9"/>
      <c r="ER214" s="9"/>
      <c r="ES214" s="9"/>
      <c r="ET214" s="9"/>
      <c r="EU214" s="9"/>
      <c r="EV214" s="9"/>
      <c r="EW214" s="9"/>
      <c r="EX214" s="9"/>
      <c r="EY214" s="9"/>
      <c r="EZ214" s="9"/>
      <c r="FA214" s="9"/>
      <c r="FB214" s="9"/>
      <c r="FC214" s="9"/>
      <c r="FD214" s="9"/>
      <c r="FE214" s="9"/>
      <c r="FF214" s="9"/>
      <c r="FG214" s="9"/>
      <c r="FH214" s="9"/>
      <c r="FI214" s="9"/>
      <c r="FJ214" s="9"/>
      <c r="FK214" s="9"/>
      <c r="FL214" s="9"/>
      <c r="FM214" s="9"/>
      <c r="FN214" s="9"/>
      <c r="FO214" s="9"/>
      <c r="FP214" s="9"/>
      <c r="FQ214" s="9"/>
      <c r="FR214" s="9"/>
      <c r="FS214" s="9"/>
      <c r="FT214" s="9"/>
      <c r="FU214" s="9"/>
      <c r="FV214" s="9"/>
      <c r="FW214" s="9"/>
      <c r="FX214" s="9"/>
      <c r="FY214" s="9"/>
      <c r="FZ214" s="9"/>
      <c r="GA214" s="9"/>
      <c r="GB214" s="9"/>
      <c r="GC214" s="9"/>
      <c r="GD214" s="9"/>
      <c r="GE214" s="9"/>
      <c r="GF214" s="9"/>
      <c r="GG214" s="9"/>
      <c r="GH214" s="9"/>
      <c r="GI214" s="9"/>
      <c r="GJ214" s="9"/>
      <c r="GK214" s="9"/>
      <c r="GL214" s="9"/>
      <c r="GM214" s="9"/>
      <c r="GN214" s="9"/>
      <c r="GO214" s="9"/>
      <c r="GP214" s="9"/>
      <c r="GQ214" s="9"/>
      <c r="GR214" s="9"/>
      <c r="GS214" s="9"/>
      <c r="GT214" s="9"/>
      <c r="GU214" s="9"/>
      <c r="GV214" s="9"/>
      <c r="GW214" s="9"/>
      <c r="GX214" s="9"/>
      <c r="GY214" s="9"/>
      <c r="GZ214" s="9"/>
      <c r="HA214" s="9"/>
      <c r="HB214" s="9"/>
      <c r="HC214" s="9"/>
      <c r="HD214" s="9"/>
      <c r="HE214" s="9"/>
      <c r="HF214" s="9"/>
      <c r="HG214" s="9"/>
      <c r="HH214" s="9"/>
      <c r="HI214" s="9"/>
      <c r="HJ214" s="9"/>
      <c r="HK214" s="9"/>
      <c r="HL214" s="9"/>
      <c r="HM214" s="9"/>
      <c r="HN214" s="9"/>
      <c r="HO214" s="9"/>
      <c r="HP214" s="9"/>
      <c r="HQ214" s="9"/>
      <c r="HR214" s="9"/>
      <c r="HS214" s="9"/>
      <c r="HT214" s="9"/>
      <c r="HU214" s="9"/>
      <c r="HV214" s="9"/>
      <c r="HW214" s="9"/>
      <c r="HX214" s="9"/>
      <c r="HY214" s="9"/>
      <c r="HZ214" s="9"/>
      <c r="IA214" s="9"/>
      <c r="IB214" s="9"/>
      <c r="IC214" s="9"/>
      <c r="ID214" s="9"/>
      <c r="IE214" s="9"/>
      <c r="IF214" s="9"/>
      <c r="IG214" s="9"/>
      <c r="IH214" s="9"/>
      <c r="II214" s="9"/>
      <c r="IJ214" s="9"/>
      <c r="IK214" s="9"/>
      <c r="IL214" s="9"/>
      <c r="IM214" s="9"/>
      <c r="IN214" s="9"/>
      <c r="IO214" s="9"/>
      <c r="IP214" s="9"/>
      <c r="IQ214" s="9"/>
      <c r="IR214" s="9"/>
      <c r="IS214" s="9"/>
      <c r="IT214" s="9"/>
      <c r="IU214" s="9"/>
      <c r="IV214" s="9"/>
      <c r="IW214" s="9"/>
      <c r="IX214" s="9"/>
      <c r="IY214" s="9"/>
      <c r="IZ214" s="9"/>
      <c r="JA214" s="9"/>
      <c r="JB214" s="9"/>
      <c r="JC214" s="9"/>
      <c r="JD214" s="9"/>
      <c r="JE214" s="9"/>
      <c r="JF214" s="9"/>
      <c r="JG214" s="9"/>
      <c r="JH214" s="9"/>
      <c r="JI214" s="9"/>
      <c r="JJ214" s="9"/>
      <c r="JK214" s="9"/>
      <c r="JL214" s="9"/>
      <c r="JM214" s="9"/>
      <c r="JN214" s="9"/>
      <c r="JO214" s="9"/>
      <c r="JP214" s="9"/>
      <c r="JQ214" s="9"/>
      <c r="JR214" s="9"/>
      <c r="JS214" s="9"/>
      <c r="JT214" s="9"/>
      <c r="JU214" s="9"/>
      <c r="JV214" s="9"/>
      <c r="JW214" s="9"/>
      <c r="JX214" s="9"/>
      <c r="JY214" s="9"/>
      <c r="JZ214" s="9"/>
      <c r="KA214" s="9"/>
      <c r="KB214" s="9"/>
      <c r="KC214" s="9"/>
      <c r="KD214" s="9"/>
      <c r="KE214" s="9"/>
      <c r="KF214" s="9"/>
      <c r="KG214" s="9"/>
      <c r="KH214" s="9"/>
      <c r="KI214" s="9"/>
      <c r="KJ214" s="9"/>
      <c r="KK214" s="9"/>
      <c r="KL214" s="9"/>
      <c r="KM214" s="9"/>
      <c r="KN214" s="9"/>
      <c r="KO214" s="9"/>
      <c r="KP214" s="9"/>
      <c r="KQ214" s="9"/>
      <c r="KR214" s="9"/>
      <c r="KS214" s="9"/>
      <c r="KT214" s="9"/>
      <c r="KU214" s="9"/>
      <c r="KV214" s="9"/>
      <c r="KW214" s="9"/>
      <c r="KX214" s="9"/>
      <c r="KY214" s="9"/>
      <c r="KZ214" s="9"/>
      <c r="LA214" s="9"/>
      <c r="LB214" s="9"/>
      <c r="LC214" s="9"/>
      <c r="LD214" s="9"/>
      <c r="LE214" s="9"/>
      <c r="LF214" s="9"/>
      <c r="LG214" s="9"/>
      <c r="LH214" s="9"/>
      <c r="LI214" s="9"/>
      <c r="LJ214" s="9"/>
      <c r="LK214" s="9"/>
      <c r="LL214" s="9"/>
      <c r="LM214" s="9"/>
      <c r="LN214" s="9"/>
      <c r="LO214" s="9"/>
      <c r="LP214" s="9"/>
      <c r="LQ214" s="9"/>
      <c r="LR214" s="9"/>
      <c r="LS214" s="9"/>
      <c r="LT214" s="9"/>
      <c r="LU214" s="9"/>
      <c r="LV214" s="9"/>
      <c r="LW214" s="9"/>
      <c r="LX214" s="9"/>
      <c r="LY214" s="9"/>
      <c r="LZ214" s="9"/>
      <c r="MA214" s="9"/>
      <c r="MB214" s="9"/>
      <c r="MC214" s="9"/>
      <c r="MD214" s="9"/>
      <c r="ME214" s="9"/>
      <c r="MF214" s="9"/>
      <c r="MG214" s="9"/>
      <c r="MH214" s="9"/>
      <c r="MI214" s="9"/>
      <c r="MJ214" s="9"/>
      <c r="MK214" s="9"/>
      <c r="ML214" s="9"/>
      <c r="MM214" s="9"/>
      <c r="MN214" s="9"/>
      <c r="MO214" s="9"/>
      <c r="MP214" s="9"/>
      <c r="MQ214" s="9"/>
      <c r="MR214" s="9"/>
      <c r="MS214" s="9"/>
      <c r="MT214" s="9"/>
      <c r="MU214" s="9"/>
      <c r="MV214" s="9"/>
      <c r="MW214" s="9"/>
      <c r="MX214" s="9"/>
      <c r="MY214" s="9"/>
      <c r="MZ214" s="9"/>
      <c r="NA214" s="9"/>
      <c r="NB214" s="9"/>
      <c r="NC214" s="9"/>
      <c r="ND214" s="9"/>
      <c r="NE214" s="9"/>
      <c r="NF214" s="9"/>
      <c r="NG214" s="9"/>
      <c r="NH214" s="9"/>
      <c r="NI214" s="9"/>
      <c r="NJ214" s="9"/>
      <c r="NK214" s="9"/>
      <c r="NL214" s="9"/>
      <c r="NM214" s="9"/>
      <c r="NN214" s="9"/>
      <c r="NO214" s="9"/>
      <c r="NP214" s="9"/>
      <c r="NQ214" s="9"/>
      <c r="NR214" s="9"/>
      <c r="NS214" s="9"/>
      <c r="NT214" s="9"/>
      <c r="NU214" s="9"/>
      <c r="NV214" s="9"/>
      <c r="NW214" s="9"/>
      <c r="NX214" s="9"/>
      <c r="NY214" s="9"/>
      <c r="NZ214" s="9"/>
      <c r="OA214" s="9"/>
      <c r="OB214" s="9"/>
      <c r="OC214" s="9"/>
      <c r="OD214" s="9"/>
      <c r="OE214" s="9"/>
      <c r="OF214" s="9"/>
      <c r="OG214" s="9"/>
      <c r="OH214" s="9"/>
      <c r="OI214" s="9"/>
      <c r="OJ214" s="9"/>
      <c r="OK214" s="9"/>
      <c r="OL214" s="9"/>
      <c r="OM214" s="9"/>
      <c r="ON214" s="9"/>
      <c r="OO214" s="9"/>
      <c r="OP214" s="9"/>
      <c r="OQ214" s="9"/>
      <c r="OR214" s="9"/>
      <c r="OS214" s="9"/>
      <c r="OT214" s="9"/>
      <c r="OU214" s="9"/>
      <c r="OV214" s="9"/>
      <c r="OW214" s="9"/>
      <c r="OX214" s="9"/>
      <c r="OY214" s="9"/>
      <c r="OZ214" s="9"/>
      <c r="PA214" s="9"/>
      <c r="PB214" s="9"/>
      <c r="PC214" s="9"/>
      <c r="PD214" s="9"/>
      <c r="PE214" s="9"/>
      <c r="PF214" s="9"/>
      <c r="PG214" s="9"/>
      <c r="PH214" s="9"/>
      <c r="PI214" s="9"/>
      <c r="PJ214" s="9"/>
      <c r="PK214" s="9"/>
      <c r="PL214" s="9"/>
      <c r="PM214" s="9"/>
      <c r="PN214" s="9"/>
      <c r="PO214" s="9"/>
      <c r="PP214" s="9"/>
      <c r="PQ214" s="9"/>
      <c r="PR214" s="9"/>
      <c r="PS214" s="9"/>
      <c r="PT214" s="9"/>
      <c r="PU214" s="9"/>
      <c r="PV214" s="9"/>
      <c r="PW214" s="9"/>
      <c r="PX214" s="9"/>
      <c r="PY214" s="9"/>
      <c r="PZ214" s="9"/>
      <c r="QA214" s="9"/>
      <c r="QB214" s="9"/>
      <c r="QC214" s="9"/>
      <c r="QD214" s="9"/>
      <c r="QE214" s="9"/>
      <c r="QF214" s="9"/>
      <c r="QG214" s="9"/>
      <c r="QH214" s="9"/>
      <c r="QI214" s="9"/>
      <c r="QJ214" s="9"/>
      <c r="QK214" s="9"/>
      <c r="QL214" s="9"/>
      <c r="QM214" s="9"/>
      <c r="QN214" s="9"/>
      <c r="QO214" s="9"/>
      <c r="QP214" s="9"/>
      <c r="QQ214" s="9"/>
      <c r="QR214" s="9"/>
      <c r="QS214" s="9"/>
      <c r="QT214" s="9"/>
      <c r="QU214" s="9"/>
      <c r="QV214" s="9"/>
      <c r="QW214" s="9"/>
      <c r="QX214" s="9"/>
      <c r="QY214" s="9"/>
      <c r="QZ214" s="9"/>
      <c r="RA214" s="9"/>
      <c r="RB214" s="9"/>
      <c r="RC214" s="9"/>
      <c r="RD214" s="9"/>
      <c r="RE214" s="9"/>
      <c r="RF214" s="9"/>
      <c r="RG214" s="9"/>
      <c r="RH214" s="9"/>
      <c r="RI214" s="9"/>
      <c r="RJ214" s="9"/>
      <c r="RK214" s="9"/>
      <c r="RL214" s="9"/>
      <c r="RM214" s="9"/>
      <c r="RN214" s="9"/>
      <c r="RO214" s="9"/>
      <c r="RP214" s="9"/>
      <c r="RQ214" s="9"/>
      <c r="RR214" s="9"/>
      <c r="RS214" s="9"/>
      <c r="RT214" s="9"/>
      <c r="RU214" s="9"/>
      <c r="RV214" s="9"/>
      <c r="RW214" s="9"/>
      <c r="RX214" s="9"/>
      <c r="RY214" s="9"/>
      <c r="RZ214" s="9"/>
      <c r="SA214" s="9"/>
      <c r="SB214" s="9"/>
      <c r="SC214" s="9"/>
      <c r="SD214" s="9"/>
      <c r="SE214" s="9"/>
      <c r="SF214" s="9"/>
      <c r="SG214" s="9"/>
      <c r="SH214" s="9"/>
      <c r="SI214" s="9"/>
      <c r="SJ214" s="9"/>
      <c r="SK214" s="8"/>
      <c r="SL214" s="8"/>
      <c r="SM214" s="8"/>
      <c r="SN214" s="8"/>
      <c r="SO214" s="8"/>
      <c r="SP214" s="8"/>
      <c r="SQ214" s="8"/>
      <c r="SR214" s="8"/>
      <c r="SS214" s="8"/>
      <c r="ST214" s="8"/>
      <c r="SU214" s="8"/>
      <c r="SV214" s="8"/>
      <c r="SW214" s="8"/>
      <c r="SX214" s="8"/>
      <c r="SY214" s="8"/>
      <c r="SZ214" s="8"/>
      <c r="TA214" s="8"/>
      <c r="TB214" s="8"/>
      <c r="TC214" s="8"/>
      <c r="TD214" s="8"/>
      <c r="TE214" s="8"/>
      <c r="TF214" s="8"/>
      <c r="TG214" s="8"/>
      <c r="TH214" s="8"/>
      <c r="TI214" s="8"/>
      <c r="TJ214" s="8"/>
      <c r="TK214" s="8"/>
      <c r="TL214" s="8"/>
      <c r="TM214" s="8"/>
      <c r="TN214" s="8"/>
      <c r="TO214" s="8"/>
    </row>
    <row r="215" spans="1:535" x14ac:dyDescent="0.2">
      <c r="A215" s="7"/>
      <c r="B215" s="7"/>
      <c r="C215" s="9"/>
      <c r="D215" s="8"/>
      <c r="E215" s="8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/>
      <c r="BO215" s="9"/>
      <c r="BP215" s="9"/>
      <c r="BQ215" s="9"/>
      <c r="BR215" s="9"/>
      <c r="BS215" s="9"/>
      <c r="BT215" s="9"/>
      <c r="BU215" s="9"/>
      <c r="BV215" s="9"/>
      <c r="BW215" s="9"/>
      <c r="BX215" s="9"/>
      <c r="BY215" s="9"/>
      <c r="BZ215" s="9"/>
      <c r="CA215" s="9"/>
      <c r="CB215" s="9"/>
      <c r="CC215" s="9"/>
      <c r="CD215" s="9"/>
      <c r="CE215" s="9"/>
      <c r="CF215" s="9"/>
      <c r="CG215" s="9"/>
      <c r="CH215" s="9"/>
      <c r="CI215" s="9"/>
      <c r="CJ215" s="9"/>
      <c r="CK215" s="9"/>
      <c r="CL215" s="9"/>
      <c r="CM215" s="9"/>
      <c r="CN215" s="9"/>
      <c r="CO215" s="9"/>
      <c r="CP215" s="9"/>
      <c r="CQ215" s="9"/>
      <c r="CR215" s="9"/>
      <c r="CS215" s="9"/>
      <c r="CT215" s="9"/>
      <c r="CU215" s="9"/>
      <c r="CV215" s="9"/>
      <c r="CW215" s="9"/>
      <c r="CX215" s="9"/>
      <c r="CY215" s="9"/>
      <c r="CZ215" s="9"/>
      <c r="DA215" s="9"/>
      <c r="DB215" s="9"/>
      <c r="DC215" s="9"/>
      <c r="DD215" s="9"/>
      <c r="DE215" s="9"/>
      <c r="DF215" s="9"/>
      <c r="DG215" s="9"/>
      <c r="DH215" s="9"/>
      <c r="DI215" s="9"/>
      <c r="DJ215" s="9"/>
      <c r="DK215" s="9"/>
      <c r="DL215" s="9"/>
      <c r="DM215" s="9"/>
      <c r="DN215" s="9"/>
      <c r="DO215" s="9"/>
      <c r="DP215" s="9"/>
      <c r="DQ215" s="9"/>
      <c r="DR215" s="9"/>
      <c r="DS215" s="9"/>
      <c r="DT215" s="9"/>
      <c r="DU215" s="9"/>
      <c r="DV215" s="9"/>
      <c r="DW215" s="9"/>
      <c r="DX215" s="9"/>
      <c r="DY215" s="9"/>
      <c r="DZ215" s="9"/>
      <c r="EA215" s="9"/>
      <c r="EB215" s="9"/>
      <c r="EC215" s="9"/>
      <c r="ED215" s="9"/>
      <c r="EE215" s="9"/>
      <c r="EF215" s="9"/>
      <c r="EG215" s="9"/>
      <c r="EH215" s="9"/>
      <c r="EI215" s="9"/>
      <c r="EJ215" s="9"/>
      <c r="EK215" s="9"/>
      <c r="EL215" s="9"/>
      <c r="EM215" s="9"/>
      <c r="EN215" s="9"/>
      <c r="EO215" s="9"/>
      <c r="EP215" s="9"/>
      <c r="EQ215" s="9"/>
      <c r="ER215" s="9"/>
      <c r="ES215" s="9"/>
      <c r="ET215" s="9"/>
      <c r="EU215" s="9"/>
      <c r="EV215" s="9"/>
      <c r="EW215" s="9"/>
      <c r="EX215" s="9"/>
      <c r="EY215" s="9"/>
      <c r="EZ215" s="9"/>
      <c r="FA215" s="9"/>
      <c r="FB215" s="9"/>
      <c r="FC215" s="9"/>
      <c r="FD215" s="9"/>
      <c r="FE215" s="9"/>
      <c r="FF215" s="9"/>
      <c r="FG215" s="9"/>
      <c r="FH215" s="9"/>
      <c r="FI215" s="9"/>
      <c r="FJ215" s="9"/>
      <c r="FK215" s="9"/>
      <c r="FL215" s="9"/>
      <c r="FM215" s="9"/>
      <c r="FN215" s="9"/>
      <c r="FO215" s="9"/>
      <c r="FP215" s="9"/>
      <c r="FQ215" s="9"/>
      <c r="FR215" s="9"/>
      <c r="FS215" s="9"/>
      <c r="FT215" s="9"/>
      <c r="FU215" s="9"/>
      <c r="FV215" s="9"/>
      <c r="FW215" s="9"/>
      <c r="FX215" s="9"/>
      <c r="FY215" s="9"/>
      <c r="FZ215" s="9"/>
      <c r="GA215" s="9"/>
      <c r="GB215" s="9"/>
      <c r="GC215" s="9"/>
      <c r="GD215" s="9"/>
      <c r="GE215" s="9"/>
      <c r="GF215" s="9"/>
      <c r="GG215" s="9"/>
      <c r="GH215" s="9"/>
      <c r="GI215" s="9"/>
      <c r="GJ215" s="9"/>
      <c r="GK215" s="9"/>
      <c r="GL215" s="9"/>
      <c r="GM215" s="9"/>
      <c r="GN215" s="9"/>
      <c r="GO215" s="9"/>
      <c r="GP215" s="9"/>
      <c r="GQ215" s="9"/>
      <c r="GR215" s="9"/>
      <c r="GS215" s="9"/>
      <c r="GT215" s="9"/>
      <c r="GU215" s="9"/>
      <c r="GV215" s="9"/>
      <c r="GW215" s="9"/>
      <c r="GX215" s="9"/>
      <c r="GY215" s="9"/>
      <c r="GZ215" s="9"/>
      <c r="HA215" s="9"/>
      <c r="HB215" s="9"/>
      <c r="HC215" s="9"/>
      <c r="HD215" s="9"/>
      <c r="HE215" s="9"/>
      <c r="HF215" s="9"/>
      <c r="HG215" s="9"/>
      <c r="HH215" s="9"/>
      <c r="HI215" s="9"/>
      <c r="HJ215" s="9"/>
      <c r="HK215" s="9"/>
      <c r="HL215" s="9"/>
      <c r="HM215" s="9"/>
      <c r="HN215" s="9"/>
      <c r="HO215" s="9"/>
      <c r="HP215" s="9"/>
      <c r="HQ215" s="9"/>
      <c r="HR215" s="9"/>
      <c r="HS215" s="9"/>
      <c r="HT215" s="9"/>
      <c r="HU215" s="9"/>
      <c r="HV215" s="9"/>
      <c r="HW215" s="9"/>
      <c r="HX215" s="9"/>
      <c r="HY215" s="9"/>
      <c r="HZ215" s="9"/>
      <c r="IA215" s="9"/>
      <c r="IB215" s="9"/>
      <c r="IC215" s="9"/>
      <c r="ID215" s="9"/>
      <c r="IE215" s="9"/>
      <c r="IF215" s="9"/>
      <c r="IG215" s="9"/>
      <c r="IH215" s="9"/>
      <c r="II215" s="9"/>
      <c r="IJ215" s="9"/>
      <c r="IK215" s="9"/>
      <c r="IL215" s="9"/>
      <c r="IM215" s="9"/>
      <c r="IN215" s="9"/>
      <c r="IO215" s="9"/>
      <c r="IP215" s="9"/>
      <c r="IQ215" s="9"/>
      <c r="IR215" s="9"/>
      <c r="IS215" s="9"/>
      <c r="IT215" s="9"/>
      <c r="IU215" s="9"/>
      <c r="IV215" s="9"/>
      <c r="IW215" s="9"/>
      <c r="IX215" s="9"/>
      <c r="IY215" s="9"/>
      <c r="IZ215" s="9"/>
      <c r="JA215" s="9"/>
      <c r="JB215" s="9"/>
      <c r="JC215" s="9"/>
      <c r="JD215" s="9"/>
      <c r="JE215" s="9"/>
      <c r="JF215" s="9"/>
      <c r="JG215" s="9"/>
      <c r="JH215" s="9"/>
      <c r="JI215" s="9"/>
      <c r="JJ215" s="9"/>
      <c r="JK215" s="9"/>
      <c r="JL215" s="9"/>
      <c r="JM215" s="9"/>
      <c r="JN215" s="9"/>
      <c r="JO215" s="9"/>
      <c r="JP215" s="9"/>
      <c r="JQ215" s="9"/>
      <c r="JR215" s="9"/>
      <c r="JS215" s="9"/>
      <c r="JT215" s="9"/>
      <c r="JU215" s="9"/>
      <c r="JV215" s="9"/>
      <c r="JW215" s="9"/>
      <c r="JX215" s="9"/>
      <c r="JY215" s="9"/>
      <c r="JZ215" s="9"/>
      <c r="KA215" s="9"/>
      <c r="KB215" s="9"/>
      <c r="KC215" s="9"/>
      <c r="KD215" s="9"/>
      <c r="KE215" s="9"/>
      <c r="KF215" s="9"/>
      <c r="KG215" s="9"/>
      <c r="KH215" s="9"/>
      <c r="KI215" s="9"/>
      <c r="KJ215" s="9"/>
      <c r="KK215" s="9"/>
      <c r="KL215" s="9"/>
      <c r="KM215" s="9"/>
      <c r="KN215" s="9"/>
      <c r="KO215" s="9"/>
      <c r="KP215" s="9"/>
      <c r="KQ215" s="9"/>
      <c r="KR215" s="9"/>
      <c r="KS215" s="9"/>
      <c r="KT215" s="9"/>
      <c r="KU215" s="9"/>
      <c r="KV215" s="9"/>
      <c r="KW215" s="9"/>
      <c r="KX215" s="9"/>
      <c r="KY215" s="9"/>
      <c r="KZ215" s="9"/>
      <c r="LA215" s="9"/>
      <c r="LB215" s="9"/>
      <c r="LC215" s="9"/>
      <c r="LD215" s="9"/>
      <c r="LE215" s="9"/>
      <c r="LF215" s="9"/>
      <c r="LG215" s="9"/>
      <c r="LH215" s="9"/>
      <c r="LI215" s="9"/>
      <c r="LJ215" s="9"/>
      <c r="LK215" s="9"/>
      <c r="LL215" s="9"/>
      <c r="LM215" s="9"/>
      <c r="LN215" s="9"/>
      <c r="LO215" s="9"/>
      <c r="LP215" s="9"/>
      <c r="LQ215" s="9"/>
      <c r="LR215" s="9"/>
      <c r="LS215" s="9"/>
      <c r="LT215" s="9"/>
      <c r="LU215" s="9"/>
      <c r="LV215" s="9"/>
      <c r="LW215" s="9"/>
      <c r="LX215" s="9"/>
      <c r="LY215" s="9"/>
      <c r="LZ215" s="9"/>
      <c r="MA215" s="9"/>
      <c r="MB215" s="9"/>
      <c r="MC215" s="9"/>
      <c r="MD215" s="9"/>
      <c r="ME215" s="9"/>
      <c r="MF215" s="9"/>
      <c r="MG215" s="9"/>
      <c r="MH215" s="9"/>
      <c r="MI215" s="9"/>
      <c r="MJ215" s="9"/>
      <c r="MK215" s="9"/>
      <c r="ML215" s="9"/>
      <c r="MM215" s="9"/>
      <c r="MN215" s="9"/>
      <c r="MO215" s="9"/>
      <c r="MP215" s="9"/>
      <c r="MQ215" s="9"/>
      <c r="MR215" s="9"/>
      <c r="MS215" s="9"/>
      <c r="MT215" s="9"/>
      <c r="MU215" s="9"/>
      <c r="MV215" s="9"/>
      <c r="MW215" s="9"/>
      <c r="MX215" s="9"/>
      <c r="MY215" s="9"/>
      <c r="MZ215" s="9"/>
      <c r="NA215" s="9"/>
      <c r="NB215" s="9"/>
      <c r="NC215" s="9"/>
      <c r="ND215" s="9"/>
      <c r="NE215" s="9"/>
      <c r="NF215" s="9"/>
      <c r="NG215" s="9"/>
      <c r="NH215" s="9"/>
      <c r="NI215" s="9"/>
      <c r="NJ215" s="9"/>
      <c r="NK215" s="9"/>
      <c r="NL215" s="9"/>
      <c r="NM215" s="9"/>
      <c r="NN215" s="9"/>
      <c r="NO215" s="9"/>
      <c r="NP215" s="9"/>
      <c r="NQ215" s="9"/>
      <c r="NR215" s="9"/>
      <c r="NS215" s="9"/>
      <c r="NT215" s="9"/>
      <c r="NU215" s="9"/>
      <c r="NV215" s="9"/>
      <c r="NW215" s="9"/>
      <c r="NX215" s="9"/>
      <c r="NY215" s="9"/>
      <c r="NZ215" s="9"/>
      <c r="OA215" s="9"/>
      <c r="OB215" s="9"/>
      <c r="OC215" s="9"/>
      <c r="OD215" s="9"/>
      <c r="OE215" s="9"/>
      <c r="OF215" s="9"/>
      <c r="OG215" s="9"/>
      <c r="OH215" s="9"/>
      <c r="OI215" s="9"/>
      <c r="OJ215" s="9"/>
      <c r="OK215" s="9"/>
      <c r="OL215" s="9"/>
      <c r="OM215" s="9"/>
      <c r="ON215" s="9"/>
      <c r="OO215" s="9"/>
      <c r="OP215" s="9"/>
      <c r="OQ215" s="9"/>
      <c r="OR215" s="9"/>
      <c r="OS215" s="9"/>
      <c r="OT215" s="9"/>
      <c r="OU215" s="9"/>
      <c r="OV215" s="9"/>
      <c r="OW215" s="9"/>
      <c r="OX215" s="9"/>
      <c r="OY215" s="9"/>
      <c r="OZ215" s="9"/>
      <c r="PA215" s="9"/>
      <c r="PB215" s="9"/>
      <c r="PC215" s="9"/>
      <c r="PD215" s="9"/>
      <c r="PE215" s="9"/>
      <c r="PF215" s="9"/>
      <c r="PG215" s="9"/>
      <c r="PH215" s="9"/>
      <c r="PI215" s="9"/>
      <c r="PJ215" s="9"/>
      <c r="PK215" s="9"/>
      <c r="PL215" s="9"/>
      <c r="PM215" s="9"/>
      <c r="PN215" s="9"/>
      <c r="PO215" s="9"/>
      <c r="PP215" s="9"/>
      <c r="PQ215" s="9"/>
      <c r="PR215" s="9"/>
      <c r="PS215" s="9"/>
      <c r="PT215" s="9"/>
      <c r="PU215" s="9"/>
      <c r="PV215" s="9"/>
      <c r="PW215" s="9"/>
      <c r="PX215" s="9"/>
      <c r="PY215" s="9"/>
      <c r="PZ215" s="9"/>
      <c r="QA215" s="9"/>
      <c r="QB215" s="9"/>
      <c r="QC215" s="9"/>
      <c r="QD215" s="9"/>
      <c r="QE215" s="9"/>
      <c r="QF215" s="9"/>
      <c r="QG215" s="9"/>
      <c r="QH215" s="9"/>
      <c r="QI215" s="9"/>
      <c r="QJ215" s="9"/>
      <c r="QK215" s="9"/>
      <c r="QL215" s="9"/>
      <c r="QM215" s="9"/>
      <c r="QN215" s="9"/>
      <c r="QO215" s="9"/>
      <c r="QP215" s="9"/>
      <c r="QQ215" s="9"/>
      <c r="QR215" s="9"/>
      <c r="QS215" s="9"/>
      <c r="QT215" s="9"/>
      <c r="QU215" s="9"/>
      <c r="QV215" s="9"/>
      <c r="QW215" s="9"/>
      <c r="QX215" s="9"/>
      <c r="QY215" s="9"/>
      <c r="QZ215" s="9"/>
      <c r="RA215" s="9"/>
      <c r="RB215" s="9"/>
      <c r="RC215" s="9"/>
      <c r="RD215" s="9"/>
      <c r="RE215" s="9"/>
      <c r="RF215" s="9"/>
      <c r="RG215" s="9"/>
      <c r="RH215" s="9"/>
      <c r="RI215" s="9"/>
      <c r="RJ215" s="9"/>
      <c r="RK215" s="9"/>
      <c r="RL215" s="9"/>
      <c r="RM215" s="9"/>
      <c r="RN215" s="9"/>
      <c r="RO215" s="9"/>
      <c r="RP215" s="9"/>
      <c r="RQ215" s="9"/>
      <c r="RR215" s="9"/>
      <c r="RS215" s="9"/>
      <c r="RT215" s="9"/>
      <c r="RU215" s="9"/>
      <c r="RV215" s="9"/>
      <c r="RW215" s="9"/>
      <c r="RX215" s="9"/>
      <c r="RY215" s="9"/>
      <c r="RZ215" s="9"/>
      <c r="SA215" s="9"/>
      <c r="SB215" s="9"/>
      <c r="SC215" s="9"/>
      <c r="SD215" s="9"/>
      <c r="SE215" s="9"/>
      <c r="SF215" s="9"/>
      <c r="SG215" s="9"/>
      <c r="SH215" s="9"/>
      <c r="SI215" s="9"/>
      <c r="SJ215" s="9"/>
      <c r="SK215" s="8"/>
      <c r="SL215" s="8"/>
      <c r="SM215" s="8"/>
      <c r="SN215" s="8"/>
      <c r="SO215" s="8"/>
      <c r="SP215" s="8"/>
      <c r="SQ215" s="8"/>
      <c r="SR215" s="8"/>
      <c r="SS215" s="8"/>
      <c r="ST215" s="8"/>
      <c r="SU215" s="8"/>
      <c r="SV215" s="8"/>
      <c r="SW215" s="8"/>
      <c r="SX215" s="8"/>
      <c r="SY215" s="8"/>
      <c r="SZ215" s="8"/>
      <c r="TA215" s="8"/>
      <c r="TB215" s="8"/>
      <c r="TC215" s="8"/>
      <c r="TD215" s="8"/>
      <c r="TE215" s="8"/>
      <c r="TF215" s="8"/>
      <c r="TG215" s="8"/>
      <c r="TH215" s="8"/>
      <c r="TI215" s="8"/>
      <c r="TJ215" s="8"/>
      <c r="TK215" s="8"/>
      <c r="TL215" s="8"/>
      <c r="TM215" s="8"/>
      <c r="TN215" s="8"/>
      <c r="TO215" s="8"/>
    </row>
    <row r="216" spans="1:535" x14ac:dyDescent="0.2">
      <c r="A216" s="7"/>
      <c r="B216" s="7"/>
      <c r="C216" s="9"/>
      <c r="D216" s="8"/>
      <c r="E216" s="8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  <c r="BP216" s="9"/>
      <c r="BQ216" s="9"/>
      <c r="BR216" s="9"/>
      <c r="BS216" s="9"/>
      <c r="BT216" s="9"/>
      <c r="BU216" s="9"/>
      <c r="BV216" s="9"/>
      <c r="BW216" s="9"/>
      <c r="BX216" s="9"/>
      <c r="BY216" s="9"/>
      <c r="BZ216" s="9"/>
      <c r="CA216" s="9"/>
      <c r="CB216" s="9"/>
      <c r="CC216" s="9"/>
      <c r="CD216" s="9"/>
      <c r="CE216" s="9"/>
      <c r="CF216" s="9"/>
      <c r="CG216" s="9"/>
      <c r="CH216" s="9"/>
      <c r="CI216" s="9"/>
      <c r="CJ216" s="9"/>
      <c r="CK216" s="9"/>
      <c r="CL216" s="9"/>
      <c r="CM216" s="9"/>
      <c r="CN216" s="9"/>
      <c r="CO216" s="9"/>
      <c r="CP216" s="9"/>
      <c r="CQ216" s="9"/>
      <c r="CR216" s="9"/>
      <c r="CS216" s="9"/>
      <c r="CT216" s="9"/>
      <c r="CU216" s="9"/>
      <c r="CV216" s="9"/>
      <c r="CW216" s="9"/>
      <c r="CX216" s="9"/>
      <c r="CY216" s="9"/>
      <c r="CZ216" s="9"/>
      <c r="DA216" s="9"/>
      <c r="DB216" s="9"/>
      <c r="DC216" s="9"/>
      <c r="DD216" s="9"/>
      <c r="DE216" s="9"/>
      <c r="DF216" s="9"/>
      <c r="DG216" s="9"/>
      <c r="DH216" s="9"/>
      <c r="DI216" s="9"/>
      <c r="DJ216" s="9"/>
      <c r="DK216" s="9"/>
      <c r="DL216" s="9"/>
      <c r="DM216" s="9"/>
      <c r="DN216" s="9"/>
      <c r="DO216" s="9"/>
      <c r="DP216" s="9"/>
      <c r="DQ216" s="9"/>
      <c r="DR216" s="9"/>
      <c r="DS216" s="9"/>
      <c r="DT216" s="9"/>
      <c r="DU216" s="9"/>
      <c r="DV216" s="9"/>
      <c r="DW216" s="9"/>
      <c r="DX216" s="9"/>
      <c r="DY216" s="9"/>
      <c r="DZ216" s="9"/>
      <c r="EA216" s="9"/>
      <c r="EB216" s="9"/>
      <c r="EC216" s="9"/>
      <c r="ED216" s="9"/>
      <c r="EE216" s="9"/>
      <c r="EF216" s="9"/>
      <c r="EG216" s="9"/>
      <c r="EH216" s="9"/>
      <c r="EI216" s="9"/>
      <c r="EJ216" s="9"/>
      <c r="EK216" s="9"/>
      <c r="EL216" s="9"/>
      <c r="EM216" s="9"/>
      <c r="EN216" s="9"/>
      <c r="EO216" s="9"/>
      <c r="EP216" s="9"/>
      <c r="EQ216" s="9"/>
      <c r="ER216" s="9"/>
      <c r="ES216" s="9"/>
      <c r="ET216" s="9"/>
      <c r="EU216" s="9"/>
      <c r="EV216" s="9"/>
      <c r="EW216" s="9"/>
      <c r="EX216" s="9"/>
      <c r="EY216" s="9"/>
      <c r="EZ216" s="9"/>
      <c r="FA216" s="9"/>
      <c r="FB216" s="9"/>
      <c r="FC216" s="9"/>
      <c r="FD216" s="9"/>
      <c r="FE216" s="9"/>
      <c r="FF216" s="9"/>
      <c r="FG216" s="9"/>
      <c r="FH216" s="9"/>
      <c r="FI216" s="9"/>
      <c r="FJ216" s="9"/>
      <c r="FK216" s="9"/>
      <c r="FL216" s="9"/>
      <c r="FM216" s="9"/>
      <c r="FN216" s="9"/>
      <c r="FO216" s="9"/>
      <c r="FP216" s="9"/>
      <c r="FQ216" s="9"/>
      <c r="FR216" s="9"/>
      <c r="FS216" s="9"/>
      <c r="FT216" s="9"/>
      <c r="FU216" s="9"/>
      <c r="FV216" s="9"/>
      <c r="FW216" s="9"/>
      <c r="FX216" s="9"/>
      <c r="FY216" s="9"/>
      <c r="FZ216" s="9"/>
      <c r="GA216" s="9"/>
      <c r="GB216" s="9"/>
      <c r="GC216" s="9"/>
      <c r="GD216" s="9"/>
      <c r="GE216" s="9"/>
      <c r="GF216" s="9"/>
      <c r="GG216" s="9"/>
      <c r="GH216" s="9"/>
      <c r="GI216" s="9"/>
      <c r="GJ216" s="9"/>
      <c r="GK216" s="9"/>
      <c r="GL216" s="9"/>
      <c r="GM216" s="9"/>
      <c r="GN216" s="9"/>
      <c r="GO216" s="9"/>
      <c r="GP216" s="9"/>
      <c r="GQ216" s="9"/>
      <c r="GR216" s="9"/>
      <c r="GS216" s="9"/>
      <c r="GT216" s="9"/>
      <c r="GU216" s="9"/>
      <c r="GV216" s="9"/>
      <c r="GW216" s="9"/>
      <c r="GX216" s="9"/>
      <c r="GY216" s="9"/>
      <c r="GZ216" s="9"/>
      <c r="HA216" s="9"/>
      <c r="HB216" s="9"/>
      <c r="HC216" s="9"/>
      <c r="HD216" s="9"/>
      <c r="HE216" s="9"/>
      <c r="HF216" s="9"/>
      <c r="HG216" s="9"/>
      <c r="HH216" s="9"/>
      <c r="HI216" s="9"/>
      <c r="HJ216" s="9"/>
      <c r="HK216" s="9"/>
      <c r="HL216" s="9"/>
      <c r="HM216" s="9"/>
      <c r="HN216" s="9"/>
      <c r="HO216" s="9"/>
      <c r="HP216" s="9"/>
      <c r="HQ216" s="9"/>
      <c r="HR216" s="9"/>
      <c r="HS216" s="9"/>
      <c r="HT216" s="9"/>
      <c r="HU216" s="9"/>
      <c r="HV216" s="9"/>
      <c r="HW216" s="9"/>
      <c r="HX216" s="9"/>
      <c r="HY216" s="9"/>
      <c r="HZ216" s="9"/>
      <c r="IA216" s="9"/>
      <c r="IB216" s="9"/>
      <c r="IC216" s="9"/>
      <c r="ID216" s="9"/>
      <c r="IE216" s="9"/>
      <c r="IF216" s="9"/>
      <c r="IG216" s="9"/>
      <c r="IH216" s="9"/>
      <c r="II216" s="9"/>
      <c r="IJ216" s="9"/>
      <c r="IK216" s="9"/>
      <c r="IL216" s="9"/>
      <c r="IM216" s="9"/>
      <c r="IN216" s="9"/>
      <c r="IO216" s="9"/>
      <c r="IP216" s="9"/>
      <c r="IQ216" s="9"/>
      <c r="IR216" s="9"/>
      <c r="IS216" s="9"/>
      <c r="IT216" s="9"/>
      <c r="IU216" s="9"/>
      <c r="IV216" s="9"/>
      <c r="IW216" s="9"/>
      <c r="IX216" s="9"/>
      <c r="IY216" s="9"/>
      <c r="IZ216" s="9"/>
      <c r="JA216" s="9"/>
      <c r="JB216" s="9"/>
      <c r="JC216" s="9"/>
      <c r="JD216" s="9"/>
      <c r="JE216" s="9"/>
      <c r="JF216" s="9"/>
      <c r="JG216" s="9"/>
      <c r="JH216" s="9"/>
      <c r="JI216" s="9"/>
      <c r="JJ216" s="9"/>
      <c r="JK216" s="9"/>
      <c r="JL216" s="9"/>
      <c r="JM216" s="9"/>
      <c r="JN216" s="9"/>
      <c r="JO216" s="9"/>
      <c r="JP216" s="9"/>
      <c r="JQ216" s="9"/>
      <c r="JR216" s="9"/>
      <c r="JS216" s="9"/>
      <c r="JT216" s="9"/>
      <c r="JU216" s="9"/>
      <c r="JV216" s="9"/>
      <c r="JW216" s="9"/>
      <c r="JX216" s="9"/>
      <c r="JY216" s="9"/>
      <c r="JZ216" s="9"/>
      <c r="KA216" s="9"/>
      <c r="KB216" s="9"/>
      <c r="KC216" s="9"/>
      <c r="KD216" s="9"/>
      <c r="KE216" s="9"/>
      <c r="KF216" s="9"/>
      <c r="KG216" s="9"/>
      <c r="KH216" s="9"/>
      <c r="KI216" s="9"/>
      <c r="KJ216" s="9"/>
      <c r="KK216" s="9"/>
      <c r="KL216" s="9"/>
      <c r="KM216" s="9"/>
      <c r="KN216" s="9"/>
      <c r="KO216" s="9"/>
      <c r="KP216" s="9"/>
      <c r="KQ216" s="9"/>
      <c r="KR216" s="9"/>
      <c r="KS216" s="9"/>
      <c r="KT216" s="9"/>
      <c r="KU216" s="9"/>
      <c r="KV216" s="9"/>
      <c r="KW216" s="9"/>
      <c r="KX216" s="9"/>
      <c r="KY216" s="9"/>
      <c r="KZ216" s="9"/>
      <c r="LA216" s="9"/>
      <c r="LB216" s="9"/>
      <c r="LC216" s="9"/>
      <c r="LD216" s="9"/>
      <c r="LE216" s="9"/>
      <c r="LF216" s="9"/>
      <c r="LG216" s="9"/>
      <c r="LH216" s="9"/>
      <c r="LI216" s="9"/>
      <c r="LJ216" s="9"/>
      <c r="LK216" s="9"/>
      <c r="LL216" s="9"/>
      <c r="LM216" s="9"/>
      <c r="LN216" s="9"/>
      <c r="LO216" s="9"/>
      <c r="LP216" s="9"/>
      <c r="LQ216" s="9"/>
      <c r="LR216" s="9"/>
      <c r="LS216" s="9"/>
      <c r="LT216" s="9"/>
      <c r="LU216" s="9"/>
      <c r="LV216" s="9"/>
      <c r="LW216" s="9"/>
      <c r="LX216" s="9"/>
      <c r="LY216" s="9"/>
      <c r="LZ216" s="9"/>
      <c r="MA216" s="9"/>
      <c r="MB216" s="9"/>
      <c r="MC216" s="9"/>
      <c r="MD216" s="9"/>
      <c r="ME216" s="9"/>
      <c r="MF216" s="9"/>
      <c r="MG216" s="9"/>
      <c r="MH216" s="9"/>
      <c r="MI216" s="9"/>
      <c r="MJ216" s="9"/>
      <c r="MK216" s="9"/>
      <c r="ML216" s="9"/>
      <c r="MM216" s="9"/>
      <c r="MN216" s="9"/>
      <c r="MO216" s="9"/>
      <c r="MP216" s="9"/>
      <c r="MQ216" s="9"/>
      <c r="MR216" s="9"/>
      <c r="MS216" s="9"/>
      <c r="MT216" s="9"/>
      <c r="MU216" s="9"/>
      <c r="MV216" s="9"/>
      <c r="MW216" s="9"/>
      <c r="MX216" s="9"/>
      <c r="MY216" s="9"/>
      <c r="MZ216" s="9"/>
      <c r="NA216" s="9"/>
      <c r="NB216" s="9"/>
      <c r="NC216" s="9"/>
      <c r="ND216" s="9"/>
      <c r="NE216" s="9"/>
      <c r="NF216" s="9"/>
      <c r="NG216" s="9"/>
      <c r="NH216" s="9"/>
      <c r="NI216" s="9"/>
      <c r="NJ216" s="9"/>
      <c r="NK216" s="9"/>
      <c r="NL216" s="9"/>
      <c r="NM216" s="9"/>
      <c r="NN216" s="9"/>
      <c r="NO216" s="9"/>
      <c r="NP216" s="9"/>
      <c r="NQ216" s="9"/>
      <c r="NR216" s="9"/>
      <c r="NS216" s="9"/>
      <c r="NT216" s="9"/>
      <c r="NU216" s="9"/>
      <c r="NV216" s="9"/>
      <c r="NW216" s="9"/>
      <c r="NX216" s="9"/>
      <c r="NY216" s="9"/>
      <c r="NZ216" s="9"/>
      <c r="OA216" s="9"/>
      <c r="OB216" s="9"/>
      <c r="OC216" s="9"/>
      <c r="OD216" s="9"/>
      <c r="OE216" s="9"/>
      <c r="OF216" s="9"/>
      <c r="OG216" s="9"/>
      <c r="OH216" s="9"/>
      <c r="OI216" s="9"/>
      <c r="OJ216" s="9"/>
      <c r="OK216" s="9"/>
      <c r="OL216" s="9"/>
      <c r="OM216" s="9"/>
      <c r="ON216" s="9"/>
      <c r="OO216" s="9"/>
      <c r="OP216" s="9"/>
      <c r="OQ216" s="9"/>
      <c r="OR216" s="9"/>
      <c r="OS216" s="9"/>
      <c r="OT216" s="9"/>
      <c r="OU216" s="9"/>
      <c r="OV216" s="9"/>
      <c r="OW216" s="9"/>
      <c r="OX216" s="9"/>
      <c r="OY216" s="9"/>
      <c r="OZ216" s="9"/>
      <c r="PA216" s="9"/>
      <c r="PB216" s="9"/>
      <c r="PC216" s="9"/>
      <c r="PD216" s="9"/>
      <c r="PE216" s="9"/>
      <c r="PF216" s="9"/>
      <c r="PG216" s="9"/>
      <c r="PH216" s="9"/>
      <c r="PI216" s="9"/>
      <c r="PJ216" s="9"/>
      <c r="PK216" s="9"/>
      <c r="PL216" s="9"/>
      <c r="PM216" s="9"/>
      <c r="PN216" s="9"/>
      <c r="PO216" s="9"/>
      <c r="PP216" s="9"/>
      <c r="PQ216" s="9"/>
      <c r="PR216" s="9"/>
      <c r="PS216" s="9"/>
      <c r="PT216" s="9"/>
      <c r="PU216" s="9"/>
      <c r="PV216" s="9"/>
      <c r="PW216" s="9"/>
      <c r="PX216" s="9"/>
      <c r="PY216" s="9"/>
      <c r="PZ216" s="9"/>
      <c r="QA216" s="9"/>
      <c r="QB216" s="9"/>
      <c r="QC216" s="9"/>
      <c r="QD216" s="9"/>
      <c r="QE216" s="9"/>
      <c r="QF216" s="9"/>
      <c r="QG216" s="9"/>
      <c r="QH216" s="9"/>
      <c r="QI216" s="9"/>
      <c r="QJ216" s="9"/>
      <c r="QK216" s="9"/>
      <c r="QL216" s="9"/>
      <c r="QM216" s="9"/>
      <c r="QN216" s="9"/>
      <c r="QO216" s="9"/>
      <c r="QP216" s="9"/>
      <c r="QQ216" s="9"/>
      <c r="QR216" s="9"/>
      <c r="QS216" s="9"/>
      <c r="QT216" s="9"/>
      <c r="QU216" s="9"/>
      <c r="QV216" s="9"/>
      <c r="QW216" s="9"/>
      <c r="QX216" s="9"/>
      <c r="QY216" s="9"/>
      <c r="QZ216" s="9"/>
      <c r="RA216" s="9"/>
      <c r="RB216" s="9"/>
      <c r="RC216" s="9"/>
      <c r="RD216" s="9"/>
      <c r="RE216" s="9"/>
      <c r="RF216" s="9"/>
      <c r="RG216" s="9"/>
      <c r="RH216" s="9"/>
      <c r="RI216" s="9"/>
      <c r="RJ216" s="9"/>
      <c r="RK216" s="9"/>
      <c r="RL216" s="9"/>
      <c r="RM216" s="9"/>
      <c r="RN216" s="9"/>
      <c r="RO216" s="9"/>
      <c r="RP216" s="9"/>
      <c r="RQ216" s="9"/>
      <c r="RR216" s="9"/>
      <c r="RS216" s="9"/>
      <c r="RT216" s="9"/>
      <c r="RU216" s="9"/>
      <c r="RV216" s="9"/>
      <c r="RW216" s="9"/>
      <c r="RX216" s="9"/>
      <c r="RY216" s="9"/>
      <c r="RZ216" s="9"/>
      <c r="SA216" s="9"/>
      <c r="SB216" s="9"/>
      <c r="SC216" s="9"/>
      <c r="SD216" s="9"/>
      <c r="SE216" s="9"/>
      <c r="SF216" s="9"/>
      <c r="SG216" s="9"/>
      <c r="SH216" s="9"/>
      <c r="SI216" s="9"/>
      <c r="SJ216" s="9"/>
      <c r="SK216" s="8"/>
      <c r="SL216" s="8"/>
      <c r="SM216" s="8"/>
      <c r="SN216" s="8"/>
      <c r="SO216" s="8"/>
      <c r="SP216" s="8"/>
      <c r="SQ216" s="8"/>
      <c r="SR216" s="8"/>
      <c r="SS216" s="8"/>
      <c r="ST216" s="8"/>
      <c r="SU216" s="8"/>
      <c r="SV216" s="8"/>
      <c r="SW216" s="8"/>
      <c r="SX216" s="8"/>
      <c r="SY216" s="8"/>
      <c r="SZ216" s="8"/>
      <c r="TA216" s="8"/>
      <c r="TB216" s="8"/>
      <c r="TC216" s="8"/>
      <c r="TD216" s="8"/>
      <c r="TE216" s="8"/>
      <c r="TF216" s="8"/>
      <c r="TG216" s="8"/>
      <c r="TH216" s="8"/>
      <c r="TI216" s="8"/>
      <c r="TJ216" s="8"/>
      <c r="TK216" s="8"/>
      <c r="TL216" s="8"/>
      <c r="TM216" s="8"/>
      <c r="TN216" s="8"/>
      <c r="TO216" s="8"/>
    </row>
    <row r="217" spans="1:535" x14ac:dyDescent="0.2">
      <c r="A217" s="7"/>
      <c r="B217" s="7"/>
      <c r="C217" s="9"/>
      <c r="D217" s="8"/>
      <c r="E217" s="8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9"/>
      <c r="CF217" s="9"/>
      <c r="CG217" s="9"/>
      <c r="CH217" s="9"/>
      <c r="CI217" s="9"/>
      <c r="CJ217" s="9"/>
      <c r="CK217" s="9"/>
      <c r="CL217" s="9"/>
      <c r="CM217" s="9"/>
      <c r="CN217" s="9"/>
      <c r="CO217" s="9"/>
      <c r="CP217" s="9"/>
      <c r="CQ217" s="9"/>
      <c r="CR217" s="9"/>
      <c r="CS217" s="9"/>
      <c r="CT217" s="9"/>
      <c r="CU217" s="9"/>
      <c r="CV217" s="9"/>
      <c r="CW217" s="9"/>
      <c r="CX217" s="9"/>
      <c r="CY217" s="9"/>
      <c r="CZ217" s="9"/>
      <c r="DA217" s="9"/>
      <c r="DB217" s="9"/>
      <c r="DC217" s="9"/>
      <c r="DD217" s="9"/>
      <c r="DE217" s="9"/>
      <c r="DF217" s="9"/>
      <c r="DG217" s="9"/>
      <c r="DH217" s="9"/>
      <c r="DI217" s="9"/>
      <c r="DJ217" s="9"/>
      <c r="DK217" s="9"/>
      <c r="DL217" s="9"/>
      <c r="DM217" s="9"/>
      <c r="DN217" s="9"/>
      <c r="DO217" s="9"/>
      <c r="DP217" s="9"/>
      <c r="DQ217" s="9"/>
      <c r="DR217" s="9"/>
      <c r="DS217" s="9"/>
      <c r="DT217" s="9"/>
      <c r="DU217" s="9"/>
      <c r="DV217" s="9"/>
      <c r="DW217" s="9"/>
      <c r="DX217" s="9"/>
      <c r="DY217" s="9"/>
      <c r="DZ217" s="9"/>
      <c r="EA217" s="9"/>
      <c r="EB217" s="9"/>
      <c r="EC217" s="9"/>
      <c r="ED217" s="9"/>
      <c r="EE217" s="9"/>
      <c r="EF217" s="9"/>
      <c r="EG217" s="9"/>
      <c r="EH217" s="9"/>
      <c r="EI217" s="9"/>
      <c r="EJ217" s="9"/>
      <c r="EK217" s="9"/>
      <c r="EL217" s="9"/>
      <c r="EM217" s="9"/>
      <c r="EN217" s="9"/>
      <c r="EO217" s="9"/>
      <c r="EP217" s="9"/>
      <c r="EQ217" s="9"/>
      <c r="ER217" s="9"/>
      <c r="ES217" s="9"/>
      <c r="ET217" s="9"/>
      <c r="EU217" s="9"/>
      <c r="EV217" s="9"/>
      <c r="EW217" s="9"/>
      <c r="EX217" s="9"/>
      <c r="EY217" s="9"/>
      <c r="EZ217" s="9"/>
      <c r="FA217" s="9"/>
      <c r="FB217" s="9"/>
      <c r="FC217" s="9"/>
      <c r="FD217" s="9"/>
      <c r="FE217" s="9"/>
      <c r="FF217" s="9"/>
      <c r="FG217" s="9"/>
      <c r="FH217" s="9"/>
      <c r="FI217" s="9"/>
      <c r="FJ217" s="9"/>
      <c r="FK217" s="9"/>
      <c r="FL217" s="9"/>
      <c r="FM217" s="9"/>
      <c r="FN217" s="9"/>
      <c r="FO217" s="9"/>
      <c r="FP217" s="9"/>
      <c r="FQ217" s="9"/>
      <c r="FR217" s="9"/>
      <c r="FS217" s="9"/>
      <c r="FT217" s="9"/>
      <c r="FU217" s="9"/>
      <c r="FV217" s="9"/>
      <c r="FW217" s="9"/>
      <c r="FX217" s="9"/>
      <c r="FY217" s="9"/>
      <c r="FZ217" s="9"/>
      <c r="GA217" s="9"/>
      <c r="GB217" s="9"/>
      <c r="GC217" s="9"/>
      <c r="GD217" s="9"/>
      <c r="GE217" s="9"/>
      <c r="GF217" s="9"/>
      <c r="GG217" s="9"/>
      <c r="GH217" s="9"/>
      <c r="GI217" s="9"/>
      <c r="GJ217" s="9"/>
      <c r="GK217" s="9"/>
      <c r="GL217" s="9"/>
      <c r="GM217" s="9"/>
      <c r="GN217" s="9"/>
      <c r="GO217" s="9"/>
      <c r="GP217" s="9"/>
      <c r="GQ217" s="9"/>
      <c r="GR217" s="9"/>
      <c r="GS217" s="9"/>
      <c r="GT217" s="9"/>
      <c r="GU217" s="9"/>
      <c r="GV217" s="9"/>
      <c r="GW217" s="9"/>
      <c r="GX217" s="9"/>
      <c r="GY217" s="9"/>
      <c r="GZ217" s="9"/>
      <c r="HA217" s="9"/>
      <c r="HB217" s="9"/>
      <c r="HC217" s="9"/>
      <c r="HD217" s="9"/>
      <c r="HE217" s="9"/>
      <c r="HF217" s="9"/>
      <c r="HG217" s="9"/>
      <c r="HH217" s="9"/>
      <c r="HI217" s="9"/>
      <c r="HJ217" s="9"/>
      <c r="HK217" s="9"/>
      <c r="HL217" s="9"/>
      <c r="HM217" s="9"/>
      <c r="HN217" s="9"/>
      <c r="HO217" s="9"/>
      <c r="HP217" s="9"/>
      <c r="HQ217" s="9"/>
      <c r="HR217" s="9"/>
      <c r="HS217" s="9"/>
      <c r="HT217" s="9"/>
      <c r="HU217" s="9"/>
      <c r="HV217" s="9"/>
      <c r="HW217" s="9"/>
      <c r="HX217" s="9"/>
      <c r="HY217" s="9"/>
      <c r="HZ217" s="9"/>
      <c r="IA217" s="9"/>
      <c r="IB217" s="9"/>
      <c r="IC217" s="9"/>
      <c r="ID217" s="9"/>
      <c r="IE217" s="9"/>
      <c r="IF217" s="9"/>
      <c r="IG217" s="9"/>
      <c r="IH217" s="9"/>
      <c r="II217" s="9"/>
      <c r="IJ217" s="9"/>
      <c r="IK217" s="9"/>
      <c r="IL217" s="9"/>
      <c r="IM217" s="9"/>
      <c r="IN217" s="9"/>
      <c r="IO217" s="9"/>
      <c r="IP217" s="9"/>
      <c r="IQ217" s="9"/>
      <c r="IR217" s="9"/>
      <c r="IS217" s="9"/>
      <c r="IT217" s="9"/>
      <c r="IU217" s="9"/>
      <c r="IV217" s="9"/>
      <c r="IW217" s="9"/>
      <c r="IX217" s="9"/>
      <c r="IY217" s="9"/>
      <c r="IZ217" s="9"/>
      <c r="JA217" s="9"/>
      <c r="JB217" s="9"/>
      <c r="JC217" s="9"/>
      <c r="JD217" s="9"/>
      <c r="JE217" s="9"/>
      <c r="JF217" s="9"/>
      <c r="JG217" s="9"/>
      <c r="JH217" s="9"/>
      <c r="JI217" s="9"/>
      <c r="JJ217" s="9"/>
      <c r="JK217" s="9"/>
      <c r="JL217" s="9"/>
      <c r="JM217" s="9"/>
      <c r="JN217" s="9"/>
      <c r="JO217" s="9"/>
      <c r="JP217" s="9"/>
      <c r="JQ217" s="9"/>
      <c r="JR217" s="9"/>
      <c r="JS217" s="9"/>
      <c r="JT217" s="9"/>
      <c r="JU217" s="9"/>
      <c r="JV217" s="9"/>
      <c r="JW217" s="9"/>
      <c r="JX217" s="9"/>
      <c r="JY217" s="9"/>
      <c r="JZ217" s="9"/>
      <c r="KA217" s="9"/>
      <c r="KB217" s="9"/>
      <c r="KC217" s="9"/>
      <c r="KD217" s="9"/>
      <c r="KE217" s="9"/>
      <c r="KF217" s="9"/>
      <c r="KG217" s="9"/>
      <c r="KH217" s="9"/>
      <c r="KI217" s="9"/>
      <c r="KJ217" s="9"/>
      <c r="KK217" s="9"/>
      <c r="KL217" s="9"/>
      <c r="KM217" s="9"/>
      <c r="KN217" s="9"/>
      <c r="KO217" s="9"/>
      <c r="KP217" s="9"/>
      <c r="KQ217" s="9"/>
      <c r="KR217" s="9"/>
      <c r="KS217" s="9"/>
      <c r="KT217" s="9"/>
      <c r="KU217" s="9"/>
      <c r="KV217" s="9"/>
      <c r="KW217" s="9"/>
      <c r="KX217" s="9"/>
      <c r="KY217" s="9"/>
      <c r="KZ217" s="9"/>
      <c r="LA217" s="9"/>
      <c r="LB217" s="9"/>
      <c r="LC217" s="9"/>
      <c r="LD217" s="9"/>
      <c r="LE217" s="9"/>
      <c r="LF217" s="9"/>
      <c r="LG217" s="9"/>
      <c r="LH217" s="9"/>
      <c r="LI217" s="9"/>
      <c r="LJ217" s="9"/>
      <c r="LK217" s="9"/>
      <c r="LL217" s="9"/>
      <c r="LM217" s="9"/>
      <c r="LN217" s="9"/>
      <c r="LO217" s="9"/>
      <c r="LP217" s="9"/>
      <c r="LQ217" s="9"/>
      <c r="LR217" s="9"/>
      <c r="LS217" s="9"/>
      <c r="LT217" s="9"/>
      <c r="LU217" s="9"/>
      <c r="LV217" s="9"/>
      <c r="LW217" s="9"/>
      <c r="LX217" s="9"/>
      <c r="LY217" s="9"/>
      <c r="LZ217" s="9"/>
      <c r="MA217" s="9"/>
      <c r="MB217" s="9"/>
      <c r="MC217" s="9"/>
      <c r="MD217" s="9"/>
      <c r="ME217" s="9"/>
      <c r="MF217" s="9"/>
      <c r="MG217" s="9"/>
      <c r="MH217" s="9"/>
      <c r="MI217" s="9"/>
      <c r="MJ217" s="9"/>
      <c r="MK217" s="9"/>
      <c r="ML217" s="9"/>
      <c r="MM217" s="9"/>
      <c r="MN217" s="9"/>
      <c r="MO217" s="9"/>
      <c r="MP217" s="9"/>
      <c r="MQ217" s="9"/>
      <c r="MR217" s="9"/>
      <c r="MS217" s="9"/>
      <c r="MT217" s="9"/>
      <c r="MU217" s="9"/>
      <c r="MV217" s="9"/>
      <c r="MW217" s="9"/>
      <c r="MX217" s="9"/>
      <c r="MY217" s="9"/>
      <c r="MZ217" s="9"/>
      <c r="NA217" s="9"/>
      <c r="NB217" s="9"/>
      <c r="NC217" s="9"/>
      <c r="ND217" s="9"/>
      <c r="NE217" s="9"/>
      <c r="NF217" s="9"/>
      <c r="NG217" s="9"/>
      <c r="NH217" s="9"/>
      <c r="NI217" s="9"/>
      <c r="NJ217" s="9"/>
      <c r="NK217" s="9"/>
      <c r="NL217" s="9"/>
      <c r="NM217" s="9"/>
      <c r="NN217" s="9"/>
      <c r="NO217" s="9"/>
      <c r="NP217" s="9"/>
      <c r="NQ217" s="9"/>
      <c r="NR217" s="9"/>
      <c r="NS217" s="9"/>
      <c r="NT217" s="9"/>
      <c r="NU217" s="9"/>
      <c r="NV217" s="9"/>
      <c r="NW217" s="9"/>
      <c r="NX217" s="9"/>
      <c r="NY217" s="9"/>
      <c r="NZ217" s="9"/>
      <c r="OA217" s="9"/>
      <c r="OB217" s="9"/>
      <c r="OC217" s="9"/>
      <c r="OD217" s="9"/>
      <c r="OE217" s="9"/>
      <c r="OF217" s="9"/>
      <c r="OG217" s="9"/>
      <c r="OH217" s="9"/>
      <c r="OI217" s="9"/>
      <c r="OJ217" s="9"/>
      <c r="OK217" s="9"/>
      <c r="OL217" s="9"/>
      <c r="OM217" s="9"/>
      <c r="ON217" s="9"/>
      <c r="OO217" s="9"/>
      <c r="OP217" s="9"/>
      <c r="OQ217" s="9"/>
      <c r="OR217" s="9"/>
      <c r="OS217" s="9"/>
      <c r="OT217" s="9"/>
      <c r="OU217" s="9"/>
      <c r="OV217" s="9"/>
      <c r="OW217" s="9"/>
      <c r="OX217" s="9"/>
      <c r="OY217" s="9"/>
      <c r="OZ217" s="9"/>
      <c r="PA217" s="9"/>
      <c r="PB217" s="9"/>
      <c r="PC217" s="9"/>
      <c r="PD217" s="9"/>
      <c r="PE217" s="9"/>
      <c r="PF217" s="9"/>
      <c r="PG217" s="9"/>
      <c r="PH217" s="9"/>
      <c r="PI217" s="9"/>
      <c r="PJ217" s="9"/>
      <c r="PK217" s="9"/>
      <c r="PL217" s="9"/>
      <c r="PM217" s="9"/>
      <c r="PN217" s="9"/>
      <c r="PO217" s="9"/>
      <c r="PP217" s="9"/>
      <c r="PQ217" s="9"/>
      <c r="PR217" s="9"/>
      <c r="PS217" s="9"/>
      <c r="PT217" s="9"/>
      <c r="PU217" s="9"/>
      <c r="PV217" s="9"/>
      <c r="PW217" s="9"/>
      <c r="PX217" s="9"/>
      <c r="PY217" s="9"/>
      <c r="PZ217" s="9"/>
      <c r="QA217" s="9"/>
      <c r="QB217" s="9"/>
      <c r="QC217" s="9"/>
      <c r="QD217" s="9"/>
      <c r="QE217" s="9"/>
      <c r="QF217" s="9"/>
      <c r="QG217" s="9"/>
      <c r="QH217" s="9"/>
      <c r="QI217" s="9"/>
      <c r="QJ217" s="9"/>
      <c r="QK217" s="9"/>
      <c r="QL217" s="9"/>
      <c r="QM217" s="9"/>
      <c r="QN217" s="9"/>
      <c r="QO217" s="9"/>
      <c r="QP217" s="9"/>
      <c r="QQ217" s="9"/>
      <c r="QR217" s="9"/>
      <c r="QS217" s="9"/>
      <c r="QT217" s="9"/>
      <c r="QU217" s="9"/>
      <c r="QV217" s="9"/>
      <c r="QW217" s="9"/>
      <c r="QX217" s="9"/>
      <c r="QY217" s="9"/>
      <c r="QZ217" s="9"/>
      <c r="RA217" s="9"/>
      <c r="RB217" s="9"/>
      <c r="RC217" s="9"/>
      <c r="RD217" s="9"/>
      <c r="RE217" s="9"/>
      <c r="RF217" s="9"/>
      <c r="RG217" s="9"/>
      <c r="RH217" s="9"/>
      <c r="RI217" s="9"/>
      <c r="RJ217" s="9"/>
      <c r="RK217" s="9"/>
      <c r="RL217" s="9"/>
      <c r="RM217" s="9"/>
      <c r="RN217" s="9"/>
      <c r="RO217" s="9"/>
      <c r="RP217" s="9"/>
      <c r="RQ217" s="9"/>
      <c r="RR217" s="9"/>
      <c r="RS217" s="9"/>
      <c r="RT217" s="9"/>
      <c r="RU217" s="9"/>
      <c r="RV217" s="9"/>
      <c r="RW217" s="9"/>
      <c r="RX217" s="9"/>
      <c r="RY217" s="9"/>
      <c r="RZ217" s="9"/>
      <c r="SA217" s="9"/>
      <c r="SB217" s="9"/>
      <c r="SC217" s="9"/>
      <c r="SD217" s="9"/>
      <c r="SE217" s="9"/>
      <c r="SF217" s="9"/>
      <c r="SG217" s="9"/>
      <c r="SH217" s="9"/>
      <c r="SI217" s="9"/>
      <c r="SJ217" s="9"/>
      <c r="SK217" s="8"/>
      <c r="SL217" s="8"/>
      <c r="SM217" s="8"/>
      <c r="SN217" s="8"/>
      <c r="SO217" s="8"/>
      <c r="SP217" s="8"/>
      <c r="SQ217" s="8"/>
      <c r="SR217" s="8"/>
      <c r="SS217" s="8"/>
      <c r="ST217" s="8"/>
      <c r="SU217" s="8"/>
      <c r="SV217" s="8"/>
      <c r="SW217" s="8"/>
      <c r="SX217" s="8"/>
      <c r="SY217" s="8"/>
      <c r="SZ217" s="8"/>
      <c r="TA217" s="8"/>
      <c r="TB217" s="8"/>
      <c r="TC217" s="8"/>
      <c r="TD217" s="8"/>
      <c r="TE217" s="8"/>
      <c r="TF217" s="8"/>
      <c r="TG217" s="8"/>
      <c r="TH217" s="8"/>
      <c r="TI217" s="8"/>
      <c r="TJ217" s="8"/>
      <c r="TK217" s="8"/>
      <c r="TL217" s="8"/>
      <c r="TM217" s="8"/>
      <c r="TN217" s="8"/>
      <c r="TO217" s="8"/>
    </row>
    <row r="218" spans="1:535" x14ac:dyDescent="0.2">
      <c r="A218" s="7"/>
      <c r="B218" s="7"/>
      <c r="C218" s="9"/>
      <c r="D218" s="8"/>
      <c r="E218" s="8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/>
      <c r="BO218" s="9"/>
      <c r="BP218" s="9"/>
      <c r="BQ218" s="9"/>
      <c r="BR218" s="9"/>
      <c r="BS218" s="9"/>
      <c r="BT218" s="9"/>
      <c r="BU218" s="9"/>
      <c r="BV218" s="9"/>
      <c r="BW218" s="9"/>
      <c r="BX218" s="9"/>
      <c r="BY218" s="9"/>
      <c r="BZ218" s="9"/>
      <c r="CA218" s="9"/>
      <c r="CB218" s="9"/>
      <c r="CC218" s="9"/>
      <c r="CD218" s="9"/>
      <c r="CE218" s="9"/>
      <c r="CF218" s="9"/>
      <c r="CG218" s="9"/>
      <c r="CH218" s="9"/>
      <c r="CI218" s="9"/>
      <c r="CJ218" s="9"/>
      <c r="CK218" s="9"/>
      <c r="CL218" s="9"/>
      <c r="CM218" s="9"/>
      <c r="CN218" s="9"/>
      <c r="CO218" s="9"/>
      <c r="CP218" s="9"/>
      <c r="CQ218" s="9"/>
      <c r="CR218" s="9"/>
      <c r="CS218" s="9"/>
      <c r="CT218" s="9"/>
      <c r="CU218" s="9"/>
      <c r="CV218" s="9"/>
      <c r="CW218" s="9"/>
      <c r="CX218" s="9"/>
      <c r="CY218" s="9"/>
      <c r="CZ218" s="9"/>
      <c r="DA218" s="9"/>
      <c r="DB218" s="9"/>
      <c r="DC218" s="9"/>
      <c r="DD218" s="9"/>
      <c r="DE218" s="9"/>
      <c r="DF218" s="9"/>
      <c r="DG218" s="9"/>
      <c r="DH218" s="9"/>
      <c r="DI218" s="9"/>
      <c r="DJ218" s="9"/>
      <c r="DK218" s="9"/>
      <c r="DL218" s="9"/>
      <c r="DM218" s="9"/>
      <c r="DN218" s="9"/>
      <c r="DO218" s="9"/>
      <c r="DP218" s="9"/>
      <c r="DQ218" s="9"/>
      <c r="DR218" s="9"/>
      <c r="DS218" s="9"/>
      <c r="DT218" s="9"/>
      <c r="DU218" s="9"/>
      <c r="DV218" s="9"/>
      <c r="DW218" s="9"/>
      <c r="DX218" s="9"/>
      <c r="DY218" s="9"/>
      <c r="DZ218" s="9"/>
      <c r="EA218" s="9"/>
      <c r="EB218" s="9"/>
      <c r="EC218" s="9"/>
      <c r="ED218" s="9"/>
      <c r="EE218" s="9"/>
      <c r="EF218" s="9"/>
      <c r="EG218" s="9"/>
      <c r="EH218" s="9"/>
      <c r="EI218" s="9"/>
      <c r="EJ218" s="9"/>
      <c r="EK218" s="9"/>
      <c r="EL218" s="9"/>
      <c r="EM218" s="9"/>
      <c r="EN218" s="9"/>
      <c r="EO218" s="9"/>
      <c r="EP218" s="9"/>
      <c r="EQ218" s="9"/>
      <c r="ER218" s="9"/>
      <c r="ES218" s="9"/>
      <c r="ET218" s="9"/>
      <c r="EU218" s="9"/>
      <c r="EV218" s="9"/>
      <c r="EW218" s="9"/>
      <c r="EX218" s="9"/>
      <c r="EY218" s="9"/>
      <c r="EZ218" s="9"/>
      <c r="FA218" s="9"/>
      <c r="FB218" s="9"/>
      <c r="FC218" s="9"/>
      <c r="FD218" s="9"/>
      <c r="FE218" s="9"/>
      <c r="FF218" s="9"/>
      <c r="FG218" s="9"/>
      <c r="FH218" s="9"/>
      <c r="FI218" s="9"/>
      <c r="FJ218" s="9"/>
      <c r="FK218" s="9"/>
      <c r="FL218" s="9"/>
      <c r="FM218" s="9"/>
      <c r="FN218" s="9"/>
      <c r="FO218" s="9"/>
      <c r="FP218" s="9"/>
      <c r="FQ218" s="9"/>
      <c r="FR218" s="9"/>
      <c r="FS218" s="9"/>
      <c r="FT218" s="9"/>
      <c r="FU218" s="9"/>
      <c r="FV218" s="9"/>
      <c r="FW218" s="9"/>
      <c r="FX218" s="9"/>
      <c r="FY218" s="9"/>
      <c r="FZ218" s="9"/>
      <c r="GA218" s="9"/>
      <c r="GB218" s="9"/>
      <c r="GC218" s="9"/>
      <c r="GD218" s="9"/>
      <c r="GE218" s="9"/>
      <c r="GF218" s="9"/>
      <c r="GG218" s="9"/>
      <c r="GH218" s="9"/>
      <c r="GI218" s="9"/>
      <c r="GJ218" s="9"/>
      <c r="GK218" s="9"/>
      <c r="GL218" s="9"/>
      <c r="GM218" s="9"/>
      <c r="GN218" s="9"/>
      <c r="GO218" s="9"/>
      <c r="GP218" s="9"/>
      <c r="GQ218" s="9"/>
      <c r="GR218" s="9"/>
      <c r="GS218" s="9"/>
      <c r="GT218" s="9"/>
      <c r="GU218" s="9"/>
      <c r="GV218" s="9"/>
      <c r="GW218" s="9"/>
      <c r="GX218" s="9"/>
      <c r="GY218" s="9"/>
      <c r="GZ218" s="9"/>
      <c r="HA218" s="9"/>
      <c r="HB218" s="9"/>
      <c r="HC218" s="9"/>
      <c r="HD218" s="9"/>
      <c r="HE218" s="9"/>
      <c r="HF218" s="9"/>
      <c r="HG218" s="9"/>
      <c r="HH218" s="9"/>
      <c r="HI218" s="9"/>
      <c r="HJ218" s="9"/>
      <c r="HK218" s="9"/>
      <c r="HL218" s="9"/>
      <c r="HM218" s="9"/>
      <c r="HN218" s="9"/>
      <c r="HO218" s="9"/>
      <c r="HP218" s="9"/>
      <c r="HQ218" s="9"/>
      <c r="HR218" s="9"/>
      <c r="HS218" s="9"/>
      <c r="HT218" s="9"/>
      <c r="HU218" s="9"/>
      <c r="HV218" s="9"/>
      <c r="HW218" s="9"/>
      <c r="HX218" s="9"/>
      <c r="HY218" s="9"/>
      <c r="HZ218" s="9"/>
      <c r="IA218" s="9"/>
      <c r="IB218" s="9"/>
      <c r="IC218" s="9"/>
      <c r="ID218" s="9"/>
      <c r="IE218" s="9"/>
      <c r="IF218" s="9"/>
      <c r="IG218" s="9"/>
      <c r="IH218" s="9"/>
      <c r="II218" s="9"/>
      <c r="IJ218" s="9"/>
      <c r="IK218" s="9"/>
      <c r="IL218" s="9"/>
      <c r="IM218" s="9"/>
      <c r="IN218" s="9"/>
      <c r="IO218" s="9"/>
      <c r="IP218" s="9"/>
      <c r="IQ218" s="9"/>
      <c r="IR218" s="9"/>
      <c r="IS218" s="9"/>
      <c r="IT218" s="9"/>
      <c r="IU218" s="9"/>
      <c r="IV218" s="9"/>
      <c r="IW218" s="9"/>
      <c r="IX218" s="9"/>
      <c r="IY218" s="9"/>
      <c r="IZ218" s="9"/>
      <c r="JA218" s="9"/>
      <c r="JB218" s="9"/>
      <c r="JC218" s="9"/>
      <c r="JD218" s="9"/>
      <c r="JE218" s="9"/>
      <c r="JF218" s="9"/>
      <c r="JG218" s="9"/>
      <c r="JH218" s="9"/>
      <c r="JI218" s="9"/>
      <c r="JJ218" s="9"/>
      <c r="JK218" s="9"/>
      <c r="JL218" s="9"/>
      <c r="JM218" s="9"/>
      <c r="JN218" s="9"/>
      <c r="JO218" s="9"/>
      <c r="JP218" s="9"/>
      <c r="JQ218" s="9"/>
      <c r="JR218" s="9"/>
      <c r="JS218" s="9"/>
      <c r="JT218" s="9"/>
      <c r="JU218" s="9"/>
      <c r="JV218" s="9"/>
      <c r="JW218" s="9"/>
      <c r="JX218" s="9"/>
      <c r="JY218" s="9"/>
      <c r="JZ218" s="9"/>
      <c r="KA218" s="9"/>
      <c r="KB218" s="9"/>
      <c r="KC218" s="9"/>
      <c r="KD218" s="9"/>
      <c r="KE218" s="9"/>
      <c r="KF218" s="9"/>
      <c r="KG218" s="9"/>
      <c r="KH218" s="9"/>
      <c r="KI218" s="9"/>
      <c r="KJ218" s="9"/>
      <c r="KK218" s="9"/>
      <c r="KL218" s="9"/>
      <c r="KM218" s="9"/>
      <c r="KN218" s="9"/>
      <c r="KO218" s="9"/>
      <c r="KP218" s="9"/>
      <c r="KQ218" s="9"/>
      <c r="KR218" s="9"/>
      <c r="KS218" s="9"/>
      <c r="KT218" s="9"/>
      <c r="KU218" s="9"/>
      <c r="KV218" s="9"/>
      <c r="KW218" s="9"/>
      <c r="KX218" s="9"/>
      <c r="KY218" s="9"/>
      <c r="KZ218" s="9"/>
      <c r="LA218" s="9"/>
      <c r="LB218" s="9"/>
      <c r="LC218" s="9"/>
      <c r="LD218" s="9"/>
      <c r="LE218" s="9"/>
      <c r="LF218" s="9"/>
      <c r="LG218" s="9"/>
      <c r="LH218" s="9"/>
      <c r="LI218" s="9"/>
      <c r="LJ218" s="9"/>
      <c r="LK218" s="9"/>
      <c r="LL218" s="9"/>
      <c r="LM218" s="9"/>
      <c r="LN218" s="9"/>
      <c r="LO218" s="9"/>
      <c r="LP218" s="9"/>
      <c r="LQ218" s="9"/>
      <c r="LR218" s="9"/>
      <c r="LS218" s="9"/>
      <c r="LT218" s="9"/>
      <c r="LU218" s="9"/>
      <c r="LV218" s="9"/>
      <c r="LW218" s="9"/>
      <c r="LX218" s="9"/>
      <c r="LY218" s="9"/>
      <c r="LZ218" s="9"/>
      <c r="MA218" s="9"/>
      <c r="MB218" s="9"/>
      <c r="MC218" s="9"/>
      <c r="MD218" s="9"/>
      <c r="ME218" s="9"/>
      <c r="MF218" s="9"/>
      <c r="MG218" s="9"/>
      <c r="MH218" s="9"/>
      <c r="MI218" s="9"/>
      <c r="MJ218" s="9"/>
      <c r="MK218" s="9"/>
      <c r="ML218" s="9"/>
      <c r="MM218" s="9"/>
      <c r="MN218" s="9"/>
      <c r="MO218" s="9"/>
      <c r="MP218" s="9"/>
      <c r="MQ218" s="9"/>
      <c r="MR218" s="9"/>
      <c r="MS218" s="9"/>
      <c r="MT218" s="9"/>
      <c r="MU218" s="9"/>
      <c r="MV218" s="9"/>
      <c r="MW218" s="9"/>
      <c r="MX218" s="9"/>
      <c r="MY218" s="9"/>
      <c r="MZ218" s="9"/>
      <c r="NA218" s="9"/>
      <c r="NB218" s="9"/>
      <c r="NC218" s="9"/>
      <c r="ND218" s="9"/>
      <c r="NE218" s="9"/>
      <c r="NF218" s="9"/>
      <c r="NG218" s="9"/>
      <c r="NH218" s="9"/>
      <c r="NI218" s="9"/>
      <c r="NJ218" s="9"/>
      <c r="NK218" s="9"/>
      <c r="NL218" s="9"/>
      <c r="NM218" s="9"/>
      <c r="NN218" s="9"/>
      <c r="NO218" s="9"/>
      <c r="NP218" s="9"/>
      <c r="NQ218" s="9"/>
      <c r="NR218" s="9"/>
      <c r="NS218" s="9"/>
      <c r="NT218" s="9"/>
      <c r="NU218" s="9"/>
      <c r="NV218" s="9"/>
      <c r="NW218" s="9"/>
      <c r="NX218" s="9"/>
      <c r="NY218" s="9"/>
      <c r="NZ218" s="9"/>
      <c r="OA218" s="9"/>
      <c r="OB218" s="9"/>
      <c r="OC218" s="9"/>
      <c r="OD218" s="9"/>
      <c r="OE218" s="9"/>
      <c r="OF218" s="9"/>
      <c r="OG218" s="9"/>
      <c r="OH218" s="9"/>
      <c r="OI218" s="9"/>
      <c r="OJ218" s="9"/>
      <c r="OK218" s="9"/>
      <c r="OL218" s="9"/>
      <c r="OM218" s="9"/>
      <c r="ON218" s="9"/>
      <c r="OO218" s="9"/>
      <c r="OP218" s="9"/>
      <c r="OQ218" s="9"/>
      <c r="OR218" s="9"/>
      <c r="OS218" s="9"/>
      <c r="OT218" s="9"/>
      <c r="OU218" s="9"/>
      <c r="OV218" s="9"/>
      <c r="OW218" s="9"/>
      <c r="OX218" s="9"/>
      <c r="OY218" s="9"/>
      <c r="OZ218" s="9"/>
      <c r="PA218" s="9"/>
      <c r="PB218" s="9"/>
      <c r="PC218" s="9"/>
      <c r="PD218" s="9"/>
      <c r="PE218" s="9"/>
      <c r="PF218" s="9"/>
      <c r="PG218" s="9"/>
      <c r="PH218" s="9"/>
      <c r="PI218" s="9"/>
      <c r="PJ218" s="9"/>
      <c r="PK218" s="9"/>
      <c r="PL218" s="9"/>
      <c r="PM218" s="9"/>
      <c r="PN218" s="9"/>
      <c r="PO218" s="9"/>
      <c r="PP218" s="9"/>
      <c r="PQ218" s="9"/>
      <c r="PR218" s="9"/>
      <c r="PS218" s="9"/>
      <c r="PT218" s="9"/>
      <c r="PU218" s="9"/>
      <c r="PV218" s="9"/>
      <c r="PW218" s="9"/>
      <c r="PX218" s="9"/>
      <c r="PY218" s="9"/>
      <c r="PZ218" s="9"/>
      <c r="QA218" s="9"/>
      <c r="QB218" s="9"/>
      <c r="QC218" s="9"/>
      <c r="QD218" s="9"/>
      <c r="QE218" s="9"/>
      <c r="QF218" s="9"/>
      <c r="QG218" s="9"/>
      <c r="QH218" s="9"/>
      <c r="QI218" s="9"/>
      <c r="QJ218" s="9"/>
      <c r="QK218" s="9"/>
      <c r="QL218" s="9"/>
      <c r="QM218" s="9"/>
      <c r="QN218" s="9"/>
      <c r="QO218" s="9"/>
      <c r="QP218" s="9"/>
      <c r="QQ218" s="9"/>
      <c r="QR218" s="9"/>
      <c r="QS218" s="9"/>
      <c r="QT218" s="9"/>
      <c r="QU218" s="9"/>
      <c r="QV218" s="9"/>
      <c r="QW218" s="9"/>
      <c r="QX218" s="9"/>
      <c r="QY218" s="9"/>
      <c r="QZ218" s="9"/>
      <c r="RA218" s="9"/>
      <c r="RB218" s="9"/>
      <c r="RC218" s="9"/>
      <c r="RD218" s="9"/>
      <c r="RE218" s="9"/>
      <c r="RF218" s="9"/>
      <c r="RG218" s="9"/>
      <c r="RH218" s="9"/>
      <c r="RI218" s="9"/>
      <c r="RJ218" s="9"/>
      <c r="RK218" s="9"/>
      <c r="RL218" s="9"/>
      <c r="RM218" s="9"/>
      <c r="RN218" s="9"/>
      <c r="RO218" s="9"/>
      <c r="RP218" s="9"/>
      <c r="RQ218" s="9"/>
      <c r="RR218" s="9"/>
      <c r="RS218" s="9"/>
      <c r="RT218" s="9"/>
      <c r="RU218" s="9"/>
      <c r="RV218" s="9"/>
      <c r="RW218" s="9"/>
      <c r="RX218" s="9"/>
      <c r="RY218" s="9"/>
      <c r="RZ218" s="9"/>
      <c r="SA218" s="9"/>
      <c r="SB218" s="9"/>
      <c r="SC218" s="9"/>
      <c r="SD218" s="9"/>
      <c r="SE218" s="9"/>
      <c r="SF218" s="9"/>
      <c r="SG218" s="9"/>
      <c r="SH218" s="9"/>
      <c r="SI218" s="9"/>
      <c r="SJ218" s="9"/>
      <c r="SK218" s="8"/>
      <c r="SL218" s="8"/>
      <c r="SM218" s="8"/>
      <c r="SN218" s="8"/>
      <c r="SO218" s="8"/>
      <c r="SP218" s="8"/>
      <c r="SQ218" s="8"/>
      <c r="SR218" s="8"/>
      <c r="SS218" s="8"/>
      <c r="ST218" s="8"/>
      <c r="SU218" s="8"/>
      <c r="SV218" s="8"/>
      <c r="SW218" s="8"/>
      <c r="SX218" s="8"/>
      <c r="SY218" s="8"/>
      <c r="SZ218" s="8"/>
      <c r="TA218" s="8"/>
      <c r="TB218" s="8"/>
      <c r="TC218" s="8"/>
      <c r="TD218" s="8"/>
      <c r="TE218" s="8"/>
      <c r="TF218" s="8"/>
      <c r="TG218" s="8"/>
      <c r="TH218" s="8"/>
      <c r="TI218" s="8"/>
      <c r="TJ218" s="8"/>
      <c r="TK218" s="8"/>
      <c r="TL218" s="8"/>
      <c r="TM218" s="8"/>
      <c r="TN218" s="8"/>
      <c r="TO218" s="8"/>
    </row>
    <row r="219" spans="1:535" x14ac:dyDescent="0.2">
      <c r="A219" s="7"/>
      <c r="B219" s="7"/>
      <c r="C219" s="9"/>
      <c r="D219" s="8"/>
      <c r="E219" s="8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/>
      <c r="BO219" s="9"/>
      <c r="BP219" s="9"/>
      <c r="BQ219" s="9"/>
      <c r="BR219" s="9"/>
      <c r="BS219" s="9"/>
      <c r="BT219" s="9"/>
      <c r="BU219" s="9"/>
      <c r="BV219" s="9"/>
      <c r="BW219" s="9"/>
      <c r="BX219" s="9"/>
      <c r="BY219" s="9"/>
      <c r="BZ219" s="9"/>
      <c r="CA219" s="9"/>
      <c r="CB219" s="9"/>
      <c r="CC219" s="9"/>
      <c r="CD219" s="9"/>
      <c r="CE219" s="9"/>
      <c r="CF219" s="9"/>
      <c r="CG219" s="9"/>
      <c r="CH219" s="9"/>
      <c r="CI219" s="9"/>
      <c r="CJ219" s="9"/>
      <c r="CK219" s="9"/>
      <c r="CL219" s="9"/>
      <c r="CM219" s="9"/>
      <c r="CN219" s="9"/>
      <c r="CO219" s="9"/>
      <c r="CP219" s="9"/>
      <c r="CQ219" s="9"/>
      <c r="CR219" s="9"/>
      <c r="CS219" s="9"/>
      <c r="CT219" s="9"/>
      <c r="CU219" s="9"/>
      <c r="CV219" s="9"/>
      <c r="CW219" s="9"/>
      <c r="CX219" s="9"/>
      <c r="CY219" s="9"/>
      <c r="CZ219" s="9"/>
      <c r="DA219" s="9"/>
      <c r="DB219" s="9"/>
      <c r="DC219" s="9"/>
      <c r="DD219" s="9"/>
      <c r="DE219" s="9"/>
      <c r="DF219" s="9"/>
      <c r="DG219" s="9"/>
      <c r="DH219" s="9"/>
      <c r="DI219" s="9"/>
      <c r="DJ219" s="9"/>
      <c r="DK219" s="9"/>
      <c r="DL219" s="9"/>
      <c r="DM219" s="9"/>
      <c r="DN219" s="9"/>
      <c r="DO219" s="9"/>
      <c r="DP219" s="9"/>
      <c r="DQ219" s="9"/>
      <c r="DR219" s="9"/>
      <c r="DS219" s="9"/>
      <c r="DT219" s="9"/>
      <c r="DU219" s="9"/>
      <c r="DV219" s="9"/>
      <c r="DW219" s="9"/>
      <c r="DX219" s="9"/>
      <c r="DY219" s="9"/>
      <c r="DZ219" s="9"/>
      <c r="EA219" s="9"/>
      <c r="EB219" s="9"/>
      <c r="EC219" s="9"/>
      <c r="ED219" s="9"/>
      <c r="EE219" s="9"/>
      <c r="EF219" s="9"/>
      <c r="EG219" s="9"/>
      <c r="EH219" s="9"/>
      <c r="EI219" s="9"/>
      <c r="EJ219" s="9"/>
      <c r="EK219" s="9"/>
      <c r="EL219" s="9"/>
      <c r="EM219" s="9"/>
      <c r="EN219" s="9"/>
      <c r="EO219" s="9"/>
      <c r="EP219" s="9"/>
      <c r="EQ219" s="9"/>
      <c r="ER219" s="9"/>
      <c r="ES219" s="9"/>
      <c r="ET219" s="9"/>
      <c r="EU219" s="9"/>
      <c r="EV219" s="9"/>
      <c r="EW219" s="9"/>
      <c r="EX219" s="9"/>
      <c r="EY219" s="9"/>
      <c r="EZ219" s="9"/>
      <c r="FA219" s="9"/>
      <c r="FB219" s="9"/>
      <c r="FC219" s="9"/>
      <c r="FD219" s="9"/>
      <c r="FE219" s="9"/>
      <c r="FF219" s="9"/>
      <c r="FG219" s="9"/>
      <c r="FH219" s="9"/>
      <c r="FI219" s="9"/>
      <c r="FJ219" s="9"/>
      <c r="FK219" s="9"/>
      <c r="FL219" s="9"/>
      <c r="FM219" s="9"/>
      <c r="FN219" s="9"/>
      <c r="FO219" s="9"/>
      <c r="FP219" s="9"/>
      <c r="FQ219" s="9"/>
      <c r="FR219" s="9"/>
      <c r="FS219" s="9"/>
      <c r="FT219" s="9"/>
      <c r="FU219" s="9"/>
      <c r="FV219" s="9"/>
      <c r="FW219" s="9"/>
      <c r="FX219" s="9"/>
      <c r="FY219" s="9"/>
      <c r="FZ219" s="9"/>
      <c r="GA219" s="9"/>
      <c r="GB219" s="9"/>
      <c r="GC219" s="9"/>
      <c r="GD219" s="9"/>
      <c r="GE219" s="9"/>
      <c r="GF219" s="9"/>
      <c r="GG219" s="9"/>
      <c r="GH219" s="9"/>
      <c r="GI219" s="9"/>
      <c r="GJ219" s="9"/>
      <c r="GK219" s="9"/>
      <c r="GL219" s="9"/>
      <c r="GM219" s="9"/>
      <c r="GN219" s="9"/>
      <c r="GO219" s="9"/>
      <c r="GP219" s="9"/>
      <c r="GQ219" s="9"/>
      <c r="GR219" s="9"/>
      <c r="GS219" s="9"/>
      <c r="GT219" s="9"/>
      <c r="GU219" s="9"/>
      <c r="GV219" s="9"/>
      <c r="GW219" s="9"/>
      <c r="GX219" s="9"/>
      <c r="GY219" s="9"/>
      <c r="GZ219" s="9"/>
      <c r="HA219" s="9"/>
      <c r="HB219" s="9"/>
      <c r="HC219" s="9"/>
      <c r="HD219" s="9"/>
      <c r="HE219" s="9"/>
      <c r="HF219" s="9"/>
      <c r="HG219" s="9"/>
      <c r="HH219" s="9"/>
      <c r="HI219" s="9"/>
      <c r="HJ219" s="9"/>
      <c r="HK219" s="9"/>
      <c r="HL219" s="9"/>
      <c r="HM219" s="9"/>
      <c r="HN219" s="9"/>
      <c r="HO219" s="9"/>
      <c r="HP219" s="9"/>
      <c r="HQ219" s="9"/>
      <c r="HR219" s="9"/>
      <c r="HS219" s="9"/>
      <c r="HT219" s="9"/>
      <c r="HU219" s="9"/>
      <c r="HV219" s="9"/>
      <c r="HW219" s="9"/>
      <c r="HX219" s="9"/>
      <c r="HY219" s="9"/>
      <c r="HZ219" s="9"/>
      <c r="IA219" s="9"/>
      <c r="IB219" s="9"/>
      <c r="IC219" s="9"/>
      <c r="ID219" s="9"/>
      <c r="IE219" s="9"/>
      <c r="IF219" s="9"/>
      <c r="IG219" s="9"/>
      <c r="IH219" s="9"/>
      <c r="II219" s="9"/>
      <c r="IJ219" s="9"/>
      <c r="IK219" s="9"/>
      <c r="IL219" s="9"/>
      <c r="IM219" s="9"/>
      <c r="IN219" s="9"/>
      <c r="IO219" s="9"/>
      <c r="IP219" s="9"/>
      <c r="IQ219" s="9"/>
      <c r="IR219" s="9"/>
      <c r="IS219" s="9"/>
      <c r="IT219" s="9"/>
      <c r="IU219" s="9"/>
      <c r="IV219" s="9"/>
      <c r="IW219" s="9"/>
      <c r="IX219" s="9"/>
      <c r="IY219" s="9"/>
      <c r="IZ219" s="9"/>
      <c r="JA219" s="9"/>
      <c r="JB219" s="9"/>
      <c r="JC219" s="9"/>
      <c r="JD219" s="9"/>
      <c r="JE219" s="9"/>
      <c r="JF219" s="9"/>
      <c r="JG219" s="9"/>
      <c r="JH219" s="9"/>
      <c r="JI219" s="9"/>
      <c r="JJ219" s="9"/>
      <c r="JK219" s="9"/>
      <c r="JL219" s="9"/>
      <c r="JM219" s="9"/>
      <c r="JN219" s="9"/>
      <c r="JO219" s="9"/>
      <c r="JP219" s="9"/>
      <c r="JQ219" s="9"/>
      <c r="JR219" s="9"/>
      <c r="JS219" s="9"/>
      <c r="JT219" s="9"/>
      <c r="JU219" s="9"/>
      <c r="JV219" s="9"/>
      <c r="JW219" s="9"/>
      <c r="JX219" s="9"/>
      <c r="JY219" s="9"/>
      <c r="JZ219" s="9"/>
      <c r="KA219" s="9"/>
      <c r="KB219" s="9"/>
      <c r="KC219" s="9"/>
      <c r="KD219" s="9"/>
      <c r="KE219" s="9"/>
      <c r="KF219" s="9"/>
      <c r="KG219" s="9"/>
      <c r="KH219" s="9"/>
      <c r="KI219" s="9"/>
      <c r="KJ219" s="9"/>
      <c r="KK219" s="9"/>
      <c r="KL219" s="9"/>
      <c r="KM219" s="9"/>
      <c r="KN219" s="9"/>
      <c r="KO219" s="9"/>
      <c r="KP219" s="9"/>
      <c r="KQ219" s="9"/>
      <c r="KR219" s="9"/>
      <c r="KS219" s="9"/>
      <c r="KT219" s="9"/>
      <c r="KU219" s="9"/>
      <c r="KV219" s="9"/>
      <c r="KW219" s="9"/>
      <c r="KX219" s="9"/>
      <c r="KY219" s="9"/>
      <c r="KZ219" s="9"/>
      <c r="LA219" s="9"/>
      <c r="LB219" s="9"/>
      <c r="LC219" s="9"/>
      <c r="LD219" s="9"/>
      <c r="LE219" s="9"/>
      <c r="LF219" s="9"/>
      <c r="LG219" s="9"/>
      <c r="LH219" s="9"/>
      <c r="LI219" s="9"/>
      <c r="LJ219" s="9"/>
      <c r="LK219" s="9"/>
      <c r="LL219" s="9"/>
      <c r="LM219" s="9"/>
      <c r="LN219" s="9"/>
      <c r="LO219" s="9"/>
      <c r="LP219" s="9"/>
      <c r="LQ219" s="9"/>
      <c r="LR219" s="9"/>
      <c r="LS219" s="9"/>
      <c r="LT219" s="9"/>
      <c r="LU219" s="9"/>
      <c r="LV219" s="9"/>
      <c r="LW219" s="9"/>
      <c r="LX219" s="9"/>
      <c r="LY219" s="9"/>
      <c r="LZ219" s="9"/>
      <c r="MA219" s="9"/>
      <c r="MB219" s="9"/>
      <c r="MC219" s="9"/>
      <c r="MD219" s="9"/>
      <c r="ME219" s="9"/>
      <c r="MF219" s="9"/>
      <c r="MG219" s="9"/>
      <c r="MH219" s="9"/>
      <c r="MI219" s="9"/>
      <c r="MJ219" s="9"/>
      <c r="MK219" s="9"/>
      <c r="ML219" s="9"/>
      <c r="MM219" s="9"/>
      <c r="MN219" s="9"/>
      <c r="MO219" s="9"/>
      <c r="MP219" s="9"/>
      <c r="MQ219" s="9"/>
      <c r="MR219" s="9"/>
      <c r="MS219" s="9"/>
      <c r="MT219" s="9"/>
      <c r="MU219" s="9"/>
      <c r="MV219" s="9"/>
      <c r="MW219" s="9"/>
      <c r="MX219" s="9"/>
      <c r="MY219" s="9"/>
      <c r="MZ219" s="9"/>
      <c r="NA219" s="9"/>
      <c r="NB219" s="9"/>
      <c r="NC219" s="9"/>
      <c r="ND219" s="9"/>
      <c r="NE219" s="9"/>
      <c r="NF219" s="9"/>
      <c r="NG219" s="9"/>
      <c r="NH219" s="9"/>
      <c r="NI219" s="9"/>
      <c r="NJ219" s="9"/>
      <c r="NK219" s="9"/>
      <c r="NL219" s="9"/>
      <c r="NM219" s="9"/>
      <c r="NN219" s="9"/>
      <c r="NO219" s="9"/>
      <c r="NP219" s="9"/>
      <c r="NQ219" s="9"/>
      <c r="NR219" s="9"/>
      <c r="NS219" s="9"/>
      <c r="NT219" s="9"/>
      <c r="NU219" s="9"/>
      <c r="NV219" s="9"/>
      <c r="NW219" s="9"/>
      <c r="NX219" s="9"/>
      <c r="NY219" s="9"/>
      <c r="NZ219" s="9"/>
      <c r="OA219" s="9"/>
      <c r="OB219" s="9"/>
      <c r="OC219" s="9"/>
      <c r="OD219" s="9"/>
      <c r="OE219" s="9"/>
      <c r="OF219" s="9"/>
      <c r="OG219" s="9"/>
      <c r="OH219" s="9"/>
      <c r="OI219" s="9"/>
      <c r="OJ219" s="9"/>
      <c r="OK219" s="9"/>
      <c r="OL219" s="9"/>
      <c r="OM219" s="9"/>
      <c r="ON219" s="9"/>
      <c r="OO219" s="9"/>
      <c r="OP219" s="9"/>
      <c r="OQ219" s="9"/>
      <c r="OR219" s="9"/>
      <c r="OS219" s="9"/>
      <c r="OT219" s="9"/>
      <c r="OU219" s="9"/>
      <c r="OV219" s="9"/>
      <c r="OW219" s="9"/>
      <c r="OX219" s="9"/>
      <c r="OY219" s="9"/>
      <c r="OZ219" s="9"/>
      <c r="PA219" s="9"/>
      <c r="PB219" s="9"/>
      <c r="PC219" s="9"/>
      <c r="PD219" s="9"/>
      <c r="PE219" s="9"/>
      <c r="PF219" s="9"/>
      <c r="PG219" s="9"/>
      <c r="PH219" s="9"/>
      <c r="PI219" s="9"/>
      <c r="PJ219" s="9"/>
      <c r="PK219" s="9"/>
      <c r="PL219" s="9"/>
      <c r="PM219" s="9"/>
      <c r="PN219" s="9"/>
      <c r="PO219" s="9"/>
      <c r="PP219" s="9"/>
      <c r="PQ219" s="9"/>
      <c r="PR219" s="9"/>
      <c r="PS219" s="9"/>
      <c r="PT219" s="9"/>
      <c r="PU219" s="9"/>
      <c r="PV219" s="9"/>
      <c r="PW219" s="9"/>
      <c r="PX219" s="9"/>
      <c r="PY219" s="9"/>
      <c r="PZ219" s="9"/>
      <c r="QA219" s="9"/>
      <c r="QB219" s="9"/>
      <c r="QC219" s="9"/>
      <c r="QD219" s="9"/>
      <c r="QE219" s="9"/>
      <c r="QF219" s="9"/>
      <c r="QG219" s="9"/>
      <c r="QH219" s="9"/>
      <c r="QI219" s="9"/>
      <c r="QJ219" s="9"/>
      <c r="QK219" s="9"/>
      <c r="QL219" s="9"/>
      <c r="QM219" s="9"/>
      <c r="QN219" s="9"/>
      <c r="QO219" s="9"/>
      <c r="QP219" s="9"/>
      <c r="QQ219" s="9"/>
      <c r="QR219" s="9"/>
      <c r="QS219" s="9"/>
      <c r="QT219" s="9"/>
      <c r="QU219" s="9"/>
      <c r="QV219" s="9"/>
      <c r="QW219" s="9"/>
      <c r="QX219" s="9"/>
      <c r="QY219" s="9"/>
      <c r="QZ219" s="9"/>
      <c r="RA219" s="9"/>
      <c r="RB219" s="9"/>
      <c r="RC219" s="9"/>
      <c r="RD219" s="9"/>
      <c r="RE219" s="9"/>
      <c r="RF219" s="9"/>
      <c r="RG219" s="9"/>
      <c r="RH219" s="9"/>
      <c r="RI219" s="9"/>
      <c r="RJ219" s="9"/>
      <c r="RK219" s="9"/>
      <c r="RL219" s="9"/>
      <c r="RM219" s="9"/>
      <c r="RN219" s="9"/>
      <c r="RO219" s="9"/>
      <c r="RP219" s="9"/>
      <c r="RQ219" s="9"/>
      <c r="RR219" s="9"/>
      <c r="RS219" s="9"/>
      <c r="RT219" s="9"/>
      <c r="RU219" s="9"/>
      <c r="RV219" s="9"/>
      <c r="RW219" s="9"/>
      <c r="RX219" s="9"/>
      <c r="RY219" s="9"/>
      <c r="RZ219" s="9"/>
      <c r="SA219" s="9"/>
      <c r="SB219" s="9"/>
      <c r="SC219" s="9"/>
      <c r="SD219" s="9"/>
      <c r="SE219" s="9"/>
      <c r="SF219" s="9"/>
      <c r="SG219" s="9"/>
      <c r="SH219" s="9"/>
      <c r="SI219" s="9"/>
      <c r="SJ219" s="9"/>
      <c r="SK219" s="8"/>
      <c r="SL219" s="8"/>
      <c r="SM219" s="8"/>
      <c r="SN219" s="8"/>
      <c r="SO219" s="8"/>
      <c r="SP219" s="8"/>
      <c r="SQ219" s="8"/>
      <c r="SR219" s="8"/>
      <c r="SS219" s="8"/>
      <c r="ST219" s="8"/>
      <c r="SU219" s="8"/>
      <c r="SV219" s="8"/>
      <c r="SW219" s="8"/>
      <c r="SX219" s="8"/>
      <c r="SY219" s="8"/>
      <c r="SZ219" s="8"/>
      <c r="TA219" s="8"/>
      <c r="TB219" s="8"/>
      <c r="TC219" s="8"/>
      <c r="TD219" s="8"/>
      <c r="TE219" s="8"/>
      <c r="TF219" s="8"/>
      <c r="TG219" s="8"/>
      <c r="TH219" s="8"/>
      <c r="TI219" s="8"/>
      <c r="TJ219" s="8"/>
      <c r="TK219" s="8"/>
      <c r="TL219" s="8"/>
      <c r="TM219" s="8"/>
      <c r="TN219" s="8"/>
      <c r="TO219" s="8"/>
    </row>
    <row r="220" spans="1:535" x14ac:dyDescent="0.2">
      <c r="A220" s="7"/>
      <c r="B220" s="7"/>
      <c r="C220" s="9"/>
      <c r="D220" s="8"/>
      <c r="E220" s="8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  <c r="BG220" s="9"/>
      <c r="BH220" s="9"/>
      <c r="BI220" s="9"/>
      <c r="BJ220" s="9"/>
      <c r="BK220" s="9"/>
      <c r="BL220" s="9"/>
      <c r="BM220" s="9"/>
      <c r="BN220" s="9"/>
      <c r="BO220" s="9"/>
      <c r="BP220" s="9"/>
      <c r="BQ220" s="9"/>
      <c r="BR220" s="9"/>
      <c r="BS220" s="9"/>
      <c r="BT220" s="9"/>
      <c r="BU220" s="9"/>
      <c r="BV220" s="9"/>
      <c r="BW220" s="9"/>
      <c r="BX220" s="9"/>
      <c r="BY220" s="9"/>
      <c r="BZ220" s="9"/>
      <c r="CA220" s="9"/>
      <c r="CB220" s="9"/>
      <c r="CC220" s="9"/>
      <c r="CD220" s="9"/>
      <c r="CE220" s="9"/>
      <c r="CF220" s="9"/>
      <c r="CG220" s="9"/>
      <c r="CH220" s="9"/>
      <c r="CI220" s="9"/>
      <c r="CJ220" s="9"/>
      <c r="CK220" s="9"/>
      <c r="CL220" s="9"/>
      <c r="CM220" s="9"/>
      <c r="CN220" s="9"/>
      <c r="CO220" s="9"/>
      <c r="CP220" s="9"/>
      <c r="CQ220" s="9"/>
      <c r="CR220" s="9"/>
      <c r="CS220" s="9"/>
      <c r="CT220" s="9"/>
      <c r="CU220" s="9"/>
      <c r="CV220" s="9"/>
      <c r="CW220" s="9"/>
      <c r="CX220" s="9"/>
      <c r="CY220" s="9"/>
      <c r="CZ220" s="9"/>
      <c r="DA220" s="9"/>
      <c r="DB220" s="9"/>
      <c r="DC220" s="9"/>
      <c r="DD220" s="9"/>
      <c r="DE220" s="9"/>
      <c r="DF220" s="9"/>
      <c r="DG220" s="9"/>
      <c r="DH220" s="9"/>
      <c r="DI220" s="9"/>
      <c r="DJ220" s="9"/>
      <c r="DK220" s="9"/>
      <c r="DL220" s="9"/>
      <c r="DM220" s="9"/>
      <c r="DN220" s="9"/>
      <c r="DO220" s="9"/>
      <c r="DP220" s="9"/>
      <c r="DQ220" s="9"/>
      <c r="DR220" s="9"/>
      <c r="DS220" s="9"/>
      <c r="DT220" s="9"/>
      <c r="DU220" s="9"/>
      <c r="DV220" s="9"/>
      <c r="DW220" s="9"/>
      <c r="DX220" s="9"/>
      <c r="DY220" s="9"/>
      <c r="DZ220" s="9"/>
      <c r="EA220" s="9"/>
      <c r="EB220" s="9"/>
      <c r="EC220" s="9"/>
      <c r="ED220" s="9"/>
      <c r="EE220" s="9"/>
      <c r="EF220" s="9"/>
      <c r="EG220" s="9"/>
      <c r="EH220" s="9"/>
      <c r="EI220" s="9"/>
      <c r="EJ220" s="9"/>
      <c r="EK220" s="9"/>
      <c r="EL220" s="9"/>
      <c r="EM220" s="9"/>
      <c r="EN220" s="9"/>
      <c r="EO220" s="9"/>
      <c r="EP220" s="9"/>
      <c r="EQ220" s="9"/>
      <c r="ER220" s="9"/>
      <c r="ES220" s="9"/>
      <c r="ET220" s="9"/>
      <c r="EU220" s="9"/>
      <c r="EV220" s="9"/>
      <c r="EW220" s="9"/>
      <c r="EX220" s="9"/>
      <c r="EY220" s="9"/>
      <c r="EZ220" s="9"/>
      <c r="FA220" s="9"/>
      <c r="FB220" s="9"/>
      <c r="FC220" s="9"/>
      <c r="FD220" s="9"/>
      <c r="FE220" s="9"/>
      <c r="FF220" s="9"/>
      <c r="FG220" s="9"/>
      <c r="FH220" s="9"/>
      <c r="FI220" s="9"/>
      <c r="FJ220" s="9"/>
      <c r="FK220" s="9"/>
      <c r="FL220" s="9"/>
      <c r="FM220" s="9"/>
      <c r="FN220" s="9"/>
      <c r="FO220" s="9"/>
      <c r="FP220" s="9"/>
      <c r="FQ220" s="9"/>
      <c r="FR220" s="9"/>
      <c r="FS220" s="9"/>
      <c r="FT220" s="9"/>
      <c r="FU220" s="9"/>
      <c r="FV220" s="9"/>
      <c r="FW220" s="9"/>
      <c r="FX220" s="9"/>
      <c r="FY220" s="9"/>
      <c r="FZ220" s="9"/>
      <c r="GA220" s="9"/>
      <c r="GB220" s="9"/>
      <c r="GC220" s="9"/>
      <c r="GD220" s="9"/>
      <c r="GE220" s="9"/>
      <c r="GF220" s="9"/>
      <c r="GG220" s="9"/>
      <c r="GH220" s="9"/>
      <c r="GI220" s="9"/>
      <c r="GJ220" s="9"/>
      <c r="GK220" s="9"/>
      <c r="GL220" s="9"/>
      <c r="GM220" s="9"/>
      <c r="GN220" s="9"/>
      <c r="GO220" s="9"/>
      <c r="GP220" s="9"/>
      <c r="GQ220" s="9"/>
      <c r="GR220" s="9"/>
      <c r="GS220" s="9"/>
      <c r="GT220" s="9"/>
      <c r="GU220" s="9"/>
      <c r="GV220" s="9"/>
      <c r="GW220" s="9"/>
      <c r="GX220" s="9"/>
      <c r="GY220" s="9"/>
      <c r="GZ220" s="9"/>
      <c r="HA220" s="9"/>
      <c r="HB220" s="9"/>
      <c r="HC220" s="9"/>
      <c r="HD220" s="9"/>
      <c r="HE220" s="9"/>
      <c r="HF220" s="9"/>
      <c r="HG220" s="9"/>
      <c r="HH220" s="9"/>
      <c r="HI220" s="9"/>
      <c r="HJ220" s="9"/>
      <c r="HK220" s="9"/>
      <c r="HL220" s="9"/>
      <c r="HM220" s="9"/>
      <c r="HN220" s="9"/>
      <c r="HO220" s="9"/>
      <c r="HP220" s="9"/>
      <c r="HQ220" s="9"/>
      <c r="HR220" s="9"/>
      <c r="HS220" s="9"/>
      <c r="HT220" s="9"/>
      <c r="HU220" s="9"/>
      <c r="HV220" s="9"/>
      <c r="HW220" s="9"/>
      <c r="HX220" s="9"/>
      <c r="HY220" s="9"/>
      <c r="HZ220" s="9"/>
      <c r="IA220" s="9"/>
      <c r="IB220" s="9"/>
      <c r="IC220" s="9"/>
      <c r="ID220" s="9"/>
      <c r="IE220" s="9"/>
      <c r="IF220" s="9"/>
      <c r="IG220" s="9"/>
      <c r="IH220" s="9"/>
      <c r="II220" s="9"/>
      <c r="IJ220" s="9"/>
      <c r="IK220" s="9"/>
      <c r="IL220" s="9"/>
      <c r="IM220" s="9"/>
      <c r="IN220" s="9"/>
      <c r="IO220" s="9"/>
      <c r="IP220" s="9"/>
      <c r="IQ220" s="9"/>
      <c r="IR220" s="9"/>
      <c r="IS220" s="9"/>
      <c r="IT220" s="9"/>
      <c r="IU220" s="9"/>
      <c r="IV220" s="9"/>
      <c r="IW220" s="9"/>
      <c r="IX220" s="9"/>
      <c r="IY220" s="9"/>
      <c r="IZ220" s="9"/>
      <c r="JA220" s="9"/>
      <c r="JB220" s="9"/>
      <c r="JC220" s="9"/>
      <c r="JD220" s="9"/>
      <c r="JE220" s="9"/>
      <c r="JF220" s="9"/>
      <c r="JG220" s="9"/>
      <c r="JH220" s="9"/>
      <c r="JI220" s="9"/>
      <c r="JJ220" s="9"/>
      <c r="JK220" s="9"/>
      <c r="JL220" s="9"/>
      <c r="JM220" s="9"/>
      <c r="JN220" s="9"/>
      <c r="JO220" s="9"/>
      <c r="JP220" s="9"/>
      <c r="JQ220" s="9"/>
      <c r="JR220" s="9"/>
      <c r="JS220" s="9"/>
      <c r="JT220" s="9"/>
      <c r="JU220" s="9"/>
      <c r="JV220" s="9"/>
      <c r="JW220" s="9"/>
      <c r="JX220" s="9"/>
      <c r="JY220" s="9"/>
      <c r="JZ220" s="9"/>
      <c r="KA220" s="9"/>
      <c r="KB220" s="9"/>
      <c r="KC220" s="9"/>
      <c r="KD220" s="9"/>
      <c r="KE220" s="9"/>
      <c r="KF220" s="9"/>
      <c r="KG220" s="9"/>
      <c r="KH220" s="9"/>
      <c r="KI220" s="9"/>
      <c r="KJ220" s="9"/>
      <c r="KK220" s="9"/>
      <c r="KL220" s="9"/>
      <c r="KM220" s="9"/>
      <c r="KN220" s="9"/>
      <c r="KO220" s="9"/>
      <c r="KP220" s="9"/>
      <c r="KQ220" s="9"/>
      <c r="KR220" s="9"/>
      <c r="KS220" s="9"/>
      <c r="KT220" s="9"/>
      <c r="KU220" s="9"/>
      <c r="KV220" s="9"/>
      <c r="KW220" s="9"/>
      <c r="KX220" s="9"/>
      <c r="KY220" s="9"/>
      <c r="KZ220" s="9"/>
      <c r="LA220" s="9"/>
      <c r="LB220" s="9"/>
      <c r="LC220" s="9"/>
      <c r="LD220" s="9"/>
      <c r="LE220" s="9"/>
      <c r="LF220" s="9"/>
      <c r="LG220" s="9"/>
      <c r="LH220" s="9"/>
      <c r="LI220" s="9"/>
      <c r="LJ220" s="9"/>
      <c r="LK220" s="9"/>
      <c r="LL220" s="9"/>
      <c r="LM220" s="9"/>
      <c r="LN220" s="9"/>
      <c r="LO220" s="9"/>
      <c r="LP220" s="9"/>
      <c r="LQ220" s="9"/>
      <c r="LR220" s="9"/>
      <c r="LS220" s="9"/>
      <c r="LT220" s="9"/>
      <c r="LU220" s="9"/>
      <c r="LV220" s="9"/>
      <c r="LW220" s="9"/>
      <c r="LX220" s="9"/>
      <c r="LY220" s="9"/>
      <c r="LZ220" s="9"/>
      <c r="MA220" s="9"/>
      <c r="MB220" s="9"/>
      <c r="MC220" s="9"/>
      <c r="MD220" s="9"/>
      <c r="ME220" s="9"/>
      <c r="MF220" s="9"/>
      <c r="MG220" s="9"/>
      <c r="MH220" s="9"/>
      <c r="MI220" s="9"/>
      <c r="MJ220" s="9"/>
      <c r="MK220" s="9"/>
      <c r="ML220" s="9"/>
      <c r="MM220" s="9"/>
      <c r="MN220" s="9"/>
      <c r="MO220" s="9"/>
      <c r="MP220" s="9"/>
      <c r="MQ220" s="9"/>
      <c r="MR220" s="9"/>
      <c r="MS220" s="9"/>
      <c r="MT220" s="9"/>
      <c r="MU220" s="9"/>
      <c r="MV220" s="9"/>
      <c r="MW220" s="9"/>
      <c r="MX220" s="9"/>
      <c r="MY220" s="9"/>
      <c r="MZ220" s="9"/>
      <c r="NA220" s="9"/>
      <c r="NB220" s="9"/>
      <c r="NC220" s="9"/>
      <c r="ND220" s="9"/>
      <c r="NE220" s="9"/>
      <c r="NF220" s="9"/>
      <c r="NG220" s="9"/>
      <c r="NH220" s="9"/>
      <c r="NI220" s="9"/>
      <c r="NJ220" s="9"/>
      <c r="NK220" s="9"/>
      <c r="NL220" s="9"/>
      <c r="NM220" s="9"/>
      <c r="NN220" s="9"/>
      <c r="NO220" s="9"/>
      <c r="NP220" s="9"/>
      <c r="NQ220" s="9"/>
      <c r="NR220" s="9"/>
      <c r="NS220" s="9"/>
      <c r="NT220" s="9"/>
      <c r="NU220" s="9"/>
      <c r="NV220" s="9"/>
      <c r="NW220" s="9"/>
      <c r="NX220" s="9"/>
      <c r="NY220" s="9"/>
      <c r="NZ220" s="9"/>
      <c r="OA220" s="9"/>
      <c r="OB220" s="9"/>
      <c r="OC220" s="9"/>
      <c r="OD220" s="9"/>
      <c r="OE220" s="9"/>
      <c r="OF220" s="9"/>
      <c r="OG220" s="9"/>
      <c r="OH220" s="9"/>
      <c r="OI220" s="9"/>
      <c r="OJ220" s="9"/>
      <c r="OK220" s="9"/>
      <c r="OL220" s="9"/>
      <c r="OM220" s="9"/>
      <c r="ON220" s="9"/>
      <c r="OO220" s="9"/>
      <c r="OP220" s="9"/>
      <c r="OQ220" s="9"/>
      <c r="OR220" s="9"/>
      <c r="OS220" s="9"/>
      <c r="OT220" s="9"/>
      <c r="OU220" s="9"/>
      <c r="OV220" s="9"/>
      <c r="OW220" s="9"/>
      <c r="OX220" s="9"/>
      <c r="OY220" s="9"/>
      <c r="OZ220" s="9"/>
      <c r="PA220" s="9"/>
      <c r="PB220" s="9"/>
      <c r="PC220" s="9"/>
      <c r="PD220" s="9"/>
      <c r="PE220" s="9"/>
      <c r="PF220" s="9"/>
      <c r="PG220" s="9"/>
      <c r="PH220" s="9"/>
      <c r="PI220" s="9"/>
      <c r="PJ220" s="9"/>
      <c r="PK220" s="9"/>
      <c r="PL220" s="9"/>
      <c r="PM220" s="9"/>
      <c r="PN220" s="9"/>
      <c r="PO220" s="9"/>
      <c r="PP220" s="9"/>
      <c r="PQ220" s="9"/>
      <c r="PR220" s="9"/>
      <c r="PS220" s="9"/>
      <c r="PT220" s="9"/>
      <c r="PU220" s="9"/>
      <c r="PV220" s="9"/>
      <c r="PW220" s="9"/>
      <c r="PX220" s="9"/>
      <c r="PY220" s="9"/>
      <c r="PZ220" s="9"/>
      <c r="QA220" s="9"/>
      <c r="QB220" s="9"/>
      <c r="QC220" s="9"/>
      <c r="QD220" s="9"/>
      <c r="QE220" s="9"/>
      <c r="QF220" s="9"/>
      <c r="QG220" s="9"/>
      <c r="QH220" s="9"/>
      <c r="QI220" s="9"/>
      <c r="QJ220" s="9"/>
      <c r="QK220" s="9"/>
      <c r="QL220" s="9"/>
      <c r="QM220" s="9"/>
      <c r="QN220" s="9"/>
      <c r="QO220" s="9"/>
      <c r="QP220" s="9"/>
      <c r="QQ220" s="9"/>
      <c r="QR220" s="9"/>
      <c r="QS220" s="9"/>
      <c r="QT220" s="9"/>
      <c r="QU220" s="9"/>
      <c r="QV220" s="9"/>
      <c r="QW220" s="9"/>
      <c r="QX220" s="9"/>
      <c r="QY220" s="9"/>
      <c r="QZ220" s="9"/>
      <c r="RA220" s="9"/>
      <c r="RB220" s="9"/>
      <c r="RC220" s="9"/>
      <c r="RD220" s="9"/>
      <c r="RE220" s="9"/>
      <c r="RF220" s="9"/>
      <c r="RG220" s="9"/>
      <c r="RH220" s="9"/>
      <c r="RI220" s="9"/>
      <c r="RJ220" s="9"/>
      <c r="RK220" s="9"/>
      <c r="RL220" s="9"/>
      <c r="RM220" s="9"/>
      <c r="RN220" s="9"/>
      <c r="RO220" s="9"/>
      <c r="RP220" s="9"/>
      <c r="RQ220" s="9"/>
      <c r="RR220" s="9"/>
      <c r="RS220" s="9"/>
      <c r="RT220" s="9"/>
      <c r="RU220" s="9"/>
      <c r="RV220" s="9"/>
      <c r="RW220" s="9"/>
      <c r="RX220" s="9"/>
      <c r="RY220" s="9"/>
      <c r="RZ220" s="9"/>
      <c r="SA220" s="9"/>
      <c r="SB220" s="9"/>
      <c r="SC220" s="9"/>
      <c r="SD220" s="9"/>
      <c r="SE220" s="9"/>
      <c r="SF220" s="9"/>
      <c r="SG220" s="9"/>
      <c r="SH220" s="9"/>
      <c r="SI220" s="9"/>
      <c r="SJ220" s="9"/>
      <c r="SK220" s="8"/>
      <c r="SL220" s="8"/>
      <c r="SM220" s="8"/>
      <c r="SN220" s="8"/>
      <c r="SO220" s="8"/>
      <c r="SP220" s="8"/>
      <c r="SQ220" s="8"/>
      <c r="SR220" s="8"/>
      <c r="SS220" s="8"/>
      <c r="ST220" s="8"/>
      <c r="SU220" s="8"/>
      <c r="SV220" s="8"/>
      <c r="SW220" s="8"/>
      <c r="SX220" s="8"/>
      <c r="SY220" s="8"/>
      <c r="SZ220" s="8"/>
      <c r="TA220" s="8"/>
      <c r="TB220" s="8"/>
      <c r="TC220" s="8"/>
      <c r="TD220" s="8"/>
      <c r="TE220" s="8"/>
      <c r="TF220" s="8"/>
      <c r="TG220" s="8"/>
      <c r="TH220" s="8"/>
      <c r="TI220" s="8"/>
      <c r="TJ220" s="8"/>
      <c r="TK220" s="8"/>
      <c r="TL220" s="8"/>
      <c r="TM220" s="8"/>
      <c r="TN220" s="8"/>
      <c r="TO220" s="8"/>
    </row>
    <row r="221" spans="1:535" x14ac:dyDescent="0.2">
      <c r="A221" s="7"/>
      <c r="B221" s="7"/>
      <c r="C221" s="9"/>
      <c r="D221" s="8"/>
      <c r="E221" s="8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  <c r="BZ221" s="9"/>
      <c r="CA221" s="9"/>
      <c r="CB221" s="9"/>
      <c r="CC221" s="9"/>
      <c r="CD221" s="9"/>
      <c r="CE221" s="9"/>
      <c r="CF221" s="9"/>
      <c r="CG221" s="9"/>
      <c r="CH221" s="9"/>
      <c r="CI221" s="9"/>
      <c r="CJ221" s="9"/>
      <c r="CK221" s="9"/>
      <c r="CL221" s="9"/>
      <c r="CM221" s="9"/>
      <c r="CN221" s="9"/>
      <c r="CO221" s="9"/>
      <c r="CP221" s="9"/>
      <c r="CQ221" s="9"/>
      <c r="CR221" s="9"/>
      <c r="CS221" s="9"/>
      <c r="CT221" s="9"/>
      <c r="CU221" s="9"/>
      <c r="CV221" s="9"/>
      <c r="CW221" s="9"/>
      <c r="CX221" s="9"/>
      <c r="CY221" s="9"/>
      <c r="CZ221" s="9"/>
      <c r="DA221" s="9"/>
      <c r="DB221" s="9"/>
      <c r="DC221" s="9"/>
      <c r="DD221" s="9"/>
      <c r="DE221" s="9"/>
      <c r="DF221" s="9"/>
      <c r="DG221" s="9"/>
      <c r="DH221" s="9"/>
      <c r="DI221" s="9"/>
      <c r="DJ221" s="9"/>
      <c r="DK221" s="9"/>
      <c r="DL221" s="9"/>
      <c r="DM221" s="9"/>
      <c r="DN221" s="9"/>
      <c r="DO221" s="9"/>
      <c r="DP221" s="9"/>
      <c r="DQ221" s="9"/>
      <c r="DR221" s="9"/>
      <c r="DS221" s="9"/>
      <c r="DT221" s="9"/>
      <c r="DU221" s="9"/>
      <c r="DV221" s="9"/>
      <c r="DW221" s="9"/>
      <c r="DX221" s="9"/>
      <c r="DY221" s="9"/>
      <c r="DZ221" s="9"/>
      <c r="EA221" s="9"/>
      <c r="EB221" s="9"/>
      <c r="EC221" s="9"/>
      <c r="ED221" s="9"/>
      <c r="EE221" s="9"/>
      <c r="EF221" s="9"/>
      <c r="EG221" s="9"/>
      <c r="EH221" s="9"/>
      <c r="EI221" s="9"/>
      <c r="EJ221" s="9"/>
      <c r="EK221" s="9"/>
      <c r="EL221" s="9"/>
      <c r="EM221" s="9"/>
      <c r="EN221" s="9"/>
      <c r="EO221" s="9"/>
      <c r="EP221" s="9"/>
      <c r="EQ221" s="9"/>
      <c r="ER221" s="9"/>
      <c r="ES221" s="9"/>
      <c r="ET221" s="9"/>
      <c r="EU221" s="9"/>
      <c r="EV221" s="9"/>
      <c r="EW221" s="9"/>
      <c r="EX221" s="9"/>
      <c r="EY221" s="9"/>
      <c r="EZ221" s="9"/>
      <c r="FA221" s="9"/>
      <c r="FB221" s="9"/>
      <c r="FC221" s="9"/>
      <c r="FD221" s="9"/>
      <c r="FE221" s="9"/>
      <c r="FF221" s="9"/>
      <c r="FG221" s="9"/>
      <c r="FH221" s="9"/>
      <c r="FI221" s="9"/>
      <c r="FJ221" s="9"/>
      <c r="FK221" s="9"/>
      <c r="FL221" s="9"/>
      <c r="FM221" s="9"/>
      <c r="FN221" s="9"/>
      <c r="FO221" s="9"/>
      <c r="FP221" s="9"/>
      <c r="FQ221" s="9"/>
      <c r="FR221" s="9"/>
      <c r="FS221" s="9"/>
      <c r="FT221" s="9"/>
      <c r="FU221" s="9"/>
      <c r="FV221" s="9"/>
      <c r="FW221" s="9"/>
      <c r="FX221" s="9"/>
      <c r="FY221" s="9"/>
      <c r="FZ221" s="9"/>
      <c r="GA221" s="9"/>
      <c r="GB221" s="9"/>
      <c r="GC221" s="9"/>
      <c r="GD221" s="9"/>
      <c r="GE221" s="9"/>
      <c r="GF221" s="9"/>
      <c r="GG221" s="9"/>
      <c r="GH221" s="9"/>
      <c r="GI221" s="9"/>
      <c r="GJ221" s="9"/>
      <c r="GK221" s="9"/>
      <c r="GL221" s="9"/>
      <c r="GM221" s="9"/>
      <c r="GN221" s="9"/>
      <c r="GO221" s="9"/>
      <c r="GP221" s="9"/>
      <c r="GQ221" s="9"/>
      <c r="GR221" s="9"/>
      <c r="GS221" s="9"/>
      <c r="GT221" s="9"/>
      <c r="GU221" s="9"/>
      <c r="GV221" s="9"/>
      <c r="GW221" s="9"/>
      <c r="GX221" s="9"/>
      <c r="GY221" s="9"/>
      <c r="GZ221" s="9"/>
      <c r="HA221" s="9"/>
      <c r="HB221" s="9"/>
      <c r="HC221" s="9"/>
      <c r="HD221" s="9"/>
      <c r="HE221" s="9"/>
      <c r="HF221" s="9"/>
      <c r="HG221" s="9"/>
      <c r="HH221" s="9"/>
      <c r="HI221" s="9"/>
      <c r="HJ221" s="9"/>
      <c r="HK221" s="9"/>
      <c r="HL221" s="9"/>
      <c r="HM221" s="9"/>
      <c r="HN221" s="9"/>
      <c r="HO221" s="9"/>
      <c r="HP221" s="9"/>
      <c r="HQ221" s="9"/>
      <c r="HR221" s="9"/>
      <c r="HS221" s="9"/>
      <c r="HT221" s="9"/>
      <c r="HU221" s="9"/>
      <c r="HV221" s="9"/>
      <c r="HW221" s="9"/>
      <c r="HX221" s="9"/>
      <c r="HY221" s="9"/>
      <c r="HZ221" s="9"/>
      <c r="IA221" s="9"/>
      <c r="IB221" s="9"/>
      <c r="IC221" s="9"/>
      <c r="ID221" s="9"/>
      <c r="IE221" s="9"/>
      <c r="IF221" s="9"/>
      <c r="IG221" s="9"/>
      <c r="IH221" s="9"/>
      <c r="II221" s="9"/>
      <c r="IJ221" s="9"/>
      <c r="IK221" s="9"/>
      <c r="IL221" s="9"/>
      <c r="IM221" s="9"/>
      <c r="IN221" s="9"/>
      <c r="IO221" s="9"/>
      <c r="IP221" s="9"/>
      <c r="IQ221" s="9"/>
      <c r="IR221" s="9"/>
      <c r="IS221" s="9"/>
      <c r="IT221" s="9"/>
      <c r="IU221" s="9"/>
      <c r="IV221" s="9"/>
      <c r="IW221" s="9"/>
      <c r="IX221" s="9"/>
      <c r="IY221" s="9"/>
      <c r="IZ221" s="9"/>
      <c r="JA221" s="9"/>
      <c r="JB221" s="9"/>
      <c r="JC221" s="9"/>
      <c r="JD221" s="9"/>
      <c r="JE221" s="9"/>
      <c r="JF221" s="9"/>
      <c r="JG221" s="9"/>
      <c r="JH221" s="9"/>
      <c r="JI221" s="9"/>
      <c r="JJ221" s="9"/>
      <c r="JK221" s="9"/>
      <c r="JL221" s="9"/>
      <c r="JM221" s="9"/>
      <c r="JN221" s="9"/>
      <c r="JO221" s="9"/>
      <c r="JP221" s="9"/>
      <c r="JQ221" s="9"/>
      <c r="JR221" s="9"/>
      <c r="JS221" s="9"/>
      <c r="JT221" s="9"/>
      <c r="JU221" s="9"/>
      <c r="JV221" s="9"/>
      <c r="JW221" s="9"/>
      <c r="JX221" s="9"/>
      <c r="JY221" s="9"/>
      <c r="JZ221" s="9"/>
      <c r="KA221" s="9"/>
      <c r="KB221" s="9"/>
      <c r="KC221" s="9"/>
      <c r="KD221" s="9"/>
      <c r="KE221" s="9"/>
      <c r="KF221" s="9"/>
      <c r="KG221" s="9"/>
      <c r="KH221" s="9"/>
      <c r="KI221" s="9"/>
      <c r="KJ221" s="9"/>
      <c r="KK221" s="9"/>
      <c r="KL221" s="9"/>
      <c r="KM221" s="9"/>
      <c r="KN221" s="9"/>
      <c r="KO221" s="9"/>
      <c r="KP221" s="9"/>
      <c r="KQ221" s="9"/>
      <c r="KR221" s="9"/>
      <c r="KS221" s="9"/>
      <c r="KT221" s="9"/>
      <c r="KU221" s="9"/>
      <c r="KV221" s="9"/>
      <c r="KW221" s="9"/>
      <c r="KX221" s="9"/>
      <c r="KY221" s="9"/>
      <c r="KZ221" s="9"/>
      <c r="LA221" s="9"/>
      <c r="LB221" s="9"/>
      <c r="LC221" s="9"/>
      <c r="LD221" s="9"/>
      <c r="LE221" s="9"/>
      <c r="LF221" s="9"/>
      <c r="LG221" s="9"/>
      <c r="LH221" s="9"/>
      <c r="LI221" s="9"/>
      <c r="LJ221" s="9"/>
      <c r="LK221" s="9"/>
      <c r="LL221" s="9"/>
      <c r="LM221" s="9"/>
      <c r="LN221" s="9"/>
      <c r="LO221" s="9"/>
      <c r="LP221" s="9"/>
      <c r="LQ221" s="9"/>
      <c r="LR221" s="9"/>
      <c r="LS221" s="9"/>
      <c r="LT221" s="9"/>
      <c r="LU221" s="9"/>
      <c r="LV221" s="9"/>
      <c r="LW221" s="9"/>
      <c r="LX221" s="9"/>
      <c r="LY221" s="9"/>
      <c r="LZ221" s="9"/>
      <c r="MA221" s="9"/>
      <c r="MB221" s="9"/>
      <c r="MC221" s="9"/>
      <c r="MD221" s="9"/>
      <c r="ME221" s="9"/>
      <c r="MF221" s="9"/>
      <c r="MG221" s="9"/>
      <c r="MH221" s="9"/>
      <c r="MI221" s="9"/>
      <c r="MJ221" s="9"/>
      <c r="MK221" s="9"/>
      <c r="ML221" s="9"/>
      <c r="MM221" s="9"/>
      <c r="MN221" s="9"/>
      <c r="MO221" s="9"/>
      <c r="MP221" s="9"/>
      <c r="MQ221" s="9"/>
      <c r="MR221" s="9"/>
      <c r="MS221" s="9"/>
      <c r="MT221" s="9"/>
      <c r="MU221" s="9"/>
      <c r="MV221" s="9"/>
      <c r="MW221" s="9"/>
      <c r="MX221" s="9"/>
      <c r="MY221" s="9"/>
      <c r="MZ221" s="9"/>
      <c r="NA221" s="9"/>
      <c r="NB221" s="9"/>
      <c r="NC221" s="9"/>
      <c r="ND221" s="9"/>
      <c r="NE221" s="9"/>
      <c r="NF221" s="9"/>
      <c r="NG221" s="9"/>
      <c r="NH221" s="9"/>
      <c r="NI221" s="9"/>
      <c r="NJ221" s="9"/>
      <c r="NK221" s="9"/>
      <c r="NL221" s="9"/>
      <c r="NM221" s="9"/>
      <c r="NN221" s="9"/>
      <c r="NO221" s="9"/>
      <c r="NP221" s="9"/>
      <c r="NQ221" s="9"/>
      <c r="NR221" s="9"/>
      <c r="NS221" s="9"/>
      <c r="NT221" s="9"/>
      <c r="NU221" s="9"/>
      <c r="NV221" s="9"/>
      <c r="NW221" s="9"/>
      <c r="NX221" s="9"/>
      <c r="NY221" s="9"/>
      <c r="NZ221" s="9"/>
      <c r="OA221" s="9"/>
      <c r="OB221" s="9"/>
      <c r="OC221" s="9"/>
      <c r="OD221" s="9"/>
      <c r="OE221" s="9"/>
      <c r="OF221" s="9"/>
      <c r="OG221" s="9"/>
      <c r="OH221" s="9"/>
      <c r="OI221" s="9"/>
      <c r="OJ221" s="9"/>
      <c r="OK221" s="9"/>
      <c r="OL221" s="9"/>
      <c r="OM221" s="9"/>
      <c r="ON221" s="9"/>
      <c r="OO221" s="9"/>
      <c r="OP221" s="9"/>
      <c r="OQ221" s="9"/>
      <c r="OR221" s="9"/>
      <c r="OS221" s="9"/>
      <c r="OT221" s="9"/>
      <c r="OU221" s="9"/>
      <c r="OV221" s="9"/>
      <c r="OW221" s="9"/>
      <c r="OX221" s="9"/>
      <c r="OY221" s="9"/>
      <c r="OZ221" s="9"/>
      <c r="PA221" s="9"/>
      <c r="PB221" s="9"/>
      <c r="PC221" s="9"/>
      <c r="PD221" s="9"/>
      <c r="PE221" s="9"/>
      <c r="PF221" s="9"/>
      <c r="PG221" s="9"/>
      <c r="PH221" s="9"/>
      <c r="PI221" s="9"/>
      <c r="PJ221" s="9"/>
      <c r="PK221" s="9"/>
      <c r="PL221" s="9"/>
      <c r="PM221" s="9"/>
      <c r="PN221" s="9"/>
      <c r="PO221" s="9"/>
      <c r="PP221" s="9"/>
      <c r="PQ221" s="9"/>
      <c r="PR221" s="9"/>
      <c r="PS221" s="9"/>
      <c r="PT221" s="9"/>
      <c r="PU221" s="9"/>
      <c r="PV221" s="9"/>
      <c r="PW221" s="9"/>
      <c r="PX221" s="9"/>
      <c r="PY221" s="9"/>
      <c r="PZ221" s="9"/>
      <c r="QA221" s="9"/>
      <c r="QB221" s="9"/>
      <c r="QC221" s="9"/>
      <c r="QD221" s="9"/>
      <c r="QE221" s="9"/>
      <c r="QF221" s="9"/>
      <c r="QG221" s="9"/>
      <c r="QH221" s="9"/>
      <c r="QI221" s="9"/>
      <c r="QJ221" s="9"/>
      <c r="QK221" s="9"/>
      <c r="QL221" s="9"/>
      <c r="QM221" s="9"/>
      <c r="QN221" s="9"/>
      <c r="QO221" s="9"/>
      <c r="QP221" s="9"/>
      <c r="QQ221" s="9"/>
      <c r="QR221" s="9"/>
      <c r="QS221" s="9"/>
      <c r="QT221" s="9"/>
      <c r="QU221" s="9"/>
      <c r="QV221" s="9"/>
      <c r="QW221" s="9"/>
      <c r="QX221" s="9"/>
      <c r="QY221" s="9"/>
      <c r="QZ221" s="9"/>
      <c r="RA221" s="9"/>
      <c r="RB221" s="9"/>
      <c r="RC221" s="9"/>
      <c r="RD221" s="9"/>
      <c r="RE221" s="9"/>
      <c r="RF221" s="9"/>
      <c r="RG221" s="9"/>
      <c r="RH221" s="9"/>
      <c r="RI221" s="9"/>
      <c r="RJ221" s="9"/>
      <c r="RK221" s="9"/>
      <c r="RL221" s="9"/>
      <c r="RM221" s="9"/>
      <c r="RN221" s="9"/>
      <c r="RO221" s="9"/>
      <c r="RP221" s="9"/>
      <c r="RQ221" s="9"/>
      <c r="RR221" s="9"/>
      <c r="RS221" s="9"/>
      <c r="RT221" s="9"/>
      <c r="RU221" s="9"/>
      <c r="RV221" s="9"/>
      <c r="RW221" s="9"/>
      <c r="RX221" s="9"/>
      <c r="RY221" s="9"/>
      <c r="RZ221" s="9"/>
      <c r="SA221" s="9"/>
      <c r="SB221" s="9"/>
      <c r="SC221" s="9"/>
      <c r="SD221" s="9"/>
      <c r="SE221" s="9"/>
      <c r="SF221" s="9"/>
      <c r="SG221" s="9"/>
      <c r="SH221" s="9"/>
      <c r="SI221" s="9"/>
      <c r="SJ221" s="9"/>
      <c r="SK221" s="8"/>
      <c r="SL221" s="8"/>
      <c r="SM221" s="8"/>
      <c r="SN221" s="8"/>
      <c r="SO221" s="8"/>
      <c r="SP221" s="8"/>
      <c r="SQ221" s="8"/>
      <c r="SR221" s="8"/>
      <c r="SS221" s="8"/>
      <c r="ST221" s="8"/>
      <c r="SU221" s="8"/>
      <c r="SV221" s="8"/>
      <c r="SW221" s="8"/>
      <c r="SX221" s="8"/>
      <c r="SY221" s="8"/>
      <c r="SZ221" s="8"/>
      <c r="TA221" s="8"/>
      <c r="TB221" s="8"/>
      <c r="TC221" s="8"/>
      <c r="TD221" s="8"/>
      <c r="TE221" s="8"/>
      <c r="TF221" s="8"/>
      <c r="TG221" s="8"/>
      <c r="TH221" s="8"/>
      <c r="TI221" s="8"/>
      <c r="TJ221" s="8"/>
      <c r="TK221" s="8"/>
      <c r="TL221" s="8"/>
      <c r="TM221" s="8"/>
      <c r="TN221" s="8"/>
      <c r="TO221" s="8"/>
    </row>
    <row r="222" spans="1:535" x14ac:dyDescent="0.2">
      <c r="A222" s="7"/>
      <c r="B222" s="7"/>
      <c r="C222" s="9"/>
      <c r="D222" s="8"/>
      <c r="E222" s="8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/>
      <c r="BO222" s="9"/>
      <c r="BP222" s="9"/>
      <c r="BQ222" s="9"/>
      <c r="BR222" s="9"/>
      <c r="BS222" s="9"/>
      <c r="BT222" s="9"/>
      <c r="BU222" s="9"/>
      <c r="BV222" s="9"/>
      <c r="BW222" s="9"/>
      <c r="BX222" s="9"/>
      <c r="BY222" s="9"/>
      <c r="BZ222" s="9"/>
      <c r="CA222" s="9"/>
      <c r="CB222" s="9"/>
      <c r="CC222" s="9"/>
      <c r="CD222" s="9"/>
      <c r="CE222" s="9"/>
      <c r="CF222" s="9"/>
      <c r="CG222" s="9"/>
      <c r="CH222" s="9"/>
      <c r="CI222" s="9"/>
      <c r="CJ222" s="9"/>
      <c r="CK222" s="9"/>
      <c r="CL222" s="9"/>
      <c r="CM222" s="9"/>
      <c r="CN222" s="9"/>
      <c r="CO222" s="9"/>
      <c r="CP222" s="9"/>
      <c r="CQ222" s="9"/>
      <c r="CR222" s="9"/>
      <c r="CS222" s="9"/>
      <c r="CT222" s="9"/>
      <c r="CU222" s="9"/>
      <c r="CV222" s="9"/>
      <c r="CW222" s="9"/>
      <c r="CX222" s="9"/>
      <c r="CY222" s="9"/>
      <c r="CZ222" s="9"/>
      <c r="DA222" s="9"/>
      <c r="DB222" s="9"/>
      <c r="DC222" s="9"/>
      <c r="DD222" s="9"/>
      <c r="DE222" s="9"/>
      <c r="DF222" s="9"/>
      <c r="DG222" s="9"/>
      <c r="DH222" s="9"/>
      <c r="DI222" s="9"/>
      <c r="DJ222" s="9"/>
      <c r="DK222" s="9"/>
      <c r="DL222" s="9"/>
      <c r="DM222" s="9"/>
      <c r="DN222" s="9"/>
      <c r="DO222" s="9"/>
      <c r="DP222" s="9"/>
      <c r="DQ222" s="9"/>
      <c r="DR222" s="9"/>
      <c r="DS222" s="9"/>
      <c r="DT222" s="9"/>
      <c r="DU222" s="9"/>
      <c r="DV222" s="9"/>
      <c r="DW222" s="9"/>
      <c r="DX222" s="9"/>
      <c r="DY222" s="9"/>
      <c r="DZ222" s="9"/>
      <c r="EA222" s="9"/>
      <c r="EB222" s="9"/>
      <c r="EC222" s="9"/>
      <c r="ED222" s="9"/>
      <c r="EE222" s="9"/>
      <c r="EF222" s="9"/>
      <c r="EG222" s="9"/>
      <c r="EH222" s="9"/>
      <c r="EI222" s="9"/>
      <c r="EJ222" s="9"/>
      <c r="EK222" s="9"/>
      <c r="EL222" s="9"/>
      <c r="EM222" s="9"/>
      <c r="EN222" s="9"/>
      <c r="EO222" s="9"/>
      <c r="EP222" s="9"/>
      <c r="EQ222" s="9"/>
      <c r="ER222" s="9"/>
      <c r="ES222" s="9"/>
      <c r="ET222" s="9"/>
      <c r="EU222" s="9"/>
      <c r="EV222" s="9"/>
      <c r="EW222" s="9"/>
      <c r="EX222" s="9"/>
      <c r="EY222" s="9"/>
      <c r="EZ222" s="9"/>
      <c r="FA222" s="9"/>
      <c r="FB222" s="9"/>
      <c r="FC222" s="9"/>
      <c r="FD222" s="9"/>
      <c r="FE222" s="9"/>
      <c r="FF222" s="9"/>
      <c r="FG222" s="9"/>
      <c r="FH222" s="9"/>
      <c r="FI222" s="9"/>
      <c r="FJ222" s="9"/>
      <c r="FK222" s="9"/>
      <c r="FL222" s="9"/>
      <c r="FM222" s="9"/>
      <c r="FN222" s="9"/>
      <c r="FO222" s="9"/>
      <c r="FP222" s="9"/>
      <c r="FQ222" s="9"/>
      <c r="FR222" s="9"/>
      <c r="FS222" s="9"/>
      <c r="FT222" s="9"/>
      <c r="FU222" s="9"/>
      <c r="FV222" s="9"/>
      <c r="FW222" s="9"/>
      <c r="FX222" s="9"/>
      <c r="FY222" s="9"/>
      <c r="FZ222" s="9"/>
      <c r="GA222" s="9"/>
      <c r="GB222" s="9"/>
      <c r="GC222" s="9"/>
      <c r="GD222" s="9"/>
      <c r="GE222" s="9"/>
      <c r="GF222" s="9"/>
      <c r="GG222" s="9"/>
      <c r="GH222" s="9"/>
      <c r="GI222" s="9"/>
      <c r="GJ222" s="9"/>
      <c r="GK222" s="9"/>
      <c r="GL222" s="9"/>
      <c r="GM222" s="9"/>
      <c r="GN222" s="9"/>
      <c r="GO222" s="9"/>
      <c r="GP222" s="9"/>
      <c r="GQ222" s="9"/>
      <c r="GR222" s="9"/>
      <c r="GS222" s="9"/>
      <c r="GT222" s="9"/>
      <c r="GU222" s="9"/>
      <c r="GV222" s="9"/>
      <c r="GW222" s="9"/>
      <c r="GX222" s="9"/>
      <c r="GY222" s="9"/>
      <c r="GZ222" s="9"/>
      <c r="HA222" s="9"/>
      <c r="HB222" s="9"/>
      <c r="HC222" s="9"/>
      <c r="HD222" s="9"/>
      <c r="HE222" s="9"/>
      <c r="HF222" s="9"/>
      <c r="HG222" s="9"/>
      <c r="HH222" s="9"/>
      <c r="HI222" s="9"/>
      <c r="HJ222" s="9"/>
      <c r="HK222" s="9"/>
      <c r="HL222" s="9"/>
      <c r="HM222" s="9"/>
      <c r="HN222" s="9"/>
      <c r="HO222" s="9"/>
      <c r="HP222" s="9"/>
      <c r="HQ222" s="9"/>
      <c r="HR222" s="9"/>
      <c r="HS222" s="9"/>
      <c r="HT222" s="9"/>
      <c r="HU222" s="9"/>
      <c r="HV222" s="9"/>
      <c r="HW222" s="9"/>
      <c r="HX222" s="9"/>
      <c r="HY222" s="9"/>
      <c r="HZ222" s="9"/>
      <c r="IA222" s="9"/>
      <c r="IB222" s="9"/>
      <c r="IC222" s="9"/>
      <c r="ID222" s="9"/>
      <c r="IE222" s="9"/>
      <c r="IF222" s="9"/>
      <c r="IG222" s="9"/>
      <c r="IH222" s="9"/>
      <c r="II222" s="9"/>
      <c r="IJ222" s="9"/>
      <c r="IK222" s="9"/>
      <c r="IL222" s="9"/>
      <c r="IM222" s="9"/>
      <c r="IN222" s="9"/>
      <c r="IO222" s="9"/>
      <c r="IP222" s="9"/>
      <c r="IQ222" s="9"/>
      <c r="IR222" s="9"/>
      <c r="IS222" s="9"/>
      <c r="IT222" s="9"/>
      <c r="IU222" s="9"/>
      <c r="IV222" s="9"/>
      <c r="IW222" s="9"/>
      <c r="IX222" s="9"/>
      <c r="IY222" s="9"/>
      <c r="IZ222" s="9"/>
      <c r="JA222" s="9"/>
      <c r="JB222" s="9"/>
      <c r="JC222" s="9"/>
      <c r="JD222" s="9"/>
      <c r="JE222" s="9"/>
      <c r="JF222" s="9"/>
      <c r="JG222" s="9"/>
      <c r="JH222" s="9"/>
      <c r="JI222" s="9"/>
      <c r="JJ222" s="9"/>
      <c r="JK222" s="9"/>
      <c r="JL222" s="9"/>
      <c r="JM222" s="9"/>
      <c r="JN222" s="9"/>
      <c r="JO222" s="9"/>
      <c r="JP222" s="9"/>
      <c r="JQ222" s="9"/>
      <c r="JR222" s="9"/>
      <c r="JS222" s="9"/>
      <c r="JT222" s="9"/>
      <c r="JU222" s="9"/>
      <c r="JV222" s="9"/>
      <c r="JW222" s="9"/>
      <c r="JX222" s="9"/>
      <c r="JY222" s="9"/>
      <c r="JZ222" s="9"/>
      <c r="KA222" s="9"/>
      <c r="KB222" s="9"/>
      <c r="KC222" s="9"/>
      <c r="KD222" s="9"/>
      <c r="KE222" s="9"/>
      <c r="KF222" s="9"/>
      <c r="KG222" s="9"/>
      <c r="KH222" s="9"/>
      <c r="KI222" s="9"/>
      <c r="KJ222" s="9"/>
      <c r="KK222" s="9"/>
      <c r="KL222" s="9"/>
      <c r="KM222" s="9"/>
      <c r="KN222" s="9"/>
      <c r="KO222" s="9"/>
      <c r="KP222" s="9"/>
      <c r="KQ222" s="9"/>
      <c r="KR222" s="9"/>
      <c r="KS222" s="9"/>
      <c r="KT222" s="9"/>
      <c r="KU222" s="9"/>
      <c r="KV222" s="9"/>
      <c r="KW222" s="9"/>
      <c r="KX222" s="9"/>
      <c r="KY222" s="9"/>
      <c r="KZ222" s="9"/>
      <c r="LA222" s="9"/>
      <c r="LB222" s="9"/>
      <c r="LC222" s="9"/>
      <c r="LD222" s="9"/>
      <c r="LE222" s="9"/>
      <c r="LF222" s="9"/>
      <c r="LG222" s="9"/>
      <c r="LH222" s="9"/>
      <c r="LI222" s="9"/>
      <c r="LJ222" s="9"/>
      <c r="LK222" s="9"/>
      <c r="LL222" s="9"/>
      <c r="LM222" s="9"/>
      <c r="LN222" s="9"/>
      <c r="LO222" s="9"/>
      <c r="LP222" s="9"/>
      <c r="LQ222" s="9"/>
      <c r="LR222" s="9"/>
      <c r="LS222" s="9"/>
      <c r="LT222" s="9"/>
      <c r="LU222" s="9"/>
      <c r="LV222" s="9"/>
      <c r="LW222" s="9"/>
      <c r="LX222" s="9"/>
      <c r="LY222" s="9"/>
      <c r="LZ222" s="9"/>
      <c r="MA222" s="9"/>
      <c r="MB222" s="9"/>
      <c r="MC222" s="9"/>
      <c r="MD222" s="9"/>
      <c r="ME222" s="9"/>
      <c r="MF222" s="9"/>
      <c r="MG222" s="9"/>
      <c r="MH222" s="9"/>
      <c r="MI222" s="9"/>
      <c r="MJ222" s="9"/>
      <c r="MK222" s="9"/>
      <c r="ML222" s="9"/>
      <c r="MM222" s="9"/>
      <c r="MN222" s="9"/>
      <c r="MO222" s="9"/>
      <c r="MP222" s="9"/>
      <c r="MQ222" s="9"/>
      <c r="MR222" s="9"/>
      <c r="MS222" s="9"/>
      <c r="MT222" s="9"/>
      <c r="MU222" s="9"/>
      <c r="MV222" s="9"/>
      <c r="MW222" s="9"/>
      <c r="MX222" s="9"/>
      <c r="MY222" s="9"/>
      <c r="MZ222" s="9"/>
      <c r="NA222" s="9"/>
      <c r="NB222" s="9"/>
      <c r="NC222" s="9"/>
      <c r="ND222" s="9"/>
      <c r="NE222" s="9"/>
      <c r="NF222" s="9"/>
      <c r="NG222" s="9"/>
      <c r="NH222" s="9"/>
      <c r="NI222" s="9"/>
      <c r="NJ222" s="9"/>
      <c r="NK222" s="9"/>
      <c r="NL222" s="9"/>
      <c r="NM222" s="9"/>
      <c r="NN222" s="9"/>
      <c r="NO222" s="9"/>
      <c r="NP222" s="9"/>
      <c r="NQ222" s="9"/>
      <c r="NR222" s="9"/>
      <c r="NS222" s="9"/>
      <c r="NT222" s="9"/>
      <c r="NU222" s="9"/>
      <c r="NV222" s="9"/>
      <c r="NW222" s="9"/>
      <c r="NX222" s="9"/>
      <c r="NY222" s="9"/>
      <c r="NZ222" s="9"/>
      <c r="OA222" s="9"/>
      <c r="OB222" s="9"/>
      <c r="OC222" s="9"/>
      <c r="OD222" s="9"/>
      <c r="OE222" s="9"/>
      <c r="OF222" s="9"/>
      <c r="OG222" s="9"/>
      <c r="OH222" s="9"/>
      <c r="OI222" s="9"/>
      <c r="OJ222" s="9"/>
      <c r="OK222" s="9"/>
      <c r="OL222" s="9"/>
      <c r="OM222" s="9"/>
      <c r="ON222" s="9"/>
      <c r="OO222" s="9"/>
      <c r="OP222" s="9"/>
      <c r="OQ222" s="9"/>
      <c r="OR222" s="9"/>
      <c r="OS222" s="9"/>
      <c r="OT222" s="9"/>
      <c r="OU222" s="9"/>
      <c r="OV222" s="9"/>
      <c r="OW222" s="9"/>
      <c r="OX222" s="9"/>
      <c r="OY222" s="9"/>
      <c r="OZ222" s="9"/>
      <c r="PA222" s="9"/>
      <c r="PB222" s="9"/>
      <c r="PC222" s="9"/>
      <c r="PD222" s="9"/>
      <c r="PE222" s="9"/>
      <c r="PF222" s="9"/>
      <c r="PG222" s="9"/>
      <c r="PH222" s="9"/>
      <c r="PI222" s="9"/>
      <c r="PJ222" s="9"/>
      <c r="PK222" s="9"/>
      <c r="PL222" s="9"/>
      <c r="PM222" s="9"/>
      <c r="PN222" s="9"/>
      <c r="PO222" s="9"/>
      <c r="PP222" s="9"/>
      <c r="PQ222" s="9"/>
      <c r="PR222" s="9"/>
      <c r="PS222" s="9"/>
      <c r="PT222" s="9"/>
      <c r="PU222" s="9"/>
      <c r="PV222" s="9"/>
      <c r="PW222" s="9"/>
      <c r="PX222" s="9"/>
      <c r="PY222" s="9"/>
      <c r="PZ222" s="9"/>
      <c r="QA222" s="9"/>
      <c r="QB222" s="9"/>
      <c r="QC222" s="9"/>
      <c r="QD222" s="9"/>
      <c r="QE222" s="9"/>
      <c r="QF222" s="9"/>
      <c r="QG222" s="9"/>
      <c r="QH222" s="9"/>
      <c r="QI222" s="9"/>
      <c r="QJ222" s="9"/>
      <c r="QK222" s="9"/>
      <c r="QL222" s="9"/>
      <c r="QM222" s="9"/>
      <c r="QN222" s="9"/>
      <c r="QO222" s="9"/>
      <c r="QP222" s="9"/>
      <c r="QQ222" s="9"/>
      <c r="QR222" s="9"/>
      <c r="QS222" s="9"/>
      <c r="QT222" s="9"/>
      <c r="QU222" s="9"/>
      <c r="QV222" s="9"/>
      <c r="QW222" s="9"/>
      <c r="QX222" s="9"/>
      <c r="QY222" s="9"/>
      <c r="QZ222" s="9"/>
      <c r="RA222" s="9"/>
      <c r="RB222" s="9"/>
      <c r="RC222" s="9"/>
      <c r="RD222" s="9"/>
      <c r="RE222" s="9"/>
      <c r="RF222" s="9"/>
      <c r="RG222" s="9"/>
      <c r="RH222" s="9"/>
      <c r="RI222" s="9"/>
      <c r="RJ222" s="9"/>
      <c r="RK222" s="9"/>
      <c r="RL222" s="9"/>
      <c r="RM222" s="9"/>
      <c r="RN222" s="9"/>
      <c r="RO222" s="9"/>
      <c r="RP222" s="9"/>
      <c r="RQ222" s="9"/>
      <c r="RR222" s="9"/>
      <c r="RS222" s="9"/>
      <c r="RT222" s="9"/>
      <c r="RU222" s="9"/>
      <c r="RV222" s="9"/>
      <c r="RW222" s="9"/>
      <c r="RX222" s="9"/>
      <c r="RY222" s="9"/>
      <c r="RZ222" s="9"/>
      <c r="SA222" s="9"/>
      <c r="SB222" s="9"/>
      <c r="SC222" s="9"/>
      <c r="SD222" s="9"/>
      <c r="SE222" s="9"/>
      <c r="SF222" s="9"/>
      <c r="SG222" s="9"/>
      <c r="SH222" s="9"/>
      <c r="SI222" s="9"/>
      <c r="SJ222" s="9"/>
      <c r="SK222" s="8"/>
      <c r="SL222" s="8"/>
      <c r="SM222" s="8"/>
      <c r="SN222" s="8"/>
      <c r="SO222" s="8"/>
      <c r="SP222" s="8"/>
      <c r="SQ222" s="8"/>
      <c r="SR222" s="8"/>
      <c r="SS222" s="8"/>
      <c r="ST222" s="8"/>
      <c r="SU222" s="8"/>
      <c r="SV222" s="8"/>
      <c r="SW222" s="8"/>
      <c r="SX222" s="8"/>
      <c r="SY222" s="8"/>
      <c r="SZ222" s="8"/>
      <c r="TA222" s="8"/>
      <c r="TB222" s="8"/>
      <c r="TC222" s="8"/>
      <c r="TD222" s="8"/>
      <c r="TE222" s="8"/>
      <c r="TF222" s="8"/>
      <c r="TG222" s="8"/>
      <c r="TH222" s="8"/>
      <c r="TI222" s="8"/>
      <c r="TJ222" s="8"/>
      <c r="TK222" s="8"/>
      <c r="TL222" s="8"/>
      <c r="TM222" s="8"/>
      <c r="TN222" s="8"/>
      <c r="TO222" s="8"/>
    </row>
    <row r="223" spans="1:535" x14ac:dyDescent="0.2">
      <c r="A223" s="7"/>
      <c r="B223" s="7"/>
      <c r="C223" s="9"/>
      <c r="D223" s="8"/>
      <c r="E223" s="8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9"/>
      <c r="BG223" s="9"/>
      <c r="BH223" s="9"/>
      <c r="BI223" s="9"/>
      <c r="BJ223" s="9"/>
      <c r="BK223" s="9"/>
      <c r="BL223" s="9"/>
      <c r="BM223" s="9"/>
      <c r="BN223" s="9"/>
      <c r="BO223" s="9"/>
      <c r="BP223" s="9"/>
      <c r="BQ223" s="9"/>
      <c r="BR223" s="9"/>
      <c r="BS223" s="9"/>
      <c r="BT223" s="9"/>
      <c r="BU223" s="9"/>
      <c r="BV223" s="9"/>
      <c r="BW223" s="9"/>
      <c r="BX223" s="9"/>
      <c r="BY223" s="9"/>
      <c r="BZ223" s="9"/>
      <c r="CA223" s="9"/>
      <c r="CB223" s="9"/>
      <c r="CC223" s="9"/>
      <c r="CD223" s="9"/>
      <c r="CE223" s="9"/>
      <c r="CF223" s="9"/>
      <c r="CG223" s="9"/>
      <c r="CH223" s="9"/>
      <c r="CI223" s="9"/>
      <c r="CJ223" s="9"/>
      <c r="CK223" s="9"/>
      <c r="CL223" s="9"/>
      <c r="CM223" s="9"/>
      <c r="CN223" s="9"/>
      <c r="CO223" s="9"/>
      <c r="CP223" s="9"/>
      <c r="CQ223" s="9"/>
      <c r="CR223" s="9"/>
      <c r="CS223" s="9"/>
      <c r="CT223" s="9"/>
      <c r="CU223" s="9"/>
      <c r="CV223" s="9"/>
      <c r="CW223" s="9"/>
      <c r="CX223" s="9"/>
      <c r="CY223" s="9"/>
      <c r="CZ223" s="9"/>
      <c r="DA223" s="9"/>
      <c r="DB223" s="9"/>
      <c r="DC223" s="9"/>
      <c r="DD223" s="9"/>
      <c r="DE223" s="9"/>
      <c r="DF223" s="9"/>
      <c r="DG223" s="9"/>
      <c r="DH223" s="9"/>
      <c r="DI223" s="9"/>
      <c r="DJ223" s="9"/>
      <c r="DK223" s="9"/>
      <c r="DL223" s="9"/>
      <c r="DM223" s="9"/>
      <c r="DN223" s="9"/>
      <c r="DO223" s="9"/>
      <c r="DP223" s="9"/>
      <c r="DQ223" s="9"/>
      <c r="DR223" s="9"/>
      <c r="DS223" s="9"/>
      <c r="DT223" s="9"/>
      <c r="DU223" s="9"/>
      <c r="DV223" s="9"/>
      <c r="DW223" s="9"/>
      <c r="DX223" s="9"/>
      <c r="DY223" s="9"/>
      <c r="DZ223" s="9"/>
      <c r="EA223" s="9"/>
      <c r="EB223" s="9"/>
      <c r="EC223" s="9"/>
      <c r="ED223" s="9"/>
      <c r="EE223" s="9"/>
      <c r="EF223" s="9"/>
      <c r="EG223" s="9"/>
      <c r="EH223" s="9"/>
      <c r="EI223" s="9"/>
      <c r="EJ223" s="9"/>
      <c r="EK223" s="9"/>
      <c r="EL223" s="9"/>
      <c r="EM223" s="9"/>
      <c r="EN223" s="9"/>
      <c r="EO223" s="9"/>
      <c r="EP223" s="9"/>
      <c r="EQ223" s="9"/>
      <c r="ER223" s="9"/>
      <c r="ES223" s="9"/>
      <c r="ET223" s="9"/>
      <c r="EU223" s="9"/>
      <c r="EV223" s="9"/>
      <c r="EW223" s="9"/>
      <c r="EX223" s="9"/>
      <c r="EY223" s="9"/>
      <c r="EZ223" s="9"/>
      <c r="FA223" s="9"/>
      <c r="FB223" s="9"/>
      <c r="FC223" s="9"/>
      <c r="FD223" s="9"/>
      <c r="FE223" s="9"/>
      <c r="FF223" s="9"/>
      <c r="FG223" s="9"/>
      <c r="FH223" s="9"/>
      <c r="FI223" s="9"/>
      <c r="FJ223" s="9"/>
      <c r="FK223" s="9"/>
      <c r="FL223" s="9"/>
      <c r="FM223" s="9"/>
      <c r="FN223" s="9"/>
      <c r="FO223" s="9"/>
      <c r="FP223" s="9"/>
      <c r="FQ223" s="9"/>
      <c r="FR223" s="9"/>
      <c r="FS223" s="9"/>
      <c r="FT223" s="9"/>
      <c r="FU223" s="9"/>
      <c r="FV223" s="9"/>
      <c r="FW223" s="9"/>
      <c r="FX223" s="9"/>
      <c r="FY223" s="9"/>
      <c r="FZ223" s="9"/>
      <c r="GA223" s="9"/>
      <c r="GB223" s="9"/>
      <c r="GC223" s="9"/>
      <c r="GD223" s="9"/>
      <c r="GE223" s="9"/>
      <c r="GF223" s="9"/>
      <c r="GG223" s="9"/>
      <c r="GH223" s="9"/>
      <c r="GI223" s="9"/>
      <c r="GJ223" s="9"/>
      <c r="GK223" s="9"/>
      <c r="GL223" s="9"/>
      <c r="GM223" s="9"/>
      <c r="GN223" s="9"/>
      <c r="GO223" s="9"/>
      <c r="GP223" s="9"/>
      <c r="GQ223" s="9"/>
      <c r="GR223" s="9"/>
      <c r="GS223" s="9"/>
      <c r="GT223" s="9"/>
      <c r="GU223" s="9"/>
      <c r="GV223" s="9"/>
      <c r="GW223" s="9"/>
      <c r="GX223" s="9"/>
      <c r="GY223" s="9"/>
      <c r="GZ223" s="9"/>
      <c r="HA223" s="9"/>
      <c r="HB223" s="9"/>
      <c r="HC223" s="9"/>
      <c r="HD223" s="9"/>
      <c r="HE223" s="9"/>
      <c r="HF223" s="9"/>
      <c r="HG223" s="9"/>
      <c r="HH223" s="9"/>
      <c r="HI223" s="9"/>
      <c r="HJ223" s="9"/>
      <c r="HK223" s="9"/>
      <c r="HL223" s="9"/>
      <c r="HM223" s="9"/>
      <c r="HN223" s="9"/>
      <c r="HO223" s="9"/>
      <c r="HP223" s="9"/>
      <c r="HQ223" s="9"/>
      <c r="HR223" s="9"/>
      <c r="HS223" s="9"/>
      <c r="HT223" s="9"/>
      <c r="HU223" s="9"/>
      <c r="HV223" s="9"/>
      <c r="HW223" s="9"/>
      <c r="HX223" s="9"/>
      <c r="HY223" s="9"/>
      <c r="HZ223" s="9"/>
      <c r="IA223" s="9"/>
      <c r="IB223" s="9"/>
      <c r="IC223" s="9"/>
      <c r="ID223" s="9"/>
      <c r="IE223" s="9"/>
      <c r="IF223" s="9"/>
      <c r="IG223" s="9"/>
      <c r="IH223" s="9"/>
      <c r="II223" s="9"/>
      <c r="IJ223" s="9"/>
      <c r="IK223" s="9"/>
      <c r="IL223" s="9"/>
      <c r="IM223" s="9"/>
      <c r="IN223" s="9"/>
      <c r="IO223" s="9"/>
      <c r="IP223" s="9"/>
      <c r="IQ223" s="9"/>
      <c r="IR223" s="9"/>
      <c r="IS223" s="9"/>
      <c r="IT223" s="9"/>
      <c r="IU223" s="9"/>
      <c r="IV223" s="9"/>
      <c r="IW223" s="9"/>
      <c r="IX223" s="9"/>
      <c r="IY223" s="9"/>
      <c r="IZ223" s="9"/>
      <c r="JA223" s="9"/>
      <c r="JB223" s="9"/>
      <c r="JC223" s="9"/>
      <c r="JD223" s="9"/>
      <c r="JE223" s="9"/>
      <c r="JF223" s="9"/>
      <c r="JG223" s="9"/>
      <c r="JH223" s="9"/>
      <c r="JI223" s="9"/>
      <c r="JJ223" s="9"/>
      <c r="JK223" s="9"/>
      <c r="JL223" s="9"/>
      <c r="JM223" s="9"/>
      <c r="JN223" s="9"/>
      <c r="JO223" s="9"/>
      <c r="JP223" s="9"/>
      <c r="JQ223" s="9"/>
      <c r="JR223" s="9"/>
      <c r="JS223" s="9"/>
      <c r="JT223" s="9"/>
      <c r="JU223" s="9"/>
      <c r="JV223" s="9"/>
      <c r="JW223" s="9"/>
      <c r="JX223" s="9"/>
      <c r="JY223" s="9"/>
      <c r="JZ223" s="9"/>
      <c r="KA223" s="9"/>
      <c r="KB223" s="9"/>
      <c r="KC223" s="9"/>
      <c r="KD223" s="9"/>
      <c r="KE223" s="9"/>
      <c r="KF223" s="9"/>
      <c r="KG223" s="9"/>
      <c r="KH223" s="9"/>
      <c r="KI223" s="9"/>
      <c r="KJ223" s="9"/>
      <c r="KK223" s="9"/>
      <c r="KL223" s="9"/>
      <c r="KM223" s="9"/>
      <c r="KN223" s="9"/>
      <c r="KO223" s="9"/>
      <c r="KP223" s="9"/>
      <c r="KQ223" s="9"/>
      <c r="KR223" s="9"/>
      <c r="KS223" s="9"/>
      <c r="KT223" s="9"/>
      <c r="KU223" s="9"/>
      <c r="KV223" s="9"/>
      <c r="KW223" s="9"/>
      <c r="KX223" s="9"/>
      <c r="KY223" s="9"/>
      <c r="KZ223" s="9"/>
      <c r="LA223" s="9"/>
      <c r="LB223" s="9"/>
      <c r="LC223" s="9"/>
      <c r="LD223" s="9"/>
      <c r="LE223" s="9"/>
      <c r="LF223" s="9"/>
      <c r="LG223" s="9"/>
      <c r="LH223" s="9"/>
      <c r="LI223" s="9"/>
      <c r="LJ223" s="9"/>
      <c r="LK223" s="9"/>
      <c r="LL223" s="9"/>
      <c r="LM223" s="9"/>
      <c r="LN223" s="9"/>
      <c r="LO223" s="9"/>
      <c r="LP223" s="9"/>
      <c r="LQ223" s="9"/>
      <c r="LR223" s="9"/>
      <c r="LS223" s="9"/>
      <c r="LT223" s="9"/>
      <c r="LU223" s="9"/>
      <c r="LV223" s="9"/>
      <c r="LW223" s="9"/>
      <c r="LX223" s="9"/>
      <c r="LY223" s="9"/>
      <c r="LZ223" s="9"/>
      <c r="MA223" s="9"/>
      <c r="MB223" s="9"/>
      <c r="MC223" s="9"/>
      <c r="MD223" s="9"/>
      <c r="ME223" s="9"/>
      <c r="MF223" s="9"/>
      <c r="MG223" s="9"/>
      <c r="MH223" s="9"/>
      <c r="MI223" s="9"/>
      <c r="MJ223" s="9"/>
      <c r="MK223" s="9"/>
      <c r="ML223" s="9"/>
      <c r="MM223" s="9"/>
      <c r="MN223" s="9"/>
      <c r="MO223" s="9"/>
      <c r="MP223" s="9"/>
      <c r="MQ223" s="9"/>
      <c r="MR223" s="9"/>
      <c r="MS223" s="9"/>
      <c r="MT223" s="9"/>
      <c r="MU223" s="9"/>
      <c r="MV223" s="9"/>
      <c r="MW223" s="9"/>
      <c r="MX223" s="9"/>
      <c r="MY223" s="9"/>
      <c r="MZ223" s="9"/>
      <c r="NA223" s="9"/>
      <c r="NB223" s="9"/>
      <c r="NC223" s="9"/>
      <c r="ND223" s="9"/>
      <c r="NE223" s="9"/>
      <c r="NF223" s="9"/>
      <c r="NG223" s="9"/>
      <c r="NH223" s="9"/>
      <c r="NI223" s="9"/>
      <c r="NJ223" s="9"/>
      <c r="NK223" s="9"/>
      <c r="NL223" s="9"/>
      <c r="NM223" s="9"/>
      <c r="NN223" s="9"/>
      <c r="NO223" s="9"/>
      <c r="NP223" s="9"/>
      <c r="NQ223" s="9"/>
      <c r="NR223" s="9"/>
      <c r="NS223" s="9"/>
      <c r="NT223" s="9"/>
      <c r="NU223" s="9"/>
      <c r="NV223" s="9"/>
      <c r="NW223" s="9"/>
      <c r="NX223" s="9"/>
      <c r="NY223" s="9"/>
      <c r="NZ223" s="9"/>
      <c r="OA223" s="9"/>
      <c r="OB223" s="9"/>
      <c r="OC223" s="9"/>
      <c r="OD223" s="9"/>
      <c r="OE223" s="9"/>
      <c r="OF223" s="9"/>
      <c r="OG223" s="9"/>
      <c r="OH223" s="9"/>
      <c r="OI223" s="9"/>
      <c r="OJ223" s="9"/>
      <c r="OK223" s="9"/>
      <c r="OL223" s="9"/>
      <c r="OM223" s="9"/>
      <c r="ON223" s="9"/>
      <c r="OO223" s="9"/>
      <c r="OP223" s="9"/>
      <c r="OQ223" s="9"/>
      <c r="OR223" s="9"/>
      <c r="OS223" s="9"/>
      <c r="OT223" s="9"/>
      <c r="OU223" s="9"/>
      <c r="OV223" s="9"/>
      <c r="OW223" s="9"/>
      <c r="OX223" s="9"/>
      <c r="OY223" s="9"/>
      <c r="OZ223" s="9"/>
      <c r="PA223" s="9"/>
      <c r="PB223" s="9"/>
      <c r="PC223" s="9"/>
      <c r="PD223" s="9"/>
      <c r="PE223" s="9"/>
      <c r="PF223" s="9"/>
      <c r="PG223" s="9"/>
      <c r="PH223" s="9"/>
      <c r="PI223" s="9"/>
      <c r="PJ223" s="9"/>
      <c r="PK223" s="9"/>
      <c r="PL223" s="9"/>
      <c r="PM223" s="9"/>
      <c r="PN223" s="9"/>
      <c r="PO223" s="9"/>
      <c r="PP223" s="9"/>
      <c r="PQ223" s="9"/>
      <c r="PR223" s="9"/>
      <c r="PS223" s="9"/>
      <c r="PT223" s="9"/>
      <c r="PU223" s="9"/>
      <c r="PV223" s="9"/>
      <c r="PW223" s="9"/>
      <c r="PX223" s="9"/>
      <c r="PY223" s="9"/>
      <c r="PZ223" s="9"/>
      <c r="QA223" s="9"/>
      <c r="QB223" s="9"/>
      <c r="QC223" s="9"/>
      <c r="QD223" s="9"/>
      <c r="QE223" s="9"/>
      <c r="QF223" s="9"/>
      <c r="QG223" s="9"/>
      <c r="QH223" s="9"/>
      <c r="QI223" s="9"/>
      <c r="QJ223" s="9"/>
      <c r="QK223" s="9"/>
      <c r="QL223" s="9"/>
      <c r="QM223" s="9"/>
      <c r="QN223" s="9"/>
      <c r="QO223" s="9"/>
      <c r="QP223" s="9"/>
      <c r="QQ223" s="9"/>
      <c r="QR223" s="9"/>
      <c r="QS223" s="9"/>
      <c r="QT223" s="9"/>
      <c r="QU223" s="9"/>
      <c r="QV223" s="9"/>
      <c r="QW223" s="9"/>
      <c r="QX223" s="9"/>
      <c r="QY223" s="9"/>
      <c r="QZ223" s="9"/>
      <c r="RA223" s="9"/>
      <c r="RB223" s="9"/>
      <c r="RC223" s="9"/>
      <c r="RD223" s="9"/>
      <c r="RE223" s="9"/>
      <c r="RF223" s="9"/>
      <c r="RG223" s="9"/>
      <c r="RH223" s="9"/>
      <c r="RI223" s="9"/>
      <c r="RJ223" s="9"/>
      <c r="RK223" s="9"/>
      <c r="RL223" s="9"/>
      <c r="RM223" s="9"/>
      <c r="RN223" s="9"/>
      <c r="RO223" s="9"/>
      <c r="RP223" s="9"/>
      <c r="RQ223" s="9"/>
      <c r="RR223" s="9"/>
      <c r="RS223" s="9"/>
      <c r="RT223" s="9"/>
      <c r="RU223" s="9"/>
      <c r="RV223" s="9"/>
      <c r="RW223" s="9"/>
      <c r="RX223" s="9"/>
      <c r="RY223" s="9"/>
      <c r="RZ223" s="9"/>
      <c r="SA223" s="9"/>
      <c r="SB223" s="9"/>
      <c r="SC223" s="9"/>
      <c r="SD223" s="9"/>
      <c r="SE223" s="9"/>
      <c r="SF223" s="9"/>
      <c r="SG223" s="9"/>
      <c r="SH223" s="9"/>
      <c r="SI223" s="9"/>
      <c r="SJ223" s="9"/>
      <c r="SK223" s="8"/>
      <c r="SL223" s="8"/>
      <c r="SM223" s="8"/>
      <c r="SN223" s="8"/>
      <c r="SO223" s="8"/>
      <c r="SP223" s="8"/>
      <c r="SQ223" s="8"/>
      <c r="SR223" s="8"/>
      <c r="SS223" s="8"/>
      <c r="ST223" s="8"/>
      <c r="SU223" s="8"/>
      <c r="SV223" s="8"/>
      <c r="SW223" s="8"/>
      <c r="SX223" s="8"/>
      <c r="SY223" s="8"/>
      <c r="SZ223" s="8"/>
      <c r="TA223" s="8"/>
      <c r="TB223" s="8"/>
      <c r="TC223" s="8"/>
      <c r="TD223" s="8"/>
      <c r="TE223" s="8"/>
      <c r="TF223" s="8"/>
      <c r="TG223" s="8"/>
      <c r="TH223" s="8"/>
      <c r="TI223" s="8"/>
      <c r="TJ223" s="8"/>
      <c r="TK223" s="8"/>
      <c r="TL223" s="8"/>
      <c r="TM223" s="8"/>
      <c r="TN223" s="8"/>
      <c r="TO223" s="8"/>
    </row>
    <row r="224" spans="1:535" x14ac:dyDescent="0.2">
      <c r="A224" s="7"/>
      <c r="B224" s="7"/>
      <c r="C224" s="9"/>
      <c r="D224" s="8"/>
      <c r="E224" s="8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  <c r="BZ224" s="9"/>
      <c r="CA224" s="9"/>
      <c r="CB224" s="9"/>
      <c r="CC224" s="9"/>
      <c r="CD224" s="9"/>
      <c r="CE224" s="9"/>
      <c r="CF224" s="9"/>
      <c r="CG224" s="9"/>
      <c r="CH224" s="9"/>
      <c r="CI224" s="9"/>
      <c r="CJ224" s="9"/>
      <c r="CK224" s="9"/>
      <c r="CL224" s="9"/>
      <c r="CM224" s="9"/>
      <c r="CN224" s="9"/>
      <c r="CO224" s="9"/>
      <c r="CP224" s="9"/>
      <c r="CQ224" s="9"/>
      <c r="CR224" s="9"/>
      <c r="CS224" s="9"/>
      <c r="CT224" s="9"/>
      <c r="CU224" s="9"/>
      <c r="CV224" s="9"/>
      <c r="CW224" s="9"/>
      <c r="CX224" s="9"/>
      <c r="CY224" s="9"/>
      <c r="CZ224" s="9"/>
      <c r="DA224" s="9"/>
      <c r="DB224" s="9"/>
      <c r="DC224" s="9"/>
      <c r="DD224" s="9"/>
      <c r="DE224" s="9"/>
      <c r="DF224" s="9"/>
      <c r="DG224" s="9"/>
      <c r="DH224" s="9"/>
      <c r="DI224" s="9"/>
      <c r="DJ224" s="9"/>
      <c r="DK224" s="9"/>
      <c r="DL224" s="9"/>
      <c r="DM224" s="9"/>
      <c r="DN224" s="9"/>
      <c r="DO224" s="9"/>
      <c r="DP224" s="9"/>
      <c r="DQ224" s="9"/>
      <c r="DR224" s="9"/>
      <c r="DS224" s="9"/>
      <c r="DT224" s="9"/>
      <c r="DU224" s="9"/>
      <c r="DV224" s="9"/>
      <c r="DW224" s="9"/>
      <c r="DX224" s="9"/>
      <c r="DY224" s="9"/>
      <c r="DZ224" s="9"/>
      <c r="EA224" s="9"/>
      <c r="EB224" s="9"/>
      <c r="EC224" s="9"/>
      <c r="ED224" s="9"/>
      <c r="EE224" s="9"/>
      <c r="EF224" s="9"/>
      <c r="EG224" s="9"/>
      <c r="EH224" s="9"/>
      <c r="EI224" s="9"/>
      <c r="EJ224" s="9"/>
      <c r="EK224" s="9"/>
      <c r="EL224" s="9"/>
      <c r="EM224" s="9"/>
      <c r="EN224" s="9"/>
      <c r="EO224" s="9"/>
      <c r="EP224" s="9"/>
      <c r="EQ224" s="9"/>
      <c r="ER224" s="9"/>
      <c r="ES224" s="9"/>
      <c r="ET224" s="9"/>
      <c r="EU224" s="9"/>
      <c r="EV224" s="9"/>
      <c r="EW224" s="9"/>
      <c r="EX224" s="9"/>
      <c r="EY224" s="9"/>
      <c r="EZ224" s="9"/>
      <c r="FA224" s="9"/>
      <c r="FB224" s="9"/>
      <c r="FC224" s="9"/>
      <c r="FD224" s="9"/>
      <c r="FE224" s="9"/>
      <c r="FF224" s="9"/>
      <c r="FG224" s="9"/>
      <c r="FH224" s="9"/>
      <c r="FI224" s="9"/>
      <c r="FJ224" s="9"/>
      <c r="FK224" s="9"/>
      <c r="FL224" s="9"/>
      <c r="FM224" s="9"/>
      <c r="FN224" s="9"/>
      <c r="FO224" s="9"/>
      <c r="FP224" s="9"/>
      <c r="FQ224" s="9"/>
      <c r="FR224" s="9"/>
      <c r="FS224" s="9"/>
      <c r="FT224" s="9"/>
      <c r="FU224" s="9"/>
      <c r="FV224" s="9"/>
      <c r="FW224" s="9"/>
      <c r="FX224" s="9"/>
      <c r="FY224" s="9"/>
      <c r="FZ224" s="9"/>
      <c r="GA224" s="9"/>
      <c r="GB224" s="9"/>
      <c r="GC224" s="9"/>
      <c r="GD224" s="9"/>
      <c r="GE224" s="9"/>
      <c r="GF224" s="9"/>
      <c r="GG224" s="9"/>
      <c r="GH224" s="9"/>
      <c r="GI224" s="9"/>
      <c r="GJ224" s="9"/>
      <c r="GK224" s="9"/>
      <c r="GL224" s="9"/>
      <c r="GM224" s="9"/>
      <c r="GN224" s="9"/>
      <c r="GO224" s="9"/>
      <c r="GP224" s="9"/>
      <c r="GQ224" s="9"/>
      <c r="GR224" s="9"/>
      <c r="GS224" s="9"/>
      <c r="GT224" s="9"/>
      <c r="GU224" s="9"/>
      <c r="GV224" s="9"/>
      <c r="GW224" s="9"/>
      <c r="GX224" s="9"/>
      <c r="GY224" s="9"/>
      <c r="GZ224" s="9"/>
      <c r="HA224" s="9"/>
      <c r="HB224" s="9"/>
      <c r="HC224" s="9"/>
      <c r="HD224" s="9"/>
      <c r="HE224" s="9"/>
      <c r="HF224" s="9"/>
      <c r="HG224" s="9"/>
      <c r="HH224" s="9"/>
      <c r="HI224" s="9"/>
      <c r="HJ224" s="9"/>
      <c r="HK224" s="9"/>
      <c r="HL224" s="9"/>
      <c r="HM224" s="9"/>
      <c r="HN224" s="9"/>
      <c r="HO224" s="9"/>
      <c r="HP224" s="9"/>
      <c r="HQ224" s="9"/>
      <c r="HR224" s="9"/>
      <c r="HS224" s="9"/>
      <c r="HT224" s="9"/>
      <c r="HU224" s="9"/>
      <c r="HV224" s="9"/>
      <c r="HW224" s="9"/>
      <c r="HX224" s="9"/>
      <c r="HY224" s="9"/>
      <c r="HZ224" s="9"/>
      <c r="IA224" s="9"/>
      <c r="IB224" s="9"/>
      <c r="IC224" s="9"/>
      <c r="ID224" s="9"/>
      <c r="IE224" s="9"/>
      <c r="IF224" s="9"/>
      <c r="IG224" s="9"/>
      <c r="IH224" s="9"/>
      <c r="II224" s="9"/>
      <c r="IJ224" s="9"/>
      <c r="IK224" s="9"/>
      <c r="IL224" s="9"/>
      <c r="IM224" s="9"/>
      <c r="IN224" s="9"/>
      <c r="IO224" s="9"/>
      <c r="IP224" s="9"/>
      <c r="IQ224" s="9"/>
      <c r="IR224" s="9"/>
      <c r="IS224" s="9"/>
      <c r="IT224" s="9"/>
      <c r="IU224" s="9"/>
      <c r="IV224" s="9"/>
      <c r="IW224" s="9"/>
      <c r="IX224" s="9"/>
      <c r="IY224" s="9"/>
      <c r="IZ224" s="9"/>
      <c r="JA224" s="9"/>
      <c r="JB224" s="9"/>
      <c r="JC224" s="9"/>
      <c r="JD224" s="9"/>
      <c r="JE224" s="9"/>
      <c r="JF224" s="9"/>
      <c r="JG224" s="9"/>
      <c r="JH224" s="9"/>
      <c r="JI224" s="9"/>
      <c r="JJ224" s="9"/>
      <c r="JK224" s="9"/>
      <c r="JL224" s="9"/>
      <c r="JM224" s="9"/>
      <c r="JN224" s="9"/>
      <c r="JO224" s="9"/>
      <c r="JP224" s="9"/>
      <c r="JQ224" s="9"/>
      <c r="JR224" s="9"/>
      <c r="JS224" s="9"/>
      <c r="JT224" s="9"/>
      <c r="JU224" s="9"/>
      <c r="JV224" s="9"/>
      <c r="JW224" s="9"/>
      <c r="JX224" s="9"/>
      <c r="JY224" s="9"/>
      <c r="JZ224" s="9"/>
      <c r="KA224" s="9"/>
      <c r="KB224" s="9"/>
      <c r="KC224" s="9"/>
      <c r="KD224" s="9"/>
      <c r="KE224" s="9"/>
      <c r="KF224" s="9"/>
      <c r="KG224" s="9"/>
      <c r="KH224" s="9"/>
      <c r="KI224" s="9"/>
      <c r="KJ224" s="9"/>
      <c r="KK224" s="9"/>
      <c r="KL224" s="9"/>
      <c r="KM224" s="9"/>
      <c r="KN224" s="9"/>
      <c r="KO224" s="9"/>
      <c r="KP224" s="9"/>
      <c r="KQ224" s="9"/>
      <c r="KR224" s="9"/>
      <c r="KS224" s="9"/>
      <c r="KT224" s="9"/>
      <c r="KU224" s="9"/>
      <c r="KV224" s="9"/>
      <c r="KW224" s="9"/>
      <c r="KX224" s="9"/>
      <c r="KY224" s="9"/>
      <c r="KZ224" s="9"/>
      <c r="LA224" s="9"/>
      <c r="LB224" s="9"/>
      <c r="LC224" s="9"/>
      <c r="LD224" s="9"/>
      <c r="LE224" s="9"/>
      <c r="LF224" s="9"/>
      <c r="LG224" s="9"/>
      <c r="LH224" s="9"/>
      <c r="LI224" s="9"/>
      <c r="LJ224" s="9"/>
      <c r="LK224" s="9"/>
      <c r="LL224" s="9"/>
      <c r="LM224" s="9"/>
      <c r="LN224" s="9"/>
      <c r="LO224" s="9"/>
      <c r="LP224" s="9"/>
      <c r="LQ224" s="9"/>
      <c r="LR224" s="9"/>
      <c r="LS224" s="9"/>
      <c r="LT224" s="9"/>
      <c r="LU224" s="9"/>
      <c r="LV224" s="9"/>
      <c r="LW224" s="9"/>
      <c r="LX224" s="9"/>
      <c r="LY224" s="9"/>
      <c r="LZ224" s="9"/>
      <c r="MA224" s="9"/>
      <c r="MB224" s="9"/>
      <c r="MC224" s="9"/>
      <c r="MD224" s="9"/>
      <c r="ME224" s="9"/>
      <c r="MF224" s="9"/>
      <c r="MG224" s="9"/>
      <c r="MH224" s="9"/>
      <c r="MI224" s="9"/>
      <c r="MJ224" s="9"/>
      <c r="MK224" s="9"/>
      <c r="ML224" s="9"/>
      <c r="MM224" s="9"/>
      <c r="MN224" s="9"/>
      <c r="MO224" s="9"/>
      <c r="MP224" s="9"/>
      <c r="MQ224" s="9"/>
      <c r="MR224" s="9"/>
      <c r="MS224" s="9"/>
      <c r="MT224" s="9"/>
      <c r="MU224" s="9"/>
      <c r="MV224" s="9"/>
      <c r="MW224" s="9"/>
      <c r="MX224" s="9"/>
      <c r="MY224" s="9"/>
      <c r="MZ224" s="9"/>
      <c r="NA224" s="9"/>
      <c r="NB224" s="9"/>
      <c r="NC224" s="9"/>
      <c r="ND224" s="9"/>
      <c r="NE224" s="9"/>
      <c r="NF224" s="9"/>
      <c r="NG224" s="9"/>
      <c r="NH224" s="9"/>
      <c r="NI224" s="9"/>
      <c r="NJ224" s="9"/>
      <c r="NK224" s="9"/>
      <c r="NL224" s="9"/>
      <c r="NM224" s="9"/>
      <c r="NN224" s="9"/>
      <c r="NO224" s="9"/>
      <c r="NP224" s="9"/>
      <c r="NQ224" s="9"/>
      <c r="NR224" s="9"/>
      <c r="NS224" s="9"/>
      <c r="NT224" s="9"/>
      <c r="NU224" s="9"/>
      <c r="NV224" s="9"/>
      <c r="NW224" s="9"/>
      <c r="NX224" s="9"/>
      <c r="NY224" s="9"/>
      <c r="NZ224" s="9"/>
      <c r="OA224" s="9"/>
      <c r="OB224" s="9"/>
      <c r="OC224" s="9"/>
      <c r="OD224" s="9"/>
      <c r="OE224" s="9"/>
      <c r="OF224" s="9"/>
      <c r="OG224" s="9"/>
      <c r="OH224" s="9"/>
      <c r="OI224" s="9"/>
      <c r="OJ224" s="9"/>
      <c r="OK224" s="9"/>
      <c r="OL224" s="9"/>
      <c r="OM224" s="9"/>
      <c r="ON224" s="9"/>
      <c r="OO224" s="9"/>
      <c r="OP224" s="9"/>
      <c r="OQ224" s="9"/>
      <c r="OR224" s="9"/>
      <c r="OS224" s="9"/>
      <c r="OT224" s="9"/>
      <c r="OU224" s="9"/>
      <c r="OV224" s="9"/>
      <c r="OW224" s="9"/>
      <c r="OX224" s="9"/>
      <c r="OY224" s="9"/>
      <c r="OZ224" s="9"/>
      <c r="PA224" s="9"/>
      <c r="PB224" s="9"/>
      <c r="PC224" s="9"/>
      <c r="PD224" s="9"/>
      <c r="PE224" s="9"/>
      <c r="PF224" s="9"/>
      <c r="PG224" s="9"/>
      <c r="PH224" s="9"/>
      <c r="PI224" s="9"/>
      <c r="PJ224" s="9"/>
      <c r="PK224" s="9"/>
      <c r="PL224" s="9"/>
      <c r="PM224" s="9"/>
      <c r="PN224" s="9"/>
      <c r="PO224" s="9"/>
      <c r="PP224" s="9"/>
      <c r="PQ224" s="9"/>
      <c r="PR224" s="9"/>
      <c r="PS224" s="9"/>
      <c r="PT224" s="9"/>
      <c r="PU224" s="9"/>
      <c r="PV224" s="9"/>
      <c r="PW224" s="9"/>
      <c r="PX224" s="9"/>
      <c r="PY224" s="9"/>
      <c r="PZ224" s="9"/>
      <c r="QA224" s="9"/>
      <c r="QB224" s="9"/>
      <c r="QC224" s="9"/>
      <c r="QD224" s="9"/>
      <c r="QE224" s="9"/>
      <c r="QF224" s="9"/>
      <c r="QG224" s="9"/>
      <c r="QH224" s="9"/>
      <c r="QI224" s="9"/>
      <c r="QJ224" s="9"/>
      <c r="QK224" s="9"/>
      <c r="QL224" s="9"/>
      <c r="QM224" s="9"/>
      <c r="QN224" s="9"/>
      <c r="QO224" s="9"/>
      <c r="QP224" s="9"/>
      <c r="QQ224" s="9"/>
      <c r="QR224" s="9"/>
      <c r="QS224" s="9"/>
      <c r="QT224" s="9"/>
      <c r="QU224" s="9"/>
      <c r="QV224" s="9"/>
      <c r="QW224" s="9"/>
      <c r="QX224" s="9"/>
      <c r="QY224" s="9"/>
      <c r="QZ224" s="9"/>
      <c r="RA224" s="9"/>
      <c r="RB224" s="9"/>
      <c r="RC224" s="9"/>
      <c r="RD224" s="9"/>
      <c r="RE224" s="9"/>
      <c r="RF224" s="9"/>
      <c r="RG224" s="9"/>
      <c r="RH224" s="9"/>
      <c r="RI224" s="9"/>
      <c r="RJ224" s="9"/>
      <c r="RK224" s="9"/>
      <c r="RL224" s="9"/>
      <c r="RM224" s="9"/>
      <c r="RN224" s="9"/>
      <c r="RO224" s="9"/>
      <c r="RP224" s="9"/>
      <c r="RQ224" s="9"/>
      <c r="RR224" s="9"/>
      <c r="RS224" s="9"/>
      <c r="RT224" s="9"/>
      <c r="RU224" s="9"/>
      <c r="RV224" s="9"/>
      <c r="RW224" s="9"/>
      <c r="RX224" s="9"/>
      <c r="RY224" s="9"/>
      <c r="RZ224" s="9"/>
      <c r="SA224" s="9"/>
      <c r="SB224" s="9"/>
      <c r="SC224" s="9"/>
      <c r="SD224" s="9"/>
      <c r="SE224" s="9"/>
      <c r="SF224" s="9"/>
      <c r="SG224" s="9"/>
      <c r="SH224" s="9"/>
      <c r="SI224" s="9"/>
      <c r="SJ224" s="9"/>
      <c r="SK224" s="8"/>
      <c r="SL224" s="8"/>
      <c r="SM224" s="8"/>
      <c r="SN224" s="8"/>
      <c r="SO224" s="8"/>
      <c r="SP224" s="8"/>
      <c r="SQ224" s="8"/>
      <c r="SR224" s="8"/>
      <c r="SS224" s="8"/>
      <c r="ST224" s="8"/>
      <c r="SU224" s="8"/>
      <c r="SV224" s="8"/>
      <c r="SW224" s="8"/>
      <c r="SX224" s="8"/>
      <c r="SY224" s="8"/>
      <c r="SZ224" s="8"/>
      <c r="TA224" s="8"/>
      <c r="TB224" s="8"/>
      <c r="TC224" s="8"/>
      <c r="TD224" s="8"/>
      <c r="TE224" s="8"/>
      <c r="TF224" s="8"/>
      <c r="TG224" s="8"/>
      <c r="TH224" s="8"/>
      <c r="TI224" s="8"/>
      <c r="TJ224" s="8"/>
      <c r="TK224" s="8"/>
      <c r="TL224" s="8"/>
      <c r="TM224" s="8"/>
      <c r="TN224" s="8"/>
      <c r="TO224" s="8"/>
    </row>
    <row r="225" spans="1:535" x14ac:dyDescent="0.2">
      <c r="A225" s="7"/>
      <c r="B225" s="7"/>
      <c r="C225" s="9"/>
      <c r="D225" s="8"/>
      <c r="E225" s="8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/>
      <c r="BO225" s="9"/>
      <c r="BP225" s="9"/>
      <c r="BQ225" s="9"/>
      <c r="BR225" s="9"/>
      <c r="BS225" s="9"/>
      <c r="BT225" s="9"/>
      <c r="BU225" s="9"/>
      <c r="BV225" s="9"/>
      <c r="BW225" s="9"/>
      <c r="BX225" s="9"/>
      <c r="BY225" s="9"/>
      <c r="BZ225" s="9"/>
      <c r="CA225" s="9"/>
      <c r="CB225" s="9"/>
      <c r="CC225" s="9"/>
      <c r="CD225" s="9"/>
      <c r="CE225" s="9"/>
      <c r="CF225" s="9"/>
      <c r="CG225" s="9"/>
      <c r="CH225" s="9"/>
      <c r="CI225" s="9"/>
      <c r="CJ225" s="9"/>
      <c r="CK225" s="9"/>
      <c r="CL225" s="9"/>
      <c r="CM225" s="9"/>
      <c r="CN225" s="9"/>
      <c r="CO225" s="9"/>
      <c r="CP225" s="9"/>
      <c r="CQ225" s="9"/>
      <c r="CR225" s="9"/>
      <c r="CS225" s="9"/>
      <c r="CT225" s="9"/>
      <c r="CU225" s="9"/>
      <c r="CV225" s="9"/>
      <c r="CW225" s="9"/>
      <c r="CX225" s="9"/>
      <c r="CY225" s="9"/>
      <c r="CZ225" s="9"/>
      <c r="DA225" s="9"/>
      <c r="DB225" s="9"/>
      <c r="DC225" s="9"/>
      <c r="DD225" s="9"/>
      <c r="DE225" s="9"/>
      <c r="DF225" s="9"/>
      <c r="DG225" s="9"/>
      <c r="DH225" s="9"/>
      <c r="DI225" s="9"/>
      <c r="DJ225" s="9"/>
      <c r="DK225" s="9"/>
      <c r="DL225" s="9"/>
      <c r="DM225" s="9"/>
      <c r="DN225" s="9"/>
      <c r="DO225" s="9"/>
      <c r="DP225" s="9"/>
      <c r="DQ225" s="9"/>
      <c r="DR225" s="9"/>
      <c r="DS225" s="9"/>
      <c r="DT225" s="9"/>
      <c r="DU225" s="9"/>
      <c r="DV225" s="9"/>
      <c r="DW225" s="9"/>
      <c r="DX225" s="9"/>
      <c r="DY225" s="9"/>
      <c r="DZ225" s="9"/>
      <c r="EA225" s="9"/>
      <c r="EB225" s="9"/>
      <c r="EC225" s="9"/>
      <c r="ED225" s="9"/>
      <c r="EE225" s="9"/>
      <c r="EF225" s="9"/>
      <c r="EG225" s="9"/>
      <c r="EH225" s="9"/>
      <c r="EI225" s="9"/>
      <c r="EJ225" s="9"/>
      <c r="EK225" s="9"/>
      <c r="EL225" s="9"/>
      <c r="EM225" s="9"/>
      <c r="EN225" s="9"/>
      <c r="EO225" s="9"/>
      <c r="EP225" s="9"/>
      <c r="EQ225" s="9"/>
      <c r="ER225" s="9"/>
      <c r="ES225" s="9"/>
      <c r="ET225" s="9"/>
      <c r="EU225" s="9"/>
      <c r="EV225" s="9"/>
      <c r="EW225" s="9"/>
      <c r="EX225" s="9"/>
      <c r="EY225" s="9"/>
      <c r="EZ225" s="9"/>
      <c r="FA225" s="9"/>
      <c r="FB225" s="9"/>
      <c r="FC225" s="9"/>
      <c r="FD225" s="9"/>
      <c r="FE225" s="9"/>
      <c r="FF225" s="9"/>
      <c r="FG225" s="9"/>
      <c r="FH225" s="9"/>
      <c r="FI225" s="9"/>
      <c r="FJ225" s="9"/>
      <c r="FK225" s="9"/>
      <c r="FL225" s="9"/>
      <c r="FM225" s="9"/>
      <c r="FN225" s="9"/>
      <c r="FO225" s="9"/>
      <c r="FP225" s="9"/>
      <c r="FQ225" s="9"/>
      <c r="FR225" s="9"/>
      <c r="FS225" s="9"/>
      <c r="FT225" s="9"/>
      <c r="FU225" s="9"/>
      <c r="FV225" s="9"/>
      <c r="FW225" s="9"/>
      <c r="FX225" s="9"/>
      <c r="FY225" s="9"/>
      <c r="FZ225" s="9"/>
      <c r="GA225" s="9"/>
      <c r="GB225" s="9"/>
      <c r="GC225" s="9"/>
      <c r="GD225" s="9"/>
      <c r="GE225" s="9"/>
      <c r="GF225" s="9"/>
      <c r="GG225" s="9"/>
      <c r="GH225" s="9"/>
      <c r="GI225" s="9"/>
      <c r="GJ225" s="9"/>
      <c r="GK225" s="9"/>
      <c r="GL225" s="9"/>
      <c r="GM225" s="9"/>
      <c r="GN225" s="9"/>
      <c r="GO225" s="9"/>
      <c r="GP225" s="9"/>
      <c r="GQ225" s="9"/>
      <c r="GR225" s="9"/>
      <c r="GS225" s="9"/>
      <c r="GT225" s="9"/>
      <c r="GU225" s="9"/>
      <c r="GV225" s="9"/>
      <c r="GW225" s="9"/>
      <c r="GX225" s="9"/>
      <c r="GY225" s="9"/>
      <c r="GZ225" s="9"/>
      <c r="HA225" s="9"/>
      <c r="HB225" s="9"/>
      <c r="HC225" s="9"/>
      <c r="HD225" s="9"/>
      <c r="HE225" s="9"/>
      <c r="HF225" s="9"/>
      <c r="HG225" s="9"/>
      <c r="HH225" s="9"/>
      <c r="HI225" s="9"/>
      <c r="HJ225" s="9"/>
      <c r="HK225" s="9"/>
      <c r="HL225" s="9"/>
      <c r="HM225" s="9"/>
      <c r="HN225" s="9"/>
      <c r="HO225" s="9"/>
      <c r="HP225" s="9"/>
      <c r="HQ225" s="9"/>
      <c r="HR225" s="9"/>
      <c r="HS225" s="9"/>
      <c r="HT225" s="9"/>
      <c r="HU225" s="9"/>
      <c r="HV225" s="9"/>
      <c r="HW225" s="9"/>
      <c r="HX225" s="9"/>
      <c r="HY225" s="9"/>
      <c r="HZ225" s="9"/>
      <c r="IA225" s="9"/>
      <c r="IB225" s="9"/>
      <c r="IC225" s="9"/>
      <c r="ID225" s="9"/>
      <c r="IE225" s="9"/>
      <c r="IF225" s="9"/>
      <c r="IG225" s="9"/>
      <c r="IH225" s="9"/>
      <c r="II225" s="9"/>
      <c r="IJ225" s="9"/>
      <c r="IK225" s="9"/>
      <c r="IL225" s="9"/>
      <c r="IM225" s="9"/>
      <c r="IN225" s="9"/>
      <c r="IO225" s="9"/>
      <c r="IP225" s="9"/>
      <c r="IQ225" s="9"/>
      <c r="IR225" s="9"/>
      <c r="IS225" s="9"/>
      <c r="IT225" s="9"/>
      <c r="IU225" s="9"/>
      <c r="IV225" s="9"/>
      <c r="IW225" s="9"/>
      <c r="IX225" s="9"/>
      <c r="IY225" s="9"/>
      <c r="IZ225" s="9"/>
      <c r="JA225" s="9"/>
      <c r="JB225" s="9"/>
      <c r="JC225" s="9"/>
      <c r="JD225" s="9"/>
      <c r="JE225" s="9"/>
      <c r="JF225" s="9"/>
      <c r="JG225" s="9"/>
      <c r="JH225" s="9"/>
      <c r="JI225" s="9"/>
      <c r="JJ225" s="9"/>
      <c r="JK225" s="9"/>
      <c r="JL225" s="9"/>
      <c r="JM225" s="9"/>
      <c r="JN225" s="9"/>
      <c r="JO225" s="9"/>
      <c r="JP225" s="9"/>
      <c r="JQ225" s="9"/>
      <c r="JR225" s="9"/>
      <c r="JS225" s="9"/>
      <c r="JT225" s="9"/>
      <c r="JU225" s="9"/>
      <c r="JV225" s="9"/>
      <c r="JW225" s="9"/>
      <c r="JX225" s="9"/>
      <c r="JY225" s="9"/>
      <c r="JZ225" s="9"/>
      <c r="KA225" s="9"/>
      <c r="KB225" s="9"/>
      <c r="KC225" s="9"/>
      <c r="KD225" s="9"/>
      <c r="KE225" s="9"/>
      <c r="KF225" s="9"/>
      <c r="KG225" s="9"/>
      <c r="KH225" s="9"/>
      <c r="KI225" s="9"/>
      <c r="KJ225" s="9"/>
      <c r="KK225" s="9"/>
      <c r="KL225" s="9"/>
      <c r="KM225" s="9"/>
      <c r="KN225" s="9"/>
      <c r="KO225" s="9"/>
      <c r="KP225" s="9"/>
      <c r="KQ225" s="9"/>
      <c r="KR225" s="9"/>
      <c r="KS225" s="9"/>
      <c r="KT225" s="9"/>
      <c r="KU225" s="9"/>
      <c r="KV225" s="9"/>
      <c r="KW225" s="9"/>
      <c r="KX225" s="9"/>
      <c r="KY225" s="9"/>
      <c r="KZ225" s="9"/>
      <c r="LA225" s="9"/>
      <c r="LB225" s="9"/>
      <c r="LC225" s="9"/>
      <c r="LD225" s="9"/>
      <c r="LE225" s="9"/>
      <c r="LF225" s="9"/>
      <c r="LG225" s="9"/>
      <c r="LH225" s="9"/>
      <c r="LI225" s="9"/>
      <c r="LJ225" s="9"/>
      <c r="LK225" s="9"/>
      <c r="LL225" s="9"/>
      <c r="LM225" s="9"/>
      <c r="LN225" s="9"/>
      <c r="LO225" s="9"/>
      <c r="LP225" s="9"/>
      <c r="LQ225" s="9"/>
      <c r="LR225" s="9"/>
      <c r="LS225" s="9"/>
      <c r="LT225" s="9"/>
      <c r="LU225" s="9"/>
      <c r="LV225" s="9"/>
      <c r="LW225" s="9"/>
      <c r="LX225" s="9"/>
      <c r="LY225" s="9"/>
      <c r="LZ225" s="9"/>
      <c r="MA225" s="9"/>
      <c r="MB225" s="9"/>
      <c r="MC225" s="9"/>
      <c r="MD225" s="9"/>
      <c r="ME225" s="9"/>
      <c r="MF225" s="9"/>
      <c r="MG225" s="9"/>
      <c r="MH225" s="9"/>
      <c r="MI225" s="9"/>
      <c r="MJ225" s="9"/>
      <c r="MK225" s="9"/>
      <c r="ML225" s="9"/>
      <c r="MM225" s="9"/>
      <c r="MN225" s="9"/>
      <c r="MO225" s="9"/>
      <c r="MP225" s="9"/>
      <c r="MQ225" s="9"/>
      <c r="MR225" s="9"/>
      <c r="MS225" s="9"/>
      <c r="MT225" s="9"/>
      <c r="MU225" s="9"/>
      <c r="MV225" s="9"/>
      <c r="MW225" s="9"/>
      <c r="MX225" s="9"/>
      <c r="MY225" s="9"/>
      <c r="MZ225" s="9"/>
      <c r="NA225" s="9"/>
      <c r="NB225" s="9"/>
      <c r="NC225" s="9"/>
      <c r="ND225" s="9"/>
      <c r="NE225" s="9"/>
      <c r="NF225" s="9"/>
      <c r="NG225" s="9"/>
      <c r="NH225" s="9"/>
      <c r="NI225" s="9"/>
      <c r="NJ225" s="9"/>
      <c r="NK225" s="9"/>
      <c r="NL225" s="9"/>
      <c r="NM225" s="9"/>
      <c r="NN225" s="9"/>
      <c r="NO225" s="9"/>
      <c r="NP225" s="9"/>
      <c r="NQ225" s="9"/>
      <c r="NR225" s="9"/>
      <c r="NS225" s="9"/>
      <c r="NT225" s="9"/>
      <c r="NU225" s="9"/>
      <c r="NV225" s="9"/>
      <c r="NW225" s="9"/>
      <c r="NX225" s="9"/>
      <c r="NY225" s="9"/>
      <c r="NZ225" s="9"/>
      <c r="OA225" s="9"/>
      <c r="OB225" s="9"/>
      <c r="OC225" s="9"/>
      <c r="OD225" s="9"/>
      <c r="OE225" s="9"/>
      <c r="OF225" s="9"/>
      <c r="OG225" s="9"/>
      <c r="OH225" s="9"/>
      <c r="OI225" s="9"/>
      <c r="OJ225" s="9"/>
      <c r="OK225" s="9"/>
      <c r="OL225" s="9"/>
      <c r="OM225" s="9"/>
      <c r="ON225" s="9"/>
      <c r="OO225" s="9"/>
      <c r="OP225" s="9"/>
      <c r="OQ225" s="9"/>
      <c r="OR225" s="9"/>
      <c r="OS225" s="9"/>
      <c r="OT225" s="9"/>
      <c r="OU225" s="9"/>
      <c r="OV225" s="9"/>
      <c r="OW225" s="9"/>
      <c r="OX225" s="9"/>
      <c r="OY225" s="9"/>
      <c r="OZ225" s="9"/>
      <c r="PA225" s="9"/>
      <c r="PB225" s="9"/>
      <c r="PC225" s="9"/>
      <c r="PD225" s="9"/>
      <c r="PE225" s="9"/>
      <c r="PF225" s="9"/>
      <c r="PG225" s="9"/>
      <c r="PH225" s="9"/>
      <c r="PI225" s="9"/>
      <c r="PJ225" s="9"/>
      <c r="PK225" s="9"/>
      <c r="PL225" s="9"/>
      <c r="PM225" s="9"/>
      <c r="PN225" s="9"/>
      <c r="PO225" s="9"/>
      <c r="PP225" s="9"/>
      <c r="PQ225" s="9"/>
      <c r="PR225" s="9"/>
      <c r="PS225" s="9"/>
      <c r="PT225" s="9"/>
      <c r="PU225" s="9"/>
      <c r="PV225" s="9"/>
      <c r="PW225" s="9"/>
      <c r="PX225" s="9"/>
      <c r="PY225" s="9"/>
      <c r="PZ225" s="9"/>
      <c r="QA225" s="9"/>
      <c r="QB225" s="9"/>
      <c r="QC225" s="9"/>
      <c r="QD225" s="9"/>
      <c r="QE225" s="9"/>
      <c r="QF225" s="9"/>
      <c r="QG225" s="9"/>
      <c r="QH225" s="9"/>
      <c r="QI225" s="9"/>
      <c r="QJ225" s="9"/>
      <c r="QK225" s="9"/>
      <c r="QL225" s="9"/>
      <c r="QM225" s="9"/>
      <c r="QN225" s="9"/>
      <c r="QO225" s="9"/>
      <c r="QP225" s="9"/>
      <c r="QQ225" s="9"/>
      <c r="QR225" s="9"/>
      <c r="QS225" s="9"/>
      <c r="QT225" s="9"/>
      <c r="QU225" s="9"/>
      <c r="QV225" s="9"/>
      <c r="QW225" s="9"/>
      <c r="QX225" s="9"/>
      <c r="QY225" s="9"/>
      <c r="QZ225" s="9"/>
      <c r="RA225" s="9"/>
      <c r="RB225" s="9"/>
      <c r="RC225" s="9"/>
      <c r="RD225" s="9"/>
      <c r="RE225" s="9"/>
      <c r="RF225" s="9"/>
      <c r="RG225" s="9"/>
      <c r="RH225" s="9"/>
      <c r="RI225" s="9"/>
      <c r="RJ225" s="9"/>
      <c r="RK225" s="9"/>
      <c r="RL225" s="9"/>
      <c r="RM225" s="9"/>
      <c r="RN225" s="9"/>
      <c r="RO225" s="9"/>
      <c r="RP225" s="9"/>
      <c r="RQ225" s="9"/>
      <c r="RR225" s="9"/>
      <c r="RS225" s="9"/>
      <c r="RT225" s="9"/>
      <c r="RU225" s="9"/>
      <c r="RV225" s="9"/>
      <c r="RW225" s="9"/>
      <c r="RX225" s="9"/>
      <c r="RY225" s="9"/>
      <c r="RZ225" s="9"/>
      <c r="SA225" s="9"/>
      <c r="SB225" s="9"/>
      <c r="SC225" s="9"/>
      <c r="SD225" s="9"/>
      <c r="SE225" s="9"/>
      <c r="SF225" s="9"/>
      <c r="SG225" s="9"/>
      <c r="SH225" s="9"/>
      <c r="SI225" s="9"/>
      <c r="SJ225" s="9"/>
      <c r="SK225" s="8"/>
      <c r="SL225" s="8"/>
      <c r="SM225" s="8"/>
      <c r="SN225" s="8"/>
      <c r="SO225" s="8"/>
      <c r="SP225" s="8"/>
      <c r="SQ225" s="8"/>
      <c r="SR225" s="8"/>
      <c r="SS225" s="8"/>
      <c r="ST225" s="8"/>
      <c r="SU225" s="8"/>
      <c r="SV225" s="8"/>
      <c r="SW225" s="8"/>
      <c r="SX225" s="8"/>
      <c r="SY225" s="8"/>
      <c r="SZ225" s="8"/>
      <c r="TA225" s="8"/>
      <c r="TB225" s="8"/>
      <c r="TC225" s="8"/>
      <c r="TD225" s="8"/>
      <c r="TE225" s="8"/>
      <c r="TF225" s="8"/>
      <c r="TG225" s="8"/>
      <c r="TH225" s="8"/>
      <c r="TI225" s="8"/>
      <c r="TJ225" s="8"/>
      <c r="TK225" s="8"/>
      <c r="TL225" s="8"/>
      <c r="TM225" s="8"/>
      <c r="TN225" s="8"/>
      <c r="TO225" s="8"/>
    </row>
    <row r="226" spans="1:535" x14ac:dyDescent="0.2">
      <c r="A226" s="7"/>
      <c r="B226" s="7"/>
      <c r="C226" s="9"/>
      <c r="D226" s="8"/>
      <c r="E226" s="8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  <c r="BG226" s="9"/>
      <c r="BH226" s="9"/>
      <c r="BI226" s="9"/>
      <c r="BJ226" s="9"/>
      <c r="BK226" s="9"/>
      <c r="BL226" s="9"/>
      <c r="BM226" s="9"/>
      <c r="BN226" s="9"/>
      <c r="BO226" s="9"/>
      <c r="BP226" s="9"/>
      <c r="BQ226" s="9"/>
      <c r="BR226" s="9"/>
      <c r="BS226" s="9"/>
      <c r="BT226" s="9"/>
      <c r="BU226" s="9"/>
      <c r="BV226" s="9"/>
      <c r="BW226" s="9"/>
      <c r="BX226" s="9"/>
      <c r="BY226" s="9"/>
      <c r="BZ226" s="9"/>
      <c r="CA226" s="9"/>
      <c r="CB226" s="9"/>
      <c r="CC226" s="9"/>
      <c r="CD226" s="9"/>
      <c r="CE226" s="9"/>
      <c r="CF226" s="9"/>
      <c r="CG226" s="9"/>
      <c r="CH226" s="9"/>
      <c r="CI226" s="9"/>
      <c r="CJ226" s="9"/>
      <c r="CK226" s="9"/>
      <c r="CL226" s="9"/>
      <c r="CM226" s="9"/>
      <c r="CN226" s="9"/>
      <c r="CO226" s="9"/>
      <c r="CP226" s="9"/>
      <c r="CQ226" s="9"/>
      <c r="CR226" s="9"/>
      <c r="CS226" s="9"/>
      <c r="CT226" s="9"/>
      <c r="CU226" s="9"/>
      <c r="CV226" s="9"/>
      <c r="CW226" s="9"/>
      <c r="CX226" s="9"/>
      <c r="CY226" s="9"/>
      <c r="CZ226" s="9"/>
      <c r="DA226" s="9"/>
      <c r="DB226" s="9"/>
      <c r="DC226" s="9"/>
      <c r="DD226" s="9"/>
      <c r="DE226" s="9"/>
      <c r="DF226" s="9"/>
      <c r="DG226" s="9"/>
      <c r="DH226" s="9"/>
      <c r="DI226" s="9"/>
      <c r="DJ226" s="9"/>
      <c r="DK226" s="9"/>
      <c r="DL226" s="9"/>
      <c r="DM226" s="9"/>
      <c r="DN226" s="9"/>
      <c r="DO226" s="9"/>
      <c r="DP226" s="9"/>
      <c r="DQ226" s="9"/>
      <c r="DR226" s="9"/>
      <c r="DS226" s="9"/>
      <c r="DT226" s="9"/>
      <c r="DU226" s="9"/>
      <c r="DV226" s="9"/>
      <c r="DW226" s="9"/>
      <c r="DX226" s="9"/>
      <c r="DY226" s="9"/>
      <c r="DZ226" s="9"/>
      <c r="EA226" s="9"/>
      <c r="EB226" s="9"/>
      <c r="EC226" s="9"/>
      <c r="ED226" s="9"/>
      <c r="EE226" s="9"/>
      <c r="EF226" s="9"/>
      <c r="EG226" s="9"/>
      <c r="EH226" s="9"/>
      <c r="EI226" s="9"/>
      <c r="EJ226" s="9"/>
      <c r="EK226" s="9"/>
      <c r="EL226" s="9"/>
      <c r="EM226" s="9"/>
      <c r="EN226" s="9"/>
      <c r="EO226" s="9"/>
      <c r="EP226" s="9"/>
      <c r="EQ226" s="9"/>
      <c r="ER226" s="9"/>
      <c r="ES226" s="9"/>
      <c r="ET226" s="9"/>
      <c r="EU226" s="9"/>
      <c r="EV226" s="9"/>
      <c r="EW226" s="9"/>
      <c r="EX226" s="9"/>
      <c r="EY226" s="9"/>
      <c r="EZ226" s="9"/>
      <c r="FA226" s="9"/>
      <c r="FB226" s="9"/>
      <c r="FC226" s="9"/>
      <c r="FD226" s="9"/>
      <c r="FE226" s="9"/>
      <c r="FF226" s="9"/>
      <c r="FG226" s="9"/>
      <c r="FH226" s="9"/>
      <c r="FI226" s="9"/>
      <c r="FJ226" s="9"/>
      <c r="FK226" s="9"/>
      <c r="FL226" s="9"/>
      <c r="FM226" s="9"/>
      <c r="FN226" s="9"/>
      <c r="FO226" s="9"/>
      <c r="FP226" s="9"/>
      <c r="FQ226" s="9"/>
      <c r="FR226" s="9"/>
      <c r="FS226" s="9"/>
      <c r="FT226" s="9"/>
      <c r="FU226" s="9"/>
      <c r="FV226" s="9"/>
      <c r="FW226" s="9"/>
      <c r="FX226" s="9"/>
      <c r="FY226" s="9"/>
      <c r="FZ226" s="9"/>
      <c r="GA226" s="9"/>
      <c r="GB226" s="9"/>
      <c r="GC226" s="9"/>
      <c r="GD226" s="9"/>
      <c r="GE226" s="9"/>
      <c r="GF226" s="9"/>
      <c r="GG226" s="9"/>
      <c r="GH226" s="9"/>
      <c r="GI226" s="9"/>
      <c r="GJ226" s="9"/>
      <c r="GK226" s="9"/>
      <c r="GL226" s="9"/>
      <c r="GM226" s="9"/>
      <c r="GN226" s="9"/>
      <c r="GO226" s="9"/>
      <c r="GP226" s="9"/>
      <c r="GQ226" s="9"/>
      <c r="GR226" s="9"/>
      <c r="GS226" s="9"/>
      <c r="GT226" s="9"/>
      <c r="GU226" s="9"/>
      <c r="GV226" s="9"/>
      <c r="GW226" s="9"/>
      <c r="GX226" s="9"/>
      <c r="GY226" s="9"/>
      <c r="GZ226" s="9"/>
      <c r="HA226" s="9"/>
      <c r="HB226" s="9"/>
      <c r="HC226" s="9"/>
      <c r="HD226" s="9"/>
      <c r="HE226" s="9"/>
      <c r="HF226" s="9"/>
      <c r="HG226" s="9"/>
      <c r="HH226" s="9"/>
      <c r="HI226" s="9"/>
      <c r="HJ226" s="9"/>
      <c r="HK226" s="9"/>
      <c r="HL226" s="9"/>
      <c r="HM226" s="9"/>
      <c r="HN226" s="9"/>
      <c r="HO226" s="9"/>
      <c r="HP226" s="9"/>
      <c r="HQ226" s="9"/>
      <c r="HR226" s="9"/>
      <c r="HS226" s="9"/>
      <c r="HT226" s="9"/>
      <c r="HU226" s="9"/>
      <c r="HV226" s="9"/>
      <c r="HW226" s="9"/>
      <c r="HX226" s="9"/>
      <c r="HY226" s="9"/>
      <c r="HZ226" s="9"/>
      <c r="IA226" s="9"/>
      <c r="IB226" s="9"/>
      <c r="IC226" s="9"/>
      <c r="ID226" s="9"/>
      <c r="IE226" s="9"/>
      <c r="IF226" s="9"/>
      <c r="IG226" s="9"/>
      <c r="IH226" s="9"/>
      <c r="II226" s="9"/>
      <c r="IJ226" s="9"/>
      <c r="IK226" s="9"/>
      <c r="IL226" s="9"/>
      <c r="IM226" s="9"/>
      <c r="IN226" s="9"/>
      <c r="IO226" s="9"/>
      <c r="IP226" s="9"/>
      <c r="IQ226" s="9"/>
      <c r="IR226" s="9"/>
      <c r="IS226" s="9"/>
      <c r="IT226" s="9"/>
      <c r="IU226" s="9"/>
      <c r="IV226" s="9"/>
      <c r="IW226" s="9"/>
      <c r="IX226" s="9"/>
      <c r="IY226" s="9"/>
      <c r="IZ226" s="9"/>
      <c r="JA226" s="9"/>
      <c r="JB226" s="9"/>
      <c r="JC226" s="9"/>
      <c r="JD226" s="9"/>
      <c r="JE226" s="9"/>
      <c r="JF226" s="9"/>
      <c r="JG226" s="9"/>
      <c r="JH226" s="9"/>
      <c r="JI226" s="9"/>
      <c r="JJ226" s="9"/>
      <c r="JK226" s="9"/>
      <c r="JL226" s="9"/>
      <c r="JM226" s="9"/>
      <c r="JN226" s="9"/>
      <c r="JO226" s="9"/>
      <c r="JP226" s="9"/>
      <c r="JQ226" s="9"/>
      <c r="JR226" s="9"/>
      <c r="JS226" s="9"/>
      <c r="JT226" s="9"/>
      <c r="JU226" s="9"/>
      <c r="JV226" s="9"/>
      <c r="JW226" s="9"/>
      <c r="JX226" s="9"/>
      <c r="JY226" s="9"/>
      <c r="JZ226" s="9"/>
      <c r="KA226" s="9"/>
      <c r="KB226" s="9"/>
      <c r="KC226" s="9"/>
      <c r="KD226" s="9"/>
      <c r="KE226" s="9"/>
      <c r="KF226" s="9"/>
      <c r="KG226" s="9"/>
      <c r="KH226" s="9"/>
      <c r="KI226" s="9"/>
      <c r="KJ226" s="9"/>
      <c r="KK226" s="9"/>
      <c r="KL226" s="9"/>
      <c r="KM226" s="9"/>
      <c r="KN226" s="9"/>
      <c r="KO226" s="9"/>
      <c r="KP226" s="9"/>
      <c r="KQ226" s="9"/>
      <c r="KR226" s="9"/>
      <c r="KS226" s="9"/>
      <c r="KT226" s="9"/>
      <c r="KU226" s="9"/>
      <c r="KV226" s="9"/>
      <c r="KW226" s="9"/>
      <c r="KX226" s="9"/>
      <c r="KY226" s="9"/>
      <c r="KZ226" s="9"/>
      <c r="LA226" s="9"/>
      <c r="LB226" s="9"/>
      <c r="LC226" s="9"/>
      <c r="LD226" s="9"/>
      <c r="LE226" s="9"/>
      <c r="LF226" s="9"/>
      <c r="LG226" s="9"/>
      <c r="LH226" s="9"/>
      <c r="LI226" s="9"/>
      <c r="LJ226" s="9"/>
      <c r="LK226" s="9"/>
      <c r="LL226" s="9"/>
      <c r="LM226" s="9"/>
      <c r="LN226" s="9"/>
      <c r="LO226" s="9"/>
      <c r="LP226" s="9"/>
      <c r="LQ226" s="9"/>
      <c r="LR226" s="9"/>
      <c r="LS226" s="9"/>
      <c r="LT226" s="9"/>
      <c r="LU226" s="9"/>
      <c r="LV226" s="9"/>
      <c r="LW226" s="9"/>
      <c r="LX226" s="9"/>
      <c r="LY226" s="9"/>
      <c r="LZ226" s="9"/>
      <c r="MA226" s="9"/>
      <c r="MB226" s="9"/>
      <c r="MC226" s="9"/>
      <c r="MD226" s="9"/>
      <c r="ME226" s="9"/>
      <c r="MF226" s="9"/>
      <c r="MG226" s="9"/>
      <c r="MH226" s="9"/>
      <c r="MI226" s="9"/>
      <c r="MJ226" s="9"/>
      <c r="MK226" s="9"/>
      <c r="ML226" s="9"/>
      <c r="MM226" s="9"/>
      <c r="MN226" s="9"/>
      <c r="MO226" s="9"/>
      <c r="MP226" s="9"/>
      <c r="MQ226" s="9"/>
      <c r="MR226" s="9"/>
      <c r="MS226" s="9"/>
      <c r="MT226" s="9"/>
      <c r="MU226" s="9"/>
      <c r="MV226" s="9"/>
      <c r="MW226" s="9"/>
      <c r="MX226" s="9"/>
      <c r="MY226" s="9"/>
      <c r="MZ226" s="9"/>
      <c r="NA226" s="9"/>
      <c r="NB226" s="9"/>
      <c r="NC226" s="9"/>
      <c r="ND226" s="9"/>
      <c r="NE226" s="9"/>
      <c r="NF226" s="9"/>
      <c r="NG226" s="9"/>
      <c r="NH226" s="9"/>
      <c r="NI226" s="9"/>
      <c r="NJ226" s="9"/>
      <c r="NK226" s="9"/>
      <c r="NL226" s="9"/>
      <c r="NM226" s="9"/>
      <c r="NN226" s="9"/>
      <c r="NO226" s="9"/>
      <c r="NP226" s="9"/>
      <c r="NQ226" s="9"/>
      <c r="NR226" s="9"/>
      <c r="NS226" s="9"/>
      <c r="NT226" s="9"/>
      <c r="NU226" s="9"/>
      <c r="NV226" s="9"/>
      <c r="NW226" s="9"/>
      <c r="NX226" s="9"/>
      <c r="NY226" s="9"/>
      <c r="NZ226" s="9"/>
      <c r="OA226" s="9"/>
      <c r="OB226" s="9"/>
      <c r="OC226" s="9"/>
      <c r="OD226" s="9"/>
      <c r="OE226" s="9"/>
      <c r="OF226" s="9"/>
      <c r="OG226" s="9"/>
      <c r="OH226" s="9"/>
      <c r="OI226" s="9"/>
      <c r="OJ226" s="9"/>
      <c r="OK226" s="9"/>
      <c r="OL226" s="9"/>
      <c r="OM226" s="9"/>
      <c r="ON226" s="9"/>
      <c r="OO226" s="9"/>
      <c r="OP226" s="9"/>
      <c r="OQ226" s="9"/>
      <c r="OR226" s="9"/>
      <c r="OS226" s="9"/>
      <c r="OT226" s="9"/>
      <c r="OU226" s="9"/>
      <c r="OV226" s="9"/>
      <c r="OW226" s="9"/>
      <c r="OX226" s="9"/>
      <c r="OY226" s="9"/>
      <c r="OZ226" s="9"/>
      <c r="PA226" s="9"/>
      <c r="PB226" s="9"/>
      <c r="PC226" s="9"/>
      <c r="PD226" s="9"/>
      <c r="PE226" s="9"/>
      <c r="PF226" s="9"/>
      <c r="PG226" s="9"/>
      <c r="PH226" s="9"/>
      <c r="PI226" s="9"/>
      <c r="PJ226" s="9"/>
      <c r="PK226" s="9"/>
      <c r="PL226" s="9"/>
      <c r="PM226" s="9"/>
      <c r="PN226" s="9"/>
      <c r="PO226" s="9"/>
      <c r="PP226" s="9"/>
      <c r="PQ226" s="9"/>
      <c r="PR226" s="9"/>
      <c r="PS226" s="9"/>
      <c r="PT226" s="9"/>
      <c r="PU226" s="9"/>
      <c r="PV226" s="9"/>
      <c r="PW226" s="9"/>
      <c r="PX226" s="9"/>
      <c r="PY226" s="9"/>
      <c r="PZ226" s="9"/>
      <c r="QA226" s="9"/>
      <c r="QB226" s="9"/>
      <c r="QC226" s="9"/>
      <c r="QD226" s="9"/>
      <c r="QE226" s="9"/>
      <c r="QF226" s="9"/>
      <c r="QG226" s="9"/>
      <c r="QH226" s="9"/>
      <c r="QI226" s="9"/>
      <c r="QJ226" s="9"/>
      <c r="QK226" s="9"/>
      <c r="QL226" s="9"/>
      <c r="QM226" s="9"/>
      <c r="QN226" s="9"/>
      <c r="QO226" s="9"/>
      <c r="QP226" s="9"/>
      <c r="QQ226" s="9"/>
      <c r="QR226" s="9"/>
      <c r="QS226" s="9"/>
      <c r="QT226" s="9"/>
      <c r="QU226" s="9"/>
      <c r="QV226" s="9"/>
      <c r="QW226" s="9"/>
      <c r="QX226" s="9"/>
      <c r="QY226" s="9"/>
      <c r="QZ226" s="9"/>
      <c r="RA226" s="9"/>
      <c r="RB226" s="9"/>
      <c r="RC226" s="9"/>
      <c r="RD226" s="9"/>
      <c r="RE226" s="9"/>
      <c r="RF226" s="9"/>
      <c r="RG226" s="9"/>
      <c r="RH226" s="9"/>
      <c r="RI226" s="9"/>
      <c r="RJ226" s="9"/>
      <c r="RK226" s="9"/>
      <c r="RL226" s="9"/>
      <c r="RM226" s="9"/>
      <c r="RN226" s="9"/>
      <c r="RO226" s="9"/>
      <c r="RP226" s="9"/>
      <c r="RQ226" s="9"/>
      <c r="RR226" s="9"/>
      <c r="RS226" s="9"/>
      <c r="RT226" s="9"/>
      <c r="RU226" s="9"/>
      <c r="RV226" s="9"/>
      <c r="RW226" s="9"/>
      <c r="RX226" s="9"/>
      <c r="RY226" s="9"/>
      <c r="RZ226" s="9"/>
      <c r="SA226" s="9"/>
      <c r="SB226" s="9"/>
      <c r="SC226" s="9"/>
      <c r="SD226" s="9"/>
      <c r="SE226" s="9"/>
      <c r="SF226" s="9"/>
      <c r="SG226" s="9"/>
      <c r="SH226" s="9"/>
      <c r="SI226" s="9"/>
      <c r="SJ226" s="9"/>
      <c r="SK226" s="8"/>
      <c r="SL226" s="8"/>
      <c r="SM226" s="8"/>
      <c r="SN226" s="8"/>
      <c r="SO226" s="8"/>
      <c r="SP226" s="8"/>
      <c r="SQ226" s="8"/>
      <c r="SR226" s="8"/>
      <c r="SS226" s="8"/>
      <c r="ST226" s="8"/>
      <c r="SU226" s="8"/>
      <c r="SV226" s="8"/>
      <c r="SW226" s="8"/>
      <c r="SX226" s="8"/>
      <c r="SY226" s="8"/>
      <c r="SZ226" s="8"/>
      <c r="TA226" s="8"/>
      <c r="TB226" s="8"/>
      <c r="TC226" s="8"/>
      <c r="TD226" s="8"/>
      <c r="TE226" s="8"/>
      <c r="TF226" s="8"/>
      <c r="TG226" s="8"/>
      <c r="TH226" s="8"/>
      <c r="TI226" s="8"/>
      <c r="TJ226" s="8"/>
      <c r="TK226" s="8"/>
      <c r="TL226" s="8"/>
      <c r="TM226" s="8"/>
      <c r="TN226" s="8"/>
      <c r="TO226" s="8"/>
    </row>
    <row r="227" spans="1:535" x14ac:dyDescent="0.2">
      <c r="A227" s="7"/>
      <c r="B227" s="7"/>
      <c r="C227" s="9"/>
      <c r="D227" s="8"/>
      <c r="E227" s="8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/>
      <c r="BO227" s="9"/>
      <c r="BP227" s="9"/>
      <c r="BQ227" s="9"/>
      <c r="BR227" s="9"/>
      <c r="BS227" s="9"/>
      <c r="BT227" s="9"/>
      <c r="BU227" s="9"/>
      <c r="BV227" s="9"/>
      <c r="BW227" s="9"/>
      <c r="BX227" s="9"/>
      <c r="BY227" s="9"/>
      <c r="BZ227" s="9"/>
      <c r="CA227" s="9"/>
      <c r="CB227" s="9"/>
      <c r="CC227" s="9"/>
      <c r="CD227" s="9"/>
      <c r="CE227" s="9"/>
      <c r="CF227" s="9"/>
      <c r="CG227" s="9"/>
      <c r="CH227" s="9"/>
      <c r="CI227" s="9"/>
      <c r="CJ227" s="9"/>
      <c r="CK227" s="9"/>
      <c r="CL227" s="9"/>
      <c r="CM227" s="9"/>
      <c r="CN227" s="9"/>
      <c r="CO227" s="9"/>
      <c r="CP227" s="9"/>
      <c r="CQ227" s="9"/>
      <c r="CR227" s="9"/>
      <c r="CS227" s="9"/>
      <c r="CT227" s="9"/>
      <c r="CU227" s="9"/>
      <c r="CV227" s="9"/>
      <c r="CW227" s="9"/>
      <c r="CX227" s="9"/>
      <c r="CY227" s="9"/>
      <c r="CZ227" s="9"/>
      <c r="DA227" s="9"/>
      <c r="DB227" s="9"/>
      <c r="DC227" s="9"/>
      <c r="DD227" s="9"/>
      <c r="DE227" s="9"/>
      <c r="DF227" s="9"/>
      <c r="DG227" s="9"/>
      <c r="DH227" s="9"/>
      <c r="DI227" s="9"/>
      <c r="DJ227" s="9"/>
      <c r="DK227" s="9"/>
      <c r="DL227" s="9"/>
      <c r="DM227" s="9"/>
      <c r="DN227" s="9"/>
      <c r="DO227" s="9"/>
      <c r="DP227" s="9"/>
      <c r="DQ227" s="9"/>
      <c r="DR227" s="9"/>
      <c r="DS227" s="9"/>
      <c r="DT227" s="9"/>
      <c r="DU227" s="9"/>
      <c r="DV227" s="9"/>
      <c r="DW227" s="9"/>
      <c r="DX227" s="9"/>
      <c r="DY227" s="9"/>
      <c r="DZ227" s="9"/>
      <c r="EA227" s="9"/>
      <c r="EB227" s="9"/>
      <c r="EC227" s="9"/>
      <c r="ED227" s="9"/>
      <c r="EE227" s="9"/>
      <c r="EF227" s="9"/>
      <c r="EG227" s="9"/>
      <c r="EH227" s="9"/>
      <c r="EI227" s="9"/>
      <c r="EJ227" s="9"/>
      <c r="EK227" s="9"/>
      <c r="EL227" s="9"/>
      <c r="EM227" s="9"/>
      <c r="EN227" s="9"/>
      <c r="EO227" s="9"/>
      <c r="EP227" s="9"/>
      <c r="EQ227" s="9"/>
      <c r="ER227" s="9"/>
      <c r="ES227" s="9"/>
      <c r="ET227" s="9"/>
      <c r="EU227" s="9"/>
      <c r="EV227" s="9"/>
      <c r="EW227" s="9"/>
      <c r="EX227" s="9"/>
      <c r="EY227" s="9"/>
      <c r="EZ227" s="9"/>
      <c r="FA227" s="9"/>
      <c r="FB227" s="9"/>
      <c r="FC227" s="9"/>
      <c r="FD227" s="9"/>
      <c r="FE227" s="9"/>
      <c r="FF227" s="9"/>
      <c r="FG227" s="9"/>
      <c r="FH227" s="9"/>
      <c r="FI227" s="9"/>
      <c r="FJ227" s="9"/>
      <c r="FK227" s="9"/>
      <c r="FL227" s="9"/>
      <c r="FM227" s="9"/>
      <c r="FN227" s="9"/>
      <c r="FO227" s="9"/>
      <c r="FP227" s="9"/>
      <c r="FQ227" s="9"/>
      <c r="FR227" s="9"/>
      <c r="FS227" s="9"/>
      <c r="FT227" s="9"/>
      <c r="FU227" s="9"/>
      <c r="FV227" s="9"/>
      <c r="FW227" s="9"/>
      <c r="FX227" s="9"/>
      <c r="FY227" s="9"/>
      <c r="FZ227" s="9"/>
      <c r="GA227" s="9"/>
      <c r="GB227" s="9"/>
      <c r="GC227" s="9"/>
      <c r="GD227" s="9"/>
      <c r="GE227" s="9"/>
      <c r="GF227" s="9"/>
      <c r="GG227" s="9"/>
      <c r="GH227" s="9"/>
      <c r="GI227" s="9"/>
      <c r="GJ227" s="9"/>
      <c r="GK227" s="9"/>
      <c r="GL227" s="9"/>
      <c r="GM227" s="9"/>
      <c r="GN227" s="9"/>
      <c r="GO227" s="9"/>
      <c r="GP227" s="9"/>
      <c r="GQ227" s="9"/>
      <c r="GR227" s="9"/>
      <c r="GS227" s="9"/>
      <c r="GT227" s="9"/>
      <c r="GU227" s="9"/>
      <c r="GV227" s="9"/>
      <c r="GW227" s="9"/>
      <c r="GX227" s="9"/>
      <c r="GY227" s="9"/>
      <c r="GZ227" s="9"/>
      <c r="HA227" s="9"/>
      <c r="HB227" s="9"/>
      <c r="HC227" s="9"/>
      <c r="HD227" s="9"/>
      <c r="HE227" s="9"/>
      <c r="HF227" s="9"/>
      <c r="HG227" s="9"/>
      <c r="HH227" s="9"/>
      <c r="HI227" s="9"/>
      <c r="HJ227" s="9"/>
      <c r="HK227" s="9"/>
      <c r="HL227" s="9"/>
      <c r="HM227" s="9"/>
      <c r="HN227" s="9"/>
      <c r="HO227" s="9"/>
      <c r="HP227" s="9"/>
      <c r="HQ227" s="9"/>
      <c r="HR227" s="9"/>
      <c r="HS227" s="9"/>
      <c r="HT227" s="9"/>
      <c r="HU227" s="9"/>
      <c r="HV227" s="9"/>
      <c r="HW227" s="9"/>
      <c r="HX227" s="9"/>
      <c r="HY227" s="9"/>
      <c r="HZ227" s="9"/>
      <c r="IA227" s="9"/>
      <c r="IB227" s="9"/>
      <c r="IC227" s="9"/>
      <c r="ID227" s="9"/>
      <c r="IE227" s="9"/>
      <c r="IF227" s="9"/>
      <c r="IG227" s="9"/>
      <c r="IH227" s="9"/>
      <c r="II227" s="9"/>
      <c r="IJ227" s="9"/>
      <c r="IK227" s="9"/>
      <c r="IL227" s="9"/>
      <c r="IM227" s="9"/>
      <c r="IN227" s="9"/>
      <c r="IO227" s="9"/>
      <c r="IP227" s="9"/>
      <c r="IQ227" s="9"/>
      <c r="IR227" s="9"/>
      <c r="IS227" s="9"/>
      <c r="IT227" s="9"/>
      <c r="IU227" s="9"/>
      <c r="IV227" s="9"/>
      <c r="IW227" s="9"/>
      <c r="IX227" s="9"/>
      <c r="IY227" s="9"/>
      <c r="IZ227" s="9"/>
      <c r="JA227" s="9"/>
      <c r="JB227" s="9"/>
      <c r="JC227" s="9"/>
      <c r="JD227" s="9"/>
      <c r="JE227" s="9"/>
      <c r="JF227" s="9"/>
      <c r="JG227" s="9"/>
      <c r="JH227" s="9"/>
      <c r="JI227" s="9"/>
      <c r="JJ227" s="9"/>
      <c r="JK227" s="9"/>
      <c r="JL227" s="9"/>
      <c r="JM227" s="9"/>
      <c r="JN227" s="9"/>
      <c r="JO227" s="9"/>
      <c r="JP227" s="9"/>
      <c r="JQ227" s="9"/>
      <c r="JR227" s="9"/>
      <c r="JS227" s="9"/>
      <c r="JT227" s="9"/>
      <c r="JU227" s="9"/>
      <c r="JV227" s="9"/>
      <c r="JW227" s="9"/>
      <c r="JX227" s="9"/>
      <c r="JY227" s="9"/>
      <c r="JZ227" s="9"/>
      <c r="KA227" s="9"/>
      <c r="KB227" s="9"/>
      <c r="KC227" s="9"/>
      <c r="KD227" s="9"/>
      <c r="KE227" s="9"/>
      <c r="KF227" s="9"/>
      <c r="KG227" s="9"/>
      <c r="KH227" s="9"/>
      <c r="KI227" s="9"/>
      <c r="KJ227" s="9"/>
      <c r="KK227" s="9"/>
      <c r="KL227" s="9"/>
      <c r="KM227" s="9"/>
      <c r="KN227" s="9"/>
      <c r="KO227" s="9"/>
      <c r="KP227" s="9"/>
      <c r="KQ227" s="9"/>
      <c r="KR227" s="9"/>
      <c r="KS227" s="9"/>
      <c r="KT227" s="9"/>
      <c r="KU227" s="9"/>
      <c r="KV227" s="9"/>
      <c r="KW227" s="9"/>
      <c r="KX227" s="9"/>
      <c r="KY227" s="9"/>
      <c r="KZ227" s="9"/>
      <c r="LA227" s="9"/>
      <c r="LB227" s="9"/>
      <c r="LC227" s="9"/>
      <c r="LD227" s="9"/>
      <c r="LE227" s="9"/>
      <c r="LF227" s="9"/>
      <c r="LG227" s="9"/>
      <c r="LH227" s="9"/>
      <c r="LI227" s="9"/>
      <c r="LJ227" s="9"/>
      <c r="LK227" s="9"/>
      <c r="LL227" s="9"/>
      <c r="LM227" s="9"/>
      <c r="LN227" s="9"/>
      <c r="LO227" s="9"/>
      <c r="LP227" s="9"/>
      <c r="LQ227" s="9"/>
      <c r="LR227" s="9"/>
      <c r="LS227" s="9"/>
      <c r="LT227" s="9"/>
      <c r="LU227" s="9"/>
      <c r="LV227" s="9"/>
      <c r="LW227" s="9"/>
      <c r="LX227" s="9"/>
      <c r="LY227" s="9"/>
      <c r="LZ227" s="9"/>
      <c r="MA227" s="9"/>
      <c r="MB227" s="9"/>
      <c r="MC227" s="9"/>
      <c r="MD227" s="9"/>
      <c r="ME227" s="9"/>
      <c r="MF227" s="9"/>
      <c r="MG227" s="9"/>
      <c r="MH227" s="9"/>
      <c r="MI227" s="9"/>
      <c r="MJ227" s="9"/>
      <c r="MK227" s="9"/>
      <c r="ML227" s="9"/>
      <c r="MM227" s="9"/>
      <c r="MN227" s="9"/>
      <c r="MO227" s="9"/>
      <c r="MP227" s="9"/>
      <c r="MQ227" s="9"/>
      <c r="MR227" s="9"/>
      <c r="MS227" s="9"/>
      <c r="MT227" s="9"/>
      <c r="MU227" s="9"/>
      <c r="MV227" s="9"/>
      <c r="MW227" s="9"/>
      <c r="MX227" s="9"/>
      <c r="MY227" s="9"/>
      <c r="MZ227" s="9"/>
      <c r="NA227" s="9"/>
      <c r="NB227" s="9"/>
      <c r="NC227" s="9"/>
      <c r="ND227" s="9"/>
      <c r="NE227" s="9"/>
      <c r="NF227" s="9"/>
      <c r="NG227" s="9"/>
      <c r="NH227" s="9"/>
      <c r="NI227" s="9"/>
      <c r="NJ227" s="9"/>
      <c r="NK227" s="9"/>
      <c r="NL227" s="9"/>
      <c r="NM227" s="9"/>
      <c r="NN227" s="9"/>
      <c r="NO227" s="9"/>
      <c r="NP227" s="9"/>
      <c r="NQ227" s="9"/>
      <c r="NR227" s="9"/>
      <c r="NS227" s="9"/>
      <c r="NT227" s="9"/>
      <c r="NU227" s="9"/>
      <c r="NV227" s="9"/>
      <c r="NW227" s="9"/>
      <c r="NX227" s="9"/>
      <c r="NY227" s="9"/>
      <c r="NZ227" s="9"/>
      <c r="OA227" s="9"/>
      <c r="OB227" s="9"/>
      <c r="OC227" s="9"/>
      <c r="OD227" s="9"/>
      <c r="OE227" s="9"/>
      <c r="OF227" s="9"/>
      <c r="OG227" s="9"/>
      <c r="OH227" s="9"/>
      <c r="OI227" s="9"/>
      <c r="OJ227" s="9"/>
      <c r="OK227" s="9"/>
      <c r="OL227" s="9"/>
      <c r="OM227" s="9"/>
      <c r="ON227" s="9"/>
      <c r="OO227" s="9"/>
      <c r="OP227" s="9"/>
      <c r="OQ227" s="9"/>
      <c r="OR227" s="9"/>
      <c r="OS227" s="9"/>
      <c r="OT227" s="9"/>
      <c r="OU227" s="9"/>
      <c r="OV227" s="9"/>
      <c r="OW227" s="9"/>
      <c r="OX227" s="9"/>
      <c r="OY227" s="9"/>
      <c r="OZ227" s="9"/>
      <c r="PA227" s="9"/>
      <c r="PB227" s="9"/>
      <c r="PC227" s="9"/>
      <c r="PD227" s="9"/>
      <c r="PE227" s="9"/>
      <c r="PF227" s="9"/>
      <c r="PG227" s="9"/>
      <c r="PH227" s="9"/>
      <c r="PI227" s="9"/>
      <c r="PJ227" s="9"/>
      <c r="PK227" s="9"/>
      <c r="PL227" s="9"/>
      <c r="PM227" s="9"/>
      <c r="PN227" s="9"/>
      <c r="PO227" s="9"/>
      <c r="PP227" s="9"/>
      <c r="PQ227" s="9"/>
      <c r="PR227" s="9"/>
      <c r="PS227" s="9"/>
      <c r="PT227" s="9"/>
      <c r="PU227" s="9"/>
      <c r="PV227" s="9"/>
      <c r="PW227" s="9"/>
      <c r="PX227" s="9"/>
      <c r="PY227" s="9"/>
      <c r="PZ227" s="9"/>
      <c r="QA227" s="9"/>
      <c r="QB227" s="9"/>
      <c r="QC227" s="9"/>
      <c r="QD227" s="9"/>
      <c r="QE227" s="9"/>
      <c r="QF227" s="9"/>
      <c r="QG227" s="9"/>
      <c r="QH227" s="9"/>
      <c r="QI227" s="9"/>
      <c r="QJ227" s="9"/>
      <c r="QK227" s="9"/>
      <c r="QL227" s="9"/>
      <c r="QM227" s="9"/>
      <c r="QN227" s="9"/>
      <c r="QO227" s="9"/>
      <c r="QP227" s="9"/>
      <c r="QQ227" s="9"/>
      <c r="QR227" s="9"/>
      <c r="QS227" s="9"/>
      <c r="QT227" s="9"/>
      <c r="QU227" s="9"/>
      <c r="QV227" s="9"/>
      <c r="QW227" s="9"/>
      <c r="QX227" s="9"/>
      <c r="QY227" s="9"/>
      <c r="QZ227" s="9"/>
      <c r="RA227" s="9"/>
      <c r="RB227" s="9"/>
      <c r="RC227" s="9"/>
      <c r="RD227" s="9"/>
      <c r="RE227" s="9"/>
      <c r="RF227" s="9"/>
      <c r="RG227" s="9"/>
      <c r="RH227" s="9"/>
      <c r="RI227" s="9"/>
      <c r="RJ227" s="9"/>
      <c r="RK227" s="9"/>
      <c r="RL227" s="9"/>
      <c r="RM227" s="9"/>
      <c r="RN227" s="9"/>
      <c r="RO227" s="9"/>
      <c r="RP227" s="9"/>
      <c r="RQ227" s="9"/>
      <c r="RR227" s="9"/>
      <c r="RS227" s="9"/>
      <c r="RT227" s="9"/>
      <c r="RU227" s="9"/>
      <c r="RV227" s="9"/>
      <c r="RW227" s="9"/>
      <c r="RX227" s="9"/>
      <c r="RY227" s="9"/>
      <c r="RZ227" s="9"/>
      <c r="SA227" s="9"/>
      <c r="SB227" s="9"/>
      <c r="SC227" s="9"/>
      <c r="SD227" s="9"/>
      <c r="SE227" s="9"/>
      <c r="SF227" s="9"/>
      <c r="SG227" s="9"/>
      <c r="SH227" s="9"/>
      <c r="SI227" s="9"/>
      <c r="SJ227" s="9"/>
      <c r="SK227" s="8"/>
      <c r="SL227" s="8"/>
      <c r="SM227" s="8"/>
      <c r="SN227" s="8"/>
      <c r="SO227" s="8"/>
      <c r="SP227" s="8"/>
      <c r="SQ227" s="8"/>
      <c r="SR227" s="8"/>
      <c r="SS227" s="8"/>
      <c r="ST227" s="8"/>
      <c r="SU227" s="8"/>
      <c r="SV227" s="8"/>
      <c r="SW227" s="8"/>
      <c r="SX227" s="8"/>
      <c r="SY227" s="8"/>
      <c r="SZ227" s="8"/>
      <c r="TA227" s="8"/>
      <c r="TB227" s="8"/>
      <c r="TC227" s="8"/>
      <c r="TD227" s="8"/>
      <c r="TE227" s="8"/>
      <c r="TF227" s="8"/>
      <c r="TG227" s="8"/>
      <c r="TH227" s="8"/>
      <c r="TI227" s="8"/>
      <c r="TJ227" s="8"/>
      <c r="TK227" s="8"/>
      <c r="TL227" s="8"/>
      <c r="TM227" s="8"/>
      <c r="TN227" s="8"/>
      <c r="TO227" s="8"/>
    </row>
    <row r="228" spans="1:535" x14ac:dyDescent="0.2">
      <c r="A228" s="7"/>
      <c r="B228" s="7"/>
      <c r="C228" s="9"/>
      <c r="D228" s="8"/>
      <c r="E228" s="8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/>
      <c r="BO228" s="9"/>
      <c r="BP228" s="9"/>
      <c r="BQ228" s="9"/>
      <c r="BR228" s="9"/>
      <c r="BS228" s="9"/>
      <c r="BT228" s="9"/>
      <c r="BU228" s="9"/>
      <c r="BV228" s="9"/>
      <c r="BW228" s="9"/>
      <c r="BX228" s="9"/>
      <c r="BY228" s="9"/>
      <c r="BZ228" s="9"/>
      <c r="CA228" s="9"/>
      <c r="CB228" s="9"/>
      <c r="CC228" s="9"/>
      <c r="CD228" s="9"/>
      <c r="CE228" s="9"/>
      <c r="CF228" s="9"/>
      <c r="CG228" s="9"/>
      <c r="CH228" s="9"/>
      <c r="CI228" s="9"/>
      <c r="CJ228" s="9"/>
      <c r="CK228" s="9"/>
      <c r="CL228" s="9"/>
      <c r="CM228" s="9"/>
      <c r="CN228" s="9"/>
      <c r="CO228" s="9"/>
      <c r="CP228" s="9"/>
      <c r="CQ228" s="9"/>
      <c r="CR228" s="9"/>
      <c r="CS228" s="9"/>
      <c r="CT228" s="9"/>
      <c r="CU228" s="9"/>
      <c r="CV228" s="9"/>
      <c r="CW228" s="9"/>
      <c r="CX228" s="9"/>
      <c r="CY228" s="9"/>
      <c r="CZ228" s="9"/>
      <c r="DA228" s="9"/>
      <c r="DB228" s="9"/>
      <c r="DC228" s="9"/>
      <c r="DD228" s="9"/>
      <c r="DE228" s="9"/>
      <c r="DF228" s="9"/>
      <c r="DG228" s="9"/>
      <c r="DH228" s="9"/>
      <c r="DI228" s="9"/>
      <c r="DJ228" s="9"/>
      <c r="DK228" s="9"/>
      <c r="DL228" s="9"/>
      <c r="DM228" s="9"/>
      <c r="DN228" s="9"/>
      <c r="DO228" s="9"/>
      <c r="DP228" s="9"/>
      <c r="DQ228" s="9"/>
      <c r="DR228" s="9"/>
      <c r="DS228" s="9"/>
      <c r="DT228" s="9"/>
      <c r="DU228" s="9"/>
      <c r="DV228" s="9"/>
      <c r="DW228" s="9"/>
      <c r="DX228" s="9"/>
      <c r="DY228" s="9"/>
      <c r="DZ228" s="9"/>
      <c r="EA228" s="9"/>
      <c r="EB228" s="9"/>
      <c r="EC228" s="9"/>
      <c r="ED228" s="9"/>
      <c r="EE228" s="9"/>
      <c r="EF228" s="9"/>
      <c r="EG228" s="9"/>
      <c r="EH228" s="9"/>
      <c r="EI228" s="9"/>
      <c r="EJ228" s="9"/>
      <c r="EK228" s="9"/>
      <c r="EL228" s="9"/>
      <c r="EM228" s="9"/>
      <c r="EN228" s="9"/>
      <c r="EO228" s="9"/>
      <c r="EP228" s="9"/>
      <c r="EQ228" s="9"/>
      <c r="ER228" s="9"/>
      <c r="ES228" s="9"/>
      <c r="ET228" s="9"/>
      <c r="EU228" s="9"/>
      <c r="EV228" s="9"/>
      <c r="EW228" s="9"/>
      <c r="EX228" s="9"/>
      <c r="EY228" s="9"/>
      <c r="EZ228" s="9"/>
      <c r="FA228" s="9"/>
      <c r="FB228" s="9"/>
      <c r="FC228" s="9"/>
      <c r="FD228" s="9"/>
      <c r="FE228" s="9"/>
      <c r="FF228" s="9"/>
      <c r="FG228" s="9"/>
      <c r="FH228" s="9"/>
      <c r="FI228" s="9"/>
      <c r="FJ228" s="9"/>
      <c r="FK228" s="9"/>
      <c r="FL228" s="9"/>
      <c r="FM228" s="9"/>
      <c r="FN228" s="9"/>
      <c r="FO228" s="9"/>
      <c r="FP228" s="9"/>
      <c r="FQ228" s="9"/>
      <c r="FR228" s="9"/>
      <c r="FS228" s="9"/>
      <c r="FT228" s="9"/>
      <c r="FU228" s="9"/>
      <c r="FV228" s="9"/>
      <c r="FW228" s="9"/>
      <c r="FX228" s="9"/>
      <c r="FY228" s="9"/>
      <c r="FZ228" s="9"/>
      <c r="GA228" s="9"/>
      <c r="GB228" s="9"/>
      <c r="GC228" s="9"/>
      <c r="GD228" s="9"/>
      <c r="GE228" s="9"/>
      <c r="GF228" s="9"/>
      <c r="GG228" s="9"/>
      <c r="GH228" s="9"/>
      <c r="GI228" s="9"/>
      <c r="GJ228" s="9"/>
      <c r="GK228" s="9"/>
      <c r="GL228" s="9"/>
      <c r="GM228" s="9"/>
      <c r="GN228" s="9"/>
      <c r="GO228" s="9"/>
      <c r="GP228" s="9"/>
      <c r="GQ228" s="9"/>
      <c r="GR228" s="9"/>
      <c r="GS228" s="9"/>
      <c r="GT228" s="9"/>
      <c r="GU228" s="9"/>
      <c r="GV228" s="9"/>
      <c r="GW228" s="9"/>
      <c r="GX228" s="9"/>
      <c r="GY228" s="9"/>
      <c r="GZ228" s="9"/>
      <c r="HA228" s="9"/>
      <c r="HB228" s="9"/>
      <c r="HC228" s="9"/>
      <c r="HD228" s="9"/>
      <c r="HE228" s="9"/>
      <c r="HF228" s="9"/>
      <c r="HG228" s="9"/>
      <c r="HH228" s="9"/>
      <c r="HI228" s="9"/>
      <c r="HJ228" s="9"/>
      <c r="HK228" s="9"/>
      <c r="HL228" s="9"/>
      <c r="HM228" s="9"/>
      <c r="HN228" s="9"/>
      <c r="HO228" s="9"/>
      <c r="HP228" s="9"/>
      <c r="HQ228" s="9"/>
      <c r="HR228" s="9"/>
      <c r="HS228" s="9"/>
      <c r="HT228" s="9"/>
      <c r="HU228" s="9"/>
      <c r="HV228" s="9"/>
      <c r="HW228" s="9"/>
      <c r="HX228" s="9"/>
      <c r="HY228" s="9"/>
      <c r="HZ228" s="9"/>
      <c r="IA228" s="9"/>
      <c r="IB228" s="9"/>
      <c r="IC228" s="9"/>
      <c r="ID228" s="9"/>
      <c r="IE228" s="9"/>
      <c r="IF228" s="9"/>
      <c r="IG228" s="9"/>
      <c r="IH228" s="9"/>
      <c r="II228" s="9"/>
      <c r="IJ228" s="9"/>
      <c r="IK228" s="9"/>
      <c r="IL228" s="9"/>
      <c r="IM228" s="9"/>
      <c r="IN228" s="9"/>
      <c r="IO228" s="9"/>
      <c r="IP228" s="9"/>
      <c r="IQ228" s="9"/>
      <c r="IR228" s="9"/>
      <c r="IS228" s="9"/>
      <c r="IT228" s="9"/>
      <c r="IU228" s="9"/>
      <c r="IV228" s="9"/>
      <c r="IW228" s="9"/>
      <c r="IX228" s="9"/>
      <c r="IY228" s="9"/>
      <c r="IZ228" s="9"/>
      <c r="JA228" s="9"/>
      <c r="JB228" s="9"/>
      <c r="JC228" s="9"/>
      <c r="JD228" s="9"/>
      <c r="JE228" s="9"/>
      <c r="JF228" s="9"/>
      <c r="JG228" s="9"/>
      <c r="JH228" s="9"/>
      <c r="JI228" s="9"/>
      <c r="JJ228" s="9"/>
      <c r="JK228" s="9"/>
      <c r="JL228" s="9"/>
      <c r="JM228" s="9"/>
      <c r="JN228" s="9"/>
      <c r="JO228" s="9"/>
      <c r="JP228" s="9"/>
      <c r="JQ228" s="9"/>
      <c r="JR228" s="9"/>
      <c r="JS228" s="9"/>
      <c r="JT228" s="9"/>
      <c r="JU228" s="9"/>
      <c r="JV228" s="9"/>
      <c r="JW228" s="9"/>
      <c r="JX228" s="9"/>
      <c r="JY228" s="9"/>
      <c r="JZ228" s="9"/>
      <c r="KA228" s="9"/>
      <c r="KB228" s="9"/>
      <c r="KC228" s="9"/>
      <c r="KD228" s="9"/>
      <c r="KE228" s="9"/>
      <c r="KF228" s="9"/>
      <c r="KG228" s="9"/>
      <c r="KH228" s="9"/>
      <c r="KI228" s="9"/>
      <c r="KJ228" s="9"/>
      <c r="KK228" s="9"/>
      <c r="KL228" s="9"/>
      <c r="KM228" s="9"/>
      <c r="KN228" s="9"/>
      <c r="KO228" s="9"/>
      <c r="KP228" s="9"/>
      <c r="KQ228" s="9"/>
      <c r="KR228" s="9"/>
      <c r="KS228" s="9"/>
      <c r="KT228" s="9"/>
      <c r="KU228" s="9"/>
      <c r="KV228" s="9"/>
      <c r="KW228" s="9"/>
      <c r="KX228" s="9"/>
      <c r="KY228" s="9"/>
      <c r="KZ228" s="9"/>
      <c r="LA228" s="9"/>
      <c r="LB228" s="9"/>
      <c r="LC228" s="9"/>
      <c r="LD228" s="9"/>
      <c r="LE228" s="9"/>
      <c r="LF228" s="9"/>
      <c r="LG228" s="9"/>
      <c r="LH228" s="9"/>
      <c r="LI228" s="9"/>
      <c r="LJ228" s="9"/>
      <c r="LK228" s="9"/>
      <c r="LL228" s="9"/>
      <c r="LM228" s="9"/>
      <c r="LN228" s="9"/>
      <c r="LO228" s="9"/>
      <c r="LP228" s="9"/>
      <c r="LQ228" s="9"/>
      <c r="LR228" s="9"/>
      <c r="LS228" s="9"/>
      <c r="LT228" s="9"/>
      <c r="LU228" s="9"/>
      <c r="LV228" s="9"/>
      <c r="LW228" s="9"/>
      <c r="LX228" s="9"/>
      <c r="LY228" s="9"/>
      <c r="LZ228" s="9"/>
      <c r="MA228" s="9"/>
      <c r="MB228" s="9"/>
      <c r="MC228" s="9"/>
      <c r="MD228" s="9"/>
      <c r="ME228" s="9"/>
      <c r="MF228" s="9"/>
      <c r="MG228" s="9"/>
      <c r="MH228" s="9"/>
      <c r="MI228" s="9"/>
      <c r="MJ228" s="9"/>
      <c r="MK228" s="9"/>
      <c r="ML228" s="9"/>
      <c r="MM228" s="9"/>
      <c r="MN228" s="9"/>
      <c r="MO228" s="9"/>
      <c r="MP228" s="9"/>
      <c r="MQ228" s="9"/>
      <c r="MR228" s="9"/>
      <c r="MS228" s="9"/>
      <c r="MT228" s="9"/>
      <c r="MU228" s="9"/>
      <c r="MV228" s="9"/>
      <c r="MW228" s="9"/>
      <c r="MX228" s="9"/>
      <c r="MY228" s="9"/>
      <c r="MZ228" s="9"/>
      <c r="NA228" s="9"/>
      <c r="NB228" s="9"/>
      <c r="NC228" s="9"/>
      <c r="ND228" s="9"/>
      <c r="NE228" s="9"/>
      <c r="NF228" s="9"/>
      <c r="NG228" s="9"/>
      <c r="NH228" s="9"/>
      <c r="NI228" s="9"/>
      <c r="NJ228" s="9"/>
      <c r="NK228" s="9"/>
      <c r="NL228" s="9"/>
      <c r="NM228" s="9"/>
      <c r="NN228" s="9"/>
      <c r="NO228" s="9"/>
      <c r="NP228" s="9"/>
      <c r="NQ228" s="9"/>
      <c r="NR228" s="9"/>
      <c r="NS228" s="9"/>
      <c r="NT228" s="9"/>
      <c r="NU228" s="9"/>
      <c r="NV228" s="9"/>
      <c r="NW228" s="9"/>
      <c r="NX228" s="9"/>
      <c r="NY228" s="9"/>
      <c r="NZ228" s="9"/>
      <c r="OA228" s="9"/>
      <c r="OB228" s="9"/>
      <c r="OC228" s="9"/>
      <c r="OD228" s="9"/>
      <c r="OE228" s="9"/>
      <c r="OF228" s="9"/>
      <c r="OG228" s="9"/>
      <c r="OH228" s="9"/>
      <c r="OI228" s="9"/>
      <c r="OJ228" s="9"/>
      <c r="OK228" s="9"/>
      <c r="OL228" s="9"/>
      <c r="OM228" s="9"/>
      <c r="ON228" s="9"/>
      <c r="OO228" s="9"/>
      <c r="OP228" s="9"/>
      <c r="OQ228" s="9"/>
      <c r="OR228" s="9"/>
      <c r="OS228" s="9"/>
      <c r="OT228" s="9"/>
      <c r="OU228" s="9"/>
      <c r="OV228" s="9"/>
      <c r="OW228" s="9"/>
      <c r="OX228" s="9"/>
      <c r="OY228" s="9"/>
      <c r="OZ228" s="9"/>
      <c r="PA228" s="9"/>
      <c r="PB228" s="9"/>
      <c r="PC228" s="9"/>
      <c r="PD228" s="9"/>
      <c r="PE228" s="9"/>
      <c r="PF228" s="9"/>
      <c r="PG228" s="9"/>
      <c r="PH228" s="9"/>
      <c r="PI228" s="9"/>
      <c r="PJ228" s="9"/>
      <c r="PK228" s="9"/>
      <c r="PL228" s="9"/>
      <c r="PM228" s="9"/>
      <c r="PN228" s="9"/>
      <c r="PO228" s="9"/>
      <c r="PP228" s="9"/>
      <c r="PQ228" s="9"/>
      <c r="PR228" s="9"/>
      <c r="PS228" s="9"/>
      <c r="PT228" s="9"/>
      <c r="PU228" s="9"/>
      <c r="PV228" s="9"/>
      <c r="PW228" s="9"/>
      <c r="PX228" s="9"/>
      <c r="PY228" s="9"/>
      <c r="PZ228" s="9"/>
      <c r="QA228" s="9"/>
      <c r="QB228" s="9"/>
      <c r="QC228" s="9"/>
      <c r="QD228" s="9"/>
      <c r="QE228" s="9"/>
      <c r="QF228" s="9"/>
      <c r="QG228" s="9"/>
      <c r="QH228" s="9"/>
      <c r="QI228" s="9"/>
      <c r="QJ228" s="9"/>
      <c r="QK228" s="9"/>
      <c r="QL228" s="9"/>
      <c r="QM228" s="9"/>
      <c r="QN228" s="9"/>
      <c r="QO228" s="9"/>
      <c r="QP228" s="9"/>
      <c r="QQ228" s="9"/>
      <c r="QR228" s="9"/>
      <c r="QS228" s="9"/>
      <c r="QT228" s="9"/>
      <c r="QU228" s="9"/>
      <c r="QV228" s="9"/>
      <c r="QW228" s="9"/>
      <c r="QX228" s="9"/>
      <c r="QY228" s="9"/>
      <c r="QZ228" s="9"/>
      <c r="RA228" s="9"/>
      <c r="RB228" s="9"/>
      <c r="RC228" s="9"/>
      <c r="RD228" s="9"/>
      <c r="RE228" s="9"/>
      <c r="RF228" s="9"/>
      <c r="RG228" s="9"/>
      <c r="RH228" s="9"/>
      <c r="RI228" s="9"/>
      <c r="RJ228" s="9"/>
      <c r="RK228" s="9"/>
      <c r="RL228" s="9"/>
      <c r="RM228" s="9"/>
      <c r="RN228" s="9"/>
      <c r="RO228" s="9"/>
      <c r="RP228" s="9"/>
      <c r="RQ228" s="9"/>
      <c r="RR228" s="9"/>
      <c r="RS228" s="9"/>
      <c r="RT228" s="9"/>
      <c r="RU228" s="9"/>
      <c r="RV228" s="9"/>
      <c r="RW228" s="9"/>
      <c r="RX228" s="9"/>
      <c r="RY228" s="9"/>
      <c r="RZ228" s="9"/>
      <c r="SA228" s="9"/>
      <c r="SB228" s="9"/>
      <c r="SC228" s="9"/>
      <c r="SD228" s="9"/>
      <c r="SE228" s="9"/>
      <c r="SF228" s="9"/>
      <c r="SG228" s="9"/>
      <c r="SH228" s="9"/>
      <c r="SI228" s="9"/>
      <c r="SJ228" s="9"/>
      <c r="SK228" s="8"/>
      <c r="SL228" s="8"/>
      <c r="SM228" s="8"/>
      <c r="SN228" s="8"/>
      <c r="SO228" s="8"/>
      <c r="SP228" s="8"/>
      <c r="SQ228" s="8"/>
      <c r="SR228" s="8"/>
      <c r="SS228" s="8"/>
      <c r="ST228" s="8"/>
      <c r="SU228" s="8"/>
      <c r="SV228" s="8"/>
      <c r="SW228" s="8"/>
      <c r="SX228" s="8"/>
      <c r="SY228" s="8"/>
      <c r="SZ228" s="8"/>
      <c r="TA228" s="8"/>
      <c r="TB228" s="8"/>
      <c r="TC228" s="8"/>
      <c r="TD228" s="8"/>
      <c r="TE228" s="8"/>
      <c r="TF228" s="8"/>
      <c r="TG228" s="8"/>
      <c r="TH228" s="8"/>
      <c r="TI228" s="8"/>
      <c r="TJ228" s="8"/>
      <c r="TK228" s="8"/>
      <c r="TL228" s="8"/>
      <c r="TM228" s="8"/>
      <c r="TN228" s="8"/>
      <c r="TO228" s="8"/>
    </row>
    <row r="229" spans="1:535" x14ac:dyDescent="0.2">
      <c r="A229" s="7"/>
      <c r="B229" s="7"/>
      <c r="C229" s="9"/>
      <c r="D229" s="8"/>
      <c r="E229" s="8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9"/>
      <c r="BN229" s="9"/>
      <c r="BO229" s="9"/>
      <c r="BP229" s="9"/>
      <c r="BQ229" s="9"/>
      <c r="BR229" s="9"/>
      <c r="BS229" s="9"/>
      <c r="BT229" s="9"/>
      <c r="BU229" s="9"/>
      <c r="BV229" s="9"/>
      <c r="BW229" s="9"/>
      <c r="BX229" s="9"/>
      <c r="BY229" s="9"/>
      <c r="BZ229" s="9"/>
      <c r="CA229" s="9"/>
      <c r="CB229" s="9"/>
      <c r="CC229" s="9"/>
      <c r="CD229" s="9"/>
      <c r="CE229" s="9"/>
      <c r="CF229" s="9"/>
      <c r="CG229" s="9"/>
      <c r="CH229" s="9"/>
      <c r="CI229" s="9"/>
      <c r="CJ229" s="9"/>
      <c r="CK229" s="9"/>
      <c r="CL229" s="9"/>
      <c r="CM229" s="9"/>
      <c r="CN229" s="9"/>
      <c r="CO229" s="9"/>
      <c r="CP229" s="9"/>
      <c r="CQ229" s="9"/>
      <c r="CR229" s="9"/>
      <c r="CS229" s="9"/>
      <c r="CT229" s="9"/>
      <c r="CU229" s="9"/>
      <c r="CV229" s="9"/>
      <c r="CW229" s="9"/>
      <c r="CX229" s="9"/>
      <c r="CY229" s="9"/>
      <c r="CZ229" s="9"/>
      <c r="DA229" s="9"/>
      <c r="DB229" s="9"/>
      <c r="DC229" s="9"/>
      <c r="DD229" s="9"/>
      <c r="DE229" s="9"/>
      <c r="DF229" s="9"/>
      <c r="DG229" s="9"/>
      <c r="DH229" s="9"/>
      <c r="DI229" s="9"/>
      <c r="DJ229" s="9"/>
      <c r="DK229" s="9"/>
      <c r="DL229" s="9"/>
      <c r="DM229" s="9"/>
      <c r="DN229" s="9"/>
      <c r="DO229" s="9"/>
      <c r="DP229" s="9"/>
      <c r="DQ229" s="9"/>
      <c r="DR229" s="9"/>
      <c r="DS229" s="9"/>
      <c r="DT229" s="9"/>
      <c r="DU229" s="9"/>
      <c r="DV229" s="9"/>
      <c r="DW229" s="9"/>
      <c r="DX229" s="9"/>
      <c r="DY229" s="9"/>
      <c r="DZ229" s="9"/>
      <c r="EA229" s="9"/>
      <c r="EB229" s="9"/>
      <c r="EC229" s="9"/>
      <c r="ED229" s="9"/>
      <c r="EE229" s="9"/>
      <c r="EF229" s="9"/>
      <c r="EG229" s="9"/>
      <c r="EH229" s="9"/>
      <c r="EI229" s="9"/>
      <c r="EJ229" s="9"/>
      <c r="EK229" s="9"/>
      <c r="EL229" s="9"/>
      <c r="EM229" s="9"/>
      <c r="EN229" s="9"/>
      <c r="EO229" s="9"/>
      <c r="EP229" s="9"/>
      <c r="EQ229" s="9"/>
      <c r="ER229" s="9"/>
      <c r="ES229" s="9"/>
      <c r="ET229" s="9"/>
      <c r="EU229" s="9"/>
      <c r="EV229" s="9"/>
      <c r="EW229" s="9"/>
      <c r="EX229" s="9"/>
      <c r="EY229" s="9"/>
      <c r="EZ229" s="9"/>
      <c r="FA229" s="9"/>
      <c r="FB229" s="9"/>
      <c r="FC229" s="9"/>
      <c r="FD229" s="9"/>
      <c r="FE229" s="9"/>
      <c r="FF229" s="9"/>
      <c r="FG229" s="9"/>
      <c r="FH229" s="9"/>
      <c r="FI229" s="9"/>
      <c r="FJ229" s="9"/>
      <c r="FK229" s="9"/>
      <c r="FL229" s="9"/>
      <c r="FM229" s="9"/>
      <c r="FN229" s="9"/>
      <c r="FO229" s="9"/>
      <c r="FP229" s="9"/>
      <c r="FQ229" s="9"/>
      <c r="FR229" s="9"/>
      <c r="FS229" s="9"/>
      <c r="FT229" s="9"/>
      <c r="FU229" s="9"/>
      <c r="FV229" s="9"/>
      <c r="FW229" s="9"/>
      <c r="FX229" s="9"/>
      <c r="FY229" s="9"/>
      <c r="FZ229" s="9"/>
      <c r="GA229" s="9"/>
      <c r="GB229" s="9"/>
      <c r="GC229" s="9"/>
      <c r="GD229" s="9"/>
      <c r="GE229" s="9"/>
      <c r="GF229" s="9"/>
      <c r="GG229" s="9"/>
      <c r="GH229" s="9"/>
      <c r="GI229" s="9"/>
      <c r="GJ229" s="9"/>
      <c r="GK229" s="9"/>
      <c r="GL229" s="9"/>
      <c r="GM229" s="9"/>
      <c r="GN229" s="9"/>
      <c r="GO229" s="9"/>
      <c r="GP229" s="9"/>
      <c r="GQ229" s="9"/>
      <c r="GR229" s="9"/>
      <c r="GS229" s="9"/>
      <c r="GT229" s="9"/>
      <c r="GU229" s="9"/>
      <c r="GV229" s="9"/>
      <c r="GW229" s="9"/>
      <c r="GX229" s="9"/>
      <c r="GY229" s="9"/>
      <c r="GZ229" s="9"/>
      <c r="HA229" s="9"/>
      <c r="HB229" s="9"/>
      <c r="HC229" s="9"/>
      <c r="HD229" s="9"/>
      <c r="HE229" s="9"/>
      <c r="HF229" s="9"/>
      <c r="HG229" s="9"/>
      <c r="HH229" s="9"/>
      <c r="HI229" s="9"/>
      <c r="HJ229" s="9"/>
      <c r="HK229" s="9"/>
      <c r="HL229" s="9"/>
      <c r="HM229" s="9"/>
      <c r="HN229" s="9"/>
      <c r="HO229" s="9"/>
      <c r="HP229" s="9"/>
      <c r="HQ229" s="9"/>
      <c r="HR229" s="9"/>
      <c r="HS229" s="9"/>
      <c r="HT229" s="9"/>
      <c r="HU229" s="9"/>
      <c r="HV229" s="9"/>
      <c r="HW229" s="9"/>
      <c r="HX229" s="9"/>
      <c r="HY229" s="9"/>
      <c r="HZ229" s="9"/>
      <c r="IA229" s="9"/>
      <c r="IB229" s="9"/>
      <c r="IC229" s="9"/>
      <c r="ID229" s="9"/>
      <c r="IE229" s="9"/>
      <c r="IF229" s="9"/>
      <c r="IG229" s="9"/>
      <c r="IH229" s="9"/>
      <c r="II229" s="9"/>
      <c r="IJ229" s="9"/>
      <c r="IK229" s="9"/>
      <c r="IL229" s="9"/>
      <c r="IM229" s="9"/>
      <c r="IN229" s="9"/>
      <c r="IO229" s="9"/>
      <c r="IP229" s="9"/>
      <c r="IQ229" s="9"/>
      <c r="IR229" s="9"/>
      <c r="IS229" s="9"/>
      <c r="IT229" s="9"/>
      <c r="IU229" s="9"/>
      <c r="IV229" s="9"/>
      <c r="IW229" s="9"/>
      <c r="IX229" s="9"/>
      <c r="IY229" s="9"/>
      <c r="IZ229" s="9"/>
      <c r="JA229" s="9"/>
      <c r="JB229" s="9"/>
      <c r="JC229" s="9"/>
      <c r="JD229" s="9"/>
      <c r="JE229" s="9"/>
      <c r="JF229" s="9"/>
      <c r="JG229" s="9"/>
      <c r="JH229" s="9"/>
      <c r="JI229" s="9"/>
      <c r="JJ229" s="9"/>
      <c r="JK229" s="9"/>
      <c r="JL229" s="9"/>
      <c r="JM229" s="9"/>
      <c r="JN229" s="9"/>
      <c r="JO229" s="9"/>
      <c r="JP229" s="9"/>
      <c r="JQ229" s="9"/>
      <c r="JR229" s="9"/>
      <c r="JS229" s="9"/>
      <c r="JT229" s="9"/>
      <c r="JU229" s="9"/>
      <c r="JV229" s="9"/>
      <c r="JW229" s="9"/>
      <c r="JX229" s="9"/>
      <c r="JY229" s="9"/>
      <c r="JZ229" s="9"/>
      <c r="KA229" s="9"/>
      <c r="KB229" s="9"/>
      <c r="KC229" s="9"/>
      <c r="KD229" s="9"/>
      <c r="KE229" s="9"/>
      <c r="KF229" s="9"/>
      <c r="KG229" s="9"/>
      <c r="KH229" s="9"/>
      <c r="KI229" s="9"/>
      <c r="KJ229" s="9"/>
      <c r="KK229" s="9"/>
      <c r="KL229" s="9"/>
      <c r="KM229" s="9"/>
      <c r="KN229" s="9"/>
      <c r="KO229" s="9"/>
      <c r="KP229" s="9"/>
      <c r="KQ229" s="9"/>
      <c r="KR229" s="9"/>
      <c r="KS229" s="9"/>
      <c r="KT229" s="9"/>
      <c r="KU229" s="9"/>
      <c r="KV229" s="9"/>
      <c r="KW229" s="9"/>
      <c r="KX229" s="9"/>
      <c r="KY229" s="9"/>
      <c r="KZ229" s="9"/>
      <c r="LA229" s="9"/>
      <c r="LB229" s="9"/>
      <c r="LC229" s="9"/>
      <c r="LD229" s="9"/>
      <c r="LE229" s="9"/>
      <c r="LF229" s="9"/>
      <c r="LG229" s="9"/>
      <c r="LH229" s="9"/>
      <c r="LI229" s="9"/>
      <c r="LJ229" s="9"/>
      <c r="LK229" s="9"/>
      <c r="LL229" s="9"/>
      <c r="LM229" s="9"/>
      <c r="LN229" s="9"/>
      <c r="LO229" s="9"/>
      <c r="LP229" s="9"/>
      <c r="LQ229" s="9"/>
      <c r="LR229" s="9"/>
      <c r="LS229" s="9"/>
      <c r="LT229" s="9"/>
      <c r="LU229" s="9"/>
      <c r="LV229" s="9"/>
      <c r="LW229" s="9"/>
      <c r="LX229" s="9"/>
      <c r="LY229" s="9"/>
      <c r="LZ229" s="9"/>
      <c r="MA229" s="9"/>
      <c r="MB229" s="9"/>
      <c r="MC229" s="9"/>
      <c r="MD229" s="9"/>
      <c r="ME229" s="9"/>
      <c r="MF229" s="9"/>
      <c r="MG229" s="9"/>
      <c r="MH229" s="9"/>
      <c r="MI229" s="9"/>
      <c r="MJ229" s="9"/>
      <c r="MK229" s="9"/>
      <c r="ML229" s="9"/>
      <c r="MM229" s="9"/>
      <c r="MN229" s="9"/>
      <c r="MO229" s="9"/>
      <c r="MP229" s="9"/>
      <c r="MQ229" s="9"/>
      <c r="MR229" s="9"/>
      <c r="MS229" s="9"/>
      <c r="MT229" s="9"/>
      <c r="MU229" s="9"/>
      <c r="MV229" s="9"/>
      <c r="MW229" s="9"/>
      <c r="MX229" s="9"/>
      <c r="MY229" s="9"/>
      <c r="MZ229" s="9"/>
      <c r="NA229" s="9"/>
      <c r="NB229" s="9"/>
      <c r="NC229" s="9"/>
      <c r="ND229" s="9"/>
      <c r="NE229" s="9"/>
      <c r="NF229" s="9"/>
      <c r="NG229" s="9"/>
      <c r="NH229" s="9"/>
      <c r="NI229" s="9"/>
      <c r="NJ229" s="9"/>
      <c r="NK229" s="9"/>
      <c r="NL229" s="9"/>
      <c r="NM229" s="9"/>
      <c r="NN229" s="9"/>
      <c r="NO229" s="9"/>
      <c r="NP229" s="9"/>
      <c r="NQ229" s="9"/>
      <c r="NR229" s="9"/>
      <c r="NS229" s="9"/>
      <c r="NT229" s="9"/>
      <c r="NU229" s="9"/>
      <c r="NV229" s="9"/>
      <c r="NW229" s="9"/>
      <c r="NX229" s="9"/>
      <c r="NY229" s="9"/>
      <c r="NZ229" s="9"/>
      <c r="OA229" s="9"/>
      <c r="OB229" s="9"/>
      <c r="OC229" s="9"/>
      <c r="OD229" s="9"/>
      <c r="OE229" s="9"/>
      <c r="OF229" s="9"/>
      <c r="OG229" s="9"/>
      <c r="OH229" s="9"/>
      <c r="OI229" s="9"/>
      <c r="OJ229" s="9"/>
      <c r="OK229" s="9"/>
      <c r="OL229" s="9"/>
      <c r="OM229" s="9"/>
      <c r="ON229" s="9"/>
      <c r="OO229" s="9"/>
      <c r="OP229" s="9"/>
      <c r="OQ229" s="9"/>
      <c r="OR229" s="9"/>
      <c r="OS229" s="9"/>
      <c r="OT229" s="9"/>
      <c r="OU229" s="9"/>
      <c r="OV229" s="9"/>
      <c r="OW229" s="9"/>
      <c r="OX229" s="9"/>
      <c r="OY229" s="9"/>
      <c r="OZ229" s="9"/>
      <c r="PA229" s="9"/>
      <c r="PB229" s="9"/>
      <c r="PC229" s="9"/>
      <c r="PD229" s="9"/>
      <c r="PE229" s="9"/>
      <c r="PF229" s="9"/>
      <c r="PG229" s="9"/>
      <c r="PH229" s="9"/>
      <c r="PI229" s="9"/>
      <c r="PJ229" s="9"/>
      <c r="PK229" s="9"/>
      <c r="PL229" s="9"/>
      <c r="PM229" s="9"/>
      <c r="PN229" s="9"/>
      <c r="PO229" s="9"/>
      <c r="PP229" s="9"/>
      <c r="PQ229" s="9"/>
      <c r="PR229" s="9"/>
      <c r="PS229" s="9"/>
      <c r="PT229" s="9"/>
      <c r="PU229" s="9"/>
      <c r="PV229" s="9"/>
      <c r="PW229" s="9"/>
      <c r="PX229" s="9"/>
      <c r="PY229" s="9"/>
      <c r="PZ229" s="9"/>
      <c r="QA229" s="9"/>
      <c r="QB229" s="9"/>
      <c r="QC229" s="9"/>
      <c r="QD229" s="9"/>
      <c r="QE229" s="9"/>
      <c r="QF229" s="9"/>
      <c r="QG229" s="9"/>
      <c r="QH229" s="9"/>
      <c r="QI229" s="9"/>
      <c r="QJ229" s="9"/>
      <c r="QK229" s="9"/>
      <c r="QL229" s="9"/>
      <c r="QM229" s="9"/>
      <c r="QN229" s="9"/>
      <c r="QO229" s="9"/>
      <c r="QP229" s="9"/>
      <c r="QQ229" s="9"/>
      <c r="QR229" s="9"/>
      <c r="QS229" s="9"/>
      <c r="QT229" s="9"/>
      <c r="QU229" s="9"/>
      <c r="QV229" s="9"/>
      <c r="QW229" s="9"/>
      <c r="QX229" s="9"/>
      <c r="QY229" s="9"/>
      <c r="QZ229" s="9"/>
      <c r="RA229" s="9"/>
      <c r="RB229" s="9"/>
      <c r="RC229" s="9"/>
      <c r="RD229" s="9"/>
      <c r="RE229" s="9"/>
      <c r="RF229" s="9"/>
      <c r="RG229" s="9"/>
      <c r="RH229" s="9"/>
      <c r="RI229" s="9"/>
      <c r="RJ229" s="9"/>
      <c r="RK229" s="9"/>
      <c r="RL229" s="9"/>
      <c r="RM229" s="9"/>
      <c r="RN229" s="9"/>
      <c r="RO229" s="9"/>
      <c r="RP229" s="9"/>
      <c r="RQ229" s="9"/>
      <c r="RR229" s="9"/>
      <c r="RS229" s="9"/>
      <c r="RT229" s="9"/>
      <c r="RU229" s="9"/>
      <c r="RV229" s="9"/>
      <c r="RW229" s="9"/>
      <c r="RX229" s="9"/>
      <c r="RY229" s="9"/>
      <c r="RZ229" s="9"/>
      <c r="SA229" s="9"/>
      <c r="SB229" s="9"/>
      <c r="SC229" s="9"/>
      <c r="SD229" s="9"/>
      <c r="SE229" s="9"/>
      <c r="SF229" s="9"/>
      <c r="SG229" s="9"/>
      <c r="SH229" s="9"/>
      <c r="SI229" s="9"/>
      <c r="SJ229" s="9"/>
      <c r="SK229" s="8"/>
      <c r="SL229" s="8"/>
      <c r="SM229" s="8"/>
      <c r="SN229" s="8"/>
      <c r="SO229" s="8"/>
      <c r="SP229" s="8"/>
      <c r="SQ229" s="8"/>
      <c r="SR229" s="8"/>
      <c r="SS229" s="8"/>
      <c r="ST229" s="8"/>
      <c r="SU229" s="8"/>
      <c r="SV229" s="8"/>
      <c r="SW229" s="8"/>
      <c r="SX229" s="8"/>
      <c r="SY229" s="8"/>
      <c r="SZ229" s="8"/>
      <c r="TA229" s="8"/>
      <c r="TB229" s="8"/>
      <c r="TC229" s="8"/>
      <c r="TD229" s="8"/>
      <c r="TE229" s="8"/>
      <c r="TF229" s="8"/>
      <c r="TG229" s="8"/>
      <c r="TH229" s="8"/>
      <c r="TI229" s="8"/>
      <c r="TJ229" s="8"/>
      <c r="TK229" s="8"/>
      <c r="TL229" s="8"/>
      <c r="TM229" s="8"/>
      <c r="TN229" s="8"/>
      <c r="TO229" s="8"/>
    </row>
    <row r="230" spans="1:535" x14ac:dyDescent="0.2">
      <c r="A230" s="7"/>
      <c r="B230" s="7"/>
      <c r="C230" s="9"/>
      <c r="D230" s="8"/>
      <c r="E230" s="8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/>
      <c r="BO230" s="9"/>
      <c r="BP230" s="9"/>
      <c r="BQ230" s="9"/>
      <c r="BR230" s="9"/>
      <c r="BS230" s="9"/>
      <c r="BT230" s="9"/>
      <c r="BU230" s="9"/>
      <c r="BV230" s="9"/>
      <c r="BW230" s="9"/>
      <c r="BX230" s="9"/>
      <c r="BY230" s="9"/>
      <c r="BZ230" s="9"/>
      <c r="CA230" s="9"/>
      <c r="CB230" s="9"/>
      <c r="CC230" s="9"/>
      <c r="CD230" s="9"/>
      <c r="CE230" s="9"/>
      <c r="CF230" s="9"/>
      <c r="CG230" s="9"/>
      <c r="CH230" s="9"/>
      <c r="CI230" s="9"/>
      <c r="CJ230" s="9"/>
      <c r="CK230" s="9"/>
      <c r="CL230" s="9"/>
      <c r="CM230" s="9"/>
      <c r="CN230" s="9"/>
      <c r="CO230" s="9"/>
      <c r="CP230" s="9"/>
      <c r="CQ230" s="9"/>
      <c r="CR230" s="9"/>
      <c r="CS230" s="9"/>
      <c r="CT230" s="9"/>
      <c r="CU230" s="9"/>
      <c r="CV230" s="9"/>
      <c r="CW230" s="9"/>
      <c r="CX230" s="9"/>
      <c r="CY230" s="9"/>
      <c r="CZ230" s="9"/>
      <c r="DA230" s="9"/>
      <c r="DB230" s="9"/>
      <c r="DC230" s="9"/>
      <c r="DD230" s="9"/>
      <c r="DE230" s="9"/>
      <c r="DF230" s="9"/>
      <c r="DG230" s="9"/>
      <c r="DH230" s="9"/>
      <c r="DI230" s="9"/>
      <c r="DJ230" s="9"/>
      <c r="DK230" s="9"/>
      <c r="DL230" s="9"/>
      <c r="DM230" s="9"/>
      <c r="DN230" s="9"/>
      <c r="DO230" s="9"/>
      <c r="DP230" s="9"/>
      <c r="DQ230" s="9"/>
      <c r="DR230" s="9"/>
      <c r="DS230" s="9"/>
      <c r="DT230" s="9"/>
      <c r="DU230" s="9"/>
      <c r="DV230" s="9"/>
      <c r="DW230" s="9"/>
      <c r="DX230" s="9"/>
      <c r="DY230" s="9"/>
      <c r="DZ230" s="9"/>
      <c r="EA230" s="9"/>
      <c r="EB230" s="9"/>
      <c r="EC230" s="9"/>
      <c r="ED230" s="9"/>
      <c r="EE230" s="9"/>
      <c r="EF230" s="9"/>
      <c r="EG230" s="9"/>
      <c r="EH230" s="9"/>
      <c r="EI230" s="9"/>
      <c r="EJ230" s="9"/>
      <c r="EK230" s="9"/>
      <c r="EL230" s="9"/>
      <c r="EM230" s="9"/>
      <c r="EN230" s="9"/>
      <c r="EO230" s="9"/>
      <c r="EP230" s="9"/>
      <c r="EQ230" s="9"/>
      <c r="ER230" s="9"/>
      <c r="ES230" s="9"/>
      <c r="ET230" s="9"/>
      <c r="EU230" s="9"/>
      <c r="EV230" s="9"/>
      <c r="EW230" s="9"/>
      <c r="EX230" s="9"/>
      <c r="EY230" s="9"/>
      <c r="EZ230" s="9"/>
      <c r="FA230" s="9"/>
      <c r="FB230" s="9"/>
      <c r="FC230" s="9"/>
      <c r="FD230" s="9"/>
      <c r="FE230" s="9"/>
      <c r="FF230" s="9"/>
      <c r="FG230" s="9"/>
      <c r="FH230" s="9"/>
      <c r="FI230" s="9"/>
      <c r="FJ230" s="9"/>
      <c r="FK230" s="9"/>
      <c r="FL230" s="9"/>
      <c r="FM230" s="9"/>
      <c r="FN230" s="9"/>
      <c r="FO230" s="9"/>
      <c r="FP230" s="9"/>
      <c r="FQ230" s="9"/>
      <c r="FR230" s="9"/>
      <c r="FS230" s="9"/>
      <c r="FT230" s="9"/>
      <c r="FU230" s="9"/>
      <c r="FV230" s="9"/>
      <c r="FW230" s="9"/>
      <c r="FX230" s="9"/>
      <c r="FY230" s="9"/>
      <c r="FZ230" s="9"/>
      <c r="GA230" s="9"/>
      <c r="GB230" s="9"/>
      <c r="GC230" s="9"/>
      <c r="GD230" s="9"/>
      <c r="GE230" s="9"/>
      <c r="GF230" s="9"/>
      <c r="GG230" s="9"/>
      <c r="GH230" s="9"/>
      <c r="GI230" s="9"/>
      <c r="GJ230" s="9"/>
      <c r="GK230" s="9"/>
      <c r="GL230" s="9"/>
      <c r="GM230" s="9"/>
      <c r="GN230" s="9"/>
      <c r="GO230" s="9"/>
      <c r="GP230" s="9"/>
      <c r="GQ230" s="9"/>
      <c r="GR230" s="9"/>
      <c r="GS230" s="9"/>
      <c r="GT230" s="9"/>
      <c r="GU230" s="9"/>
      <c r="GV230" s="9"/>
      <c r="GW230" s="9"/>
      <c r="GX230" s="9"/>
      <c r="GY230" s="9"/>
      <c r="GZ230" s="9"/>
      <c r="HA230" s="9"/>
      <c r="HB230" s="9"/>
      <c r="HC230" s="9"/>
      <c r="HD230" s="9"/>
      <c r="HE230" s="9"/>
      <c r="HF230" s="9"/>
      <c r="HG230" s="9"/>
      <c r="HH230" s="9"/>
      <c r="HI230" s="9"/>
      <c r="HJ230" s="9"/>
      <c r="HK230" s="9"/>
      <c r="HL230" s="9"/>
      <c r="HM230" s="9"/>
      <c r="HN230" s="9"/>
      <c r="HO230" s="9"/>
      <c r="HP230" s="9"/>
      <c r="HQ230" s="9"/>
      <c r="HR230" s="9"/>
      <c r="HS230" s="9"/>
      <c r="HT230" s="9"/>
      <c r="HU230" s="9"/>
      <c r="HV230" s="9"/>
      <c r="HW230" s="9"/>
      <c r="HX230" s="9"/>
      <c r="HY230" s="9"/>
      <c r="HZ230" s="9"/>
      <c r="IA230" s="9"/>
      <c r="IB230" s="9"/>
      <c r="IC230" s="9"/>
      <c r="ID230" s="9"/>
      <c r="IE230" s="9"/>
      <c r="IF230" s="9"/>
      <c r="IG230" s="9"/>
      <c r="IH230" s="9"/>
      <c r="II230" s="9"/>
      <c r="IJ230" s="9"/>
      <c r="IK230" s="9"/>
      <c r="IL230" s="9"/>
      <c r="IM230" s="9"/>
      <c r="IN230" s="9"/>
      <c r="IO230" s="9"/>
      <c r="IP230" s="9"/>
      <c r="IQ230" s="9"/>
      <c r="IR230" s="9"/>
      <c r="IS230" s="9"/>
      <c r="IT230" s="9"/>
      <c r="IU230" s="9"/>
      <c r="IV230" s="9"/>
      <c r="IW230" s="9"/>
      <c r="IX230" s="9"/>
      <c r="IY230" s="9"/>
      <c r="IZ230" s="9"/>
      <c r="JA230" s="9"/>
      <c r="JB230" s="9"/>
      <c r="JC230" s="9"/>
      <c r="JD230" s="9"/>
      <c r="JE230" s="9"/>
      <c r="JF230" s="9"/>
      <c r="JG230" s="9"/>
      <c r="JH230" s="9"/>
      <c r="JI230" s="9"/>
      <c r="JJ230" s="9"/>
      <c r="JK230" s="9"/>
      <c r="JL230" s="9"/>
      <c r="JM230" s="9"/>
      <c r="JN230" s="9"/>
      <c r="JO230" s="9"/>
      <c r="JP230" s="9"/>
      <c r="JQ230" s="9"/>
      <c r="JR230" s="9"/>
      <c r="JS230" s="9"/>
      <c r="JT230" s="9"/>
      <c r="JU230" s="9"/>
      <c r="JV230" s="9"/>
      <c r="JW230" s="9"/>
      <c r="JX230" s="9"/>
      <c r="JY230" s="9"/>
      <c r="JZ230" s="9"/>
      <c r="KA230" s="9"/>
      <c r="KB230" s="9"/>
      <c r="KC230" s="9"/>
      <c r="KD230" s="9"/>
      <c r="KE230" s="9"/>
      <c r="KF230" s="9"/>
      <c r="KG230" s="9"/>
      <c r="KH230" s="9"/>
      <c r="KI230" s="9"/>
      <c r="KJ230" s="9"/>
      <c r="KK230" s="9"/>
      <c r="KL230" s="9"/>
      <c r="KM230" s="9"/>
      <c r="KN230" s="9"/>
      <c r="KO230" s="9"/>
      <c r="KP230" s="9"/>
      <c r="KQ230" s="9"/>
      <c r="KR230" s="9"/>
      <c r="KS230" s="9"/>
      <c r="KT230" s="9"/>
      <c r="KU230" s="9"/>
      <c r="KV230" s="9"/>
      <c r="KW230" s="9"/>
      <c r="KX230" s="9"/>
      <c r="KY230" s="9"/>
      <c r="KZ230" s="9"/>
      <c r="LA230" s="9"/>
      <c r="LB230" s="9"/>
      <c r="LC230" s="9"/>
      <c r="LD230" s="9"/>
      <c r="LE230" s="9"/>
      <c r="LF230" s="9"/>
      <c r="LG230" s="9"/>
      <c r="LH230" s="9"/>
      <c r="LI230" s="9"/>
      <c r="LJ230" s="9"/>
      <c r="LK230" s="9"/>
      <c r="LL230" s="9"/>
      <c r="LM230" s="9"/>
      <c r="LN230" s="9"/>
      <c r="LO230" s="9"/>
      <c r="LP230" s="9"/>
      <c r="LQ230" s="9"/>
      <c r="LR230" s="9"/>
      <c r="LS230" s="9"/>
      <c r="LT230" s="9"/>
      <c r="LU230" s="9"/>
      <c r="LV230" s="9"/>
      <c r="LW230" s="9"/>
      <c r="LX230" s="9"/>
      <c r="LY230" s="9"/>
      <c r="LZ230" s="9"/>
      <c r="MA230" s="9"/>
      <c r="MB230" s="9"/>
      <c r="MC230" s="9"/>
      <c r="MD230" s="9"/>
      <c r="ME230" s="9"/>
      <c r="MF230" s="9"/>
      <c r="MG230" s="9"/>
      <c r="MH230" s="9"/>
      <c r="MI230" s="9"/>
      <c r="MJ230" s="9"/>
      <c r="MK230" s="9"/>
      <c r="ML230" s="9"/>
      <c r="MM230" s="9"/>
      <c r="MN230" s="9"/>
      <c r="MO230" s="9"/>
      <c r="MP230" s="9"/>
      <c r="MQ230" s="9"/>
      <c r="MR230" s="9"/>
      <c r="MS230" s="9"/>
      <c r="MT230" s="9"/>
      <c r="MU230" s="9"/>
      <c r="MV230" s="9"/>
      <c r="MW230" s="9"/>
      <c r="MX230" s="9"/>
      <c r="MY230" s="9"/>
      <c r="MZ230" s="9"/>
      <c r="NA230" s="9"/>
      <c r="NB230" s="9"/>
      <c r="NC230" s="9"/>
      <c r="ND230" s="9"/>
      <c r="NE230" s="9"/>
      <c r="NF230" s="9"/>
      <c r="NG230" s="9"/>
      <c r="NH230" s="9"/>
      <c r="NI230" s="9"/>
      <c r="NJ230" s="9"/>
      <c r="NK230" s="9"/>
      <c r="NL230" s="9"/>
      <c r="NM230" s="9"/>
      <c r="NN230" s="9"/>
      <c r="NO230" s="9"/>
      <c r="NP230" s="9"/>
      <c r="NQ230" s="9"/>
      <c r="NR230" s="9"/>
      <c r="NS230" s="9"/>
      <c r="NT230" s="9"/>
      <c r="NU230" s="9"/>
      <c r="NV230" s="9"/>
      <c r="NW230" s="9"/>
      <c r="NX230" s="9"/>
      <c r="NY230" s="9"/>
      <c r="NZ230" s="9"/>
      <c r="OA230" s="9"/>
      <c r="OB230" s="9"/>
      <c r="OC230" s="9"/>
      <c r="OD230" s="9"/>
      <c r="OE230" s="9"/>
      <c r="OF230" s="9"/>
      <c r="OG230" s="9"/>
      <c r="OH230" s="9"/>
      <c r="OI230" s="9"/>
      <c r="OJ230" s="9"/>
      <c r="OK230" s="9"/>
      <c r="OL230" s="9"/>
      <c r="OM230" s="9"/>
      <c r="ON230" s="9"/>
      <c r="OO230" s="9"/>
      <c r="OP230" s="9"/>
      <c r="OQ230" s="9"/>
      <c r="OR230" s="9"/>
      <c r="OS230" s="9"/>
      <c r="OT230" s="9"/>
      <c r="OU230" s="9"/>
      <c r="OV230" s="9"/>
      <c r="OW230" s="9"/>
      <c r="OX230" s="9"/>
      <c r="OY230" s="9"/>
      <c r="OZ230" s="9"/>
      <c r="PA230" s="9"/>
      <c r="PB230" s="9"/>
      <c r="PC230" s="9"/>
      <c r="PD230" s="9"/>
      <c r="PE230" s="9"/>
      <c r="PF230" s="9"/>
      <c r="PG230" s="9"/>
      <c r="PH230" s="9"/>
      <c r="PI230" s="9"/>
      <c r="PJ230" s="9"/>
      <c r="PK230" s="9"/>
      <c r="PL230" s="9"/>
      <c r="PM230" s="9"/>
      <c r="PN230" s="9"/>
      <c r="PO230" s="9"/>
      <c r="PP230" s="9"/>
      <c r="PQ230" s="9"/>
      <c r="PR230" s="9"/>
      <c r="PS230" s="9"/>
      <c r="PT230" s="9"/>
      <c r="PU230" s="9"/>
      <c r="PV230" s="9"/>
      <c r="PW230" s="9"/>
      <c r="PX230" s="9"/>
      <c r="PY230" s="9"/>
      <c r="PZ230" s="9"/>
      <c r="QA230" s="9"/>
      <c r="QB230" s="9"/>
      <c r="QC230" s="9"/>
      <c r="QD230" s="9"/>
      <c r="QE230" s="9"/>
      <c r="QF230" s="9"/>
      <c r="QG230" s="9"/>
      <c r="QH230" s="9"/>
      <c r="QI230" s="9"/>
      <c r="QJ230" s="9"/>
      <c r="QK230" s="9"/>
      <c r="QL230" s="9"/>
      <c r="QM230" s="9"/>
      <c r="QN230" s="9"/>
      <c r="QO230" s="9"/>
      <c r="QP230" s="9"/>
      <c r="QQ230" s="9"/>
      <c r="QR230" s="9"/>
      <c r="QS230" s="9"/>
      <c r="QT230" s="9"/>
      <c r="QU230" s="9"/>
      <c r="QV230" s="9"/>
      <c r="QW230" s="9"/>
      <c r="QX230" s="9"/>
      <c r="QY230" s="9"/>
      <c r="QZ230" s="9"/>
      <c r="RA230" s="9"/>
      <c r="RB230" s="9"/>
      <c r="RC230" s="9"/>
      <c r="RD230" s="9"/>
      <c r="RE230" s="9"/>
      <c r="RF230" s="9"/>
      <c r="RG230" s="9"/>
      <c r="RH230" s="9"/>
      <c r="RI230" s="9"/>
      <c r="RJ230" s="9"/>
      <c r="RK230" s="9"/>
      <c r="RL230" s="9"/>
      <c r="RM230" s="9"/>
      <c r="RN230" s="9"/>
      <c r="RO230" s="9"/>
      <c r="RP230" s="9"/>
      <c r="RQ230" s="9"/>
      <c r="RR230" s="9"/>
      <c r="RS230" s="9"/>
      <c r="RT230" s="9"/>
      <c r="RU230" s="9"/>
      <c r="RV230" s="9"/>
      <c r="RW230" s="9"/>
      <c r="RX230" s="9"/>
      <c r="RY230" s="9"/>
      <c r="RZ230" s="9"/>
      <c r="SA230" s="9"/>
      <c r="SB230" s="9"/>
      <c r="SC230" s="9"/>
      <c r="SD230" s="9"/>
      <c r="SE230" s="9"/>
      <c r="SF230" s="9"/>
      <c r="SG230" s="9"/>
      <c r="SH230" s="9"/>
      <c r="SI230" s="9"/>
      <c r="SJ230" s="9"/>
      <c r="SK230" s="8"/>
      <c r="SL230" s="8"/>
      <c r="SM230" s="8"/>
      <c r="SN230" s="8"/>
      <c r="SO230" s="8"/>
      <c r="SP230" s="8"/>
      <c r="SQ230" s="8"/>
      <c r="SR230" s="8"/>
      <c r="SS230" s="8"/>
      <c r="ST230" s="8"/>
      <c r="SU230" s="8"/>
      <c r="SV230" s="8"/>
      <c r="SW230" s="8"/>
      <c r="SX230" s="8"/>
      <c r="SY230" s="8"/>
      <c r="SZ230" s="8"/>
      <c r="TA230" s="8"/>
      <c r="TB230" s="8"/>
      <c r="TC230" s="8"/>
      <c r="TD230" s="8"/>
      <c r="TE230" s="8"/>
      <c r="TF230" s="8"/>
      <c r="TG230" s="8"/>
      <c r="TH230" s="8"/>
      <c r="TI230" s="8"/>
      <c r="TJ230" s="8"/>
      <c r="TK230" s="8"/>
      <c r="TL230" s="8"/>
      <c r="TM230" s="8"/>
      <c r="TN230" s="8"/>
      <c r="TO230" s="8"/>
    </row>
    <row r="231" spans="1:535" x14ac:dyDescent="0.2">
      <c r="A231" s="7"/>
      <c r="B231" s="7"/>
      <c r="C231" s="9"/>
      <c r="D231" s="8"/>
      <c r="E231" s="8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/>
      <c r="BO231" s="9"/>
      <c r="BP231" s="9"/>
      <c r="BQ231" s="9"/>
      <c r="BR231" s="9"/>
      <c r="BS231" s="9"/>
      <c r="BT231" s="9"/>
      <c r="BU231" s="9"/>
      <c r="BV231" s="9"/>
      <c r="BW231" s="9"/>
      <c r="BX231" s="9"/>
      <c r="BY231" s="9"/>
      <c r="BZ231" s="9"/>
      <c r="CA231" s="9"/>
      <c r="CB231" s="9"/>
      <c r="CC231" s="9"/>
      <c r="CD231" s="9"/>
      <c r="CE231" s="9"/>
      <c r="CF231" s="9"/>
      <c r="CG231" s="9"/>
      <c r="CH231" s="9"/>
      <c r="CI231" s="9"/>
      <c r="CJ231" s="9"/>
      <c r="CK231" s="9"/>
      <c r="CL231" s="9"/>
      <c r="CM231" s="9"/>
      <c r="CN231" s="9"/>
      <c r="CO231" s="9"/>
      <c r="CP231" s="9"/>
      <c r="CQ231" s="9"/>
      <c r="CR231" s="9"/>
      <c r="CS231" s="9"/>
      <c r="CT231" s="9"/>
      <c r="CU231" s="9"/>
      <c r="CV231" s="9"/>
      <c r="CW231" s="9"/>
      <c r="CX231" s="9"/>
      <c r="CY231" s="9"/>
      <c r="CZ231" s="9"/>
      <c r="DA231" s="9"/>
      <c r="DB231" s="9"/>
      <c r="DC231" s="9"/>
      <c r="DD231" s="9"/>
      <c r="DE231" s="9"/>
      <c r="DF231" s="9"/>
      <c r="DG231" s="9"/>
      <c r="DH231" s="9"/>
      <c r="DI231" s="9"/>
      <c r="DJ231" s="9"/>
      <c r="DK231" s="9"/>
      <c r="DL231" s="9"/>
      <c r="DM231" s="9"/>
      <c r="DN231" s="9"/>
      <c r="DO231" s="9"/>
      <c r="DP231" s="9"/>
      <c r="DQ231" s="9"/>
      <c r="DR231" s="9"/>
      <c r="DS231" s="9"/>
      <c r="DT231" s="9"/>
      <c r="DU231" s="9"/>
      <c r="DV231" s="9"/>
      <c r="DW231" s="9"/>
      <c r="DX231" s="9"/>
      <c r="DY231" s="9"/>
      <c r="DZ231" s="9"/>
      <c r="EA231" s="9"/>
      <c r="EB231" s="9"/>
      <c r="EC231" s="9"/>
      <c r="ED231" s="9"/>
      <c r="EE231" s="9"/>
      <c r="EF231" s="9"/>
      <c r="EG231" s="9"/>
      <c r="EH231" s="9"/>
      <c r="EI231" s="9"/>
      <c r="EJ231" s="9"/>
      <c r="EK231" s="9"/>
      <c r="EL231" s="9"/>
      <c r="EM231" s="9"/>
      <c r="EN231" s="9"/>
      <c r="EO231" s="9"/>
      <c r="EP231" s="9"/>
      <c r="EQ231" s="9"/>
      <c r="ER231" s="9"/>
      <c r="ES231" s="9"/>
      <c r="ET231" s="9"/>
      <c r="EU231" s="9"/>
      <c r="EV231" s="9"/>
      <c r="EW231" s="9"/>
      <c r="EX231" s="9"/>
      <c r="EY231" s="9"/>
      <c r="EZ231" s="9"/>
      <c r="FA231" s="9"/>
      <c r="FB231" s="9"/>
      <c r="FC231" s="9"/>
      <c r="FD231" s="9"/>
      <c r="FE231" s="9"/>
      <c r="FF231" s="9"/>
      <c r="FG231" s="9"/>
      <c r="FH231" s="9"/>
      <c r="FI231" s="9"/>
      <c r="FJ231" s="9"/>
      <c r="FK231" s="9"/>
      <c r="FL231" s="9"/>
      <c r="FM231" s="9"/>
      <c r="FN231" s="9"/>
      <c r="FO231" s="9"/>
      <c r="FP231" s="9"/>
      <c r="FQ231" s="9"/>
      <c r="FR231" s="9"/>
      <c r="FS231" s="9"/>
      <c r="FT231" s="9"/>
      <c r="FU231" s="9"/>
      <c r="FV231" s="9"/>
      <c r="FW231" s="9"/>
      <c r="FX231" s="9"/>
      <c r="FY231" s="9"/>
      <c r="FZ231" s="9"/>
      <c r="GA231" s="9"/>
      <c r="GB231" s="9"/>
      <c r="GC231" s="9"/>
      <c r="GD231" s="9"/>
      <c r="GE231" s="9"/>
      <c r="GF231" s="9"/>
      <c r="GG231" s="9"/>
      <c r="GH231" s="9"/>
      <c r="GI231" s="9"/>
      <c r="GJ231" s="9"/>
      <c r="GK231" s="9"/>
      <c r="GL231" s="9"/>
      <c r="GM231" s="9"/>
      <c r="GN231" s="9"/>
      <c r="GO231" s="9"/>
      <c r="GP231" s="9"/>
      <c r="GQ231" s="9"/>
      <c r="GR231" s="9"/>
      <c r="GS231" s="9"/>
      <c r="GT231" s="9"/>
      <c r="GU231" s="9"/>
      <c r="GV231" s="9"/>
      <c r="GW231" s="9"/>
      <c r="GX231" s="9"/>
      <c r="GY231" s="9"/>
      <c r="GZ231" s="9"/>
      <c r="HA231" s="9"/>
      <c r="HB231" s="9"/>
      <c r="HC231" s="9"/>
      <c r="HD231" s="9"/>
      <c r="HE231" s="9"/>
      <c r="HF231" s="9"/>
      <c r="HG231" s="9"/>
      <c r="HH231" s="9"/>
      <c r="HI231" s="9"/>
      <c r="HJ231" s="9"/>
      <c r="HK231" s="9"/>
      <c r="HL231" s="9"/>
      <c r="HM231" s="9"/>
      <c r="HN231" s="9"/>
      <c r="HO231" s="9"/>
      <c r="HP231" s="9"/>
      <c r="HQ231" s="9"/>
      <c r="HR231" s="9"/>
      <c r="HS231" s="9"/>
      <c r="HT231" s="9"/>
      <c r="HU231" s="9"/>
      <c r="HV231" s="9"/>
      <c r="HW231" s="9"/>
      <c r="HX231" s="9"/>
      <c r="HY231" s="9"/>
      <c r="HZ231" s="9"/>
      <c r="IA231" s="9"/>
      <c r="IB231" s="9"/>
      <c r="IC231" s="9"/>
      <c r="ID231" s="9"/>
      <c r="IE231" s="9"/>
      <c r="IF231" s="9"/>
      <c r="IG231" s="9"/>
      <c r="IH231" s="9"/>
      <c r="II231" s="9"/>
      <c r="IJ231" s="9"/>
      <c r="IK231" s="9"/>
      <c r="IL231" s="9"/>
      <c r="IM231" s="9"/>
      <c r="IN231" s="9"/>
      <c r="IO231" s="9"/>
      <c r="IP231" s="9"/>
      <c r="IQ231" s="9"/>
      <c r="IR231" s="9"/>
      <c r="IS231" s="9"/>
      <c r="IT231" s="9"/>
      <c r="IU231" s="9"/>
      <c r="IV231" s="9"/>
      <c r="IW231" s="9"/>
      <c r="IX231" s="9"/>
      <c r="IY231" s="9"/>
      <c r="IZ231" s="9"/>
      <c r="JA231" s="9"/>
      <c r="JB231" s="9"/>
      <c r="JC231" s="9"/>
      <c r="JD231" s="9"/>
      <c r="JE231" s="9"/>
      <c r="JF231" s="9"/>
      <c r="JG231" s="9"/>
      <c r="JH231" s="9"/>
      <c r="JI231" s="9"/>
      <c r="JJ231" s="9"/>
      <c r="JK231" s="9"/>
      <c r="JL231" s="9"/>
      <c r="JM231" s="9"/>
      <c r="JN231" s="9"/>
      <c r="JO231" s="9"/>
      <c r="JP231" s="9"/>
      <c r="JQ231" s="9"/>
      <c r="JR231" s="9"/>
      <c r="JS231" s="9"/>
      <c r="JT231" s="9"/>
      <c r="JU231" s="9"/>
      <c r="JV231" s="9"/>
      <c r="JW231" s="9"/>
      <c r="JX231" s="9"/>
      <c r="JY231" s="9"/>
      <c r="JZ231" s="9"/>
      <c r="KA231" s="9"/>
      <c r="KB231" s="9"/>
      <c r="KC231" s="9"/>
      <c r="KD231" s="9"/>
      <c r="KE231" s="9"/>
      <c r="KF231" s="9"/>
      <c r="KG231" s="9"/>
      <c r="KH231" s="9"/>
      <c r="KI231" s="9"/>
      <c r="KJ231" s="9"/>
      <c r="KK231" s="9"/>
      <c r="KL231" s="9"/>
      <c r="KM231" s="9"/>
      <c r="KN231" s="9"/>
      <c r="KO231" s="9"/>
      <c r="KP231" s="9"/>
      <c r="KQ231" s="9"/>
      <c r="KR231" s="9"/>
      <c r="KS231" s="9"/>
      <c r="KT231" s="9"/>
      <c r="KU231" s="9"/>
      <c r="KV231" s="9"/>
      <c r="KW231" s="9"/>
      <c r="KX231" s="9"/>
      <c r="KY231" s="9"/>
      <c r="KZ231" s="9"/>
      <c r="LA231" s="9"/>
      <c r="LB231" s="9"/>
      <c r="LC231" s="9"/>
      <c r="LD231" s="9"/>
      <c r="LE231" s="9"/>
      <c r="LF231" s="9"/>
      <c r="LG231" s="9"/>
      <c r="LH231" s="9"/>
      <c r="LI231" s="9"/>
      <c r="LJ231" s="9"/>
      <c r="LK231" s="9"/>
      <c r="LL231" s="9"/>
      <c r="LM231" s="9"/>
      <c r="LN231" s="9"/>
      <c r="LO231" s="9"/>
      <c r="LP231" s="9"/>
      <c r="LQ231" s="9"/>
      <c r="LR231" s="9"/>
      <c r="LS231" s="9"/>
      <c r="LT231" s="9"/>
      <c r="LU231" s="9"/>
      <c r="LV231" s="9"/>
      <c r="LW231" s="9"/>
      <c r="LX231" s="9"/>
      <c r="LY231" s="9"/>
      <c r="LZ231" s="9"/>
      <c r="MA231" s="9"/>
      <c r="MB231" s="9"/>
      <c r="MC231" s="9"/>
      <c r="MD231" s="9"/>
      <c r="ME231" s="9"/>
      <c r="MF231" s="9"/>
      <c r="MG231" s="9"/>
      <c r="MH231" s="9"/>
      <c r="MI231" s="9"/>
      <c r="MJ231" s="9"/>
      <c r="MK231" s="9"/>
      <c r="ML231" s="9"/>
      <c r="MM231" s="9"/>
      <c r="MN231" s="9"/>
      <c r="MO231" s="9"/>
      <c r="MP231" s="9"/>
      <c r="MQ231" s="9"/>
      <c r="MR231" s="9"/>
      <c r="MS231" s="9"/>
      <c r="MT231" s="9"/>
      <c r="MU231" s="9"/>
      <c r="MV231" s="9"/>
      <c r="MW231" s="9"/>
      <c r="MX231" s="9"/>
      <c r="MY231" s="9"/>
      <c r="MZ231" s="9"/>
      <c r="NA231" s="9"/>
      <c r="NB231" s="9"/>
      <c r="NC231" s="9"/>
      <c r="ND231" s="9"/>
      <c r="NE231" s="9"/>
      <c r="NF231" s="9"/>
      <c r="NG231" s="9"/>
      <c r="NH231" s="9"/>
      <c r="NI231" s="9"/>
      <c r="NJ231" s="9"/>
      <c r="NK231" s="9"/>
      <c r="NL231" s="9"/>
      <c r="NM231" s="9"/>
      <c r="NN231" s="9"/>
      <c r="NO231" s="9"/>
      <c r="NP231" s="9"/>
      <c r="NQ231" s="9"/>
      <c r="NR231" s="9"/>
      <c r="NS231" s="9"/>
      <c r="NT231" s="9"/>
      <c r="NU231" s="9"/>
      <c r="NV231" s="9"/>
      <c r="NW231" s="9"/>
      <c r="NX231" s="9"/>
      <c r="NY231" s="9"/>
      <c r="NZ231" s="9"/>
      <c r="OA231" s="9"/>
      <c r="OB231" s="9"/>
      <c r="OC231" s="9"/>
      <c r="OD231" s="9"/>
      <c r="OE231" s="9"/>
      <c r="OF231" s="9"/>
      <c r="OG231" s="9"/>
      <c r="OH231" s="9"/>
      <c r="OI231" s="9"/>
      <c r="OJ231" s="9"/>
      <c r="OK231" s="9"/>
      <c r="OL231" s="9"/>
      <c r="OM231" s="9"/>
      <c r="ON231" s="9"/>
      <c r="OO231" s="9"/>
      <c r="OP231" s="9"/>
      <c r="OQ231" s="9"/>
      <c r="OR231" s="9"/>
      <c r="OS231" s="9"/>
      <c r="OT231" s="9"/>
      <c r="OU231" s="9"/>
      <c r="OV231" s="9"/>
      <c r="OW231" s="9"/>
      <c r="OX231" s="9"/>
      <c r="OY231" s="9"/>
      <c r="OZ231" s="9"/>
      <c r="PA231" s="9"/>
      <c r="PB231" s="9"/>
      <c r="PC231" s="9"/>
      <c r="PD231" s="9"/>
      <c r="PE231" s="9"/>
      <c r="PF231" s="9"/>
      <c r="PG231" s="9"/>
      <c r="PH231" s="9"/>
      <c r="PI231" s="9"/>
      <c r="PJ231" s="9"/>
      <c r="PK231" s="9"/>
      <c r="PL231" s="9"/>
      <c r="PM231" s="9"/>
      <c r="PN231" s="9"/>
      <c r="PO231" s="9"/>
      <c r="PP231" s="9"/>
      <c r="PQ231" s="9"/>
      <c r="PR231" s="9"/>
      <c r="PS231" s="9"/>
      <c r="PT231" s="9"/>
      <c r="PU231" s="9"/>
      <c r="PV231" s="9"/>
      <c r="PW231" s="9"/>
      <c r="PX231" s="9"/>
      <c r="PY231" s="9"/>
      <c r="PZ231" s="9"/>
      <c r="QA231" s="9"/>
      <c r="QB231" s="9"/>
      <c r="QC231" s="9"/>
      <c r="QD231" s="9"/>
      <c r="QE231" s="9"/>
      <c r="QF231" s="9"/>
      <c r="QG231" s="9"/>
      <c r="QH231" s="9"/>
      <c r="QI231" s="9"/>
      <c r="QJ231" s="9"/>
      <c r="QK231" s="9"/>
      <c r="QL231" s="9"/>
      <c r="QM231" s="9"/>
      <c r="QN231" s="9"/>
      <c r="QO231" s="9"/>
      <c r="QP231" s="9"/>
      <c r="QQ231" s="9"/>
      <c r="QR231" s="9"/>
      <c r="QS231" s="9"/>
      <c r="QT231" s="9"/>
      <c r="QU231" s="9"/>
      <c r="QV231" s="9"/>
      <c r="QW231" s="9"/>
      <c r="QX231" s="9"/>
      <c r="QY231" s="9"/>
      <c r="QZ231" s="9"/>
      <c r="RA231" s="9"/>
      <c r="RB231" s="9"/>
      <c r="RC231" s="9"/>
      <c r="RD231" s="9"/>
      <c r="RE231" s="9"/>
      <c r="RF231" s="9"/>
      <c r="RG231" s="9"/>
      <c r="RH231" s="9"/>
      <c r="RI231" s="9"/>
      <c r="RJ231" s="9"/>
      <c r="RK231" s="9"/>
      <c r="RL231" s="9"/>
      <c r="RM231" s="9"/>
      <c r="RN231" s="9"/>
      <c r="RO231" s="9"/>
      <c r="RP231" s="9"/>
      <c r="RQ231" s="9"/>
      <c r="RR231" s="9"/>
      <c r="RS231" s="9"/>
      <c r="RT231" s="9"/>
      <c r="RU231" s="9"/>
      <c r="RV231" s="9"/>
      <c r="RW231" s="9"/>
      <c r="RX231" s="9"/>
      <c r="RY231" s="9"/>
      <c r="RZ231" s="9"/>
      <c r="SA231" s="9"/>
      <c r="SB231" s="9"/>
      <c r="SC231" s="9"/>
      <c r="SD231" s="9"/>
      <c r="SE231" s="9"/>
      <c r="SF231" s="9"/>
      <c r="SG231" s="9"/>
      <c r="SH231" s="9"/>
      <c r="SI231" s="9"/>
      <c r="SJ231" s="9"/>
      <c r="SK231" s="8"/>
      <c r="SL231" s="8"/>
      <c r="SM231" s="8"/>
      <c r="SN231" s="8"/>
      <c r="SO231" s="8"/>
      <c r="SP231" s="8"/>
      <c r="SQ231" s="8"/>
      <c r="SR231" s="8"/>
      <c r="SS231" s="8"/>
      <c r="ST231" s="8"/>
      <c r="SU231" s="8"/>
      <c r="SV231" s="8"/>
      <c r="SW231" s="8"/>
      <c r="SX231" s="8"/>
      <c r="SY231" s="8"/>
      <c r="SZ231" s="8"/>
      <c r="TA231" s="8"/>
      <c r="TB231" s="8"/>
      <c r="TC231" s="8"/>
      <c r="TD231" s="8"/>
      <c r="TE231" s="8"/>
      <c r="TF231" s="8"/>
      <c r="TG231" s="8"/>
      <c r="TH231" s="8"/>
      <c r="TI231" s="8"/>
      <c r="TJ231" s="8"/>
      <c r="TK231" s="8"/>
      <c r="TL231" s="8"/>
      <c r="TM231" s="8"/>
      <c r="TN231" s="8"/>
      <c r="TO231" s="8"/>
    </row>
    <row r="232" spans="1:535" x14ac:dyDescent="0.2">
      <c r="A232" s="7"/>
      <c r="B232" s="7"/>
      <c r="C232" s="9"/>
      <c r="D232" s="8"/>
      <c r="E232" s="8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  <c r="BP232" s="9"/>
      <c r="BQ232" s="9"/>
      <c r="BR232" s="9"/>
      <c r="BS232" s="9"/>
      <c r="BT232" s="9"/>
      <c r="BU232" s="9"/>
      <c r="BV232" s="9"/>
      <c r="BW232" s="9"/>
      <c r="BX232" s="9"/>
      <c r="BY232" s="9"/>
      <c r="BZ232" s="9"/>
      <c r="CA232" s="9"/>
      <c r="CB232" s="9"/>
      <c r="CC232" s="9"/>
      <c r="CD232" s="9"/>
      <c r="CE232" s="9"/>
      <c r="CF232" s="9"/>
      <c r="CG232" s="9"/>
      <c r="CH232" s="9"/>
      <c r="CI232" s="9"/>
      <c r="CJ232" s="9"/>
      <c r="CK232" s="9"/>
      <c r="CL232" s="9"/>
      <c r="CM232" s="9"/>
      <c r="CN232" s="9"/>
      <c r="CO232" s="9"/>
      <c r="CP232" s="9"/>
      <c r="CQ232" s="9"/>
      <c r="CR232" s="9"/>
      <c r="CS232" s="9"/>
      <c r="CT232" s="9"/>
      <c r="CU232" s="9"/>
      <c r="CV232" s="9"/>
      <c r="CW232" s="9"/>
      <c r="CX232" s="9"/>
      <c r="CY232" s="9"/>
      <c r="CZ232" s="9"/>
      <c r="DA232" s="9"/>
      <c r="DB232" s="9"/>
      <c r="DC232" s="9"/>
      <c r="DD232" s="9"/>
      <c r="DE232" s="9"/>
      <c r="DF232" s="9"/>
      <c r="DG232" s="9"/>
      <c r="DH232" s="9"/>
      <c r="DI232" s="9"/>
      <c r="DJ232" s="9"/>
      <c r="DK232" s="9"/>
      <c r="DL232" s="9"/>
      <c r="DM232" s="9"/>
      <c r="DN232" s="9"/>
      <c r="DO232" s="9"/>
      <c r="DP232" s="9"/>
      <c r="DQ232" s="9"/>
      <c r="DR232" s="9"/>
      <c r="DS232" s="9"/>
      <c r="DT232" s="9"/>
      <c r="DU232" s="9"/>
      <c r="DV232" s="9"/>
      <c r="DW232" s="9"/>
      <c r="DX232" s="9"/>
      <c r="DY232" s="9"/>
      <c r="DZ232" s="9"/>
      <c r="EA232" s="9"/>
      <c r="EB232" s="9"/>
      <c r="EC232" s="9"/>
      <c r="ED232" s="9"/>
      <c r="EE232" s="9"/>
      <c r="EF232" s="9"/>
      <c r="EG232" s="9"/>
      <c r="EH232" s="9"/>
      <c r="EI232" s="9"/>
      <c r="EJ232" s="9"/>
      <c r="EK232" s="9"/>
      <c r="EL232" s="9"/>
      <c r="EM232" s="9"/>
      <c r="EN232" s="9"/>
      <c r="EO232" s="9"/>
      <c r="EP232" s="9"/>
      <c r="EQ232" s="9"/>
      <c r="ER232" s="9"/>
      <c r="ES232" s="9"/>
      <c r="ET232" s="9"/>
      <c r="EU232" s="9"/>
      <c r="EV232" s="9"/>
      <c r="EW232" s="9"/>
      <c r="EX232" s="9"/>
      <c r="EY232" s="9"/>
      <c r="EZ232" s="9"/>
      <c r="FA232" s="9"/>
      <c r="FB232" s="9"/>
      <c r="FC232" s="9"/>
      <c r="FD232" s="9"/>
      <c r="FE232" s="9"/>
      <c r="FF232" s="9"/>
      <c r="FG232" s="9"/>
      <c r="FH232" s="9"/>
      <c r="FI232" s="9"/>
      <c r="FJ232" s="9"/>
      <c r="FK232" s="9"/>
      <c r="FL232" s="9"/>
      <c r="FM232" s="9"/>
      <c r="FN232" s="9"/>
      <c r="FO232" s="9"/>
      <c r="FP232" s="9"/>
      <c r="FQ232" s="9"/>
      <c r="FR232" s="9"/>
      <c r="FS232" s="9"/>
      <c r="FT232" s="9"/>
      <c r="FU232" s="9"/>
      <c r="FV232" s="9"/>
      <c r="FW232" s="9"/>
      <c r="FX232" s="9"/>
      <c r="FY232" s="9"/>
      <c r="FZ232" s="9"/>
      <c r="GA232" s="9"/>
      <c r="GB232" s="9"/>
      <c r="GC232" s="9"/>
      <c r="GD232" s="9"/>
      <c r="GE232" s="9"/>
      <c r="GF232" s="9"/>
      <c r="GG232" s="9"/>
      <c r="GH232" s="9"/>
      <c r="GI232" s="9"/>
      <c r="GJ232" s="9"/>
      <c r="GK232" s="9"/>
      <c r="GL232" s="9"/>
      <c r="GM232" s="9"/>
      <c r="GN232" s="9"/>
      <c r="GO232" s="9"/>
      <c r="GP232" s="9"/>
      <c r="GQ232" s="9"/>
      <c r="GR232" s="9"/>
      <c r="GS232" s="9"/>
      <c r="GT232" s="9"/>
      <c r="GU232" s="9"/>
      <c r="GV232" s="9"/>
      <c r="GW232" s="9"/>
      <c r="GX232" s="9"/>
      <c r="GY232" s="9"/>
      <c r="GZ232" s="9"/>
      <c r="HA232" s="9"/>
      <c r="HB232" s="9"/>
      <c r="HC232" s="9"/>
      <c r="HD232" s="9"/>
      <c r="HE232" s="9"/>
      <c r="HF232" s="9"/>
      <c r="HG232" s="9"/>
      <c r="HH232" s="9"/>
      <c r="HI232" s="9"/>
      <c r="HJ232" s="9"/>
      <c r="HK232" s="9"/>
      <c r="HL232" s="9"/>
      <c r="HM232" s="9"/>
      <c r="HN232" s="9"/>
      <c r="HO232" s="9"/>
      <c r="HP232" s="9"/>
      <c r="HQ232" s="9"/>
      <c r="HR232" s="9"/>
      <c r="HS232" s="9"/>
      <c r="HT232" s="9"/>
      <c r="HU232" s="9"/>
      <c r="HV232" s="9"/>
      <c r="HW232" s="9"/>
      <c r="HX232" s="9"/>
      <c r="HY232" s="9"/>
      <c r="HZ232" s="9"/>
      <c r="IA232" s="9"/>
      <c r="IB232" s="9"/>
      <c r="IC232" s="9"/>
      <c r="ID232" s="9"/>
      <c r="IE232" s="9"/>
      <c r="IF232" s="9"/>
      <c r="IG232" s="9"/>
      <c r="IH232" s="9"/>
      <c r="II232" s="9"/>
      <c r="IJ232" s="9"/>
      <c r="IK232" s="9"/>
      <c r="IL232" s="9"/>
      <c r="IM232" s="9"/>
      <c r="IN232" s="9"/>
      <c r="IO232" s="9"/>
      <c r="IP232" s="9"/>
      <c r="IQ232" s="9"/>
      <c r="IR232" s="9"/>
      <c r="IS232" s="9"/>
      <c r="IT232" s="9"/>
      <c r="IU232" s="9"/>
      <c r="IV232" s="9"/>
      <c r="IW232" s="9"/>
      <c r="IX232" s="9"/>
      <c r="IY232" s="9"/>
      <c r="IZ232" s="9"/>
      <c r="JA232" s="9"/>
      <c r="JB232" s="9"/>
      <c r="JC232" s="9"/>
      <c r="JD232" s="9"/>
      <c r="JE232" s="9"/>
      <c r="JF232" s="9"/>
      <c r="JG232" s="9"/>
      <c r="JH232" s="9"/>
      <c r="JI232" s="9"/>
      <c r="JJ232" s="9"/>
      <c r="JK232" s="9"/>
      <c r="JL232" s="9"/>
      <c r="JM232" s="9"/>
      <c r="JN232" s="9"/>
      <c r="JO232" s="9"/>
      <c r="JP232" s="9"/>
      <c r="JQ232" s="9"/>
      <c r="JR232" s="9"/>
      <c r="JS232" s="9"/>
      <c r="JT232" s="9"/>
      <c r="JU232" s="9"/>
      <c r="JV232" s="9"/>
      <c r="JW232" s="9"/>
      <c r="JX232" s="9"/>
      <c r="JY232" s="9"/>
      <c r="JZ232" s="9"/>
      <c r="KA232" s="9"/>
      <c r="KB232" s="9"/>
      <c r="KC232" s="9"/>
      <c r="KD232" s="9"/>
      <c r="KE232" s="9"/>
      <c r="KF232" s="9"/>
      <c r="KG232" s="9"/>
      <c r="KH232" s="9"/>
      <c r="KI232" s="9"/>
      <c r="KJ232" s="9"/>
      <c r="KK232" s="9"/>
      <c r="KL232" s="9"/>
      <c r="KM232" s="9"/>
      <c r="KN232" s="9"/>
      <c r="KO232" s="9"/>
      <c r="KP232" s="9"/>
      <c r="KQ232" s="9"/>
      <c r="KR232" s="9"/>
      <c r="KS232" s="9"/>
      <c r="KT232" s="9"/>
      <c r="KU232" s="9"/>
      <c r="KV232" s="9"/>
      <c r="KW232" s="9"/>
      <c r="KX232" s="9"/>
      <c r="KY232" s="9"/>
      <c r="KZ232" s="9"/>
      <c r="LA232" s="9"/>
      <c r="LB232" s="9"/>
      <c r="LC232" s="9"/>
      <c r="LD232" s="9"/>
      <c r="LE232" s="9"/>
      <c r="LF232" s="9"/>
      <c r="LG232" s="9"/>
      <c r="LH232" s="9"/>
      <c r="LI232" s="9"/>
      <c r="LJ232" s="9"/>
      <c r="LK232" s="9"/>
      <c r="LL232" s="9"/>
      <c r="LM232" s="9"/>
      <c r="LN232" s="9"/>
      <c r="LO232" s="9"/>
      <c r="LP232" s="9"/>
      <c r="LQ232" s="9"/>
      <c r="LR232" s="9"/>
      <c r="LS232" s="9"/>
      <c r="LT232" s="9"/>
      <c r="LU232" s="9"/>
      <c r="LV232" s="9"/>
      <c r="LW232" s="9"/>
      <c r="LX232" s="9"/>
      <c r="LY232" s="9"/>
      <c r="LZ232" s="9"/>
      <c r="MA232" s="9"/>
      <c r="MB232" s="9"/>
      <c r="MC232" s="9"/>
      <c r="MD232" s="9"/>
      <c r="ME232" s="9"/>
      <c r="MF232" s="9"/>
      <c r="MG232" s="9"/>
      <c r="MH232" s="9"/>
      <c r="MI232" s="9"/>
      <c r="MJ232" s="9"/>
      <c r="MK232" s="9"/>
      <c r="ML232" s="9"/>
      <c r="MM232" s="9"/>
      <c r="MN232" s="9"/>
      <c r="MO232" s="9"/>
      <c r="MP232" s="9"/>
      <c r="MQ232" s="9"/>
      <c r="MR232" s="9"/>
      <c r="MS232" s="9"/>
      <c r="MT232" s="9"/>
      <c r="MU232" s="9"/>
      <c r="MV232" s="9"/>
      <c r="MW232" s="9"/>
      <c r="MX232" s="9"/>
      <c r="MY232" s="9"/>
      <c r="MZ232" s="9"/>
      <c r="NA232" s="9"/>
      <c r="NB232" s="9"/>
      <c r="NC232" s="9"/>
      <c r="ND232" s="9"/>
      <c r="NE232" s="9"/>
      <c r="NF232" s="9"/>
      <c r="NG232" s="9"/>
      <c r="NH232" s="9"/>
      <c r="NI232" s="9"/>
      <c r="NJ232" s="9"/>
      <c r="NK232" s="9"/>
      <c r="NL232" s="9"/>
      <c r="NM232" s="9"/>
      <c r="NN232" s="9"/>
      <c r="NO232" s="9"/>
      <c r="NP232" s="9"/>
      <c r="NQ232" s="9"/>
      <c r="NR232" s="9"/>
      <c r="NS232" s="9"/>
      <c r="NT232" s="9"/>
      <c r="NU232" s="9"/>
      <c r="NV232" s="9"/>
      <c r="NW232" s="9"/>
      <c r="NX232" s="9"/>
      <c r="NY232" s="9"/>
      <c r="NZ232" s="9"/>
      <c r="OA232" s="9"/>
      <c r="OB232" s="9"/>
      <c r="OC232" s="9"/>
      <c r="OD232" s="9"/>
      <c r="OE232" s="9"/>
      <c r="OF232" s="9"/>
      <c r="OG232" s="9"/>
      <c r="OH232" s="9"/>
      <c r="OI232" s="9"/>
      <c r="OJ232" s="9"/>
      <c r="OK232" s="9"/>
      <c r="OL232" s="9"/>
      <c r="OM232" s="9"/>
      <c r="ON232" s="9"/>
      <c r="OO232" s="9"/>
      <c r="OP232" s="9"/>
      <c r="OQ232" s="9"/>
      <c r="OR232" s="9"/>
      <c r="OS232" s="9"/>
      <c r="OT232" s="9"/>
      <c r="OU232" s="9"/>
      <c r="OV232" s="9"/>
      <c r="OW232" s="9"/>
      <c r="OX232" s="9"/>
      <c r="OY232" s="9"/>
      <c r="OZ232" s="9"/>
      <c r="PA232" s="9"/>
      <c r="PB232" s="9"/>
      <c r="PC232" s="9"/>
      <c r="PD232" s="9"/>
      <c r="PE232" s="9"/>
      <c r="PF232" s="9"/>
      <c r="PG232" s="9"/>
      <c r="PH232" s="9"/>
      <c r="PI232" s="9"/>
      <c r="PJ232" s="9"/>
      <c r="PK232" s="9"/>
      <c r="PL232" s="9"/>
      <c r="PM232" s="9"/>
      <c r="PN232" s="9"/>
      <c r="PO232" s="9"/>
      <c r="PP232" s="9"/>
      <c r="PQ232" s="9"/>
      <c r="PR232" s="9"/>
      <c r="PS232" s="9"/>
      <c r="PT232" s="9"/>
      <c r="PU232" s="9"/>
      <c r="PV232" s="9"/>
      <c r="PW232" s="9"/>
      <c r="PX232" s="9"/>
      <c r="PY232" s="9"/>
      <c r="PZ232" s="9"/>
      <c r="QA232" s="9"/>
      <c r="QB232" s="9"/>
      <c r="QC232" s="9"/>
      <c r="QD232" s="9"/>
      <c r="QE232" s="9"/>
      <c r="QF232" s="9"/>
      <c r="QG232" s="9"/>
      <c r="QH232" s="9"/>
      <c r="QI232" s="9"/>
      <c r="QJ232" s="9"/>
      <c r="QK232" s="9"/>
      <c r="QL232" s="9"/>
      <c r="QM232" s="9"/>
      <c r="QN232" s="9"/>
      <c r="QO232" s="9"/>
      <c r="QP232" s="9"/>
      <c r="QQ232" s="9"/>
      <c r="QR232" s="9"/>
      <c r="QS232" s="9"/>
      <c r="QT232" s="9"/>
      <c r="QU232" s="9"/>
      <c r="QV232" s="9"/>
      <c r="QW232" s="9"/>
      <c r="QX232" s="9"/>
      <c r="QY232" s="9"/>
      <c r="QZ232" s="9"/>
      <c r="RA232" s="9"/>
      <c r="RB232" s="9"/>
      <c r="RC232" s="9"/>
      <c r="RD232" s="9"/>
      <c r="RE232" s="9"/>
      <c r="RF232" s="9"/>
      <c r="RG232" s="9"/>
      <c r="RH232" s="9"/>
      <c r="RI232" s="9"/>
      <c r="RJ232" s="9"/>
      <c r="RK232" s="9"/>
      <c r="RL232" s="9"/>
      <c r="RM232" s="9"/>
      <c r="RN232" s="9"/>
      <c r="RO232" s="9"/>
      <c r="RP232" s="9"/>
      <c r="RQ232" s="9"/>
      <c r="RR232" s="9"/>
      <c r="RS232" s="9"/>
      <c r="RT232" s="9"/>
      <c r="RU232" s="9"/>
      <c r="RV232" s="9"/>
      <c r="RW232" s="9"/>
      <c r="RX232" s="9"/>
      <c r="RY232" s="9"/>
      <c r="RZ232" s="9"/>
      <c r="SA232" s="9"/>
      <c r="SB232" s="9"/>
      <c r="SC232" s="9"/>
      <c r="SD232" s="9"/>
      <c r="SE232" s="9"/>
      <c r="SF232" s="9"/>
      <c r="SG232" s="9"/>
      <c r="SH232" s="9"/>
      <c r="SI232" s="9"/>
      <c r="SJ232" s="9"/>
      <c r="SK232" s="8"/>
      <c r="SL232" s="8"/>
      <c r="SM232" s="8"/>
      <c r="SN232" s="8"/>
      <c r="SO232" s="8"/>
      <c r="SP232" s="8"/>
      <c r="SQ232" s="8"/>
      <c r="SR232" s="8"/>
      <c r="SS232" s="8"/>
      <c r="ST232" s="8"/>
      <c r="SU232" s="8"/>
      <c r="SV232" s="8"/>
      <c r="SW232" s="8"/>
      <c r="SX232" s="8"/>
      <c r="SY232" s="8"/>
      <c r="SZ232" s="8"/>
      <c r="TA232" s="8"/>
      <c r="TB232" s="8"/>
      <c r="TC232" s="8"/>
      <c r="TD232" s="8"/>
      <c r="TE232" s="8"/>
      <c r="TF232" s="8"/>
      <c r="TG232" s="8"/>
      <c r="TH232" s="8"/>
      <c r="TI232" s="8"/>
      <c r="TJ232" s="8"/>
      <c r="TK232" s="8"/>
      <c r="TL232" s="8"/>
      <c r="TM232" s="8"/>
      <c r="TN232" s="8"/>
      <c r="TO232" s="8"/>
    </row>
    <row r="233" spans="1:535" x14ac:dyDescent="0.2">
      <c r="A233" s="7"/>
      <c r="B233" s="7"/>
      <c r="C233" s="9"/>
      <c r="D233" s="8"/>
      <c r="E233" s="8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/>
      <c r="BO233" s="9"/>
      <c r="BP233" s="9"/>
      <c r="BQ233" s="9"/>
      <c r="BR233" s="9"/>
      <c r="BS233" s="9"/>
      <c r="BT233" s="9"/>
      <c r="BU233" s="9"/>
      <c r="BV233" s="9"/>
      <c r="BW233" s="9"/>
      <c r="BX233" s="9"/>
      <c r="BY233" s="9"/>
      <c r="BZ233" s="9"/>
      <c r="CA233" s="9"/>
      <c r="CB233" s="9"/>
      <c r="CC233" s="9"/>
      <c r="CD233" s="9"/>
      <c r="CE233" s="9"/>
      <c r="CF233" s="9"/>
      <c r="CG233" s="9"/>
      <c r="CH233" s="9"/>
      <c r="CI233" s="9"/>
      <c r="CJ233" s="9"/>
      <c r="CK233" s="9"/>
      <c r="CL233" s="9"/>
      <c r="CM233" s="9"/>
      <c r="CN233" s="9"/>
      <c r="CO233" s="9"/>
      <c r="CP233" s="9"/>
      <c r="CQ233" s="9"/>
      <c r="CR233" s="9"/>
      <c r="CS233" s="9"/>
      <c r="CT233" s="9"/>
      <c r="CU233" s="9"/>
      <c r="CV233" s="9"/>
      <c r="CW233" s="9"/>
      <c r="CX233" s="9"/>
      <c r="CY233" s="9"/>
      <c r="CZ233" s="9"/>
      <c r="DA233" s="9"/>
      <c r="DB233" s="9"/>
      <c r="DC233" s="9"/>
      <c r="DD233" s="9"/>
      <c r="DE233" s="9"/>
      <c r="DF233" s="9"/>
      <c r="DG233" s="9"/>
      <c r="DH233" s="9"/>
      <c r="DI233" s="9"/>
      <c r="DJ233" s="9"/>
      <c r="DK233" s="9"/>
      <c r="DL233" s="9"/>
      <c r="DM233" s="9"/>
      <c r="DN233" s="9"/>
      <c r="DO233" s="9"/>
      <c r="DP233" s="9"/>
      <c r="DQ233" s="9"/>
      <c r="DR233" s="9"/>
      <c r="DS233" s="9"/>
      <c r="DT233" s="9"/>
      <c r="DU233" s="9"/>
      <c r="DV233" s="9"/>
      <c r="DW233" s="9"/>
      <c r="DX233" s="9"/>
      <c r="DY233" s="9"/>
      <c r="DZ233" s="9"/>
      <c r="EA233" s="9"/>
      <c r="EB233" s="9"/>
      <c r="EC233" s="9"/>
      <c r="ED233" s="9"/>
      <c r="EE233" s="9"/>
      <c r="EF233" s="9"/>
      <c r="EG233" s="9"/>
      <c r="EH233" s="9"/>
      <c r="EI233" s="9"/>
      <c r="EJ233" s="9"/>
      <c r="EK233" s="9"/>
      <c r="EL233" s="9"/>
      <c r="EM233" s="9"/>
      <c r="EN233" s="9"/>
      <c r="EO233" s="9"/>
      <c r="EP233" s="9"/>
      <c r="EQ233" s="9"/>
      <c r="ER233" s="9"/>
      <c r="ES233" s="9"/>
      <c r="ET233" s="9"/>
      <c r="EU233" s="9"/>
      <c r="EV233" s="9"/>
      <c r="EW233" s="9"/>
      <c r="EX233" s="9"/>
      <c r="EY233" s="9"/>
      <c r="EZ233" s="9"/>
      <c r="FA233" s="9"/>
      <c r="FB233" s="9"/>
      <c r="FC233" s="9"/>
      <c r="FD233" s="9"/>
      <c r="FE233" s="9"/>
      <c r="FF233" s="9"/>
      <c r="FG233" s="9"/>
      <c r="FH233" s="9"/>
      <c r="FI233" s="9"/>
      <c r="FJ233" s="9"/>
      <c r="FK233" s="9"/>
      <c r="FL233" s="9"/>
      <c r="FM233" s="9"/>
      <c r="FN233" s="9"/>
      <c r="FO233" s="9"/>
      <c r="FP233" s="9"/>
      <c r="FQ233" s="9"/>
      <c r="FR233" s="9"/>
      <c r="FS233" s="9"/>
      <c r="FT233" s="9"/>
      <c r="FU233" s="9"/>
      <c r="FV233" s="9"/>
      <c r="FW233" s="9"/>
      <c r="FX233" s="9"/>
      <c r="FY233" s="9"/>
      <c r="FZ233" s="9"/>
      <c r="GA233" s="9"/>
      <c r="GB233" s="9"/>
      <c r="GC233" s="9"/>
      <c r="GD233" s="9"/>
      <c r="GE233" s="9"/>
      <c r="GF233" s="9"/>
      <c r="GG233" s="9"/>
      <c r="GH233" s="9"/>
      <c r="GI233" s="9"/>
      <c r="GJ233" s="9"/>
      <c r="GK233" s="9"/>
      <c r="GL233" s="9"/>
      <c r="GM233" s="9"/>
      <c r="GN233" s="9"/>
      <c r="GO233" s="9"/>
      <c r="GP233" s="9"/>
      <c r="GQ233" s="9"/>
      <c r="GR233" s="9"/>
      <c r="GS233" s="9"/>
      <c r="GT233" s="9"/>
      <c r="GU233" s="9"/>
      <c r="GV233" s="9"/>
      <c r="GW233" s="9"/>
      <c r="GX233" s="9"/>
      <c r="GY233" s="9"/>
      <c r="GZ233" s="9"/>
      <c r="HA233" s="9"/>
      <c r="HB233" s="9"/>
      <c r="HC233" s="9"/>
      <c r="HD233" s="9"/>
      <c r="HE233" s="9"/>
      <c r="HF233" s="9"/>
      <c r="HG233" s="9"/>
      <c r="HH233" s="9"/>
      <c r="HI233" s="9"/>
      <c r="HJ233" s="9"/>
      <c r="HK233" s="9"/>
      <c r="HL233" s="9"/>
      <c r="HM233" s="9"/>
      <c r="HN233" s="9"/>
      <c r="HO233" s="9"/>
      <c r="HP233" s="9"/>
      <c r="HQ233" s="9"/>
      <c r="HR233" s="9"/>
      <c r="HS233" s="9"/>
      <c r="HT233" s="9"/>
      <c r="HU233" s="9"/>
      <c r="HV233" s="9"/>
      <c r="HW233" s="9"/>
      <c r="HX233" s="9"/>
      <c r="HY233" s="9"/>
      <c r="HZ233" s="9"/>
      <c r="IA233" s="9"/>
      <c r="IB233" s="9"/>
      <c r="IC233" s="9"/>
      <c r="ID233" s="9"/>
      <c r="IE233" s="9"/>
      <c r="IF233" s="9"/>
      <c r="IG233" s="9"/>
      <c r="IH233" s="9"/>
      <c r="II233" s="9"/>
      <c r="IJ233" s="9"/>
      <c r="IK233" s="9"/>
      <c r="IL233" s="9"/>
      <c r="IM233" s="9"/>
      <c r="IN233" s="9"/>
      <c r="IO233" s="9"/>
      <c r="IP233" s="9"/>
      <c r="IQ233" s="9"/>
      <c r="IR233" s="9"/>
      <c r="IS233" s="9"/>
      <c r="IT233" s="9"/>
      <c r="IU233" s="9"/>
      <c r="IV233" s="9"/>
      <c r="IW233" s="9"/>
      <c r="IX233" s="9"/>
      <c r="IY233" s="9"/>
      <c r="IZ233" s="9"/>
      <c r="JA233" s="9"/>
      <c r="JB233" s="9"/>
      <c r="JC233" s="9"/>
      <c r="JD233" s="9"/>
      <c r="JE233" s="9"/>
      <c r="JF233" s="9"/>
      <c r="JG233" s="9"/>
      <c r="JH233" s="9"/>
      <c r="JI233" s="9"/>
      <c r="JJ233" s="9"/>
      <c r="JK233" s="9"/>
      <c r="JL233" s="9"/>
      <c r="JM233" s="9"/>
      <c r="JN233" s="9"/>
      <c r="JO233" s="9"/>
      <c r="JP233" s="9"/>
      <c r="JQ233" s="9"/>
      <c r="JR233" s="9"/>
      <c r="JS233" s="9"/>
      <c r="JT233" s="9"/>
      <c r="JU233" s="9"/>
      <c r="JV233" s="9"/>
      <c r="JW233" s="9"/>
      <c r="JX233" s="9"/>
      <c r="JY233" s="9"/>
      <c r="JZ233" s="9"/>
      <c r="KA233" s="9"/>
      <c r="KB233" s="9"/>
      <c r="KC233" s="9"/>
      <c r="KD233" s="9"/>
      <c r="KE233" s="9"/>
      <c r="KF233" s="9"/>
      <c r="KG233" s="9"/>
      <c r="KH233" s="9"/>
      <c r="KI233" s="9"/>
      <c r="KJ233" s="9"/>
      <c r="KK233" s="9"/>
      <c r="KL233" s="9"/>
      <c r="KM233" s="9"/>
      <c r="KN233" s="9"/>
      <c r="KO233" s="9"/>
      <c r="KP233" s="9"/>
      <c r="KQ233" s="9"/>
      <c r="KR233" s="9"/>
      <c r="KS233" s="9"/>
      <c r="KT233" s="9"/>
      <c r="KU233" s="9"/>
      <c r="KV233" s="9"/>
      <c r="KW233" s="9"/>
      <c r="KX233" s="9"/>
      <c r="KY233" s="9"/>
      <c r="KZ233" s="9"/>
      <c r="LA233" s="9"/>
      <c r="LB233" s="9"/>
      <c r="LC233" s="9"/>
      <c r="LD233" s="9"/>
      <c r="LE233" s="9"/>
      <c r="LF233" s="9"/>
      <c r="LG233" s="9"/>
      <c r="LH233" s="9"/>
      <c r="LI233" s="9"/>
      <c r="LJ233" s="9"/>
      <c r="LK233" s="9"/>
      <c r="LL233" s="9"/>
      <c r="LM233" s="9"/>
      <c r="LN233" s="9"/>
      <c r="LO233" s="9"/>
      <c r="LP233" s="9"/>
      <c r="LQ233" s="9"/>
      <c r="LR233" s="9"/>
      <c r="LS233" s="9"/>
      <c r="LT233" s="9"/>
      <c r="LU233" s="9"/>
      <c r="LV233" s="9"/>
      <c r="LW233" s="9"/>
      <c r="LX233" s="9"/>
      <c r="LY233" s="9"/>
      <c r="LZ233" s="9"/>
      <c r="MA233" s="9"/>
      <c r="MB233" s="9"/>
      <c r="MC233" s="9"/>
      <c r="MD233" s="9"/>
      <c r="ME233" s="9"/>
      <c r="MF233" s="9"/>
      <c r="MG233" s="9"/>
      <c r="MH233" s="9"/>
      <c r="MI233" s="9"/>
      <c r="MJ233" s="9"/>
      <c r="MK233" s="9"/>
      <c r="ML233" s="9"/>
      <c r="MM233" s="9"/>
      <c r="MN233" s="9"/>
      <c r="MO233" s="9"/>
      <c r="MP233" s="9"/>
      <c r="MQ233" s="9"/>
      <c r="MR233" s="9"/>
      <c r="MS233" s="9"/>
      <c r="MT233" s="9"/>
      <c r="MU233" s="9"/>
      <c r="MV233" s="9"/>
      <c r="MW233" s="9"/>
      <c r="MX233" s="9"/>
      <c r="MY233" s="9"/>
      <c r="MZ233" s="9"/>
      <c r="NA233" s="9"/>
      <c r="NB233" s="9"/>
      <c r="NC233" s="9"/>
      <c r="ND233" s="9"/>
      <c r="NE233" s="9"/>
      <c r="NF233" s="9"/>
      <c r="NG233" s="9"/>
      <c r="NH233" s="9"/>
      <c r="NI233" s="9"/>
      <c r="NJ233" s="9"/>
      <c r="NK233" s="9"/>
      <c r="NL233" s="9"/>
      <c r="NM233" s="9"/>
      <c r="NN233" s="9"/>
      <c r="NO233" s="9"/>
      <c r="NP233" s="9"/>
      <c r="NQ233" s="9"/>
      <c r="NR233" s="9"/>
      <c r="NS233" s="9"/>
      <c r="NT233" s="9"/>
      <c r="NU233" s="9"/>
      <c r="NV233" s="9"/>
      <c r="NW233" s="9"/>
      <c r="NX233" s="9"/>
      <c r="NY233" s="9"/>
      <c r="NZ233" s="9"/>
      <c r="OA233" s="9"/>
      <c r="OB233" s="9"/>
      <c r="OC233" s="9"/>
      <c r="OD233" s="9"/>
      <c r="OE233" s="9"/>
      <c r="OF233" s="9"/>
      <c r="OG233" s="9"/>
      <c r="OH233" s="9"/>
      <c r="OI233" s="9"/>
      <c r="OJ233" s="9"/>
      <c r="OK233" s="9"/>
      <c r="OL233" s="9"/>
      <c r="OM233" s="9"/>
      <c r="ON233" s="9"/>
      <c r="OO233" s="9"/>
      <c r="OP233" s="9"/>
      <c r="OQ233" s="9"/>
      <c r="OR233" s="9"/>
      <c r="OS233" s="9"/>
      <c r="OT233" s="9"/>
      <c r="OU233" s="9"/>
      <c r="OV233" s="9"/>
      <c r="OW233" s="9"/>
      <c r="OX233" s="9"/>
      <c r="OY233" s="9"/>
      <c r="OZ233" s="9"/>
      <c r="PA233" s="9"/>
      <c r="PB233" s="9"/>
      <c r="PC233" s="9"/>
      <c r="PD233" s="9"/>
      <c r="PE233" s="9"/>
      <c r="PF233" s="9"/>
      <c r="PG233" s="9"/>
      <c r="PH233" s="9"/>
      <c r="PI233" s="9"/>
      <c r="PJ233" s="9"/>
      <c r="PK233" s="9"/>
      <c r="PL233" s="9"/>
      <c r="PM233" s="9"/>
      <c r="PN233" s="9"/>
      <c r="PO233" s="9"/>
      <c r="PP233" s="9"/>
      <c r="PQ233" s="9"/>
      <c r="PR233" s="9"/>
      <c r="PS233" s="9"/>
      <c r="PT233" s="9"/>
      <c r="PU233" s="9"/>
      <c r="PV233" s="9"/>
      <c r="PW233" s="9"/>
      <c r="PX233" s="9"/>
      <c r="PY233" s="9"/>
      <c r="PZ233" s="9"/>
      <c r="QA233" s="9"/>
      <c r="QB233" s="9"/>
      <c r="QC233" s="9"/>
      <c r="QD233" s="9"/>
      <c r="QE233" s="9"/>
      <c r="QF233" s="9"/>
      <c r="QG233" s="9"/>
      <c r="QH233" s="9"/>
      <c r="QI233" s="9"/>
      <c r="QJ233" s="9"/>
      <c r="QK233" s="9"/>
      <c r="QL233" s="9"/>
      <c r="QM233" s="9"/>
      <c r="QN233" s="9"/>
      <c r="QO233" s="9"/>
      <c r="QP233" s="9"/>
      <c r="QQ233" s="9"/>
      <c r="QR233" s="9"/>
      <c r="QS233" s="9"/>
      <c r="QT233" s="9"/>
      <c r="QU233" s="9"/>
      <c r="QV233" s="9"/>
      <c r="QW233" s="9"/>
      <c r="QX233" s="9"/>
      <c r="QY233" s="9"/>
      <c r="QZ233" s="9"/>
      <c r="RA233" s="9"/>
      <c r="RB233" s="9"/>
      <c r="RC233" s="9"/>
      <c r="RD233" s="9"/>
      <c r="RE233" s="9"/>
      <c r="RF233" s="9"/>
      <c r="RG233" s="9"/>
      <c r="RH233" s="9"/>
      <c r="RI233" s="9"/>
      <c r="RJ233" s="9"/>
      <c r="RK233" s="9"/>
      <c r="RL233" s="9"/>
      <c r="RM233" s="9"/>
      <c r="RN233" s="9"/>
      <c r="RO233" s="9"/>
      <c r="RP233" s="9"/>
      <c r="RQ233" s="9"/>
      <c r="RR233" s="9"/>
      <c r="RS233" s="9"/>
      <c r="RT233" s="9"/>
      <c r="RU233" s="9"/>
      <c r="RV233" s="9"/>
      <c r="RW233" s="9"/>
      <c r="RX233" s="9"/>
      <c r="RY233" s="9"/>
      <c r="RZ233" s="9"/>
      <c r="SA233" s="9"/>
      <c r="SB233" s="9"/>
      <c r="SC233" s="9"/>
      <c r="SD233" s="9"/>
      <c r="SE233" s="9"/>
      <c r="SF233" s="9"/>
      <c r="SG233" s="9"/>
      <c r="SH233" s="9"/>
      <c r="SI233" s="9"/>
      <c r="SJ233" s="9"/>
      <c r="SK233" s="8"/>
      <c r="SL233" s="8"/>
      <c r="SM233" s="8"/>
      <c r="SN233" s="8"/>
      <c r="SO233" s="8"/>
      <c r="SP233" s="8"/>
      <c r="SQ233" s="8"/>
      <c r="SR233" s="8"/>
      <c r="SS233" s="8"/>
      <c r="ST233" s="8"/>
      <c r="SU233" s="8"/>
      <c r="SV233" s="8"/>
      <c r="SW233" s="8"/>
      <c r="SX233" s="8"/>
      <c r="SY233" s="8"/>
      <c r="SZ233" s="8"/>
      <c r="TA233" s="8"/>
      <c r="TB233" s="8"/>
      <c r="TC233" s="8"/>
      <c r="TD233" s="8"/>
      <c r="TE233" s="8"/>
      <c r="TF233" s="8"/>
      <c r="TG233" s="8"/>
      <c r="TH233" s="8"/>
      <c r="TI233" s="8"/>
      <c r="TJ233" s="8"/>
      <c r="TK233" s="8"/>
      <c r="TL233" s="8"/>
      <c r="TM233" s="8"/>
      <c r="TN233" s="8"/>
      <c r="TO233" s="8"/>
    </row>
    <row r="234" spans="1:535" x14ac:dyDescent="0.2">
      <c r="A234" s="7"/>
      <c r="B234" s="7"/>
      <c r="C234" s="9"/>
      <c r="D234" s="8"/>
      <c r="E234" s="8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/>
      <c r="BO234" s="9"/>
      <c r="BP234" s="9"/>
      <c r="BQ234" s="9"/>
      <c r="BR234" s="9"/>
      <c r="BS234" s="9"/>
      <c r="BT234" s="9"/>
      <c r="BU234" s="9"/>
      <c r="BV234" s="9"/>
      <c r="BW234" s="9"/>
      <c r="BX234" s="9"/>
      <c r="BY234" s="9"/>
      <c r="BZ234" s="9"/>
      <c r="CA234" s="9"/>
      <c r="CB234" s="9"/>
      <c r="CC234" s="9"/>
      <c r="CD234" s="9"/>
      <c r="CE234" s="9"/>
      <c r="CF234" s="9"/>
      <c r="CG234" s="9"/>
      <c r="CH234" s="9"/>
      <c r="CI234" s="9"/>
      <c r="CJ234" s="9"/>
      <c r="CK234" s="9"/>
      <c r="CL234" s="9"/>
      <c r="CM234" s="9"/>
      <c r="CN234" s="9"/>
      <c r="CO234" s="9"/>
      <c r="CP234" s="9"/>
      <c r="CQ234" s="9"/>
      <c r="CR234" s="9"/>
      <c r="CS234" s="9"/>
      <c r="CT234" s="9"/>
      <c r="CU234" s="9"/>
      <c r="CV234" s="9"/>
      <c r="CW234" s="9"/>
      <c r="CX234" s="9"/>
      <c r="CY234" s="9"/>
      <c r="CZ234" s="9"/>
      <c r="DA234" s="9"/>
      <c r="DB234" s="9"/>
      <c r="DC234" s="9"/>
      <c r="DD234" s="9"/>
      <c r="DE234" s="9"/>
      <c r="DF234" s="9"/>
      <c r="DG234" s="9"/>
      <c r="DH234" s="9"/>
      <c r="DI234" s="9"/>
      <c r="DJ234" s="9"/>
      <c r="DK234" s="9"/>
      <c r="DL234" s="9"/>
      <c r="DM234" s="9"/>
      <c r="DN234" s="9"/>
      <c r="DO234" s="9"/>
      <c r="DP234" s="9"/>
      <c r="DQ234" s="9"/>
      <c r="DR234" s="9"/>
      <c r="DS234" s="9"/>
      <c r="DT234" s="9"/>
      <c r="DU234" s="9"/>
      <c r="DV234" s="9"/>
      <c r="DW234" s="9"/>
      <c r="DX234" s="9"/>
      <c r="DY234" s="9"/>
      <c r="DZ234" s="9"/>
      <c r="EA234" s="9"/>
      <c r="EB234" s="9"/>
      <c r="EC234" s="9"/>
      <c r="ED234" s="9"/>
      <c r="EE234" s="9"/>
      <c r="EF234" s="9"/>
      <c r="EG234" s="9"/>
      <c r="EH234" s="9"/>
      <c r="EI234" s="9"/>
      <c r="EJ234" s="9"/>
      <c r="EK234" s="9"/>
      <c r="EL234" s="9"/>
      <c r="EM234" s="9"/>
      <c r="EN234" s="9"/>
      <c r="EO234" s="9"/>
      <c r="EP234" s="9"/>
      <c r="EQ234" s="9"/>
      <c r="ER234" s="9"/>
      <c r="ES234" s="9"/>
      <c r="ET234" s="9"/>
      <c r="EU234" s="9"/>
      <c r="EV234" s="9"/>
      <c r="EW234" s="9"/>
      <c r="EX234" s="9"/>
      <c r="EY234" s="9"/>
      <c r="EZ234" s="9"/>
      <c r="FA234" s="9"/>
      <c r="FB234" s="9"/>
      <c r="FC234" s="9"/>
      <c r="FD234" s="9"/>
      <c r="FE234" s="9"/>
      <c r="FF234" s="9"/>
      <c r="FG234" s="9"/>
      <c r="FH234" s="9"/>
      <c r="FI234" s="9"/>
      <c r="FJ234" s="9"/>
      <c r="FK234" s="9"/>
      <c r="FL234" s="9"/>
      <c r="FM234" s="9"/>
      <c r="FN234" s="9"/>
      <c r="FO234" s="9"/>
      <c r="FP234" s="9"/>
      <c r="FQ234" s="9"/>
      <c r="FR234" s="9"/>
      <c r="FS234" s="9"/>
      <c r="FT234" s="9"/>
      <c r="FU234" s="9"/>
      <c r="FV234" s="9"/>
      <c r="FW234" s="9"/>
      <c r="FX234" s="9"/>
      <c r="FY234" s="9"/>
      <c r="FZ234" s="9"/>
      <c r="GA234" s="9"/>
      <c r="GB234" s="9"/>
      <c r="GC234" s="9"/>
      <c r="GD234" s="9"/>
      <c r="GE234" s="9"/>
      <c r="GF234" s="9"/>
      <c r="GG234" s="9"/>
      <c r="GH234" s="9"/>
      <c r="GI234" s="9"/>
      <c r="GJ234" s="9"/>
      <c r="GK234" s="9"/>
      <c r="GL234" s="9"/>
      <c r="GM234" s="9"/>
      <c r="GN234" s="9"/>
      <c r="GO234" s="9"/>
      <c r="GP234" s="9"/>
      <c r="GQ234" s="9"/>
      <c r="GR234" s="9"/>
      <c r="GS234" s="9"/>
      <c r="GT234" s="9"/>
      <c r="GU234" s="9"/>
      <c r="GV234" s="9"/>
      <c r="GW234" s="9"/>
      <c r="GX234" s="9"/>
      <c r="GY234" s="9"/>
      <c r="GZ234" s="9"/>
      <c r="HA234" s="9"/>
      <c r="HB234" s="9"/>
      <c r="HC234" s="9"/>
      <c r="HD234" s="9"/>
      <c r="HE234" s="9"/>
      <c r="HF234" s="9"/>
      <c r="HG234" s="9"/>
      <c r="HH234" s="9"/>
      <c r="HI234" s="9"/>
      <c r="HJ234" s="9"/>
      <c r="HK234" s="9"/>
      <c r="HL234" s="9"/>
      <c r="HM234" s="9"/>
      <c r="HN234" s="9"/>
      <c r="HO234" s="9"/>
      <c r="HP234" s="9"/>
      <c r="HQ234" s="9"/>
      <c r="HR234" s="9"/>
      <c r="HS234" s="9"/>
      <c r="HT234" s="9"/>
      <c r="HU234" s="9"/>
      <c r="HV234" s="9"/>
      <c r="HW234" s="9"/>
      <c r="HX234" s="9"/>
      <c r="HY234" s="9"/>
      <c r="HZ234" s="9"/>
      <c r="IA234" s="9"/>
      <c r="IB234" s="9"/>
      <c r="IC234" s="9"/>
      <c r="ID234" s="9"/>
      <c r="IE234" s="9"/>
      <c r="IF234" s="9"/>
      <c r="IG234" s="9"/>
      <c r="IH234" s="9"/>
      <c r="II234" s="9"/>
      <c r="IJ234" s="9"/>
      <c r="IK234" s="9"/>
      <c r="IL234" s="9"/>
      <c r="IM234" s="9"/>
      <c r="IN234" s="9"/>
      <c r="IO234" s="9"/>
      <c r="IP234" s="9"/>
      <c r="IQ234" s="9"/>
      <c r="IR234" s="9"/>
      <c r="IS234" s="9"/>
      <c r="IT234" s="9"/>
      <c r="IU234" s="9"/>
      <c r="IV234" s="9"/>
      <c r="IW234" s="9"/>
      <c r="IX234" s="9"/>
      <c r="IY234" s="9"/>
      <c r="IZ234" s="9"/>
      <c r="JA234" s="9"/>
      <c r="JB234" s="9"/>
      <c r="JC234" s="9"/>
      <c r="JD234" s="9"/>
      <c r="JE234" s="9"/>
      <c r="JF234" s="9"/>
      <c r="JG234" s="9"/>
      <c r="JH234" s="9"/>
      <c r="JI234" s="9"/>
      <c r="JJ234" s="9"/>
      <c r="JK234" s="9"/>
      <c r="JL234" s="9"/>
      <c r="JM234" s="9"/>
      <c r="JN234" s="9"/>
      <c r="JO234" s="9"/>
      <c r="JP234" s="9"/>
      <c r="JQ234" s="9"/>
      <c r="JR234" s="9"/>
      <c r="JS234" s="9"/>
      <c r="JT234" s="9"/>
      <c r="JU234" s="9"/>
      <c r="JV234" s="9"/>
      <c r="JW234" s="9"/>
      <c r="JX234" s="9"/>
      <c r="JY234" s="9"/>
      <c r="JZ234" s="9"/>
      <c r="KA234" s="9"/>
      <c r="KB234" s="9"/>
      <c r="KC234" s="9"/>
      <c r="KD234" s="9"/>
      <c r="KE234" s="9"/>
      <c r="KF234" s="9"/>
      <c r="KG234" s="9"/>
      <c r="KH234" s="9"/>
      <c r="KI234" s="9"/>
      <c r="KJ234" s="9"/>
      <c r="KK234" s="9"/>
      <c r="KL234" s="9"/>
      <c r="KM234" s="9"/>
      <c r="KN234" s="9"/>
      <c r="KO234" s="9"/>
      <c r="KP234" s="9"/>
      <c r="KQ234" s="9"/>
      <c r="KR234" s="9"/>
      <c r="KS234" s="9"/>
      <c r="KT234" s="9"/>
      <c r="KU234" s="9"/>
      <c r="KV234" s="9"/>
      <c r="KW234" s="9"/>
      <c r="KX234" s="9"/>
      <c r="KY234" s="9"/>
      <c r="KZ234" s="9"/>
      <c r="LA234" s="9"/>
      <c r="LB234" s="9"/>
      <c r="LC234" s="9"/>
      <c r="LD234" s="9"/>
      <c r="LE234" s="9"/>
      <c r="LF234" s="9"/>
      <c r="LG234" s="9"/>
      <c r="LH234" s="9"/>
      <c r="LI234" s="9"/>
      <c r="LJ234" s="9"/>
      <c r="LK234" s="9"/>
      <c r="LL234" s="9"/>
      <c r="LM234" s="9"/>
      <c r="LN234" s="9"/>
      <c r="LO234" s="9"/>
      <c r="LP234" s="9"/>
      <c r="LQ234" s="9"/>
      <c r="LR234" s="9"/>
      <c r="LS234" s="9"/>
      <c r="LT234" s="9"/>
      <c r="LU234" s="9"/>
      <c r="LV234" s="9"/>
      <c r="LW234" s="9"/>
      <c r="LX234" s="9"/>
      <c r="LY234" s="9"/>
      <c r="LZ234" s="9"/>
      <c r="MA234" s="9"/>
      <c r="MB234" s="9"/>
      <c r="MC234" s="9"/>
      <c r="MD234" s="9"/>
      <c r="ME234" s="9"/>
      <c r="MF234" s="9"/>
      <c r="MG234" s="9"/>
      <c r="MH234" s="9"/>
      <c r="MI234" s="9"/>
      <c r="MJ234" s="9"/>
      <c r="MK234" s="9"/>
      <c r="ML234" s="9"/>
      <c r="MM234" s="9"/>
      <c r="MN234" s="9"/>
      <c r="MO234" s="9"/>
      <c r="MP234" s="9"/>
      <c r="MQ234" s="9"/>
      <c r="MR234" s="9"/>
      <c r="MS234" s="9"/>
      <c r="MT234" s="9"/>
      <c r="MU234" s="9"/>
      <c r="MV234" s="9"/>
      <c r="MW234" s="9"/>
      <c r="MX234" s="9"/>
      <c r="MY234" s="9"/>
      <c r="MZ234" s="9"/>
      <c r="NA234" s="9"/>
      <c r="NB234" s="9"/>
      <c r="NC234" s="9"/>
      <c r="ND234" s="9"/>
      <c r="NE234" s="9"/>
      <c r="NF234" s="9"/>
      <c r="NG234" s="9"/>
      <c r="NH234" s="9"/>
      <c r="NI234" s="9"/>
      <c r="NJ234" s="9"/>
      <c r="NK234" s="9"/>
      <c r="NL234" s="9"/>
      <c r="NM234" s="9"/>
      <c r="NN234" s="9"/>
      <c r="NO234" s="9"/>
      <c r="NP234" s="9"/>
      <c r="NQ234" s="9"/>
      <c r="NR234" s="9"/>
      <c r="NS234" s="9"/>
      <c r="NT234" s="9"/>
      <c r="NU234" s="9"/>
      <c r="NV234" s="9"/>
      <c r="NW234" s="9"/>
      <c r="NX234" s="9"/>
      <c r="NY234" s="9"/>
      <c r="NZ234" s="9"/>
      <c r="OA234" s="9"/>
      <c r="OB234" s="9"/>
      <c r="OC234" s="9"/>
      <c r="OD234" s="9"/>
      <c r="OE234" s="9"/>
      <c r="OF234" s="9"/>
      <c r="OG234" s="9"/>
      <c r="OH234" s="9"/>
      <c r="OI234" s="9"/>
      <c r="OJ234" s="9"/>
      <c r="OK234" s="9"/>
      <c r="OL234" s="9"/>
      <c r="OM234" s="9"/>
      <c r="ON234" s="9"/>
      <c r="OO234" s="9"/>
      <c r="OP234" s="9"/>
      <c r="OQ234" s="9"/>
      <c r="OR234" s="9"/>
      <c r="OS234" s="9"/>
      <c r="OT234" s="9"/>
      <c r="OU234" s="9"/>
      <c r="OV234" s="9"/>
      <c r="OW234" s="9"/>
      <c r="OX234" s="9"/>
      <c r="OY234" s="9"/>
      <c r="OZ234" s="9"/>
      <c r="PA234" s="9"/>
      <c r="PB234" s="9"/>
      <c r="PC234" s="9"/>
      <c r="PD234" s="9"/>
      <c r="PE234" s="9"/>
      <c r="PF234" s="9"/>
      <c r="PG234" s="9"/>
      <c r="PH234" s="9"/>
      <c r="PI234" s="9"/>
      <c r="PJ234" s="9"/>
      <c r="PK234" s="9"/>
      <c r="PL234" s="9"/>
      <c r="PM234" s="9"/>
      <c r="PN234" s="9"/>
      <c r="PO234" s="9"/>
      <c r="PP234" s="9"/>
      <c r="PQ234" s="9"/>
      <c r="PR234" s="9"/>
      <c r="PS234" s="9"/>
      <c r="PT234" s="9"/>
      <c r="PU234" s="9"/>
      <c r="PV234" s="9"/>
      <c r="PW234" s="9"/>
      <c r="PX234" s="9"/>
      <c r="PY234" s="9"/>
      <c r="PZ234" s="9"/>
      <c r="QA234" s="9"/>
      <c r="QB234" s="9"/>
      <c r="QC234" s="9"/>
      <c r="QD234" s="9"/>
      <c r="QE234" s="9"/>
      <c r="QF234" s="9"/>
      <c r="QG234" s="9"/>
      <c r="QH234" s="9"/>
      <c r="QI234" s="9"/>
      <c r="QJ234" s="9"/>
      <c r="QK234" s="9"/>
      <c r="QL234" s="9"/>
      <c r="QM234" s="9"/>
      <c r="QN234" s="9"/>
      <c r="QO234" s="9"/>
      <c r="QP234" s="9"/>
      <c r="QQ234" s="9"/>
      <c r="QR234" s="9"/>
      <c r="QS234" s="9"/>
      <c r="QT234" s="9"/>
      <c r="QU234" s="9"/>
      <c r="QV234" s="9"/>
      <c r="QW234" s="9"/>
      <c r="QX234" s="9"/>
      <c r="QY234" s="9"/>
      <c r="QZ234" s="9"/>
      <c r="RA234" s="9"/>
      <c r="RB234" s="9"/>
      <c r="RC234" s="9"/>
      <c r="RD234" s="9"/>
      <c r="RE234" s="9"/>
      <c r="RF234" s="9"/>
      <c r="RG234" s="9"/>
      <c r="RH234" s="9"/>
      <c r="RI234" s="9"/>
      <c r="RJ234" s="9"/>
      <c r="RK234" s="9"/>
      <c r="RL234" s="9"/>
      <c r="RM234" s="9"/>
      <c r="RN234" s="9"/>
      <c r="RO234" s="9"/>
      <c r="RP234" s="9"/>
      <c r="RQ234" s="9"/>
      <c r="RR234" s="9"/>
      <c r="RS234" s="9"/>
      <c r="RT234" s="9"/>
      <c r="RU234" s="9"/>
      <c r="RV234" s="9"/>
      <c r="RW234" s="9"/>
      <c r="RX234" s="9"/>
      <c r="RY234" s="9"/>
      <c r="RZ234" s="9"/>
      <c r="SA234" s="9"/>
      <c r="SB234" s="9"/>
      <c r="SC234" s="9"/>
      <c r="SD234" s="9"/>
      <c r="SE234" s="9"/>
      <c r="SF234" s="9"/>
      <c r="SG234" s="9"/>
      <c r="SH234" s="9"/>
      <c r="SI234" s="9"/>
      <c r="SJ234" s="9"/>
      <c r="SK234" s="8"/>
      <c r="SL234" s="8"/>
      <c r="SM234" s="8"/>
      <c r="SN234" s="8"/>
      <c r="SO234" s="8"/>
      <c r="SP234" s="8"/>
      <c r="SQ234" s="8"/>
      <c r="SR234" s="8"/>
      <c r="SS234" s="8"/>
      <c r="ST234" s="8"/>
      <c r="SU234" s="8"/>
      <c r="SV234" s="8"/>
      <c r="SW234" s="8"/>
      <c r="SX234" s="8"/>
      <c r="SY234" s="8"/>
      <c r="SZ234" s="8"/>
      <c r="TA234" s="8"/>
      <c r="TB234" s="8"/>
      <c r="TC234" s="8"/>
      <c r="TD234" s="8"/>
      <c r="TE234" s="8"/>
      <c r="TF234" s="8"/>
      <c r="TG234" s="8"/>
      <c r="TH234" s="8"/>
      <c r="TI234" s="8"/>
      <c r="TJ234" s="8"/>
      <c r="TK234" s="8"/>
      <c r="TL234" s="8"/>
      <c r="TM234" s="8"/>
      <c r="TN234" s="8"/>
      <c r="TO234" s="8"/>
    </row>
    <row r="235" spans="1:535" x14ac:dyDescent="0.2">
      <c r="A235" s="7"/>
      <c r="B235" s="7"/>
      <c r="C235" s="9"/>
      <c r="D235" s="8"/>
      <c r="E235" s="8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9"/>
      <c r="BK235" s="9"/>
      <c r="BL235" s="9"/>
      <c r="BM235" s="9"/>
      <c r="BN235" s="9"/>
      <c r="BO235" s="9"/>
      <c r="BP235" s="9"/>
      <c r="BQ235" s="9"/>
      <c r="BR235" s="9"/>
      <c r="BS235" s="9"/>
      <c r="BT235" s="9"/>
      <c r="BU235" s="9"/>
      <c r="BV235" s="9"/>
      <c r="BW235" s="9"/>
      <c r="BX235" s="9"/>
      <c r="BY235" s="9"/>
      <c r="BZ235" s="9"/>
      <c r="CA235" s="9"/>
      <c r="CB235" s="9"/>
      <c r="CC235" s="9"/>
      <c r="CD235" s="9"/>
      <c r="CE235" s="9"/>
      <c r="CF235" s="9"/>
      <c r="CG235" s="9"/>
      <c r="CH235" s="9"/>
      <c r="CI235" s="9"/>
      <c r="CJ235" s="9"/>
      <c r="CK235" s="9"/>
      <c r="CL235" s="9"/>
      <c r="CM235" s="9"/>
      <c r="CN235" s="9"/>
      <c r="CO235" s="9"/>
      <c r="CP235" s="9"/>
      <c r="CQ235" s="9"/>
      <c r="CR235" s="9"/>
      <c r="CS235" s="9"/>
      <c r="CT235" s="9"/>
      <c r="CU235" s="9"/>
      <c r="CV235" s="9"/>
      <c r="CW235" s="9"/>
      <c r="CX235" s="9"/>
      <c r="CY235" s="9"/>
      <c r="CZ235" s="9"/>
      <c r="DA235" s="9"/>
      <c r="DB235" s="9"/>
      <c r="DC235" s="9"/>
      <c r="DD235" s="9"/>
      <c r="DE235" s="9"/>
      <c r="DF235" s="9"/>
      <c r="DG235" s="9"/>
      <c r="DH235" s="9"/>
      <c r="DI235" s="9"/>
      <c r="DJ235" s="9"/>
      <c r="DK235" s="9"/>
      <c r="DL235" s="9"/>
      <c r="DM235" s="9"/>
      <c r="DN235" s="9"/>
      <c r="DO235" s="9"/>
      <c r="DP235" s="9"/>
      <c r="DQ235" s="9"/>
      <c r="DR235" s="9"/>
      <c r="DS235" s="9"/>
      <c r="DT235" s="9"/>
      <c r="DU235" s="9"/>
      <c r="DV235" s="9"/>
      <c r="DW235" s="9"/>
      <c r="DX235" s="9"/>
      <c r="DY235" s="9"/>
      <c r="DZ235" s="9"/>
      <c r="EA235" s="9"/>
      <c r="EB235" s="9"/>
      <c r="EC235" s="9"/>
      <c r="ED235" s="9"/>
      <c r="EE235" s="9"/>
      <c r="EF235" s="9"/>
      <c r="EG235" s="9"/>
      <c r="EH235" s="9"/>
      <c r="EI235" s="9"/>
      <c r="EJ235" s="9"/>
      <c r="EK235" s="9"/>
      <c r="EL235" s="9"/>
      <c r="EM235" s="9"/>
      <c r="EN235" s="9"/>
      <c r="EO235" s="9"/>
      <c r="EP235" s="9"/>
      <c r="EQ235" s="9"/>
      <c r="ER235" s="9"/>
      <c r="ES235" s="9"/>
      <c r="ET235" s="9"/>
      <c r="EU235" s="9"/>
      <c r="EV235" s="9"/>
      <c r="EW235" s="9"/>
      <c r="EX235" s="9"/>
      <c r="EY235" s="9"/>
      <c r="EZ235" s="9"/>
      <c r="FA235" s="9"/>
      <c r="FB235" s="9"/>
      <c r="FC235" s="9"/>
      <c r="FD235" s="9"/>
      <c r="FE235" s="9"/>
      <c r="FF235" s="9"/>
      <c r="FG235" s="9"/>
      <c r="FH235" s="9"/>
      <c r="FI235" s="9"/>
      <c r="FJ235" s="9"/>
      <c r="FK235" s="9"/>
      <c r="FL235" s="9"/>
      <c r="FM235" s="9"/>
      <c r="FN235" s="9"/>
      <c r="FO235" s="9"/>
      <c r="FP235" s="9"/>
      <c r="FQ235" s="9"/>
      <c r="FR235" s="9"/>
      <c r="FS235" s="9"/>
      <c r="FT235" s="9"/>
      <c r="FU235" s="9"/>
      <c r="FV235" s="9"/>
      <c r="FW235" s="9"/>
      <c r="FX235" s="9"/>
      <c r="FY235" s="9"/>
      <c r="FZ235" s="9"/>
      <c r="GA235" s="9"/>
      <c r="GB235" s="9"/>
      <c r="GC235" s="9"/>
      <c r="GD235" s="9"/>
      <c r="GE235" s="9"/>
      <c r="GF235" s="9"/>
      <c r="GG235" s="9"/>
      <c r="GH235" s="9"/>
      <c r="GI235" s="9"/>
      <c r="GJ235" s="9"/>
      <c r="GK235" s="9"/>
      <c r="GL235" s="9"/>
      <c r="GM235" s="9"/>
      <c r="GN235" s="9"/>
      <c r="GO235" s="9"/>
      <c r="GP235" s="9"/>
      <c r="GQ235" s="9"/>
      <c r="GR235" s="9"/>
      <c r="GS235" s="9"/>
      <c r="GT235" s="9"/>
      <c r="GU235" s="9"/>
      <c r="GV235" s="9"/>
      <c r="GW235" s="9"/>
      <c r="GX235" s="9"/>
      <c r="GY235" s="9"/>
      <c r="GZ235" s="9"/>
      <c r="HA235" s="9"/>
      <c r="HB235" s="9"/>
      <c r="HC235" s="9"/>
      <c r="HD235" s="9"/>
      <c r="HE235" s="9"/>
      <c r="HF235" s="9"/>
      <c r="HG235" s="9"/>
      <c r="HH235" s="9"/>
      <c r="HI235" s="9"/>
      <c r="HJ235" s="9"/>
      <c r="HK235" s="9"/>
      <c r="HL235" s="9"/>
      <c r="HM235" s="9"/>
      <c r="HN235" s="9"/>
      <c r="HO235" s="9"/>
      <c r="HP235" s="9"/>
      <c r="HQ235" s="9"/>
      <c r="HR235" s="9"/>
      <c r="HS235" s="9"/>
      <c r="HT235" s="9"/>
      <c r="HU235" s="9"/>
      <c r="HV235" s="9"/>
      <c r="HW235" s="9"/>
      <c r="HX235" s="9"/>
      <c r="HY235" s="9"/>
      <c r="HZ235" s="9"/>
      <c r="IA235" s="9"/>
      <c r="IB235" s="9"/>
      <c r="IC235" s="9"/>
      <c r="ID235" s="9"/>
      <c r="IE235" s="9"/>
      <c r="IF235" s="9"/>
      <c r="IG235" s="9"/>
      <c r="IH235" s="9"/>
      <c r="II235" s="9"/>
      <c r="IJ235" s="9"/>
      <c r="IK235" s="9"/>
      <c r="IL235" s="9"/>
      <c r="IM235" s="9"/>
      <c r="IN235" s="9"/>
      <c r="IO235" s="9"/>
      <c r="IP235" s="9"/>
      <c r="IQ235" s="9"/>
      <c r="IR235" s="9"/>
      <c r="IS235" s="9"/>
      <c r="IT235" s="9"/>
      <c r="IU235" s="9"/>
      <c r="IV235" s="9"/>
      <c r="IW235" s="9"/>
      <c r="IX235" s="9"/>
      <c r="IY235" s="9"/>
      <c r="IZ235" s="9"/>
      <c r="JA235" s="9"/>
      <c r="JB235" s="9"/>
      <c r="JC235" s="9"/>
      <c r="JD235" s="9"/>
      <c r="JE235" s="9"/>
      <c r="JF235" s="9"/>
      <c r="JG235" s="9"/>
      <c r="JH235" s="9"/>
      <c r="JI235" s="9"/>
      <c r="JJ235" s="9"/>
      <c r="JK235" s="9"/>
      <c r="JL235" s="9"/>
      <c r="JM235" s="9"/>
      <c r="JN235" s="9"/>
      <c r="JO235" s="9"/>
      <c r="JP235" s="9"/>
      <c r="JQ235" s="9"/>
      <c r="JR235" s="9"/>
      <c r="JS235" s="9"/>
      <c r="JT235" s="9"/>
      <c r="JU235" s="9"/>
      <c r="JV235" s="9"/>
      <c r="JW235" s="9"/>
      <c r="JX235" s="9"/>
      <c r="JY235" s="9"/>
      <c r="JZ235" s="9"/>
      <c r="KA235" s="9"/>
      <c r="KB235" s="9"/>
      <c r="KC235" s="9"/>
      <c r="KD235" s="9"/>
      <c r="KE235" s="9"/>
      <c r="KF235" s="9"/>
      <c r="KG235" s="9"/>
      <c r="KH235" s="9"/>
      <c r="KI235" s="9"/>
      <c r="KJ235" s="9"/>
      <c r="KK235" s="9"/>
      <c r="KL235" s="9"/>
      <c r="KM235" s="9"/>
      <c r="KN235" s="9"/>
      <c r="KO235" s="9"/>
      <c r="KP235" s="9"/>
      <c r="KQ235" s="9"/>
      <c r="KR235" s="9"/>
      <c r="KS235" s="9"/>
      <c r="KT235" s="9"/>
      <c r="KU235" s="9"/>
      <c r="KV235" s="9"/>
      <c r="KW235" s="9"/>
      <c r="KX235" s="9"/>
      <c r="KY235" s="9"/>
      <c r="KZ235" s="9"/>
      <c r="LA235" s="9"/>
      <c r="LB235" s="9"/>
      <c r="LC235" s="9"/>
      <c r="LD235" s="9"/>
      <c r="LE235" s="9"/>
      <c r="LF235" s="9"/>
      <c r="LG235" s="9"/>
      <c r="LH235" s="9"/>
      <c r="LI235" s="9"/>
      <c r="LJ235" s="9"/>
      <c r="LK235" s="9"/>
      <c r="LL235" s="9"/>
      <c r="LM235" s="9"/>
      <c r="LN235" s="9"/>
      <c r="LO235" s="9"/>
      <c r="LP235" s="9"/>
      <c r="LQ235" s="9"/>
      <c r="LR235" s="9"/>
      <c r="LS235" s="9"/>
      <c r="LT235" s="9"/>
      <c r="LU235" s="9"/>
      <c r="LV235" s="9"/>
      <c r="LW235" s="9"/>
      <c r="LX235" s="9"/>
      <c r="LY235" s="9"/>
      <c r="LZ235" s="9"/>
      <c r="MA235" s="9"/>
      <c r="MB235" s="9"/>
      <c r="MC235" s="9"/>
      <c r="MD235" s="9"/>
      <c r="ME235" s="9"/>
      <c r="MF235" s="9"/>
      <c r="MG235" s="9"/>
      <c r="MH235" s="9"/>
      <c r="MI235" s="9"/>
      <c r="MJ235" s="9"/>
      <c r="MK235" s="9"/>
      <c r="ML235" s="9"/>
      <c r="MM235" s="9"/>
      <c r="MN235" s="9"/>
      <c r="MO235" s="9"/>
      <c r="MP235" s="9"/>
      <c r="MQ235" s="9"/>
      <c r="MR235" s="9"/>
      <c r="MS235" s="9"/>
      <c r="MT235" s="9"/>
      <c r="MU235" s="9"/>
      <c r="MV235" s="9"/>
      <c r="MW235" s="9"/>
      <c r="MX235" s="9"/>
      <c r="MY235" s="9"/>
      <c r="MZ235" s="9"/>
      <c r="NA235" s="9"/>
      <c r="NB235" s="9"/>
      <c r="NC235" s="9"/>
      <c r="ND235" s="9"/>
      <c r="NE235" s="9"/>
      <c r="NF235" s="9"/>
      <c r="NG235" s="9"/>
      <c r="NH235" s="9"/>
      <c r="NI235" s="9"/>
      <c r="NJ235" s="9"/>
      <c r="NK235" s="9"/>
      <c r="NL235" s="9"/>
      <c r="NM235" s="9"/>
      <c r="NN235" s="9"/>
      <c r="NO235" s="9"/>
      <c r="NP235" s="9"/>
      <c r="NQ235" s="9"/>
      <c r="NR235" s="9"/>
      <c r="NS235" s="9"/>
      <c r="NT235" s="9"/>
      <c r="NU235" s="9"/>
      <c r="NV235" s="9"/>
      <c r="NW235" s="9"/>
      <c r="NX235" s="9"/>
      <c r="NY235" s="9"/>
      <c r="NZ235" s="9"/>
      <c r="OA235" s="9"/>
      <c r="OB235" s="9"/>
      <c r="OC235" s="9"/>
      <c r="OD235" s="9"/>
      <c r="OE235" s="9"/>
      <c r="OF235" s="9"/>
      <c r="OG235" s="9"/>
      <c r="OH235" s="9"/>
      <c r="OI235" s="9"/>
      <c r="OJ235" s="9"/>
      <c r="OK235" s="9"/>
      <c r="OL235" s="9"/>
      <c r="OM235" s="9"/>
      <c r="ON235" s="9"/>
      <c r="OO235" s="9"/>
      <c r="OP235" s="9"/>
      <c r="OQ235" s="9"/>
      <c r="OR235" s="9"/>
      <c r="OS235" s="9"/>
      <c r="OT235" s="9"/>
      <c r="OU235" s="9"/>
      <c r="OV235" s="9"/>
      <c r="OW235" s="9"/>
      <c r="OX235" s="9"/>
      <c r="OY235" s="9"/>
      <c r="OZ235" s="9"/>
      <c r="PA235" s="9"/>
      <c r="PB235" s="9"/>
      <c r="PC235" s="9"/>
      <c r="PD235" s="9"/>
      <c r="PE235" s="9"/>
      <c r="PF235" s="9"/>
      <c r="PG235" s="9"/>
      <c r="PH235" s="9"/>
      <c r="PI235" s="9"/>
      <c r="PJ235" s="9"/>
      <c r="PK235" s="9"/>
      <c r="PL235" s="9"/>
      <c r="PM235" s="9"/>
      <c r="PN235" s="9"/>
      <c r="PO235" s="9"/>
      <c r="PP235" s="9"/>
      <c r="PQ235" s="9"/>
      <c r="PR235" s="9"/>
      <c r="PS235" s="9"/>
      <c r="PT235" s="9"/>
      <c r="PU235" s="9"/>
      <c r="PV235" s="9"/>
      <c r="PW235" s="9"/>
      <c r="PX235" s="9"/>
      <c r="PY235" s="9"/>
      <c r="PZ235" s="9"/>
      <c r="QA235" s="9"/>
      <c r="QB235" s="9"/>
      <c r="QC235" s="9"/>
      <c r="QD235" s="9"/>
      <c r="QE235" s="9"/>
      <c r="QF235" s="9"/>
      <c r="QG235" s="9"/>
      <c r="QH235" s="9"/>
      <c r="QI235" s="9"/>
      <c r="QJ235" s="9"/>
      <c r="QK235" s="9"/>
      <c r="QL235" s="9"/>
      <c r="QM235" s="9"/>
      <c r="QN235" s="9"/>
      <c r="QO235" s="9"/>
      <c r="QP235" s="9"/>
      <c r="QQ235" s="9"/>
      <c r="QR235" s="9"/>
      <c r="QS235" s="9"/>
      <c r="QT235" s="9"/>
      <c r="QU235" s="9"/>
      <c r="QV235" s="9"/>
      <c r="QW235" s="9"/>
      <c r="QX235" s="9"/>
      <c r="QY235" s="9"/>
      <c r="QZ235" s="9"/>
      <c r="RA235" s="9"/>
      <c r="RB235" s="9"/>
      <c r="RC235" s="9"/>
      <c r="RD235" s="9"/>
      <c r="RE235" s="9"/>
      <c r="RF235" s="9"/>
      <c r="RG235" s="9"/>
      <c r="RH235" s="9"/>
      <c r="RI235" s="9"/>
      <c r="RJ235" s="9"/>
      <c r="RK235" s="9"/>
      <c r="RL235" s="9"/>
      <c r="RM235" s="9"/>
      <c r="RN235" s="9"/>
      <c r="RO235" s="9"/>
      <c r="RP235" s="9"/>
      <c r="RQ235" s="9"/>
      <c r="RR235" s="9"/>
      <c r="RS235" s="9"/>
      <c r="RT235" s="9"/>
      <c r="RU235" s="9"/>
      <c r="RV235" s="9"/>
      <c r="RW235" s="9"/>
      <c r="RX235" s="9"/>
      <c r="RY235" s="9"/>
      <c r="RZ235" s="9"/>
      <c r="SA235" s="9"/>
      <c r="SB235" s="9"/>
      <c r="SC235" s="9"/>
      <c r="SD235" s="9"/>
      <c r="SE235" s="9"/>
      <c r="SF235" s="9"/>
      <c r="SG235" s="9"/>
      <c r="SH235" s="9"/>
      <c r="SI235" s="9"/>
      <c r="SJ235" s="9"/>
      <c r="SK235" s="8"/>
      <c r="SL235" s="8"/>
      <c r="SM235" s="8"/>
      <c r="SN235" s="8"/>
      <c r="SO235" s="8"/>
      <c r="SP235" s="8"/>
      <c r="SQ235" s="8"/>
      <c r="SR235" s="8"/>
      <c r="SS235" s="8"/>
      <c r="ST235" s="8"/>
      <c r="SU235" s="8"/>
      <c r="SV235" s="8"/>
      <c r="SW235" s="8"/>
      <c r="SX235" s="8"/>
      <c r="SY235" s="8"/>
      <c r="SZ235" s="8"/>
      <c r="TA235" s="8"/>
      <c r="TB235" s="8"/>
      <c r="TC235" s="8"/>
      <c r="TD235" s="8"/>
      <c r="TE235" s="8"/>
      <c r="TF235" s="8"/>
      <c r="TG235" s="8"/>
      <c r="TH235" s="8"/>
      <c r="TI235" s="8"/>
      <c r="TJ235" s="8"/>
      <c r="TK235" s="8"/>
      <c r="TL235" s="8"/>
      <c r="TM235" s="8"/>
      <c r="TN235" s="8"/>
      <c r="TO235" s="8"/>
    </row>
    <row r="236" spans="1:535" x14ac:dyDescent="0.2">
      <c r="A236" s="7"/>
      <c r="B236" s="7"/>
      <c r="C236" s="9"/>
      <c r="D236" s="8"/>
      <c r="E236" s="8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/>
      <c r="BO236" s="9"/>
      <c r="BP236" s="9"/>
      <c r="BQ236" s="9"/>
      <c r="BR236" s="9"/>
      <c r="BS236" s="9"/>
      <c r="BT236" s="9"/>
      <c r="BU236" s="9"/>
      <c r="BV236" s="9"/>
      <c r="BW236" s="9"/>
      <c r="BX236" s="9"/>
      <c r="BY236" s="9"/>
      <c r="BZ236" s="9"/>
      <c r="CA236" s="9"/>
      <c r="CB236" s="9"/>
      <c r="CC236" s="9"/>
      <c r="CD236" s="9"/>
      <c r="CE236" s="9"/>
      <c r="CF236" s="9"/>
      <c r="CG236" s="9"/>
      <c r="CH236" s="9"/>
      <c r="CI236" s="9"/>
      <c r="CJ236" s="9"/>
      <c r="CK236" s="9"/>
      <c r="CL236" s="9"/>
      <c r="CM236" s="9"/>
      <c r="CN236" s="9"/>
      <c r="CO236" s="9"/>
      <c r="CP236" s="9"/>
      <c r="CQ236" s="9"/>
      <c r="CR236" s="9"/>
      <c r="CS236" s="9"/>
      <c r="CT236" s="9"/>
      <c r="CU236" s="9"/>
      <c r="CV236" s="9"/>
      <c r="CW236" s="9"/>
      <c r="CX236" s="9"/>
      <c r="CY236" s="9"/>
      <c r="CZ236" s="9"/>
      <c r="DA236" s="9"/>
      <c r="DB236" s="9"/>
      <c r="DC236" s="9"/>
      <c r="DD236" s="9"/>
      <c r="DE236" s="9"/>
      <c r="DF236" s="9"/>
      <c r="DG236" s="9"/>
      <c r="DH236" s="9"/>
      <c r="DI236" s="9"/>
      <c r="DJ236" s="9"/>
      <c r="DK236" s="9"/>
      <c r="DL236" s="9"/>
      <c r="DM236" s="9"/>
      <c r="DN236" s="9"/>
      <c r="DO236" s="9"/>
      <c r="DP236" s="9"/>
      <c r="DQ236" s="9"/>
      <c r="DR236" s="9"/>
      <c r="DS236" s="9"/>
      <c r="DT236" s="9"/>
      <c r="DU236" s="9"/>
      <c r="DV236" s="9"/>
      <c r="DW236" s="9"/>
      <c r="DX236" s="9"/>
      <c r="DY236" s="9"/>
      <c r="DZ236" s="9"/>
      <c r="EA236" s="9"/>
      <c r="EB236" s="9"/>
      <c r="EC236" s="9"/>
      <c r="ED236" s="9"/>
      <c r="EE236" s="9"/>
      <c r="EF236" s="9"/>
      <c r="EG236" s="9"/>
      <c r="EH236" s="9"/>
      <c r="EI236" s="9"/>
      <c r="EJ236" s="9"/>
      <c r="EK236" s="9"/>
      <c r="EL236" s="9"/>
      <c r="EM236" s="9"/>
      <c r="EN236" s="9"/>
      <c r="EO236" s="9"/>
      <c r="EP236" s="9"/>
      <c r="EQ236" s="9"/>
      <c r="ER236" s="9"/>
      <c r="ES236" s="9"/>
      <c r="ET236" s="9"/>
      <c r="EU236" s="9"/>
      <c r="EV236" s="9"/>
      <c r="EW236" s="9"/>
      <c r="EX236" s="9"/>
      <c r="EY236" s="9"/>
      <c r="EZ236" s="9"/>
      <c r="FA236" s="9"/>
      <c r="FB236" s="9"/>
      <c r="FC236" s="9"/>
      <c r="FD236" s="9"/>
      <c r="FE236" s="9"/>
      <c r="FF236" s="9"/>
      <c r="FG236" s="9"/>
      <c r="FH236" s="9"/>
      <c r="FI236" s="9"/>
      <c r="FJ236" s="9"/>
      <c r="FK236" s="9"/>
      <c r="FL236" s="9"/>
      <c r="FM236" s="9"/>
      <c r="FN236" s="9"/>
      <c r="FO236" s="9"/>
      <c r="FP236" s="9"/>
      <c r="FQ236" s="9"/>
      <c r="FR236" s="9"/>
      <c r="FS236" s="9"/>
      <c r="FT236" s="9"/>
      <c r="FU236" s="9"/>
      <c r="FV236" s="9"/>
      <c r="FW236" s="9"/>
      <c r="FX236" s="9"/>
      <c r="FY236" s="9"/>
      <c r="FZ236" s="9"/>
      <c r="GA236" s="9"/>
      <c r="GB236" s="9"/>
      <c r="GC236" s="9"/>
      <c r="GD236" s="9"/>
      <c r="GE236" s="9"/>
      <c r="GF236" s="9"/>
      <c r="GG236" s="9"/>
      <c r="GH236" s="9"/>
      <c r="GI236" s="9"/>
      <c r="GJ236" s="9"/>
      <c r="GK236" s="9"/>
      <c r="GL236" s="9"/>
      <c r="GM236" s="9"/>
      <c r="GN236" s="9"/>
      <c r="GO236" s="9"/>
      <c r="GP236" s="9"/>
      <c r="GQ236" s="9"/>
      <c r="GR236" s="9"/>
      <c r="GS236" s="9"/>
      <c r="GT236" s="9"/>
      <c r="GU236" s="9"/>
      <c r="GV236" s="9"/>
      <c r="GW236" s="9"/>
      <c r="GX236" s="9"/>
      <c r="GY236" s="9"/>
      <c r="GZ236" s="9"/>
      <c r="HA236" s="9"/>
      <c r="HB236" s="9"/>
      <c r="HC236" s="9"/>
      <c r="HD236" s="9"/>
      <c r="HE236" s="9"/>
      <c r="HF236" s="9"/>
      <c r="HG236" s="9"/>
      <c r="HH236" s="9"/>
      <c r="HI236" s="9"/>
      <c r="HJ236" s="9"/>
      <c r="HK236" s="9"/>
      <c r="HL236" s="9"/>
      <c r="HM236" s="9"/>
      <c r="HN236" s="9"/>
      <c r="HO236" s="9"/>
      <c r="HP236" s="9"/>
      <c r="HQ236" s="9"/>
      <c r="HR236" s="9"/>
      <c r="HS236" s="9"/>
      <c r="HT236" s="9"/>
      <c r="HU236" s="9"/>
      <c r="HV236" s="9"/>
      <c r="HW236" s="9"/>
      <c r="HX236" s="9"/>
      <c r="HY236" s="9"/>
      <c r="HZ236" s="9"/>
      <c r="IA236" s="9"/>
      <c r="IB236" s="9"/>
      <c r="IC236" s="9"/>
      <c r="ID236" s="9"/>
      <c r="IE236" s="9"/>
      <c r="IF236" s="9"/>
      <c r="IG236" s="9"/>
      <c r="IH236" s="9"/>
      <c r="II236" s="9"/>
      <c r="IJ236" s="9"/>
      <c r="IK236" s="9"/>
      <c r="IL236" s="9"/>
      <c r="IM236" s="9"/>
      <c r="IN236" s="9"/>
      <c r="IO236" s="9"/>
      <c r="IP236" s="9"/>
      <c r="IQ236" s="9"/>
      <c r="IR236" s="9"/>
      <c r="IS236" s="9"/>
      <c r="IT236" s="9"/>
      <c r="IU236" s="9"/>
      <c r="IV236" s="9"/>
      <c r="IW236" s="9"/>
      <c r="IX236" s="9"/>
      <c r="IY236" s="9"/>
      <c r="IZ236" s="9"/>
      <c r="JA236" s="9"/>
      <c r="JB236" s="9"/>
      <c r="JC236" s="9"/>
      <c r="JD236" s="9"/>
      <c r="JE236" s="9"/>
      <c r="JF236" s="9"/>
      <c r="JG236" s="9"/>
      <c r="JH236" s="9"/>
      <c r="JI236" s="9"/>
      <c r="JJ236" s="9"/>
      <c r="JK236" s="9"/>
      <c r="JL236" s="9"/>
      <c r="JM236" s="9"/>
      <c r="JN236" s="9"/>
      <c r="JO236" s="9"/>
      <c r="JP236" s="9"/>
      <c r="JQ236" s="9"/>
      <c r="JR236" s="9"/>
      <c r="JS236" s="9"/>
      <c r="JT236" s="9"/>
      <c r="JU236" s="9"/>
      <c r="JV236" s="9"/>
      <c r="JW236" s="9"/>
      <c r="JX236" s="9"/>
      <c r="JY236" s="9"/>
      <c r="JZ236" s="9"/>
      <c r="KA236" s="9"/>
      <c r="KB236" s="9"/>
      <c r="KC236" s="9"/>
      <c r="KD236" s="9"/>
      <c r="KE236" s="9"/>
      <c r="KF236" s="9"/>
      <c r="KG236" s="9"/>
      <c r="KH236" s="9"/>
      <c r="KI236" s="9"/>
      <c r="KJ236" s="9"/>
      <c r="KK236" s="9"/>
      <c r="KL236" s="9"/>
      <c r="KM236" s="9"/>
      <c r="KN236" s="9"/>
      <c r="KO236" s="9"/>
      <c r="KP236" s="9"/>
      <c r="KQ236" s="9"/>
      <c r="KR236" s="9"/>
      <c r="KS236" s="9"/>
      <c r="KT236" s="9"/>
      <c r="KU236" s="9"/>
      <c r="KV236" s="9"/>
      <c r="KW236" s="9"/>
      <c r="KX236" s="9"/>
      <c r="KY236" s="9"/>
      <c r="KZ236" s="9"/>
      <c r="LA236" s="9"/>
      <c r="LB236" s="9"/>
      <c r="LC236" s="9"/>
      <c r="LD236" s="9"/>
      <c r="LE236" s="9"/>
      <c r="LF236" s="9"/>
      <c r="LG236" s="9"/>
      <c r="LH236" s="9"/>
      <c r="LI236" s="9"/>
      <c r="LJ236" s="9"/>
      <c r="LK236" s="9"/>
      <c r="LL236" s="9"/>
      <c r="LM236" s="9"/>
      <c r="LN236" s="9"/>
      <c r="LO236" s="9"/>
      <c r="LP236" s="9"/>
      <c r="LQ236" s="9"/>
      <c r="LR236" s="9"/>
      <c r="LS236" s="9"/>
      <c r="LT236" s="9"/>
      <c r="LU236" s="9"/>
      <c r="LV236" s="9"/>
      <c r="LW236" s="9"/>
      <c r="LX236" s="9"/>
      <c r="LY236" s="9"/>
      <c r="LZ236" s="9"/>
      <c r="MA236" s="9"/>
      <c r="MB236" s="9"/>
      <c r="MC236" s="9"/>
      <c r="MD236" s="9"/>
      <c r="ME236" s="9"/>
      <c r="MF236" s="9"/>
      <c r="MG236" s="9"/>
      <c r="MH236" s="9"/>
      <c r="MI236" s="9"/>
      <c r="MJ236" s="9"/>
      <c r="MK236" s="9"/>
      <c r="ML236" s="9"/>
      <c r="MM236" s="9"/>
      <c r="MN236" s="9"/>
      <c r="MO236" s="9"/>
      <c r="MP236" s="9"/>
      <c r="MQ236" s="9"/>
      <c r="MR236" s="9"/>
      <c r="MS236" s="9"/>
      <c r="MT236" s="9"/>
      <c r="MU236" s="9"/>
      <c r="MV236" s="9"/>
      <c r="MW236" s="9"/>
      <c r="MX236" s="9"/>
      <c r="MY236" s="9"/>
      <c r="MZ236" s="9"/>
      <c r="NA236" s="9"/>
      <c r="NB236" s="9"/>
      <c r="NC236" s="9"/>
      <c r="ND236" s="9"/>
      <c r="NE236" s="9"/>
      <c r="NF236" s="9"/>
      <c r="NG236" s="9"/>
      <c r="NH236" s="9"/>
      <c r="NI236" s="9"/>
      <c r="NJ236" s="9"/>
      <c r="NK236" s="9"/>
      <c r="NL236" s="9"/>
      <c r="NM236" s="9"/>
      <c r="NN236" s="9"/>
      <c r="NO236" s="9"/>
      <c r="NP236" s="9"/>
      <c r="NQ236" s="9"/>
      <c r="NR236" s="9"/>
      <c r="NS236" s="9"/>
      <c r="NT236" s="9"/>
      <c r="NU236" s="9"/>
      <c r="NV236" s="9"/>
      <c r="NW236" s="9"/>
      <c r="NX236" s="9"/>
      <c r="NY236" s="9"/>
      <c r="NZ236" s="9"/>
      <c r="OA236" s="9"/>
      <c r="OB236" s="9"/>
      <c r="OC236" s="9"/>
      <c r="OD236" s="9"/>
      <c r="OE236" s="9"/>
      <c r="OF236" s="9"/>
      <c r="OG236" s="9"/>
      <c r="OH236" s="9"/>
      <c r="OI236" s="9"/>
      <c r="OJ236" s="9"/>
      <c r="OK236" s="9"/>
      <c r="OL236" s="9"/>
      <c r="OM236" s="9"/>
      <c r="ON236" s="9"/>
      <c r="OO236" s="9"/>
      <c r="OP236" s="9"/>
      <c r="OQ236" s="9"/>
      <c r="OR236" s="9"/>
      <c r="OS236" s="9"/>
      <c r="OT236" s="9"/>
      <c r="OU236" s="9"/>
      <c r="OV236" s="9"/>
      <c r="OW236" s="9"/>
      <c r="OX236" s="9"/>
      <c r="OY236" s="9"/>
      <c r="OZ236" s="9"/>
      <c r="PA236" s="9"/>
      <c r="PB236" s="9"/>
      <c r="PC236" s="9"/>
      <c r="PD236" s="9"/>
      <c r="PE236" s="9"/>
      <c r="PF236" s="9"/>
      <c r="PG236" s="9"/>
      <c r="PH236" s="9"/>
      <c r="PI236" s="9"/>
      <c r="PJ236" s="9"/>
      <c r="PK236" s="9"/>
      <c r="PL236" s="9"/>
      <c r="PM236" s="9"/>
      <c r="PN236" s="9"/>
      <c r="PO236" s="9"/>
      <c r="PP236" s="9"/>
      <c r="PQ236" s="9"/>
      <c r="PR236" s="9"/>
      <c r="PS236" s="9"/>
      <c r="PT236" s="9"/>
      <c r="PU236" s="9"/>
      <c r="PV236" s="9"/>
      <c r="PW236" s="9"/>
      <c r="PX236" s="9"/>
      <c r="PY236" s="9"/>
      <c r="PZ236" s="9"/>
      <c r="QA236" s="9"/>
      <c r="QB236" s="9"/>
      <c r="QC236" s="9"/>
      <c r="QD236" s="9"/>
      <c r="QE236" s="9"/>
      <c r="QF236" s="9"/>
      <c r="QG236" s="9"/>
      <c r="QH236" s="9"/>
      <c r="QI236" s="9"/>
      <c r="QJ236" s="9"/>
      <c r="QK236" s="9"/>
      <c r="QL236" s="9"/>
      <c r="QM236" s="9"/>
      <c r="QN236" s="9"/>
      <c r="QO236" s="9"/>
      <c r="QP236" s="9"/>
      <c r="QQ236" s="9"/>
      <c r="QR236" s="9"/>
      <c r="QS236" s="9"/>
      <c r="QT236" s="9"/>
      <c r="QU236" s="9"/>
      <c r="QV236" s="9"/>
      <c r="QW236" s="9"/>
      <c r="QX236" s="9"/>
      <c r="QY236" s="9"/>
      <c r="QZ236" s="9"/>
      <c r="RA236" s="9"/>
      <c r="RB236" s="9"/>
      <c r="RC236" s="9"/>
      <c r="RD236" s="9"/>
      <c r="RE236" s="9"/>
      <c r="RF236" s="9"/>
      <c r="RG236" s="9"/>
      <c r="RH236" s="9"/>
      <c r="RI236" s="9"/>
      <c r="RJ236" s="9"/>
      <c r="RK236" s="9"/>
      <c r="RL236" s="9"/>
      <c r="RM236" s="9"/>
      <c r="RN236" s="9"/>
      <c r="RO236" s="9"/>
      <c r="RP236" s="9"/>
      <c r="RQ236" s="9"/>
      <c r="RR236" s="9"/>
      <c r="RS236" s="9"/>
      <c r="RT236" s="9"/>
      <c r="RU236" s="9"/>
      <c r="RV236" s="9"/>
      <c r="RW236" s="9"/>
      <c r="RX236" s="9"/>
      <c r="RY236" s="9"/>
      <c r="RZ236" s="9"/>
      <c r="SA236" s="9"/>
      <c r="SB236" s="9"/>
      <c r="SC236" s="9"/>
      <c r="SD236" s="9"/>
      <c r="SE236" s="9"/>
      <c r="SF236" s="9"/>
      <c r="SG236" s="9"/>
      <c r="SH236" s="9"/>
      <c r="SI236" s="9"/>
      <c r="SJ236" s="9"/>
      <c r="SK236" s="8"/>
      <c r="SL236" s="8"/>
      <c r="SM236" s="8"/>
      <c r="SN236" s="8"/>
      <c r="SO236" s="8"/>
      <c r="SP236" s="8"/>
      <c r="SQ236" s="8"/>
      <c r="SR236" s="8"/>
      <c r="SS236" s="8"/>
      <c r="ST236" s="8"/>
      <c r="SU236" s="8"/>
      <c r="SV236" s="8"/>
      <c r="SW236" s="8"/>
      <c r="SX236" s="8"/>
      <c r="SY236" s="8"/>
      <c r="SZ236" s="8"/>
      <c r="TA236" s="8"/>
      <c r="TB236" s="8"/>
      <c r="TC236" s="8"/>
      <c r="TD236" s="8"/>
      <c r="TE236" s="8"/>
      <c r="TF236" s="8"/>
      <c r="TG236" s="8"/>
      <c r="TH236" s="8"/>
      <c r="TI236" s="8"/>
      <c r="TJ236" s="8"/>
      <c r="TK236" s="8"/>
      <c r="TL236" s="8"/>
      <c r="TM236" s="8"/>
      <c r="TN236" s="8"/>
      <c r="TO236" s="8"/>
    </row>
    <row r="237" spans="1:535" x14ac:dyDescent="0.2">
      <c r="A237" s="7"/>
      <c r="B237" s="7"/>
      <c r="C237" s="9"/>
      <c r="D237" s="8"/>
      <c r="E237" s="8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/>
      <c r="BO237" s="9"/>
      <c r="BP237" s="9"/>
      <c r="BQ237" s="9"/>
      <c r="BR237" s="9"/>
      <c r="BS237" s="9"/>
      <c r="BT237" s="9"/>
      <c r="BU237" s="9"/>
      <c r="BV237" s="9"/>
      <c r="BW237" s="9"/>
      <c r="BX237" s="9"/>
      <c r="BY237" s="9"/>
      <c r="BZ237" s="9"/>
      <c r="CA237" s="9"/>
      <c r="CB237" s="9"/>
      <c r="CC237" s="9"/>
      <c r="CD237" s="9"/>
      <c r="CE237" s="9"/>
      <c r="CF237" s="9"/>
      <c r="CG237" s="9"/>
      <c r="CH237" s="9"/>
      <c r="CI237" s="9"/>
      <c r="CJ237" s="9"/>
      <c r="CK237" s="9"/>
      <c r="CL237" s="9"/>
      <c r="CM237" s="9"/>
      <c r="CN237" s="9"/>
      <c r="CO237" s="9"/>
      <c r="CP237" s="9"/>
      <c r="CQ237" s="9"/>
      <c r="CR237" s="9"/>
      <c r="CS237" s="9"/>
      <c r="CT237" s="9"/>
      <c r="CU237" s="9"/>
      <c r="CV237" s="9"/>
      <c r="CW237" s="9"/>
      <c r="CX237" s="9"/>
      <c r="CY237" s="9"/>
      <c r="CZ237" s="9"/>
      <c r="DA237" s="9"/>
      <c r="DB237" s="9"/>
      <c r="DC237" s="9"/>
      <c r="DD237" s="9"/>
      <c r="DE237" s="9"/>
      <c r="DF237" s="9"/>
      <c r="DG237" s="9"/>
      <c r="DH237" s="9"/>
      <c r="DI237" s="9"/>
      <c r="DJ237" s="9"/>
      <c r="DK237" s="9"/>
      <c r="DL237" s="9"/>
      <c r="DM237" s="9"/>
      <c r="DN237" s="9"/>
      <c r="DO237" s="9"/>
      <c r="DP237" s="9"/>
      <c r="DQ237" s="9"/>
      <c r="DR237" s="9"/>
      <c r="DS237" s="9"/>
      <c r="DT237" s="9"/>
      <c r="DU237" s="9"/>
      <c r="DV237" s="9"/>
      <c r="DW237" s="9"/>
      <c r="DX237" s="9"/>
      <c r="DY237" s="9"/>
      <c r="DZ237" s="9"/>
      <c r="EA237" s="9"/>
      <c r="EB237" s="9"/>
      <c r="EC237" s="9"/>
      <c r="ED237" s="9"/>
      <c r="EE237" s="9"/>
      <c r="EF237" s="9"/>
      <c r="EG237" s="9"/>
      <c r="EH237" s="9"/>
      <c r="EI237" s="9"/>
      <c r="EJ237" s="9"/>
      <c r="EK237" s="9"/>
      <c r="EL237" s="9"/>
      <c r="EM237" s="9"/>
      <c r="EN237" s="9"/>
      <c r="EO237" s="9"/>
      <c r="EP237" s="9"/>
      <c r="EQ237" s="9"/>
      <c r="ER237" s="9"/>
      <c r="ES237" s="9"/>
      <c r="ET237" s="9"/>
      <c r="EU237" s="9"/>
      <c r="EV237" s="9"/>
      <c r="EW237" s="9"/>
      <c r="EX237" s="9"/>
      <c r="EY237" s="9"/>
      <c r="EZ237" s="9"/>
      <c r="FA237" s="9"/>
      <c r="FB237" s="9"/>
      <c r="FC237" s="9"/>
      <c r="FD237" s="9"/>
      <c r="FE237" s="9"/>
      <c r="FF237" s="9"/>
      <c r="FG237" s="9"/>
      <c r="FH237" s="9"/>
      <c r="FI237" s="9"/>
      <c r="FJ237" s="9"/>
      <c r="FK237" s="9"/>
      <c r="FL237" s="9"/>
      <c r="FM237" s="9"/>
      <c r="FN237" s="9"/>
      <c r="FO237" s="9"/>
      <c r="FP237" s="9"/>
      <c r="FQ237" s="9"/>
      <c r="FR237" s="9"/>
      <c r="FS237" s="9"/>
      <c r="FT237" s="9"/>
      <c r="FU237" s="9"/>
      <c r="FV237" s="9"/>
      <c r="FW237" s="9"/>
      <c r="FX237" s="9"/>
      <c r="FY237" s="9"/>
      <c r="FZ237" s="9"/>
      <c r="GA237" s="9"/>
      <c r="GB237" s="9"/>
      <c r="GC237" s="9"/>
      <c r="GD237" s="9"/>
      <c r="GE237" s="9"/>
      <c r="GF237" s="9"/>
      <c r="GG237" s="9"/>
      <c r="GH237" s="9"/>
      <c r="GI237" s="9"/>
      <c r="GJ237" s="9"/>
      <c r="GK237" s="9"/>
      <c r="GL237" s="9"/>
      <c r="GM237" s="9"/>
      <c r="GN237" s="9"/>
      <c r="GO237" s="9"/>
      <c r="GP237" s="9"/>
      <c r="GQ237" s="9"/>
      <c r="GR237" s="9"/>
      <c r="GS237" s="9"/>
      <c r="GT237" s="9"/>
      <c r="GU237" s="9"/>
      <c r="GV237" s="9"/>
      <c r="GW237" s="9"/>
      <c r="GX237" s="9"/>
      <c r="GY237" s="9"/>
      <c r="GZ237" s="9"/>
      <c r="HA237" s="9"/>
      <c r="HB237" s="9"/>
      <c r="HC237" s="9"/>
      <c r="HD237" s="9"/>
      <c r="HE237" s="9"/>
      <c r="HF237" s="9"/>
      <c r="HG237" s="9"/>
      <c r="HH237" s="9"/>
      <c r="HI237" s="9"/>
      <c r="HJ237" s="9"/>
      <c r="HK237" s="9"/>
      <c r="HL237" s="9"/>
      <c r="HM237" s="9"/>
      <c r="HN237" s="9"/>
      <c r="HO237" s="9"/>
      <c r="HP237" s="9"/>
      <c r="HQ237" s="9"/>
      <c r="HR237" s="9"/>
      <c r="HS237" s="9"/>
      <c r="HT237" s="9"/>
      <c r="HU237" s="9"/>
      <c r="HV237" s="9"/>
      <c r="HW237" s="9"/>
      <c r="HX237" s="9"/>
      <c r="HY237" s="9"/>
      <c r="HZ237" s="9"/>
      <c r="IA237" s="9"/>
      <c r="IB237" s="9"/>
      <c r="IC237" s="9"/>
      <c r="ID237" s="9"/>
      <c r="IE237" s="9"/>
      <c r="IF237" s="9"/>
      <c r="IG237" s="9"/>
      <c r="IH237" s="9"/>
      <c r="II237" s="9"/>
      <c r="IJ237" s="9"/>
      <c r="IK237" s="9"/>
      <c r="IL237" s="9"/>
      <c r="IM237" s="9"/>
      <c r="IN237" s="9"/>
      <c r="IO237" s="9"/>
      <c r="IP237" s="9"/>
      <c r="IQ237" s="9"/>
      <c r="IR237" s="9"/>
      <c r="IS237" s="9"/>
      <c r="IT237" s="9"/>
      <c r="IU237" s="9"/>
      <c r="IV237" s="9"/>
      <c r="IW237" s="9"/>
      <c r="IX237" s="9"/>
      <c r="IY237" s="9"/>
      <c r="IZ237" s="9"/>
      <c r="JA237" s="9"/>
      <c r="JB237" s="9"/>
      <c r="JC237" s="9"/>
      <c r="JD237" s="9"/>
      <c r="JE237" s="9"/>
      <c r="JF237" s="9"/>
      <c r="JG237" s="9"/>
      <c r="JH237" s="9"/>
      <c r="JI237" s="9"/>
      <c r="JJ237" s="9"/>
      <c r="JK237" s="9"/>
      <c r="JL237" s="9"/>
      <c r="JM237" s="9"/>
      <c r="JN237" s="9"/>
      <c r="JO237" s="9"/>
      <c r="JP237" s="9"/>
      <c r="JQ237" s="9"/>
      <c r="JR237" s="9"/>
      <c r="JS237" s="9"/>
      <c r="JT237" s="9"/>
      <c r="JU237" s="9"/>
      <c r="JV237" s="9"/>
      <c r="JW237" s="9"/>
      <c r="JX237" s="9"/>
      <c r="JY237" s="9"/>
      <c r="JZ237" s="9"/>
      <c r="KA237" s="9"/>
      <c r="KB237" s="9"/>
      <c r="KC237" s="9"/>
      <c r="KD237" s="9"/>
      <c r="KE237" s="9"/>
      <c r="KF237" s="9"/>
      <c r="KG237" s="9"/>
      <c r="KH237" s="9"/>
      <c r="KI237" s="9"/>
      <c r="KJ237" s="9"/>
      <c r="KK237" s="9"/>
      <c r="KL237" s="9"/>
      <c r="KM237" s="9"/>
      <c r="KN237" s="9"/>
      <c r="KO237" s="9"/>
      <c r="KP237" s="9"/>
      <c r="KQ237" s="9"/>
      <c r="KR237" s="9"/>
      <c r="KS237" s="9"/>
      <c r="KT237" s="9"/>
      <c r="KU237" s="9"/>
      <c r="KV237" s="9"/>
      <c r="KW237" s="9"/>
      <c r="KX237" s="9"/>
      <c r="KY237" s="9"/>
      <c r="KZ237" s="9"/>
      <c r="LA237" s="9"/>
      <c r="LB237" s="9"/>
      <c r="LC237" s="9"/>
      <c r="LD237" s="9"/>
      <c r="LE237" s="9"/>
      <c r="LF237" s="9"/>
      <c r="LG237" s="9"/>
      <c r="LH237" s="9"/>
      <c r="LI237" s="9"/>
      <c r="LJ237" s="9"/>
      <c r="LK237" s="9"/>
      <c r="LL237" s="9"/>
      <c r="LM237" s="9"/>
      <c r="LN237" s="9"/>
      <c r="LO237" s="9"/>
      <c r="LP237" s="9"/>
      <c r="LQ237" s="9"/>
      <c r="LR237" s="9"/>
      <c r="LS237" s="9"/>
      <c r="LT237" s="9"/>
      <c r="LU237" s="9"/>
      <c r="LV237" s="9"/>
      <c r="LW237" s="9"/>
      <c r="LX237" s="9"/>
      <c r="LY237" s="9"/>
      <c r="LZ237" s="9"/>
      <c r="MA237" s="9"/>
      <c r="MB237" s="9"/>
      <c r="MC237" s="9"/>
      <c r="MD237" s="9"/>
      <c r="ME237" s="9"/>
      <c r="MF237" s="9"/>
      <c r="MG237" s="9"/>
      <c r="MH237" s="9"/>
      <c r="MI237" s="9"/>
      <c r="MJ237" s="9"/>
      <c r="MK237" s="9"/>
      <c r="ML237" s="9"/>
      <c r="MM237" s="9"/>
      <c r="MN237" s="9"/>
      <c r="MO237" s="9"/>
      <c r="MP237" s="9"/>
      <c r="MQ237" s="9"/>
      <c r="MR237" s="9"/>
      <c r="MS237" s="9"/>
      <c r="MT237" s="9"/>
      <c r="MU237" s="9"/>
      <c r="MV237" s="9"/>
      <c r="MW237" s="9"/>
      <c r="MX237" s="9"/>
      <c r="MY237" s="9"/>
      <c r="MZ237" s="9"/>
      <c r="NA237" s="9"/>
      <c r="NB237" s="9"/>
      <c r="NC237" s="9"/>
      <c r="ND237" s="9"/>
      <c r="NE237" s="9"/>
      <c r="NF237" s="9"/>
      <c r="NG237" s="9"/>
      <c r="NH237" s="9"/>
      <c r="NI237" s="9"/>
      <c r="NJ237" s="9"/>
      <c r="NK237" s="9"/>
      <c r="NL237" s="9"/>
      <c r="NM237" s="9"/>
      <c r="NN237" s="9"/>
      <c r="NO237" s="9"/>
      <c r="NP237" s="9"/>
      <c r="NQ237" s="9"/>
      <c r="NR237" s="9"/>
      <c r="NS237" s="9"/>
      <c r="NT237" s="9"/>
      <c r="NU237" s="9"/>
      <c r="NV237" s="9"/>
      <c r="NW237" s="9"/>
      <c r="NX237" s="9"/>
      <c r="NY237" s="9"/>
      <c r="NZ237" s="9"/>
      <c r="OA237" s="9"/>
      <c r="OB237" s="9"/>
      <c r="OC237" s="9"/>
      <c r="OD237" s="9"/>
      <c r="OE237" s="9"/>
      <c r="OF237" s="9"/>
      <c r="OG237" s="9"/>
      <c r="OH237" s="9"/>
      <c r="OI237" s="9"/>
      <c r="OJ237" s="9"/>
      <c r="OK237" s="9"/>
      <c r="OL237" s="9"/>
      <c r="OM237" s="9"/>
      <c r="ON237" s="9"/>
      <c r="OO237" s="9"/>
      <c r="OP237" s="9"/>
      <c r="OQ237" s="9"/>
      <c r="OR237" s="9"/>
      <c r="OS237" s="9"/>
      <c r="OT237" s="9"/>
      <c r="OU237" s="9"/>
      <c r="OV237" s="9"/>
      <c r="OW237" s="9"/>
      <c r="OX237" s="9"/>
      <c r="OY237" s="9"/>
      <c r="OZ237" s="9"/>
      <c r="PA237" s="9"/>
      <c r="PB237" s="9"/>
      <c r="PC237" s="9"/>
      <c r="PD237" s="9"/>
      <c r="PE237" s="9"/>
      <c r="PF237" s="9"/>
      <c r="PG237" s="9"/>
      <c r="PH237" s="9"/>
      <c r="PI237" s="9"/>
      <c r="PJ237" s="9"/>
      <c r="PK237" s="9"/>
      <c r="PL237" s="9"/>
      <c r="PM237" s="9"/>
      <c r="PN237" s="9"/>
      <c r="PO237" s="9"/>
      <c r="PP237" s="9"/>
      <c r="PQ237" s="9"/>
      <c r="PR237" s="9"/>
      <c r="PS237" s="9"/>
      <c r="PT237" s="9"/>
      <c r="PU237" s="9"/>
      <c r="PV237" s="9"/>
      <c r="PW237" s="9"/>
      <c r="PX237" s="9"/>
      <c r="PY237" s="9"/>
      <c r="PZ237" s="9"/>
      <c r="QA237" s="9"/>
      <c r="QB237" s="9"/>
      <c r="QC237" s="9"/>
      <c r="QD237" s="9"/>
      <c r="QE237" s="9"/>
      <c r="QF237" s="9"/>
      <c r="QG237" s="9"/>
      <c r="QH237" s="9"/>
      <c r="QI237" s="9"/>
      <c r="QJ237" s="9"/>
      <c r="QK237" s="9"/>
      <c r="QL237" s="9"/>
      <c r="QM237" s="9"/>
      <c r="QN237" s="9"/>
      <c r="QO237" s="9"/>
      <c r="QP237" s="9"/>
      <c r="QQ237" s="9"/>
      <c r="QR237" s="9"/>
      <c r="QS237" s="9"/>
      <c r="QT237" s="9"/>
      <c r="QU237" s="9"/>
      <c r="QV237" s="9"/>
      <c r="QW237" s="9"/>
      <c r="QX237" s="9"/>
      <c r="QY237" s="9"/>
      <c r="QZ237" s="9"/>
      <c r="RA237" s="9"/>
      <c r="RB237" s="9"/>
      <c r="RC237" s="9"/>
      <c r="RD237" s="9"/>
      <c r="RE237" s="9"/>
      <c r="RF237" s="9"/>
      <c r="RG237" s="9"/>
      <c r="RH237" s="9"/>
      <c r="RI237" s="9"/>
      <c r="RJ237" s="9"/>
      <c r="RK237" s="9"/>
      <c r="RL237" s="9"/>
      <c r="RM237" s="9"/>
      <c r="RN237" s="9"/>
      <c r="RO237" s="9"/>
      <c r="RP237" s="9"/>
      <c r="RQ237" s="9"/>
      <c r="RR237" s="9"/>
      <c r="RS237" s="9"/>
      <c r="RT237" s="9"/>
      <c r="RU237" s="9"/>
      <c r="RV237" s="9"/>
      <c r="RW237" s="9"/>
      <c r="RX237" s="9"/>
      <c r="RY237" s="9"/>
      <c r="RZ237" s="9"/>
      <c r="SA237" s="9"/>
      <c r="SB237" s="9"/>
      <c r="SC237" s="9"/>
      <c r="SD237" s="9"/>
      <c r="SE237" s="9"/>
      <c r="SF237" s="9"/>
      <c r="SG237" s="9"/>
      <c r="SH237" s="9"/>
      <c r="SI237" s="9"/>
      <c r="SJ237" s="9"/>
      <c r="SK237" s="8"/>
      <c r="SL237" s="8"/>
      <c r="SM237" s="8"/>
      <c r="SN237" s="8"/>
      <c r="SO237" s="8"/>
      <c r="SP237" s="8"/>
      <c r="SQ237" s="8"/>
      <c r="SR237" s="8"/>
      <c r="SS237" s="8"/>
      <c r="ST237" s="8"/>
      <c r="SU237" s="8"/>
      <c r="SV237" s="8"/>
      <c r="SW237" s="8"/>
      <c r="SX237" s="8"/>
      <c r="SY237" s="8"/>
      <c r="SZ237" s="8"/>
      <c r="TA237" s="8"/>
      <c r="TB237" s="8"/>
      <c r="TC237" s="8"/>
      <c r="TD237" s="8"/>
      <c r="TE237" s="8"/>
      <c r="TF237" s="8"/>
      <c r="TG237" s="8"/>
      <c r="TH237" s="8"/>
      <c r="TI237" s="8"/>
      <c r="TJ237" s="8"/>
      <c r="TK237" s="8"/>
      <c r="TL237" s="8"/>
      <c r="TM237" s="8"/>
      <c r="TN237" s="8"/>
      <c r="TO237" s="8"/>
    </row>
    <row r="238" spans="1:535" x14ac:dyDescent="0.2">
      <c r="A238" s="7"/>
      <c r="B238" s="7"/>
      <c r="C238" s="9"/>
      <c r="D238" s="8"/>
      <c r="E238" s="8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9"/>
      <c r="BK238" s="9"/>
      <c r="BL238" s="9"/>
      <c r="BM238" s="9"/>
      <c r="BN238" s="9"/>
      <c r="BO238" s="9"/>
      <c r="BP238" s="9"/>
      <c r="BQ238" s="9"/>
      <c r="BR238" s="9"/>
      <c r="BS238" s="9"/>
      <c r="BT238" s="9"/>
      <c r="BU238" s="9"/>
      <c r="BV238" s="9"/>
      <c r="BW238" s="9"/>
      <c r="BX238" s="9"/>
      <c r="BY238" s="9"/>
      <c r="BZ238" s="9"/>
      <c r="CA238" s="9"/>
      <c r="CB238" s="9"/>
      <c r="CC238" s="9"/>
      <c r="CD238" s="9"/>
      <c r="CE238" s="9"/>
      <c r="CF238" s="9"/>
      <c r="CG238" s="9"/>
      <c r="CH238" s="9"/>
      <c r="CI238" s="9"/>
      <c r="CJ238" s="9"/>
      <c r="CK238" s="9"/>
      <c r="CL238" s="9"/>
      <c r="CM238" s="9"/>
      <c r="CN238" s="9"/>
      <c r="CO238" s="9"/>
      <c r="CP238" s="9"/>
      <c r="CQ238" s="9"/>
      <c r="CR238" s="9"/>
      <c r="CS238" s="9"/>
      <c r="CT238" s="9"/>
      <c r="CU238" s="9"/>
      <c r="CV238" s="9"/>
      <c r="CW238" s="9"/>
      <c r="CX238" s="9"/>
      <c r="CY238" s="9"/>
      <c r="CZ238" s="9"/>
      <c r="DA238" s="9"/>
      <c r="DB238" s="9"/>
      <c r="DC238" s="9"/>
      <c r="DD238" s="9"/>
      <c r="DE238" s="9"/>
      <c r="DF238" s="9"/>
      <c r="DG238" s="9"/>
      <c r="DH238" s="9"/>
      <c r="DI238" s="9"/>
      <c r="DJ238" s="9"/>
      <c r="DK238" s="9"/>
      <c r="DL238" s="9"/>
      <c r="DM238" s="9"/>
      <c r="DN238" s="9"/>
      <c r="DO238" s="9"/>
      <c r="DP238" s="9"/>
      <c r="DQ238" s="9"/>
      <c r="DR238" s="9"/>
      <c r="DS238" s="9"/>
      <c r="DT238" s="9"/>
      <c r="DU238" s="9"/>
      <c r="DV238" s="9"/>
      <c r="DW238" s="9"/>
      <c r="DX238" s="9"/>
      <c r="DY238" s="9"/>
      <c r="DZ238" s="9"/>
      <c r="EA238" s="9"/>
      <c r="EB238" s="9"/>
      <c r="EC238" s="9"/>
      <c r="ED238" s="9"/>
      <c r="EE238" s="9"/>
      <c r="EF238" s="9"/>
      <c r="EG238" s="9"/>
      <c r="EH238" s="9"/>
      <c r="EI238" s="9"/>
      <c r="EJ238" s="9"/>
      <c r="EK238" s="9"/>
      <c r="EL238" s="9"/>
      <c r="EM238" s="9"/>
      <c r="EN238" s="9"/>
      <c r="EO238" s="9"/>
      <c r="EP238" s="9"/>
      <c r="EQ238" s="9"/>
      <c r="ER238" s="9"/>
      <c r="ES238" s="9"/>
      <c r="ET238" s="9"/>
      <c r="EU238" s="9"/>
      <c r="EV238" s="9"/>
      <c r="EW238" s="9"/>
      <c r="EX238" s="9"/>
      <c r="EY238" s="9"/>
      <c r="EZ238" s="9"/>
      <c r="FA238" s="9"/>
      <c r="FB238" s="9"/>
      <c r="FC238" s="9"/>
      <c r="FD238" s="9"/>
      <c r="FE238" s="9"/>
      <c r="FF238" s="9"/>
      <c r="FG238" s="9"/>
      <c r="FH238" s="9"/>
      <c r="FI238" s="9"/>
      <c r="FJ238" s="9"/>
      <c r="FK238" s="9"/>
      <c r="FL238" s="9"/>
      <c r="FM238" s="9"/>
      <c r="FN238" s="9"/>
      <c r="FO238" s="9"/>
      <c r="FP238" s="9"/>
      <c r="FQ238" s="9"/>
      <c r="FR238" s="9"/>
      <c r="FS238" s="9"/>
      <c r="FT238" s="9"/>
      <c r="FU238" s="9"/>
      <c r="FV238" s="9"/>
      <c r="FW238" s="9"/>
      <c r="FX238" s="9"/>
      <c r="FY238" s="9"/>
      <c r="FZ238" s="9"/>
      <c r="GA238" s="9"/>
      <c r="GB238" s="9"/>
      <c r="GC238" s="9"/>
      <c r="GD238" s="9"/>
      <c r="GE238" s="9"/>
      <c r="GF238" s="9"/>
      <c r="GG238" s="9"/>
      <c r="GH238" s="9"/>
      <c r="GI238" s="9"/>
      <c r="GJ238" s="9"/>
      <c r="GK238" s="9"/>
      <c r="GL238" s="9"/>
      <c r="GM238" s="9"/>
      <c r="GN238" s="9"/>
      <c r="GO238" s="9"/>
      <c r="GP238" s="9"/>
      <c r="GQ238" s="9"/>
      <c r="GR238" s="9"/>
      <c r="GS238" s="9"/>
      <c r="GT238" s="9"/>
      <c r="GU238" s="9"/>
      <c r="GV238" s="9"/>
      <c r="GW238" s="9"/>
      <c r="GX238" s="9"/>
      <c r="GY238" s="9"/>
      <c r="GZ238" s="9"/>
      <c r="HA238" s="9"/>
      <c r="HB238" s="9"/>
      <c r="HC238" s="9"/>
      <c r="HD238" s="9"/>
      <c r="HE238" s="9"/>
      <c r="HF238" s="9"/>
      <c r="HG238" s="9"/>
      <c r="HH238" s="9"/>
      <c r="HI238" s="9"/>
      <c r="HJ238" s="9"/>
      <c r="HK238" s="9"/>
      <c r="HL238" s="9"/>
      <c r="HM238" s="9"/>
      <c r="HN238" s="9"/>
      <c r="HO238" s="9"/>
      <c r="HP238" s="9"/>
      <c r="HQ238" s="9"/>
      <c r="HR238" s="9"/>
      <c r="HS238" s="9"/>
      <c r="HT238" s="9"/>
      <c r="HU238" s="9"/>
      <c r="HV238" s="9"/>
      <c r="HW238" s="9"/>
      <c r="HX238" s="9"/>
      <c r="HY238" s="9"/>
      <c r="HZ238" s="9"/>
      <c r="IA238" s="9"/>
      <c r="IB238" s="9"/>
      <c r="IC238" s="9"/>
      <c r="ID238" s="9"/>
      <c r="IE238" s="9"/>
      <c r="IF238" s="9"/>
      <c r="IG238" s="9"/>
      <c r="IH238" s="9"/>
      <c r="II238" s="9"/>
      <c r="IJ238" s="9"/>
      <c r="IK238" s="9"/>
      <c r="IL238" s="9"/>
      <c r="IM238" s="9"/>
      <c r="IN238" s="9"/>
      <c r="IO238" s="9"/>
      <c r="IP238" s="9"/>
      <c r="IQ238" s="9"/>
      <c r="IR238" s="9"/>
      <c r="IS238" s="9"/>
      <c r="IT238" s="9"/>
      <c r="IU238" s="9"/>
      <c r="IV238" s="9"/>
      <c r="IW238" s="9"/>
      <c r="IX238" s="9"/>
      <c r="IY238" s="9"/>
      <c r="IZ238" s="9"/>
      <c r="JA238" s="9"/>
      <c r="JB238" s="9"/>
      <c r="JC238" s="9"/>
      <c r="JD238" s="9"/>
      <c r="JE238" s="9"/>
      <c r="JF238" s="9"/>
      <c r="JG238" s="9"/>
      <c r="JH238" s="9"/>
      <c r="JI238" s="9"/>
      <c r="JJ238" s="9"/>
      <c r="JK238" s="9"/>
      <c r="JL238" s="9"/>
      <c r="JM238" s="9"/>
      <c r="JN238" s="9"/>
      <c r="JO238" s="9"/>
      <c r="JP238" s="9"/>
      <c r="JQ238" s="9"/>
      <c r="JR238" s="9"/>
      <c r="JS238" s="9"/>
      <c r="JT238" s="9"/>
      <c r="JU238" s="9"/>
      <c r="JV238" s="9"/>
      <c r="JW238" s="9"/>
      <c r="JX238" s="9"/>
      <c r="JY238" s="9"/>
      <c r="JZ238" s="9"/>
      <c r="KA238" s="9"/>
      <c r="KB238" s="9"/>
      <c r="KC238" s="9"/>
      <c r="KD238" s="9"/>
      <c r="KE238" s="9"/>
      <c r="KF238" s="9"/>
      <c r="KG238" s="9"/>
      <c r="KH238" s="9"/>
      <c r="KI238" s="9"/>
      <c r="KJ238" s="9"/>
      <c r="KK238" s="9"/>
      <c r="KL238" s="9"/>
      <c r="KM238" s="9"/>
      <c r="KN238" s="9"/>
      <c r="KO238" s="9"/>
      <c r="KP238" s="9"/>
      <c r="KQ238" s="9"/>
      <c r="KR238" s="9"/>
      <c r="KS238" s="9"/>
      <c r="KT238" s="9"/>
      <c r="KU238" s="9"/>
      <c r="KV238" s="9"/>
      <c r="KW238" s="9"/>
      <c r="KX238" s="9"/>
      <c r="KY238" s="9"/>
      <c r="KZ238" s="9"/>
      <c r="LA238" s="9"/>
      <c r="LB238" s="9"/>
      <c r="LC238" s="9"/>
      <c r="LD238" s="9"/>
      <c r="LE238" s="9"/>
      <c r="LF238" s="9"/>
      <c r="LG238" s="9"/>
      <c r="LH238" s="9"/>
      <c r="LI238" s="9"/>
      <c r="LJ238" s="9"/>
      <c r="LK238" s="9"/>
      <c r="LL238" s="9"/>
      <c r="LM238" s="9"/>
      <c r="LN238" s="9"/>
      <c r="LO238" s="9"/>
      <c r="LP238" s="9"/>
      <c r="LQ238" s="9"/>
      <c r="LR238" s="9"/>
      <c r="LS238" s="9"/>
      <c r="LT238" s="9"/>
      <c r="LU238" s="9"/>
      <c r="LV238" s="9"/>
      <c r="LW238" s="9"/>
      <c r="LX238" s="9"/>
      <c r="LY238" s="9"/>
      <c r="LZ238" s="9"/>
      <c r="MA238" s="9"/>
      <c r="MB238" s="9"/>
      <c r="MC238" s="9"/>
      <c r="MD238" s="9"/>
      <c r="ME238" s="9"/>
      <c r="MF238" s="9"/>
      <c r="MG238" s="9"/>
      <c r="MH238" s="9"/>
      <c r="MI238" s="9"/>
      <c r="MJ238" s="9"/>
      <c r="MK238" s="9"/>
      <c r="ML238" s="9"/>
      <c r="MM238" s="9"/>
      <c r="MN238" s="9"/>
      <c r="MO238" s="9"/>
      <c r="MP238" s="9"/>
      <c r="MQ238" s="9"/>
      <c r="MR238" s="9"/>
      <c r="MS238" s="9"/>
      <c r="MT238" s="9"/>
      <c r="MU238" s="9"/>
      <c r="MV238" s="9"/>
      <c r="MW238" s="9"/>
      <c r="MX238" s="9"/>
      <c r="MY238" s="9"/>
      <c r="MZ238" s="9"/>
      <c r="NA238" s="9"/>
      <c r="NB238" s="9"/>
      <c r="NC238" s="9"/>
      <c r="ND238" s="9"/>
      <c r="NE238" s="9"/>
      <c r="NF238" s="9"/>
      <c r="NG238" s="9"/>
      <c r="NH238" s="9"/>
      <c r="NI238" s="9"/>
      <c r="NJ238" s="9"/>
      <c r="NK238" s="9"/>
      <c r="NL238" s="9"/>
      <c r="NM238" s="9"/>
      <c r="NN238" s="9"/>
      <c r="NO238" s="9"/>
      <c r="NP238" s="9"/>
      <c r="NQ238" s="9"/>
      <c r="NR238" s="9"/>
      <c r="NS238" s="9"/>
      <c r="NT238" s="9"/>
      <c r="NU238" s="9"/>
      <c r="NV238" s="9"/>
      <c r="NW238" s="9"/>
      <c r="NX238" s="9"/>
      <c r="NY238" s="9"/>
      <c r="NZ238" s="9"/>
      <c r="OA238" s="9"/>
      <c r="OB238" s="9"/>
      <c r="OC238" s="9"/>
      <c r="OD238" s="9"/>
      <c r="OE238" s="9"/>
      <c r="OF238" s="9"/>
      <c r="OG238" s="9"/>
      <c r="OH238" s="9"/>
      <c r="OI238" s="9"/>
      <c r="OJ238" s="9"/>
      <c r="OK238" s="9"/>
      <c r="OL238" s="9"/>
      <c r="OM238" s="9"/>
      <c r="ON238" s="9"/>
      <c r="OO238" s="9"/>
      <c r="OP238" s="9"/>
      <c r="OQ238" s="9"/>
      <c r="OR238" s="9"/>
      <c r="OS238" s="9"/>
      <c r="OT238" s="9"/>
      <c r="OU238" s="9"/>
      <c r="OV238" s="9"/>
      <c r="OW238" s="9"/>
      <c r="OX238" s="9"/>
      <c r="OY238" s="9"/>
      <c r="OZ238" s="9"/>
      <c r="PA238" s="9"/>
      <c r="PB238" s="9"/>
      <c r="PC238" s="9"/>
      <c r="PD238" s="9"/>
      <c r="PE238" s="9"/>
      <c r="PF238" s="9"/>
      <c r="PG238" s="9"/>
      <c r="PH238" s="9"/>
      <c r="PI238" s="9"/>
      <c r="PJ238" s="9"/>
      <c r="PK238" s="9"/>
      <c r="PL238" s="9"/>
      <c r="PM238" s="9"/>
      <c r="PN238" s="9"/>
      <c r="PO238" s="9"/>
      <c r="PP238" s="9"/>
      <c r="PQ238" s="9"/>
      <c r="PR238" s="9"/>
      <c r="PS238" s="9"/>
      <c r="PT238" s="9"/>
      <c r="PU238" s="9"/>
      <c r="PV238" s="9"/>
      <c r="PW238" s="9"/>
      <c r="PX238" s="9"/>
      <c r="PY238" s="9"/>
      <c r="PZ238" s="9"/>
      <c r="QA238" s="9"/>
      <c r="QB238" s="9"/>
      <c r="QC238" s="9"/>
      <c r="QD238" s="9"/>
      <c r="QE238" s="9"/>
      <c r="QF238" s="9"/>
      <c r="QG238" s="9"/>
      <c r="QH238" s="9"/>
      <c r="QI238" s="9"/>
      <c r="QJ238" s="9"/>
      <c r="QK238" s="9"/>
      <c r="QL238" s="9"/>
      <c r="QM238" s="9"/>
      <c r="QN238" s="9"/>
      <c r="QO238" s="9"/>
      <c r="QP238" s="9"/>
      <c r="QQ238" s="9"/>
      <c r="QR238" s="9"/>
      <c r="QS238" s="9"/>
      <c r="QT238" s="9"/>
      <c r="QU238" s="9"/>
      <c r="QV238" s="9"/>
      <c r="QW238" s="9"/>
      <c r="QX238" s="9"/>
      <c r="QY238" s="9"/>
      <c r="QZ238" s="9"/>
      <c r="RA238" s="9"/>
      <c r="RB238" s="9"/>
      <c r="RC238" s="9"/>
      <c r="RD238" s="9"/>
      <c r="RE238" s="9"/>
      <c r="RF238" s="9"/>
      <c r="RG238" s="9"/>
      <c r="RH238" s="9"/>
      <c r="RI238" s="9"/>
      <c r="RJ238" s="9"/>
      <c r="RK238" s="9"/>
      <c r="RL238" s="9"/>
      <c r="RM238" s="9"/>
      <c r="RN238" s="9"/>
      <c r="RO238" s="9"/>
      <c r="RP238" s="9"/>
      <c r="RQ238" s="9"/>
      <c r="RR238" s="9"/>
      <c r="RS238" s="9"/>
      <c r="RT238" s="9"/>
      <c r="RU238" s="9"/>
      <c r="RV238" s="9"/>
      <c r="RW238" s="9"/>
      <c r="RX238" s="9"/>
      <c r="RY238" s="9"/>
      <c r="RZ238" s="9"/>
      <c r="SA238" s="9"/>
      <c r="SB238" s="9"/>
      <c r="SC238" s="9"/>
      <c r="SD238" s="9"/>
      <c r="SE238" s="9"/>
      <c r="SF238" s="9"/>
      <c r="SG238" s="9"/>
      <c r="SH238" s="9"/>
      <c r="SI238" s="9"/>
      <c r="SJ238" s="9"/>
      <c r="SK238" s="8"/>
      <c r="SL238" s="8"/>
      <c r="SM238" s="8"/>
      <c r="SN238" s="8"/>
      <c r="SO238" s="8"/>
      <c r="SP238" s="8"/>
      <c r="SQ238" s="8"/>
      <c r="SR238" s="8"/>
      <c r="SS238" s="8"/>
      <c r="ST238" s="8"/>
      <c r="SU238" s="8"/>
      <c r="SV238" s="8"/>
      <c r="SW238" s="8"/>
      <c r="SX238" s="8"/>
      <c r="SY238" s="8"/>
      <c r="SZ238" s="8"/>
      <c r="TA238" s="8"/>
      <c r="TB238" s="8"/>
      <c r="TC238" s="8"/>
      <c r="TD238" s="8"/>
      <c r="TE238" s="8"/>
      <c r="TF238" s="8"/>
      <c r="TG238" s="8"/>
      <c r="TH238" s="8"/>
      <c r="TI238" s="8"/>
      <c r="TJ238" s="8"/>
      <c r="TK238" s="8"/>
      <c r="TL238" s="8"/>
      <c r="TM238" s="8"/>
      <c r="TN238" s="8"/>
      <c r="TO238" s="8"/>
    </row>
    <row r="239" spans="1:535" x14ac:dyDescent="0.2">
      <c r="A239" s="7"/>
      <c r="B239" s="7"/>
      <c r="C239" s="9"/>
      <c r="D239" s="8"/>
      <c r="E239" s="8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/>
      <c r="BO239" s="9"/>
      <c r="BP239" s="9"/>
      <c r="BQ239" s="9"/>
      <c r="BR239" s="9"/>
      <c r="BS239" s="9"/>
      <c r="BT239" s="9"/>
      <c r="BU239" s="9"/>
      <c r="BV239" s="9"/>
      <c r="BW239" s="9"/>
      <c r="BX239" s="9"/>
      <c r="BY239" s="9"/>
      <c r="BZ239" s="9"/>
      <c r="CA239" s="9"/>
      <c r="CB239" s="9"/>
      <c r="CC239" s="9"/>
      <c r="CD239" s="9"/>
      <c r="CE239" s="9"/>
      <c r="CF239" s="9"/>
      <c r="CG239" s="9"/>
      <c r="CH239" s="9"/>
      <c r="CI239" s="9"/>
      <c r="CJ239" s="9"/>
      <c r="CK239" s="9"/>
      <c r="CL239" s="9"/>
      <c r="CM239" s="9"/>
      <c r="CN239" s="9"/>
      <c r="CO239" s="9"/>
      <c r="CP239" s="9"/>
      <c r="CQ239" s="9"/>
      <c r="CR239" s="9"/>
      <c r="CS239" s="9"/>
      <c r="CT239" s="9"/>
      <c r="CU239" s="9"/>
      <c r="CV239" s="9"/>
      <c r="CW239" s="9"/>
      <c r="CX239" s="9"/>
      <c r="CY239" s="9"/>
      <c r="CZ239" s="9"/>
      <c r="DA239" s="9"/>
      <c r="DB239" s="9"/>
      <c r="DC239" s="9"/>
      <c r="DD239" s="9"/>
      <c r="DE239" s="9"/>
      <c r="DF239" s="9"/>
      <c r="DG239" s="9"/>
      <c r="DH239" s="9"/>
      <c r="DI239" s="9"/>
      <c r="DJ239" s="9"/>
      <c r="DK239" s="9"/>
      <c r="DL239" s="9"/>
      <c r="DM239" s="9"/>
      <c r="DN239" s="9"/>
      <c r="DO239" s="9"/>
      <c r="DP239" s="9"/>
      <c r="DQ239" s="9"/>
      <c r="DR239" s="9"/>
      <c r="DS239" s="9"/>
      <c r="DT239" s="9"/>
      <c r="DU239" s="9"/>
      <c r="DV239" s="9"/>
      <c r="DW239" s="9"/>
      <c r="DX239" s="9"/>
      <c r="DY239" s="9"/>
      <c r="DZ239" s="9"/>
      <c r="EA239" s="9"/>
      <c r="EB239" s="9"/>
      <c r="EC239" s="9"/>
      <c r="ED239" s="9"/>
      <c r="EE239" s="9"/>
      <c r="EF239" s="9"/>
      <c r="EG239" s="9"/>
      <c r="EH239" s="9"/>
      <c r="EI239" s="9"/>
      <c r="EJ239" s="9"/>
      <c r="EK239" s="9"/>
      <c r="EL239" s="9"/>
      <c r="EM239" s="9"/>
      <c r="EN239" s="9"/>
      <c r="EO239" s="9"/>
      <c r="EP239" s="9"/>
      <c r="EQ239" s="9"/>
      <c r="ER239" s="9"/>
      <c r="ES239" s="9"/>
      <c r="ET239" s="9"/>
      <c r="EU239" s="9"/>
      <c r="EV239" s="9"/>
      <c r="EW239" s="9"/>
      <c r="EX239" s="9"/>
      <c r="EY239" s="9"/>
      <c r="EZ239" s="9"/>
      <c r="FA239" s="9"/>
      <c r="FB239" s="9"/>
      <c r="FC239" s="9"/>
      <c r="FD239" s="9"/>
      <c r="FE239" s="9"/>
      <c r="FF239" s="9"/>
      <c r="FG239" s="9"/>
      <c r="FH239" s="9"/>
      <c r="FI239" s="9"/>
      <c r="FJ239" s="9"/>
      <c r="FK239" s="9"/>
      <c r="FL239" s="9"/>
      <c r="FM239" s="9"/>
      <c r="FN239" s="9"/>
      <c r="FO239" s="9"/>
      <c r="FP239" s="9"/>
      <c r="FQ239" s="9"/>
      <c r="FR239" s="9"/>
      <c r="FS239" s="9"/>
      <c r="FT239" s="9"/>
      <c r="FU239" s="9"/>
      <c r="FV239" s="9"/>
      <c r="FW239" s="9"/>
      <c r="FX239" s="9"/>
      <c r="FY239" s="9"/>
      <c r="FZ239" s="9"/>
      <c r="GA239" s="9"/>
      <c r="GB239" s="9"/>
      <c r="GC239" s="9"/>
      <c r="GD239" s="9"/>
      <c r="GE239" s="9"/>
      <c r="GF239" s="9"/>
      <c r="GG239" s="9"/>
      <c r="GH239" s="9"/>
      <c r="GI239" s="9"/>
      <c r="GJ239" s="9"/>
      <c r="GK239" s="9"/>
      <c r="GL239" s="9"/>
      <c r="GM239" s="9"/>
      <c r="GN239" s="9"/>
      <c r="GO239" s="9"/>
      <c r="GP239" s="9"/>
      <c r="GQ239" s="9"/>
      <c r="GR239" s="9"/>
      <c r="GS239" s="9"/>
      <c r="GT239" s="9"/>
      <c r="GU239" s="9"/>
      <c r="GV239" s="9"/>
      <c r="GW239" s="9"/>
      <c r="GX239" s="9"/>
      <c r="GY239" s="9"/>
      <c r="GZ239" s="9"/>
      <c r="HA239" s="9"/>
      <c r="HB239" s="9"/>
      <c r="HC239" s="9"/>
      <c r="HD239" s="9"/>
      <c r="HE239" s="9"/>
      <c r="HF239" s="9"/>
      <c r="HG239" s="9"/>
      <c r="HH239" s="9"/>
      <c r="HI239" s="9"/>
      <c r="HJ239" s="9"/>
      <c r="HK239" s="9"/>
      <c r="HL239" s="9"/>
      <c r="HM239" s="9"/>
      <c r="HN239" s="9"/>
      <c r="HO239" s="9"/>
      <c r="HP239" s="9"/>
      <c r="HQ239" s="9"/>
      <c r="HR239" s="9"/>
      <c r="HS239" s="9"/>
      <c r="HT239" s="9"/>
      <c r="HU239" s="9"/>
      <c r="HV239" s="9"/>
      <c r="HW239" s="9"/>
      <c r="HX239" s="9"/>
      <c r="HY239" s="9"/>
      <c r="HZ239" s="9"/>
      <c r="IA239" s="9"/>
      <c r="IB239" s="9"/>
      <c r="IC239" s="9"/>
      <c r="ID239" s="9"/>
      <c r="IE239" s="9"/>
      <c r="IF239" s="9"/>
      <c r="IG239" s="9"/>
      <c r="IH239" s="9"/>
      <c r="II239" s="9"/>
      <c r="IJ239" s="9"/>
      <c r="IK239" s="9"/>
      <c r="IL239" s="9"/>
      <c r="IM239" s="9"/>
      <c r="IN239" s="9"/>
      <c r="IO239" s="9"/>
      <c r="IP239" s="9"/>
      <c r="IQ239" s="9"/>
      <c r="IR239" s="9"/>
      <c r="IS239" s="9"/>
      <c r="IT239" s="9"/>
      <c r="IU239" s="9"/>
      <c r="IV239" s="9"/>
      <c r="IW239" s="9"/>
      <c r="IX239" s="9"/>
      <c r="IY239" s="9"/>
      <c r="IZ239" s="9"/>
      <c r="JA239" s="9"/>
      <c r="JB239" s="9"/>
      <c r="JC239" s="9"/>
      <c r="JD239" s="9"/>
      <c r="JE239" s="9"/>
      <c r="JF239" s="9"/>
      <c r="JG239" s="9"/>
      <c r="JH239" s="9"/>
      <c r="JI239" s="9"/>
      <c r="JJ239" s="9"/>
      <c r="JK239" s="9"/>
      <c r="JL239" s="9"/>
      <c r="JM239" s="9"/>
      <c r="JN239" s="9"/>
      <c r="JO239" s="9"/>
      <c r="JP239" s="9"/>
      <c r="JQ239" s="9"/>
      <c r="JR239" s="9"/>
      <c r="JS239" s="9"/>
      <c r="JT239" s="9"/>
      <c r="JU239" s="9"/>
      <c r="JV239" s="9"/>
      <c r="JW239" s="9"/>
      <c r="JX239" s="9"/>
      <c r="JY239" s="9"/>
      <c r="JZ239" s="9"/>
      <c r="KA239" s="9"/>
      <c r="KB239" s="9"/>
      <c r="KC239" s="9"/>
      <c r="KD239" s="9"/>
      <c r="KE239" s="9"/>
      <c r="KF239" s="9"/>
      <c r="KG239" s="9"/>
      <c r="KH239" s="9"/>
      <c r="KI239" s="9"/>
      <c r="KJ239" s="9"/>
      <c r="KK239" s="9"/>
      <c r="KL239" s="9"/>
      <c r="KM239" s="9"/>
      <c r="KN239" s="9"/>
      <c r="KO239" s="9"/>
      <c r="KP239" s="9"/>
      <c r="KQ239" s="9"/>
      <c r="KR239" s="9"/>
      <c r="KS239" s="9"/>
      <c r="KT239" s="9"/>
      <c r="KU239" s="9"/>
      <c r="KV239" s="9"/>
      <c r="KW239" s="9"/>
      <c r="KX239" s="9"/>
      <c r="KY239" s="9"/>
      <c r="KZ239" s="9"/>
      <c r="LA239" s="9"/>
      <c r="LB239" s="9"/>
      <c r="LC239" s="9"/>
      <c r="LD239" s="9"/>
      <c r="LE239" s="9"/>
      <c r="LF239" s="9"/>
      <c r="LG239" s="9"/>
      <c r="LH239" s="9"/>
      <c r="LI239" s="9"/>
      <c r="LJ239" s="9"/>
      <c r="LK239" s="9"/>
      <c r="LL239" s="9"/>
      <c r="LM239" s="9"/>
      <c r="LN239" s="9"/>
      <c r="LO239" s="9"/>
      <c r="LP239" s="9"/>
      <c r="LQ239" s="9"/>
      <c r="LR239" s="9"/>
      <c r="LS239" s="9"/>
      <c r="LT239" s="9"/>
      <c r="LU239" s="9"/>
      <c r="LV239" s="9"/>
      <c r="LW239" s="9"/>
      <c r="LX239" s="9"/>
      <c r="LY239" s="9"/>
      <c r="LZ239" s="9"/>
      <c r="MA239" s="9"/>
      <c r="MB239" s="9"/>
      <c r="MC239" s="9"/>
      <c r="MD239" s="9"/>
      <c r="ME239" s="9"/>
      <c r="MF239" s="9"/>
      <c r="MG239" s="9"/>
      <c r="MH239" s="9"/>
      <c r="MI239" s="9"/>
      <c r="MJ239" s="9"/>
      <c r="MK239" s="9"/>
      <c r="ML239" s="9"/>
      <c r="MM239" s="9"/>
      <c r="MN239" s="9"/>
      <c r="MO239" s="9"/>
      <c r="MP239" s="9"/>
      <c r="MQ239" s="9"/>
      <c r="MR239" s="9"/>
      <c r="MS239" s="9"/>
      <c r="MT239" s="9"/>
      <c r="MU239" s="9"/>
      <c r="MV239" s="9"/>
      <c r="MW239" s="9"/>
      <c r="MX239" s="9"/>
      <c r="MY239" s="9"/>
      <c r="MZ239" s="9"/>
      <c r="NA239" s="9"/>
      <c r="NB239" s="9"/>
      <c r="NC239" s="9"/>
      <c r="ND239" s="9"/>
      <c r="NE239" s="9"/>
      <c r="NF239" s="9"/>
      <c r="NG239" s="9"/>
      <c r="NH239" s="9"/>
      <c r="NI239" s="9"/>
      <c r="NJ239" s="9"/>
      <c r="NK239" s="9"/>
      <c r="NL239" s="9"/>
      <c r="NM239" s="9"/>
      <c r="NN239" s="9"/>
      <c r="NO239" s="9"/>
      <c r="NP239" s="9"/>
      <c r="NQ239" s="9"/>
      <c r="NR239" s="9"/>
      <c r="NS239" s="9"/>
      <c r="NT239" s="9"/>
      <c r="NU239" s="9"/>
      <c r="NV239" s="9"/>
      <c r="NW239" s="9"/>
      <c r="NX239" s="9"/>
      <c r="NY239" s="9"/>
      <c r="NZ239" s="9"/>
      <c r="OA239" s="9"/>
      <c r="OB239" s="9"/>
      <c r="OC239" s="9"/>
      <c r="OD239" s="9"/>
      <c r="OE239" s="9"/>
      <c r="OF239" s="9"/>
      <c r="OG239" s="9"/>
      <c r="OH239" s="9"/>
      <c r="OI239" s="9"/>
      <c r="OJ239" s="9"/>
      <c r="OK239" s="9"/>
      <c r="OL239" s="9"/>
      <c r="OM239" s="9"/>
      <c r="ON239" s="9"/>
      <c r="OO239" s="9"/>
      <c r="OP239" s="9"/>
      <c r="OQ239" s="9"/>
      <c r="OR239" s="9"/>
      <c r="OS239" s="9"/>
      <c r="OT239" s="9"/>
      <c r="OU239" s="9"/>
      <c r="OV239" s="9"/>
      <c r="OW239" s="9"/>
      <c r="OX239" s="9"/>
      <c r="OY239" s="9"/>
      <c r="OZ239" s="9"/>
      <c r="PA239" s="9"/>
      <c r="PB239" s="9"/>
      <c r="PC239" s="9"/>
      <c r="PD239" s="9"/>
      <c r="PE239" s="9"/>
      <c r="PF239" s="9"/>
      <c r="PG239" s="9"/>
      <c r="PH239" s="9"/>
      <c r="PI239" s="9"/>
      <c r="PJ239" s="9"/>
      <c r="PK239" s="9"/>
      <c r="PL239" s="9"/>
      <c r="PM239" s="9"/>
      <c r="PN239" s="9"/>
      <c r="PO239" s="9"/>
      <c r="PP239" s="9"/>
      <c r="PQ239" s="9"/>
      <c r="PR239" s="9"/>
      <c r="PS239" s="9"/>
      <c r="PT239" s="9"/>
      <c r="PU239" s="9"/>
      <c r="PV239" s="9"/>
      <c r="PW239" s="9"/>
      <c r="PX239" s="9"/>
      <c r="PY239" s="9"/>
      <c r="PZ239" s="9"/>
      <c r="QA239" s="9"/>
      <c r="QB239" s="9"/>
      <c r="QC239" s="9"/>
      <c r="QD239" s="9"/>
      <c r="QE239" s="9"/>
      <c r="QF239" s="9"/>
      <c r="QG239" s="9"/>
      <c r="QH239" s="9"/>
      <c r="QI239" s="9"/>
      <c r="QJ239" s="9"/>
      <c r="QK239" s="9"/>
      <c r="QL239" s="9"/>
      <c r="QM239" s="9"/>
      <c r="QN239" s="9"/>
      <c r="QO239" s="9"/>
      <c r="QP239" s="9"/>
      <c r="QQ239" s="9"/>
      <c r="QR239" s="9"/>
      <c r="QS239" s="9"/>
      <c r="QT239" s="9"/>
      <c r="QU239" s="9"/>
      <c r="QV239" s="9"/>
      <c r="QW239" s="9"/>
      <c r="QX239" s="9"/>
      <c r="QY239" s="9"/>
      <c r="QZ239" s="9"/>
      <c r="RA239" s="9"/>
      <c r="RB239" s="9"/>
      <c r="RC239" s="9"/>
      <c r="RD239" s="9"/>
      <c r="RE239" s="9"/>
      <c r="RF239" s="9"/>
      <c r="RG239" s="9"/>
      <c r="RH239" s="9"/>
      <c r="RI239" s="9"/>
      <c r="RJ239" s="9"/>
      <c r="RK239" s="9"/>
      <c r="RL239" s="9"/>
      <c r="RM239" s="9"/>
      <c r="RN239" s="9"/>
      <c r="RO239" s="9"/>
      <c r="RP239" s="9"/>
      <c r="RQ239" s="9"/>
      <c r="RR239" s="9"/>
      <c r="RS239" s="9"/>
      <c r="RT239" s="9"/>
      <c r="RU239" s="9"/>
      <c r="RV239" s="9"/>
      <c r="RW239" s="9"/>
      <c r="RX239" s="9"/>
      <c r="RY239" s="9"/>
      <c r="RZ239" s="9"/>
      <c r="SA239" s="9"/>
      <c r="SB239" s="9"/>
      <c r="SC239" s="9"/>
      <c r="SD239" s="9"/>
      <c r="SE239" s="9"/>
      <c r="SF239" s="9"/>
      <c r="SG239" s="9"/>
      <c r="SH239" s="9"/>
      <c r="SI239" s="9"/>
      <c r="SJ239" s="9"/>
      <c r="SK239" s="8"/>
      <c r="SL239" s="8"/>
      <c r="SM239" s="8"/>
      <c r="SN239" s="8"/>
      <c r="SO239" s="8"/>
      <c r="SP239" s="8"/>
      <c r="SQ239" s="8"/>
      <c r="SR239" s="8"/>
      <c r="SS239" s="8"/>
      <c r="ST239" s="8"/>
      <c r="SU239" s="8"/>
      <c r="SV239" s="8"/>
      <c r="SW239" s="8"/>
      <c r="SX239" s="8"/>
      <c r="SY239" s="8"/>
      <c r="SZ239" s="8"/>
      <c r="TA239" s="8"/>
      <c r="TB239" s="8"/>
      <c r="TC239" s="8"/>
      <c r="TD239" s="8"/>
      <c r="TE239" s="8"/>
      <c r="TF239" s="8"/>
      <c r="TG239" s="8"/>
      <c r="TH239" s="8"/>
      <c r="TI239" s="8"/>
      <c r="TJ239" s="8"/>
      <c r="TK239" s="8"/>
      <c r="TL239" s="8"/>
      <c r="TM239" s="8"/>
      <c r="TN239" s="8"/>
      <c r="TO239" s="8"/>
    </row>
    <row r="240" spans="1:535" x14ac:dyDescent="0.2">
      <c r="A240" s="7"/>
      <c r="B240" s="7"/>
      <c r="C240" s="9"/>
      <c r="D240" s="8"/>
      <c r="E240" s="8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/>
      <c r="BO240" s="9"/>
      <c r="BP240" s="9"/>
      <c r="BQ240" s="9"/>
      <c r="BR240" s="9"/>
      <c r="BS240" s="9"/>
      <c r="BT240" s="9"/>
      <c r="BU240" s="9"/>
      <c r="BV240" s="9"/>
      <c r="BW240" s="9"/>
      <c r="BX240" s="9"/>
      <c r="BY240" s="9"/>
      <c r="BZ240" s="9"/>
      <c r="CA240" s="9"/>
      <c r="CB240" s="9"/>
      <c r="CC240" s="9"/>
      <c r="CD240" s="9"/>
      <c r="CE240" s="9"/>
      <c r="CF240" s="9"/>
      <c r="CG240" s="9"/>
      <c r="CH240" s="9"/>
      <c r="CI240" s="9"/>
      <c r="CJ240" s="9"/>
      <c r="CK240" s="9"/>
      <c r="CL240" s="9"/>
      <c r="CM240" s="9"/>
      <c r="CN240" s="9"/>
      <c r="CO240" s="9"/>
      <c r="CP240" s="9"/>
      <c r="CQ240" s="9"/>
      <c r="CR240" s="9"/>
      <c r="CS240" s="9"/>
      <c r="CT240" s="9"/>
      <c r="CU240" s="9"/>
      <c r="CV240" s="9"/>
      <c r="CW240" s="9"/>
      <c r="CX240" s="9"/>
      <c r="CY240" s="9"/>
      <c r="CZ240" s="9"/>
      <c r="DA240" s="9"/>
      <c r="DB240" s="9"/>
      <c r="DC240" s="9"/>
      <c r="DD240" s="9"/>
      <c r="DE240" s="9"/>
      <c r="DF240" s="9"/>
      <c r="DG240" s="9"/>
      <c r="DH240" s="9"/>
      <c r="DI240" s="9"/>
      <c r="DJ240" s="9"/>
      <c r="DK240" s="9"/>
      <c r="DL240" s="9"/>
      <c r="DM240" s="9"/>
      <c r="DN240" s="9"/>
      <c r="DO240" s="9"/>
      <c r="DP240" s="9"/>
      <c r="DQ240" s="9"/>
      <c r="DR240" s="9"/>
      <c r="DS240" s="9"/>
      <c r="DT240" s="9"/>
      <c r="DU240" s="9"/>
      <c r="DV240" s="9"/>
      <c r="DW240" s="9"/>
      <c r="DX240" s="9"/>
      <c r="DY240" s="9"/>
      <c r="DZ240" s="9"/>
      <c r="EA240" s="9"/>
      <c r="EB240" s="9"/>
      <c r="EC240" s="9"/>
      <c r="ED240" s="9"/>
      <c r="EE240" s="9"/>
      <c r="EF240" s="9"/>
      <c r="EG240" s="9"/>
      <c r="EH240" s="9"/>
      <c r="EI240" s="9"/>
      <c r="EJ240" s="9"/>
      <c r="EK240" s="9"/>
      <c r="EL240" s="9"/>
      <c r="EM240" s="9"/>
      <c r="EN240" s="9"/>
      <c r="EO240" s="9"/>
      <c r="EP240" s="9"/>
      <c r="EQ240" s="9"/>
      <c r="ER240" s="9"/>
      <c r="ES240" s="9"/>
      <c r="ET240" s="9"/>
      <c r="EU240" s="9"/>
      <c r="EV240" s="9"/>
      <c r="EW240" s="9"/>
      <c r="EX240" s="9"/>
      <c r="EY240" s="9"/>
      <c r="EZ240" s="9"/>
      <c r="FA240" s="9"/>
      <c r="FB240" s="9"/>
      <c r="FC240" s="9"/>
      <c r="FD240" s="9"/>
      <c r="FE240" s="9"/>
      <c r="FF240" s="9"/>
      <c r="FG240" s="9"/>
      <c r="FH240" s="9"/>
      <c r="FI240" s="9"/>
      <c r="FJ240" s="9"/>
      <c r="FK240" s="9"/>
      <c r="FL240" s="9"/>
      <c r="FM240" s="9"/>
      <c r="FN240" s="9"/>
      <c r="FO240" s="9"/>
      <c r="FP240" s="9"/>
      <c r="FQ240" s="9"/>
      <c r="FR240" s="9"/>
      <c r="FS240" s="9"/>
      <c r="FT240" s="9"/>
      <c r="FU240" s="9"/>
      <c r="FV240" s="9"/>
      <c r="FW240" s="9"/>
      <c r="FX240" s="9"/>
      <c r="FY240" s="9"/>
      <c r="FZ240" s="9"/>
      <c r="GA240" s="9"/>
      <c r="GB240" s="9"/>
      <c r="GC240" s="9"/>
      <c r="GD240" s="9"/>
      <c r="GE240" s="9"/>
      <c r="GF240" s="9"/>
      <c r="GG240" s="9"/>
      <c r="GH240" s="9"/>
      <c r="GI240" s="9"/>
      <c r="GJ240" s="9"/>
      <c r="GK240" s="9"/>
      <c r="GL240" s="9"/>
      <c r="GM240" s="9"/>
      <c r="GN240" s="9"/>
      <c r="GO240" s="9"/>
      <c r="GP240" s="9"/>
      <c r="GQ240" s="9"/>
      <c r="GR240" s="9"/>
      <c r="GS240" s="9"/>
      <c r="GT240" s="9"/>
      <c r="GU240" s="9"/>
      <c r="GV240" s="9"/>
      <c r="GW240" s="9"/>
      <c r="GX240" s="9"/>
      <c r="GY240" s="9"/>
      <c r="GZ240" s="9"/>
      <c r="HA240" s="9"/>
      <c r="HB240" s="9"/>
      <c r="HC240" s="9"/>
      <c r="HD240" s="9"/>
      <c r="HE240" s="9"/>
      <c r="HF240" s="9"/>
      <c r="HG240" s="9"/>
      <c r="HH240" s="9"/>
      <c r="HI240" s="9"/>
      <c r="HJ240" s="9"/>
      <c r="HK240" s="9"/>
      <c r="HL240" s="9"/>
      <c r="HM240" s="9"/>
      <c r="HN240" s="9"/>
      <c r="HO240" s="9"/>
      <c r="HP240" s="9"/>
      <c r="HQ240" s="9"/>
      <c r="HR240" s="9"/>
      <c r="HS240" s="9"/>
      <c r="HT240" s="9"/>
      <c r="HU240" s="9"/>
      <c r="HV240" s="9"/>
      <c r="HW240" s="9"/>
      <c r="HX240" s="9"/>
      <c r="HY240" s="9"/>
      <c r="HZ240" s="9"/>
      <c r="IA240" s="9"/>
      <c r="IB240" s="9"/>
      <c r="IC240" s="9"/>
      <c r="ID240" s="9"/>
      <c r="IE240" s="9"/>
      <c r="IF240" s="9"/>
      <c r="IG240" s="9"/>
      <c r="IH240" s="9"/>
      <c r="II240" s="9"/>
      <c r="IJ240" s="9"/>
      <c r="IK240" s="9"/>
      <c r="IL240" s="9"/>
      <c r="IM240" s="9"/>
      <c r="IN240" s="9"/>
      <c r="IO240" s="9"/>
      <c r="IP240" s="9"/>
      <c r="IQ240" s="9"/>
      <c r="IR240" s="9"/>
      <c r="IS240" s="9"/>
      <c r="IT240" s="9"/>
      <c r="IU240" s="9"/>
      <c r="IV240" s="9"/>
      <c r="IW240" s="9"/>
      <c r="IX240" s="9"/>
      <c r="IY240" s="9"/>
      <c r="IZ240" s="9"/>
      <c r="JA240" s="9"/>
      <c r="JB240" s="9"/>
      <c r="JC240" s="9"/>
      <c r="JD240" s="9"/>
      <c r="JE240" s="9"/>
      <c r="JF240" s="9"/>
      <c r="JG240" s="9"/>
      <c r="JH240" s="9"/>
      <c r="JI240" s="9"/>
      <c r="JJ240" s="9"/>
      <c r="JK240" s="9"/>
      <c r="JL240" s="9"/>
      <c r="JM240" s="9"/>
      <c r="JN240" s="9"/>
      <c r="JO240" s="9"/>
      <c r="JP240" s="9"/>
      <c r="JQ240" s="9"/>
      <c r="JR240" s="9"/>
      <c r="JS240" s="9"/>
      <c r="JT240" s="9"/>
      <c r="JU240" s="9"/>
      <c r="JV240" s="9"/>
      <c r="JW240" s="9"/>
      <c r="JX240" s="9"/>
      <c r="JY240" s="9"/>
      <c r="JZ240" s="9"/>
      <c r="KA240" s="9"/>
      <c r="KB240" s="9"/>
      <c r="KC240" s="9"/>
      <c r="KD240" s="9"/>
      <c r="KE240" s="9"/>
      <c r="KF240" s="9"/>
      <c r="KG240" s="9"/>
      <c r="KH240" s="9"/>
      <c r="KI240" s="9"/>
      <c r="KJ240" s="9"/>
      <c r="KK240" s="9"/>
      <c r="KL240" s="9"/>
      <c r="KM240" s="9"/>
      <c r="KN240" s="9"/>
      <c r="KO240" s="9"/>
      <c r="KP240" s="9"/>
      <c r="KQ240" s="9"/>
      <c r="KR240" s="9"/>
      <c r="KS240" s="9"/>
      <c r="KT240" s="9"/>
      <c r="KU240" s="9"/>
      <c r="KV240" s="9"/>
      <c r="KW240" s="9"/>
      <c r="KX240" s="9"/>
      <c r="KY240" s="9"/>
      <c r="KZ240" s="9"/>
      <c r="LA240" s="9"/>
      <c r="LB240" s="9"/>
      <c r="LC240" s="9"/>
      <c r="LD240" s="9"/>
      <c r="LE240" s="9"/>
      <c r="LF240" s="9"/>
      <c r="LG240" s="9"/>
      <c r="LH240" s="9"/>
      <c r="LI240" s="9"/>
      <c r="LJ240" s="9"/>
      <c r="LK240" s="9"/>
      <c r="LL240" s="9"/>
      <c r="LM240" s="9"/>
      <c r="LN240" s="9"/>
      <c r="LO240" s="9"/>
      <c r="LP240" s="9"/>
      <c r="LQ240" s="9"/>
      <c r="LR240" s="9"/>
      <c r="LS240" s="9"/>
      <c r="LT240" s="9"/>
      <c r="LU240" s="9"/>
      <c r="LV240" s="9"/>
      <c r="LW240" s="9"/>
      <c r="LX240" s="9"/>
      <c r="LY240" s="9"/>
      <c r="LZ240" s="9"/>
      <c r="MA240" s="9"/>
      <c r="MB240" s="9"/>
      <c r="MC240" s="9"/>
      <c r="MD240" s="9"/>
      <c r="ME240" s="9"/>
      <c r="MF240" s="9"/>
      <c r="MG240" s="9"/>
      <c r="MH240" s="9"/>
      <c r="MI240" s="9"/>
      <c r="MJ240" s="9"/>
      <c r="MK240" s="9"/>
      <c r="ML240" s="9"/>
      <c r="MM240" s="9"/>
      <c r="MN240" s="9"/>
      <c r="MO240" s="9"/>
      <c r="MP240" s="9"/>
      <c r="MQ240" s="9"/>
      <c r="MR240" s="9"/>
      <c r="MS240" s="9"/>
      <c r="MT240" s="9"/>
      <c r="MU240" s="9"/>
      <c r="MV240" s="9"/>
      <c r="MW240" s="9"/>
      <c r="MX240" s="9"/>
      <c r="MY240" s="9"/>
      <c r="MZ240" s="9"/>
      <c r="NA240" s="9"/>
      <c r="NB240" s="9"/>
      <c r="NC240" s="9"/>
      <c r="ND240" s="9"/>
      <c r="NE240" s="9"/>
      <c r="NF240" s="9"/>
      <c r="NG240" s="9"/>
      <c r="NH240" s="9"/>
      <c r="NI240" s="9"/>
      <c r="NJ240" s="9"/>
      <c r="NK240" s="9"/>
      <c r="NL240" s="9"/>
      <c r="NM240" s="9"/>
      <c r="NN240" s="9"/>
      <c r="NO240" s="9"/>
      <c r="NP240" s="9"/>
      <c r="NQ240" s="9"/>
      <c r="NR240" s="9"/>
      <c r="NS240" s="9"/>
      <c r="NT240" s="9"/>
      <c r="NU240" s="9"/>
      <c r="NV240" s="9"/>
      <c r="NW240" s="9"/>
      <c r="NX240" s="9"/>
      <c r="NY240" s="9"/>
      <c r="NZ240" s="9"/>
      <c r="OA240" s="9"/>
      <c r="OB240" s="9"/>
      <c r="OC240" s="9"/>
      <c r="OD240" s="9"/>
      <c r="OE240" s="9"/>
      <c r="OF240" s="9"/>
      <c r="OG240" s="9"/>
      <c r="OH240" s="9"/>
      <c r="OI240" s="9"/>
      <c r="OJ240" s="9"/>
      <c r="OK240" s="9"/>
      <c r="OL240" s="9"/>
      <c r="OM240" s="9"/>
      <c r="ON240" s="9"/>
      <c r="OO240" s="9"/>
      <c r="OP240" s="9"/>
      <c r="OQ240" s="9"/>
      <c r="OR240" s="9"/>
      <c r="OS240" s="9"/>
      <c r="OT240" s="9"/>
      <c r="OU240" s="9"/>
      <c r="OV240" s="9"/>
      <c r="OW240" s="9"/>
      <c r="OX240" s="9"/>
      <c r="OY240" s="9"/>
      <c r="OZ240" s="9"/>
      <c r="PA240" s="9"/>
      <c r="PB240" s="9"/>
      <c r="PC240" s="9"/>
      <c r="PD240" s="9"/>
      <c r="PE240" s="9"/>
      <c r="PF240" s="9"/>
      <c r="PG240" s="9"/>
      <c r="PH240" s="9"/>
      <c r="PI240" s="9"/>
      <c r="PJ240" s="9"/>
      <c r="PK240" s="9"/>
      <c r="PL240" s="9"/>
      <c r="PM240" s="9"/>
      <c r="PN240" s="9"/>
      <c r="PO240" s="9"/>
      <c r="PP240" s="9"/>
      <c r="PQ240" s="9"/>
      <c r="PR240" s="9"/>
      <c r="PS240" s="9"/>
      <c r="PT240" s="9"/>
      <c r="PU240" s="9"/>
      <c r="PV240" s="9"/>
      <c r="PW240" s="9"/>
      <c r="PX240" s="9"/>
      <c r="PY240" s="9"/>
      <c r="PZ240" s="9"/>
      <c r="QA240" s="9"/>
      <c r="QB240" s="9"/>
      <c r="QC240" s="9"/>
      <c r="QD240" s="9"/>
      <c r="QE240" s="9"/>
      <c r="QF240" s="9"/>
      <c r="QG240" s="9"/>
      <c r="QH240" s="9"/>
      <c r="QI240" s="9"/>
      <c r="QJ240" s="9"/>
      <c r="QK240" s="9"/>
      <c r="QL240" s="9"/>
      <c r="QM240" s="9"/>
      <c r="QN240" s="9"/>
      <c r="QO240" s="9"/>
      <c r="QP240" s="9"/>
      <c r="QQ240" s="9"/>
      <c r="QR240" s="9"/>
      <c r="QS240" s="9"/>
      <c r="QT240" s="9"/>
      <c r="QU240" s="9"/>
      <c r="QV240" s="9"/>
      <c r="QW240" s="9"/>
      <c r="QX240" s="9"/>
      <c r="QY240" s="9"/>
      <c r="QZ240" s="9"/>
      <c r="RA240" s="9"/>
      <c r="RB240" s="9"/>
      <c r="RC240" s="9"/>
      <c r="RD240" s="9"/>
      <c r="RE240" s="9"/>
      <c r="RF240" s="9"/>
      <c r="RG240" s="9"/>
      <c r="RH240" s="9"/>
      <c r="RI240" s="9"/>
      <c r="RJ240" s="9"/>
      <c r="RK240" s="9"/>
      <c r="RL240" s="9"/>
      <c r="RM240" s="9"/>
      <c r="RN240" s="9"/>
      <c r="RO240" s="9"/>
      <c r="RP240" s="9"/>
      <c r="RQ240" s="9"/>
      <c r="RR240" s="9"/>
      <c r="RS240" s="9"/>
      <c r="RT240" s="9"/>
      <c r="RU240" s="9"/>
      <c r="RV240" s="9"/>
      <c r="RW240" s="9"/>
      <c r="RX240" s="9"/>
      <c r="RY240" s="9"/>
      <c r="RZ240" s="9"/>
      <c r="SA240" s="9"/>
      <c r="SB240" s="9"/>
      <c r="SC240" s="9"/>
      <c r="SD240" s="9"/>
      <c r="SE240" s="9"/>
      <c r="SF240" s="9"/>
      <c r="SG240" s="9"/>
      <c r="SH240" s="9"/>
      <c r="SI240" s="9"/>
      <c r="SJ240" s="9"/>
      <c r="SK240" s="8"/>
      <c r="SL240" s="8"/>
      <c r="SM240" s="8"/>
      <c r="SN240" s="8"/>
      <c r="SO240" s="8"/>
      <c r="SP240" s="8"/>
      <c r="SQ240" s="8"/>
      <c r="SR240" s="8"/>
      <c r="SS240" s="8"/>
      <c r="ST240" s="8"/>
      <c r="SU240" s="8"/>
      <c r="SV240" s="8"/>
      <c r="SW240" s="8"/>
      <c r="SX240" s="8"/>
      <c r="SY240" s="8"/>
      <c r="SZ240" s="8"/>
      <c r="TA240" s="8"/>
      <c r="TB240" s="8"/>
      <c r="TC240" s="8"/>
      <c r="TD240" s="8"/>
      <c r="TE240" s="8"/>
      <c r="TF240" s="8"/>
      <c r="TG240" s="8"/>
      <c r="TH240" s="8"/>
      <c r="TI240" s="8"/>
      <c r="TJ240" s="8"/>
      <c r="TK240" s="8"/>
      <c r="TL240" s="8"/>
      <c r="TM240" s="8"/>
      <c r="TN240" s="8"/>
      <c r="TO240" s="8"/>
    </row>
    <row r="241" spans="1:535" x14ac:dyDescent="0.2">
      <c r="A241" s="7"/>
      <c r="B241" s="7"/>
      <c r="C241" s="9"/>
      <c r="D241" s="8"/>
      <c r="E241" s="8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9"/>
      <c r="BK241" s="9"/>
      <c r="BL241" s="9"/>
      <c r="BM241" s="9"/>
      <c r="BN241" s="9"/>
      <c r="BO241" s="9"/>
      <c r="BP241" s="9"/>
      <c r="BQ241" s="9"/>
      <c r="BR241" s="9"/>
      <c r="BS241" s="9"/>
      <c r="BT241" s="9"/>
      <c r="BU241" s="9"/>
      <c r="BV241" s="9"/>
      <c r="BW241" s="9"/>
      <c r="BX241" s="9"/>
      <c r="BY241" s="9"/>
      <c r="BZ241" s="9"/>
      <c r="CA241" s="9"/>
      <c r="CB241" s="9"/>
      <c r="CC241" s="9"/>
      <c r="CD241" s="9"/>
      <c r="CE241" s="9"/>
      <c r="CF241" s="9"/>
      <c r="CG241" s="9"/>
      <c r="CH241" s="9"/>
      <c r="CI241" s="9"/>
      <c r="CJ241" s="9"/>
      <c r="CK241" s="9"/>
      <c r="CL241" s="9"/>
      <c r="CM241" s="9"/>
      <c r="CN241" s="9"/>
      <c r="CO241" s="9"/>
      <c r="CP241" s="9"/>
      <c r="CQ241" s="9"/>
      <c r="CR241" s="9"/>
      <c r="CS241" s="9"/>
      <c r="CT241" s="9"/>
      <c r="CU241" s="9"/>
      <c r="CV241" s="9"/>
      <c r="CW241" s="9"/>
      <c r="CX241" s="9"/>
      <c r="CY241" s="9"/>
      <c r="CZ241" s="9"/>
      <c r="DA241" s="9"/>
      <c r="DB241" s="9"/>
      <c r="DC241" s="9"/>
      <c r="DD241" s="9"/>
      <c r="DE241" s="9"/>
      <c r="DF241" s="9"/>
      <c r="DG241" s="9"/>
      <c r="DH241" s="9"/>
      <c r="DI241" s="9"/>
      <c r="DJ241" s="9"/>
      <c r="DK241" s="9"/>
      <c r="DL241" s="9"/>
      <c r="DM241" s="9"/>
      <c r="DN241" s="9"/>
      <c r="DO241" s="9"/>
      <c r="DP241" s="9"/>
      <c r="DQ241" s="9"/>
      <c r="DR241" s="9"/>
      <c r="DS241" s="9"/>
      <c r="DT241" s="9"/>
      <c r="DU241" s="9"/>
      <c r="DV241" s="9"/>
      <c r="DW241" s="9"/>
      <c r="DX241" s="9"/>
      <c r="DY241" s="9"/>
      <c r="DZ241" s="9"/>
      <c r="EA241" s="9"/>
      <c r="EB241" s="9"/>
      <c r="EC241" s="9"/>
      <c r="ED241" s="9"/>
      <c r="EE241" s="9"/>
      <c r="EF241" s="9"/>
      <c r="EG241" s="9"/>
      <c r="EH241" s="9"/>
      <c r="EI241" s="9"/>
      <c r="EJ241" s="9"/>
      <c r="EK241" s="9"/>
      <c r="EL241" s="9"/>
      <c r="EM241" s="9"/>
      <c r="EN241" s="9"/>
      <c r="EO241" s="9"/>
      <c r="EP241" s="9"/>
      <c r="EQ241" s="9"/>
      <c r="ER241" s="9"/>
      <c r="ES241" s="9"/>
      <c r="ET241" s="9"/>
      <c r="EU241" s="9"/>
      <c r="EV241" s="9"/>
      <c r="EW241" s="9"/>
      <c r="EX241" s="9"/>
      <c r="EY241" s="9"/>
      <c r="EZ241" s="9"/>
      <c r="FA241" s="9"/>
      <c r="FB241" s="9"/>
      <c r="FC241" s="9"/>
      <c r="FD241" s="9"/>
      <c r="FE241" s="9"/>
      <c r="FF241" s="9"/>
      <c r="FG241" s="9"/>
      <c r="FH241" s="9"/>
      <c r="FI241" s="9"/>
      <c r="FJ241" s="9"/>
      <c r="FK241" s="9"/>
      <c r="FL241" s="9"/>
      <c r="FM241" s="9"/>
      <c r="FN241" s="9"/>
      <c r="FO241" s="9"/>
      <c r="FP241" s="9"/>
      <c r="FQ241" s="9"/>
      <c r="FR241" s="9"/>
      <c r="FS241" s="9"/>
      <c r="FT241" s="9"/>
      <c r="FU241" s="9"/>
      <c r="FV241" s="9"/>
      <c r="FW241" s="9"/>
      <c r="FX241" s="9"/>
      <c r="FY241" s="9"/>
      <c r="FZ241" s="9"/>
      <c r="GA241" s="9"/>
      <c r="GB241" s="9"/>
      <c r="GC241" s="9"/>
      <c r="GD241" s="9"/>
      <c r="GE241" s="9"/>
      <c r="GF241" s="9"/>
      <c r="GG241" s="9"/>
      <c r="GH241" s="9"/>
      <c r="GI241" s="9"/>
      <c r="GJ241" s="9"/>
      <c r="GK241" s="9"/>
      <c r="GL241" s="9"/>
      <c r="GM241" s="9"/>
      <c r="GN241" s="9"/>
      <c r="GO241" s="9"/>
      <c r="GP241" s="9"/>
      <c r="GQ241" s="9"/>
      <c r="GR241" s="9"/>
      <c r="GS241" s="9"/>
      <c r="GT241" s="9"/>
      <c r="GU241" s="9"/>
      <c r="GV241" s="9"/>
      <c r="GW241" s="9"/>
      <c r="GX241" s="9"/>
      <c r="GY241" s="9"/>
      <c r="GZ241" s="9"/>
      <c r="HA241" s="9"/>
      <c r="HB241" s="9"/>
      <c r="HC241" s="9"/>
      <c r="HD241" s="9"/>
      <c r="HE241" s="9"/>
      <c r="HF241" s="9"/>
      <c r="HG241" s="9"/>
      <c r="HH241" s="9"/>
      <c r="HI241" s="9"/>
      <c r="HJ241" s="9"/>
      <c r="HK241" s="9"/>
      <c r="HL241" s="9"/>
      <c r="HM241" s="9"/>
      <c r="HN241" s="9"/>
      <c r="HO241" s="9"/>
      <c r="HP241" s="9"/>
      <c r="HQ241" s="9"/>
      <c r="HR241" s="9"/>
      <c r="HS241" s="9"/>
      <c r="HT241" s="9"/>
      <c r="HU241" s="9"/>
      <c r="HV241" s="9"/>
      <c r="HW241" s="9"/>
      <c r="HX241" s="9"/>
      <c r="HY241" s="9"/>
      <c r="HZ241" s="9"/>
      <c r="IA241" s="9"/>
      <c r="IB241" s="9"/>
      <c r="IC241" s="9"/>
      <c r="ID241" s="9"/>
      <c r="IE241" s="9"/>
      <c r="IF241" s="9"/>
      <c r="IG241" s="9"/>
      <c r="IH241" s="9"/>
      <c r="II241" s="9"/>
      <c r="IJ241" s="9"/>
      <c r="IK241" s="9"/>
      <c r="IL241" s="9"/>
      <c r="IM241" s="9"/>
      <c r="IN241" s="9"/>
      <c r="IO241" s="9"/>
      <c r="IP241" s="9"/>
      <c r="IQ241" s="9"/>
      <c r="IR241" s="9"/>
      <c r="IS241" s="9"/>
      <c r="IT241" s="9"/>
      <c r="IU241" s="9"/>
      <c r="IV241" s="9"/>
      <c r="IW241" s="9"/>
      <c r="IX241" s="9"/>
      <c r="IY241" s="9"/>
      <c r="IZ241" s="9"/>
      <c r="JA241" s="9"/>
      <c r="JB241" s="9"/>
      <c r="JC241" s="9"/>
      <c r="JD241" s="9"/>
      <c r="JE241" s="9"/>
      <c r="JF241" s="9"/>
      <c r="JG241" s="9"/>
      <c r="JH241" s="9"/>
      <c r="JI241" s="9"/>
      <c r="JJ241" s="9"/>
      <c r="JK241" s="9"/>
      <c r="JL241" s="9"/>
      <c r="JM241" s="9"/>
      <c r="JN241" s="9"/>
      <c r="JO241" s="9"/>
      <c r="JP241" s="9"/>
      <c r="JQ241" s="9"/>
      <c r="JR241" s="9"/>
      <c r="JS241" s="9"/>
      <c r="JT241" s="9"/>
      <c r="JU241" s="9"/>
      <c r="JV241" s="9"/>
      <c r="JW241" s="9"/>
      <c r="JX241" s="9"/>
      <c r="JY241" s="9"/>
      <c r="JZ241" s="9"/>
      <c r="KA241" s="9"/>
      <c r="KB241" s="9"/>
      <c r="KC241" s="9"/>
      <c r="KD241" s="9"/>
      <c r="KE241" s="9"/>
      <c r="KF241" s="9"/>
      <c r="KG241" s="9"/>
      <c r="KH241" s="9"/>
      <c r="KI241" s="9"/>
      <c r="KJ241" s="9"/>
      <c r="KK241" s="9"/>
      <c r="KL241" s="9"/>
      <c r="KM241" s="9"/>
      <c r="KN241" s="9"/>
      <c r="KO241" s="9"/>
      <c r="KP241" s="9"/>
      <c r="KQ241" s="9"/>
      <c r="KR241" s="9"/>
      <c r="KS241" s="9"/>
      <c r="KT241" s="9"/>
      <c r="KU241" s="9"/>
      <c r="KV241" s="9"/>
      <c r="KW241" s="9"/>
      <c r="KX241" s="9"/>
      <c r="KY241" s="9"/>
      <c r="KZ241" s="9"/>
      <c r="LA241" s="9"/>
      <c r="LB241" s="9"/>
      <c r="LC241" s="9"/>
      <c r="LD241" s="9"/>
      <c r="LE241" s="9"/>
      <c r="LF241" s="9"/>
      <c r="LG241" s="9"/>
      <c r="LH241" s="9"/>
      <c r="LI241" s="9"/>
      <c r="LJ241" s="9"/>
      <c r="LK241" s="9"/>
      <c r="LL241" s="9"/>
      <c r="LM241" s="9"/>
      <c r="LN241" s="9"/>
      <c r="LO241" s="9"/>
      <c r="LP241" s="9"/>
      <c r="LQ241" s="9"/>
      <c r="LR241" s="9"/>
      <c r="LS241" s="9"/>
      <c r="LT241" s="9"/>
      <c r="LU241" s="9"/>
      <c r="LV241" s="9"/>
      <c r="LW241" s="9"/>
      <c r="LX241" s="9"/>
      <c r="LY241" s="9"/>
      <c r="LZ241" s="9"/>
      <c r="MA241" s="9"/>
      <c r="MB241" s="9"/>
      <c r="MC241" s="9"/>
      <c r="MD241" s="9"/>
      <c r="ME241" s="9"/>
      <c r="MF241" s="9"/>
      <c r="MG241" s="9"/>
      <c r="MH241" s="9"/>
      <c r="MI241" s="9"/>
      <c r="MJ241" s="9"/>
      <c r="MK241" s="9"/>
      <c r="ML241" s="9"/>
      <c r="MM241" s="9"/>
      <c r="MN241" s="9"/>
      <c r="MO241" s="9"/>
      <c r="MP241" s="9"/>
      <c r="MQ241" s="9"/>
      <c r="MR241" s="9"/>
      <c r="MS241" s="9"/>
      <c r="MT241" s="9"/>
      <c r="MU241" s="9"/>
      <c r="MV241" s="9"/>
      <c r="MW241" s="9"/>
      <c r="MX241" s="9"/>
      <c r="MY241" s="9"/>
      <c r="MZ241" s="9"/>
      <c r="NA241" s="9"/>
      <c r="NB241" s="9"/>
      <c r="NC241" s="9"/>
      <c r="ND241" s="9"/>
      <c r="NE241" s="9"/>
      <c r="NF241" s="9"/>
      <c r="NG241" s="9"/>
      <c r="NH241" s="9"/>
      <c r="NI241" s="9"/>
      <c r="NJ241" s="9"/>
      <c r="NK241" s="9"/>
      <c r="NL241" s="9"/>
      <c r="NM241" s="9"/>
      <c r="NN241" s="9"/>
      <c r="NO241" s="9"/>
      <c r="NP241" s="9"/>
      <c r="NQ241" s="9"/>
      <c r="NR241" s="9"/>
      <c r="NS241" s="9"/>
      <c r="NT241" s="9"/>
      <c r="NU241" s="9"/>
      <c r="NV241" s="9"/>
      <c r="NW241" s="9"/>
      <c r="NX241" s="9"/>
      <c r="NY241" s="9"/>
      <c r="NZ241" s="9"/>
      <c r="OA241" s="9"/>
      <c r="OB241" s="9"/>
      <c r="OC241" s="9"/>
      <c r="OD241" s="9"/>
      <c r="OE241" s="9"/>
      <c r="OF241" s="9"/>
      <c r="OG241" s="9"/>
      <c r="OH241" s="9"/>
      <c r="OI241" s="9"/>
      <c r="OJ241" s="9"/>
      <c r="OK241" s="9"/>
      <c r="OL241" s="9"/>
      <c r="OM241" s="9"/>
      <c r="ON241" s="9"/>
      <c r="OO241" s="9"/>
      <c r="OP241" s="9"/>
      <c r="OQ241" s="9"/>
      <c r="OR241" s="9"/>
      <c r="OS241" s="9"/>
      <c r="OT241" s="9"/>
      <c r="OU241" s="9"/>
      <c r="OV241" s="9"/>
      <c r="OW241" s="9"/>
      <c r="OX241" s="9"/>
      <c r="OY241" s="9"/>
      <c r="OZ241" s="9"/>
      <c r="PA241" s="9"/>
      <c r="PB241" s="9"/>
      <c r="PC241" s="9"/>
      <c r="PD241" s="9"/>
      <c r="PE241" s="9"/>
      <c r="PF241" s="9"/>
      <c r="PG241" s="9"/>
      <c r="PH241" s="9"/>
      <c r="PI241" s="9"/>
      <c r="PJ241" s="9"/>
      <c r="PK241" s="9"/>
      <c r="PL241" s="9"/>
      <c r="PM241" s="9"/>
      <c r="PN241" s="9"/>
      <c r="PO241" s="9"/>
      <c r="PP241" s="9"/>
      <c r="PQ241" s="9"/>
      <c r="PR241" s="9"/>
      <c r="PS241" s="9"/>
      <c r="PT241" s="9"/>
      <c r="PU241" s="9"/>
      <c r="PV241" s="9"/>
      <c r="PW241" s="9"/>
      <c r="PX241" s="9"/>
      <c r="PY241" s="9"/>
      <c r="PZ241" s="9"/>
      <c r="QA241" s="9"/>
      <c r="QB241" s="9"/>
      <c r="QC241" s="9"/>
      <c r="QD241" s="9"/>
      <c r="QE241" s="9"/>
      <c r="QF241" s="9"/>
      <c r="QG241" s="9"/>
      <c r="QH241" s="9"/>
      <c r="QI241" s="9"/>
      <c r="QJ241" s="9"/>
      <c r="QK241" s="9"/>
      <c r="QL241" s="9"/>
      <c r="QM241" s="9"/>
      <c r="QN241" s="9"/>
      <c r="QO241" s="9"/>
      <c r="QP241" s="9"/>
      <c r="QQ241" s="9"/>
      <c r="QR241" s="9"/>
      <c r="QS241" s="9"/>
      <c r="QT241" s="9"/>
      <c r="QU241" s="9"/>
      <c r="QV241" s="9"/>
      <c r="QW241" s="9"/>
      <c r="QX241" s="9"/>
      <c r="QY241" s="9"/>
      <c r="QZ241" s="9"/>
      <c r="RA241" s="9"/>
      <c r="RB241" s="9"/>
      <c r="RC241" s="9"/>
      <c r="RD241" s="9"/>
      <c r="RE241" s="9"/>
      <c r="RF241" s="9"/>
      <c r="RG241" s="9"/>
      <c r="RH241" s="9"/>
      <c r="RI241" s="9"/>
      <c r="RJ241" s="9"/>
      <c r="RK241" s="9"/>
      <c r="RL241" s="9"/>
      <c r="RM241" s="9"/>
      <c r="RN241" s="9"/>
      <c r="RO241" s="9"/>
      <c r="RP241" s="9"/>
      <c r="RQ241" s="9"/>
      <c r="RR241" s="9"/>
      <c r="RS241" s="9"/>
      <c r="RT241" s="9"/>
      <c r="RU241" s="9"/>
      <c r="RV241" s="9"/>
      <c r="RW241" s="9"/>
      <c r="RX241" s="9"/>
      <c r="RY241" s="9"/>
      <c r="RZ241" s="9"/>
      <c r="SA241" s="9"/>
      <c r="SB241" s="9"/>
      <c r="SC241" s="9"/>
      <c r="SD241" s="9"/>
      <c r="SE241" s="9"/>
      <c r="SF241" s="9"/>
      <c r="SG241" s="9"/>
      <c r="SH241" s="9"/>
      <c r="SI241" s="9"/>
      <c r="SJ241" s="9"/>
      <c r="SK241" s="8"/>
      <c r="SL241" s="8"/>
      <c r="SM241" s="8"/>
      <c r="SN241" s="8"/>
      <c r="SO241" s="8"/>
      <c r="SP241" s="8"/>
      <c r="SQ241" s="8"/>
      <c r="SR241" s="8"/>
      <c r="SS241" s="8"/>
      <c r="ST241" s="8"/>
      <c r="SU241" s="8"/>
      <c r="SV241" s="8"/>
      <c r="SW241" s="8"/>
      <c r="SX241" s="8"/>
      <c r="SY241" s="8"/>
      <c r="SZ241" s="8"/>
      <c r="TA241" s="8"/>
      <c r="TB241" s="8"/>
      <c r="TC241" s="8"/>
      <c r="TD241" s="8"/>
      <c r="TE241" s="8"/>
      <c r="TF241" s="8"/>
      <c r="TG241" s="8"/>
      <c r="TH241" s="8"/>
      <c r="TI241" s="8"/>
      <c r="TJ241" s="8"/>
      <c r="TK241" s="8"/>
      <c r="TL241" s="8"/>
      <c r="TM241" s="8"/>
      <c r="TN241" s="8"/>
      <c r="TO241" s="8"/>
    </row>
    <row r="242" spans="1:535" x14ac:dyDescent="0.2">
      <c r="A242" s="7"/>
      <c r="B242" s="7"/>
      <c r="C242" s="9"/>
      <c r="D242" s="8"/>
      <c r="E242" s="8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/>
      <c r="BO242" s="9"/>
      <c r="BP242" s="9"/>
      <c r="BQ242" s="9"/>
      <c r="BR242" s="9"/>
      <c r="BS242" s="9"/>
      <c r="BT242" s="9"/>
      <c r="BU242" s="9"/>
      <c r="BV242" s="9"/>
      <c r="BW242" s="9"/>
      <c r="BX242" s="9"/>
      <c r="BY242" s="9"/>
      <c r="BZ242" s="9"/>
      <c r="CA242" s="9"/>
      <c r="CB242" s="9"/>
      <c r="CC242" s="9"/>
      <c r="CD242" s="9"/>
      <c r="CE242" s="9"/>
      <c r="CF242" s="9"/>
      <c r="CG242" s="9"/>
      <c r="CH242" s="9"/>
      <c r="CI242" s="9"/>
      <c r="CJ242" s="9"/>
      <c r="CK242" s="9"/>
      <c r="CL242" s="9"/>
      <c r="CM242" s="9"/>
      <c r="CN242" s="9"/>
      <c r="CO242" s="9"/>
      <c r="CP242" s="9"/>
      <c r="CQ242" s="9"/>
      <c r="CR242" s="9"/>
      <c r="CS242" s="9"/>
      <c r="CT242" s="9"/>
      <c r="CU242" s="9"/>
      <c r="CV242" s="9"/>
      <c r="CW242" s="9"/>
      <c r="CX242" s="9"/>
      <c r="CY242" s="9"/>
      <c r="CZ242" s="9"/>
      <c r="DA242" s="9"/>
      <c r="DB242" s="9"/>
      <c r="DC242" s="9"/>
      <c r="DD242" s="9"/>
      <c r="DE242" s="9"/>
      <c r="DF242" s="9"/>
      <c r="DG242" s="9"/>
      <c r="DH242" s="9"/>
      <c r="DI242" s="9"/>
      <c r="DJ242" s="9"/>
      <c r="DK242" s="9"/>
      <c r="DL242" s="9"/>
      <c r="DM242" s="9"/>
      <c r="DN242" s="9"/>
      <c r="DO242" s="9"/>
      <c r="DP242" s="9"/>
      <c r="DQ242" s="9"/>
      <c r="DR242" s="9"/>
      <c r="DS242" s="9"/>
      <c r="DT242" s="9"/>
      <c r="DU242" s="9"/>
      <c r="DV242" s="9"/>
      <c r="DW242" s="9"/>
      <c r="DX242" s="9"/>
      <c r="DY242" s="9"/>
      <c r="DZ242" s="9"/>
      <c r="EA242" s="9"/>
      <c r="EB242" s="9"/>
      <c r="EC242" s="9"/>
      <c r="ED242" s="9"/>
      <c r="EE242" s="9"/>
      <c r="EF242" s="9"/>
      <c r="EG242" s="9"/>
      <c r="EH242" s="9"/>
      <c r="EI242" s="9"/>
      <c r="EJ242" s="9"/>
      <c r="EK242" s="9"/>
      <c r="EL242" s="9"/>
      <c r="EM242" s="9"/>
      <c r="EN242" s="9"/>
      <c r="EO242" s="9"/>
      <c r="EP242" s="9"/>
      <c r="EQ242" s="9"/>
      <c r="ER242" s="9"/>
      <c r="ES242" s="9"/>
      <c r="ET242" s="9"/>
      <c r="EU242" s="9"/>
      <c r="EV242" s="9"/>
      <c r="EW242" s="9"/>
      <c r="EX242" s="9"/>
      <c r="EY242" s="9"/>
      <c r="EZ242" s="9"/>
      <c r="FA242" s="9"/>
      <c r="FB242" s="9"/>
      <c r="FC242" s="9"/>
      <c r="FD242" s="9"/>
      <c r="FE242" s="9"/>
      <c r="FF242" s="9"/>
      <c r="FG242" s="9"/>
      <c r="FH242" s="9"/>
      <c r="FI242" s="9"/>
      <c r="FJ242" s="9"/>
      <c r="FK242" s="9"/>
      <c r="FL242" s="9"/>
      <c r="FM242" s="9"/>
      <c r="FN242" s="9"/>
      <c r="FO242" s="9"/>
      <c r="FP242" s="9"/>
      <c r="FQ242" s="9"/>
      <c r="FR242" s="9"/>
      <c r="FS242" s="9"/>
      <c r="FT242" s="9"/>
      <c r="FU242" s="9"/>
      <c r="FV242" s="9"/>
      <c r="FW242" s="9"/>
      <c r="FX242" s="9"/>
      <c r="FY242" s="9"/>
      <c r="FZ242" s="9"/>
      <c r="GA242" s="9"/>
      <c r="GB242" s="9"/>
      <c r="GC242" s="9"/>
      <c r="GD242" s="9"/>
      <c r="GE242" s="9"/>
      <c r="GF242" s="9"/>
      <c r="GG242" s="9"/>
      <c r="GH242" s="9"/>
      <c r="GI242" s="9"/>
      <c r="GJ242" s="9"/>
      <c r="GK242" s="9"/>
      <c r="GL242" s="9"/>
      <c r="GM242" s="9"/>
      <c r="GN242" s="9"/>
      <c r="GO242" s="9"/>
      <c r="GP242" s="9"/>
      <c r="GQ242" s="9"/>
      <c r="GR242" s="9"/>
      <c r="GS242" s="9"/>
      <c r="GT242" s="9"/>
      <c r="GU242" s="9"/>
      <c r="GV242" s="9"/>
      <c r="GW242" s="9"/>
      <c r="GX242" s="9"/>
      <c r="GY242" s="9"/>
      <c r="GZ242" s="9"/>
      <c r="HA242" s="9"/>
      <c r="HB242" s="9"/>
      <c r="HC242" s="9"/>
      <c r="HD242" s="9"/>
      <c r="HE242" s="9"/>
      <c r="HF242" s="9"/>
      <c r="HG242" s="9"/>
      <c r="HH242" s="9"/>
      <c r="HI242" s="9"/>
      <c r="HJ242" s="9"/>
      <c r="HK242" s="9"/>
      <c r="HL242" s="9"/>
      <c r="HM242" s="9"/>
      <c r="HN242" s="9"/>
      <c r="HO242" s="9"/>
      <c r="HP242" s="9"/>
      <c r="HQ242" s="9"/>
      <c r="HR242" s="9"/>
      <c r="HS242" s="9"/>
      <c r="HT242" s="9"/>
      <c r="HU242" s="9"/>
      <c r="HV242" s="9"/>
      <c r="HW242" s="9"/>
      <c r="HX242" s="9"/>
      <c r="HY242" s="9"/>
      <c r="HZ242" s="9"/>
      <c r="IA242" s="9"/>
      <c r="IB242" s="9"/>
      <c r="IC242" s="9"/>
      <c r="ID242" s="9"/>
      <c r="IE242" s="9"/>
      <c r="IF242" s="9"/>
      <c r="IG242" s="9"/>
      <c r="IH242" s="9"/>
      <c r="II242" s="9"/>
      <c r="IJ242" s="9"/>
      <c r="IK242" s="9"/>
      <c r="IL242" s="9"/>
      <c r="IM242" s="9"/>
      <c r="IN242" s="9"/>
      <c r="IO242" s="9"/>
      <c r="IP242" s="9"/>
      <c r="IQ242" s="9"/>
      <c r="IR242" s="9"/>
      <c r="IS242" s="9"/>
      <c r="IT242" s="9"/>
      <c r="IU242" s="9"/>
      <c r="IV242" s="9"/>
      <c r="IW242" s="9"/>
      <c r="IX242" s="9"/>
      <c r="IY242" s="9"/>
      <c r="IZ242" s="9"/>
      <c r="JA242" s="9"/>
      <c r="JB242" s="9"/>
      <c r="JC242" s="9"/>
      <c r="JD242" s="9"/>
      <c r="JE242" s="9"/>
      <c r="JF242" s="9"/>
      <c r="JG242" s="9"/>
      <c r="JH242" s="9"/>
      <c r="JI242" s="9"/>
      <c r="JJ242" s="9"/>
      <c r="JK242" s="9"/>
      <c r="JL242" s="9"/>
      <c r="JM242" s="9"/>
      <c r="JN242" s="9"/>
      <c r="JO242" s="9"/>
      <c r="JP242" s="9"/>
      <c r="JQ242" s="9"/>
      <c r="JR242" s="9"/>
      <c r="JS242" s="9"/>
      <c r="JT242" s="9"/>
      <c r="JU242" s="9"/>
      <c r="JV242" s="9"/>
      <c r="JW242" s="9"/>
      <c r="JX242" s="9"/>
      <c r="JY242" s="9"/>
      <c r="JZ242" s="9"/>
      <c r="KA242" s="9"/>
      <c r="KB242" s="9"/>
      <c r="KC242" s="9"/>
      <c r="KD242" s="9"/>
      <c r="KE242" s="9"/>
      <c r="KF242" s="9"/>
      <c r="KG242" s="9"/>
      <c r="KH242" s="9"/>
      <c r="KI242" s="9"/>
      <c r="KJ242" s="9"/>
      <c r="KK242" s="9"/>
      <c r="KL242" s="9"/>
      <c r="KM242" s="9"/>
      <c r="KN242" s="9"/>
      <c r="KO242" s="9"/>
      <c r="KP242" s="9"/>
      <c r="KQ242" s="9"/>
      <c r="KR242" s="9"/>
      <c r="KS242" s="9"/>
      <c r="KT242" s="9"/>
      <c r="KU242" s="9"/>
      <c r="KV242" s="9"/>
      <c r="KW242" s="9"/>
      <c r="KX242" s="9"/>
      <c r="KY242" s="9"/>
      <c r="KZ242" s="9"/>
      <c r="LA242" s="9"/>
      <c r="LB242" s="9"/>
      <c r="LC242" s="9"/>
      <c r="LD242" s="9"/>
      <c r="LE242" s="9"/>
      <c r="LF242" s="9"/>
      <c r="LG242" s="9"/>
      <c r="LH242" s="9"/>
      <c r="LI242" s="9"/>
      <c r="LJ242" s="9"/>
      <c r="LK242" s="9"/>
      <c r="LL242" s="9"/>
      <c r="LM242" s="9"/>
      <c r="LN242" s="9"/>
      <c r="LO242" s="9"/>
      <c r="LP242" s="9"/>
      <c r="LQ242" s="9"/>
      <c r="LR242" s="9"/>
      <c r="LS242" s="9"/>
      <c r="LT242" s="9"/>
      <c r="LU242" s="9"/>
      <c r="LV242" s="9"/>
      <c r="LW242" s="9"/>
      <c r="LX242" s="9"/>
      <c r="LY242" s="9"/>
      <c r="LZ242" s="9"/>
      <c r="MA242" s="9"/>
      <c r="MB242" s="9"/>
      <c r="MC242" s="9"/>
      <c r="MD242" s="9"/>
      <c r="ME242" s="9"/>
      <c r="MF242" s="9"/>
      <c r="MG242" s="9"/>
      <c r="MH242" s="9"/>
      <c r="MI242" s="9"/>
      <c r="MJ242" s="9"/>
      <c r="MK242" s="9"/>
      <c r="ML242" s="9"/>
      <c r="MM242" s="9"/>
      <c r="MN242" s="9"/>
      <c r="MO242" s="9"/>
      <c r="MP242" s="9"/>
      <c r="MQ242" s="9"/>
      <c r="MR242" s="9"/>
      <c r="MS242" s="9"/>
      <c r="MT242" s="9"/>
      <c r="MU242" s="9"/>
      <c r="MV242" s="9"/>
      <c r="MW242" s="9"/>
      <c r="MX242" s="9"/>
      <c r="MY242" s="9"/>
      <c r="MZ242" s="9"/>
      <c r="NA242" s="9"/>
      <c r="NB242" s="9"/>
      <c r="NC242" s="9"/>
      <c r="ND242" s="9"/>
      <c r="NE242" s="9"/>
      <c r="NF242" s="9"/>
      <c r="NG242" s="9"/>
      <c r="NH242" s="9"/>
      <c r="NI242" s="9"/>
      <c r="NJ242" s="9"/>
      <c r="NK242" s="9"/>
      <c r="NL242" s="9"/>
      <c r="NM242" s="9"/>
      <c r="NN242" s="9"/>
      <c r="NO242" s="9"/>
      <c r="NP242" s="9"/>
      <c r="NQ242" s="9"/>
      <c r="NR242" s="9"/>
      <c r="NS242" s="9"/>
      <c r="NT242" s="9"/>
      <c r="NU242" s="9"/>
      <c r="NV242" s="9"/>
      <c r="NW242" s="9"/>
      <c r="NX242" s="9"/>
      <c r="NY242" s="9"/>
      <c r="NZ242" s="9"/>
      <c r="OA242" s="9"/>
      <c r="OB242" s="9"/>
      <c r="OC242" s="9"/>
      <c r="OD242" s="9"/>
      <c r="OE242" s="9"/>
      <c r="OF242" s="9"/>
      <c r="OG242" s="9"/>
      <c r="OH242" s="9"/>
      <c r="OI242" s="9"/>
      <c r="OJ242" s="9"/>
      <c r="OK242" s="9"/>
      <c r="OL242" s="9"/>
      <c r="OM242" s="9"/>
      <c r="ON242" s="9"/>
      <c r="OO242" s="9"/>
      <c r="OP242" s="9"/>
      <c r="OQ242" s="9"/>
      <c r="OR242" s="9"/>
      <c r="OS242" s="9"/>
      <c r="OT242" s="9"/>
      <c r="OU242" s="9"/>
      <c r="OV242" s="9"/>
      <c r="OW242" s="9"/>
      <c r="OX242" s="9"/>
      <c r="OY242" s="9"/>
      <c r="OZ242" s="9"/>
      <c r="PA242" s="9"/>
      <c r="PB242" s="9"/>
      <c r="PC242" s="9"/>
      <c r="PD242" s="9"/>
      <c r="PE242" s="9"/>
      <c r="PF242" s="9"/>
      <c r="PG242" s="9"/>
      <c r="PH242" s="9"/>
      <c r="PI242" s="9"/>
      <c r="PJ242" s="9"/>
      <c r="PK242" s="9"/>
      <c r="PL242" s="9"/>
      <c r="PM242" s="9"/>
      <c r="PN242" s="9"/>
      <c r="PO242" s="9"/>
      <c r="PP242" s="9"/>
      <c r="PQ242" s="9"/>
      <c r="PR242" s="9"/>
      <c r="PS242" s="9"/>
      <c r="PT242" s="9"/>
      <c r="PU242" s="9"/>
      <c r="PV242" s="9"/>
      <c r="PW242" s="9"/>
      <c r="PX242" s="9"/>
      <c r="PY242" s="9"/>
      <c r="PZ242" s="9"/>
      <c r="QA242" s="9"/>
      <c r="QB242" s="9"/>
      <c r="QC242" s="9"/>
      <c r="QD242" s="9"/>
      <c r="QE242" s="9"/>
      <c r="QF242" s="9"/>
      <c r="QG242" s="9"/>
      <c r="QH242" s="9"/>
      <c r="QI242" s="9"/>
      <c r="QJ242" s="9"/>
      <c r="QK242" s="9"/>
      <c r="QL242" s="9"/>
      <c r="QM242" s="9"/>
      <c r="QN242" s="9"/>
      <c r="QO242" s="9"/>
      <c r="QP242" s="9"/>
      <c r="QQ242" s="9"/>
      <c r="QR242" s="9"/>
      <c r="QS242" s="9"/>
      <c r="QT242" s="9"/>
      <c r="QU242" s="9"/>
      <c r="QV242" s="9"/>
      <c r="QW242" s="9"/>
      <c r="QX242" s="9"/>
      <c r="QY242" s="9"/>
      <c r="QZ242" s="9"/>
      <c r="RA242" s="9"/>
      <c r="RB242" s="9"/>
      <c r="RC242" s="9"/>
      <c r="RD242" s="9"/>
      <c r="RE242" s="9"/>
      <c r="RF242" s="9"/>
      <c r="RG242" s="9"/>
      <c r="RH242" s="9"/>
      <c r="RI242" s="9"/>
      <c r="RJ242" s="9"/>
      <c r="RK242" s="9"/>
      <c r="RL242" s="9"/>
      <c r="RM242" s="9"/>
      <c r="RN242" s="9"/>
      <c r="RO242" s="9"/>
      <c r="RP242" s="9"/>
      <c r="RQ242" s="9"/>
      <c r="RR242" s="9"/>
      <c r="RS242" s="9"/>
      <c r="RT242" s="9"/>
      <c r="RU242" s="9"/>
      <c r="RV242" s="9"/>
      <c r="RW242" s="9"/>
      <c r="RX242" s="9"/>
      <c r="RY242" s="9"/>
      <c r="RZ242" s="9"/>
      <c r="SA242" s="9"/>
      <c r="SB242" s="9"/>
      <c r="SC242" s="9"/>
      <c r="SD242" s="9"/>
      <c r="SE242" s="9"/>
      <c r="SF242" s="9"/>
      <c r="SG242" s="9"/>
      <c r="SH242" s="9"/>
      <c r="SI242" s="9"/>
      <c r="SJ242" s="9"/>
      <c r="SK242" s="8"/>
      <c r="SL242" s="8"/>
      <c r="SM242" s="8"/>
      <c r="SN242" s="8"/>
      <c r="SO242" s="8"/>
      <c r="SP242" s="8"/>
      <c r="SQ242" s="8"/>
      <c r="SR242" s="8"/>
      <c r="SS242" s="8"/>
      <c r="ST242" s="8"/>
      <c r="SU242" s="8"/>
      <c r="SV242" s="8"/>
      <c r="SW242" s="8"/>
      <c r="SX242" s="8"/>
      <c r="SY242" s="8"/>
      <c r="SZ242" s="8"/>
      <c r="TA242" s="8"/>
      <c r="TB242" s="8"/>
      <c r="TC242" s="8"/>
      <c r="TD242" s="8"/>
      <c r="TE242" s="8"/>
      <c r="TF242" s="8"/>
      <c r="TG242" s="8"/>
      <c r="TH242" s="8"/>
      <c r="TI242" s="8"/>
      <c r="TJ242" s="8"/>
      <c r="TK242" s="8"/>
      <c r="TL242" s="8"/>
      <c r="TM242" s="8"/>
      <c r="TN242" s="8"/>
      <c r="TO242" s="8"/>
    </row>
    <row r="243" spans="1:535" x14ac:dyDescent="0.2">
      <c r="A243" s="7"/>
      <c r="B243" s="7"/>
      <c r="C243" s="9"/>
      <c r="D243" s="8"/>
      <c r="E243" s="8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/>
      <c r="BO243" s="9"/>
      <c r="BP243" s="9"/>
      <c r="BQ243" s="9"/>
      <c r="BR243" s="9"/>
      <c r="BS243" s="9"/>
      <c r="BT243" s="9"/>
      <c r="BU243" s="9"/>
      <c r="BV243" s="9"/>
      <c r="BW243" s="9"/>
      <c r="BX243" s="9"/>
      <c r="BY243" s="9"/>
      <c r="BZ243" s="9"/>
      <c r="CA243" s="9"/>
      <c r="CB243" s="9"/>
      <c r="CC243" s="9"/>
      <c r="CD243" s="9"/>
      <c r="CE243" s="9"/>
      <c r="CF243" s="9"/>
      <c r="CG243" s="9"/>
      <c r="CH243" s="9"/>
      <c r="CI243" s="9"/>
      <c r="CJ243" s="9"/>
      <c r="CK243" s="9"/>
      <c r="CL243" s="9"/>
      <c r="CM243" s="9"/>
      <c r="CN243" s="9"/>
      <c r="CO243" s="9"/>
      <c r="CP243" s="9"/>
      <c r="CQ243" s="9"/>
      <c r="CR243" s="9"/>
      <c r="CS243" s="9"/>
      <c r="CT243" s="9"/>
      <c r="CU243" s="9"/>
      <c r="CV243" s="9"/>
      <c r="CW243" s="9"/>
      <c r="CX243" s="9"/>
      <c r="CY243" s="9"/>
      <c r="CZ243" s="9"/>
      <c r="DA243" s="9"/>
      <c r="DB243" s="9"/>
      <c r="DC243" s="9"/>
      <c r="DD243" s="9"/>
      <c r="DE243" s="9"/>
      <c r="DF243" s="9"/>
      <c r="DG243" s="9"/>
      <c r="DH243" s="9"/>
      <c r="DI243" s="9"/>
      <c r="DJ243" s="9"/>
      <c r="DK243" s="9"/>
      <c r="DL243" s="9"/>
      <c r="DM243" s="9"/>
      <c r="DN243" s="9"/>
      <c r="DO243" s="9"/>
      <c r="DP243" s="9"/>
      <c r="DQ243" s="9"/>
      <c r="DR243" s="9"/>
      <c r="DS243" s="9"/>
      <c r="DT243" s="9"/>
      <c r="DU243" s="9"/>
      <c r="DV243" s="9"/>
      <c r="DW243" s="9"/>
      <c r="DX243" s="9"/>
      <c r="DY243" s="9"/>
      <c r="DZ243" s="9"/>
      <c r="EA243" s="9"/>
      <c r="EB243" s="9"/>
      <c r="EC243" s="9"/>
      <c r="ED243" s="9"/>
      <c r="EE243" s="9"/>
      <c r="EF243" s="9"/>
      <c r="EG243" s="9"/>
      <c r="EH243" s="9"/>
      <c r="EI243" s="9"/>
      <c r="EJ243" s="9"/>
      <c r="EK243" s="9"/>
      <c r="EL243" s="9"/>
      <c r="EM243" s="9"/>
      <c r="EN243" s="9"/>
      <c r="EO243" s="9"/>
      <c r="EP243" s="9"/>
      <c r="EQ243" s="9"/>
      <c r="ER243" s="9"/>
      <c r="ES243" s="9"/>
      <c r="ET243" s="9"/>
      <c r="EU243" s="9"/>
      <c r="EV243" s="9"/>
      <c r="EW243" s="9"/>
      <c r="EX243" s="9"/>
      <c r="EY243" s="9"/>
      <c r="EZ243" s="9"/>
      <c r="FA243" s="9"/>
      <c r="FB243" s="9"/>
      <c r="FC243" s="9"/>
      <c r="FD243" s="9"/>
      <c r="FE243" s="9"/>
      <c r="FF243" s="9"/>
      <c r="FG243" s="9"/>
      <c r="FH243" s="9"/>
      <c r="FI243" s="9"/>
      <c r="FJ243" s="9"/>
      <c r="FK243" s="9"/>
      <c r="FL243" s="9"/>
      <c r="FM243" s="9"/>
      <c r="FN243" s="9"/>
      <c r="FO243" s="9"/>
      <c r="FP243" s="9"/>
      <c r="FQ243" s="9"/>
      <c r="FR243" s="9"/>
      <c r="FS243" s="9"/>
      <c r="FT243" s="9"/>
      <c r="FU243" s="9"/>
      <c r="FV243" s="9"/>
      <c r="FW243" s="9"/>
      <c r="FX243" s="9"/>
      <c r="FY243" s="9"/>
      <c r="FZ243" s="9"/>
      <c r="GA243" s="9"/>
      <c r="GB243" s="9"/>
      <c r="GC243" s="9"/>
      <c r="GD243" s="9"/>
      <c r="GE243" s="9"/>
      <c r="GF243" s="9"/>
      <c r="GG243" s="9"/>
      <c r="GH243" s="9"/>
      <c r="GI243" s="9"/>
      <c r="GJ243" s="9"/>
      <c r="GK243" s="9"/>
      <c r="GL243" s="9"/>
      <c r="GM243" s="9"/>
      <c r="GN243" s="9"/>
      <c r="GO243" s="9"/>
      <c r="GP243" s="9"/>
      <c r="GQ243" s="9"/>
      <c r="GR243" s="9"/>
      <c r="GS243" s="9"/>
      <c r="GT243" s="9"/>
      <c r="GU243" s="9"/>
      <c r="GV243" s="9"/>
      <c r="GW243" s="9"/>
      <c r="GX243" s="9"/>
      <c r="GY243" s="9"/>
      <c r="GZ243" s="9"/>
      <c r="HA243" s="9"/>
      <c r="HB243" s="9"/>
      <c r="HC243" s="9"/>
      <c r="HD243" s="9"/>
      <c r="HE243" s="9"/>
      <c r="HF243" s="9"/>
      <c r="HG243" s="9"/>
      <c r="HH243" s="9"/>
      <c r="HI243" s="9"/>
      <c r="HJ243" s="9"/>
      <c r="HK243" s="9"/>
      <c r="HL243" s="9"/>
      <c r="HM243" s="9"/>
      <c r="HN243" s="9"/>
      <c r="HO243" s="9"/>
      <c r="HP243" s="9"/>
      <c r="HQ243" s="9"/>
      <c r="HR243" s="9"/>
      <c r="HS243" s="9"/>
      <c r="HT243" s="9"/>
      <c r="HU243" s="9"/>
      <c r="HV243" s="9"/>
      <c r="HW243" s="9"/>
      <c r="HX243" s="9"/>
      <c r="HY243" s="9"/>
      <c r="HZ243" s="9"/>
      <c r="IA243" s="9"/>
      <c r="IB243" s="9"/>
      <c r="IC243" s="9"/>
      <c r="ID243" s="9"/>
      <c r="IE243" s="9"/>
      <c r="IF243" s="9"/>
      <c r="IG243" s="9"/>
      <c r="IH243" s="9"/>
      <c r="II243" s="9"/>
      <c r="IJ243" s="9"/>
      <c r="IK243" s="9"/>
      <c r="IL243" s="9"/>
      <c r="IM243" s="9"/>
      <c r="IN243" s="9"/>
      <c r="IO243" s="9"/>
      <c r="IP243" s="9"/>
      <c r="IQ243" s="9"/>
      <c r="IR243" s="9"/>
      <c r="IS243" s="9"/>
      <c r="IT243" s="9"/>
      <c r="IU243" s="9"/>
      <c r="IV243" s="9"/>
      <c r="IW243" s="9"/>
      <c r="IX243" s="9"/>
      <c r="IY243" s="9"/>
      <c r="IZ243" s="9"/>
      <c r="JA243" s="9"/>
      <c r="JB243" s="9"/>
      <c r="JC243" s="9"/>
      <c r="JD243" s="9"/>
      <c r="JE243" s="9"/>
      <c r="JF243" s="9"/>
      <c r="JG243" s="9"/>
      <c r="JH243" s="9"/>
      <c r="JI243" s="9"/>
      <c r="JJ243" s="9"/>
      <c r="JK243" s="9"/>
      <c r="JL243" s="9"/>
      <c r="JM243" s="9"/>
      <c r="JN243" s="9"/>
      <c r="JO243" s="9"/>
      <c r="JP243" s="9"/>
      <c r="JQ243" s="9"/>
      <c r="JR243" s="9"/>
      <c r="JS243" s="9"/>
      <c r="JT243" s="9"/>
      <c r="JU243" s="9"/>
      <c r="JV243" s="9"/>
      <c r="JW243" s="9"/>
      <c r="JX243" s="9"/>
      <c r="JY243" s="9"/>
      <c r="JZ243" s="9"/>
      <c r="KA243" s="9"/>
      <c r="KB243" s="9"/>
      <c r="KC243" s="9"/>
      <c r="KD243" s="9"/>
      <c r="KE243" s="9"/>
      <c r="KF243" s="9"/>
      <c r="KG243" s="9"/>
      <c r="KH243" s="9"/>
      <c r="KI243" s="9"/>
      <c r="KJ243" s="9"/>
      <c r="KK243" s="9"/>
      <c r="KL243" s="9"/>
      <c r="KM243" s="9"/>
      <c r="KN243" s="9"/>
      <c r="KO243" s="9"/>
      <c r="KP243" s="9"/>
      <c r="KQ243" s="9"/>
      <c r="KR243" s="9"/>
      <c r="KS243" s="9"/>
      <c r="KT243" s="9"/>
      <c r="KU243" s="9"/>
      <c r="KV243" s="9"/>
      <c r="KW243" s="9"/>
      <c r="KX243" s="9"/>
      <c r="KY243" s="9"/>
      <c r="KZ243" s="9"/>
      <c r="LA243" s="9"/>
      <c r="LB243" s="9"/>
      <c r="LC243" s="9"/>
      <c r="LD243" s="9"/>
      <c r="LE243" s="9"/>
      <c r="LF243" s="9"/>
      <c r="LG243" s="9"/>
      <c r="LH243" s="9"/>
      <c r="LI243" s="9"/>
      <c r="LJ243" s="9"/>
      <c r="LK243" s="9"/>
      <c r="LL243" s="9"/>
      <c r="LM243" s="9"/>
      <c r="LN243" s="9"/>
      <c r="LO243" s="9"/>
      <c r="LP243" s="9"/>
      <c r="LQ243" s="9"/>
      <c r="LR243" s="9"/>
      <c r="LS243" s="9"/>
      <c r="LT243" s="9"/>
      <c r="LU243" s="9"/>
      <c r="LV243" s="9"/>
      <c r="LW243" s="9"/>
      <c r="LX243" s="9"/>
      <c r="LY243" s="9"/>
      <c r="LZ243" s="9"/>
      <c r="MA243" s="9"/>
      <c r="MB243" s="9"/>
      <c r="MC243" s="9"/>
      <c r="MD243" s="9"/>
      <c r="ME243" s="9"/>
      <c r="MF243" s="9"/>
      <c r="MG243" s="9"/>
      <c r="MH243" s="9"/>
      <c r="MI243" s="9"/>
      <c r="MJ243" s="9"/>
      <c r="MK243" s="9"/>
      <c r="ML243" s="9"/>
      <c r="MM243" s="9"/>
      <c r="MN243" s="9"/>
      <c r="MO243" s="9"/>
      <c r="MP243" s="9"/>
      <c r="MQ243" s="9"/>
      <c r="MR243" s="9"/>
      <c r="MS243" s="9"/>
      <c r="MT243" s="9"/>
      <c r="MU243" s="9"/>
      <c r="MV243" s="9"/>
      <c r="MW243" s="9"/>
      <c r="MX243" s="9"/>
      <c r="MY243" s="9"/>
      <c r="MZ243" s="9"/>
      <c r="NA243" s="9"/>
      <c r="NB243" s="9"/>
      <c r="NC243" s="9"/>
      <c r="ND243" s="9"/>
      <c r="NE243" s="9"/>
      <c r="NF243" s="9"/>
      <c r="NG243" s="9"/>
      <c r="NH243" s="9"/>
      <c r="NI243" s="9"/>
      <c r="NJ243" s="9"/>
      <c r="NK243" s="9"/>
      <c r="NL243" s="9"/>
      <c r="NM243" s="9"/>
      <c r="NN243" s="9"/>
      <c r="NO243" s="9"/>
      <c r="NP243" s="9"/>
      <c r="NQ243" s="9"/>
      <c r="NR243" s="9"/>
      <c r="NS243" s="9"/>
      <c r="NT243" s="9"/>
      <c r="NU243" s="9"/>
      <c r="NV243" s="9"/>
      <c r="NW243" s="9"/>
      <c r="NX243" s="9"/>
      <c r="NY243" s="9"/>
      <c r="NZ243" s="9"/>
      <c r="OA243" s="9"/>
      <c r="OB243" s="9"/>
      <c r="OC243" s="9"/>
      <c r="OD243" s="9"/>
      <c r="OE243" s="9"/>
      <c r="OF243" s="9"/>
      <c r="OG243" s="9"/>
      <c r="OH243" s="9"/>
      <c r="OI243" s="9"/>
      <c r="OJ243" s="9"/>
      <c r="OK243" s="9"/>
      <c r="OL243" s="9"/>
      <c r="OM243" s="9"/>
      <c r="ON243" s="9"/>
      <c r="OO243" s="9"/>
      <c r="OP243" s="9"/>
      <c r="OQ243" s="9"/>
      <c r="OR243" s="9"/>
      <c r="OS243" s="9"/>
      <c r="OT243" s="9"/>
      <c r="OU243" s="9"/>
      <c r="OV243" s="9"/>
      <c r="OW243" s="9"/>
      <c r="OX243" s="9"/>
      <c r="OY243" s="9"/>
      <c r="OZ243" s="9"/>
      <c r="PA243" s="9"/>
      <c r="PB243" s="9"/>
      <c r="PC243" s="9"/>
      <c r="PD243" s="9"/>
      <c r="PE243" s="9"/>
      <c r="PF243" s="9"/>
      <c r="PG243" s="9"/>
      <c r="PH243" s="9"/>
      <c r="PI243" s="9"/>
      <c r="PJ243" s="9"/>
      <c r="PK243" s="9"/>
      <c r="PL243" s="9"/>
      <c r="PM243" s="9"/>
      <c r="PN243" s="9"/>
      <c r="PO243" s="9"/>
      <c r="PP243" s="9"/>
      <c r="PQ243" s="9"/>
      <c r="PR243" s="9"/>
      <c r="PS243" s="9"/>
      <c r="PT243" s="9"/>
      <c r="PU243" s="9"/>
      <c r="PV243" s="9"/>
      <c r="PW243" s="9"/>
      <c r="PX243" s="9"/>
      <c r="PY243" s="9"/>
      <c r="PZ243" s="9"/>
      <c r="QA243" s="9"/>
      <c r="QB243" s="9"/>
      <c r="QC243" s="9"/>
      <c r="QD243" s="9"/>
      <c r="QE243" s="9"/>
      <c r="QF243" s="9"/>
      <c r="QG243" s="9"/>
      <c r="QH243" s="9"/>
      <c r="QI243" s="9"/>
      <c r="QJ243" s="9"/>
      <c r="QK243" s="9"/>
      <c r="QL243" s="9"/>
      <c r="QM243" s="9"/>
      <c r="QN243" s="9"/>
      <c r="QO243" s="9"/>
      <c r="QP243" s="9"/>
      <c r="QQ243" s="9"/>
      <c r="QR243" s="9"/>
      <c r="QS243" s="9"/>
      <c r="QT243" s="9"/>
      <c r="QU243" s="9"/>
      <c r="QV243" s="9"/>
      <c r="QW243" s="9"/>
      <c r="QX243" s="9"/>
      <c r="QY243" s="9"/>
      <c r="QZ243" s="9"/>
      <c r="RA243" s="9"/>
      <c r="RB243" s="9"/>
      <c r="RC243" s="9"/>
      <c r="RD243" s="9"/>
      <c r="RE243" s="9"/>
      <c r="RF243" s="9"/>
      <c r="RG243" s="9"/>
      <c r="RH243" s="9"/>
      <c r="RI243" s="9"/>
      <c r="RJ243" s="9"/>
      <c r="RK243" s="9"/>
      <c r="RL243" s="9"/>
      <c r="RM243" s="9"/>
      <c r="RN243" s="9"/>
      <c r="RO243" s="9"/>
      <c r="RP243" s="9"/>
      <c r="RQ243" s="9"/>
      <c r="RR243" s="9"/>
      <c r="RS243" s="9"/>
      <c r="RT243" s="9"/>
      <c r="RU243" s="9"/>
      <c r="RV243" s="9"/>
      <c r="RW243" s="9"/>
      <c r="RX243" s="9"/>
      <c r="RY243" s="9"/>
      <c r="RZ243" s="9"/>
      <c r="SA243" s="9"/>
      <c r="SB243" s="9"/>
      <c r="SC243" s="9"/>
      <c r="SD243" s="9"/>
      <c r="SE243" s="9"/>
      <c r="SF243" s="9"/>
      <c r="SG243" s="9"/>
      <c r="SH243" s="9"/>
      <c r="SI243" s="9"/>
      <c r="SJ243" s="9"/>
      <c r="SK243" s="8"/>
      <c r="SL243" s="8"/>
      <c r="SM243" s="8"/>
      <c r="SN243" s="8"/>
      <c r="SO243" s="8"/>
      <c r="SP243" s="8"/>
      <c r="SQ243" s="8"/>
      <c r="SR243" s="8"/>
      <c r="SS243" s="8"/>
      <c r="ST243" s="8"/>
      <c r="SU243" s="8"/>
      <c r="SV243" s="8"/>
      <c r="SW243" s="8"/>
      <c r="SX243" s="8"/>
      <c r="SY243" s="8"/>
      <c r="SZ243" s="8"/>
      <c r="TA243" s="8"/>
      <c r="TB243" s="8"/>
      <c r="TC243" s="8"/>
      <c r="TD243" s="8"/>
      <c r="TE243" s="8"/>
      <c r="TF243" s="8"/>
      <c r="TG243" s="8"/>
      <c r="TH243" s="8"/>
      <c r="TI243" s="8"/>
      <c r="TJ243" s="8"/>
      <c r="TK243" s="8"/>
      <c r="TL243" s="8"/>
      <c r="TM243" s="8"/>
      <c r="TN243" s="8"/>
      <c r="TO243" s="8"/>
    </row>
    <row r="244" spans="1:535" x14ac:dyDescent="0.2">
      <c r="A244" s="7"/>
      <c r="B244" s="7"/>
      <c r="C244" s="9"/>
      <c r="D244" s="8"/>
      <c r="E244" s="8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9"/>
      <c r="BK244" s="9"/>
      <c r="BL244" s="9"/>
      <c r="BM244" s="9"/>
      <c r="BN244" s="9"/>
      <c r="BO244" s="9"/>
      <c r="BP244" s="9"/>
      <c r="BQ244" s="9"/>
      <c r="BR244" s="9"/>
      <c r="BS244" s="9"/>
      <c r="BT244" s="9"/>
      <c r="BU244" s="9"/>
      <c r="BV244" s="9"/>
      <c r="BW244" s="9"/>
      <c r="BX244" s="9"/>
      <c r="BY244" s="9"/>
      <c r="BZ244" s="9"/>
      <c r="CA244" s="9"/>
      <c r="CB244" s="9"/>
      <c r="CC244" s="9"/>
      <c r="CD244" s="9"/>
      <c r="CE244" s="9"/>
      <c r="CF244" s="9"/>
      <c r="CG244" s="9"/>
      <c r="CH244" s="9"/>
      <c r="CI244" s="9"/>
      <c r="CJ244" s="9"/>
      <c r="CK244" s="9"/>
      <c r="CL244" s="9"/>
      <c r="CM244" s="9"/>
      <c r="CN244" s="9"/>
      <c r="CO244" s="9"/>
      <c r="CP244" s="9"/>
      <c r="CQ244" s="9"/>
      <c r="CR244" s="9"/>
      <c r="CS244" s="9"/>
      <c r="CT244" s="9"/>
      <c r="CU244" s="9"/>
      <c r="CV244" s="9"/>
      <c r="CW244" s="9"/>
      <c r="CX244" s="9"/>
      <c r="CY244" s="9"/>
      <c r="CZ244" s="9"/>
      <c r="DA244" s="9"/>
      <c r="DB244" s="9"/>
      <c r="DC244" s="9"/>
      <c r="DD244" s="9"/>
      <c r="DE244" s="9"/>
      <c r="DF244" s="9"/>
      <c r="DG244" s="9"/>
      <c r="DH244" s="9"/>
      <c r="DI244" s="9"/>
      <c r="DJ244" s="9"/>
      <c r="DK244" s="9"/>
      <c r="DL244" s="9"/>
      <c r="DM244" s="9"/>
      <c r="DN244" s="9"/>
      <c r="DO244" s="9"/>
      <c r="DP244" s="9"/>
      <c r="DQ244" s="9"/>
      <c r="DR244" s="9"/>
      <c r="DS244" s="9"/>
      <c r="DT244" s="9"/>
      <c r="DU244" s="9"/>
      <c r="DV244" s="9"/>
      <c r="DW244" s="9"/>
      <c r="DX244" s="9"/>
      <c r="DY244" s="9"/>
      <c r="DZ244" s="9"/>
      <c r="EA244" s="9"/>
      <c r="EB244" s="9"/>
      <c r="EC244" s="9"/>
      <c r="ED244" s="9"/>
      <c r="EE244" s="9"/>
      <c r="EF244" s="9"/>
      <c r="EG244" s="9"/>
      <c r="EH244" s="9"/>
      <c r="EI244" s="9"/>
      <c r="EJ244" s="9"/>
      <c r="EK244" s="9"/>
      <c r="EL244" s="9"/>
      <c r="EM244" s="9"/>
      <c r="EN244" s="9"/>
      <c r="EO244" s="9"/>
      <c r="EP244" s="9"/>
      <c r="EQ244" s="9"/>
      <c r="ER244" s="9"/>
      <c r="ES244" s="9"/>
      <c r="ET244" s="9"/>
      <c r="EU244" s="9"/>
      <c r="EV244" s="9"/>
      <c r="EW244" s="9"/>
      <c r="EX244" s="9"/>
      <c r="EY244" s="9"/>
      <c r="EZ244" s="9"/>
      <c r="FA244" s="9"/>
      <c r="FB244" s="9"/>
      <c r="FC244" s="9"/>
      <c r="FD244" s="9"/>
      <c r="FE244" s="9"/>
      <c r="FF244" s="9"/>
      <c r="FG244" s="9"/>
      <c r="FH244" s="9"/>
      <c r="FI244" s="9"/>
      <c r="FJ244" s="9"/>
      <c r="FK244" s="9"/>
      <c r="FL244" s="9"/>
      <c r="FM244" s="9"/>
      <c r="FN244" s="9"/>
      <c r="FO244" s="9"/>
      <c r="FP244" s="9"/>
      <c r="FQ244" s="9"/>
      <c r="FR244" s="9"/>
      <c r="FS244" s="9"/>
      <c r="FT244" s="9"/>
      <c r="FU244" s="9"/>
      <c r="FV244" s="9"/>
      <c r="FW244" s="9"/>
      <c r="FX244" s="9"/>
      <c r="FY244" s="9"/>
      <c r="FZ244" s="9"/>
      <c r="GA244" s="9"/>
      <c r="GB244" s="9"/>
      <c r="GC244" s="9"/>
      <c r="GD244" s="9"/>
      <c r="GE244" s="9"/>
      <c r="GF244" s="9"/>
      <c r="GG244" s="9"/>
      <c r="GH244" s="9"/>
      <c r="GI244" s="9"/>
      <c r="GJ244" s="9"/>
      <c r="GK244" s="9"/>
      <c r="GL244" s="9"/>
      <c r="GM244" s="9"/>
      <c r="GN244" s="9"/>
      <c r="GO244" s="9"/>
      <c r="GP244" s="9"/>
      <c r="GQ244" s="9"/>
      <c r="GR244" s="9"/>
      <c r="GS244" s="9"/>
      <c r="GT244" s="9"/>
      <c r="GU244" s="9"/>
      <c r="GV244" s="9"/>
      <c r="GW244" s="9"/>
      <c r="GX244" s="9"/>
      <c r="GY244" s="9"/>
      <c r="GZ244" s="9"/>
      <c r="HA244" s="9"/>
      <c r="HB244" s="9"/>
      <c r="HC244" s="9"/>
      <c r="HD244" s="9"/>
      <c r="HE244" s="9"/>
      <c r="HF244" s="9"/>
      <c r="HG244" s="9"/>
      <c r="HH244" s="9"/>
      <c r="HI244" s="9"/>
      <c r="HJ244" s="9"/>
      <c r="HK244" s="9"/>
      <c r="HL244" s="9"/>
      <c r="HM244" s="9"/>
      <c r="HN244" s="9"/>
      <c r="HO244" s="9"/>
      <c r="HP244" s="9"/>
      <c r="HQ244" s="9"/>
      <c r="HR244" s="9"/>
      <c r="HS244" s="9"/>
      <c r="HT244" s="9"/>
      <c r="HU244" s="9"/>
      <c r="HV244" s="9"/>
      <c r="HW244" s="9"/>
      <c r="HX244" s="9"/>
      <c r="HY244" s="9"/>
      <c r="HZ244" s="9"/>
      <c r="IA244" s="9"/>
      <c r="IB244" s="9"/>
      <c r="IC244" s="9"/>
      <c r="ID244" s="9"/>
      <c r="IE244" s="9"/>
      <c r="IF244" s="9"/>
      <c r="IG244" s="9"/>
      <c r="IH244" s="9"/>
      <c r="II244" s="9"/>
      <c r="IJ244" s="9"/>
      <c r="IK244" s="9"/>
      <c r="IL244" s="9"/>
      <c r="IM244" s="9"/>
      <c r="IN244" s="9"/>
      <c r="IO244" s="9"/>
      <c r="IP244" s="9"/>
      <c r="IQ244" s="9"/>
      <c r="IR244" s="9"/>
      <c r="IS244" s="9"/>
      <c r="IT244" s="9"/>
      <c r="IU244" s="9"/>
      <c r="IV244" s="9"/>
      <c r="IW244" s="9"/>
      <c r="IX244" s="9"/>
      <c r="IY244" s="9"/>
      <c r="IZ244" s="9"/>
      <c r="JA244" s="9"/>
      <c r="JB244" s="9"/>
      <c r="JC244" s="9"/>
      <c r="JD244" s="9"/>
      <c r="JE244" s="9"/>
      <c r="JF244" s="9"/>
      <c r="JG244" s="9"/>
      <c r="JH244" s="9"/>
      <c r="JI244" s="9"/>
      <c r="JJ244" s="9"/>
      <c r="JK244" s="9"/>
      <c r="JL244" s="9"/>
      <c r="JM244" s="9"/>
      <c r="JN244" s="9"/>
      <c r="JO244" s="9"/>
      <c r="JP244" s="9"/>
      <c r="JQ244" s="9"/>
      <c r="JR244" s="9"/>
      <c r="JS244" s="9"/>
      <c r="JT244" s="9"/>
      <c r="JU244" s="9"/>
      <c r="JV244" s="9"/>
      <c r="JW244" s="9"/>
      <c r="JX244" s="9"/>
      <c r="JY244" s="9"/>
      <c r="JZ244" s="9"/>
      <c r="KA244" s="9"/>
      <c r="KB244" s="9"/>
      <c r="KC244" s="9"/>
      <c r="KD244" s="9"/>
      <c r="KE244" s="9"/>
      <c r="KF244" s="9"/>
      <c r="KG244" s="9"/>
      <c r="KH244" s="9"/>
      <c r="KI244" s="9"/>
      <c r="KJ244" s="9"/>
      <c r="KK244" s="9"/>
      <c r="KL244" s="9"/>
      <c r="KM244" s="9"/>
      <c r="KN244" s="9"/>
      <c r="KO244" s="9"/>
      <c r="KP244" s="9"/>
      <c r="KQ244" s="9"/>
      <c r="KR244" s="9"/>
      <c r="KS244" s="9"/>
      <c r="KT244" s="9"/>
      <c r="KU244" s="9"/>
      <c r="KV244" s="9"/>
      <c r="KW244" s="9"/>
      <c r="KX244" s="9"/>
      <c r="KY244" s="9"/>
      <c r="KZ244" s="9"/>
      <c r="LA244" s="9"/>
      <c r="LB244" s="9"/>
      <c r="LC244" s="9"/>
      <c r="LD244" s="9"/>
      <c r="LE244" s="9"/>
      <c r="LF244" s="9"/>
      <c r="LG244" s="9"/>
      <c r="LH244" s="9"/>
      <c r="LI244" s="9"/>
      <c r="LJ244" s="9"/>
      <c r="LK244" s="9"/>
      <c r="LL244" s="9"/>
      <c r="LM244" s="9"/>
      <c r="LN244" s="9"/>
      <c r="LO244" s="9"/>
      <c r="LP244" s="9"/>
      <c r="LQ244" s="9"/>
      <c r="LR244" s="9"/>
      <c r="LS244" s="9"/>
      <c r="LT244" s="9"/>
      <c r="LU244" s="9"/>
      <c r="LV244" s="9"/>
      <c r="LW244" s="9"/>
      <c r="LX244" s="9"/>
      <c r="LY244" s="9"/>
      <c r="LZ244" s="9"/>
      <c r="MA244" s="9"/>
      <c r="MB244" s="9"/>
      <c r="MC244" s="9"/>
      <c r="MD244" s="9"/>
      <c r="ME244" s="9"/>
      <c r="MF244" s="9"/>
      <c r="MG244" s="9"/>
      <c r="MH244" s="9"/>
      <c r="MI244" s="9"/>
      <c r="MJ244" s="9"/>
      <c r="MK244" s="9"/>
      <c r="ML244" s="9"/>
      <c r="MM244" s="9"/>
      <c r="MN244" s="9"/>
      <c r="MO244" s="9"/>
      <c r="MP244" s="9"/>
      <c r="MQ244" s="9"/>
      <c r="MR244" s="9"/>
      <c r="MS244" s="9"/>
      <c r="MT244" s="9"/>
      <c r="MU244" s="9"/>
      <c r="MV244" s="9"/>
      <c r="MW244" s="9"/>
      <c r="MX244" s="9"/>
      <c r="MY244" s="9"/>
      <c r="MZ244" s="9"/>
      <c r="NA244" s="9"/>
      <c r="NB244" s="9"/>
      <c r="NC244" s="9"/>
      <c r="ND244" s="9"/>
      <c r="NE244" s="9"/>
      <c r="NF244" s="9"/>
      <c r="NG244" s="9"/>
      <c r="NH244" s="9"/>
      <c r="NI244" s="9"/>
      <c r="NJ244" s="9"/>
      <c r="NK244" s="9"/>
      <c r="NL244" s="9"/>
      <c r="NM244" s="9"/>
      <c r="NN244" s="9"/>
      <c r="NO244" s="9"/>
      <c r="NP244" s="9"/>
      <c r="NQ244" s="9"/>
      <c r="NR244" s="9"/>
      <c r="NS244" s="9"/>
      <c r="NT244" s="9"/>
      <c r="NU244" s="9"/>
      <c r="NV244" s="9"/>
      <c r="NW244" s="9"/>
      <c r="NX244" s="9"/>
      <c r="NY244" s="9"/>
      <c r="NZ244" s="9"/>
      <c r="OA244" s="9"/>
      <c r="OB244" s="9"/>
      <c r="OC244" s="9"/>
      <c r="OD244" s="9"/>
      <c r="OE244" s="9"/>
      <c r="OF244" s="9"/>
      <c r="OG244" s="9"/>
      <c r="OH244" s="9"/>
      <c r="OI244" s="9"/>
      <c r="OJ244" s="9"/>
      <c r="OK244" s="9"/>
      <c r="OL244" s="9"/>
      <c r="OM244" s="9"/>
      <c r="ON244" s="9"/>
      <c r="OO244" s="9"/>
      <c r="OP244" s="9"/>
      <c r="OQ244" s="9"/>
      <c r="OR244" s="9"/>
      <c r="OS244" s="9"/>
      <c r="OT244" s="9"/>
      <c r="OU244" s="9"/>
      <c r="OV244" s="9"/>
      <c r="OW244" s="9"/>
      <c r="OX244" s="9"/>
      <c r="OY244" s="9"/>
      <c r="OZ244" s="9"/>
      <c r="PA244" s="9"/>
      <c r="PB244" s="9"/>
      <c r="PC244" s="9"/>
      <c r="PD244" s="9"/>
      <c r="PE244" s="9"/>
      <c r="PF244" s="9"/>
      <c r="PG244" s="9"/>
      <c r="PH244" s="9"/>
      <c r="PI244" s="9"/>
      <c r="PJ244" s="9"/>
      <c r="PK244" s="9"/>
      <c r="PL244" s="9"/>
      <c r="PM244" s="9"/>
      <c r="PN244" s="9"/>
      <c r="PO244" s="9"/>
      <c r="PP244" s="9"/>
      <c r="PQ244" s="9"/>
      <c r="PR244" s="9"/>
      <c r="PS244" s="9"/>
      <c r="PT244" s="9"/>
      <c r="PU244" s="9"/>
      <c r="PV244" s="9"/>
      <c r="PW244" s="9"/>
      <c r="PX244" s="9"/>
      <c r="PY244" s="9"/>
      <c r="PZ244" s="9"/>
      <c r="QA244" s="9"/>
      <c r="QB244" s="9"/>
      <c r="QC244" s="9"/>
      <c r="QD244" s="9"/>
      <c r="QE244" s="9"/>
      <c r="QF244" s="9"/>
      <c r="QG244" s="9"/>
      <c r="QH244" s="9"/>
      <c r="QI244" s="9"/>
      <c r="QJ244" s="9"/>
      <c r="QK244" s="9"/>
      <c r="QL244" s="9"/>
      <c r="QM244" s="9"/>
      <c r="QN244" s="9"/>
      <c r="QO244" s="9"/>
      <c r="QP244" s="9"/>
      <c r="QQ244" s="9"/>
      <c r="QR244" s="9"/>
      <c r="QS244" s="9"/>
      <c r="QT244" s="9"/>
      <c r="QU244" s="9"/>
      <c r="QV244" s="9"/>
      <c r="QW244" s="9"/>
      <c r="QX244" s="9"/>
      <c r="QY244" s="9"/>
      <c r="QZ244" s="9"/>
      <c r="RA244" s="9"/>
      <c r="RB244" s="9"/>
      <c r="RC244" s="9"/>
      <c r="RD244" s="9"/>
      <c r="RE244" s="9"/>
      <c r="RF244" s="9"/>
      <c r="RG244" s="9"/>
      <c r="RH244" s="9"/>
      <c r="RI244" s="9"/>
      <c r="RJ244" s="9"/>
      <c r="RK244" s="9"/>
      <c r="RL244" s="9"/>
      <c r="RM244" s="9"/>
      <c r="RN244" s="9"/>
      <c r="RO244" s="9"/>
      <c r="RP244" s="9"/>
      <c r="RQ244" s="9"/>
      <c r="RR244" s="9"/>
      <c r="RS244" s="9"/>
      <c r="RT244" s="9"/>
      <c r="RU244" s="9"/>
      <c r="RV244" s="9"/>
      <c r="RW244" s="9"/>
      <c r="RX244" s="9"/>
      <c r="RY244" s="9"/>
      <c r="RZ244" s="9"/>
      <c r="SA244" s="9"/>
      <c r="SB244" s="9"/>
      <c r="SC244" s="9"/>
      <c r="SD244" s="9"/>
      <c r="SE244" s="9"/>
      <c r="SF244" s="9"/>
      <c r="SG244" s="9"/>
      <c r="SH244" s="9"/>
      <c r="SI244" s="9"/>
      <c r="SJ244" s="9"/>
      <c r="SK244" s="8"/>
      <c r="SL244" s="8"/>
      <c r="SM244" s="8"/>
      <c r="SN244" s="8"/>
      <c r="SO244" s="8"/>
      <c r="SP244" s="8"/>
      <c r="SQ244" s="8"/>
      <c r="SR244" s="8"/>
      <c r="SS244" s="8"/>
      <c r="ST244" s="8"/>
      <c r="SU244" s="8"/>
      <c r="SV244" s="8"/>
      <c r="SW244" s="8"/>
      <c r="SX244" s="8"/>
      <c r="SY244" s="8"/>
      <c r="SZ244" s="8"/>
      <c r="TA244" s="8"/>
      <c r="TB244" s="8"/>
      <c r="TC244" s="8"/>
      <c r="TD244" s="8"/>
      <c r="TE244" s="8"/>
      <c r="TF244" s="8"/>
      <c r="TG244" s="8"/>
      <c r="TH244" s="8"/>
      <c r="TI244" s="8"/>
      <c r="TJ244" s="8"/>
      <c r="TK244" s="8"/>
      <c r="TL244" s="8"/>
      <c r="TM244" s="8"/>
      <c r="TN244" s="8"/>
      <c r="TO244" s="8"/>
    </row>
    <row r="245" spans="1:535" x14ac:dyDescent="0.2">
      <c r="A245" s="7"/>
      <c r="B245" s="7"/>
      <c r="C245" s="9"/>
      <c r="D245" s="8"/>
      <c r="E245" s="8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  <c r="CE245" s="9"/>
      <c r="CF245" s="9"/>
      <c r="CG245" s="9"/>
      <c r="CH245" s="9"/>
      <c r="CI245" s="9"/>
      <c r="CJ245" s="9"/>
      <c r="CK245" s="9"/>
      <c r="CL245" s="9"/>
      <c r="CM245" s="9"/>
      <c r="CN245" s="9"/>
      <c r="CO245" s="9"/>
      <c r="CP245" s="9"/>
      <c r="CQ245" s="9"/>
      <c r="CR245" s="9"/>
      <c r="CS245" s="9"/>
      <c r="CT245" s="9"/>
      <c r="CU245" s="9"/>
      <c r="CV245" s="9"/>
      <c r="CW245" s="9"/>
      <c r="CX245" s="9"/>
      <c r="CY245" s="9"/>
      <c r="CZ245" s="9"/>
      <c r="DA245" s="9"/>
      <c r="DB245" s="9"/>
      <c r="DC245" s="9"/>
      <c r="DD245" s="9"/>
      <c r="DE245" s="9"/>
      <c r="DF245" s="9"/>
      <c r="DG245" s="9"/>
      <c r="DH245" s="9"/>
      <c r="DI245" s="9"/>
      <c r="DJ245" s="9"/>
      <c r="DK245" s="9"/>
      <c r="DL245" s="9"/>
      <c r="DM245" s="9"/>
      <c r="DN245" s="9"/>
      <c r="DO245" s="9"/>
      <c r="DP245" s="9"/>
      <c r="DQ245" s="9"/>
      <c r="DR245" s="9"/>
      <c r="DS245" s="9"/>
      <c r="DT245" s="9"/>
      <c r="DU245" s="9"/>
      <c r="DV245" s="9"/>
      <c r="DW245" s="9"/>
      <c r="DX245" s="9"/>
      <c r="DY245" s="9"/>
      <c r="DZ245" s="9"/>
      <c r="EA245" s="9"/>
      <c r="EB245" s="9"/>
      <c r="EC245" s="9"/>
      <c r="ED245" s="9"/>
      <c r="EE245" s="9"/>
      <c r="EF245" s="9"/>
      <c r="EG245" s="9"/>
      <c r="EH245" s="9"/>
      <c r="EI245" s="9"/>
      <c r="EJ245" s="9"/>
      <c r="EK245" s="9"/>
      <c r="EL245" s="9"/>
      <c r="EM245" s="9"/>
      <c r="EN245" s="9"/>
      <c r="EO245" s="9"/>
      <c r="EP245" s="9"/>
      <c r="EQ245" s="9"/>
      <c r="ER245" s="9"/>
      <c r="ES245" s="9"/>
      <c r="ET245" s="9"/>
      <c r="EU245" s="9"/>
      <c r="EV245" s="9"/>
      <c r="EW245" s="9"/>
      <c r="EX245" s="9"/>
      <c r="EY245" s="9"/>
      <c r="EZ245" s="9"/>
      <c r="FA245" s="9"/>
      <c r="FB245" s="9"/>
      <c r="FC245" s="9"/>
      <c r="FD245" s="9"/>
      <c r="FE245" s="9"/>
      <c r="FF245" s="9"/>
      <c r="FG245" s="9"/>
      <c r="FH245" s="9"/>
      <c r="FI245" s="9"/>
      <c r="FJ245" s="9"/>
      <c r="FK245" s="9"/>
      <c r="FL245" s="9"/>
      <c r="FM245" s="9"/>
      <c r="FN245" s="9"/>
      <c r="FO245" s="9"/>
      <c r="FP245" s="9"/>
      <c r="FQ245" s="9"/>
      <c r="FR245" s="9"/>
      <c r="FS245" s="9"/>
      <c r="FT245" s="9"/>
      <c r="FU245" s="9"/>
      <c r="FV245" s="9"/>
      <c r="FW245" s="9"/>
      <c r="FX245" s="9"/>
      <c r="FY245" s="9"/>
      <c r="FZ245" s="9"/>
      <c r="GA245" s="9"/>
      <c r="GB245" s="9"/>
      <c r="GC245" s="9"/>
      <c r="GD245" s="9"/>
      <c r="GE245" s="9"/>
      <c r="GF245" s="9"/>
      <c r="GG245" s="9"/>
      <c r="GH245" s="9"/>
      <c r="GI245" s="9"/>
      <c r="GJ245" s="9"/>
      <c r="GK245" s="9"/>
      <c r="GL245" s="9"/>
      <c r="GM245" s="9"/>
      <c r="GN245" s="9"/>
      <c r="GO245" s="9"/>
      <c r="GP245" s="9"/>
      <c r="GQ245" s="9"/>
      <c r="GR245" s="9"/>
      <c r="GS245" s="9"/>
      <c r="GT245" s="9"/>
      <c r="GU245" s="9"/>
      <c r="GV245" s="9"/>
      <c r="GW245" s="9"/>
      <c r="GX245" s="9"/>
      <c r="GY245" s="9"/>
      <c r="GZ245" s="9"/>
      <c r="HA245" s="9"/>
      <c r="HB245" s="9"/>
      <c r="HC245" s="9"/>
      <c r="HD245" s="9"/>
      <c r="HE245" s="9"/>
      <c r="HF245" s="9"/>
      <c r="HG245" s="9"/>
      <c r="HH245" s="9"/>
      <c r="HI245" s="9"/>
      <c r="HJ245" s="9"/>
      <c r="HK245" s="9"/>
      <c r="HL245" s="9"/>
      <c r="HM245" s="9"/>
      <c r="HN245" s="9"/>
      <c r="HO245" s="9"/>
      <c r="HP245" s="9"/>
      <c r="HQ245" s="9"/>
      <c r="HR245" s="9"/>
      <c r="HS245" s="9"/>
      <c r="HT245" s="9"/>
      <c r="HU245" s="9"/>
      <c r="HV245" s="9"/>
      <c r="HW245" s="9"/>
      <c r="HX245" s="9"/>
      <c r="HY245" s="9"/>
      <c r="HZ245" s="9"/>
      <c r="IA245" s="9"/>
      <c r="IB245" s="9"/>
      <c r="IC245" s="9"/>
      <c r="ID245" s="9"/>
      <c r="IE245" s="9"/>
      <c r="IF245" s="9"/>
      <c r="IG245" s="9"/>
      <c r="IH245" s="9"/>
      <c r="II245" s="9"/>
      <c r="IJ245" s="9"/>
      <c r="IK245" s="9"/>
      <c r="IL245" s="9"/>
      <c r="IM245" s="9"/>
      <c r="IN245" s="9"/>
      <c r="IO245" s="9"/>
      <c r="IP245" s="9"/>
      <c r="IQ245" s="9"/>
      <c r="IR245" s="9"/>
      <c r="IS245" s="9"/>
      <c r="IT245" s="9"/>
      <c r="IU245" s="9"/>
      <c r="IV245" s="9"/>
      <c r="IW245" s="9"/>
      <c r="IX245" s="9"/>
      <c r="IY245" s="9"/>
      <c r="IZ245" s="9"/>
      <c r="JA245" s="9"/>
      <c r="JB245" s="9"/>
      <c r="JC245" s="9"/>
      <c r="JD245" s="9"/>
      <c r="JE245" s="9"/>
      <c r="JF245" s="9"/>
      <c r="JG245" s="9"/>
      <c r="JH245" s="9"/>
      <c r="JI245" s="9"/>
      <c r="JJ245" s="9"/>
      <c r="JK245" s="9"/>
      <c r="JL245" s="9"/>
      <c r="JM245" s="9"/>
      <c r="JN245" s="9"/>
      <c r="JO245" s="9"/>
      <c r="JP245" s="9"/>
      <c r="JQ245" s="9"/>
      <c r="JR245" s="9"/>
      <c r="JS245" s="9"/>
      <c r="JT245" s="9"/>
      <c r="JU245" s="9"/>
      <c r="JV245" s="9"/>
      <c r="JW245" s="9"/>
      <c r="JX245" s="9"/>
      <c r="JY245" s="9"/>
      <c r="JZ245" s="9"/>
      <c r="KA245" s="9"/>
      <c r="KB245" s="9"/>
      <c r="KC245" s="9"/>
      <c r="KD245" s="9"/>
      <c r="KE245" s="9"/>
      <c r="KF245" s="9"/>
      <c r="KG245" s="9"/>
      <c r="KH245" s="9"/>
      <c r="KI245" s="9"/>
      <c r="KJ245" s="9"/>
      <c r="KK245" s="9"/>
      <c r="KL245" s="9"/>
      <c r="KM245" s="9"/>
      <c r="KN245" s="9"/>
      <c r="KO245" s="9"/>
      <c r="KP245" s="9"/>
      <c r="KQ245" s="9"/>
      <c r="KR245" s="9"/>
      <c r="KS245" s="9"/>
      <c r="KT245" s="9"/>
      <c r="KU245" s="9"/>
      <c r="KV245" s="9"/>
      <c r="KW245" s="9"/>
      <c r="KX245" s="9"/>
      <c r="KY245" s="9"/>
      <c r="KZ245" s="9"/>
      <c r="LA245" s="9"/>
      <c r="LB245" s="9"/>
      <c r="LC245" s="9"/>
      <c r="LD245" s="9"/>
      <c r="LE245" s="9"/>
      <c r="LF245" s="9"/>
      <c r="LG245" s="9"/>
      <c r="LH245" s="9"/>
      <c r="LI245" s="9"/>
      <c r="LJ245" s="9"/>
      <c r="LK245" s="9"/>
      <c r="LL245" s="9"/>
      <c r="LM245" s="9"/>
      <c r="LN245" s="9"/>
      <c r="LO245" s="9"/>
      <c r="LP245" s="9"/>
      <c r="LQ245" s="9"/>
      <c r="LR245" s="9"/>
      <c r="LS245" s="9"/>
      <c r="LT245" s="9"/>
      <c r="LU245" s="9"/>
      <c r="LV245" s="9"/>
      <c r="LW245" s="9"/>
      <c r="LX245" s="9"/>
      <c r="LY245" s="9"/>
      <c r="LZ245" s="9"/>
      <c r="MA245" s="9"/>
      <c r="MB245" s="9"/>
      <c r="MC245" s="9"/>
      <c r="MD245" s="9"/>
      <c r="ME245" s="9"/>
      <c r="MF245" s="9"/>
      <c r="MG245" s="9"/>
      <c r="MH245" s="9"/>
      <c r="MI245" s="9"/>
      <c r="MJ245" s="9"/>
      <c r="MK245" s="9"/>
      <c r="ML245" s="9"/>
      <c r="MM245" s="9"/>
      <c r="MN245" s="9"/>
      <c r="MO245" s="9"/>
      <c r="MP245" s="9"/>
      <c r="MQ245" s="9"/>
      <c r="MR245" s="9"/>
      <c r="MS245" s="9"/>
      <c r="MT245" s="9"/>
      <c r="MU245" s="9"/>
      <c r="MV245" s="9"/>
      <c r="MW245" s="9"/>
      <c r="MX245" s="9"/>
      <c r="MY245" s="9"/>
      <c r="MZ245" s="9"/>
      <c r="NA245" s="9"/>
      <c r="NB245" s="9"/>
      <c r="NC245" s="9"/>
      <c r="ND245" s="9"/>
      <c r="NE245" s="9"/>
      <c r="NF245" s="9"/>
      <c r="NG245" s="9"/>
      <c r="NH245" s="9"/>
      <c r="NI245" s="9"/>
      <c r="NJ245" s="9"/>
      <c r="NK245" s="9"/>
      <c r="NL245" s="9"/>
      <c r="NM245" s="9"/>
      <c r="NN245" s="9"/>
      <c r="NO245" s="9"/>
      <c r="NP245" s="9"/>
      <c r="NQ245" s="9"/>
      <c r="NR245" s="9"/>
      <c r="NS245" s="9"/>
      <c r="NT245" s="9"/>
      <c r="NU245" s="9"/>
      <c r="NV245" s="9"/>
      <c r="NW245" s="9"/>
      <c r="NX245" s="9"/>
      <c r="NY245" s="9"/>
      <c r="NZ245" s="9"/>
      <c r="OA245" s="9"/>
      <c r="OB245" s="9"/>
      <c r="OC245" s="9"/>
      <c r="OD245" s="9"/>
      <c r="OE245" s="9"/>
      <c r="OF245" s="9"/>
      <c r="OG245" s="9"/>
      <c r="OH245" s="9"/>
      <c r="OI245" s="9"/>
      <c r="OJ245" s="9"/>
      <c r="OK245" s="9"/>
      <c r="OL245" s="9"/>
      <c r="OM245" s="9"/>
      <c r="ON245" s="9"/>
      <c r="OO245" s="9"/>
      <c r="OP245" s="9"/>
      <c r="OQ245" s="9"/>
      <c r="OR245" s="9"/>
      <c r="OS245" s="9"/>
      <c r="OT245" s="9"/>
      <c r="OU245" s="9"/>
      <c r="OV245" s="9"/>
      <c r="OW245" s="9"/>
      <c r="OX245" s="9"/>
      <c r="OY245" s="9"/>
      <c r="OZ245" s="9"/>
      <c r="PA245" s="9"/>
      <c r="PB245" s="9"/>
      <c r="PC245" s="9"/>
      <c r="PD245" s="9"/>
      <c r="PE245" s="9"/>
      <c r="PF245" s="9"/>
      <c r="PG245" s="9"/>
      <c r="PH245" s="9"/>
      <c r="PI245" s="9"/>
      <c r="PJ245" s="9"/>
      <c r="PK245" s="9"/>
      <c r="PL245" s="9"/>
      <c r="PM245" s="9"/>
      <c r="PN245" s="9"/>
      <c r="PO245" s="9"/>
      <c r="PP245" s="9"/>
      <c r="PQ245" s="9"/>
      <c r="PR245" s="9"/>
      <c r="PS245" s="9"/>
      <c r="PT245" s="9"/>
      <c r="PU245" s="9"/>
      <c r="PV245" s="9"/>
      <c r="PW245" s="9"/>
      <c r="PX245" s="9"/>
      <c r="PY245" s="9"/>
      <c r="PZ245" s="9"/>
      <c r="QA245" s="9"/>
      <c r="QB245" s="9"/>
      <c r="QC245" s="9"/>
      <c r="QD245" s="9"/>
      <c r="QE245" s="9"/>
      <c r="QF245" s="9"/>
      <c r="QG245" s="9"/>
      <c r="QH245" s="9"/>
      <c r="QI245" s="9"/>
      <c r="QJ245" s="9"/>
      <c r="QK245" s="9"/>
      <c r="QL245" s="9"/>
      <c r="QM245" s="9"/>
      <c r="QN245" s="9"/>
      <c r="QO245" s="9"/>
      <c r="QP245" s="9"/>
      <c r="QQ245" s="9"/>
      <c r="QR245" s="9"/>
      <c r="QS245" s="9"/>
      <c r="QT245" s="9"/>
      <c r="QU245" s="9"/>
      <c r="QV245" s="9"/>
      <c r="QW245" s="9"/>
      <c r="QX245" s="9"/>
      <c r="QY245" s="9"/>
      <c r="QZ245" s="9"/>
      <c r="RA245" s="9"/>
      <c r="RB245" s="9"/>
      <c r="RC245" s="9"/>
      <c r="RD245" s="9"/>
      <c r="RE245" s="9"/>
      <c r="RF245" s="9"/>
      <c r="RG245" s="9"/>
      <c r="RH245" s="9"/>
      <c r="RI245" s="9"/>
      <c r="RJ245" s="9"/>
      <c r="RK245" s="9"/>
      <c r="RL245" s="9"/>
      <c r="RM245" s="9"/>
      <c r="RN245" s="9"/>
      <c r="RO245" s="9"/>
      <c r="RP245" s="9"/>
      <c r="RQ245" s="9"/>
      <c r="RR245" s="9"/>
      <c r="RS245" s="9"/>
      <c r="RT245" s="9"/>
      <c r="RU245" s="9"/>
      <c r="RV245" s="9"/>
      <c r="RW245" s="9"/>
      <c r="RX245" s="9"/>
      <c r="RY245" s="9"/>
      <c r="RZ245" s="9"/>
      <c r="SA245" s="9"/>
      <c r="SB245" s="9"/>
      <c r="SC245" s="9"/>
      <c r="SD245" s="9"/>
      <c r="SE245" s="9"/>
      <c r="SF245" s="9"/>
      <c r="SG245" s="9"/>
      <c r="SH245" s="9"/>
      <c r="SI245" s="9"/>
      <c r="SJ245" s="9"/>
      <c r="SK245" s="8"/>
      <c r="SL245" s="8"/>
      <c r="SM245" s="8"/>
      <c r="SN245" s="8"/>
      <c r="SO245" s="8"/>
      <c r="SP245" s="8"/>
      <c r="SQ245" s="8"/>
      <c r="SR245" s="8"/>
      <c r="SS245" s="8"/>
      <c r="ST245" s="8"/>
      <c r="SU245" s="8"/>
      <c r="SV245" s="8"/>
      <c r="SW245" s="8"/>
      <c r="SX245" s="8"/>
      <c r="SY245" s="8"/>
      <c r="SZ245" s="8"/>
      <c r="TA245" s="8"/>
      <c r="TB245" s="8"/>
      <c r="TC245" s="8"/>
      <c r="TD245" s="8"/>
      <c r="TE245" s="8"/>
      <c r="TF245" s="8"/>
      <c r="TG245" s="8"/>
      <c r="TH245" s="8"/>
      <c r="TI245" s="8"/>
      <c r="TJ245" s="8"/>
      <c r="TK245" s="8"/>
      <c r="TL245" s="8"/>
      <c r="TM245" s="8"/>
      <c r="TN245" s="8"/>
      <c r="TO245" s="8"/>
    </row>
    <row r="246" spans="1:535" x14ac:dyDescent="0.2">
      <c r="A246" s="7"/>
      <c r="B246" s="7"/>
      <c r="C246" s="9"/>
      <c r="D246" s="8"/>
      <c r="E246" s="8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/>
      <c r="BO246" s="9"/>
      <c r="BP246" s="9"/>
      <c r="BQ246" s="9"/>
      <c r="BR246" s="9"/>
      <c r="BS246" s="9"/>
      <c r="BT246" s="9"/>
      <c r="BU246" s="9"/>
      <c r="BV246" s="9"/>
      <c r="BW246" s="9"/>
      <c r="BX246" s="9"/>
      <c r="BY246" s="9"/>
      <c r="BZ246" s="9"/>
      <c r="CA246" s="9"/>
      <c r="CB246" s="9"/>
      <c r="CC246" s="9"/>
      <c r="CD246" s="9"/>
      <c r="CE246" s="9"/>
      <c r="CF246" s="9"/>
      <c r="CG246" s="9"/>
      <c r="CH246" s="9"/>
      <c r="CI246" s="9"/>
      <c r="CJ246" s="9"/>
      <c r="CK246" s="9"/>
      <c r="CL246" s="9"/>
      <c r="CM246" s="9"/>
      <c r="CN246" s="9"/>
      <c r="CO246" s="9"/>
      <c r="CP246" s="9"/>
      <c r="CQ246" s="9"/>
      <c r="CR246" s="9"/>
      <c r="CS246" s="9"/>
      <c r="CT246" s="9"/>
      <c r="CU246" s="9"/>
      <c r="CV246" s="9"/>
      <c r="CW246" s="9"/>
      <c r="CX246" s="9"/>
      <c r="CY246" s="9"/>
      <c r="CZ246" s="9"/>
      <c r="DA246" s="9"/>
      <c r="DB246" s="9"/>
      <c r="DC246" s="9"/>
      <c r="DD246" s="9"/>
      <c r="DE246" s="9"/>
      <c r="DF246" s="9"/>
      <c r="DG246" s="9"/>
      <c r="DH246" s="9"/>
      <c r="DI246" s="9"/>
      <c r="DJ246" s="9"/>
      <c r="DK246" s="9"/>
      <c r="DL246" s="9"/>
      <c r="DM246" s="9"/>
      <c r="DN246" s="9"/>
      <c r="DO246" s="9"/>
      <c r="DP246" s="9"/>
      <c r="DQ246" s="9"/>
      <c r="DR246" s="9"/>
      <c r="DS246" s="9"/>
      <c r="DT246" s="9"/>
      <c r="DU246" s="9"/>
      <c r="DV246" s="9"/>
      <c r="DW246" s="9"/>
      <c r="DX246" s="9"/>
      <c r="DY246" s="9"/>
      <c r="DZ246" s="9"/>
      <c r="EA246" s="9"/>
      <c r="EB246" s="9"/>
      <c r="EC246" s="9"/>
      <c r="ED246" s="9"/>
      <c r="EE246" s="9"/>
      <c r="EF246" s="9"/>
      <c r="EG246" s="9"/>
      <c r="EH246" s="9"/>
      <c r="EI246" s="9"/>
      <c r="EJ246" s="9"/>
      <c r="EK246" s="9"/>
      <c r="EL246" s="9"/>
      <c r="EM246" s="9"/>
      <c r="EN246" s="9"/>
      <c r="EO246" s="9"/>
      <c r="EP246" s="9"/>
      <c r="EQ246" s="9"/>
      <c r="ER246" s="9"/>
      <c r="ES246" s="9"/>
      <c r="ET246" s="9"/>
      <c r="EU246" s="9"/>
      <c r="EV246" s="9"/>
      <c r="EW246" s="9"/>
      <c r="EX246" s="9"/>
      <c r="EY246" s="9"/>
      <c r="EZ246" s="9"/>
      <c r="FA246" s="9"/>
      <c r="FB246" s="9"/>
      <c r="FC246" s="9"/>
      <c r="FD246" s="9"/>
      <c r="FE246" s="9"/>
      <c r="FF246" s="9"/>
      <c r="FG246" s="9"/>
      <c r="FH246" s="9"/>
      <c r="FI246" s="9"/>
      <c r="FJ246" s="9"/>
      <c r="FK246" s="9"/>
      <c r="FL246" s="9"/>
      <c r="FM246" s="9"/>
      <c r="FN246" s="9"/>
      <c r="FO246" s="9"/>
      <c r="FP246" s="9"/>
      <c r="FQ246" s="9"/>
      <c r="FR246" s="9"/>
      <c r="FS246" s="9"/>
      <c r="FT246" s="9"/>
      <c r="FU246" s="9"/>
      <c r="FV246" s="9"/>
      <c r="FW246" s="9"/>
      <c r="FX246" s="9"/>
      <c r="FY246" s="9"/>
      <c r="FZ246" s="9"/>
      <c r="GA246" s="9"/>
      <c r="GB246" s="9"/>
      <c r="GC246" s="9"/>
      <c r="GD246" s="9"/>
      <c r="GE246" s="9"/>
      <c r="GF246" s="9"/>
      <c r="GG246" s="9"/>
      <c r="GH246" s="9"/>
      <c r="GI246" s="9"/>
      <c r="GJ246" s="9"/>
      <c r="GK246" s="9"/>
      <c r="GL246" s="9"/>
      <c r="GM246" s="9"/>
      <c r="GN246" s="9"/>
      <c r="GO246" s="9"/>
      <c r="GP246" s="9"/>
      <c r="GQ246" s="9"/>
      <c r="GR246" s="9"/>
      <c r="GS246" s="9"/>
      <c r="GT246" s="9"/>
      <c r="GU246" s="9"/>
      <c r="GV246" s="9"/>
      <c r="GW246" s="9"/>
      <c r="GX246" s="9"/>
      <c r="GY246" s="9"/>
      <c r="GZ246" s="9"/>
      <c r="HA246" s="9"/>
      <c r="HB246" s="9"/>
      <c r="HC246" s="9"/>
      <c r="HD246" s="9"/>
      <c r="HE246" s="9"/>
      <c r="HF246" s="9"/>
      <c r="HG246" s="9"/>
      <c r="HH246" s="9"/>
      <c r="HI246" s="9"/>
      <c r="HJ246" s="9"/>
      <c r="HK246" s="9"/>
      <c r="HL246" s="9"/>
      <c r="HM246" s="9"/>
      <c r="HN246" s="9"/>
      <c r="HO246" s="9"/>
      <c r="HP246" s="9"/>
      <c r="HQ246" s="9"/>
      <c r="HR246" s="9"/>
      <c r="HS246" s="9"/>
      <c r="HT246" s="9"/>
      <c r="HU246" s="9"/>
      <c r="HV246" s="9"/>
      <c r="HW246" s="9"/>
      <c r="HX246" s="9"/>
      <c r="HY246" s="9"/>
      <c r="HZ246" s="9"/>
      <c r="IA246" s="9"/>
      <c r="IB246" s="9"/>
      <c r="IC246" s="9"/>
      <c r="ID246" s="9"/>
      <c r="IE246" s="9"/>
      <c r="IF246" s="9"/>
      <c r="IG246" s="9"/>
      <c r="IH246" s="9"/>
      <c r="II246" s="9"/>
      <c r="IJ246" s="9"/>
      <c r="IK246" s="9"/>
      <c r="IL246" s="9"/>
      <c r="IM246" s="9"/>
      <c r="IN246" s="9"/>
      <c r="IO246" s="9"/>
      <c r="IP246" s="9"/>
      <c r="IQ246" s="9"/>
      <c r="IR246" s="9"/>
      <c r="IS246" s="9"/>
      <c r="IT246" s="9"/>
      <c r="IU246" s="9"/>
      <c r="IV246" s="9"/>
      <c r="IW246" s="9"/>
      <c r="IX246" s="9"/>
      <c r="IY246" s="9"/>
      <c r="IZ246" s="9"/>
      <c r="JA246" s="9"/>
      <c r="JB246" s="9"/>
      <c r="JC246" s="9"/>
      <c r="JD246" s="9"/>
      <c r="JE246" s="9"/>
      <c r="JF246" s="9"/>
      <c r="JG246" s="9"/>
      <c r="JH246" s="9"/>
      <c r="JI246" s="9"/>
      <c r="JJ246" s="9"/>
      <c r="JK246" s="9"/>
      <c r="JL246" s="9"/>
      <c r="JM246" s="9"/>
      <c r="JN246" s="9"/>
      <c r="JO246" s="9"/>
      <c r="JP246" s="9"/>
      <c r="JQ246" s="9"/>
      <c r="JR246" s="9"/>
      <c r="JS246" s="9"/>
      <c r="JT246" s="9"/>
      <c r="JU246" s="9"/>
      <c r="JV246" s="9"/>
      <c r="JW246" s="9"/>
      <c r="JX246" s="9"/>
      <c r="JY246" s="9"/>
      <c r="JZ246" s="9"/>
      <c r="KA246" s="9"/>
      <c r="KB246" s="9"/>
      <c r="KC246" s="9"/>
      <c r="KD246" s="9"/>
      <c r="KE246" s="9"/>
      <c r="KF246" s="9"/>
      <c r="KG246" s="9"/>
      <c r="KH246" s="9"/>
      <c r="KI246" s="9"/>
      <c r="KJ246" s="9"/>
      <c r="KK246" s="9"/>
      <c r="KL246" s="9"/>
      <c r="KM246" s="9"/>
      <c r="KN246" s="9"/>
      <c r="KO246" s="9"/>
      <c r="KP246" s="9"/>
      <c r="KQ246" s="9"/>
      <c r="KR246" s="9"/>
      <c r="KS246" s="9"/>
      <c r="KT246" s="9"/>
      <c r="KU246" s="9"/>
      <c r="KV246" s="9"/>
      <c r="KW246" s="9"/>
      <c r="KX246" s="9"/>
      <c r="KY246" s="9"/>
      <c r="KZ246" s="9"/>
      <c r="LA246" s="9"/>
      <c r="LB246" s="9"/>
      <c r="LC246" s="9"/>
      <c r="LD246" s="9"/>
      <c r="LE246" s="9"/>
      <c r="LF246" s="9"/>
      <c r="LG246" s="9"/>
      <c r="LH246" s="9"/>
      <c r="LI246" s="9"/>
      <c r="LJ246" s="9"/>
      <c r="LK246" s="9"/>
      <c r="LL246" s="9"/>
      <c r="LM246" s="9"/>
      <c r="LN246" s="9"/>
      <c r="LO246" s="9"/>
      <c r="LP246" s="9"/>
      <c r="LQ246" s="9"/>
      <c r="LR246" s="9"/>
      <c r="LS246" s="9"/>
      <c r="LT246" s="9"/>
      <c r="LU246" s="9"/>
      <c r="LV246" s="9"/>
      <c r="LW246" s="9"/>
      <c r="LX246" s="9"/>
      <c r="LY246" s="9"/>
      <c r="LZ246" s="9"/>
      <c r="MA246" s="9"/>
      <c r="MB246" s="9"/>
      <c r="MC246" s="9"/>
      <c r="MD246" s="9"/>
      <c r="ME246" s="9"/>
      <c r="MF246" s="9"/>
      <c r="MG246" s="9"/>
      <c r="MH246" s="9"/>
      <c r="MI246" s="9"/>
      <c r="MJ246" s="9"/>
      <c r="MK246" s="9"/>
      <c r="ML246" s="9"/>
      <c r="MM246" s="9"/>
      <c r="MN246" s="9"/>
      <c r="MO246" s="9"/>
      <c r="MP246" s="9"/>
      <c r="MQ246" s="9"/>
      <c r="MR246" s="9"/>
      <c r="MS246" s="9"/>
      <c r="MT246" s="9"/>
      <c r="MU246" s="9"/>
      <c r="MV246" s="9"/>
      <c r="MW246" s="9"/>
      <c r="MX246" s="9"/>
      <c r="MY246" s="9"/>
      <c r="MZ246" s="9"/>
      <c r="NA246" s="9"/>
      <c r="NB246" s="9"/>
      <c r="NC246" s="9"/>
      <c r="ND246" s="9"/>
      <c r="NE246" s="9"/>
      <c r="NF246" s="9"/>
      <c r="NG246" s="9"/>
      <c r="NH246" s="9"/>
      <c r="NI246" s="9"/>
      <c r="NJ246" s="9"/>
      <c r="NK246" s="9"/>
      <c r="NL246" s="9"/>
      <c r="NM246" s="9"/>
      <c r="NN246" s="9"/>
      <c r="NO246" s="9"/>
      <c r="NP246" s="9"/>
      <c r="NQ246" s="9"/>
      <c r="NR246" s="9"/>
      <c r="NS246" s="9"/>
      <c r="NT246" s="9"/>
      <c r="NU246" s="9"/>
      <c r="NV246" s="9"/>
      <c r="NW246" s="9"/>
      <c r="NX246" s="9"/>
      <c r="NY246" s="9"/>
      <c r="NZ246" s="9"/>
      <c r="OA246" s="9"/>
      <c r="OB246" s="9"/>
      <c r="OC246" s="9"/>
      <c r="OD246" s="9"/>
      <c r="OE246" s="9"/>
      <c r="OF246" s="9"/>
      <c r="OG246" s="9"/>
      <c r="OH246" s="9"/>
      <c r="OI246" s="9"/>
      <c r="OJ246" s="9"/>
      <c r="OK246" s="9"/>
      <c r="OL246" s="9"/>
      <c r="OM246" s="9"/>
      <c r="ON246" s="9"/>
      <c r="OO246" s="9"/>
      <c r="OP246" s="9"/>
      <c r="OQ246" s="9"/>
      <c r="OR246" s="9"/>
      <c r="OS246" s="9"/>
      <c r="OT246" s="9"/>
      <c r="OU246" s="9"/>
      <c r="OV246" s="9"/>
      <c r="OW246" s="9"/>
      <c r="OX246" s="9"/>
      <c r="OY246" s="9"/>
      <c r="OZ246" s="9"/>
      <c r="PA246" s="9"/>
      <c r="PB246" s="9"/>
      <c r="PC246" s="9"/>
      <c r="PD246" s="9"/>
      <c r="PE246" s="9"/>
      <c r="PF246" s="9"/>
      <c r="PG246" s="9"/>
      <c r="PH246" s="9"/>
      <c r="PI246" s="9"/>
      <c r="PJ246" s="9"/>
      <c r="PK246" s="9"/>
      <c r="PL246" s="9"/>
      <c r="PM246" s="9"/>
      <c r="PN246" s="9"/>
      <c r="PO246" s="9"/>
      <c r="PP246" s="9"/>
      <c r="PQ246" s="9"/>
      <c r="PR246" s="9"/>
      <c r="PS246" s="9"/>
      <c r="PT246" s="9"/>
      <c r="PU246" s="9"/>
      <c r="PV246" s="9"/>
      <c r="PW246" s="9"/>
      <c r="PX246" s="9"/>
      <c r="PY246" s="9"/>
      <c r="PZ246" s="9"/>
      <c r="QA246" s="9"/>
      <c r="QB246" s="9"/>
      <c r="QC246" s="9"/>
      <c r="QD246" s="9"/>
      <c r="QE246" s="9"/>
      <c r="QF246" s="9"/>
      <c r="QG246" s="9"/>
      <c r="QH246" s="9"/>
      <c r="QI246" s="9"/>
      <c r="QJ246" s="9"/>
      <c r="QK246" s="9"/>
      <c r="QL246" s="9"/>
      <c r="QM246" s="9"/>
      <c r="QN246" s="9"/>
      <c r="QO246" s="9"/>
      <c r="QP246" s="9"/>
      <c r="QQ246" s="9"/>
      <c r="QR246" s="9"/>
      <c r="QS246" s="9"/>
      <c r="QT246" s="9"/>
      <c r="QU246" s="9"/>
      <c r="QV246" s="9"/>
      <c r="QW246" s="9"/>
      <c r="QX246" s="9"/>
      <c r="QY246" s="9"/>
      <c r="QZ246" s="9"/>
      <c r="RA246" s="9"/>
      <c r="RB246" s="9"/>
      <c r="RC246" s="9"/>
      <c r="RD246" s="9"/>
      <c r="RE246" s="9"/>
      <c r="RF246" s="9"/>
      <c r="RG246" s="9"/>
      <c r="RH246" s="9"/>
      <c r="RI246" s="9"/>
      <c r="RJ246" s="9"/>
      <c r="RK246" s="9"/>
      <c r="RL246" s="9"/>
      <c r="RM246" s="9"/>
      <c r="RN246" s="9"/>
      <c r="RO246" s="9"/>
      <c r="RP246" s="9"/>
      <c r="RQ246" s="9"/>
      <c r="RR246" s="9"/>
      <c r="RS246" s="9"/>
      <c r="RT246" s="9"/>
      <c r="RU246" s="9"/>
      <c r="RV246" s="9"/>
      <c r="RW246" s="9"/>
      <c r="RX246" s="9"/>
      <c r="RY246" s="9"/>
      <c r="RZ246" s="9"/>
      <c r="SA246" s="9"/>
      <c r="SB246" s="9"/>
      <c r="SC246" s="9"/>
      <c r="SD246" s="9"/>
      <c r="SE246" s="9"/>
      <c r="SF246" s="9"/>
      <c r="SG246" s="9"/>
      <c r="SH246" s="9"/>
      <c r="SI246" s="9"/>
      <c r="SJ246" s="9"/>
      <c r="SK246" s="8"/>
      <c r="SL246" s="8"/>
      <c r="SM246" s="8"/>
      <c r="SN246" s="8"/>
      <c r="SO246" s="8"/>
      <c r="SP246" s="8"/>
      <c r="SQ246" s="8"/>
      <c r="SR246" s="8"/>
      <c r="SS246" s="8"/>
      <c r="ST246" s="8"/>
      <c r="SU246" s="8"/>
      <c r="SV246" s="8"/>
      <c r="SW246" s="8"/>
      <c r="SX246" s="8"/>
      <c r="SY246" s="8"/>
      <c r="SZ246" s="8"/>
      <c r="TA246" s="8"/>
      <c r="TB246" s="8"/>
      <c r="TC246" s="8"/>
      <c r="TD246" s="8"/>
      <c r="TE246" s="8"/>
      <c r="TF246" s="8"/>
      <c r="TG246" s="8"/>
      <c r="TH246" s="8"/>
      <c r="TI246" s="8"/>
      <c r="TJ246" s="8"/>
      <c r="TK246" s="8"/>
      <c r="TL246" s="8"/>
      <c r="TM246" s="8"/>
      <c r="TN246" s="8"/>
      <c r="TO246" s="8"/>
    </row>
    <row r="247" spans="1:535" x14ac:dyDescent="0.2">
      <c r="A247" s="7"/>
      <c r="B247" s="7"/>
      <c r="C247" s="9"/>
      <c r="D247" s="8"/>
      <c r="E247" s="8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9"/>
      <c r="BK247" s="9"/>
      <c r="BL247" s="9"/>
      <c r="BM247" s="9"/>
      <c r="BN247" s="9"/>
      <c r="BO247" s="9"/>
      <c r="BP247" s="9"/>
      <c r="BQ247" s="9"/>
      <c r="BR247" s="9"/>
      <c r="BS247" s="9"/>
      <c r="BT247" s="9"/>
      <c r="BU247" s="9"/>
      <c r="BV247" s="9"/>
      <c r="BW247" s="9"/>
      <c r="BX247" s="9"/>
      <c r="BY247" s="9"/>
      <c r="BZ247" s="9"/>
      <c r="CA247" s="9"/>
      <c r="CB247" s="9"/>
      <c r="CC247" s="9"/>
      <c r="CD247" s="9"/>
      <c r="CE247" s="9"/>
      <c r="CF247" s="9"/>
      <c r="CG247" s="9"/>
      <c r="CH247" s="9"/>
      <c r="CI247" s="9"/>
      <c r="CJ247" s="9"/>
      <c r="CK247" s="9"/>
      <c r="CL247" s="9"/>
      <c r="CM247" s="9"/>
      <c r="CN247" s="9"/>
      <c r="CO247" s="9"/>
      <c r="CP247" s="9"/>
      <c r="CQ247" s="9"/>
      <c r="CR247" s="9"/>
      <c r="CS247" s="9"/>
      <c r="CT247" s="9"/>
      <c r="CU247" s="9"/>
      <c r="CV247" s="9"/>
      <c r="CW247" s="9"/>
      <c r="CX247" s="9"/>
      <c r="CY247" s="9"/>
      <c r="CZ247" s="9"/>
      <c r="DA247" s="9"/>
      <c r="DB247" s="9"/>
      <c r="DC247" s="9"/>
      <c r="DD247" s="9"/>
      <c r="DE247" s="9"/>
      <c r="DF247" s="9"/>
      <c r="DG247" s="9"/>
      <c r="DH247" s="9"/>
      <c r="DI247" s="9"/>
      <c r="DJ247" s="9"/>
      <c r="DK247" s="9"/>
      <c r="DL247" s="9"/>
      <c r="DM247" s="9"/>
      <c r="DN247" s="9"/>
      <c r="DO247" s="9"/>
      <c r="DP247" s="9"/>
      <c r="DQ247" s="9"/>
      <c r="DR247" s="9"/>
      <c r="DS247" s="9"/>
      <c r="DT247" s="9"/>
      <c r="DU247" s="9"/>
      <c r="DV247" s="9"/>
      <c r="DW247" s="9"/>
      <c r="DX247" s="9"/>
      <c r="DY247" s="9"/>
      <c r="DZ247" s="9"/>
      <c r="EA247" s="9"/>
      <c r="EB247" s="9"/>
      <c r="EC247" s="9"/>
      <c r="ED247" s="9"/>
      <c r="EE247" s="9"/>
      <c r="EF247" s="9"/>
      <c r="EG247" s="9"/>
      <c r="EH247" s="9"/>
      <c r="EI247" s="9"/>
      <c r="EJ247" s="9"/>
      <c r="EK247" s="9"/>
      <c r="EL247" s="9"/>
      <c r="EM247" s="9"/>
      <c r="EN247" s="9"/>
      <c r="EO247" s="9"/>
      <c r="EP247" s="9"/>
      <c r="EQ247" s="9"/>
      <c r="ER247" s="9"/>
      <c r="ES247" s="9"/>
      <c r="ET247" s="9"/>
      <c r="EU247" s="9"/>
      <c r="EV247" s="9"/>
      <c r="EW247" s="9"/>
      <c r="EX247" s="9"/>
      <c r="EY247" s="9"/>
      <c r="EZ247" s="9"/>
      <c r="FA247" s="9"/>
      <c r="FB247" s="9"/>
      <c r="FC247" s="9"/>
      <c r="FD247" s="9"/>
      <c r="FE247" s="9"/>
      <c r="FF247" s="9"/>
      <c r="FG247" s="9"/>
      <c r="FH247" s="9"/>
      <c r="FI247" s="9"/>
      <c r="FJ247" s="9"/>
      <c r="FK247" s="9"/>
      <c r="FL247" s="9"/>
      <c r="FM247" s="9"/>
      <c r="FN247" s="9"/>
      <c r="FO247" s="9"/>
      <c r="FP247" s="9"/>
      <c r="FQ247" s="9"/>
      <c r="FR247" s="9"/>
      <c r="FS247" s="9"/>
      <c r="FT247" s="9"/>
      <c r="FU247" s="9"/>
      <c r="FV247" s="9"/>
      <c r="FW247" s="9"/>
      <c r="FX247" s="9"/>
      <c r="FY247" s="9"/>
      <c r="FZ247" s="9"/>
      <c r="GA247" s="9"/>
      <c r="GB247" s="9"/>
      <c r="GC247" s="9"/>
      <c r="GD247" s="9"/>
      <c r="GE247" s="9"/>
      <c r="GF247" s="9"/>
      <c r="GG247" s="9"/>
      <c r="GH247" s="9"/>
      <c r="GI247" s="9"/>
      <c r="GJ247" s="9"/>
      <c r="GK247" s="9"/>
      <c r="GL247" s="9"/>
      <c r="GM247" s="9"/>
      <c r="GN247" s="9"/>
      <c r="GO247" s="9"/>
      <c r="GP247" s="9"/>
      <c r="GQ247" s="9"/>
      <c r="GR247" s="9"/>
      <c r="GS247" s="9"/>
      <c r="GT247" s="9"/>
      <c r="GU247" s="9"/>
      <c r="GV247" s="9"/>
      <c r="GW247" s="9"/>
      <c r="GX247" s="9"/>
      <c r="GY247" s="9"/>
      <c r="GZ247" s="9"/>
      <c r="HA247" s="9"/>
      <c r="HB247" s="9"/>
      <c r="HC247" s="9"/>
      <c r="HD247" s="9"/>
      <c r="HE247" s="9"/>
      <c r="HF247" s="9"/>
      <c r="HG247" s="9"/>
      <c r="HH247" s="9"/>
      <c r="HI247" s="9"/>
      <c r="HJ247" s="9"/>
      <c r="HK247" s="9"/>
      <c r="HL247" s="9"/>
      <c r="HM247" s="9"/>
      <c r="HN247" s="9"/>
      <c r="HO247" s="9"/>
      <c r="HP247" s="9"/>
      <c r="HQ247" s="9"/>
      <c r="HR247" s="9"/>
      <c r="HS247" s="9"/>
      <c r="HT247" s="9"/>
      <c r="HU247" s="9"/>
      <c r="HV247" s="9"/>
      <c r="HW247" s="9"/>
      <c r="HX247" s="9"/>
      <c r="HY247" s="9"/>
      <c r="HZ247" s="9"/>
      <c r="IA247" s="9"/>
      <c r="IB247" s="9"/>
      <c r="IC247" s="9"/>
      <c r="ID247" s="9"/>
      <c r="IE247" s="9"/>
      <c r="IF247" s="9"/>
      <c r="IG247" s="9"/>
      <c r="IH247" s="9"/>
      <c r="II247" s="9"/>
      <c r="IJ247" s="9"/>
      <c r="IK247" s="9"/>
      <c r="IL247" s="9"/>
      <c r="IM247" s="9"/>
      <c r="IN247" s="9"/>
      <c r="IO247" s="9"/>
      <c r="IP247" s="9"/>
      <c r="IQ247" s="9"/>
      <c r="IR247" s="9"/>
      <c r="IS247" s="9"/>
      <c r="IT247" s="9"/>
      <c r="IU247" s="9"/>
      <c r="IV247" s="9"/>
      <c r="IW247" s="9"/>
      <c r="IX247" s="9"/>
      <c r="IY247" s="9"/>
      <c r="IZ247" s="9"/>
      <c r="JA247" s="9"/>
      <c r="JB247" s="9"/>
      <c r="JC247" s="9"/>
      <c r="JD247" s="9"/>
      <c r="JE247" s="9"/>
      <c r="JF247" s="9"/>
      <c r="JG247" s="9"/>
      <c r="JH247" s="9"/>
      <c r="JI247" s="9"/>
      <c r="JJ247" s="9"/>
      <c r="JK247" s="9"/>
      <c r="JL247" s="9"/>
      <c r="JM247" s="9"/>
      <c r="JN247" s="9"/>
      <c r="JO247" s="9"/>
      <c r="JP247" s="9"/>
      <c r="JQ247" s="9"/>
      <c r="JR247" s="9"/>
      <c r="JS247" s="9"/>
      <c r="JT247" s="9"/>
      <c r="JU247" s="9"/>
      <c r="JV247" s="9"/>
      <c r="JW247" s="9"/>
      <c r="JX247" s="9"/>
      <c r="JY247" s="9"/>
      <c r="JZ247" s="9"/>
      <c r="KA247" s="9"/>
      <c r="KB247" s="9"/>
      <c r="KC247" s="9"/>
      <c r="KD247" s="9"/>
      <c r="KE247" s="9"/>
      <c r="KF247" s="9"/>
      <c r="KG247" s="9"/>
      <c r="KH247" s="9"/>
      <c r="KI247" s="9"/>
      <c r="KJ247" s="9"/>
      <c r="KK247" s="9"/>
      <c r="KL247" s="9"/>
      <c r="KM247" s="9"/>
      <c r="KN247" s="9"/>
      <c r="KO247" s="9"/>
      <c r="KP247" s="9"/>
      <c r="KQ247" s="9"/>
      <c r="KR247" s="9"/>
      <c r="KS247" s="9"/>
      <c r="KT247" s="9"/>
      <c r="KU247" s="9"/>
      <c r="KV247" s="9"/>
      <c r="KW247" s="9"/>
      <c r="KX247" s="9"/>
      <c r="KY247" s="9"/>
      <c r="KZ247" s="9"/>
      <c r="LA247" s="9"/>
      <c r="LB247" s="9"/>
      <c r="LC247" s="9"/>
      <c r="LD247" s="9"/>
      <c r="LE247" s="9"/>
      <c r="LF247" s="9"/>
      <c r="LG247" s="9"/>
      <c r="LH247" s="9"/>
      <c r="LI247" s="9"/>
      <c r="LJ247" s="9"/>
      <c r="LK247" s="9"/>
      <c r="LL247" s="9"/>
      <c r="LM247" s="9"/>
      <c r="LN247" s="9"/>
      <c r="LO247" s="9"/>
      <c r="LP247" s="9"/>
      <c r="LQ247" s="9"/>
      <c r="LR247" s="9"/>
      <c r="LS247" s="9"/>
      <c r="LT247" s="9"/>
      <c r="LU247" s="9"/>
      <c r="LV247" s="9"/>
      <c r="LW247" s="9"/>
      <c r="LX247" s="9"/>
      <c r="LY247" s="9"/>
      <c r="LZ247" s="9"/>
      <c r="MA247" s="9"/>
      <c r="MB247" s="9"/>
      <c r="MC247" s="9"/>
      <c r="MD247" s="9"/>
      <c r="ME247" s="9"/>
      <c r="MF247" s="9"/>
      <c r="MG247" s="9"/>
      <c r="MH247" s="9"/>
      <c r="MI247" s="9"/>
      <c r="MJ247" s="9"/>
      <c r="MK247" s="9"/>
      <c r="ML247" s="9"/>
      <c r="MM247" s="9"/>
      <c r="MN247" s="9"/>
      <c r="MO247" s="9"/>
      <c r="MP247" s="9"/>
      <c r="MQ247" s="9"/>
      <c r="MR247" s="9"/>
      <c r="MS247" s="9"/>
      <c r="MT247" s="9"/>
      <c r="MU247" s="9"/>
      <c r="MV247" s="9"/>
      <c r="MW247" s="9"/>
      <c r="MX247" s="9"/>
      <c r="MY247" s="9"/>
      <c r="MZ247" s="9"/>
      <c r="NA247" s="9"/>
      <c r="NB247" s="9"/>
      <c r="NC247" s="9"/>
      <c r="ND247" s="9"/>
      <c r="NE247" s="9"/>
      <c r="NF247" s="9"/>
      <c r="NG247" s="9"/>
      <c r="NH247" s="9"/>
      <c r="NI247" s="9"/>
      <c r="NJ247" s="9"/>
      <c r="NK247" s="9"/>
      <c r="NL247" s="9"/>
      <c r="NM247" s="9"/>
      <c r="NN247" s="9"/>
      <c r="NO247" s="9"/>
      <c r="NP247" s="9"/>
      <c r="NQ247" s="9"/>
      <c r="NR247" s="9"/>
      <c r="NS247" s="9"/>
      <c r="NT247" s="9"/>
      <c r="NU247" s="9"/>
      <c r="NV247" s="9"/>
      <c r="NW247" s="9"/>
      <c r="NX247" s="9"/>
      <c r="NY247" s="9"/>
      <c r="NZ247" s="9"/>
      <c r="OA247" s="9"/>
      <c r="OB247" s="9"/>
      <c r="OC247" s="9"/>
      <c r="OD247" s="9"/>
      <c r="OE247" s="9"/>
      <c r="OF247" s="9"/>
      <c r="OG247" s="9"/>
      <c r="OH247" s="9"/>
      <c r="OI247" s="9"/>
      <c r="OJ247" s="9"/>
      <c r="OK247" s="9"/>
      <c r="OL247" s="9"/>
      <c r="OM247" s="9"/>
      <c r="ON247" s="9"/>
      <c r="OO247" s="9"/>
      <c r="OP247" s="9"/>
      <c r="OQ247" s="9"/>
      <c r="OR247" s="9"/>
      <c r="OS247" s="9"/>
      <c r="OT247" s="9"/>
      <c r="OU247" s="9"/>
      <c r="OV247" s="9"/>
      <c r="OW247" s="9"/>
      <c r="OX247" s="9"/>
      <c r="OY247" s="9"/>
      <c r="OZ247" s="9"/>
      <c r="PA247" s="9"/>
      <c r="PB247" s="9"/>
      <c r="PC247" s="9"/>
      <c r="PD247" s="9"/>
      <c r="PE247" s="9"/>
      <c r="PF247" s="9"/>
      <c r="PG247" s="9"/>
      <c r="PH247" s="9"/>
      <c r="PI247" s="9"/>
      <c r="PJ247" s="9"/>
      <c r="PK247" s="9"/>
      <c r="PL247" s="9"/>
      <c r="PM247" s="9"/>
      <c r="PN247" s="9"/>
      <c r="PO247" s="9"/>
      <c r="PP247" s="9"/>
      <c r="PQ247" s="9"/>
      <c r="PR247" s="9"/>
      <c r="PS247" s="9"/>
      <c r="PT247" s="9"/>
      <c r="PU247" s="9"/>
      <c r="PV247" s="9"/>
      <c r="PW247" s="9"/>
      <c r="PX247" s="9"/>
      <c r="PY247" s="9"/>
      <c r="PZ247" s="9"/>
      <c r="QA247" s="9"/>
      <c r="QB247" s="9"/>
      <c r="QC247" s="9"/>
      <c r="QD247" s="9"/>
      <c r="QE247" s="9"/>
      <c r="QF247" s="9"/>
      <c r="QG247" s="9"/>
      <c r="QH247" s="9"/>
      <c r="QI247" s="9"/>
      <c r="QJ247" s="9"/>
      <c r="QK247" s="9"/>
      <c r="QL247" s="9"/>
      <c r="QM247" s="9"/>
      <c r="QN247" s="9"/>
      <c r="QO247" s="9"/>
      <c r="QP247" s="9"/>
      <c r="QQ247" s="9"/>
      <c r="QR247" s="9"/>
      <c r="QS247" s="9"/>
      <c r="QT247" s="9"/>
      <c r="QU247" s="9"/>
      <c r="QV247" s="9"/>
      <c r="QW247" s="9"/>
      <c r="QX247" s="9"/>
      <c r="QY247" s="9"/>
      <c r="QZ247" s="9"/>
      <c r="RA247" s="9"/>
      <c r="RB247" s="9"/>
      <c r="RC247" s="9"/>
      <c r="RD247" s="9"/>
      <c r="RE247" s="9"/>
      <c r="RF247" s="9"/>
      <c r="RG247" s="9"/>
      <c r="RH247" s="9"/>
      <c r="RI247" s="9"/>
      <c r="RJ247" s="9"/>
      <c r="RK247" s="9"/>
      <c r="RL247" s="9"/>
      <c r="RM247" s="9"/>
      <c r="RN247" s="9"/>
      <c r="RO247" s="9"/>
      <c r="RP247" s="9"/>
      <c r="RQ247" s="9"/>
      <c r="RR247" s="9"/>
      <c r="RS247" s="9"/>
      <c r="RT247" s="9"/>
      <c r="RU247" s="9"/>
      <c r="RV247" s="9"/>
      <c r="RW247" s="9"/>
      <c r="RX247" s="9"/>
      <c r="RY247" s="9"/>
      <c r="RZ247" s="9"/>
      <c r="SA247" s="9"/>
      <c r="SB247" s="9"/>
      <c r="SC247" s="9"/>
      <c r="SD247" s="9"/>
      <c r="SE247" s="9"/>
      <c r="SF247" s="9"/>
      <c r="SG247" s="9"/>
      <c r="SH247" s="9"/>
      <c r="SI247" s="9"/>
      <c r="SJ247" s="9"/>
      <c r="SK247" s="8"/>
      <c r="SL247" s="8"/>
      <c r="SM247" s="8"/>
      <c r="SN247" s="8"/>
      <c r="SO247" s="8"/>
      <c r="SP247" s="8"/>
      <c r="SQ247" s="8"/>
      <c r="SR247" s="8"/>
      <c r="SS247" s="8"/>
      <c r="ST247" s="8"/>
      <c r="SU247" s="8"/>
      <c r="SV247" s="8"/>
      <c r="SW247" s="8"/>
      <c r="SX247" s="8"/>
      <c r="SY247" s="8"/>
      <c r="SZ247" s="8"/>
      <c r="TA247" s="8"/>
      <c r="TB247" s="8"/>
      <c r="TC247" s="8"/>
      <c r="TD247" s="8"/>
      <c r="TE247" s="8"/>
      <c r="TF247" s="8"/>
      <c r="TG247" s="8"/>
      <c r="TH247" s="8"/>
      <c r="TI247" s="8"/>
      <c r="TJ247" s="8"/>
      <c r="TK247" s="8"/>
      <c r="TL247" s="8"/>
      <c r="TM247" s="8"/>
      <c r="TN247" s="8"/>
      <c r="TO247" s="8"/>
    </row>
    <row r="248" spans="1:535" x14ac:dyDescent="0.2">
      <c r="A248" s="7"/>
      <c r="B248" s="7"/>
      <c r="C248" s="9"/>
      <c r="D248" s="8"/>
      <c r="E248" s="8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/>
      <c r="BO248" s="9"/>
      <c r="BP248" s="9"/>
      <c r="BQ248" s="9"/>
      <c r="BR248" s="9"/>
      <c r="BS248" s="9"/>
      <c r="BT248" s="9"/>
      <c r="BU248" s="9"/>
      <c r="BV248" s="9"/>
      <c r="BW248" s="9"/>
      <c r="BX248" s="9"/>
      <c r="BY248" s="9"/>
      <c r="BZ248" s="9"/>
      <c r="CA248" s="9"/>
      <c r="CB248" s="9"/>
      <c r="CC248" s="9"/>
      <c r="CD248" s="9"/>
      <c r="CE248" s="9"/>
      <c r="CF248" s="9"/>
      <c r="CG248" s="9"/>
      <c r="CH248" s="9"/>
      <c r="CI248" s="9"/>
      <c r="CJ248" s="9"/>
      <c r="CK248" s="9"/>
      <c r="CL248" s="9"/>
      <c r="CM248" s="9"/>
      <c r="CN248" s="9"/>
      <c r="CO248" s="9"/>
      <c r="CP248" s="9"/>
      <c r="CQ248" s="9"/>
      <c r="CR248" s="9"/>
      <c r="CS248" s="9"/>
      <c r="CT248" s="9"/>
      <c r="CU248" s="9"/>
      <c r="CV248" s="9"/>
      <c r="CW248" s="9"/>
      <c r="CX248" s="9"/>
      <c r="CY248" s="9"/>
      <c r="CZ248" s="9"/>
      <c r="DA248" s="9"/>
      <c r="DB248" s="9"/>
      <c r="DC248" s="9"/>
      <c r="DD248" s="9"/>
      <c r="DE248" s="9"/>
      <c r="DF248" s="9"/>
      <c r="DG248" s="9"/>
      <c r="DH248" s="9"/>
      <c r="DI248" s="9"/>
      <c r="DJ248" s="9"/>
      <c r="DK248" s="9"/>
      <c r="DL248" s="9"/>
      <c r="DM248" s="9"/>
      <c r="DN248" s="9"/>
      <c r="DO248" s="9"/>
      <c r="DP248" s="9"/>
      <c r="DQ248" s="9"/>
      <c r="DR248" s="9"/>
      <c r="DS248" s="9"/>
      <c r="DT248" s="9"/>
      <c r="DU248" s="9"/>
      <c r="DV248" s="9"/>
      <c r="DW248" s="9"/>
      <c r="DX248" s="9"/>
      <c r="DY248" s="9"/>
      <c r="DZ248" s="9"/>
      <c r="EA248" s="9"/>
      <c r="EB248" s="9"/>
      <c r="EC248" s="9"/>
      <c r="ED248" s="9"/>
      <c r="EE248" s="9"/>
      <c r="EF248" s="9"/>
      <c r="EG248" s="9"/>
      <c r="EH248" s="9"/>
      <c r="EI248" s="9"/>
      <c r="EJ248" s="9"/>
      <c r="EK248" s="9"/>
      <c r="EL248" s="9"/>
      <c r="EM248" s="9"/>
      <c r="EN248" s="9"/>
      <c r="EO248" s="9"/>
      <c r="EP248" s="9"/>
      <c r="EQ248" s="9"/>
      <c r="ER248" s="9"/>
      <c r="ES248" s="9"/>
      <c r="ET248" s="9"/>
      <c r="EU248" s="9"/>
      <c r="EV248" s="9"/>
      <c r="EW248" s="9"/>
      <c r="EX248" s="9"/>
      <c r="EY248" s="9"/>
      <c r="EZ248" s="9"/>
      <c r="FA248" s="9"/>
      <c r="FB248" s="9"/>
      <c r="FC248" s="9"/>
      <c r="FD248" s="9"/>
      <c r="FE248" s="9"/>
      <c r="FF248" s="9"/>
      <c r="FG248" s="9"/>
      <c r="FH248" s="9"/>
      <c r="FI248" s="9"/>
      <c r="FJ248" s="9"/>
      <c r="FK248" s="9"/>
      <c r="FL248" s="9"/>
      <c r="FM248" s="9"/>
      <c r="FN248" s="9"/>
      <c r="FO248" s="9"/>
      <c r="FP248" s="9"/>
      <c r="FQ248" s="9"/>
      <c r="FR248" s="9"/>
      <c r="FS248" s="9"/>
      <c r="FT248" s="9"/>
      <c r="FU248" s="9"/>
      <c r="FV248" s="9"/>
      <c r="FW248" s="9"/>
      <c r="FX248" s="9"/>
      <c r="FY248" s="9"/>
      <c r="FZ248" s="9"/>
      <c r="GA248" s="9"/>
      <c r="GB248" s="9"/>
      <c r="GC248" s="9"/>
      <c r="GD248" s="9"/>
      <c r="GE248" s="9"/>
      <c r="GF248" s="9"/>
      <c r="GG248" s="9"/>
      <c r="GH248" s="9"/>
      <c r="GI248" s="9"/>
      <c r="GJ248" s="9"/>
      <c r="GK248" s="9"/>
      <c r="GL248" s="9"/>
      <c r="GM248" s="9"/>
      <c r="GN248" s="9"/>
      <c r="GO248" s="9"/>
      <c r="GP248" s="9"/>
      <c r="GQ248" s="9"/>
      <c r="GR248" s="9"/>
      <c r="GS248" s="9"/>
      <c r="GT248" s="9"/>
      <c r="GU248" s="9"/>
      <c r="GV248" s="9"/>
      <c r="GW248" s="9"/>
      <c r="GX248" s="9"/>
      <c r="GY248" s="9"/>
      <c r="GZ248" s="9"/>
      <c r="HA248" s="9"/>
      <c r="HB248" s="9"/>
      <c r="HC248" s="9"/>
      <c r="HD248" s="9"/>
      <c r="HE248" s="9"/>
      <c r="HF248" s="9"/>
      <c r="HG248" s="9"/>
      <c r="HH248" s="9"/>
      <c r="HI248" s="9"/>
      <c r="HJ248" s="9"/>
      <c r="HK248" s="9"/>
      <c r="HL248" s="9"/>
      <c r="HM248" s="9"/>
      <c r="HN248" s="9"/>
      <c r="HO248" s="9"/>
      <c r="HP248" s="9"/>
      <c r="HQ248" s="9"/>
      <c r="HR248" s="9"/>
      <c r="HS248" s="9"/>
      <c r="HT248" s="9"/>
      <c r="HU248" s="9"/>
      <c r="HV248" s="9"/>
      <c r="HW248" s="9"/>
      <c r="HX248" s="9"/>
      <c r="HY248" s="9"/>
      <c r="HZ248" s="9"/>
      <c r="IA248" s="9"/>
      <c r="IB248" s="9"/>
      <c r="IC248" s="9"/>
      <c r="ID248" s="9"/>
      <c r="IE248" s="9"/>
      <c r="IF248" s="9"/>
      <c r="IG248" s="9"/>
      <c r="IH248" s="9"/>
      <c r="II248" s="9"/>
      <c r="IJ248" s="9"/>
      <c r="IK248" s="9"/>
      <c r="IL248" s="9"/>
      <c r="IM248" s="9"/>
      <c r="IN248" s="9"/>
      <c r="IO248" s="9"/>
      <c r="IP248" s="9"/>
      <c r="IQ248" s="9"/>
      <c r="IR248" s="9"/>
      <c r="IS248" s="9"/>
      <c r="IT248" s="9"/>
      <c r="IU248" s="9"/>
      <c r="IV248" s="9"/>
      <c r="IW248" s="9"/>
      <c r="IX248" s="9"/>
      <c r="IY248" s="9"/>
      <c r="IZ248" s="9"/>
      <c r="JA248" s="9"/>
      <c r="JB248" s="9"/>
      <c r="JC248" s="9"/>
      <c r="JD248" s="9"/>
      <c r="JE248" s="9"/>
      <c r="JF248" s="9"/>
      <c r="JG248" s="9"/>
      <c r="JH248" s="9"/>
      <c r="JI248" s="9"/>
      <c r="JJ248" s="9"/>
      <c r="JK248" s="9"/>
      <c r="JL248" s="9"/>
      <c r="JM248" s="9"/>
      <c r="JN248" s="9"/>
      <c r="JO248" s="9"/>
      <c r="JP248" s="9"/>
      <c r="JQ248" s="9"/>
      <c r="JR248" s="9"/>
      <c r="JS248" s="9"/>
      <c r="JT248" s="9"/>
      <c r="JU248" s="9"/>
      <c r="JV248" s="9"/>
      <c r="JW248" s="9"/>
      <c r="JX248" s="9"/>
      <c r="JY248" s="9"/>
      <c r="JZ248" s="9"/>
      <c r="KA248" s="9"/>
      <c r="KB248" s="9"/>
      <c r="KC248" s="9"/>
      <c r="KD248" s="9"/>
      <c r="KE248" s="9"/>
      <c r="KF248" s="9"/>
      <c r="KG248" s="9"/>
      <c r="KH248" s="9"/>
      <c r="KI248" s="9"/>
      <c r="KJ248" s="9"/>
      <c r="KK248" s="9"/>
      <c r="KL248" s="9"/>
      <c r="KM248" s="9"/>
      <c r="KN248" s="9"/>
      <c r="KO248" s="9"/>
      <c r="KP248" s="9"/>
      <c r="KQ248" s="9"/>
      <c r="KR248" s="9"/>
      <c r="KS248" s="9"/>
      <c r="KT248" s="9"/>
      <c r="KU248" s="9"/>
      <c r="KV248" s="9"/>
      <c r="KW248" s="9"/>
      <c r="KX248" s="9"/>
      <c r="KY248" s="9"/>
      <c r="KZ248" s="9"/>
      <c r="LA248" s="9"/>
      <c r="LB248" s="9"/>
      <c r="LC248" s="9"/>
      <c r="LD248" s="9"/>
      <c r="LE248" s="9"/>
      <c r="LF248" s="9"/>
      <c r="LG248" s="9"/>
      <c r="LH248" s="9"/>
      <c r="LI248" s="9"/>
      <c r="LJ248" s="9"/>
      <c r="LK248" s="9"/>
      <c r="LL248" s="9"/>
      <c r="LM248" s="9"/>
      <c r="LN248" s="9"/>
      <c r="LO248" s="9"/>
      <c r="LP248" s="9"/>
      <c r="LQ248" s="9"/>
      <c r="LR248" s="9"/>
      <c r="LS248" s="9"/>
      <c r="LT248" s="9"/>
      <c r="LU248" s="9"/>
      <c r="LV248" s="9"/>
      <c r="LW248" s="9"/>
      <c r="LX248" s="9"/>
      <c r="LY248" s="9"/>
      <c r="LZ248" s="9"/>
      <c r="MA248" s="9"/>
      <c r="MB248" s="9"/>
      <c r="MC248" s="9"/>
      <c r="MD248" s="9"/>
      <c r="ME248" s="9"/>
      <c r="MF248" s="9"/>
      <c r="MG248" s="9"/>
      <c r="MH248" s="9"/>
      <c r="MI248" s="9"/>
      <c r="MJ248" s="9"/>
      <c r="MK248" s="9"/>
      <c r="ML248" s="9"/>
      <c r="MM248" s="9"/>
      <c r="MN248" s="9"/>
      <c r="MO248" s="9"/>
      <c r="MP248" s="9"/>
      <c r="MQ248" s="9"/>
      <c r="MR248" s="9"/>
      <c r="MS248" s="9"/>
      <c r="MT248" s="9"/>
      <c r="MU248" s="9"/>
      <c r="MV248" s="9"/>
      <c r="MW248" s="9"/>
      <c r="MX248" s="9"/>
      <c r="MY248" s="9"/>
      <c r="MZ248" s="9"/>
      <c r="NA248" s="9"/>
      <c r="NB248" s="9"/>
      <c r="NC248" s="9"/>
      <c r="ND248" s="9"/>
      <c r="NE248" s="9"/>
      <c r="NF248" s="9"/>
      <c r="NG248" s="9"/>
      <c r="NH248" s="9"/>
      <c r="NI248" s="9"/>
      <c r="NJ248" s="9"/>
      <c r="NK248" s="9"/>
      <c r="NL248" s="9"/>
      <c r="NM248" s="9"/>
      <c r="NN248" s="9"/>
      <c r="NO248" s="9"/>
      <c r="NP248" s="9"/>
      <c r="NQ248" s="9"/>
      <c r="NR248" s="9"/>
      <c r="NS248" s="9"/>
      <c r="NT248" s="9"/>
      <c r="NU248" s="9"/>
      <c r="NV248" s="9"/>
      <c r="NW248" s="9"/>
      <c r="NX248" s="9"/>
      <c r="NY248" s="9"/>
      <c r="NZ248" s="9"/>
      <c r="OA248" s="9"/>
      <c r="OB248" s="9"/>
      <c r="OC248" s="9"/>
      <c r="OD248" s="9"/>
      <c r="OE248" s="9"/>
      <c r="OF248" s="9"/>
      <c r="OG248" s="9"/>
      <c r="OH248" s="9"/>
      <c r="OI248" s="9"/>
      <c r="OJ248" s="9"/>
      <c r="OK248" s="9"/>
      <c r="OL248" s="9"/>
      <c r="OM248" s="9"/>
      <c r="ON248" s="9"/>
      <c r="OO248" s="9"/>
      <c r="OP248" s="9"/>
      <c r="OQ248" s="9"/>
      <c r="OR248" s="9"/>
      <c r="OS248" s="9"/>
      <c r="OT248" s="9"/>
      <c r="OU248" s="9"/>
      <c r="OV248" s="9"/>
      <c r="OW248" s="9"/>
      <c r="OX248" s="9"/>
      <c r="OY248" s="9"/>
      <c r="OZ248" s="9"/>
      <c r="PA248" s="9"/>
      <c r="PB248" s="9"/>
      <c r="PC248" s="9"/>
      <c r="PD248" s="9"/>
      <c r="PE248" s="9"/>
      <c r="PF248" s="9"/>
      <c r="PG248" s="9"/>
      <c r="PH248" s="9"/>
      <c r="PI248" s="9"/>
      <c r="PJ248" s="9"/>
      <c r="PK248" s="9"/>
      <c r="PL248" s="9"/>
      <c r="PM248" s="9"/>
      <c r="PN248" s="9"/>
      <c r="PO248" s="9"/>
      <c r="PP248" s="9"/>
      <c r="PQ248" s="9"/>
      <c r="PR248" s="9"/>
      <c r="PS248" s="9"/>
      <c r="PT248" s="9"/>
      <c r="PU248" s="9"/>
      <c r="PV248" s="9"/>
      <c r="PW248" s="9"/>
      <c r="PX248" s="9"/>
      <c r="PY248" s="9"/>
      <c r="PZ248" s="9"/>
      <c r="QA248" s="9"/>
      <c r="QB248" s="9"/>
      <c r="QC248" s="9"/>
      <c r="QD248" s="9"/>
      <c r="QE248" s="9"/>
      <c r="QF248" s="9"/>
      <c r="QG248" s="9"/>
      <c r="QH248" s="9"/>
      <c r="QI248" s="9"/>
      <c r="QJ248" s="9"/>
      <c r="QK248" s="9"/>
      <c r="QL248" s="9"/>
      <c r="QM248" s="9"/>
      <c r="QN248" s="9"/>
      <c r="QO248" s="9"/>
      <c r="QP248" s="9"/>
      <c r="QQ248" s="9"/>
      <c r="QR248" s="9"/>
      <c r="QS248" s="9"/>
      <c r="QT248" s="9"/>
      <c r="QU248" s="9"/>
      <c r="QV248" s="9"/>
      <c r="QW248" s="9"/>
      <c r="QX248" s="9"/>
      <c r="QY248" s="9"/>
      <c r="QZ248" s="9"/>
      <c r="RA248" s="9"/>
      <c r="RB248" s="9"/>
      <c r="RC248" s="9"/>
      <c r="RD248" s="9"/>
      <c r="RE248" s="9"/>
      <c r="RF248" s="9"/>
      <c r="RG248" s="9"/>
      <c r="RH248" s="9"/>
      <c r="RI248" s="9"/>
      <c r="RJ248" s="9"/>
      <c r="RK248" s="9"/>
      <c r="RL248" s="9"/>
      <c r="RM248" s="9"/>
      <c r="RN248" s="9"/>
      <c r="RO248" s="9"/>
      <c r="RP248" s="9"/>
      <c r="RQ248" s="9"/>
      <c r="RR248" s="9"/>
      <c r="RS248" s="9"/>
      <c r="RT248" s="9"/>
      <c r="RU248" s="9"/>
      <c r="RV248" s="9"/>
      <c r="RW248" s="9"/>
      <c r="RX248" s="9"/>
      <c r="RY248" s="9"/>
      <c r="RZ248" s="9"/>
      <c r="SA248" s="9"/>
      <c r="SB248" s="9"/>
      <c r="SC248" s="9"/>
      <c r="SD248" s="9"/>
      <c r="SE248" s="9"/>
      <c r="SF248" s="9"/>
      <c r="SG248" s="9"/>
      <c r="SH248" s="9"/>
      <c r="SI248" s="9"/>
      <c r="SJ248" s="9"/>
      <c r="SK248" s="8"/>
      <c r="SL248" s="8"/>
      <c r="SM248" s="8"/>
      <c r="SN248" s="8"/>
      <c r="SO248" s="8"/>
      <c r="SP248" s="8"/>
      <c r="SQ248" s="8"/>
      <c r="SR248" s="8"/>
      <c r="SS248" s="8"/>
      <c r="ST248" s="8"/>
      <c r="SU248" s="8"/>
      <c r="SV248" s="8"/>
      <c r="SW248" s="8"/>
      <c r="SX248" s="8"/>
      <c r="SY248" s="8"/>
      <c r="SZ248" s="8"/>
      <c r="TA248" s="8"/>
      <c r="TB248" s="8"/>
      <c r="TC248" s="8"/>
      <c r="TD248" s="8"/>
      <c r="TE248" s="8"/>
      <c r="TF248" s="8"/>
      <c r="TG248" s="8"/>
      <c r="TH248" s="8"/>
      <c r="TI248" s="8"/>
      <c r="TJ248" s="8"/>
      <c r="TK248" s="8"/>
      <c r="TL248" s="8"/>
      <c r="TM248" s="8"/>
      <c r="TN248" s="8"/>
      <c r="TO248" s="8"/>
    </row>
    <row r="249" spans="1:535" x14ac:dyDescent="0.2">
      <c r="A249" s="7"/>
      <c r="B249" s="7"/>
      <c r="C249" s="9"/>
      <c r="D249" s="8"/>
      <c r="E249" s="8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9"/>
      <c r="BH249" s="9"/>
      <c r="BI249" s="9"/>
      <c r="BJ249" s="9"/>
      <c r="BK249" s="9"/>
      <c r="BL249" s="9"/>
      <c r="BM249" s="9"/>
      <c r="BN249" s="9"/>
      <c r="BO249" s="9"/>
      <c r="BP249" s="9"/>
      <c r="BQ249" s="9"/>
      <c r="BR249" s="9"/>
      <c r="BS249" s="9"/>
      <c r="BT249" s="9"/>
      <c r="BU249" s="9"/>
      <c r="BV249" s="9"/>
      <c r="BW249" s="9"/>
      <c r="BX249" s="9"/>
      <c r="BY249" s="9"/>
      <c r="BZ249" s="9"/>
      <c r="CA249" s="9"/>
      <c r="CB249" s="9"/>
      <c r="CC249" s="9"/>
      <c r="CD249" s="9"/>
      <c r="CE249" s="9"/>
      <c r="CF249" s="9"/>
      <c r="CG249" s="9"/>
      <c r="CH249" s="9"/>
      <c r="CI249" s="9"/>
      <c r="CJ249" s="9"/>
      <c r="CK249" s="9"/>
      <c r="CL249" s="9"/>
      <c r="CM249" s="9"/>
      <c r="CN249" s="9"/>
      <c r="CO249" s="9"/>
      <c r="CP249" s="9"/>
      <c r="CQ249" s="9"/>
      <c r="CR249" s="9"/>
      <c r="CS249" s="9"/>
      <c r="CT249" s="9"/>
      <c r="CU249" s="9"/>
      <c r="CV249" s="9"/>
      <c r="CW249" s="9"/>
      <c r="CX249" s="9"/>
      <c r="CY249" s="9"/>
      <c r="CZ249" s="9"/>
      <c r="DA249" s="9"/>
      <c r="DB249" s="9"/>
      <c r="DC249" s="9"/>
      <c r="DD249" s="9"/>
      <c r="DE249" s="9"/>
      <c r="DF249" s="9"/>
      <c r="DG249" s="9"/>
      <c r="DH249" s="9"/>
      <c r="DI249" s="9"/>
      <c r="DJ249" s="9"/>
      <c r="DK249" s="9"/>
      <c r="DL249" s="9"/>
      <c r="DM249" s="9"/>
      <c r="DN249" s="9"/>
      <c r="DO249" s="9"/>
      <c r="DP249" s="9"/>
      <c r="DQ249" s="9"/>
      <c r="DR249" s="9"/>
      <c r="DS249" s="9"/>
      <c r="DT249" s="9"/>
      <c r="DU249" s="9"/>
      <c r="DV249" s="9"/>
      <c r="DW249" s="9"/>
      <c r="DX249" s="9"/>
      <c r="DY249" s="9"/>
      <c r="DZ249" s="9"/>
      <c r="EA249" s="9"/>
      <c r="EB249" s="9"/>
      <c r="EC249" s="9"/>
      <c r="ED249" s="9"/>
      <c r="EE249" s="9"/>
      <c r="EF249" s="9"/>
      <c r="EG249" s="9"/>
      <c r="EH249" s="9"/>
      <c r="EI249" s="9"/>
      <c r="EJ249" s="9"/>
      <c r="EK249" s="9"/>
      <c r="EL249" s="9"/>
      <c r="EM249" s="9"/>
      <c r="EN249" s="9"/>
      <c r="EO249" s="9"/>
      <c r="EP249" s="9"/>
      <c r="EQ249" s="9"/>
      <c r="ER249" s="9"/>
      <c r="ES249" s="9"/>
      <c r="ET249" s="9"/>
      <c r="EU249" s="9"/>
      <c r="EV249" s="9"/>
      <c r="EW249" s="9"/>
      <c r="EX249" s="9"/>
      <c r="EY249" s="9"/>
      <c r="EZ249" s="9"/>
      <c r="FA249" s="9"/>
      <c r="FB249" s="9"/>
      <c r="FC249" s="9"/>
      <c r="FD249" s="9"/>
      <c r="FE249" s="9"/>
      <c r="FF249" s="9"/>
      <c r="FG249" s="9"/>
      <c r="FH249" s="9"/>
      <c r="FI249" s="9"/>
      <c r="FJ249" s="9"/>
      <c r="FK249" s="9"/>
      <c r="FL249" s="9"/>
      <c r="FM249" s="9"/>
      <c r="FN249" s="9"/>
      <c r="FO249" s="9"/>
      <c r="FP249" s="9"/>
      <c r="FQ249" s="9"/>
      <c r="FR249" s="9"/>
      <c r="FS249" s="9"/>
      <c r="FT249" s="9"/>
      <c r="FU249" s="9"/>
      <c r="FV249" s="9"/>
      <c r="FW249" s="9"/>
      <c r="FX249" s="9"/>
      <c r="FY249" s="9"/>
      <c r="FZ249" s="9"/>
      <c r="GA249" s="9"/>
      <c r="GB249" s="9"/>
      <c r="GC249" s="9"/>
      <c r="GD249" s="9"/>
      <c r="GE249" s="9"/>
      <c r="GF249" s="9"/>
      <c r="GG249" s="9"/>
      <c r="GH249" s="9"/>
      <c r="GI249" s="9"/>
      <c r="GJ249" s="9"/>
      <c r="GK249" s="9"/>
      <c r="GL249" s="9"/>
      <c r="GM249" s="9"/>
      <c r="GN249" s="9"/>
      <c r="GO249" s="9"/>
      <c r="GP249" s="9"/>
      <c r="GQ249" s="9"/>
      <c r="GR249" s="9"/>
      <c r="GS249" s="9"/>
      <c r="GT249" s="9"/>
      <c r="GU249" s="9"/>
      <c r="GV249" s="9"/>
      <c r="GW249" s="9"/>
      <c r="GX249" s="9"/>
      <c r="GY249" s="9"/>
      <c r="GZ249" s="9"/>
      <c r="HA249" s="9"/>
      <c r="HB249" s="9"/>
      <c r="HC249" s="9"/>
      <c r="HD249" s="9"/>
      <c r="HE249" s="9"/>
      <c r="HF249" s="9"/>
      <c r="HG249" s="9"/>
      <c r="HH249" s="9"/>
      <c r="HI249" s="9"/>
      <c r="HJ249" s="9"/>
      <c r="HK249" s="9"/>
      <c r="HL249" s="9"/>
      <c r="HM249" s="9"/>
      <c r="HN249" s="9"/>
      <c r="HO249" s="9"/>
      <c r="HP249" s="9"/>
      <c r="HQ249" s="9"/>
      <c r="HR249" s="9"/>
      <c r="HS249" s="9"/>
      <c r="HT249" s="9"/>
      <c r="HU249" s="9"/>
      <c r="HV249" s="9"/>
      <c r="HW249" s="9"/>
      <c r="HX249" s="9"/>
      <c r="HY249" s="9"/>
      <c r="HZ249" s="9"/>
      <c r="IA249" s="9"/>
      <c r="IB249" s="9"/>
      <c r="IC249" s="9"/>
      <c r="ID249" s="9"/>
      <c r="IE249" s="9"/>
      <c r="IF249" s="9"/>
      <c r="IG249" s="9"/>
      <c r="IH249" s="9"/>
      <c r="II249" s="9"/>
      <c r="IJ249" s="9"/>
      <c r="IK249" s="9"/>
      <c r="IL249" s="9"/>
      <c r="IM249" s="9"/>
      <c r="IN249" s="9"/>
      <c r="IO249" s="9"/>
      <c r="IP249" s="9"/>
      <c r="IQ249" s="9"/>
      <c r="IR249" s="9"/>
      <c r="IS249" s="9"/>
      <c r="IT249" s="9"/>
      <c r="IU249" s="9"/>
      <c r="IV249" s="9"/>
      <c r="IW249" s="9"/>
      <c r="IX249" s="9"/>
      <c r="IY249" s="9"/>
      <c r="IZ249" s="9"/>
      <c r="JA249" s="9"/>
      <c r="JB249" s="9"/>
      <c r="JC249" s="9"/>
      <c r="JD249" s="9"/>
      <c r="JE249" s="9"/>
      <c r="JF249" s="9"/>
      <c r="JG249" s="9"/>
      <c r="JH249" s="9"/>
      <c r="JI249" s="9"/>
      <c r="JJ249" s="9"/>
      <c r="JK249" s="9"/>
      <c r="JL249" s="9"/>
      <c r="JM249" s="9"/>
      <c r="JN249" s="9"/>
      <c r="JO249" s="9"/>
      <c r="JP249" s="9"/>
      <c r="JQ249" s="9"/>
      <c r="JR249" s="9"/>
      <c r="JS249" s="9"/>
      <c r="JT249" s="9"/>
      <c r="JU249" s="9"/>
      <c r="JV249" s="9"/>
      <c r="JW249" s="9"/>
      <c r="JX249" s="9"/>
      <c r="JY249" s="9"/>
      <c r="JZ249" s="9"/>
      <c r="KA249" s="9"/>
      <c r="KB249" s="9"/>
      <c r="KC249" s="9"/>
      <c r="KD249" s="9"/>
      <c r="KE249" s="9"/>
      <c r="KF249" s="9"/>
      <c r="KG249" s="9"/>
      <c r="KH249" s="9"/>
      <c r="KI249" s="9"/>
      <c r="KJ249" s="9"/>
      <c r="KK249" s="9"/>
      <c r="KL249" s="9"/>
      <c r="KM249" s="9"/>
      <c r="KN249" s="9"/>
      <c r="KO249" s="9"/>
      <c r="KP249" s="9"/>
      <c r="KQ249" s="9"/>
      <c r="KR249" s="9"/>
      <c r="KS249" s="9"/>
      <c r="KT249" s="9"/>
      <c r="KU249" s="9"/>
      <c r="KV249" s="9"/>
      <c r="KW249" s="9"/>
      <c r="KX249" s="9"/>
      <c r="KY249" s="9"/>
      <c r="KZ249" s="9"/>
      <c r="LA249" s="9"/>
      <c r="LB249" s="9"/>
      <c r="LC249" s="9"/>
      <c r="LD249" s="9"/>
      <c r="LE249" s="9"/>
      <c r="LF249" s="9"/>
      <c r="LG249" s="9"/>
      <c r="LH249" s="9"/>
      <c r="LI249" s="9"/>
      <c r="LJ249" s="9"/>
      <c r="LK249" s="9"/>
      <c r="LL249" s="9"/>
      <c r="LM249" s="9"/>
      <c r="LN249" s="9"/>
      <c r="LO249" s="9"/>
      <c r="LP249" s="9"/>
      <c r="LQ249" s="9"/>
      <c r="LR249" s="9"/>
      <c r="LS249" s="9"/>
      <c r="LT249" s="9"/>
      <c r="LU249" s="9"/>
      <c r="LV249" s="9"/>
      <c r="LW249" s="9"/>
      <c r="LX249" s="9"/>
      <c r="LY249" s="9"/>
      <c r="LZ249" s="9"/>
      <c r="MA249" s="9"/>
      <c r="MB249" s="9"/>
      <c r="MC249" s="9"/>
      <c r="MD249" s="9"/>
      <c r="ME249" s="9"/>
      <c r="MF249" s="9"/>
      <c r="MG249" s="9"/>
      <c r="MH249" s="9"/>
      <c r="MI249" s="9"/>
      <c r="MJ249" s="9"/>
      <c r="MK249" s="9"/>
      <c r="ML249" s="9"/>
      <c r="MM249" s="9"/>
      <c r="MN249" s="9"/>
      <c r="MO249" s="9"/>
      <c r="MP249" s="9"/>
      <c r="MQ249" s="9"/>
      <c r="MR249" s="9"/>
      <c r="MS249" s="9"/>
      <c r="MT249" s="9"/>
      <c r="MU249" s="9"/>
      <c r="MV249" s="9"/>
      <c r="MW249" s="9"/>
      <c r="MX249" s="9"/>
      <c r="MY249" s="9"/>
      <c r="MZ249" s="9"/>
      <c r="NA249" s="9"/>
      <c r="NB249" s="9"/>
      <c r="NC249" s="9"/>
      <c r="ND249" s="9"/>
      <c r="NE249" s="9"/>
      <c r="NF249" s="9"/>
      <c r="NG249" s="9"/>
      <c r="NH249" s="9"/>
      <c r="NI249" s="9"/>
      <c r="NJ249" s="9"/>
      <c r="NK249" s="9"/>
      <c r="NL249" s="9"/>
      <c r="NM249" s="9"/>
      <c r="NN249" s="9"/>
      <c r="NO249" s="9"/>
      <c r="NP249" s="9"/>
      <c r="NQ249" s="9"/>
      <c r="NR249" s="9"/>
      <c r="NS249" s="9"/>
      <c r="NT249" s="9"/>
      <c r="NU249" s="9"/>
      <c r="NV249" s="9"/>
      <c r="NW249" s="9"/>
      <c r="NX249" s="9"/>
      <c r="NY249" s="9"/>
      <c r="NZ249" s="9"/>
      <c r="OA249" s="9"/>
      <c r="OB249" s="9"/>
      <c r="OC249" s="9"/>
      <c r="OD249" s="9"/>
      <c r="OE249" s="9"/>
      <c r="OF249" s="9"/>
      <c r="OG249" s="9"/>
      <c r="OH249" s="9"/>
      <c r="OI249" s="9"/>
      <c r="OJ249" s="9"/>
      <c r="OK249" s="9"/>
      <c r="OL249" s="9"/>
      <c r="OM249" s="9"/>
      <c r="ON249" s="9"/>
      <c r="OO249" s="9"/>
      <c r="OP249" s="9"/>
      <c r="OQ249" s="9"/>
      <c r="OR249" s="9"/>
      <c r="OS249" s="9"/>
      <c r="OT249" s="9"/>
      <c r="OU249" s="9"/>
      <c r="OV249" s="9"/>
      <c r="OW249" s="9"/>
      <c r="OX249" s="9"/>
      <c r="OY249" s="9"/>
      <c r="OZ249" s="9"/>
      <c r="PA249" s="9"/>
      <c r="PB249" s="9"/>
      <c r="PC249" s="9"/>
      <c r="PD249" s="9"/>
      <c r="PE249" s="9"/>
      <c r="PF249" s="9"/>
      <c r="PG249" s="9"/>
      <c r="PH249" s="9"/>
      <c r="PI249" s="9"/>
      <c r="PJ249" s="9"/>
      <c r="PK249" s="9"/>
      <c r="PL249" s="9"/>
      <c r="PM249" s="9"/>
      <c r="PN249" s="9"/>
      <c r="PO249" s="9"/>
      <c r="PP249" s="9"/>
      <c r="PQ249" s="9"/>
      <c r="PR249" s="9"/>
      <c r="PS249" s="9"/>
      <c r="PT249" s="9"/>
      <c r="PU249" s="9"/>
      <c r="PV249" s="9"/>
      <c r="PW249" s="9"/>
      <c r="PX249" s="9"/>
      <c r="PY249" s="9"/>
      <c r="PZ249" s="9"/>
      <c r="QA249" s="9"/>
      <c r="QB249" s="9"/>
      <c r="QC249" s="9"/>
      <c r="QD249" s="9"/>
      <c r="QE249" s="9"/>
      <c r="QF249" s="9"/>
      <c r="QG249" s="9"/>
      <c r="QH249" s="9"/>
      <c r="QI249" s="9"/>
      <c r="QJ249" s="9"/>
      <c r="QK249" s="9"/>
      <c r="QL249" s="9"/>
      <c r="QM249" s="9"/>
      <c r="QN249" s="9"/>
      <c r="QO249" s="9"/>
      <c r="QP249" s="9"/>
      <c r="QQ249" s="9"/>
      <c r="QR249" s="9"/>
      <c r="QS249" s="9"/>
      <c r="QT249" s="9"/>
      <c r="QU249" s="9"/>
      <c r="QV249" s="9"/>
      <c r="QW249" s="9"/>
      <c r="QX249" s="9"/>
      <c r="QY249" s="9"/>
      <c r="QZ249" s="9"/>
      <c r="RA249" s="9"/>
      <c r="RB249" s="9"/>
      <c r="RC249" s="9"/>
      <c r="RD249" s="9"/>
      <c r="RE249" s="9"/>
      <c r="RF249" s="9"/>
      <c r="RG249" s="9"/>
      <c r="RH249" s="9"/>
      <c r="RI249" s="9"/>
      <c r="RJ249" s="9"/>
      <c r="RK249" s="9"/>
      <c r="RL249" s="9"/>
      <c r="RM249" s="9"/>
      <c r="RN249" s="9"/>
      <c r="RO249" s="9"/>
      <c r="RP249" s="9"/>
      <c r="RQ249" s="9"/>
      <c r="RR249" s="9"/>
      <c r="RS249" s="9"/>
      <c r="RT249" s="9"/>
      <c r="RU249" s="9"/>
      <c r="RV249" s="9"/>
      <c r="RW249" s="9"/>
      <c r="RX249" s="9"/>
      <c r="RY249" s="9"/>
      <c r="RZ249" s="9"/>
      <c r="SA249" s="9"/>
      <c r="SB249" s="9"/>
      <c r="SC249" s="9"/>
      <c r="SD249" s="9"/>
      <c r="SE249" s="9"/>
      <c r="SF249" s="9"/>
      <c r="SG249" s="9"/>
      <c r="SH249" s="9"/>
      <c r="SI249" s="9"/>
      <c r="SJ249" s="9"/>
      <c r="SK249" s="8"/>
      <c r="SL249" s="8"/>
      <c r="SM249" s="8"/>
      <c r="SN249" s="8"/>
      <c r="SO249" s="8"/>
      <c r="SP249" s="8"/>
      <c r="SQ249" s="8"/>
      <c r="SR249" s="8"/>
      <c r="SS249" s="8"/>
      <c r="ST249" s="8"/>
      <c r="SU249" s="8"/>
      <c r="SV249" s="8"/>
      <c r="SW249" s="8"/>
      <c r="SX249" s="8"/>
      <c r="SY249" s="8"/>
      <c r="SZ249" s="8"/>
      <c r="TA249" s="8"/>
      <c r="TB249" s="8"/>
      <c r="TC249" s="8"/>
      <c r="TD249" s="8"/>
      <c r="TE249" s="8"/>
      <c r="TF249" s="8"/>
      <c r="TG249" s="8"/>
      <c r="TH249" s="8"/>
      <c r="TI249" s="8"/>
      <c r="TJ249" s="8"/>
      <c r="TK249" s="8"/>
      <c r="TL249" s="8"/>
      <c r="TM249" s="8"/>
      <c r="TN249" s="8"/>
      <c r="TO249" s="8"/>
    </row>
    <row r="250" spans="1:535" x14ac:dyDescent="0.2">
      <c r="A250" s="7"/>
      <c r="B250" s="7"/>
      <c r="C250" s="9"/>
      <c r="D250" s="8"/>
      <c r="E250" s="8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9"/>
      <c r="BH250" s="9"/>
      <c r="BI250" s="9"/>
      <c r="BJ250" s="9"/>
      <c r="BK250" s="9"/>
      <c r="BL250" s="9"/>
      <c r="BM250" s="9"/>
      <c r="BN250" s="9"/>
      <c r="BO250" s="9"/>
      <c r="BP250" s="9"/>
      <c r="BQ250" s="9"/>
      <c r="BR250" s="9"/>
      <c r="BS250" s="9"/>
      <c r="BT250" s="9"/>
      <c r="BU250" s="9"/>
      <c r="BV250" s="9"/>
      <c r="BW250" s="9"/>
      <c r="BX250" s="9"/>
      <c r="BY250" s="9"/>
      <c r="BZ250" s="9"/>
      <c r="CA250" s="9"/>
      <c r="CB250" s="9"/>
      <c r="CC250" s="9"/>
      <c r="CD250" s="9"/>
      <c r="CE250" s="9"/>
      <c r="CF250" s="9"/>
      <c r="CG250" s="9"/>
      <c r="CH250" s="9"/>
      <c r="CI250" s="9"/>
      <c r="CJ250" s="9"/>
      <c r="CK250" s="9"/>
      <c r="CL250" s="9"/>
      <c r="CM250" s="9"/>
      <c r="CN250" s="9"/>
      <c r="CO250" s="9"/>
      <c r="CP250" s="9"/>
      <c r="CQ250" s="9"/>
      <c r="CR250" s="9"/>
      <c r="CS250" s="9"/>
      <c r="CT250" s="9"/>
      <c r="CU250" s="9"/>
      <c r="CV250" s="9"/>
      <c r="CW250" s="9"/>
      <c r="CX250" s="9"/>
      <c r="CY250" s="9"/>
      <c r="CZ250" s="9"/>
      <c r="DA250" s="9"/>
      <c r="DB250" s="9"/>
      <c r="DC250" s="9"/>
      <c r="DD250" s="9"/>
      <c r="DE250" s="9"/>
      <c r="DF250" s="9"/>
      <c r="DG250" s="9"/>
      <c r="DH250" s="9"/>
      <c r="DI250" s="9"/>
      <c r="DJ250" s="9"/>
      <c r="DK250" s="9"/>
      <c r="DL250" s="9"/>
      <c r="DM250" s="9"/>
      <c r="DN250" s="9"/>
      <c r="DO250" s="9"/>
      <c r="DP250" s="9"/>
      <c r="DQ250" s="9"/>
      <c r="DR250" s="9"/>
      <c r="DS250" s="9"/>
      <c r="DT250" s="9"/>
      <c r="DU250" s="9"/>
      <c r="DV250" s="9"/>
      <c r="DW250" s="9"/>
      <c r="DX250" s="9"/>
      <c r="DY250" s="9"/>
      <c r="DZ250" s="9"/>
      <c r="EA250" s="9"/>
      <c r="EB250" s="9"/>
      <c r="EC250" s="9"/>
      <c r="ED250" s="9"/>
      <c r="EE250" s="9"/>
      <c r="EF250" s="9"/>
      <c r="EG250" s="9"/>
      <c r="EH250" s="9"/>
      <c r="EI250" s="9"/>
      <c r="EJ250" s="9"/>
      <c r="EK250" s="9"/>
      <c r="EL250" s="9"/>
      <c r="EM250" s="9"/>
      <c r="EN250" s="9"/>
      <c r="EO250" s="9"/>
      <c r="EP250" s="9"/>
      <c r="EQ250" s="9"/>
      <c r="ER250" s="9"/>
      <c r="ES250" s="9"/>
      <c r="ET250" s="9"/>
      <c r="EU250" s="9"/>
      <c r="EV250" s="9"/>
      <c r="EW250" s="9"/>
      <c r="EX250" s="9"/>
      <c r="EY250" s="9"/>
      <c r="EZ250" s="9"/>
      <c r="FA250" s="9"/>
      <c r="FB250" s="9"/>
      <c r="FC250" s="9"/>
      <c r="FD250" s="9"/>
      <c r="FE250" s="9"/>
      <c r="FF250" s="9"/>
      <c r="FG250" s="9"/>
      <c r="FH250" s="9"/>
      <c r="FI250" s="9"/>
      <c r="FJ250" s="9"/>
      <c r="FK250" s="9"/>
      <c r="FL250" s="9"/>
      <c r="FM250" s="9"/>
      <c r="FN250" s="9"/>
      <c r="FO250" s="9"/>
      <c r="FP250" s="9"/>
      <c r="FQ250" s="9"/>
      <c r="FR250" s="9"/>
      <c r="FS250" s="9"/>
      <c r="FT250" s="9"/>
      <c r="FU250" s="9"/>
      <c r="FV250" s="9"/>
      <c r="FW250" s="9"/>
      <c r="FX250" s="9"/>
      <c r="FY250" s="9"/>
      <c r="FZ250" s="9"/>
      <c r="GA250" s="9"/>
      <c r="GB250" s="9"/>
      <c r="GC250" s="9"/>
      <c r="GD250" s="9"/>
      <c r="GE250" s="9"/>
      <c r="GF250" s="9"/>
      <c r="GG250" s="9"/>
      <c r="GH250" s="9"/>
      <c r="GI250" s="9"/>
      <c r="GJ250" s="9"/>
      <c r="GK250" s="9"/>
      <c r="GL250" s="9"/>
      <c r="GM250" s="9"/>
      <c r="GN250" s="9"/>
      <c r="GO250" s="9"/>
      <c r="GP250" s="9"/>
      <c r="GQ250" s="9"/>
      <c r="GR250" s="9"/>
      <c r="GS250" s="9"/>
      <c r="GT250" s="9"/>
      <c r="GU250" s="9"/>
      <c r="GV250" s="9"/>
      <c r="GW250" s="9"/>
      <c r="GX250" s="9"/>
      <c r="GY250" s="9"/>
      <c r="GZ250" s="9"/>
      <c r="HA250" s="9"/>
      <c r="HB250" s="9"/>
      <c r="HC250" s="9"/>
      <c r="HD250" s="9"/>
      <c r="HE250" s="9"/>
      <c r="HF250" s="9"/>
      <c r="HG250" s="9"/>
      <c r="HH250" s="9"/>
      <c r="HI250" s="9"/>
      <c r="HJ250" s="9"/>
      <c r="HK250" s="9"/>
      <c r="HL250" s="9"/>
      <c r="HM250" s="9"/>
      <c r="HN250" s="9"/>
      <c r="HO250" s="9"/>
      <c r="HP250" s="9"/>
      <c r="HQ250" s="9"/>
      <c r="HR250" s="9"/>
      <c r="HS250" s="9"/>
      <c r="HT250" s="9"/>
      <c r="HU250" s="9"/>
      <c r="HV250" s="9"/>
      <c r="HW250" s="9"/>
      <c r="HX250" s="9"/>
      <c r="HY250" s="9"/>
      <c r="HZ250" s="9"/>
      <c r="IA250" s="9"/>
      <c r="IB250" s="9"/>
      <c r="IC250" s="9"/>
      <c r="ID250" s="9"/>
      <c r="IE250" s="9"/>
      <c r="IF250" s="9"/>
      <c r="IG250" s="9"/>
      <c r="IH250" s="9"/>
      <c r="II250" s="9"/>
      <c r="IJ250" s="9"/>
      <c r="IK250" s="9"/>
      <c r="IL250" s="9"/>
      <c r="IM250" s="9"/>
      <c r="IN250" s="9"/>
      <c r="IO250" s="9"/>
      <c r="IP250" s="9"/>
      <c r="IQ250" s="9"/>
      <c r="IR250" s="9"/>
      <c r="IS250" s="9"/>
      <c r="IT250" s="9"/>
      <c r="IU250" s="9"/>
      <c r="IV250" s="9"/>
      <c r="IW250" s="9"/>
      <c r="IX250" s="9"/>
      <c r="IY250" s="9"/>
      <c r="IZ250" s="9"/>
      <c r="JA250" s="9"/>
      <c r="JB250" s="9"/>
      <c r="JC250" s="9"/>
      <c r="JD250" s="9"/>
      <c r="JE250" s="9"/>
      <c r="JF250" s="9"/>
      <c r="JG250" s="9"/>
      <c r="JH250" s="9"/>
      <c r="JI250" s="9"/>
      <c r="JJ250" s="9"/>
      <c r="JK250" s="9"/>
      <c r="JL250" s="9"/>
      <c r="JM250" s="9"/>
      <c r="JN250" s="9"/>
      <c r="JO250" s="9"/>
      <c r="JP250" s="9"/>
      <c r="JQ250" s="9"/>
      <c r="JR250" s="9"/>
      <c r="JS250" s="9"/>
      <c r="JT250" s="9"/>
      <c r="JU250" s="9"/>
      <c r="JV250" s="9"/>
      <c r="JW250" s="9"/>
      <c r="JX250" s="9"/>
      <c r="JY250" s="9"/>
      <c r="JZ250" s="9"/>
      <c r="KA250" s="9"/>
      <c r="KB250" s="9"/>
      <c r="KC250" s="9"/>
      <c r="KD250" s="9"/>
      <c r="KE250" s="9"/>
      <c r="KF250" s="9"/>
      <c r="KG250" s="9"/>
      <c r="KH250" s="9"/>
      <c r="KI250" s="9"/>
      <c r="KJ250" s="9"/>
      <c r="KK250" s="9"/>
      <c r="KL250" s="9"/>
      <c r="KM250" s="9"/>
      <c r="KN250" s="9"/>
      <c r="KO250" s="9"/>
      <c r="KP250" s="9"/>
      <c r="KQ250" s="9"/>
      <c r="KR250" s="9"/>
      <c r="KS250" s="9"/>
      <c r="KT250" s="9"/>
      <c r="KU250" s="9"/>
      <c r="KV250" s="9"/>
      <c r="KW250" s="9"/>
      <c r="KX250" s="9"/>
      <c r="KY250" s="9"/>
      <c r="KZ250" s="9"/>
      <c r="LA250" s="9"/>
      <c r="LB250" s="9"/>
      <c r="LC250" s="9"/>
      <c r="LD250" s="9"/>
      <c r="LE250" s="9"/>
      <c r="LF250" s="9"/>
      <c r="LG250" s="9"/>
      <c r="LH250" s="9"/>
      <c r="LI250" s="9"/>
      <c r="LJ250" s="9"/>
      <c r="LK250" s="9"/>
      <c r="LL250" s="9"/>
      <c r="LM250" s="9"/>
      <c r="LN250" s="9"/>
      <c r="LO250" s="9"/>
      <c r="LP250" s="9"/>
      <c r="LQ250" s="9"/>
      <c r="LR250" s="9"/>
      <c r="LS250" s="9"/>
      <c r="LT250" s="9"/>
      <c r="LU250" s="9"/>
      <c r="LV250" s="9"/>
      <c r="LW250" s="9"/>
      <c r="LX250" s="9"/>
      <c r="LY250" s="9"/>
      <c r="LZ250" s="9"/>
      <c r="MA250" s="9"/>
      <c r="MB250" s="9"/>
      <c r="MC250" s="9"/>
      <c r="MD250" s="9"/>
      <c r="ME250" s="9"/>
      <c r="MF250" s="9"/>
      <c r="MG250" s="9"/>
      <c r="MH250" s="9"/>
      <c r="MI250" s="9"/>
      <c r="MJ250" s="9"/>
      <c r="MK250" s="9"/>
      <c r="ML250" s="9"/>
      <c r="MM250" s="9"/>
      <c r="MN250" s="9"/>
      <c r="MO250" s="9"/>
      <c r="MP250" s="9"/>
      <c r="MQ250" s="9"/>
      <c r="MR250" s="9"/>
      <c r="MS250" s="9"/>
      <c r="MT250" s="9"/>
      <c r="MU250" s="9"/>
      <c r="MV250" s="9"/>
      <c r="MW250" s="9"/>
      <c r="MX250" s="9"/>
      <c r="MY250" s="9"/>
      <c r="MZ250" s="9"/>
      <c r="NA250" s="9"/>
      <c r="NB250" s="9"/>
      <c r="NC250" s="9"/>
      <c r="ND250" s="9"/>
      <c r="NE250" s="9"/>
      <c r="NF250" s="9"/>
      <c r="NG250" s="9"/>
      <c r="NH250" s="9"/>
      <c r="NI250" s="9"/>
      <c r="NJ250" s="9"/>
      <c r="NK250" s="9"/>
      <c r="NL250" s="9"/>
      <c r="NM250" s="9"/>
      <c r="NN250" s="9"/>
      <c r="NO250" s="9"/>
      <c r="NP250" s="9"/>
      <c r="NQ250" s="9"/>
      <c r="NR250" s="9"/>
      <c r="NS250" s="9"/>
      <c r="NT250" s="9"/>
      <c r="NU250" s="9"/>
      <c r="NV250" s="9"/>
      <c r="NW250" s="9"/>
      <c r="NX250" s="9"/>
      <c r="NY250" s="9"/>
      <c r="NZ250" s="9"/>
      <c r="OA250" s="9"/>
      <c r="OB250" s="9"/>
      <c r="OC250" s="9"/>
      <c r="OD250" s="9"/>
      <c r="OE250" s="9"/>
      <c r="OF250" s="9"/>
      <c r="OG250" s="9"/>
      <c r="OH250" s="9"/>
      <c r="OI250" s="9"/>
      <c r="OJ250" s="9"/>
      <c r="OK250" s="9"/>
      <c r="OL250" s="9"/>
      <c r="OM250" s="9"/>
      <c r="ON250" s="9"/>
      <c r="OO250" s="9"/>
      <c r="OP250" s="9"/>
      <c r="OQ250" s="9"/>
      <c r="OR250" s="9"/>
      <c r="OS250" s="9"/>
      <c r="OT250" s="9"/>
      <c r="OU250" s="9"/>
      <c r="OV250" s="9"/>
      <c r="OW250" s="9"/>
      <c r="OX250" s="9"/>
      <c r="OY250" s="9"/>
      <c r="OZ250" s="9"/>
      <c r="PA250" s="9"/>
      <c r="PB250" s="9"/>
      <c r="PC250" s="9"/>
      <c r="PD250" s="9"/>
      <c r="PE250" s="9"/>
      <c r="PF250" s="9"/>
      <c r="PG250" s="9"/>
      <c r="PH250" s="9"/>
      <c r="PI250" s="9"/>
      <c r="PJ250" s="9"/>
      <c r="PK250" s="9"/>
      <c r="PL250" s="9"/>
      <c r="PM250" s="9"/>
      <c r="PN250" s="9"/>
      <c r="PO250" s="9"/>
      <c r="PP250" s="9"/>
      <c r="PQ250" s="9"/>
      <c r="PR250" s="9"/>
      <c r="PS250" s="9"/>
      <c r="PT250" s="9"/>
      <c r="PU250" s="9"/>
      <c r="PV250" s="9"/>
      <c r="PW250" s="9"/>
      <c r="PX250" s="9"/>
      <c r="PY250" s="9"/>
      <c r="PZ250" s="9"/>
      <c r="QA250" s="9"/>
      <c r="QB250" s="9"/>
      <c r="QC250" s="9"/>
      <c r="QD250" s="9"/>
      <c r="QE250" s="9"/>
      <c r="QF250" s="9"/>
      <c r="QG250" s="9"/>
      <c r="QH250" s="9"/>
      <c r="QI250" s="9"/>
      <c r="QJ250" s="9"/>
      <c r="QK250" s="9"/>
      <c r="QL250" s="9"/>
      <c r="QM250" s="9"/>
      <c r="QN250" s="9"/>
      <c r="QO250" s="9"/>
      <c r="QP250" s="9"/>
      <c r="QQ250" s="9"/>
      <c r="QR250" s="9"/>
      <c r="QS250" s="9"/>
      <c r="QT250" s="9"/>
      <c r="QU250" s="9"/>
      <c r="QV250" s="9"/>
      <c r="QW250" s="9"/>
      <c r="QX250" s="9"/>
      <c r="QY250" s="9"/>
      <c r="QZ250" s="9"/>
      <c r="RA250" s="9"/>
      <c r="RB250" s="9"/>
      <c r="RC250" s="9"/>
      <c r="RD250" s="9"/>
      <c r="RE250" s="9"/>
      <c r="RF250" s="9"/>
      <c r="RG250" s="9"/>
      <c r="RH250" s="9"/>
      <c r="RI250" s="9"/>
      <c r="RJ250" s="9"/>
      <c r="RK250" s="9"/>
      <c r="RL250" s="9"/>
      <c r="RM250" s="9"/>
      <c r="RN250" s="9"/>
      <c r="RO250" s="9"/>
      <c r="RP250" s="9"/>
      <c r="RQ250" s="9"/>
      <c r="RR250" s="9"/>
      <c r="RS250" s="9"/>
      <c r="RT250" s="9"/>
      <c r="RU250" s="9"/>
      <c r="RV250" s="9"/>
      <c r="RW250" s="9"/>
      <c r="RX250" s="9"/>
      <c r="RY250" s="9"/>
      <c r="RZ250" s="9"/>
      <c r="SA250" s="9"/>
      <c r="SB250" s="9"/>
      <c r="SC250" s="9"/>
      <c r="SD250" s="9"/>
      <c r="SE250" s="9"/>
      <c r="SF250" s="9"/>
      <c r="SG250" s="9"/>
      <c r="SH250" s="9"/>
      <c r="SI250" s="9"/>
      <c r="SJ250" s="9"/>
      <c r="SK250" s="8"/>
      <c r="SL250" s="8"/>
      <c r="SM250" s="8"/>
      <c r="SN250" s="8"/>
      <c r="SO250" s="8"/>
      <c r="SP250" s="8"/>
      <c r="SQ250" s="8"/>
      <c r="SR250" s="8"/>
      <c r="SS250" s="8"/>
      <c r="ST250" s="8"/>
      <c r="SU250" s="8"/>
      <c r="SV250" s="8"/>
      <c r="SW250" s="8"/>
      <c r="SX250" s="8"/>
      <c r="SY250" s="8"/>
      <c r="SZ250" s="8"/>
      <c r="TA250" s="8"/>
      <c r="TB250" s="8"/>
      <c r="TC250" s="8"/>
      <c r="TD250" s="8"/>
      <c r="TE250" s="8"/>
      <c r="TF250" s="8"/>
      <c r="TG250" s="8"/>
      <c r="TH250" s="8"/>
      <c r="TI250" s="8"/>
      <c r="TJ250" s="8"/>
      <c r="TK250" s="8"/>
      <c r="TL250" s="8"/>
      <c r="TM250" s="8"/>
      <c r="TN250" s="8"/>
      <c r="TO250" s="8"/>
    </row>
    <row r="251" spans="1:535" x14ac:dyDescent="0.2">
      <c r="A251" s="7"/>
      <c r="B251" s="7"/>
      <c r="C251" s="9"/>
      <c r="D251" s="8"/>
      <c r="E251" s="8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/>
      <c r="BO251" s="9"/>
      <c r="BP251" s="9"/>
      <c r="BQ251" s="9"/>
      <c r="BR251" s="9"/>
      <c r="BS251" s="9"/>
      <c r="BT251" s="9"/>
      <c r="BU251" s="9"/>
      <c r="BV251" s="9"/>
      <c r="BW251" s="9"/>
      <c r="BX251" s="9"/>
      <c r="BY251" s="9"/>
      <c r="BZ251" s="9"/>
      <c r="CA251" s="9"/>
      <c r="CB251" s="9"/>
      <c r="CC251" s="9"/>
      <c r="CD251" s="9"/>
      <c r="CE251" s="9"/>
      <c r="CF251" s="9"/>
      <c r="CG251" s="9"/>
      <c r="CH251" s="9"/>
      <c r="CI251" s="9"/>
      <c r="CJ251" s="9"/>
      <c r="CK251" s="9"/>
      <c r="CL251" s="9"/>
      <c r="CM251" s="9"/>
      <c r="CN251" s="9"/>
      <c r="CO251" s="9"/>
      <c r="CP251" s="9"/>
      <c r="CQ251" s="9"/>
      <c r="CR251" s="9"/>
      <c r="CS251" s="9"/>
      <c r="CT251" s="9"/>
      <c r="CU251" s="9"/>
      <c r="CV251" s="9"/>
      <c r="CW251" s="9"/>
      <c r="CX251" s="9"/>
      <c r="CY251" s="9"/>
      <c r="CZ251" s="9"/>
      <c r="DA251" s="9"/>
      <c r="DB251" s="9"/>
      <c r="DC251" s="9"/>
      <c r="DD251" s="9"/>
      <c r="DE251" s="9"/>
      <c r="DF251" s="9"/>
      <c r="DG251" s="9"/>
      <c r="DH251" s="9"/>
      <c r="DI251" s="9"/>
      <c r="DJ251" s="9"/>
      <c r="DK251" s="9"/>
      <c r="DL251" s="9"/>
      <c r="DM251" s="9"/>
      <c r="DN251" s="9"/>
      <c r="DO251" s="9"/>
      <c r="DP251" s="9"/>
      <c r="DQ251" s="9"/>
      <c r="DR251" s="9"/>
      <c r="DS251" s="9"/>
      <c r="DT251" s="9"/>
      <c r="DU251" s="9"/>
      <c r="DV251" s="9"/>
      <c r="DW251" s="9"/>
      <c r="DX251" s="9"/>
      <c r="DY251" s="9"/>
      <c r="DZ251" s="9"/>
      <c r="EA251" s="9"/>
      <c r="EB251" s="9"/>
      <c r="EC251" s="9"/>
      <c r="ED251" s="9"/>
      <c r="EE251" s="9"/>
      <c r="EF251" s="9"/>
      <c r="EG251" s="9"/>
      <c r="EH251" s="9"/>
      <c r="EI251" s="9"/>
      <c r="EJ251" s="9"/>
      <c r="EK251" s="9"/>
      <c r="EL251" s="9"/>
      <c r="EM251" s="9"/>
      <c r="EN251" s="9"/>
      <c r="EO251" s="9"/>
      <c r="EP251" s="9"/>
      <c r="EQ251" s="9"/>
      <c r="ER251" s="9"/>
      <c r="ES251" s="9"/>
      <c r="ET251" s="9"/>
      <c r="EU251" s="9"/>
      <c r="EV251" s="9"/>
      <c r="EW251" s="9"/>
      <c r="EX251" s="9"/>
      <c r="EY251" s="9"/>
      <c r="EZ251" s="9"/>
      <c r="FA251" s="9"/>
      <c r="FB251" s="9"/>
      <c r="FC251" s="9"/>
      <c r="FD251" s="9"/>
      <c r="FE251" s="9"/>
      <c r="FF251" s="9"/>
      <c r="FG251" s="9"/>
      <c r="FH251" s="9"/>
      <c r="FI251" s="9"/>
      <c r="FJ251" s="9"/>
      <c r="FK251" s="9"/>
      <c r="FL251" s="9"/>
      <c r="FM251" s="9"/>
      <c r="FN251" s="9"/>
      <c r="FO251" s="9"/>
      <c r="FP251" s="9"/>
      <c r="FQ251" s="9"/>
      <c r="FR251" s="9"/>
      <c r="FS251" s="9"/>
      <c r="FT251" s="9"/>
      <c r="FU251" s="9"/>
      <c r="FV251" s="9"/>
      <c r="FW251" s="9"/>
      <c r="FX251" s="9"/>
      <c r="FY251" s="9"/>
      <c r="FZ251" s="9"/>
      <c r="GA251" s="9"/>
      <c r="GB251" s="9"/>
      <c r="GC251" s="9"/>
      <c r="GD251" s="9"/>
      <c r="GE251" s="9"/>
      <c r="GF251" s="9"/>
      <c r="GG251" s="9"/>
      <c r="GH251" s="9"/>
      <c r="GI251" s="9"/>
      <c r="GJ251" s="9"/>
      <c r="GK251" s="9"/>
      <c r="GL251" s="9"/>
      <c r="GM251" s="9"/>
      <c r="GN251" s="9"/>
      <c r="GO251" s="9"/>
      <c r="GP251" s="9"/>
      <c r="GQ251" s="9"/>
      <c r="GR251" s="9"/>
      <c r="GS251" s="9"/>
      <c r="GT251" s="9"/>
      <c r="GU251" s="9"/>
      <c r="GV251" s="9"/>
      <c r="GW251" s="9"/>
      <c r="GX251" s="9"/>
      <c r="GY251" s="9"/>
      <c r="GZ251" s="9"/>
      <c r="HA251" s="9"/>
      <c r="HB251" s="9"/>
      <c r="HC251" s="9"/>
      <c r="HD251" s="9"/>
      <c r="HE251" s="9"/>
      <c r="HF251" s="9"/>
      <c r="HG251" s="9"/>
      <c r="HH251" s="9"/>
      <c r="HI251" s="9"/>
      <c r="HJ251" s="9"/>
      <c r="HK251" s="9"/>
      <c r="HL251" s="9"/>
      <c r="HM251" s="9"/>
      <c r="HN251" s="9"/>
      <c r="HO251" s="9"/>
      <c r="HP251" s="9"/>
      <c r="HQ251" s="9"/>
      <c r="HR251" s="9"/>
      <c r="HS251" s="9"/>
      <c r="HT251" s="9"/>
      <c r="HU251" s="9"/>
      <c r="HV251" s="9"/>
      <c r="HW251" s="9"/>
      <c r="HX251" s="9"/>
      <c r="HY251" s="9"/>
      <c r="HZ251" s="9"/>
      <c r="IA251" s="9"/>
      <c r="IB251" s="9"/>
      <c r="IC251" s="9"/>
      <c r="ID251" s="9"/>
      <c r="IE251" s="9"/>
      <c r="IF251" s="9"/>
      <c r="IG251" s="9"/>
      <c r="IH251" s="9"/>
      <c r="II251" s="9"/>
      <c r="IJ251" s="9"/>
      <c r="IK251" s="9"/>
      <c r="IL251" s="9"/>
      <c r="IM251" s="9"/>
      <c r="IN251" s="9"/>
      <c r="IO251" s="9"/>
      <c r="IP251" s="9"/>
      <c r="IQ251" s="9"/>
      <c r="IR251" s="9"/>
      <c r="IS251" s="9"/>
      <c r="IT251" s="9"/>
      <c r="IU251" s="9"/>
      <c r="IV251" s="9"/>
      <c r="IW251" s="9"/>
      <c r="IX251" s="9"/>
      <c r="IY251" s="9"/>
      <c r="IZ251" s="9"/>
      <c r="JA251" s="9"/>
      <c r="JB251" s="9"/>
      <c r="JC251" s="9"/>
      <c r="JD251" s="9"/>
      <c r="JE251" s="9"/>
      <c r="JF251" s="9"/>
      <c r="JG251" s="9"/>
      <c r="JH251" s="9"/>
      <c r="JI251" s="9"/>
      <c r="JJ251" s="9"/>
      <c r="JK251" s="9"/>
      <c r="JL251" s="9"/>
      <c r="JM251" s="9"/>
      <c r="JN251" s="9"/>
      <c r="JO251" s="9"/>
      <c r="JP251" s="9"/>
      <c r="JQ251" s="9"/>
      <c r="JR251" s="9"/>
      <c r="JS251" s="9"/>
      <c r="JT251" s="9"/>
      <c r="JU251" s="9"/>
      <c r="JV251" s="9"/>
      <c r="JW251" s="9"/>
      <c r="JX251" s="9"/>
      <c r="JY251" s="9"/>
      <c r="JZ251" s="9"/>
      <c r="KA251" s="9"/>
      <c r="KB251" s="9"/>
      <c r="KC251" s="9"/>
      <c r="KD251" s="9"/>
      <c r="KE251" s="9"/>
      <c r="KF251" s="9"/>
      <c r="KG251" s="9"/>
      <c r="KH251" s="9"/>
      <c r="KI251" s="9"/>
      <c r="KJ251" s="9"/>
      <c r="KK251" s="9"/>
      <c r="KL251" s="9"/>
      <c r="KM251" s="9"/>
      <c r="KN251" s="9"/>
      <c r="KO251" s="9"/>
      <c r="KP251" s="9"/>
      <c r="KQ251" s="9"/>
      <c r="KR251" s="9"/>
      <c r="KS251" s="9"/>
      <c r="KT251" s="9"/>
      <c r="KU251" s="9"/>
      <c r="KV251" s="9"/>
      <c r="KW251" s="9"/>
      <c r="KX251" s="9"/>
      <c r="KY251" s="9"/>
      <c r="KZ251" s="9"/>
      <c r="LA251" s="9"/>
      <c r="LB251" s="9"/>
      <c r="LC251" s="9"/>
      <c r="LD251" s="9"/>
      <c r="LE251" s="9"/>
      <c r="LF251" s="9"/>
      <c r="LG251" s="9"/>
      <c r="LH251" s="9"/>
      <c r="LI251" s="9"/>
      <c r="LJ251" s="9"/>
      <c r="LK251" s="9"/>
      <c r="LL251" s="9"/>
      <c r="LM251" s="9"/>
      <c r="LN251" s="9"/>
      <c r="LO251" s="9"/>
      <c r="LP251" s="9"/>
      <c r="LQ251" s="9"/>
      <c r="LR251" s="9"/>
      <c r="LS251" s="9"/>
      <c r="LT251" s="9"/>
      <c r="LU251" s="9"/>
      <c r="LV251" s="9"/>
      <c r="LW251" s="9"/>
      <c r="LX251" s="9"/>
      <c r="LY251" s="9"/>
      <c r="LZ251" s="9"/>
      <c r="MA251" s="9"/>
      <c r="MB251" s="9"/>
      <c r="MC251" s="9"/>
      <c r="MD251" s="9"/>
      <c r="ME251" s="9"/>
      <c r="MF251" s="9"/>
      <c r="MG251" s="9"/>
      <c r="MH251" s="9"/>
      <c r="MI251" s="9"/>
      <c r="MJ251" s="9"/>
      <c r="MK251" s="9"/>
      <c r="ML251" s="9"/>
      <c r="MM251" s="9"/>
      <c r="MN251" s="9"/>
      <c r="MO251" s="9"/>
      <c r="MP251" s="9"/>
      <c r="MQ251" s="9"/>
      <c r="MR251" s="9"/>
      <c r="MS251" s="9"/>
      <c r="MT251" s="9"/>
      <c r="MU251" s="9"/>
      <c r="MV251" s="9"/>
      <c r="MW251" s="9"/>
      <c r="MX251" s="9"/>
      <c r="MY251" s="9"/>
      <c r="MZ251" s="9"/>
      <c r="NA251" s="9"/>
      <c r="NB251" s="9"/>
      <c r="NC251" s="9"/>
      <c r="ND251" s="9"/>
      <c r="NE251" s="9"/>
      <c r="NF251" s="9"/>
      <c r="NG251" s="9"/>
      <c r="NH251" s="9"/>
      <c r="NI251" s="9"/>
      <c r="NJ251" s="9"/>
      <c r="NK251" s="9"/>
      <c r="NL251" s="9"/>
      <c r="NM251" s="9"/>
      <c r="NN251" s="9"/>
      <c r="NO251" s="9"/>
      <c r="NP251" s="9"/>
      <c r="NQ251" s="9"/>
      <c r="NR251" s="9"/>
      <c r="NS251" s="9"/>
      <c r="NT251" s="9"/>
      <c r="NU251" s="9"/>
      <c r="NV251" s="9"/>
      <c r="NW251" s="9"/>
      <c r="NX251" s="9"/>
      <c r="NY251" s="9"/>
      <c r="NZ251" s="9"/>
      <c r="OA251" s="9"/>
      <c r="OB251" s="9"/>
      <c r="OC251" s="9"/>
      <c r="OD251" s="9"/>
      <c r="OE251" s="9"/>
      <c r="OF251" s="9"/>
      <c r="OG251" s="9"/>
      <c r="OH251" s="9"/>
      <c r="OI251" s="9"/>
      <c r="OJ251" s="9"/>
      <c r="OK251" s="9"/>
      <c r="OL251" s="9"/>
      <c r="OM251" s="9"/>
      <c r="ON251" s="9"/>
      <c r="OO251" s="9"/>
      <c r="OP251" s="9"/>
      <c r="OQ251" s="9"/>
      <c r="OR251" s="9"/>
      <c r="OS251" s="9"/>
      <c r="OT251" s="9"/>
      <c r="OU251" s="9"/>
      <c r="OV251" s="9"/>
      <c r="OW251" s="9"/>
      <c r="OX251" s="9"/>
      <c r="OY251" s="9"/>
      <c r="OZ251" s="9"/>
      <c r="PA251" s="9"/>
      <c r="PB251" s="9"/>
      <c r="PC251" s="9"/>
      <c r="PD251" s="9"/>
      <c r="PE251" s="9"/>
      <c r="PF251" s="9"/>
      <c r="PG251" s="9"/>
      <c r="PH251" s="9"/>
      <c r="PI251" s="9"/>
      <c r="PJ251" s="9"/>
      <c r="PK251" s="9"/>
      <c r="PL251" s="9"/>
      <c r="PM251" s="9"/>
      <c r="PN251" s="9"/>
      <c r="PO251" s="9"/>
      <c r="PP251" s="9"/>
      <c r="PQ251" s="9"/>
      <c r="PR251" s="9"/>
      <c r="PS251" s="9"/>
      <c r="PT251" s="9"/>
      <c r="PU251" s="9"/>
      <c r="PV251" s="9"/>
      <c r="PW251" s="9"/>
      <c r="PX251" s="9"/>
      <c r="PY251" s="9"/>
      <c r="PZ251" s="9"/>
      <c r="QA251" s="9"/>
      <c r="QB251" s="9"/>
      <c r="QC251" s="9"/>
      <c r="QD251" s="9"/>
      <c r="QE251" s="9"/>
      <c r="QF251" s="9"/>
      <c r="QG251" s="9"/>
      <c r="QH251" s="9"/>
      <c r="QI251" s="9"/>
      <c r="QJ251" s="9"/>
      <c r="QK251" s="9"/>
      <c r="QL251" s="9"/>
      <c r="QM251" s="9"/>
      <c r="QN251" s="9"/>
      <c r="QO251" s="9"/>
      <c r="QP251" s="9"/>
      <c r="QQ251" s="9"/>
      <c r="QR251" s="9"/>
      <c r="QS251" s="9"/>
      <c r="QT251" s="9"/>
      <c r="QU251" s="9"/>
      <c r="QV251" s="9"/>
      <c r="QW251" s="9"/>
      <c r="QX251" s="9"/>
      <c r="QY251" s="9"/>
      <c r="QZ251" s="9"/>
      <c r="RA251" s="9"/>
      <c r="RB251" s="9"/>
      <c r="RC251" s="9"/>
      <c r="RD251" s="9"/>
      <c r="RE251" s="9"/>
      <c r="RF251" s="9"/>
      <c r="RG251" s="9"/>
      <c r="RH251" s="9"/>
      <c r="RI251" s="9"/>
      <c r="RJ251" s="9"/>
      <c r="RK251" s="9"/>
      <c r="RL251" s="9"/>
      <c r="RM251" s="9"/>
      <c r="RN251" s="9"/>
      <c r="RO251" s="9"/>
      <c r="RP251" s="9"/>
      <c r="RQ251" s="9"/>
      <c r="RR251" s="9"/>
      <c r="RS251" s="9"/>
      <c r="RT251" s="9"/>
      <c r="RU251" s="9"/>
      <c r="RV251" s="9"/>
      <c r="RW251" s="9"/>
      <c r="RX251" s="9"/>
      <c r="RY251" s="9"/>
      <c r="RZ251" s="9"/>
      <c r="SA251" s="9"/>
      <c r="SB251" s="9"/>
      <c r="SC251" s="9"/>
      <c r="SD251" s="9"/>
      <c r="SE251" s="9"/>
      <c r="SF251" s="9"/>
      <c r="SG251" s="9"/>
      <c r="SH251" s="9"/>
      <c r="SI251" s="9"/>
      <c r="SJ251" s="9"/>
      <c r="SK251" s="8"/>
      <c r="SL251" s="8"/>
      <c r="SM251" s="8"/>
      <c r="SN251" s="8"/>
      <c r="SO251" s="8"/>
      <c r="SP251" s="8"/>
      <c r="SQ251" s="8"/>
      <c r="SR251" s="8"/>
      <c r="SS251" s="8"/>
      <c r="ST251" s="8"/>
      <c r="SU251" s="8"/>
      <c r="SV251" s="8"/>
      <c r="SW251" s="8"/>
      <c r="SX251" s="8"/>
      <c r="SY251" s="8"/>
      <c r="SZ251" s="8"/>
      <c r="TA251" s="8"/>
      <c r="TB251" s="8"/>
      <c r="TC251" s="8"/>
      <c r="TD251" s="8"/>
      <c r="TE251" s="8"/>
      <c r="TF251" s="8"/>
      <c r="TG251" s="8"/>
      <c r="TH251" s="8"/>
      <c r="TI251" s="8"/>
      <c r="TJ251" s="8"/>
      <c r="TK251" s="8"/>
      <c r="TL251" s="8"/>
      <c r="TM251" s="8"/>
      <c r="TN251" s="8"/>
      <c r="TO251" s="8"/>
    </row>
    <row r="252" spans="1:535" x14ac:dyDescent="0.2">
      <c r="A252" s="7"/>
      <c r="B252" s="7"/>
      <c r="C252" s="9"/>
      <c r="D252" s="8"/>
      <c r="E252" s="8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9"/>
      <c r="BH252" s="9"/>
      <c r="BI252" s="9"/>
      <c r="BJ252" s="9"/>
      <c r="BK252" s="9"/>
      <c r="BL252" s="9"/>
      <c r="BM252" s="9"/>
      <c r="BN252" s="9"/>
      <c r="BO252" s="9"/>
      <c r="BP252" s="9"/>
      <c r="BQ252" s="9"/>
      <c r="BR252" s="9"/>
      <c r="BS252" s="9"/>
      <c r="BT252" s="9"/>
      <c r="BU252" s="9"/>
      <c r="BV252" s="9"/>
      <c r="BW252" s="9"/>
      <c r="BX252" s="9"/>
      <c r="BY252" s="9"/>
      <c r="BZ252" s="9"/>
      <c r="CA252" s="9"/>
      <c r="CB252" s="9"/>
      <c r="CC252" s="9"/>
      <c r="CD252" s="9"/>
      <c r="CE252" s="9"/>
      <c r="CF252" s="9"/>
      <c r="CG252" s="9"/>
      <c r="CH252" s="9"/>
      <c r="CI252" s="9"/>
      <c r="CJ252" s="9"/>
      <c r="CK252" s="9"/>
      <c r="CL252" s="9"/>
      <c r="CM252" s="9"/>
      <c r="CN252" s="9"/>
      <c r="CO252" s="9"/>
      <c r="CP252" s="9"/>
      <c r="CQ252" s="9"/>
      <c r="CR252" s="9"/>
      <c r="CS252" s="9"/>
      <c r="CT252" s="9"/>
      <c r="CU252" s="9"/>
      <c r="CV252" s="9"/>
      <c r="CW252" s="9"/>
      <c r="CX252" s="9"/>
      <c r="CY252" s="9"/>
      <c r="CZ252" s="9"/>
      <c r="DA252" s="9"/>
      <c r="DB252" s="9"/>
      <c r="DC252" s="9"/>
      <c r="DD252" s="9"/>
      <c r="DE252" s="9"/>
      <c r="DF252" s="9"/>
      <c r="DG252" s="9"/>
      <c r="DH252" s="9"/>
      <c r="DI252" s="9"/>
      <c r="DJ252" s="9"/>
      <c r="DK252" s="9"/>
      <c r="DL252" s="9"/>
      <c r="DM252" s="9"/>
      <c r="DN252" s="9"/>
      <c r="DO252" s="9"/>
      <c r="DP252" s="9"/>
      <c r="DQ252" s="9"/>
      <c r="DR252" s="9"/>
      <c r="DS252" s="9"/>
      <c r="DT252" s="9"/>
      <c r="DU252" s="9"/>
      <c r="DV252" s="9"/>
      <c r="DW252" s="9"/>
      <c r="DX252" s="9"/>
      <c r="DY252" s="9"/>
      <c r="DZ252" s="9"/>
      <c r="EA252" s="9"/>
      <c r="EB252" s="9"/>
      <c r="EC252" s="9"/>
      <c r="ED252" s="9"/>
      <c r="EE252" s="9"/>
      <c r="EF252" s="9"/>
      <c r="EG252" s="9"/>
      <c r="EH252" s="9"/>
      <c r="EI252" s="9"/>
      <c r="EJ252" s="9"/>
      <c r="EK252" s="9"/>
      <c r="EL252" s="9"/>
      <c r="EM252" s="9"/>
      <c r="EN252" s="9"/>
      <c r="EO252" s="9"/>
      <c r="EP252" s="9"/>
      <c r="EQ252" s="9"/>
      <c r="ER252" s="9"/>
      <c r="ES252" s="9"/>
      <c r="ET252" s="9"/>
      <c r="EU252" s="9"/>
      <c r="EV252" s="9"/>
      <c r="EW252" s="9"/>
      <c r="EX252" s="9"/>
      <c r="EY252" s="9"/>
      <c r="EZ252" s="9"/>
      <c r="FA252" s="9"/>
      <c r="FB252" s="9"/>
      <c r="FC252" s="9"/>
      <c r="FD252" s="9"/>
      <c r="FE252" s="9"/>
      <c r="FF252" s="9"/>
      <c r="FG252" s="9"/>
      <c r="FH252" s="9"/>
      <c r="FI252" s="9"/>
      <c r="FJ252" s="9"/>
      <c r="FK252" s="9"/>
      <c r="FL252" s="9"/>
      <c r="FM252" s="9"/>
      <c r="FN252" s="9"/>
      <c r="FO252" s="9"/>
      <c r="FP252" s="9"/>
      <c r="FQ252" s="9"/>
      <c r="FR252" s="9"/>
      <c r="FS252" s="9"/>
      <c r="FT252" s="9"/>
      <c r="FU252" s="9"/>
      <c r="FV252" s="9"/>
      <c r="FW252" s="9"/>
      <c r="FX252" s="9"/>
      <c r="FY252" s="9"/>
      <c r="FZ252" s="9"/>
      <c r="GA252" s="9"/>
      <c r="GB252" s="9"/>
      <c r="GC252" s="9"/>
      <c r="GD252" s="9"/>
      <c r="GE252" s="9"/>
      <c r="GF252" s="9"/>
      <c r="GG252" s="9"/>
      <c r="GH252" s="9"/>
      <c r="GI252" s="9"/>
      <c r="GJ252" s="9"/>
      <c r="GK252" s="9"/>
      <c r="GL252" s="9"/>
      <c r="GM252" s="9"/>
      <c r="GN252" s="9"/>
      <c r="GO252" s="9"/>
      <c r="GP252" s="9"/>
      <c r="GQ252" s="9"/>
      <c r="GR252" s="9"/>
      <c r="GS252" s="9"/>
      <c r="GT252" s="9"/>
      <c r="GU252" s="9"/>
      <c r="GV252" s="9"/>
      <c r="GW252" s="9"/>
      <c r="GX252" s="9"/>
      <c r="GY252" s="9"/>
      <c r="GZ252" s="9"/>
      <c r="HA252" s="9"/>
      <c r="HB252" s="9"/>
      <c r="HC252" s="9"/>
      <c r="HD252" s="9"/>
      <c r="HE252" s="9"/>
      <c r="HF252" s="9"/>
      <c r="HG252" s="9"/>
      <c r="HH252" s="9"/>
      <c r="HI252" s="9"/>
      <c r="HJ252" s="9"/>
      <c r="HK252" s="9"/>
      <c r="HL252" s="9"/>
      <c r="HM252" s="9"/>
      <c r="HN252" s="9"/>
      <c r="HO252" s="9"/>
      <c r="HP252" s="9"/>
      <c r="HQ252" s="9"/>
      <c r="HR252" s="9"/>
      <c r="HS252" s="9"/>
      <c r="HT252" s="9"/>
      <c r="HU252" s="9"/>
      <c r="HV252" s="9"/>
      <c r="HW252" s="9"/>
      <c r="HX252" s="9"/>
      <c r="HY252" s="9"/>
      <c r="HZ252" s="9"/>
      <c r="IA252" s="9"/>
      <c r="IB252" s="9"/>
      <c r="IC252" s="9"/>
      <c r="ID252" s="9"/>
      <c r="IE252" s="9"/>
      <c r="IF252" s="9"/>
      <c r="IG252" s="9"/>
      <c r="IH252" s="9"/>
      <c r="II252" s="9"/>
      <c r="IJ252" s="9"/>
      <c r="IK252" s="9"/>
      <c r="IL252" s="9"/>
      <c r="IM252" s="9"/>
      <c r="IN252" s="9"/>
      <c r="IO252" s="9"/>
      <c r="IP252" s="9"/>
      <c r="IQ252" s="9"/>
      <c r="IR252" s="9"/>
      <c r="IS252" s="9"/>
      <c r="IT252" s="9"/>
      <c r="IU252" s="9"/>
      <c r="IV252" s="9"/>
      <c r="IW252" s="9"/>
      <c r="IX252" s="9"/>
      <c r="IY252" s="9"/>
      <c r="IZ252" s="9"/>
      <c r="JA252" s="9"/>
      <c r="JB252" s="9"/>
      <c r="JC252" s="9"/>
      <c r="JD252" s="9"/>
      <c r="JE252" s="9"/>
      <c r="JF252" s="9"/>
      <c r="JG252" s="9"/>
      <c r="JH252" s="9"/>
      <c r="JI252" s="9"/>
      <c r="JJ252" s="9"/>
      <c r="JK252" s="9"/>
      <c r="JL252" s="9"/>
      <c r="JM252" s="9"/>
      <c r="JN252" s="9"/>
      <c r="JO252" s="9"/>
      <c r="JP252" s="9"/>
      <c r="JQ252" s="9"/>
      <c r="JR252" s="9"/>
      <c r="JS252" s="9"/>
      <c r="JT252" s="9"/>
      <c r="JU252" s="9"/>
      <c r="JV252" s="9"/>
      <c r="JW252" s="9"/>
      <c r="JX252" s="9"/>
      <c r="JY252" s="9"/>
      <c r="JZ252" s="9"/>
      <c r="KA252" s="9"/>
      <c r="KB252" s="9"/>
      <c r="KC252" s="9"/>
      <c r="KD252" s="9"/>
      <c r="KE252" s="9"/>
      <c r="KF252" s="9"/>
      <c r="KG252" s="9"/>
      <c r="KH252" s="9"/>
      <c r="KI252" s="9"/>
      <c r="KJ252" s="9"/>
      <c r="KK252" s="9"/>
      <c r="KL252" s="9"/>
      <c r="KM252" s="9"/>
      <c r="KN252" s="9"/>
      <c r="KO252" s="9"/>
      <c r="KP252" s="9"/>
      <c r="KQ252" s="9"/>
      <c r="KR252" s="9"/>
      <c r="KS252" s="9"/>
      <c r="KT252" s="9"/>
      <c r="KU252" s="9"/>
      <c r="KV252" s="9"/>
      <c r="KW252" s="9"/>
      <c r="KX252" s="9"/>
      <c r="KY252" s="9"/>
      <c r="KZ252" s="9"/>
      <c r="LA252" s="9"/>
      <c r="LB252" s="9"/>
      <c r="LC252" s="9"/>
      <c r="LD252" s="9"/>
      <c r="LE252" s="9"/>
      <c r="LF252" s="9"/>
      <c r="LG252" s="9"/>
      <c r="LH252" s="9"/>
      <c r="LI252" s="9"/>
      <c r="LJ252" s="9"/>
      <c r="LK252" s="9"/>
      <c r="LL252" s="9"/>
      <c r="LM252" s="9"/>
      <c r="LN252" s="9"/>
      <c r="LO252" s="9"/>
      <c r="LP252" s="9"/>
      <c r="LQ252" s="9"/>
      <c r="LR252" s="9"/>
      <c r="LS252" s="9"/>
      <c r="LT252" s="9"/>
      <c r="LU252" s="9"/>
      <c r="LV252" s="9"/>
      <c r="LW252" s="9"/>
      <c r="LX252" s="9"/>
      <c r="LY252" s="9"/>
      <c r="LZ252" s="9"/>
      <c r="MA252" s="9"/>
      <c r="MB252" s="9"/>
      <c r="MC252" s="9"/>
      <c r="MD252" s="9"/>
      <c r="ME252" s="9"/>
      <c r="MF252" s="9"/>
      <c r="MG252" s="9"/>
      <c r="MH252" s="9"/>
      <c r="MI252" s="9"/>
      <c r="MJ252" s="9"/>
      <c r="MK252" s="9"/>
      <c r="ML252" s="9"/>
      <c r="MM252" s="9"/>
      <c r="MN252" s="9"/>
      <c r="MO252" s="9"/>
      <c r="MP252" s="9"/>
      <c r="MQ252" s="9"/>
      <c r="MR252" s="9"/>
      <c r="MS252" s="9"/>
      <c r="MT252" s="9"/>
      <c r="MU252" s="9"/>
      <c r="MV252" s="9"/>
      <c r="MW252" s="9"/>
      <c r="MX252" s="9"/>
      <c r="MY252" s="9"/>
      <c r="MZ252" s="9"/>
      <c r="NA252" s="9"/>
      <c r="NB252" s="9"/>
      <c r="NC252" s="9"/>
      <c r="ND252" s="9"/>
      <c r="NE252" s="9"/>
      <c r="NF252" s="9"/>
      <c r="NG252" s="9"/>
      <c r="NH252" s="9"/>
      <c r="NI252" s="9"/>
      <c r="NJ252" s="9"/>
      <c r="NK252" s="9"/>
      <c r="NL252" s="9"/>
      <c r="NM252" s="9"/>
      <c r="NN252" s="9"/>
      <c r="NO252" s="9"/>
      <c r="NP252" s="9"/>
      <c r="NQ252" s="9"/>
      <c r="NR252" s="9"/>
      <c r="NS252" s="9"/>
      <c r="NT252" s="9"/>
      <c r="NU252" s="9"/>
      <c r="NV252" s="9"/>
      <c r="NW252" s="9"/>
      <c r="NX252" s="9"/>
      <c r="NY252" s="9"/>
      <c r="NZ252" s="9"/>
      <c r="OA252" s="9"/>
      <c r="OB252" s="9"/>
      <c r="OC252" s="9"/>
      <c r="OD252" s="9"/>
      <c r="OE252" s="9"/>
      <c r="OF252" s="9"/>
      <c r="OG252" s="9"/>
      <c r="OH252" s="9"/>
      <c r="OI252" s="9"/>
      <c r="OJ252" s="9"/>
      <c r="OK252" s="9"/>
      <c r="OL252" s="9"/>
      <c r="OM252" s="9"/>
      <c r="ON252" s="9"/>
      <c r="OO252" s="9"/>
      <c r="OP252" s="9"/>
      <c r="OQ252" s="9"/>
      <c r="OR252" s="9"/>
      <c r="OS252" s="9"/>
      <c r="OT252" s="9"/>
      <c r="OU252" s="9"/>
      <c r="OV252" s="9"/>
      <c r="OW252" s="9"/>
      <c r="OX252" s="9"/>
      <c r="OY252" s="9"/>
      <c r="OZ252" s="9"/>
      <c r="PA252" s="9"/>
      <c r="PB252" s="9"/>
      <c r="PC252" s="9"/>
      <c r="PD252" s="9"/>
      <c r="PE252" s="9"/>
      <c r="PF252" s="9"/>
      <c r="PG252" s="9"/>
      <c r="PH252" s="9"/>
      <c r="PI252" s="9"/>
      <c r="PJ252" s="9"/>
      <c r="PK252" s="9"/>
      <c r="PL252" s="9"/>
      <c r="PM252" s="9"/>
      <c r="PN252" s="9"/>
      <c r="PO252" s="9"/>
      <c r="PP252" s="9"/>
      <c r="PQ252" s="9"/>
      <c r="PR252" s="9"/>
      <c r="PS252" s="9"/>
      <c r="PT252" s="9"/>
      <c r="PU252" s="9"/>
      <c r="PV252" s="9"/>
      <c r="PW252" s="9"/>
      <c r="PX252" s="9"/>
      <c r="PY252" s="9"/>
      <c r="PZ252" s="9"/>
      <c r="QA252" s="9"/>
      <c r="QB252" s="9"/>
      <c r="QC252" s="9"/>
      <c r="QD252" s="9"/>
      <c r="QE252" s="9"/>
      <c r="QF252" s="9"/>
      <c r="QG252" s="9"/>
      <c r="QH252" s="9"/>
      <c r="QI252" s="9"/>
      <c r="QJ252" s="9"/>
      <c r="QK252" s="9"/>
      <c r="QL252" s="9"/>
      <c r="QM252" s="9"/>
      <c r="QN252" s="9"/>
      <c r="QO252" s="9"/>
      <c r="QP252" s="9"/>
      <c r="QQ252" s="9"/>
      <c r="QR252" s="9"/>
      <c r="QS252" s="9"/>
      <c r="QT252" s="9"/>
      <c r="QU252" s="9"/>
      <c r="QV252" s="9"/>
      <c r="QW252" s="9"/>
      <c r="QX252" s="9"/>
      <c r="QY252" s="9"/>
      <c r="QZ252" s="9"/>
      <c r="RA252" s="9"/>
      <c r="RB252" s="9"/>
      <c r="RC252" s="9"/>
      <c r="RD252" s="9"/>
      <c r="RE252" s="9"/>
      <c r="RF252" s="9"/>
      <c r="RG252" s="9"/>
      <c r="RH252" s="9"/>
      <c r="RI252" s="9"/>
      <c r="RJ252" s="9"/>
      <c r="RK252" s="9"/>
      <c r="RL252" s="9"/>
      <c r="RM252" s="9"/>
      <c r="RN252" s="9"/>
      <c r="RO252" s="9"/>
      <c r="RP252" s="9"/>
      <c r="RQ252" s="9"/>
      <c r="RR252" s="9"/>
      <c r="RS252" s="9"/>
      <c r="RT252" s="9"/>
      <c r="RU252" s="9"/>
      <c r="RV252" s="9"/>
      <c r="RW252" s="9"/>
      <c r="RX252" s="9"/>
      <c r="RY252" s="9"/>
      <c r="RZ252" s="9"/>
      <c r="SA252" s="9"/>
      <c r="SB252" s="9"/>
      <c r="SC252" s="9"/>
      <c r="SD252" s="9"/>
      <c r="SE252" s="9"/>
      <c r="SF252" s="9"/>
      <c r="SG252" s="9"/>
      <c r="SH252" s="9"/>
      <c r="SI252" s="9"/>
      <c r="SJ252" s="9"/>
      <c r="SK252" s="8"/>
      <c r="SL252" s="8"/>
      <c r="SM252" s="8"/>
      <c r="SN252" s="8"/>
      <c r="SO252" s="8"/>
      <c r="SP252" s="8"/>
      <c r="SQ252" s="8"/>
      <c r="SR252" s="8"/>
      <c r="SS252" s="8"/>
      <c r="ST252" s="8"/>
      <c r="SU252" s="8"/>
      <c r="SV252" s="8"/>
      <c r="SW252" s="8"/>
      <c r="SX252" s="8"/>
      <c r="SY252" s="8"/>
      <c r="SZ252" s="8"/>
      <c r="TA252" s="8"/>
      <c r="TB252" s="8"/>
      <c r="TC252" s="8"/>
      <c r="TD252" s="8"/>
      <c r="TE252" s="8"/>
      <c r="TF252" s="8"/>
      <c r="TG252" s="8"/>
      <c r="TH252" s="8"/>
      <c r="TI252" s="8"/>
      <c r="TJ252" s="8"/>
      <c r="TK252" s="8"/>
      <c r="TL252" s="8"/>
      <c r="TM252" s="8"/>
      <c r="TN252" s="8"/>
      <c r="TO252" s="8"/>
    </row>
    <row r="253" spans="1:535" x14ac:dyDescent="0.2">
      <c r="A253" s="7"/>
      <c r="B253" s="7"/>
      <c r="C253" s="9"/>
      <c r="D253" s="8"/>
      <c r="E253" s="8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9"/>
      <c r="BH253" s="9"/>
      <c r="BI253" s="9"/>
      <c r="BJ253" s="9"/>
      <c r="BK253" s="9"/>
      <c r="BL253" s="9"/>
      <c r="BM253" s="9"/>
      <c r="BN253" s="9"/>
      <c r="BO253" s="9"/>
      <c r="BP253" s="9"/>
      <c r="BQ253" s="9"/>
      <c r="BR253" s="9"/>
      <c r="BS253" s="9"/>
      <c r="BT253" s="9"/>
      <c r="BU253" s="9"/>
      <c r="BV253" s="9"/>
      <c r="BW253" s="9"/>
      <c r="BX253" s="9"/>
      <c r="BY253" s="9"/>
      <c r="BZ253" s="9"/>
      <c r="CA253" s="9"/>
      <c r="CB253" s="9"/>
      <c r="CC253" s="9"/>
      <c r="CD253" s="9"/>
      <c r="CE253" s="9"/>
      <c r="CF253" s="9"/>
      <c r="CG253" s="9"/>
      <c r="CH253" s="9"/>
      <c r="CI253" s="9"/>
      <c r="CJ253" s="9"/>
      <c r="CK253" s="9"/>
      <c r="CL253" s="9"/>
      <c r="CM253" s="9"/>
      <c r="CN253" s="9"/>
      <c r="CO253" s="9"/>
      <c r="CP253" s="9"/>
      <c r="CQ253" s="9"/>
      <c r="CR253" s="9"/>
      <c r="CS253" s="9"/>
      <c r="CT253" s="9"/>
      <c r="CU253" s="9"/>
      <c r="CV253" s="9"/>
      <c r="CW253" s="9"/>
      <c r="CX253" s="9"/>
      <c r="CY253" s="9"/>
      <c r="CZ253" s="9"/>
      <c r="DA253" s="9"/>
      <c r="DB253" s="9"/>
      <c r="DC253" s="9"/>
      <c r="DD253" s="9"/>
      <c r="DE253" s="9"/>
      <c r="DF253" s="9"/>
      <c r="DG253" s="9"/>
      <c r="DH253" s="9"/>
      <c r="DI253" s="9"/>
      <c r="DJ253" s="9"/>
      <c r="DK253" s="9"/>
      <c r="DL253" s="9"/>
      <c r="DM253" s="9"/>
      <c r="DN253" s="9"/>
      <c r="DO253" s="9"/>
      <c r="DP253" s="9"/>
      <c r="DQ253" s="9"/>
      <c r="DR253" s="9"/>
      <c r="DS253" s="9"/>
      <c r="DT253" s="9"/>
      <c r="DU253" s="9"/>
      <c r="DV253" s="9"/>
      <c r="DW253" s="9"/>
      <c r="DX253" s="9"/>
      <c r="DY253" s="9"/>
      <c r="DZ253" s="9"/>
      <c r="EA253" s="9"/>
      <c r="EB253" s="9"/>
      <c r="EC253" s="9"/>
      <c r="ED253" s="9"/>
      <c r="EE253" s="9"/>
      <c r="EF253" s="9"/>
      <c r="EG253" s="9"/>
      <c r="EH253" s="9"/>
      <c r="EI253" s="9"/>
      <c r="EJ253" s="9"/>
      <c r="EK253" s="9"/>
      <c r="EL253" s="9"/>
      <c r="EM253" s="9"/>
      <c r="EN253" s="9"/>
      <c r="EO253" s="9"/>
      <c r="EP253" s="9"/>
      <c r="EQ253" s="9"/>
      <c r="ER253" s="9"/>
      <c r="ES253" s="9"/>
      <c r="ET253" s="9"/>
      <c r="EU253" s="9"/>
      <c r="EV253" s="9"/>
      <c r="EW253" s="9"/>
      <c r="EX253" s="9"/>
      <c r="EY253" s="9"/>
      <c r="EZ253" s="9"/>
      <c r="FA253" s="9"/>
      <c r="FB253" s="9"/>
      <c r="FC253" s="9"/>
      <c r="FD253" s="9"/>
      <c r="FE253" s="9"/>
      <c r="FF253" s="9"/>
      <c r="FG253" s="9"/>
      <c r="FH253" s="9"/>
      <c r="FI253" s="9"/>
      <c r="FJ253" s="9"/>
      <c r="FK253" s="9"/>
      <c r="FL253" s="9"/>
      <c r="FM253" s="9"/>
      <c r="FN253" s="9"/>
      <c r="FO253" s="9"/>
      <c r="FP253" s="9"/>
      <c r="FQ253" s="9"/>
      <c r="FR253" s="9"/>
      <c r="FS253" s="9"/>
      <c r="FT253" s="9"/>
      <c r="FU253" s="9"/>
      <c r="FV253" s="9"/>
      <c r="FW253" s="9"/>
      <c r="FX253" s="9"/>
      <c r="FY253" s="9"/>
      <c r="FZ253" s="9"/>
      <c r="GA253" s="9"/>
      <c r="GB253" s="9"/>
      <c r="GC253" s="9"/>
      <c r="GD253" s="9"/>
      <c r="GE253" s="9"/>
      <c r="GF253" s="9"/>
      <c r="GG253" s="9"/>
      <c r="GH253" s="9"/>
      <c r="GI253" s="9"/>
      <c r="GJ253" s="9"/>
      <c r="GK253" s="9"/>
      <c r="GL253" s="9"/>
      <c r="GM253" s="9"/>
      <c r="GN253" s="9"/>
      <c r="GO253" s="9"/>
      <c r="GP253" s="9"/>
      <c r="GQ253" s="9"/>
      <c r="GR253" s="9"/>
      <c r="GS253" s="9"/>
      <c r="GT253" s="9"/>
      <c r="GU253" s="9"/>
      <c r="GV253" s="9"/>
      <c r="GW253" s="9"/>
      <c r="GX253" s="9"/>
      <c r="GY253" s="9"/>
      <c r="GZ253" s="9"/>
      <c r="HA253" s="9"/>
      <c r="HB253" s="9"/>
      <c r="HC253" s="9"/>
      <c r="HD253" s="9"/>
      <c r="HE253" s="9"/>
      <c r="HF253" s="9"/>
      <c r="HG253" s="9"/>
      <c r="HH253" s="9"/>
      <c r="HI253" s="9"/>
      <c r="HJ253" s="9"/>
      <c r="HK253" s="9"/>
      <c r="HL253" s="9"/>
      <c r="HM253" s="9"/>
      <c r="HN253" s="9"/>
      <c r="HO253" s="9"/>
      <c r="HP253" s="9"/>
      <c r="HQ253" s="9"/>
      <c r="HR253" s="9"/>
      <c r="HS253" s="9"/>
      <c r="HT253" s="9"/>
      <c r="HU253" s="9"/>
      <c r="HV253" s="9"/>
      <c r="HW253" s="9"/>
      <c r="HX253" s="9"/>
      <c r="HY253" s="9"/>
      <c r="HZ253" s="9"/>
      <c r="IA253" s="9"/>
      <c r="IB253" s="9"/>
      <c r="IC253" s="9"/>
      <c r="ID253" s="9"/>
      <c r="IE253" s="9"/>
      <c r="IF253" s="9"/>
      <c r="IG253" s="9"/>
      <c r="IH253" s="9"/>
      <c r="II253" s="9"/>
      <c r="IJ253" s="9"/>
      <c r="IK253" s="9"/>
      <c r="IL253" s="9"/>
      <c r="IM253" s="9"/>
      <c r="IN253" s="9"/>
      <c r="IO253" s="9"/>
      <c r="IP253" s="9"/>
      <c r="IQ253" s="9"/>
      <c r="IR253" s="9"/>
      <c r="IS253" s="9"/>
      <c r="IT253" s="9"/>
      <c r="IU253" s="9"/>
      <c r="IV253" s="9"/>
      <c r="IW253" s="9"/>
      <c r="IX253" s="9"/>
      <c r="IY253" s="9"/>
      <c r="IZ253" s="9"/>
      <c r="JA253" s="9"/>
      <c r="JB253" s="9"/>
      <c r="JC253" s="9"/>
      <c r="JD253" s="9"/>
      <c r="JE253" s="9"/>
      <c r="JF253" s="9"/>
      <c r="JG253" s="9"/>
      <c r="JH253" s="9"/>
      <c r="JI253" s="9"/>
      <c r="JJ253" s="9"/>
      <c r="JK253" s="9"/>
      <c r="JL253" s="9"/>
      <c r="JM253" s="9"/>
      <c r="JN253" s="9"/>
      <c r="JO253" s="9"/>
      <c r="JP253" s="9"/>
      <c r="JQ253" s="9"/>
      <c r="JR253" s="9"/>
      <c r="JS253" s="9"/>
      <c r="JT253" s="9"/>
      <c r="JU253" s="9"/>
      <c r="JV253" s="9"/>
      <c r="JW253" s="9"/>
      <c r="JX253" s="9"/>
      <c r="JY253" s="9"/>
      <c r="JZ253" s="9"/>
      <c r="KA253" s="9"/>
      <c r="KB253" s="9"/>
      <c r="KC253" s="9"/>
      <c r="KD253" s="9"/>
      <c r="KE253" s="9"/>
      <c r="KF253" s="9"/>
      <c r="KG253" s="9"/>
      <c r="KH253" s="9"/>
      <c r="KI253" s="9"/>
      <c r="KJ253" s="9"/>
      <c r="KK253" s="9"/>
      <c r="KL253" s="9"/>
      <c r="KM253" s="9"/>
      <c r="KN253" s="9"/>
      <c r="KO253" s="9"/>
      <c r="KP253" s="9"/>
      <c r="KQ253" s="9"/>
      <c r="KR253" s="9"/>
      <c r="KS253" s="9"/>
      <c r="KT253" s="9"/>
      <c r="KU253" s="9"/>
      <c r="KV253" s="9"/>
      <c r="KW253" s="9"/>
      <c r="KX253" s="9"/>
      <c r="KY253" s="9"/>
      <c r="KZ253" s="9"/>
      <c r="LA253" s="9"/>
      <c r="LB253" s="9"/>
      <c r="LC253" s="9"/>
      <c r="LD253" s="9"/>
      <c r="LE253" s="9"/>
      <c r="LF253" s="9"/>
      <c r="LG253" s="9"/>
      <c r="LH253" s="9"/>
      <c r="LI253" s="9"/>
      <c r="LJ253" s="9"/>
      <c r="LK253" s="9"/>
      <c r="LL253" s="9"/>
      <c r="LM253" s="9"/>
      <c r="LN253" s="9"/>
      <c r="LO253" s="9"/>
      <c r="LP253" s="9"/>
      <c r="LQ253" s="9"/>
      <c r="LR253" s="9"/>
      <c r="LS253" s="9"/>
      <c r="LT253" s="9"/>
      <c r="LU253" s="9"/>
      <c r="LV253" s="9"/>
      <c r="LW253" s="9"/>
      <c r="LX253" s="9"/>
      <c r="LY253" s="9"/>
      <c r="LZ253" s="9"/>
      <c r="MA253" s="9"/>
      <c r="MB253" s="9"/>
      <c r="MC253" s="9"/>
      <c r="MD253" s="9"/>
      <c r="ME253" s="9"/>
      <c r="MF253" s="9"/>
      <c r="MG253" s="9"/>
      <c r="MH253" s="9"/>
      <c r="MI253" s="9"/>
      <c r="MJ253" s="9"/>
      <c r="MK253" s="9"/>
      <c r="ML253" s="9"/>
      <c r="MM253" s="9"/>
      <c r="MN253" s="9"/>
      <c r="MO253" s="9"/>
      <c r="MP253" s="9"/>
      <c r="MQ253" s="9"/>
      <c r="MR253" s="9"/>
      <c r="MS253" s="9"/>
      <c r="MT253" s="9"/>
      <c r="MU253" s="9"/>
      <c r="MV253" s="9"/>
      <c r="MW253" s="9"/>
      <c r="MX253" s="9"/>
      <c r="MY253" s="9"/>
      <c r="MZ253" s="9"/>
      <c r="NA253" s="9"/>
      <c r="NB253" s="9"/>
      <c r="NC253" s="9"/>
      <c r="ND253" s="9"/>
      <c r="NE253" s="9"/>
      <c r="NF253" s="9"/>
      <c r="NG253" s="9"/>
      <c r="NH253" s="9"/>
      <c r="NI253" s="9"/>
      <c r="NJ253" s="9"/>
      <c r="NK253" s="9"/>
      <c r="NL253" s="9"/>
      <c r="NM253" s="9"/>
      <c r="NN253" s="9"/>
      <c r="NO253" s="9"/>
      <c r="NP253" s="9"/>
      <c r="NQ253" s="9"/>
      <c r="NR253" s="9"/>
      <c r="NS253" s="9"/>
      <c r="NT253" s="9"/>
      <c r="NU253" s="9"/>
      <c r="NV253" s="9"/>
      <c r="NW253" s="9"/>
      <c r="NX253" s="9"/>
      <c r="NY253" s="9"/>
      <c r="NZ253" s="9"/>
      <c r="OA253" s="9"/>
      <c r="OB253" s="9"/>
      <c r="OC253" s="9"/>
      <c r="OD253" s="9"/>
      <c r="OE253" s="9"/>
      <c r="OF253" s="9"/>
      <c r="OG253" s="9"/>
      <c r="OH253" s="9"/>
      <c r="OI253" s="9"/>
      <c r="OJ253" s="9"/>
      <c r="OK253" s="9"/>
      <c r="OL253" s="9"/>
      <c r="OM253" s="9"/>
      <c r="ON253" s="9"/>
      <c r="OO253" s="9"/>
      <c r="OP253" s="9"/>
      <c r="OQ253" s="9"/>
      <c r="OR253" s="9"/>
      <c r="OS253" s="9"/>
      <c r="OT253" s="9"/>
      <c r="OU253" s="9"/>
      <c r="OV253" s="9"/>
      <c r="OW253" s="9"/>
      <c r="OX253" s="9"/>
      <c r="OY253" s="9"/>
      <c r="OZ253" s="9"/>
      <c r="PA253" s="9"/>
      <c r="PB253" s="9"/>
      <c r="PC253" s="9"/>
      <c r="PD253" s="9"/>
      <c r="PE253" s="9"/>
      <c r="PF253" s="9"/>
      <c r="PG253" s="9"/>
      <c r="PH253" s="9"/>
      <c r="PI253" s="9"/>
      <c r="PJ253" s="9"/>
      <c r="PK253" s="9"/>
      <c r="PL253" s="9"/>
      <c r="PM253" s="9"/>
      <c r="PN253" s="9"/>
      <c r="PO253" s="9"/>
      <c r="PP253" s="9"/>
      <c r="PQ253" s="9"/>
      <c r="PR253" s="9"/>
      <c r="PS253" s="9"/>
      <c r="PT253" s="9"/>
      <c r="PU253" s="9"/>
      <c r="PV253" s="9"/>
      <c r="PW253" s="9"/>
      <c r="PX253" s="9"/>
      <c r="PY253" s="9"/>
      <c r="PZ253" s="9"/>
      <c r="QA253" s="9"/>
      <c r="QB253" s="9"/>
      <c r="QC253" s="9"/>
      <c r="QD253" s="9"/>
      <c r="QE253" s="9"/>
      <c r="QF253" s="9"/>
      <c r="QG253" s="9"/>
      <c r="QH253" s="9"/>
      <c r="QI253" s="9"/>
      <c r="QJ253" s="9"/>
      <c r="QK253" s="9"/>
      <c r="QL253" s="9"/>
      <c r="QM253" s="9"/>
      <c r="QN253" s="9"/>
      <c r="QO253" s="9"/>
      <c r="QP253" s="9"/>
      <c r="QQ253" s="9"/>
      <c r="QR253" s="9"/>
      <c r="QS253" s="9"/>
      <c r="QT253" s="9"/>
      <c r="QU253" s="9"/>
      <c r="QV253" s="9"/>
      <c r="QW253" s="9"/>
      <c r="QX253" s="9"/>
      <c r="QY253" s="9"/>
      <c r="QZ253" s="9"/>
      <c r="RA253" s="9"/>
      <c r="RB253" s="9"/>
      <c r="RC253" s="9"/>
      <c r="RD253" s="9"/>
      <c r="RE253" s="9"/>
      <c r="RF253" s="9"/>
      <c r="RG253" s="9"/>
      <c r="RH253" s="9"/>
      <c r="RI253" s="9"/>
      <c r="RJ253" s="9"/>
      <c r="RK253" s="9"/>
      <c r="RL253" s="9"/>
      <c r="RM253" s="9"/>
      <c r="RN253" s="9"/>
      <c r="RO253" s="9"/>
      <c r="RP253" s="9"/>
      <c r="RQ253" s="9"/>
      <c r="RR253" s="9"/>
      <c r="RS253" s="9"/>
      <c r="RT253" s="9"/>
      <c r="RU253" s="9"/>
      <c r="RV253" s="9"/>
      <c r="RW253" s="9"/>
      <c r="RX253" s="9"/>
      <c r="RY253" s="9"/>
      <c r="RZ253" s="9"/>
      <c r="SA253" s="9"/>
      <c r="SB253" s="9"/>
      <c r="SC253" s="9"/>
      <c r="SD253" s="9"/>
      <c r="SE253" s="9"/>
      <c r="SF253" s="9"/>
      <c r="SG253" s="9"/>
      <c r="SH253" s="9"/>
      <c r="SI253" s="9"/>
      <c r="SJ253" s="9"/>
      <c r="SK253" s="8"/>
      <c r="SL253" s="8"/>
      <c r="SM253" s="8"/>
      <c r="SN253" s="8"/>
      <c r="SO253" s="8"/>
      <c r="SP253" s="8"/>
      <c r="SQ253" s="8"/>
      <c r="SR253" s="8"/>
      <c r="SS253" s="8"/>
      <c r="ST253" s="8"/>
      <c r="SU253" s="8"/>
      <c r="SV253" s="8"/>
      <c r="SW253" s="8"/>
      <c r="SX253" s="8"/>
      <c r="SY253" s="8"/>
      <c r="SZ253" s="8"/>
      <c r="TA253" s="8"/>
      <c r="TB253" s="8"/>
      <c r="TC253" s="8"/>
      <c r="TD253" s="8"/>
      <c r="TE253" s="8"/>
      <c r="TF253" s="8"/>
      <c r="TG253" s="8"/>
      <c r="TH253" s="8"/>
      <c r="TI253" s="8"/>
      <c r="TJ253" s="8"/>
      <c r="TK253" s="8"/>
      <c r="TL253" s="8"/>
      <c r="TM253" s="8"/>
      <c r="TN253" s="8"/>
      <c r="TO253" s="8"/>
    </row>
    <row r="254" spans="1:535" x14ac:dyDescent="0.2">
      <c r="A254" s="7"/>
      <c r="B254" s="7"/>
      <c r="C254" s="9"/>
      <c r="D254" s="8"/>
      <c r="E254" s="8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/>
      <c r="BO254" s="9"/>
      <c r="BP254" s="9"/>
      <c r="BQ254" s="9"/>
      <c r="BR254" s="9"/>
      <c r="BS254" s="9"/>
      <c r="BT254" s="9"/>
      <c r="BU254" s="9"/>
      <c r="BV254" s="9"/>
      <c r="BW254" s="9"/>
      <c r="BX254" s="9"/>
      <c r="BY254" s="9"/>
      <c r="BZ254" s="9"/>
      <c r="CA254" s="9"/>
      <c r="CB254" s="9"/>
      <c r="CC254" s="9"/>
      <c r="CD254" s="9"/>
      <c r="CE254" s="9"/>
      <c r="CF254" s="9"/>
      <c r="CG254" s="9"/>
      <c r="CH254" s="9"/>
      <c r="CI254" s="9"/>
      <c r="CJ254" s="9"/>
      <c r="CK254" s="9"/>
      <c r="CL254" s="9"/>
      <c r="CM254" s="9"/>
      <c r="CN254" s="9"/>
      <c r="CO254" s="9"/>
      <c r="CP254" s="9"/>
      <c r="CQ254" s="9"/>
      <c r="CR254" s="9"/>
      <c r="CS254" s="9"/>
      <c r="CT254" s="9"/>
      <c r="CU254" s="9"/>
      <c r="CV254" s="9"/>
      <c r="CW254" s="9"/>
      <c r="CX254" s="9"/>
      <c r="CY254" s="9"/>
      <c r="CZ254" s="9"/>
      <c r="DA254" s="9"/>
      <c r="DB254" s="9"/>
      <c r="DC254" s="9"/>
      <c r="DD254" s="9"/>
      <c r="DE254" s="9"/>
      <c r="DF254" s="9"/>
      <c r="DG254" s="9"/>
      <c r="DH254" s="9"/>
      <c r="DI254" s="9"/>
      <c r="DJ254" s="9"/>
      <c r="DK254" s="9"/>
      <c r="DL254" s="9"/>
      <c r="DM254" s="9"/>
      <c r="DN254" s="9"/>
      <c r="DO254" s="9"/>
      <c r="DP254" s="9"/>
      <c r="DQ254" s="9"/>
      <c r="DR254" s="9"/>
      <c r="DS254" s="9"/>
      <c r="DT254" s="9"/>
      <c r="DU254" s="9"/>
      <c r="DV254" s="9"/>
      <c r="DW254" s="9"/>
      <c r="DX254" s="9"/>
      <c r="DY254" s="9"/>
      <c r="DZ254" s="9"/>
      <c r="EA254" s="9"/>
      <c r="EB254" s="9"/>
      <c r="EC254" s="9"/>
      <c r="ED254" s="9"/>
      <c r="EE254" s="9"/>
      <c r="EF254" s="9"/>
      <c r="EG254" s="9"/>
      <c r="EH254" s="9"/>
      <c r="EI254" s="9"/>
      <c r="EJ254" s="9"/>
      <c r="EK254" s="9"/>
      <c r="EL254" s="9"/>
      <c r="EM254" s="9"/>
      <c r="EN254" s="9"/>
      <c r="EO254" s="9"/>
      <c r="EP254" s="9"/>
      <c r="EQ254" s="9"/>
      <c r="ER254" s="9"/>
      <c r="ES254" s="9"/>
      <c r="ET254" s="9"/>
      <c r="EU254" s="9"/>
      <c r="EV254" s="9"/>
      <c r="EW254" s="9"/>
      <c r="EX254" s="9"/>
      <c r="EY254" s="9"/>
      <c r="EZ254" s="9"/>
      <c r="FA254" s="9"/>
      <c r="FB254" s="9"/>
      <c r="FC254" s="9"/>
      <c r="FD254" s="9"/>
      <c r="FE254" s="9"/>
      <c r="FF254" s="9"/>
      <c r="FG254" s="9"/>
      <c r="FH254" s="9"/>
      <c r="FI254" s="9"/>
      <c r="FJ254" s="9"/>
      <c r="FK254" s="9"/>
      <c r="FL254" s="9"/>
      <c r="FM254" s="9"/>
      <c r="FN254" s="9"/>
      <c r="FO254" s="9"/>
      <c r="FP254" s="9"/>
      <c r="FQ254" s="9"/>
      <c r="FR254" s="9"/>
      <c r="FS254" s="9"/>
      <c r="FT254" s="9"/>
      <c r="FU254" s="9"/>
      <c r="FV254" s="9"/>
      <c r="FW254" s="9"/>
      <c r="FX254" s="9"/>
      <c r="FY254" s="9"/>
      <c r="FZ254" s="9"/>
      <c r="GA254" s="9"/>
      <c r="GB254" s="9"/>
      <c r="GC254" s="9"/>
      <c r="GD254" s="9"/>
      <c r="GE254" s="9"/>
      <c r="GF254" s="9"/>
      <c r="GG254" s="9"/>
      <c r="GH254" s="9"/>
      <c r="GI254" s="9"/>
      <c r="GJ254" s="9"/>
      <c r="GK254" s="9"/>
      <c r="GL254" s="9"/>
      <c r="GM254" s="9"/>
      <c r="GN254" s="9"/>
      <c r="GO254" s="9"/>
      <c r="GP254" s="9"/>
      <c r="GQ254" s="9"/>
      <c r="GR254" s="9"/>
      <c r="GS254" s="9"/>
      <c r="GT254" s="9"/>
      <c r="GU254" s="9"/>
      <c r="GV254" s="9"/>
      <c r="GW254" s="9"/>
      <c r="GX254" s="9"/>
      <c r="GY254" s="9"/>
      <c r="GZ254" s="9"/>
      <c r="HA254" s="9"/>
      <c r="HB254" s="9"/>
      <c r="HC254" s="9"/>
      <c r="HD254" s="9"/>
      <c r="HE254" s="9"/>
      <c r="HF254" s="9"/>
      <c r="HG254" s="9"/>
      <c r="HH254" s="9"/>
      <c r="HI254" s="9"/>
      <c r="HJ254" s="9"/>
      <c r="HK254" s="9"/>
      <c r="HL254" s="9"/>
      <c r="HM254" s="9"/>
      <c r="HN254" s="9"/>
      <c r="HO254" s="9"/>
      <c r="HP254" s="9"/>
      <c r="HQ254" s="9"/>
      <c r="HR254" s="9"/>
      <c r="HS254" s="9"/>
      <c r="HT254" s="9"/>
      <c r="HU254" s="9"/>
      <c r="HV254" s="9"/>
      <c r="HW254" s="9"/>
      <c r="HX254" s="9"/>
      <c r="HY254" s="9"/>
      <c r="HZ254" s="9"/>
      <c r="IA254" s="9"/>
      <c r="IB254" s="9"/>
      <c r="IC254" s="9"/>
      <c r="ID254" s="9"/>
      <c r="IE254" s="9"/>
      <c r="IF254" s="9"/>
      <c r="IG254" s="9"/>
      <c r="IH254" s="9"/>
      <c r="II254" s="9"/>
      <c r="IJ254" s="9"/>
      <c r="IK254" s="9"/>
      <c r="IL254" s="9"/>
      <c r="IM254" s="9"/>
      <c r="IN254" s="9"/>
      <c r="IO254" s="9"/>
      <c r="IP254" s="9"/>
      <c r="IQ254" s="9"/>
      <c r="IR254" s="9"/>
      <c r="IS254" s="9"/>
      <c r="IT254" s="9"/>
      <c r="IU254" s="9"/>
      <c r="IV254" s="9"/>
      <c r="IW254" s="9"/>
      <c r="IX254" s="9"/>
      <c r="IY254" s="9"/>
      <c r="IZ254" s="9"/>
      <c r="JA254" s="9"/>
      <c r="JB254" s="9"/>
      <c r="JC254" s="9"/>
      <c r="JD254" s="9"/>
      <c r="JE254" s="9"/>
      <c r="JF254" s="9"/>
      <c r="JG254" s="9"/>
      <c r="JH254" s="9"/>
      <c r="JI254" s="9"/>
      <c r="JJ254" s="9"/>
      <c r="JK254" s="9"/>
      <c r="JL254" s="9"/>
      <c r="JM254" s="9"/>
      <c r="JN254" s="9"/>
      <c r="JO254" s="9"/>
      <c r="JP254" s="9"/>
      <c r="JQ254" s="9"/>
      <c r="JR254" s="9"/>
      <c r="JS254" s="9"/>
      <c r="JT254" s="9"/>
      <c r="JU254" s="9"/>
      <c r="JV254" s="9"/>
      <c r="JW254" s="9"/>
      <c r="JX254" s="9"/>
      <c r="JY254" s="9"/>
      <c r="JZ254" s="9"/>
      <c r="KA254" s="9"/>
      <c r="KB254" s="9"/>
      <c r="KC254" s="9"/>
      <c r="KD254" s="9"/>
      <c r="KE254" s="9"/>
      <c r="KF254" s="9"/>
      <c r="KG254" s="9"/>
      <c r="KH254" s="9"/>
      <c r="KI254" s="9"/>
      <c r="KJ254" s="9"/>
      <c r="KK254" s="9"/>
      <c r="KL254" s="9"/>
      <c r="KM254" s="9"/>
      <c r="KN254" s="9"/>
      <c r="KO254" s="9"/>
      <c r="KP254" s="9"/>
      <c r="KQ254" s="9"/>
      <c r="KR254" s="9"/>
      <c r="KS254" s="9"/>
      <c r="KT254" s="9"/>
      <c r="KU254" s="9"/>
      <c r="KV254" s="9"/>
      <c r="KW254" s="9"/>
      <c r="KX254" s="9"/>
      <c r="KY254" s="9"/>
      <c r="KZ254" s="9"/>
      <c r="LA254" s="9"/>
      <c r="LB254" s="9"/>
      <c r="LC254" s="9"/>
      <c r="LD254" s="9"/>
      <c r="LE254" s="9"/>
      <c r="LF254" s="9"/>
      <c r="LG254" s="9"/>
      <c r="LH254" s="9"/>
      <c r="LI254" s="9"/>
      <c r="LJ254" s="9"/>
      <c r="LK254" s="9"/>
      <c r="LL254" s="9"/>
      <c r="LM254" s="9"/>
      <c r="LN254" s="9"/>
      <c r="LO254" s="9"/>
      <c r="LP254" s="9"/>
      <c r="LQ254" s="9"/>
      <c r="LR254" s="9"/>
      <c r="LS254" s="9"/>
      <c r="LT254" s="9"/>
      <c r="LU254" s="9"/>
      <c r="LV254" s="9"/>
      <c r="LW254" s="9"/>
      <c r="LX254" s="9"/>
      <c r="LY254" s="9"/>
      <c r="LZ254" s="9"/>
      <c r="MA254" s="9"/>
      <c r="MB254" s="9"/>
      <c r="MC254" s="9"/>
      <c r="MD254" s="9"/>
      <c r="ME254" s="9"/>
      <c r="MF254" s="9"/>
      <c r="MG254" s="9"/>
      <c r="MH254" s="9"/>
      <c r="MI254" s="9"/>
      <c r="MJ254" s="9"/>
      <c r="MK254" s="9"/>
      <c r="ML254" s="9"/>
      <c r="MM254" s="9"/>
      <c r="MN254" s="9"/>
      <c r="MO254" s="9"/>
      <c r="MP254" s="9"/>
      <c r="MQ254" s="9"/>
      <c r="MR254" s="9"/>
      <c r="MS254" s="9"/>
      <c r="MT254" s="9"/>
      <c r="MU254" s="9"/>
      <c r="MV254" s="9"/>
      <c r="MW254" s="9"/>
      <c r="MX254" s="9"/>
      <c r="MY254" s="9"/>
      <c r="MZ254" s="9"/>
      <c r="NA254" s="9"/>
      <c r="NB254" s="9"/>
      <c r="NC254" s="9"/>
      <c r="ND254" s="9"/>
      <c r="NE254" s="9"/>
      <c r="NF254" s="9"/>
      <c r="NG254" s="9"/>
      <c r="NH254" s="9"/>
      <c r="NI254" s="9"/>
      <c r="NJ254" s="9"/>
      <c r="NK254" s="9"/>
      <c r="NL254" s="9"/>
      <c r="NM254" s="9"/>
      <c r="NN254" s="9"/>
      <c r="NO254" s="9"/>
      <c r="NP254" s="9"/>
      <c r="NQ254" s="9"/>
      <c r="NR254" s="9"/>
      <c r="NS254" s="9"/>
      <c r="NT254" s="9"/>
      <c r="NU254" s="9"/>
      <c r="NV254" s="9"/>
      <c r="NW254" s="9"/>
      <c r="NX254" s="9"/>
      <c r="NY254" s="9"/>
      <c r="NZ254" s="9"/>
      <c r="OA254" s="9"/>
      <c r="OB254" s="9"/>
      <c r="OC254" s="9"/>
      <c r="OD254" s="9"/>
      <c r="OE254" s="9"/>
      <c r="OF254" s="9"/>
      <c r="OG254" s="9"/>
      <c r="OH254" s="9"/>
      <c r="OI254" s="9"/>
      <c r="OJ254" s="9"/>
      <c r="OK254" s="9"/>
      <c r="OL254" s="9"/>
      <c r="OM254" s="9"/>
      <c r="ON254" s="9"/>
      <c r="OO254" s="9"/>
      <c r="OP254" s="9"/>
      <c r="OQ254" s="9"/>
      <c r="OR254" s="9"/>
      <c r="OS254" s="9"/>
      <c r="OT254" s="9"/>
      <c r="OU254" s="9"/>
      <c r="OV254" s="9"/>
      <c r="OW254" s="9"/>
      <c r="OX254" s="9"/>
      <c r="OY254" s="9"/>
      <c r="OZ254" s="9"/>
      <c r="PA254" s="9"/>
      <c r="PB254" s="9"/>
      <c r="PC254" s="9"/>
      <c r="PD254" s="9"/>
      <c r="PE254" s="9"/>
      <c r="PF254" s="9"/>
      <c r="PG254" s="9"/>
      <c r="PH254" s="9"/>
      <c r="PI254" s="9"/>
      <c r="PJ254" s="9"/>
      <c r="PK254" s="9"/>
      <c r="PL254" s="9"/>
      <c r="PM254" s="9"/>
      <c r="PN254" s="9"/>
      <c r="PO254" s="9"/>
      <c r="PP254" s="9"/>
      <c r="PQ254" s="9"/>
      <c r="PR254" s="9"/>
      <c r="PS254" s="9"/>
      <c r="PT254" s="9"/>
      <c r="PU254" s="9"/>
      <c r="PV254" s="9"/>
      <c r="PW254" s="9"/>
      <c r="PX254" s="9"/>
      <c r="PY254" s="9"/>
      <c r="PZ254" s="9"/>
      <c r="QA254" s="9"/>
      <c r="QB254" s="9"/>
      <c r="QC254" s="9"/>
      <c r="QD254" s="9"/>
      <c r="QE254" s="9"/>
      <c r="QF254" s="9"/>
      <c r="QG254" s="9"/>
      <c r="QH254" s="9"/>
      <c r="QI254" s="9"/>
      <c r="QJ254" s="9"/>
      <c r="QK254" s="9"/>
      <c r="QL254" s="9"/>
      <c r="QM254" s="9"/>
      <c r="QN254" s="9"/>
      <c r="QO254" s="9"/>
      <c r="QP254" s="9"/>
      <c r="QQ254" s="9"/>
      <c r="QR254" s="9"/>
      <c r="QS254" s="9"/>
      <c r="QT254" s="9"/>
      <c r="QU254" s="9"/>
      <c r="QV254" s="9"/>
      <c r="QW254" s="9"/>
      <c r="QX254" s="9"/>
      <c r="QY254" s="9"/>
      <c r="QZ254" s="9"/>
      <c r="RA254" s="9"/>
      <c r="RB254" s="9"/>
      <c r="RC254" s="9"/>
      <c r="RD254" s="9"/>
      <c r="RE254" s="9"/>
      <c r="RF254" s="9"/>
      <c r="RG254" s="9"/>
      <c r="RH254" s="9"/>
      <c r="RI254" s="9"/>
      <c r="RJ254" s="9"/>
      <c r="RK254" s="9"/>
      <c r="RL254" s="9"/>
      <c r="RM254" s="9"/>
      <c r="RN254" s="9"/>
      <c r="RO254" s="9"/>
      <c r="RP254" s="9"/>
      <c r="RQ254" s="9"/>
      <c r="RR254" s="9"/>
      <c r="RS254" s="9"/>
      <c r="RT254" s="9"/>
      <c r="RU254" s="9"/>
      <c r="RV254" s="9"/>
      <c r="RW254" s="9"/>
      <c r="RX254" s="9"/>
      <c r="RY254" s="9"/>
      <c r="RZ254" s="9"/>
      <c r="SA254" s="9"/>
      <c r="SB254" s="9"/>
      <c r="SC254" s="9"/>
      <c r="SD254" s="9"/>
      <c r="SE254" s="9"/>
      <c r="SF254" s="9"/>
      <c r="SG254" s="9"/>
      <c r="SH254" s="9"/>
      <c r="SI254" s="9"/>
      <c r="SJ254" s="9"/>
      <c r="SK254" s="8"/>
      <c r="SL254" s="8"/>
      <c r="SM254" s="8"/>
      <c r="SN254" s="8"/>
      <c r="SO254" s="8"/>
      <c r="SP254" s="8"/>
      <c r="SQ254" s="8"/>
      <c r="SR254" s="8"/>
      <c r="SS254" s="8"/>
      <c r="ST254" s="8"/>
      <c r="SU254" s="8"/>
      <c r="SV254" s="8"/>
      <c r="SW254" s="8"/>
      <c r="SX254" s="8"/>
      <c r="SY254" s="8"/>
      <c r="SZ254" s="8"/>
      <c r="TA254" s="8"/>
      <c r="TB254" s="8"/>
      <c r="TC254" s="8"/>
      <c r="TD254" s="8"/>
      <c r="TE254" s="8"/>
      <c r="TF254" s="8"/>
      <c r="TG254" s="8"/>
      <c r="TH254" s="8"/>
      <c r="TI254" s="8"/>
      <c r="TJ254" s="8"/>
      <c r="TK254" s="8"/>
      <c r="TL254" s="8"/>
      <c r="TM254" s="8"/>
      <c r="TN254" s="8"/>
      <c r="TO254" s="8"/>
    </row>
    <row r="255" spans="1:535" x14ac:dyDescent="0.2">
      <c r="A255" s="7"/>
      <c r="B255" s="7"/>
      <c r="C255" s="9"/>
      <c r="D255" s="8"/>
      <c r="E255" s="8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9"/>
      <c r="BI255" s="9"/>
      <c r="BJ255" s="9"/>
      <c r="BK255" s="9"/>
      <c r="BL255" s="9"/>
      <c r="BM255" s="9"/>
      <c r="BN255" s="9"/>
      <c r="BO255" s="9"/>
      <c r="BP255" s="9"/>
      <c r="BQ255" s="9"/>
      <c r="BR255" s="9"/>
      <c r="BS255" s="9"/>
      <c r="BT255" s="9"/>
      <c r="BU255" s="9"/>
      <c r="BV255" s="9"/>
      <c r="BW255" s="9"/>
      <c r="BX255" s="9"/>
      <c r="BY255" s="9"/>
      <c r="BZ255" s="9"/>
      <c r="CA255" s="9"/>
      <c r="CB255" s="9"/>
      <c r="CC255" s="9"/>
      <c r="CD255" s="9"/>
      <c r="CE255" s="9"/>
      <c r="CF255" s="9"/>
      <c r="CG255" s="9"/>
      <c r="CH255" s="9"/>
      <c r="CI255" s="9"/>
      <c r="CJ255" s="9"/>
      <c r="CK255" s="9"/>
      <c r="CL255" s="9"/>
      <c r="CM255" s="9"/>
      <c r="CN255" s="9"/>
      <c r="CO255" s="9"/>
      <c r="CP255" s="9"/>
      <c r="CQ255" s="9"/>
      <c r="CR255" s="9"/>
      <c r="CS255" s="9"/>
      <c r="CT255" s="9"/>
      <c r="CU255" s="9"/>
      <c r="CV255" s="9"/>
      <c r="CW255" s="9"/>
      <c r="CX255" s="9"/>
      <c r="CY255" s="9"/>
      <c r="CZ255" s="9"/>
      <c r="DA255" s="9"/>
      <c r="DB255" s="9"/>
      <c r="DC255" s="9"/>
      <c r="DD255" s="9"/>
      <c r="DE255" s="9"/>
      <c r="DF255" s="9"/>
      <c r="DG255" s="9"/>
      <c r="DH255" s="9"/>
      <c r="DI255" s="9"/>
      <c r="DJ255" s="9"/>
      <c r="DK255" s="9"/>
      <c r="DL255" s="9"/>
      <c r="DM255" s="9"/>
      <c r="DN255" s="9"/>
      <c r="DO255" s="9"/>
      <c r="DP255" s="9"/>
      <c r="DQ255" s="9"/>
      <c r="DR255" s="9"/>
      <c r="DS255" s="9"/>
      <c r="DT255" s="9"/>
      <c r="DU255" s="9"/>
      <c r="DV255" s="9"/>
      <c r="DW255" s="9"/>
      <c r="DX255" s="9"/>
      <c r="DY255" s="9"/>
      <c r="DZ255" s="9"/>
      <c r="EA255" s="9"/>
      <c r="EB255" s="9"/>
      <c r="EC255" s="9"/>
      <c r="ED255" s="9"/>
      <c r="EE255" s="9"/>
      <c r="EF255" s="9"/>
      <c r="EG255" s="9"/>
      <c r="EH255" s="9"/>
      <c r="EI255" s="9"/>
      <c r="EJ255" s="9"/>
      <c r="EK255" s="9"/>
      <c r="EL255" s="9"/>
      <c r="EM255" s="9"/>
      <c r="EN255" s="9"/>
      <c r="EO255" s="9"/>
      <c r="EP255" s="9"/>
      <c r="EQ255" s="9"/>
      <c r="ER255" s="9"/>
      <c r="ES255" s="9"/>
      <c r="ET255" s="9"/>
      <c r="EU255" s="9"/>
      <c r="EV255" s="9"/>
      <c r="EW255" s="9"/>
      <c r="EX255" s="9"/>
      <c r="EY255" s="9"/>
      <c r="EZ255" s="9"/>
      <c r="FA255" s="9"/>
      <c r="FB255" s="9"/>
      <c r="FC255" s="9"/>
      <c r="FD255" s="9"/>
      <c r="FE255" s="9"/>
      <c r="FF255" s="9"/>
      <c r="FG255" s="9"/>
      <c r="FH255" s="9"/>
      <c r="FI255" s="9"/>
      <c r="FJ255" s="9"/>
      <c r="FK255" s="9"/>
      <c r="FL255" s="9"/>
      <c r="FM255" s="9"/>
      <c r="FN255" s="9"/>
      <c r="FO255" s="9"/>
      <c r="FP255" s="9"/>
      <c r="FQ255" s="9"/>
      <c r="FR255" s="9"/>
      <c r="FS255" s="9"/>
      <c r="FT255" s="9"/>
      <c r="FU255" s="9"/>
      <c r="FV255" s="9"/>
      <c r="FW255" s="9"/>
      <c r="FX255" s="9"/>
      <c r="FY255" s="9"/>
      <c r="FZ255" s="9"/>
      <c r="GA255" s="9"/>
      <c r="GB255" s="9"/>
      <c r="GC255" s="9"/>
      <c r="GD255" s="9"/>
      <c r="GE255" s="9"/>
      <c r="GF255" s="9"/>
      <c r="GG255" s="9"/>
      <c r="GH255" s="9"/>
      <c r="GI255" s="9"/>
      <c r="GJ255" s="9"/>
      <c r="GK255" s="9"/>
      <c r="GL255" s="9"/>
      <c r="GM255" s="9"/>
      <c r="GN255" s="9"/>
      <c r="GO255" s="9"/>
      <c r="GP255" s="9"/>
      <c r="GQ255" s="9"/>
      <c r="GR255" s="9"/>
      <c r="GS255" s="9"/>
      <c r="GT255" s="9"/>
      <c r="GU255" s="9"/>
      <c r="GV255" s="9"/>
      <c r="GW255" s="9"/>
      <c r="GX255" s="9"/>
      <c r="GY255" s="9"/>
      <c r="GZ255" s="9"/>
      <c r="HA255" s="9"/>
      <c r="HB255" s="9"/>
      <c r="HC255" s="9"/>
      <c r="HD255" s="9"/>
      <c r="HE255" s="9"/>
      <c r="HF255" s="9"/>
      <c r="HG255" s="9"/>
      <c r="HH255" s="9"/>
      <c r="HI255" s="9"/>
      <c r="HJ255" s="9"/>
      <c r="HK255" s="9"/>
      <c r="HL255" s="9"/>
      <c r="HM255" s="9"/>
      <c r="HN255" s="9"/>
      <c r="HO255" s="9"/>
      <c r="HP255" s="9"/>
      <c r="HQ255" s="9"/>
      <c r="HR255" s="9"/>
      <c r="HS255" s="9"/>
      <c r="HT255" s="9"/>
      <c r="HU255" s="9"/>
      <c r="HV255" s="9"/>
      <c r="HW255" s="9"/>
      <c r="HX255" s="9"/>
      <c r="HY255" s="9"/>
      <c r="HZ255" s="9"/>
      <c r="IA255" s="9"/>
      <c r="IB255" s="9"/>
      <c r="IC255" s="9"/>
      <c r="ID255" s="9"/>
      <c r="IE255" s="9"/>
      <c r="IF255" s="9"/>
      <c r="IG255" s="9"/>
      <c r="IH255" s="9"/>
      <c r="II255" s="9"/>
      <c r="IJ255" s="9"/>
      <c r="IK255" s="9"/>
      <c r="IL255" s="9"/>
      <c r="IM255" s="9"/>
      <c r="IN255" s="9"/>
      <c r="IO255" s="9"/>
      <c r="IP255" s="9"/>
      <c r="IQ255" s="9"/>
      <c r="IR255" s="9"/>
      <c r="IS255" s="9"/>
      <c r="IT255" s="9"/>
      <c r="IU255" s="9"/>
      <c r="IV255" s="9"/>
      <c r="IW255" s="9"/>
      <c r="IX255" s="9"/>
      <c r="IY255" s="9"/>
      <c r="IZ255" s="9"/>
      <c r="JA255" s="9"/>
      <c r="JB255" s="9"/>
      <c r="JC255" s="9"/>
      <c r="JD255" s="9"/>
      <c r="JE255" s="9"/>
      <c r="JF255" s="9"/>
      <c r="JG255" s="9"/>
      <c r="JH255" s="9"/>
      <c r="JI255" s="9"/>
      <c r="JJ255" s="9"/>
      <c r="JK255" s="9"/>
      <c r="JL255" s="9"/>
      <c r="JM255" s="9"/>
      <c r="JN255" s="9"/>
      <c r="JO255" s="9"/>
      <c r="JP255" s="9"/>
      <c r="JQ255" s="9"/>
      <c r="JR255" s="9"/>
      <c r="JS255" s="9"/>
      <c r="JT255" s="9"/>
      <c r="JU255" s="9"/>
      <c r="JV255" s="9"/>
      <c r="JW255" s="9"/>
      <c r="JX255" s="9"/>
      <c r="JY255" s="9"/>
      <c r="JZ255" s="9"/>
      <c r="KA255" s="9"/>
      <c r="KB255" s="9"/>
      <c r="KC255" s="9"/>
      <c r="KD255" s="9"/>
      <c r="KE255" s="9"/>
      <c r="KF255" s="9"/>
      <c r="KG255" s="9"/>
      <c r="KH255" s="9"/>
      <c r="KI255" s="9"/>
      <c r="KJ255" s="9"/>
      <c r="KK255" s="9"/>
      <c r="KL255" s="9"/>
      <c r="KM255" s="9"/>
      <c r="KN255" s="9"/>
      <c r="KO255" s="9"/>
      <c r="KP255" s="9"/>
      <c r="KQ255" s="9"/>
      <c r="KR255" s="9"/>
      <c r="KS255" s="9"/>
      <c r="KT255" s="9"/>
      <c r="KU255" s="9"/>
      <c r="KV255" s="9"/>
      <c r="KW255" s="9"/>
      <c r="KX255" s="9"/>
      <c r="KY255" s="9"/>
      <c r="KZ255" s="9"/>
      <c r="LA255" s="9"/>
      <c r="LB255" s="9"/>
      <c r="LC255" s="9"/>
      <c r="LD255" s="9"/>
      <c r="LE255" s="9"/>
      <c r="LF255" s="9"/>
      <c r="LG255" s="9"/>
      <c r="LH255" s="9"/>
      <c r="LI255" s="9"/>
      <c r="LJ255" s="9"/>
      <c r="LK255" s="9"/>
      <c r="LL255" s="9"/>
      <c r="LM255" s="9"/>
      <c r="LN255" s="9"/>
      <c r="LO255" s="9"/>
      <c r="LP255" s="9"/>
      <c r="LQ255" s="9"/>
      <c r="LR255" s="9"/>
      <c r="LS255" s="9"/>
      <c r="LT255" s="9"/>
      <c r="LU255" s="9"/>
      <c r="LV255" s="9"/>
      <c r="LW255" s="9"/>
      <c r="LX255" s="9"/>
      <c r="LY255" s="9"/>
      <c r="LZ255" s="9"/>
      <c r="MA255" s="9"/>
      <c r="MB255" s="9"/>
      <c r="MC255" s="9"/>
      <c r="MD255" s="9"/>
      <c r="ME255" s="9"/>
      <c r="MF255" s="9"/>
      <c r="MG255" s="9"/>
      <c r="MH255" s="9"/>
      <c r="MI255" s="9"/>
      <c r="MJ255" s="9"/>
      <c r="MK255" s="9"/>
      <c r="ML255" s="9"/>
      <c r="MM255" s="9"/>
      <c r="MN255" s="9"/>
      <c r="MO255" s="9"/>
      <c r="MP255" s="9"/>
      <c r="MQ255" s="9"/>
      <c r="MR255" s="9"/>
      <c r="MS255" s="9"/>
      <c r="MT255" s="9"/>
      <c r="MU255" s="9"/>
      <c r="MV255" s="9"/>
      <c r="MW255" s="9"/>
      <c r="MX255" s="9"/>
      <c r="MY255" s="9"/>
      <c r="MZ255" s="9"/>
      <c r="NA255" s="9"/>
      <c r="NB255" s="9"/>
      <c r="NC255" s="9"/>
      <c r="ND255" s="9"/>
      <c r="NE255" s="9"/>
      <c r="NF255" s="9"/>
      <c r="NG255" s="9"/>
      <c r="NH255" s="9"/>
      <c r="NI255" s="9"/>
      <c r="NJ255" s="9"/>
      <c r="NK255" s="9"/>
      <c r="NL255" s="9"/>
      <c r="NM255" s="9"/>
      <c r="NN255" s="9"/>
      <c r="NO255" s="9"/>
      <c r="NP255" s="9"/>
      <c r="NQ255" s="9"/>
      <c r="NR255" s="9"/>
      <c r="NS255" s="9"/>
      <c r="NT255" s="9"/>
      <c r="NU255" s="9"/>
      <c r="NV255" s="9"/>
      <c r="NW255" s="9"/>
      <c r="NX255" s="9"/>
      <c r="NY255" s="9"/>
      <c r="NZ255" s="9"/>
      <c r="OA255" s="9"/>
      <c r="OB255" s="9"/>
      <c r="OC255" s="9"/>
      <c r="OD255" s="9"/>
      <c r="OE255" s="9"/>
      <c r="OF255" s="9"/>
      <c r="OG255" s="9"/>
      <c r="OH255" s="9"/>
      <c r="OI255" s="9"/>
      <c r="OJ255" s="9"/>
      <c r="OK255" s="9"/>
      <c r="OL255" s="9"/>
      <c r="OM255" s="9"/>
      <c r="ON255" s="9"/>
      <c r="OO255" s="9"/>
      <c r="OP255" s="9"/>
      <c r="OQ255" s="9"/>
      <c r="OR255" s="9"/>
      <c r="OS255" s="9"/>
      <c r="OT255" s="9"/>
      <c r="OU255" s="9"/>
      <c r="OV255" s="9"/>
      <c r="OW255" s="9"/>
      <c r="OX255" s="9"/>
      <c r="OY255" s="9"/>
      <c r="OZ255" s="9"/>
      <c r="PA255" s="9"/>
      <c r="PB255" s="9"/>
      <c r="PC255" s="9"/>
      <c r="PD255" s="9"/>
      <c r="PE255" s="9"/>
      <c r="PF255" s="9"/>
      <c r="PG255" s="9"/>
      <c r="PH255" s="9"/>
      <c r="PI255" s="9"/>
      <c r="PJ255" s="9"/>
      <c r="PK255" s="9"/>
      <c r="PL255" s="9"/>
      <c r="PM255" s="9"/>
      <c r="PN255" s="9"/>
      <c r="PO255" s="9"/>
      <c r="PP255" s="9"/>
      <c r="PQ255" s="9"/>
      <c r="PR255" s="9"/>
      <c r="PS255" s="9"/>
      <c r="PT255" s="9"/>
      <c r="PU255" s="9"/>
      <c r="PV255" s="9"/>
      <c r="PW255" s="9"/>
      <c r="PX255" s="9"/>
      <c r="PY255" s="9"/>
      <c r="PZ255" s="9"/>
      <c r="QA255" s="9"/>
      <c r="QB255" s="9"/>
      <c r="QC255" s="9"/>
      <c r="QD255" s="9"/>
      <c r="QE255" s="9"/>
      <c r="QF255" s="9"/>
      <c r="QG255" s="9"/>
      <c r="QH255" s="9"/>
      <c r="QI255" s="9"/>
      <c r="QJ255" s="9"/>
      <c r="QK255" s="9"/>
      <c r="QL255" s="9"/>
      <c r="QM255" s="9"/>
      <c r="QN255" s="9"/>
      <c r="QO255" s="9"/>
      <c r="QP255" s="9"/>
      <c r="QQ255" s="9"/>
      <c r="QR255" s="9"/>
      <c r="QS255" s="9"/>
      <c r="QT255" s="9"/>
      <c r="QU255" s="9"/>
      <c r="QV255" s="9"/>
      <c r="QW255" s="9"/>
      <c r="QX255" s="9"/>
      <c r="QY255" s="9"/>
      <c r="QZ255" s="9"/>
      <c r="RA255" s="9"/>
      <c r="RB255" s="9"/>
      <c r="RC255" s="9"/>
      <c r="RD255" s="9"/>
      <c r="RE255" s="9"/>
      <c r="RF255" s="9"/>
      <c r="RG255" s="9"/>
      <c r="RH255" s="9"/>
      <c r="RI255" s="9"/>
      <c r="RJ255" s="9"/>
      <c r="RK255" s="9"/>
      <c r="RL255" s="9"/>
      <c r="RM255" s="9"/>
      <c r="RN255" s="9"/>
      <c r="RO255" s="9"/>
      <c r="RP255" s="9"/>
      <c r="RQ255" s="9"/>
      <c r="RR255" s="9"/>
      <c r="RS255" s="9"/>
      <c r="RT255" s="9"/>
      <c r="RU255" s="9"/>
      <c r="RV255" s="9"/>
      <c r="RW255" s="9"/>
      <c r="RX255" s="9"/>
      <c r="RY255" s="9"/>
      <c r="RZ255" s="9"/>
      <c r="SA255" s="9"/>
      <c r="SB255" s="9"/>
      <c r="SC255" s="9"/>
      <c r="SD255" s="9"/>
      <c r="SE255" s="9"/>
      <c r="SF255" s="9"/>
      <c r="SG255" s="9"/>
      <c r="SH255" s="9"/>
      <c r="SI255" s="9"/>
      <c r="SJ255" s="9"/>
      <c r="SK255" s="8"/>
      <c r="SL255" s="8"/>
      <c r="SM255" s="8"/>
      <c r="SN255" s="8"/>
      <c r="SO255" s="8"/>
      <c r="SP255" s="8"/>
      <c r="SQ255" s="8"/>
      <c r="SR255" s="8"/>
      <c r="SS255" s="8"/>
      <c r="ST255" s="8"/>
      <c r="SU255" s="8"/>
      <c r="SV255" s="8"/>
      <c r="SW255" s="8"/>
      <c r="SX255" s="8"/>
      <c r="SY255" s="8"/>
      <c r="SZ255" s="8"/>
      <c r="TA255" s="8"/>
      <c r="TB255" s="8"/>
      <c r="TC255" s="8"/>
      <c r="TD255" s="8"/>
      <c r="TE255" s="8"/>
      <c r="TF255" s="8"/>
      <c r="TG255" s="8"/>
      <c r="TH255" s="8"/>
      <c r="TI255" s="8"/>
      <c r="TJ255" s="8"/>
      <c r="TK255" s="8"/>
      <c r="TL255" s="8"/>
      <c r="TM255" s="8"/>
      <c r="TN255" s="8"/>
      <c r="TO255" s="8"/>
    </row>
    <row r="256" spans="1:535" x14ac:dyDescent="0.2">
      <c r="A256" s="7"/>
      <c r="B256" s="7"/>
      <c r="C256" s="9"/>
      <c r="D256" s="8"/>
      <c r="E256" s="8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9"/>
      <c r="BH256" s="9"/>
      <c r="BI256" s="9"/>
      <c r="BJ256" s="9"/>
      <c r="BK256" s="9"/>
      <c r="BL256" s="9"/>
      <c r="BM256" s="9"/>
      <c r="BN256" s="9"/>
      <c r="BO256" s="9"/>
      <c r="BP256" s="9"/>
      <c r="BQ256" s="9"/>
      <c r="BR256" s="9"/>
      <c r="BS256" s="9"/>
      <c r="BT256" s="9"/>
      <c r="BU256" s="9"/>
      <c r="BV256" s="9"/>
      <c r="BW256" s="9"/>
      <c r="BX256" s="9"/>
      <c r="BY256" s="9"/>
      <c r="BZ256" s="9"/>
      <c r="CA256" s="9"/>
      <c r="CB256" s="9"/>
      <c r="CC256" s="9"/>
      <c r="CD256" s="9"/>
      <c r="CE256" s="9"/>
      <c r="CF256" s="9"/>
      <c r="CG256" s="9"/>
      <c r="CH256" s="9"/>
      <c r="CI256" s="9"/>
      <c r="CJ256" s="9"/>
      <c r="CK256" s="9"/>
      <c r="CL256" s="9"/>
      <c r="CM256" s="9"/>
      <c r="CN256" s="9"/>
      <c r="CO256" s="9"/>
      <c r="CP256" s="9"/>
      <c r="CQ256" s="9"/>
      <c r="CR256" s="9"/>
      <c r="CS256" s="9"/>
      <c r="CT256" s="9"/>
      <c r="CU256" s="9"/>
      <c r="CV256" s="9"/>
      <c r="CW256" s="9"/>
      <c r="CX256" s="9"/>
      <c r="CY256" s="9"/>
      <c r="CZ256" s="9"/>
      <c r="DA256" s="9"/>
      <c r="DB256" s="9"/>
      <c r="DC256" s="9"/>
      <c r="DD256" s="9"/>
      <c r="DE256" s="9"/>
      <c r="DF256" s="9"/>
      <c r="DG256" s="9"/>
      <c r="DH256" s="9"/>
      <c r="DI256" s="9"/>
      <c r="DJ256" s="9"/>
      <c r="DK256" s="9"/>
      <c r="DL256" s="9"/>
      <c r="DM256" s="9"/>
      <c r="DN256" s="9"/>
      <c r="DO256" s="9"/>
      <c r="DP256" s="9"/>
      <c r="DQ256" s="9"/>
      <c r="DR256" s="9"/>
      <c r="DS256" s="9"/>
      <c r="DT256" s="9"/>
      <c r="DU256" s="9"/>
      <c r="DV256" s="9"/>
      <c r="DW256" s="9"/>
      <c r="DX256" s="9"/>
      <c r="DY256" s="9"/>
      <c r="DZ256" s="9"/>
      <c r="EA256" s="9"/>
      <c r="EB256" s="9"/>
      <c r="EC256" s="9"/>
      <c r="ED256" s="9"/>
      <c r="EE256" s="9"/>
      <c r="EF256" s="9"/>
      <c r="EG256" s="9"/>
      <c r="EH256" s="9"/>
      <c r="EI256" s="9"/>
      <c r="EJ256" s="9"/>
      <c r="EK256" s="9"/>
      <c r="EL256" s="9"/>
      <c r="EM256" s="9"/>
      <c r="EN256" s="9"/>
      <c r="EO256" s="9"/>
      <c r="EP256" s="9"/>
      <c r="EQ256" s="9"/>
      <c r="ER256" s="9"/>
      <c r="ES256" s="9"/>
      <c r="ET256" s="9"/>
      <c r="EU256" s="9"/>
      <c r="EV256" s="9"/>
      <c r="EW256" s="9"/>
      <c r="EX256" s="9"/>
      <c r="EY256" s="9"/>
      <c r="EZ256" s="9"/>
      <c r="FA256" s="9"/>
      <c r="FB256" s="9"/>
      <c r="FC256" s="9"/>
      <c r="FD256" s="9"/>
      <c r="FE256" s="9"/>
      <c r="FF256" s="9"/>
      <c r="FG256" s="9"/>
      <c r="FH256" s="9"/>
      <c r="FI256" s="9"/>
      <c r="FJ256" s="9"/>
      <c r="FK256" s="9"/>
      <c r="FL256" s="9"/>
      <c r="FM256" s="9"/>
      <c r="FN256" s="9"/>
      <c r="FO256" s="9"/>
      <c r="FP256" s="9"/>
      <c r="FQ256" s="9"/>
      <c r="FR256" s="9"/>
      <c r="FS256" s="9"/>
      <c r="FT256" s="9"/>
      <c r="FU256" s="9"/>
      <c r="FV256" s="9"/>
      <c r="FW256" s="9"/>
      <c r="FX256" s="9"/>
      <c r="FY256" s="9"/>
      <c r="FZ256" s="9"/>
      <c r="GA256" s="9"/>
      <c r="GB256" s="9"/>
      <c r="GC256" s="9"/>
      <c r="GD256" s="9"/>
      <c r="GE256" s="9"/>
      <c r="GF256" s="9"/>
      <c r="GG256" s="9"/>
      <c r="GH256" s="9"/>
      <c r="GI256" s="9"/>
      <c r="GJ256" s="9"/>
      <c r="GK256" s="9"/>
      <c r="GL256" s="9"/>
      <c r="GM256" s="9"/>
      <c r="GN256" s="9"/>
      <c r="GO256" s="9"/>
      <c r="GP256" s="9"/>
      <c r="GQ256" s="9"/>
      <c r="GR256" s="9"/>
      <c r="GS256" s="9"/>
      <c r="GT256" s="9"/>
      <c r="GU256" s="9"/>
      <c r="GV256" s="9"/>
      <c r="GW256" s="9"/>
      <c r="GX256" s="9"/>
      <c r="GY256" s="9"/>
      <c r="GZ256" s="9"/>
      <c r="HA256" s="9"/>
      <c r="HB256" s="9"/>
      <c r="HC256" s="9"/>
      <c r="HD256" s="9"/>
      <c r="HE256" s="9"/>
      <c r="HF256" s="9"/>
      <c r="HG256" s="9"/>
      <c r="HH256" s="9"/>
      <c r="HI256" s="9"/>
      <c r="HJ256" s="9"/>
      <c r="HK256" s="9"/>
      <c r="HL256" s="9"/>
      <c r="HM256" s="9"/>
      <c r="HN256" s="9"/>
      <c r="HO256" s="9"/>
      <c r="HP256" s="9"/>
      <c r="HQ256" s="9"/>
      <c r="HR256" s="9"/>
      <c r="HS256" s="9"/>
      <c r="HT256" s="9"/>
      <c r="HU256" s="9"/>
      <c r="HV256" s="9"/>
      <c r="HW256" s="9"/>
      <c r="HX256" s="9"/>
      <c r="HY256" s="9"/>
      <c r="HZ256" s="9"/>
      <c r="IA256" s="9"/>
      <c r="IB256" s="9"/>
      <c r="IC256" s="9"/>
      <c r="ID256" s="9"/>
      <c r="IE256" s="9"/>
      <c r="IF256" s="9"/>
      <c r="IG256" s="9"/>
      <c r="IH256" s="9"/>
      <c r="II256" s="9"/>
      <c r="IJ256" s="9"/>
      <c r="IK256" s="9"/>
      <c r="IL256" s="9"/>
      <c r="IM256" s="9"/>
      <c r="IN256" s="9"/>
      <c r="IO256" s="9"/>
      <c r="IP256" s="9"/>
      <c r="IQ256" s="9"/>
      <c r="IR256" s="9"/>
      <c r="IS256" s="9"/>
      <c r="IT256" s="9"/>
      <c r="IU256" s="9"/>
      <c r="IV256" s="9"/>
      <c r="IW256" s="9"/>
      <c r="IX256" s="9"/>
      <c r="IY256" s="9"/>
      <c r="IZ256" s="9"/>
      <c r="JA256" s="9"/>
      <c r="JB256" s="9"/>
      <c r="JC256" s="9"/>
      <c r="JD256" s="9"/>
      <c r="JE256" s="9"/>
      <c r="JF256" s="9"/>
      <c r="JG256" s="9"/>
      <c r="JH256" s="9"/>
      <c r="JI256" s="9"/>
      <c r="JJ256" s="9"/>
      <c r="JK256" s="9"/>
      <c r="JL256" s="9"/>
      <c r="JM256" s="9"/>
      <c r="JN256" s="9"/>
      <c r="JO256" s="9"/>
      <c r="JP256" s="9"/>
      <c r="JQ256" s="9"/>
      <c r="JR256" s="9"/>
      <c r="JS256" s="9"/>
      <c r="JT256" s="9"/>
      <c r="JU256" s="9"/>
      <c r="JV256" s="9"/>
      <c r="JW256" s="9"/>
      <c r="JX256" s="9"/>
      <c r="JY256" s="9"/>
      <c r="JZ256" s="9"/>
      <c r="KA256" s="9"/>
      <c r="KB256" s="9"/>
      <c r="KC256" s="9"/>
      <c r="KD256" s="9"/>
      <c r="KE256" s="9"/>
      <c r="KF256" s="9"/>
      <c r="KG256" s="9"/>
      <c r="KH256" s="9"/>
      <c r="KI256" s="9"/>
      <c r="KJ256" s="9"/>
      <c r="KK256" s="9"/>
      <c r="KL256" s="9"/>
      <c r="KM256" s="9"/>
      <c r="KN256" s="9"/>
      <c r="KO256" s="9"/>
      <c r="KP256" s="9"/>
      <c r="KQ256" s="9"/>
      <c r="KR256" s="9"/>
      <c r="KS256" s="9"/>
      <c r="KT256" s="9"/>
      <c r="KU256" s="9"/>
      <c r="KV256" s="9"/>
      <c r="KW256" s="9"/>
      <c r="KX256" s="9"/>
      <c r="KY256" s="9"/>
      <c r="KZ256" s="9"/>
      <c r="LA256" s="9"/>
      <c r="LB256" s="9"/>
      <c r="LC256" s="9"/>
      <c r="LD256" s="9"/>
      <c r="LE256" s="9"/>
      <c r="LF256" s="9"/>
      <c r="LG256" s="9"/>
      <c r="LH256" s="9"/>
      <c r="LI256" s="9"/>
      <c r="LJ256" s="9"/>
      <c r="LK256" s="9"/>
      <c r="LL256" s="9"/>
      <c r="LM256" s="9"/>
      <c r="LN256" s="9"/>
      <c r="LO256" s="9"/>
      <c r="LP256" s="9"/>
      <c r="LQ256" s="9"/>
      <c r="LR256" s="9"/>
      <c r="LS256" s="9"/>
      <c r="LT256" s="9"/>
      <c r="LU256" s="9"/>
      <c r="LV256" s="9"/>
      <c r="LW256" s="9"/>
      <c r="LX256" s="9"/>
      <c r="LY256" s="9"/>
      <c r="LZ256" s="9"/>
      <c r="MA256" s="9"/>
      <c r="MB256" s="9"/>
      <c r="MC256" s="9"/>
      <c r="MD256" s="9"/>
      <c r="ME256" s="9"/>
      <c r="MF256" s="9"/>
      <c r="MG256" s="9"/>
      <c r="MH256" s="9"/>
      <c r="MI256" s="9"/>
      <c r="MJ256" s="9"/>
      <c r="MK256" s="9"/>
      <c r="ML256" s="9"/>
      <c r="MM256" s="9"/>
      <c r="MN256" s="9"/>
      <c r="MO256" s="9"/>
      <c r="MP256" s="9"/>
      <c r="MQ256" s="9"/>
      <c r="MR256" s="9"/>
      <c r="MS256" s="9"/>
      <c r="MT256" s="9"/>
      <c r="MU256" s="9"/>
      <c r="MV256" s="9"/>
      <c r="MW256" s="9"/>
      <c r="MX256" s="9"/>
      <c r="MY256" s="9"/>
      <c r="MZ256" s="9"/>
      <c r="NA256" s="9"/>
      <c r="NB256" s="9"/>
      <c r="NC256" s="9"/>
      <c r="ND256" s="9"/>
      <c r="NE256" s="9"/>
      <c r="NF256" s="9"/>
      <c r="NG256" s="9"/>
      <c r="NH256" s="9"/>
      <c r="NI256" s="9"/>
      <c r="NJ256" s="9"/>
      <c r="NK256" s="9"/>
      <c r="NL256" s="9"/>
      <c r="NM256" s="9"/>
      <c r="NN256" s="9"/>
      <c r="NO256" s="9"/>
      <c r="NP256" s="9"/>
      <c r="NQ256" s="9"/>
      <c r="NR256" s="9"/>
      <c r="NS256" s="9"/>
      <c r="NT256" s="9"/>
      <c r="NU256" s="9"/>
      <c r="NV256" s="9"/>
      <c r="NW256" s="9"/>
      <c r="NX256" s="9"/>
      <c r="NY256" s="9"/>
      <c r="NZ256" s="9"/>
      <c r="OA256" s="9"/>
      <c r="OB256" s="9"/>
      <c r="OC256" s="9"/>
      <c r="OD256" s="9"/>
      <c r="OE256" s="9"/>
      <c r="OF256" s="9"/>
      <c r="OG256" s="9"/>
      <c r="OH256" s="9"/>
      <c r="OI256" s="9"/>
      <c r="OJ256" s="9"/>
      <c r="OK256" s="9"/>
      <c r="OL256" s="9"/>
      <c r="OM256" s="9"/>
      <c r="ON256" s="9"/>
      <c r="OO256" s="9"/>
      <c r="OP256" s="9"/>
      <c r="OQ256" s="9"/>
      <c r="OR256" s="9"/>
      <c r="OS256" s="9"/>
      <c r="OT256" s="9"/>
      <c r="OU256" s="9"/>
      <c r="OV256" s="9"/>
      <c r="OW256" s="9"/>
      <c r="OX256" s="9"/>
      <c r="OY256" s="9"/>
      <c r="OZ256" s="9"/>
      <c r="PA256" s="9"/>
      <c r="PB256" s="9"/>
      <c r="PC256" s="9"/>
      <c r="PD256" s="9"/>
      <c r="PE256" s="9"/>
      <c r="PF256" s="9"/>
      <c r="PG256" s="9"/>
      <c r="PH256" s="9"/>
      <c r="PI256" s="9"/>
      <c r="PJ256" s="9"/>
      <c r="PK256" s="9"/>
      <c r="PL256" s="9"/>
      <c r="PM256" s="9"/>
      <c r="PN256" s="9"/>
      <c r="PO256" s="9"/>
      <c r="PP256" s="9"/>
      <c r="PQ256" s="9"/>
      <c r="PR256" s="9"/>
      <c r="PS256" s="9"/>
      <c r="PT256" s="9"/>
      <c r="PU256" s="9"/>
      <c r="PV256" s="9"/>
      <c r="PW256" s="9"/>
      <c r="PX256" s="9"/>
      <c r="PY256" s="9"/>
      <c r="PZ256" s="9"/>
      <c r="QA256" s="9"/>
      <c r="QB256" s="9"/>
      <c r="QC256" s="9"/>
      <c r="QD256" s="9"/>
      <c r="QE256" s="9"/>
      <c r="QF256" s="9"/>
      <c r="QG256" s="9"/>
      <c r="QH256" s="9"/>
      <c r="QI256" s="9"/>
      <c r="QJ256" s="9"/>
      <c r="QK256" s="9"/>
      <c r="QL256" s="9"/>
      <c r="QM256" s="9"/>
      <c r="QN256" s="9"/>
      <c r="QO256" s="9"/>
      <c r="QP256" s="9"/>
      <c r="QQ256" s="9"/>
      <c r="QR256" s="9"/>
      <c r="QS256" s="9"/>
      <c r="QT256" s="9"/>
      <c r="QU256" s="9"/>
      <c r="QV256" s="9"/>
      <c r="QW256" s="9"/>
      <c r="QX256" s="9"/>
      <c r="QY256" s="9"/>
      <c r="QZ256" s="9"/>
      <c r="RA256" s="9"/>
      <c r="RB256" s="9"/>
      <c r="RC256" s="9"/>
      <c r="RD256" s="9"/>
      <c r="RE256" s="9"/>
      <c r="RF256" s="9"/>
      <c r="RG256" s="9"/>
      <c r="RH256" s="9"/>
      <c r="RI256" s="9"/>
      <c r="RJ256" s="9"/>
      <c r="RK256" s="9"/>
      <c r="RL256" s="9"/>
      <c r="RM256" s="9"/>
      <c r="RN256" s="9"/>
      <c r="RO256" s="9"/>
      <c r="RP256" s="9"/>
      <c r="RQ256" s="9"/>
      <c r="RR256" s="9"/>
      <c r="RS256" s="9"/>
      <c r="RT256" s="9"/>
      <c r="RU256" s="9"/>
      <c r="RV256" s="9"/>
      <c r="RW256" s="9"/>
      <c r="RX256" s="9"/>
      <c r="RY256" s="9"/>
      <c r="RZ256" s="9"/>
      <c r="SA256" s="9"/>
      <c r="SB256" s="9"/>
      <c r="SC256" s="9"/>
      <c r="SD256" s="9"/>
      <c r="SE256" s="9"/>
      <c r="SF256" s="9"/>
      <c r="SG256" s="9"/>
      <c r="SH256" s="9"/>
      <c r="SI256" s="9"/>
      <c r="SJ256" s="9"/>
      <c r="SK256" s="8"/>
      <c r="SL256" s="8"/>
      <c r="SM256" s="8"/>
      <c r="SN256" s="8"/>
      <c r="SO256" s="8"/>
      <c r="SP256" s="8"/>
      <c r="SQ256" s="8"/>
      <c r="SR256" s="8"/>
      <c r="SS256" s="8"/>
      <c r="ST256" s="8"/>
      <c r="SU256" s="8"/>
      <c r="SV256" s="8"/>
      <c r="SW256" s="8"/>
      <c r="SX256" s="8"/>
      <c r="SY256" s="8"/>
      <c r="SZ256" s="8"/>
      <c r="TA256" s="8"/>
      <c r="TB256" s="8"/>
      <c r="TC256" s="8"/>
      <c r="TD256" s="8"/>
      <c r="TE256" s="8"/>
      <c r="TF256" s="8"/>
      <c r="TG256" s="8"/>
      <c r="TH256" s="8"/>
      <c r="TI256" s="8"/>
      <c r="TJ256" s="8"/>
      <c r="TK256" s="8"/>
      <c r="TL256" s="8"/>
      <c r="TM256" s="8"/>
      <c r="TN256" s="8"/>
      <c r="TO256" s="8"/>
    </row>
    <row r="257" spans="1:535" x14ac:dyDescent="0.2">
      <c r="A257" s="7"/>
      <c r="B257" s="7"/>
      <c r="C257" s="9"/>
      <c r="D257" s="8"/>
      <c r="E257" s="8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9"/>
      <c r="BI257" s="9"/>
      <c r="BJ257" s="9"/>
      <c r="BK257" s="9"/>
      <c r="BL257" s="9"/>
      <c r="BM257" s="9"/>
      <c r="BN257" s="9"/>
      <c r="BO257" s="9"/>
      <c r="BP257" s="9"/>
      <c r="BQ257" s="9"/>
      <c r="BR257" s="9"/>
      <c r="BS257" s="9"/>
      <c r="BT257" s="9"/>
      <c r="BU257" s="9"/>
      <c r="BV257" s="9"/>
      <c r="BW257" s="9"/>
      <c r="BX257" s="9"/>
      <c r="BY257" s="9"/>
      <c r="BZ257" s="9"/>
      <c r="CA257" s="9"/>
      <c r="CB257" s="9"/>
      <c r="CC257" s="9"/>
      <c r="CD257" s="9"/>
      <c r="CE257" s="9"/>
      <c r="CF257" s="9"/>
      <c r="CG257" s="9"/>
      <c r="CH257" s="9"/>
      <c r="CI257" s="9"/>
      <c r="CJ257" s="9"/>
      <c r="CK257" s="9"/>
      <c r="CL257" s="9"/>
      <c r="CM257" s="9"/>
      <c r="CN257" s="9"/>
      <c r="CO257" s="9"/>
      <c r="CP257" s="9"/>
      <c r="CQ257" s="9"/>
      <c r="CR257" s="9"/>
      <c r="CS257" s="9"/>
      <c r="CT257" s="9"/>
      <c r="CU257" s="9"/>
      <c r="CV257" s="9"/>
      <c r="CW257" s="9"/>
      <c r="CX257" s="9"/>
      <c r="CY257" s="9"/>
      <c r="CZ257" s="9"/>
      <c r="DA257" s="9"/>
      <c r="DB257" s="9"/>
      <c r="DC257" s="9"/>
      <c r="DD257" s="9"/>
      <c r="DE257" s="9"/>
      <c r="DF257" s="9"/>
      <c r="DG257" s="9"/>
      <c r="DH257" s="9"/>
      <c r="DI257" s="9"/>
      <c r="DJ257" s="9"/>
      <c r="DK257" s="9"/>
      <c r="DL257" s="9"/>
      <c r="DM257" s="9"/>
      <c r="DN257" s="9"/>
      <c r="DO257" s="9"/>
      <c r="DP257" s="9"/>
      <c r="DQ257" s="9"/>
      <c r="DR257" s="9"/>
      <c r="DS257" s="9"/>
      <c r="DT257" s="9"/>
      <c r="DU257" s="9"/>
      <c r="DV257" s="9"/>
      <c r="DW257" s="9"/>
      <c r="DX257" s="9"/>
      <c r="DY257" s="9"/>
      <c r="DZ257" s="9"/>
      <c r="EA257" s="9"/>
      <c r="EB257" s="9"/>
      <c r="EC257" s="9"/>
      <c r="ED257" s="9"/>
      <c r="EE257" s="9"/>
      <c r="EF257" s="9"/>
      <c r="EG257" s="9"/>
      <c r="EH257" s="9"/>
      <c r="EI257" s="9"/>
      <c r="EJ257" s="9"/>
      <c r="EK257" s="9"/>
      <c r="EL257" s="9"/>
      <c r="EM257" s="9"/>
      <c r="EN257" s="9"/>
      <c r="EO257" s="9"/>
      <c r="EP257" s="9"/>
      <c r="EQ257" s="9"/>
      <c r="ER257" s="9"/>
      <c r="ES257" s="9"/>
      <c r="ET257" s="9"/>
      <c r="EU257" s="9"/>
      <c r="EV257" s="9"/>
      <c r="EW257" s="9"/>
      <c r="EX257" s="9"/>
      <c r="EY257" s="9"/>
      <c r="EZ257" s="9"/>
      <c r="FA257" s="9"/>
      <c r="FB257" s="9"/>
      <c r="FC257" s="9"/>
      <c r="FD257" s="9"/>
      <c r="FE257" s="9"/>
      <c r="FF257" s="9"/>
      <c r="FG257" s="9"/>
      <c r="FH257" s="9"/>
      <c r="FI257" s="9"/>
      <c r="FJ257" s="9"/>
      <c r="FK257" s="9"/>
      <c r="FL257" s="9"/>
      <c r="FM257" s="9"/>
      <c r="FN257" s="9"/>
      <c r="FO257" s="9"/>
      <c r="FP257" s="9"/>
      <c r="FQ257" s="9"/>
      <c r="FR257" s="9"/>
      <c r="FS257" s="9"/>
      <c r="FT257" s="9"/>
      <c r="FU257" s="9"/>
      <c r="FV257" s="9"/>
      <c r="FW257" s="9"/>
      <c r="FX257" s="9"/>
      <c r="FY257" s="9"/>
      <c r="FZ257" s="9"/>
      <c r="GA257" s="9"/>
      <c r="GB257" s="9"/>
      <c r="GC257" s="9"/>
      <c r="GD257" s="9"/>
      <c r="GE257" s="9"/>
      <c r="GF257" s="9"/>
      <c r="GG257" s="9"/>
      <c r="GH257" s="9"/>
      <c r="GI257" s="9"/>
      <c r="GJ257" s="9"/>
      <c r="GK257" s="9"/>
      <c r="GL257" s="9"/>
      <c r="GM257" s="9"/>
      <c r="GN257" s="9"/>
      <c r="GO257" s="9"/>
      <c r="GP257" s="9"/>
      <c r="GQ257" s="9"/>
      <c r="GR257" s="9"/>
      <c r="GS257" s="9"/>
      <c r="GT257" s="9"/>
      <c r="GU257" s="9"/>
      <c r="GV257" s="9"/>
      <c r="GW257" s="9"/>
      <c r="GX257" s="9"/>
      <c r="GY257" s="9"/>
      <c r="GZ257" s="9"/>
      <c r="HA257" s="9"/>
      <c r="HB257" s="9"/>
      <c r="HC257" s="9"/>
      <c r="HD257" s="9"/>
      <c r="HE257" s="9"/>
      <c r="HF257" s="9"/>
      <c r="HG257" s="9"/>
      <c r="HH257" s="9"/>
      <c r="HI257" s="9"/>
      <c r="HJ257" s="9"/>
      <c r="HK257" s="9"/>
      <c r="HL257" s="9"/>
      <c r="HM257" s="9"/>
      <c r="HN257" s="9"/>
      <c r="HO257" s="9"/>
      <c r="HP257" s="9"/>
      <c r="HQ257" s="9"/>
      <c r="HR257" s="9"/>
      <c r="HS257" s="9"/>
      <c r="HT257" s="9"/>
      <c r="HU257" s="9"/>
      <c r="HV257" s="9"/>
      <c r="HW257" s="9"/>
      <c r="HX257" s="9"/>
      <c r="HY257" s="9"/>
      <c r="HZ257" s="9"/>
      <c r="IA257" s="9"/>
      <c r="IB257" s="9"/>
      <c r="IC257" s="9"/>
      <c r="ID257" s="9"/>
      <c r="IE257" s="9"/>
      <c r="IF257" s="9"/>
      <c r="IG257" s="9"/>
      <c r="IH257" s="9"/>
      <c r="II257" s="9"/>
      <c r="IJ257" s="9"/>
      <c r="IK257" s="9"/>
      <c r="IL257" s="9"/>
      <c r="IM257" s="9"/>
      <c r="IN257" s="9"/>
      <c r="IO257" s="9"/>
      <c r="IP257" s="9"/>
      <c r="IQ257" s="9"/>
      <c r="IR257" s="9"/>
      <c r="IS257" s="9"/>
      <c r="IT257" s="9"/>
      <c r="IU257" s="9"/>
      <c r="IV257" s="9"/>
      <c r="IW257" s="9"/>
      <c r="IX257" s="9"/>
      <c r="IY257" s="9"/>
      <c r="IZ257" s="9"/>
      <c r="JA257" s="9"/>
      <c r="JB257" s="9"/>
      <c r="JC257" s="9"/>
      <c r="JD257" s="9"/>
      <c r="JE257" s="9"/>
      <c r="JF257" s="9"/>
      <c r="JG257" s="9"/>
      <c r="JH257" s="9"/>
      <c r="JI257" s="9"/>
      <c r="JJ257" s="9"/>
      <c r="JK257" s="9"/>
      <c r="JL257" s="9"/>
      <c r="JM257" s="9"/>
      <c r="JN257" s="9"/>
      <c r="JO257" s="9"/>
      <c r="JP257" s="9"/>
      <c r="JQ257" s="9"/>
      <c r="JR257" s="9"/>
      <c r="JS257" s="9"/>
      <c r="JT257" s="9"/>
      <c r="JU257" s="9"/>
      <c r="JV257" s="9"/>
      <c r="JW257" s="9"/>
      <c r="JX257" s="9"/>
      <c r="JY257" s="9"/>
      <c r="JZ257" s="9"/>
      <c r="KA257" s="9"/>
      <c r="KB257" s="9"/>
      <c r="KC257" s="9"/>
      <c r="KD257" s="9"/>
      <c r="KE257" s="9"/>
      <c r="KF257" s="9"/>
      <c r="KG257" s="9"/>
      <c r="KH257" s="9"/>
      <c r="KI257" s="9"/>
      <c r="KJ257" s="9"/>
      <c r="KK257" s="9"/>
      <c r="KL257" s="9"/>
      <c r="KM257" s="9"/>
      <c r="KN257" s="9"/>
      <c r="KO257" s="9"/>
      <c r="KP257" s="9"/>
      <c r="KQ257" s="9"/>
      <c r="KR257" s="9"/>
      <c r="KS257" s="9"/>
      <c r="KT257" s="9"/>
      <c r="KU257" s="9"/>
      <c r="KV257" s="9"/>
      <c r="KW257" s="9"/>
      <c r="KX257" s="9"/>
      <c r="KY257" s="9"/>
      <c r="KZ257" s="9"/>
      <c r="LA257" s="9"/>
      <c r="LB257" s="9"/>
      <c r="LC257" s="9"/>
      <c r="LD257" s="9"/>
      <c r="LE257" s="9"/>
      <c r="LF257" s="9"/>
      <c r="LG257" s="9"/>
      <c r="LH257" s="9"/>
      <c r="LI257" s="9"/>
      <c r="LJ257" s="9"/>
      <c r="LK257" s="9"/>
      <c r="LL257" s="9"/>
      <c r="LM257" s="9"/>
      <c r="LN257" s="9"/>
      <c r="LO257" s="9"/>
      <c r="LP257" s="9"/>
      <c r="LQ257" s="9"/>
      <c r="LR257" s="9"/>
      <c r="LS257" s="9"/>
      <c r="LT257" s="9"/>
      <c r="LU257" s="9"/>
      <c r="LV257" s="9"/>
      <c r="LW257" s="9"/>
      <c r="LX257" s="9"/>
      <c r="LY257" s="9"/>
      <c r="LZ257" s="9"/>
      <c r="MA257" s="9"/>
      <c r="MB257" s="9"/>
      <c r="MC257" s="9"/>
      <c r="MD257" s="9"/>
      <c r="ME257" s="9"/>
      <c r="MF257" s="9"/>
      <c r="MG257" s="9"/>
      <c r="MH257" s="9"/>
      <c r="MI257" s="9"/>
      <c r="MJ257" s="9"/>
      <c r="MK257" s="9"/>
      <c r="ML257" s="9"/>
      <c r="MM257" s="9"/>
      <c r="MN257" s="9"/>
      <c r="MO257" s="9"/>
      <c r="MP257" s="9"/>
      <c r="MQ257" s="9"/>
      <c r="MR257" s="9"/>
      <c r="MS257" s="9"/>
      <c r="MT257" s="9"/>
      <c r="MU257" s="9"/>
      <c r="MV257" s="9"/>
      <c r="MW257" s="9"/>
      <c r="MX257" s="9"/>
      <c r="MY257" s="9"/>
      <c r="MZ257" s="9"/>
      <c r="NA257" s="9"/>
      <c r="NB257" s="9"/>
      <c r="NC257" s="9"/>
      <c r="ND257" s="9"/>
      <c r="NE257" s="9"/>
      <c r="NF257" s="9"/>
      <c r="NG257" s="9"/>
      <c r="NH257" s="9"/>
      <c r="NI257" s="9"/>
      <c r="NJ257" s="9"/>
      <c r="NK257" s="9"/>
      <c r="NL257" s="9"/>
      <c r="NM257" s="9"/>
      <c r="NN257" s="9"/>
      <c r="NO257" s="9"/>
      <c r="NP257" s="9"/>
      <c r="NQ257" s="9"/>
      <c r="NR257" s="9"/>
      <c r="NS257" s="9"/>
      <c r="NT257" s="9"/>
      <c r="NU257" s="9"/>
      <c r="NV257" s="9"/>
      <c r="NW257" s="9"/>
      <c r="NX257" s="9"/>
      <c r="NY257" s="9"/>
      <c r="NZ257" s="9"/>
      <c r="OA257" s="9"/>
      <c r="OB257" s="9"/>
      <c r="OC257" s="9"/>
      <c r="OD257" s="9"/>
      <c r="OE257" s="9"/>
      <c r="OF257" s="9"/>
      <c r="OG257" s="9"/>
      <c r="OH257" s="9"/>
      <c r="OI257" s="9"/>
      <c r="OJ257" s="9"/>
      <c r="OK257" s="9"/>
      <c r="OL257" s="9"/>
      <c r="OM257" s="9"/>
      <c r="ON257" s="9"/>
      <c r="OO257" s="9"/>
      <c r="OP257" s="9"/>
      <c r="OQ257" s="9"/>
      <c r="OR257" s="9"/>
      <c r="OS257" s="9"/>
      <c r="OT257" s="9"/>
      <c r="OU257" s="9"/>
      <c r="OV257" s="9"/>
      <c r="OW257" s="9"/>
      <c r="OX257" s="9"/>
      <c r="OY257" s="9"/>
      <c r="OZ257" s="9"/>
      <c r="PA257" s="9"/>
      <c r="PB257" s="9"/>
      <c r="PC257" s="9"/>
      <c r="PD257" s="9"/>
      <c r="PE257" s="9"/>
      <c r="PF257" s="9"/>
      <c r="PG257" s="9"/>
      <c r="PH257" s="9"/>
      <c r="PI257" s="9"/>
      <c r="PJ257" s="9"/>
      <c r="PK257" s="9"/>
      <c r="PL257" s="9"/>
      <c r="PM257" s="9"/>
      <c r="PN257" s="9"/>
      <c r="PO257" s="9"/>
      <c r="PP257" s="9"/>
      <c r="PQ257" s="9"/>
      <c r="PR257" s="9"/>
      <c r="PS257" s="9"/>
      <c r="PT257" s="9"/>
      <c r="PU257" s="9"/>
      <c r="PV257" s="9"/>
      <c r="PW257" s="9"/>
      <c r="PX257" s="9"/>
      <c r="PY257" s="9"/>
      <c r="PZ257" s="9"/>
      <c r="QA257" s="9"/>
      <c r="QB257" s="9"/>
      <c r="QC257" s="9"/>
      <c r="QD257" s="9"/>
      <c r="QE257" s="9"/>
      <c r="QF257" s="9"/>
      <c r="QG257" s="9"/>
      <c r="QH257" s="9"/>
      <c r="QI257" s="9"/>
      <c r="QJ257" s="9"/>
      <c r="QK257" s="9"/>
      <c r="QL257" s="9"/>
      <c r="QM257" s="9"/>
      <c r="QN257" s="9"/>
      <c r="QO257" s="9"/>
      <c r="QP257" s="9"/>
      <c r="QQ257" s="9"/>
      <c r="QR257" s="9"/>
      <c r="QS257" s="9"/>
      <c r="QT257" s="9"/>
      <c r="QU257" s="9"/>
      <c r="QV257" s="9"/>
      <c r="QW257" s="9"/>
      <c r="QX257" s="9"/>
      <c r="QY257" s="9"/>
      <c r="QZ257" s="9"/>
      <c r="RA257" s="9"/>
      <c r="RB257" s="9"/>
      <c r="RC257" s="9"/>
      <c r="RD257" s="9"/>
      <c r="RE257" s="9"/>
      <c r="RF257" s="9"/>
      <c r="RG257" s="9"/>
      <c r="RH257" s="9"/>
      <c r="RI257" s="9"/>
      <c r="RJ257" s="9"/>
      <c r="RK257" s="9"/>
      <c r="RL257" s="9"/>
      <c r="RM257" s="9"/>
      <c r="RN257" s="9"/>
      <c r="RO257" s="9"/>
      <c r="RP257" s="9"/>
      <c r="RQ257" s="9"/>
      <c r="RR257" s="9"/>
      <c r="RS257" s="9"/>
      <c r="RT257" s="9"/>
      <c r="RU257" s="9"/>
      <c r="RV257" s="9"/>
      <c r="RW257" s="9"/>
      <c r="RX257" s="9"/>
      <c r="RY257" s="9"/>
      <c r="RZ257" s="9"/>
      <c r="SA257" s="9"/>
      <c r="SB257" s="9"/>
      <c r="SC257" s="9"/>
      <c r="SD257" s="9"/>
      <c r="SE257" s="9"/>
      <c r="SF257" s="9"/>
      <c r="SG257" s="9"/>
      <c r="SH257" s="9"/>
      <c r="SI257" s="9"/>
      <c r="SJ257" s="9"/>
      <c r="SK257" s="8"/>
      <c r="SL257" s="8"/>
      <c r="SM257" s="8"/>
      <c r="SN257" s="8"/>
      <c r="SO257" s="8"/>
      <c r="SP257" s="8"/>
      <c r="SQ257" s="8"/>
      <c r="SR257" s="8"/>
      <c r="SS257" s="8"/>
      <c r="ST257" s="8"/>
      <c r="SU257" s="8"/>
      <c r="SV257" s="8"/>
      <c r="SW257" s="8"/>
      <c r="SX257" s="8"/>
      <c r="SY257" s="8"/>
      <c r="SZ257" s="8"/>
      <c r="TA257" s="8"/>
      <c r="TB257" s="8"/>
      <c r="TC257" s="8"/>
      <c r="TD257" s="8"/>
      <c r="TE257" s="8"/>
      <c r="TF257" s="8"/>
      <c r="TG257" s="8"/>
      <c r="TH257" s="8"/>
      <c r="TI257" s="8"/>
      <c r="TJ257" s="8"/>
      <c r="TK257" s="8"/>
      <c r="TL257" s="8"/>
      <c r="TM257" s="8"/>
      <c r="TN257" s="8"/>
      <c r="TO257" s="8"/>
    </row>
    <row r="258" spans="1:535" x14ac:dyDescent="0.2">
      <c r="A258" s="7"/>
      <c r="B258" s="7"/>
      <c r="C258" s="9"/>
      <c r="D258" s="8"/>
      <c r="E258" s="8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9"/>
      <c r="BI258" s="9"/>
      <c r="BJ258" s="9"/>
      <c r="BK258" s="9"/>
      <c r="BL258" s="9"/>
      <c r="BM258" s="9"/>
      <c r="BN258" s="9"/>
      <c r="BO258" s="9"/>
      <c r="BP258" s="9"/>
      <c r="BQ258" s="9"/>
      <c r="BR258" s="9"/>
      <c r="BS258" s="9"/>
      <c r="BT258" s="9"/>
      <c r="BU258" s="9"/>
      <c r="BV258" s="9"/>
      <c r="BW258" s="9"/>
      <c r="BX258" s="9"/>
      <c r="BY258" s="9"/>
      <c r="BZ258" s="9"/>
      <c r="CA258" s="9"/>
      <c r="CB258" s="9"/>
      <c r="CC258" s="9"/>
      <c r="CD258" s="9"/>
      <c r="CE258" s="9"/>
      <c r="CF258" s="9"/>
      <c r="CG258" s="9"/>
      <c r="CH258" s="9"/>
      <c r="CI258" s="9"/>
      <c r="CJ258" s="9"/>
      <c r="CK258" s="9"/>
      <c r="CL258" s="9"/>
      <c r="CM258" s="9"/>
      <c r="CN258" s="9"/>
      <c r="CO258" s="9"/>
      <c r="CP258" s="9"/>
      <c r="CQ258" s="9"/>
      <c r="CR258" s="9"/>
      <c r="CS258" s="9"/>
      <c r="CT258" s="9"/>
      <c r="CU258" s="9"/>
      <c r="CV258" s="9"/>
      <c r="CW258" s="9"/>
      <c r="CX258" s="9"/>
      <c r="CY258" s="9"/>
      <c r="CZ258" s="9"/>
      <c r="DA258" s="9"/>
      <c r="DB258" s="9"/>
      <c r="DC258" s="9"/>
      <c r="DD258" s="9"/>
      <c r="DE258" s="9"/>
      <c r="DF258" s="9"/>
      <c r="DG258" s="9"/>
      <c r="DH258" s="9"/>
      <c r="DI258" s="9"/>
      <c r="DJ258" s="9"/>
      <c r="DK258" s="9"/>
      <c r="DL258" s="9"/>
      <c r="DM258" s="9"/>
      <c r="DN258" s="9"/>
      <c r="DO258" s="9"/>
      <c r="DP258" s="9"/>
      <c r="DQ258" s="9"/>
      <c r="DR258" s="9"/>
      <c r="DS258" s="9"/>
      <c r="DT258" s="9"/>
      <c r="DU258" s="9"/>
      <c r="DV258" s="9"/>
      <c r="DW258" s="9"/>
      <c r="DX258" s="9"/>
      <c r="DY258" s="9"/>
      <c r="DZ258" s="9"/>
      <c r="EA258" s="9"/>
      <c r="EB258" s="9"/>
      <c r="EC258" s="9"/>
      <c r="ED258" s="9"/>
      <c r="EE258" s="9"/>
      <c r="EF258" s="9"/>
      <c r="EG258" s="9"/>
      <c r="EH258" s="9"/>
      <c r="EI258" s="9"/>
      <c r="EJ258" s="9"/>
      <c r="EK258" s="9"/>
      <c r="EL258" s="9"/>
      <c r="EM258" s="9"/>
      <c r="EN258" s="9"/>
      <c r="EO258" s="9"/>
      <c r="EP258" s="9"/>
      <c r="EQ258" s="9"/>
      <c r="ER258" s="9"/>
      <c r="ES258" s="9"/>
      <c r="ET258" s="9"/>
      <c r="EU258" s="9"/>
      <c r="EV258" s="9"/>
      <c r="EW258" s="9"/>
      <c r="EX258" s="9"/>
      <c r="EY258" s="9"/>
      <c r="EZ258" s="9"/>
      <c r="FA258" s="9"/>
      <c r="FB258" s="9"/>
      <c r="FC258" s="9"/>
      <c r="FD258" s="9"/>
      <c r="FE258" s="9"/>
      <c r="FF258" s="9"/>
      <c r="FG258" s="9"/>
      <c r="FH258" s="9"/>
      <c r="FI258" s="9"/>
      <c r="FJ258" s="9"/>
      <c r="FK258" s="9"/>
      <c r="FL258" s="9"/>
      <c r="FM258" s="9"/>
      <c r="FN258" s="9"/>
      <c r="FO258" s="9"/>
      <c r="FP258" s="9"/>
      <c r="FQ258" s="9"/>
      <c r="FR258" s="9"/>
      <c r="FS258" s="9"/>
      <c r="FT258" s="9"/>
      <c r="FU258" s="9"/>
      <c r="FV258" s="9"/>
      <c r="FW258" s="9"/>
      <c r="FX258" s="9"/>
      <c r="FY258" s="9"/>
      <c r="FZ258" s="9"/>
      <c r="GA258" s="9"/>
      <c r="GB258" s="9"/>
      <c r="GC258" s="9"/>
      <c r="GD258" s="9"/>
      <c r="GE258" s="9"/>
      <c r="GF258" s="9"/>
      <c r="GG258" s="9"/>
      <c r="GH258" s="9"/>
      <c r="GI258" s="9"/>
      <c r="GJ258" s="9"/>
      <c r="GK258" s="9"/>
      <c r="GL258" s="9"/>
      <c r="GM258" s="9"/>
      <c r="GN258" s="9"/>
      <c r="GO258" s="9"/>
      <c r="GP258" s="9"/>
      <c r="GQ258" s="9"/>
      <c r="GR258" s="9"/>
      <c r="GS258" s="9"/>
      <c r="GT258" s="9"/>
      <c r="GU258" s="9"/>
      <c r="GV258" s="9"/>
      <c r="GW258" s="9"/>
      <c r="GX258" s="9"/>
      <c r="GY258" s="9"/>
      <c r="GZ258" s="9"/>
      <c r="HA258" s="9"/>
      <c r="HB258" s="9"/>
      <c r="HC258" s="9"/>
      <c r="HD258" s="9"/>
      <c r="HE258" s="9"/>
      <c r="HF258" s="9"/>
      <c r="HG258" s="9"/>
      <c r="HH258" s="9"/>
      <c r="HI258" s="9"/>
      <c r="HJ258" s="9"/>
      <c r="HK258" s="9"/>
      <c r="HL258" s="9"/>
      <c r="HM258" s="9"/>
      <c r="HN258" s="9"/>
      <c r="HO258" s="9"/>
      <c r="HP258" s="9"/>
      <c r="HQ258" s="9"/>
      <c r="HR258" s="9"/>
      <c r="HS258" s="9"/>
      <c r="HT258" s="9"/>
      <c r="HU258" s="9"/>
      <c r="HV258" s="9"/>
      <c r="HW258" s="9"/>
      <c r="HX258" s="9"/>
      <c r="HY258" s="9"/>
      <c r="HZ258" s="9"/>
      <c r="IA258" s="9"/>
      <c r="IB258" s="9"/>
      <c r="IC258" s="9"/>
      <c r="ID258" s="9"/>
      <c r="IE258" s="9"/>
      <c r="IF258" s="9"/>
      <c r="IG258" s="9"/>
      <c r="IH258" s="9"/>
      <c r="II258" s="9"/>
      <c r="IJ258" s="9"/>
      <c r="IK258" s="9"/>
      <c r="IL258" s="9"/>
      <c r="IM258" s="9"/>
      <c r="IN258" s="9"/>
      <c r="IO258" s="9"/>
      <c r="IP258" s="9"/>
      <c r="IQ258" s="9"/>
      <c r="IR258" s="9"/>
      <c r="IS258" s="9"/>
      <c r="IT258" s="9"/>
      <c r="IU258" s="9"/>
      <c r="IV258" s="9"/>
      <c r="IW258" s="9"/>
      <c r="IX258" s="9"/>
      <c r="IY258" s="9"/>
      <c r="IZ258" s="9"/>
      <c r="JA258" s="9"/>
      <c r="JB258" s="9"/>
      <c r="JC258" s="9"/>
      <c r="JD258" s="9"/>
      <c r="JE258" s="9"/>
      <c r="JF258" s="9"/>
      <c r="JG258" s="9"/>
      <c r="JH258" s="9"/>
      <c r="JI258" s="9"/>
      <c r="JJ258" s="9"/>
      <c r="JK258" s="9"/>
      <c r="JL258" s="9"/>
      <c r="JM258" s="9"/>
      <c r="JN258" s="9"/>
      <c r="JO258" s="9"/>
      <c r="JP258" s="9"/>
      <c r="JQ258" s="9"/>
      <c r="JR258" s="9"/>
      <c r="JS258" s="9"/>
      <c r="JT258" s="9"/>
      <c r="JU258" s="9"/>
      <c r="JV258" s="9"/>
      <c r="JW258" s="9"/>
      <c r="JX258" s="9"/>
      <c r="JY258" s="9"/>
      <c r="JZ258" s="9"/>
      <c r="KA258" s="9"/>
      <c r="KB258" s="9"/>
      <c r="KC258" s="9"/>
      <c r="KD258" s="9"/>
      <c r="KE258" s="9"/>
      <c r="KF258" s="9"/>
      <c r="KG258" s="9"/>
      <c r="KH258" s="9"/>
      <c r="KI258" s="9"/>
      <c r="KJ258" s="9"/>
      <c r="KK258" s="9"/>
      <c r="KL258" s="9"/>
      <c r="KM258" s="9"/>
      <c r="KN258" s="9"/>
      <c r="KO258" s="9"/>
      <c r="KP258" s="9"/>
      <c r="KQ258" s="9"/>
      <c r="KR258" s="9"/>
      <c r="KS258" s="9"/>
      <c r="KT258" s="9"/>
      <c r="KU258" s="9"/>
      <c r="KV258" s="9"/>
      <c r="KW258" s="9"/>
      <c r="KX258" s="9"/>
      <c r="KY258" s="9"/>
      <c r="KZ258" s="9"/>
      <c r="LA258" s="9"/>
      <c r="LB258" s="9"/>
      <c r="LC258" s="9"/>
      <c r="LD258" s="9"/>
      <c r="LE258" s="9"/>
      <c r="LF258" s="9"/>
      <c r="LG258" s="9"/>
      <c r="LH258" s="9"/>
      <c r="LI258" s="9"/>
      <c r="LJ258" s="9"/>
      <c r="LK258" s="9"/>
      <c r="LL258" s="9"/>
      <c r="LM258" s="9"/>
      <c r="LN258" s="9"/>
      <c r="LO258" s="9"/>
      <c r="LP258" s="9"/>
      <c r="LQ258" s="9"/>
      <c r="LR258" s="9"/>
      <c r="LS258" s="9"/>
      <c r="LT258" s="9"/>
      <c r="LU258" s="9"/>
      <c r="LV258" s="9"/>
      <c r="LW258" s="9"/>
      <c r="LX258" s="9"/>
      <c r="LY258" s="9"/>
      <c r="LZ258" s="9"/>
      <c r="MA258" s="9"/>
      <c r="MB258" s="9"/>
      <c r="MC258" s="9"/>
      <c r="MD258" s="9"/>
      <c r="ME258" s="9"/>
      <c r="MF258" s="9"/>
      <c r="MG258" s="9"/>
      <c r="MH258" s="9"/>
      <c r="MI258" s="9"/>
      <c r="MJ258" s="9"/>
      <c r="MK258" s="9"/>
      <c r="ML258" s="9"/>
      <c r="MM258" s="9"/>
      <c r="MN258" s="9"/>
      <c r="MO258" s="9"/>
      <c r="MP258" s="9"/>
      <c r="MQ258" s="9"/>
      <c r="MR258" s="9"/>
      <c r="MS258" s="9"/>
      <c r="MT258" s="9"/>
      <c r="MU258" s="9"/>
      <c r="MV258" s="9"/>
      <c r="MW258" s="9"/>
      <c r="MX258" s="9"/>
      <c r="MY258" s="9"/>
      <c r="MZ258" s="9"/>
      <c r="NA258" s="9"/>
      <c r="NB258" s="9"/>
      <c r="NC258" s="9"/>
      <c r="ND258" s="9"/>
      <c r="NE258" s="9"/>
      <c r="NF258" s="9"/>
      <c r="NG258" s="9"/>
      <c r="NH258" s="9"/>
      <c r="NI258" s="9"/>
      <c r="NJ258" s="9"/>
      <c r="NK258" s="9"/>
      <c r="NL258" s="9"/>
      <c r="NM258" s="9"/>
      <c r="NN258" s="9"/>
      <c r="NO258" s="9"/>
      <c r="NP258" s="9"/>
      <c r="NQ258" s="9"/>
      <c r="NR258" s="9"/>
      <c r="NS258" s="9"/>
      <c r="NT258" s="9"/>
      <c r="NU258" s="9"/>
      <c r="NV258" s="9"/>
      <c r="NW258" s="9"/>
      <c r="NX258" s="9"/>
      <c r="NY258" s="9"/>
      <c r="NZ258" s="9"/>
      <c r="OA258" s="9"/>
      <c r="OB258" s="9"/>
      <c r="OC258" s="9"/>
      <c r="OD258" s="9"/>
      <c r="OE258" s="9"/>
      <c r="OF258" s="9"/>
      <c r="OG258" s="9"/>
      <c r="OH258" s="9"/>
      <c r="OI258" s="9"/>
      <c r="OJ258" s="9"/>
      <c r="OK258" s="9"/>
      <c r="OL258" s="9"/>
      <c r="OM258" s="9"/>
      <c r="ON258" s="9"/>
      <c r="OO258" s="9"/>
      <c r="OP258" s="9"/>
      <c r="OQ258" s="9"/>
      <c r="OR258" s="9"/>
      <c r="OS258" s="9"/>
      <c r="OT258" s="9"/>
      <c r="OU258" s="9"/>
      <c r="OV258" s="9"/>
      <c r="OW258" s="9"/>
      <c r="OX258" s="9"/>
      <c r="OY258" s="9"/>
      <c r="OZ258" s="9"/>
      <c r="PA258" s="9"/>
      <c r="PB258" s="9"/>
      <c r="PC258" s="9"/>
      <c r="PD258" s="9"/>
      <c r="PE258" s="9"/>
      <c r="PF258" s="9"/>
      <c r="PG258" s="9"/>
      <c r="PH258" s="9"/>
      <c r="PI258" s="9"/>
      <c r="PJ258" s="9"/>
      <c r="PK258" s="9"/>
      <c r="PL258" s="9"/>
      <c r="PM258" s="9"/>
      <c r="PN258" s="9"/>
      <c r="PO258" s="9"/>
      <c r="PP258" s="9"/>
      <c r="PQ258" s="9"/>
      <c r="PR258" s="9"/>
      <c r="PS258" s="9"/>
      <c r="PT258" s="9"/>
      <c r="PU258" s="9"/>
      <c r="PV258" s="9"/>
      <c r="PW258" s="9"/>
      <c r="PX258" s="9"/>
      <c r="PY258" s="9"/>
      <c r="PZ258" s="9"/>
      <c r="QA258" s="9"/>
      <c r="QB258" s="9"/>
      <c r="QC258" s="9"/>
      <c r="QD258" s="9"/>
      <c r="QE258" s="9"/>
      <c r="QF258" s="9"/>
      <c r="QG258" s="9"/>
      <c r="QH258" s="9"/>
      <c r="QI258" s="9"/>
      <c r="QJ258" s="9"/>
      <c r="QK258" s="9"/>
      <c r="QL258" s="9"/>
      <c r="QM258" s="9"/>
      <c r="QN258" s="9"/>
      <c r="QO258" s="9"/>
      <c r="QP258" s="9"/>
      <c r="QQ258" s="9"/>
      <c r="QR258" s="9"/>
      <c r="QS258" s="9"/>
      <c r="QT258" s="9"/>
      <c r="QU258" s="9"/>
      <c r="QV258" s="9"/>
      <c r="QW258" s="9"/>
      <c r="QX258" s="9"/>
      <c r="QY258" s="9"/>
      <c r="QZ258" s="9"/>
      <c r="RA258" s="9"/>
      <c r="RB258" s="9"/>
      <c r="RC258" s="9"/>
      <c r="RD258" s="9"/>
      <c r="RE258" s="9"/>
      <c r="RF258" s="9"/>
      <c r="RG258" s="9"/>
      <c r="RH258" s="9"/>
      <c r="RI258" s="9"/>
      <c r="RJ258" s="9"/>
      <c r="RK258" s="9"/>
      <c r="RL258" s="9"/>
      <c r="RM258" s="9"/>
      <c r="RN258" s="9"/>
      <c r="RO258" s="9"/>
      <c r="RP258" s="9"/>
      <c r="RQ258" s="9"/>
      <c r="RR258" s="9"/>
      <c r="RS258" s="9"/>
      <c r="RT258" s="9"/>
      <c r="RU258" s="9"/>
      <c r="RV258" s="9"/>
      <c r="RW258" s="9"/>
      <c r="RX258" s="9"/>
      <c r="RY258" s="9"/>
      <c r="RZ258" s="9"/>
      <c r="SA258" s="9"/>
      <c r="SB258" s="9"/>
      <c r="SC258" s="9"/>
      <c r="SD258" s="9"/>
      <c r="SE258" s="9"/>
      <c r="SF258" s="9"/>
      <c r="SG258" s="9"/>
      <c r="SH258" s="9"/>
      <c r="SI258" s="9"/>
      <c r="SJ258" s="9"/>
      <c r="SK258" s="8"/>
      <c r="SL258" s="8"/>
      <c r="SM258" s="8"/>
      <c r="SN258" s="8"/>
      <c r="SO258" s="8"/>
      <c r="SP258" s="8"/>
      <c r="SQ258" s="8"/>
      <c r="SR258" s="8"/>
      <c r="SS258" s="8"/>
      <c r="ST258" s="8"/>
      <c r="SU258" s="8"/>
      <c r="SV258" s="8"/>
      <c r="SW258" s="8"/>
      <c r="SX258" s="8"/>
      <c r="SY258" s="8"/>
      <c r="SZ258" s="8"/>
      <c r="TA258" s="8"/>
      <c r="TB258" s="8"/>
      <c r="TC258" s="8"/>
      <c r="TD258" s="8"/>
      <c r="TE258" s="8"/>
      <c r="TF258" s="8"/>
      <c r="TG258" s="8"/>
      <c r="TH258" s="8"/>
      <c r="TI258" s="8"/>
      <c r="TJ258" s="8"/>
      <c r="TK258" s="8"/>
      <c r="TL258" s="8"/>
      <c r="TM258" s="8"/>
      <c r="TN258" s="8"/>
      <c r="TO258" s="8"/>
    </row>
    <row r="259" spans="1:535" x14ac:dyDescent="0.2">
      <c r="A259" s="7"/>
      <c r="B259" s="7"/>
      <c r="C259" s="9"/>
      <c r="D259" s="8"/>
      <c r="E259" s="8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9"/>
      <c r="BH259" s="9"/>
      <c r="BI259" s="9"/>
      <c r="BJ259" s="9"/>
      <c r="BK259" s="9"/>
      <c r="BL259" s="9"/>
      <c r="BM259" s="9"/>
      <c r="BN259" s="9"/>
      <c r="BO259" s="9"/>
      <c r="BP259" s="9"/>
      <c r="BQ259" s="9"/>
      <c r="BR259" s="9"/>
      <c r="BS259" s="9"/>
      <c r="BT259" s="9"/>
      <c r="BU259" s="9"/>
      <c r="BV259" s="9"/>
      <c r="BW259" s="9"/>
      <c r="BX259" s="9"/>
      <c r="BY259" s="9"/>
      <c r="BZ259" s="9"/>
      <c r="CA259" s="9"/>
      <c r="CB259" s="9"/>
      <c r="CC259" s="9"/>
      <c r="CD259" s="9"/>
      <c r="CE259" s="9"/>
      <c r="CF259" s="9"/>
      <c r="CG259" s="9"/>
      <c r="CH259" s="9"/>
      <c r="CI259" s="9"/>
      <c r="CJ259" s="9"/>
      <c r="CK259" s="9"/>
      <c r="CL259" s="9"/>
      <c r="CM259" s="9"/>
      <c r="CN259" s="9"/>
      <c r="CO259" s="9"/>
      <c r="CP259" s="9"/>
      <c r="CQ259" s="9"/>
      <c r="CR259" s="9"/>
      <c r="CS259" s="9"/>
      <c r="CT259" s="9"/>
      <c r="CU259" s="9"/>
      <c r="CV259" s="9"/>
      <c r="CW259" s="9"/>
      <c r="CX259" s="9"/>
      <c r="CY259" s="9"/>
      <c r="CZ259" s="9"/>
      <c r="DA259" s="9"/>
      <c r="DB259" s="9"/>
      <c r="DC259" s="9"/>
      <c r="DD259" s="9"/>
      <c r="DE259" s="9"/>
      <c r="DF259" s="9"/>
      <c r="DG259" s="9"/>
      <c r="DH259" s="9"/>
      <c r="DI259" s="9"/>
      <c r="DJ259" s="9"/>
      <c r="DK259" s="9"/>
      <c r="DL259" s="9"/>
      <c r="DM259" s="9"/>
      <c r="DN259" s="9"/>
      <c r="DO259" s="9"/>
      <c r="DP259" s="9"/>
      <c r="DQ259" s="9"/>
      <c r="DR259" s="9"/>
      <c r="DS259" s="9"/>
      <c r="DT259" s="9"/>
      <c r="DU259" s="9"/>
      <c r="DV259" s="9"/>
      <c r="DW259" s="9"/>
      <c r="DX259" s="9"/>
      <c r="DY259" s="9"/>
      <c r="DZ259" s="9"/>
      <c r="EA259" s="9"/>
      <c r="EB259" s="9"/>
      <c r="EC259" s="9"/>
      <c r="ED259" s="9"/>
      <c r="EE259" s="9"/>
      <c r="EF259" s="9"/>
      <c r="EG259" s="9"/>
      <c r="EH259" s="9"/>
      <c r="EI259" s="9"/>
      <c r="EJ259" s="9"/>
      <c r="EK259" s="9"/>
      <c r="EL259" s="9"/>
      <c r="EM259" s="9"/>
      <c r="EN259" s="9"/>
      <c r="EO259" s="9"/>
      <c r="EP259" s="9"/>
      <c r="EQ259" s="9"/>
      <c r="ER259" s="9"/>
      <c r="ES259" s="9"/>
      <c r="ET259" s="9"/>
      <c r="EU259" s="9"/>
      <c r="EV259" s="9"/>
      <c r="EW259" s="9"/>
      <c r="EX259" s="9"/>
      <c r="EY259" s="9"/>
      <c r="EZ259" s="9"/>
      <c r="FA259" s="9"/>
      <c r="FB259" s="9"/>
      <c r="FC259" s="9"/>
      <c r="FD259" s="9"/>
      <c r="FE259" s="9"/>
      <c r="FF259" s="9"/>
      <c r="FG259" s="9"/>
      <c r="FH259" s="9"/>
      <c r="FI259" s="9"/>
      <c r="FJ259" s="9"/>
      <c r="FK259" s="9"/>
      <c r="FL259" s="9"/>
      <c r="FM259" s="9"/>
      <c r="FN259" s="9"/>
      <c r="FO259" s="9"/>
      <c r="FP259" s="9"/>
      <c r="FQ259" s="9"/>
      <c r="FR259" s="9"/>
      <c r="FS259" s="9"/>
      <c r="FT259" s="9"/>
      <c r="FU259" s="9"/>
      <c r="FV259" s="9"/>
      <c r="FW259" s="9"/>
      <c r="FX259" s="9"/>
      <c r="FY259" s="9"/>
      <c r="FZ259" s="9"/>
      <c r="GA259" s="9"/>
      <c r="GB259" s="9"/>
      <c r="GC259" s="9"/>
      <c r="GD259" s="9"/>
      <c r="GE259" s="9"/>
      <c r="GF259" s="9"/>
      <c r="GG259" s="9"/>
      <c r="GH259" s="9"/>
      <c r="GI259" s="9"/>
      <c r="GJ259" s="9"/>
      <c r="GK259" s="9"/>
      <c r="GL259" s="9"/>
      <c r="GM259" s="9"/>
      <c r="GN259" s="9"/>
      <c r="GO259" s="9"/>
      <c r="GP259" s="9"/>
      <c r="GQ259" s="9"/>
      <c r="GR259" s="9"/>
      <c r="GS259" s="9"/>
      <c r="GT259" s="9"/>
      <c r="GU259" s="9"/>
      <c r="GV259" s="9"/>
      <c r="GW259" s="9"/>
      <c r="GX259" s="9"/>
      <c r="GY259" s="9"/>
      <c r="GZ259" s="9"/>
      <c r="HA259" s="9"/>
      <c r="HB259" s="9"/>
      <c r="HC259" s="9"/>
      <c r="HD259" s="9"/>
      <c r="HE259" s="9"/>
      <c r="HF259" s="9"/>
      <c r="HG259" s="9"/>
      <c r="HH259" s="9"/>
      <c r="HI259" s="9"/>
      <c r="HJ259" s="9"/>
      <c r="HK259" s="9"/>
      <c r="HL259" s="9"/>
      <c r="HM259" s="9"/>
      <c r="HN259" s="9"/>
      <c r="HO259" s="9"/>
      <c r="HP259" s="9"/>
      <c r="HQ259" s="9"/>
      <c r="HR259" s="9"/>
      <c r="HS259" s="9"/>
      <c r="HT259" s="9"/>
      <c r="HU259" s="9"/>
      <c r="HV259" s="9"/>
      <c r="HW259" s="9"/>
      <c r="HX259" s="9"/>
      <c r="HY259" s="9"/>
      <c r="HZ259" s="9"/>
      <c r="IA259" s="9"/>
      <c r="IB259" s="9"/>
      <c r="IC259" s="9"/>
      <c r="ID259" s="9"/>
      <c r="IE259" s="9"/>
      <c r="IF259" s="9"/>
      <c r="IG259" s="9"/>
      <c r="IH259" s="9"/>
      <c r="II259" s="9"/>
      <c r="IJ259" s="9"/>
      <c r="IK259" s="9"/>
      <c r="IL259" s="9"/>
      <c r="IM259" s="9"/>
      <c r="IN259" s="9"/>
      <c r="IO259" s="9"/>
      <c r="IP259" s="9"/>
      <c r="IQ259" s="9"/>
      <c r="IR259" s="9"/>
      <c r="IS259" s="9"/>
      <c r="IT259" s="9"/>
      <c r="IU259" s="9"/>
      <c r="IV259" s="9"/>
      <c r="IW259" s="9"/>
      <c r="IX259" s="9"/>
      <c r="IY259" s="9"/>
      <c r="IZ259" s="9"/>
      <c r="JA259" s="9"/>
      <c r="JB259" s="9"/>
      <c r="JC259" s="9"/>
      <c r="JD259" s="9"/>
      <c r="JE259" s="9"/>
      <c r="JF259" s="9"/>
      <c r="JG259" s="9"/>
      <c r="JH259" s="9"/>
      <c r="JI259" s="9"/>
      <c r="JJ259" s="9"/>
      <c r="JK259" s="9"/>
      <c r="JL259" s="9"/>
      <c r="JM259" s="9"/>
      <c r="JN259" s="9"/>
      <c r="JO259" s="9"/>
      <c r="JP259" s="9"/>
      <c r="JQ259" s="9"/>
      <c r="JR259" s="9"/>
      <c r="JS259" s="9"/>
      <c r="JT259" s="9"/>
      <c r="JU259" s="9"/>
      <c r="JV259" s="9"/>
      <c r="JW259" s="9"/>
      <c r="JX259" s="9"/>
      <c r="JY259" s="9"/>
      <c r="JZ259" s="9"/>
      <c r="KA259" s="9"/>
      <c r="KB259" s="9"/>
      <c r="KC259" s="9"/>
      <c r="KD259" s="9"/>
      <c r="KE259" s="9"/>
      <c r="KF259" s="9"/>
      <c r="KG259" s="9"/>
      <c r="KH259" s="9"/>
      <c r="KI259" s="9"/>
      <c r="KJ259" s="9"/>
      <c r="KK259" s="9"/>
      <c r="KL259" s="9"/>
      <c r="KM259" s="9"/>
      <c r="KN259" s="9"/>
      <c r="KO259" s="9"/>
      <c r="KP259" s="9"/>
      <c r="KQ259" s="9"/>
      <c r="KR259" s="9"/>
      <c r="KS259" s="9"/>
      <c r="KT259" s="9"/>
      <c r="KU259" s="9"/>
      <c r="KV259" s="9"/>
      <c r="KW259" s="9"/>
      <c r="KX259" s="9"/>
      <c r="KY259" s="9"/>
      <c r="KZ259" s="9"/>
      <c r="LA259" s="9"/>
      <c r="LB259" s="9"/>
      <c r="LC259" s="9"/>
      <c r="LD259" s="9"/>
      <c r="LE259" s="9"/>
      <c r="LF259" s="9"/>
      <c r="LG259" s="9"/>
      <c r="LH259" s="9"/>
      <c r="LI259" s="9"/>
      <c r="LJ259" s="9"/>
      <c r="LK259" s="9"/>
      <c r="LL259" s="9"/>
      <c r="LM259" s="9"/>
      <c r="LN259" s="9"/>
      <c r="LO259" s="9"/>
      <c r="LP259" s="9"/>
      <c r="LQ259" s="9"/>
      <c r="LR259" s="9"/>
      <c r="LS259" s="9"/>
      <c r="LT259" s="9"/>
      <c r="LU259" s="9"/>
      <c r="LV259" s="9"/>
      <c r="LW259" s="9"/>
      <c r="LX259" s="9"/>
      <c r="LY259" s="9"/>
      <c r="LZ259" s="9"/>
      <c r="MA259" s="9"/>
      <c r="MB259" s="9"/>
      <c r="MC259" s="9"/>
      <c r="MD259" s="9"/>
      <c r="ME259" s="9"/>
      <c r="MF259" s="9"/>
      <c r="MG259" s="9"/>
      <c r="MH259" s="9"/>
      <c r="MI259" s="9"/>
      <c r="MJ259" s="9"/>
      <c r="MK259" s="9"/>
      <c r="ML259" s="9"/>
      <c r="MM259" s="9"/>
      <c r="MN259" s="9"/>
      <c r="MO259" s="9"/>
      <c r="MP259" s="9"/>
      <c r="MQ259" s="9"/>
      <c r="MR259" s="9"/>
      <c r="MS259" s="9"/>
      <c r="MT259" s="9"/>
      <c r="MU259" s="9"/>
      <c r="MV259" s="9"/>
      <c r="MW259" s="9"/>
      <c r="MX259" s="9"/>
      <c r="MY259" s="9"/>
      <c r="MZ259" s="9"/>
      <c r="NA259" s="9"/>
      <c r="NB259" s="9"/>
      <c r="NC259" s="9"/>
      <c r="ND259" s="9"/>
      <c r="NE259" s="9"/>
      <c r="NF259" s="9"/>
      <c r="NG259" s="9"/>
      <c r="NH259" s="9"/>
      <c r="NI259" s="9"/>
      <c r="NJ259" s="9"/>
      <c r="NK259" s="9"/>
      <c r="NL259" s="9"/>
      <c r="NM259" s="9"/>
      <c r="NN259" s="9"/>
      <c r="NO259" s="9"/>
      <c r="NP259" s="9"/>
      <c r="NQ259" s="9"/>
      <c r="NR259" s="9"/>
      <c r="NS259" s="9"/>
      <c r="NT259" s="9"/>
      <c r="NU259" s="9"/>
      <c r="NV259" s="9"/>
      <c r="NW259" s="9"/>
      <c r="NX259" s="9"/>
      <c r="NY259" s="9"/>
      <c r="NZ259" s="9"/>
      <c r="OA259" s="9"/>
      <c r="OB259" s="9"/>
      <c r="OC259" s="9"/>
      <c r="OD259" s="9"/>
      <c r="OE259" s="9"/>
      <c r="OF259" s="9"/>
      <c r="OG259" s="9"/>
      <c r="OH259" s="9"/>
      <c r="OI259" s="9"/>
      <c r="OJ259" s="9"/>
      <c r="OK259" s="9"/>
      <c r="OL259" s="9"/>
      <c r="OM259" s="9"/>
      <c r="ON259" s="9"/>
      <c r="OO259" s="9"/>
      <c r="OP259" s="9"/>
      <c r="OQ259" s="9"/>
      <c r="OR259" s="9"/>
      <c r="OS259" s="9"/>
      <c r="OT259" s="9"/>
      <c r="OU259" s="9"/>
      <c r="OV259" s="9"/>
      <c r="OW259" s="9"/>
      <c r="OX259" s="9"/>
      <c r="OY259" s="9"/>
      <c r="OZ259" s="9"/>
      <c r="PA259" s="9"/>
      <c r="PB259" s="9"/>
      <c r="PC259" s="9"/>
      <c r="PD259" s="9"/>
      <c r="PE259" s="9"/>
      <c r="PF259" s="9"/>
      <c r="PG259" s="9"/>
      <c r="PH259" s="9"/>
      <c r="PI259" s="9"/>
      <c r="PJ259" s="9"/>
      <c r="PK259" s="9"/>
      <c r="PL259" s="9"/>
      <c r="PM259" s="9"/>
      <c r="PN259" s="9"/>
      <c r="PO259" s="9"/>
      <c r="PP259" s="9"/>
      <c r="PQ259" s="9"/>
      <c r="PR259" s="9"/>
      <c r="PS259" s="9"/>
      <c r="PT259" s="9"/>
      <c r="PU259" s="9"/>
      <c r="PV259" s="9"/>
      <c r="PW259" s="9"/>
      <c r="PX259" s="9"/>
      <c r="PY259" s="9"/>
      <c r="PZ259" s="9"/>
      <c r="QA259" s="9"/>
      <c r="QB259" s="9"/>
      <c r="QC259" s="9"/>
      <c r="QD259" s="9"/>
      <c r="QE259" s="9"/>
      <c r="QF259" s="9"/>
      <c r="QG259" s="9"/>
      <c r="QH259" s="9"/>
      <c r="QI259" s="9"/>
      <c r="QJ259" s="9"/>
      <c r="QK259" s="9"/>
      <c r="QL259" s="9"/>
      <c r="QM259" s="9"/>
      <c r="QN259" s="9"/>
      <c r="QO259" s="9"/>
      <c r="QP259" s="9"/>
      <c r="QQ259" s="9"/>
      <c r="QR259" s="9"/>
      <c r="QS259" s="9"/>
      <c r="QT259" s="9"/>
      <c r="QU259" s="9"/>
      <c r="QV259" s="9"/>
      <c r="QW259" s="9"/>
      <c r="QX259" s="9"/>
      <c r="QY259" s="9"/>
      <c r="QZ259" s="9"/>
      <c r="RA259" s="9"/>
      <c r="RB259" s="9"/>
      <c r="RC259" s="9"/>
      <c r="RD259" s="9"/>
      <c r="RE259" s="9"/>
      <c r="RF259" s="9"/>
      <c r="RG259" s="9"/>
      <c r="RH259" s="9"/>
      <c r="RI259" s="9"/>
      <c r="RJ259" s="9"/>
      <c r="RK259" s="9"/>
      <c r="RL259" s="9"/>
      <c r="RM259" s="9"/>
      <c r="RN259" s="9"/>
      <c r="RO259" s="9"/>
      <c r="RP259" s="9"/>
      <c r="RQ259" s="9"/>
      <c r="RR259" s="9"/>
      <c r="RS259" s="9"/>
      <c r="RT259" s="9"/>
      <c r="RU259" s="9"/>
      <c r="RV259" s="9"/>
      <c r="RW259" s="9"/>
      <c r="RX259" s="9"/>
      <c r="RY259" s="9"/>
      <c r="RZ259" s="9"/>
      <c r="SA259" s="9"/>
      <c r="SB259" s="9"/>
      <c r="SC259" s="9"/>
      <c r="SD259" s="9"/>
      <c r="SE259" s="9"/>
      <c r="SF259" s="9"/>
      <c r="SG259" s="9"/>
      <c r="SH259" s="9"/>
      <c r="SI259" s="9"/>
      <c r="SJ259" s="9"/>
      <c r="SK259" s="8"/>
      <c r="SL259" s="8"/>
      <c r="SM259" s="8"/>
      <c r="SN259" s="8"/>
      <c r="SO259" s="8"/>
      <c r="SP259" s="8"/>
      <c r="SQ259" s="8"/>
      <c r="SR259" s="8"/>
      <c r="SS259" s="8"/>
      <c r="ST259" s="8"/>
      <c r="SU259" s="8"/>
      <c r="SV259" s="8"/>
      <c r="SW259" s="8"/>
      <c r="SX259" s="8"/>
      <c r="SY259" s="8"/>
      <c r="SZ259" s="8"/>
      <c r="TA259" s="8"/>
      <c r="TB259" s="8"/>
      <c r="TC259" s="8"/>
      <c r="TD259" s="8"/>
      <c r="TE259" s="8"/>
      <c r="TF259" s="8"/>
      <c r="TG259" s="8"/>
      <c r="TH259" s="8"/>
      <c r="TI259" s="8"/>
      <c r="TJ259" s="8"/>
      <c r="TK259" s="8"/>
      <c r="TL259" s="8"/>
      <c r="TM259" s="8"/>
      <c r="TN259" s="8"/>
      <c r="TO259" s="8"/>
    </row>
    <row r="260" spans="1:535" x14ac:dyDescent="0.2">
      <c r="A260" s="7"/>
      <c r="B260" s="7"/>
      <c r="C260" s="9"/>
      <c r="D260" s="8"/>
      <c r="E260" s="8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9"/>
      <c r="BH260" s="9"/>
      <c r="BI260" s="9"/>
      <c r="BJ260" s="9"/>
      <c r="BK260" s="9"/>
      <c r="BL260" s="9"/>
      <c r="BM260" s="9"/>
      <c r="BN260" s="9"/>
      <c r="BO260" s="9"/>
      <c r="BP260" s="9"/>
      <c r="BQ260" s="9"/>
      <c r="BR260" s="9"/>
      <c r="BS260" s="9"/>
      <c r="BT260" s="9"/>
      <c r="BU260" s="9"/>
      <c r="BV260" s="9"/>
      <c r="BW260" s="9"/>
      <c r="BX260" s="9"/>
      <c r="BY260" s="9"/>
      <c r="BZ260" s="9"/>
      <c r="CA260" s="9"/>
      <c r="CB260" s="9"/>
      <c r="CC260" s="9"/>
      <c r="CD260" s="9"/>
      <c r="CE260" s="9"/>
      <c r="CF260" s="9"/>
      <c r="CG260" s="9"/>
      <c r="CH260" s="9"/>
      <c r="CI260" s="9"/>
      <c r="CJ260" s="9"/>
      <c r="CK260" s="9"/>
      <c r="CL260" s="9"/>
      <c r="CM260" s="9"/>
      <c r="CN260" s="9"/>
      <c r="CO260" s="9"/>
      <c r="CP260" s="9"/>
      <c r="CQ260" s="9"/>
      <c r="CR260" s="9"/>
      <c r="CS260" s="9"/>
      <c r="CT260" s="9"/>
      <c r="CU260" s="9"/>
      <c r="CV260" s="9"/>
      <c r="CW260" s="9"/>
      <c r="CX260" s="9"/>
      <c r="CY260" s="9"/>
      <c r="CZ260" s="9"/>
      <c r="DA260" s="9"/>
      <c r="DB260" s="9"/>
      <c r="DC260" s="9"/>
      <c r="DD260" s="9"/>
      <c r="DE260" s="9"/>
      <c r="DF260" s="9"/>
      <c r="DG260" s="9"/>
      <c r="DH260" s="9"/>
      <c r="DI260" s="9"/>
      <c r="DJ260" s="9"/>
      <c r="DK260" s="9"/>
      <c r="DL260" s="9"/>
      <c r="DM260" s="9"/>
      <c r="DN260" s="9"/>
      <c r="DO260" s="9"/>
      <c r="DP260" s="9"/>
      <c r="DQ260" s="9"/>
      <c r="DR260" s="9"/>
      <c r="DS260" s="9"/>
      <c r="DT260" s="9"/>
      <c r="DU260" s="9"/>
      <c r="DV260" s="9"/>
      <c r="DW260" s="9"/>
      <c r="DX260" s="9"/>
      <c r="DY260" s="9"/>
      <c r="DZ260" s="9"/>
      <c r="EA260" s="9"/>
      <c r="EB260" s="9"/>
      <c r="EC260" s="9"/>
      <c r="ED260" s="9"/>
      <c r="EE260" s="9"/>
      <c r="EF260" s="9"/>
      <c r="EG260" s="9"/>
      <c r="EH260" s="9"/>
      <c r="EI260" s="9"/>
      <c r="EJ260" s="9"/>
      <c r="EK260" s="9"/>
      <c r="EL260" s="9"/>
      <c r="EM260" s="9"/>
      <c r="EN260" s="9"/>
      <c r="EO260" s="9"/>
      <c r="EP260" s="9"/>
      <c r="EQ260" s="9"/>
      <c r="ER260" s="9"/>
      <c r="ES260" s="9"/>
      <c r="ET260" s="9"/>
      <c r="EU260" s="9"/>
      <c r="EV260" s="9"/>
      <c r="EW260" s="9"/>
      <c r="EX260" s="9"/>
      <c r="EY260" s="9"/>
      <c r="EZ260" s="9"/>
      <c r="FA260" s="9"/>
      <c r="FB260" s="9"/>
      <c r="FC260" s="9"/>
      <c r="FD260" s="9"/>
      <c r="FE260" s="9"/>
      <c r="FF260" s="9"/>
      <c r="FG260" s="9"/>
      <c r="FH260" s="9"/>
      <c r="FI260" s="9"/>
      <c r="FJ260" s="9"/>
      <c r="FK260" s="9"/>
      <c r="FL260" s="9"/>
      <c r="FM260" s="9"/>
      <c r="FN260" s="9"/>
      <c r="FO260" s="9"/>
      <c r="FP260" s="9"/>
      <c r="FQ260" s="9"/>
      <c r="FR260" s="9"/>
      <c r="FS260" s="9"/>
      <c r="FT260" s="9"/>
      <c r="FU260" s="9"/>
      <c r="FV260" s="9"/>
      <c r="FW260" s="9"/>
      <c r="FX260" s="9"/>
      <c r="FY260" s="9"/>
      <c r="FZ260" s="9"/>
      <c r="GA260" s="9"/>
      <c r="GB260" s="9"/>
      <c r="GC260" s="9"/>
      <c r="GD260" s="9"/>
      <c r="GE260" s="9"/>
      <c r="GF260" s="9"/>
      <c r="GG260" s="9"/>
      <c r="GH260" s="9"/>
      <c r="GI260" s="9"/>
      <c r="GJ260" s="9"/>
      <c r="GK260" s="9"/>
      <c r="GL260" s="9"/>
      <c r="GM260" s="9"/>
      <c r="GN260" s="9"/>
      <c r="GO260" s="9"/>
      <c r="GP260" s="9"/>
      <c r="GQ260" s="9"/>
      <c r="GR260" s="9"/>
      <c r="GS260" s="9"/>
      <c r="GT260" s="9"/>
      <c r="GU260" s="9"/>
      <c r="GV260" s="9"/>
      <c r="GW260" s="9"/>
      <c r="GX260" s="9"/>
      <c r="GY260" s="9"/>
      <c r="GZ260" s="9"/>
      <c r="HA260" s="9"/>
      <c r="HB260" s="9"/>
      <c r="HC260" s="9"/>
      <c r="HD260" s="9"/>
      <c r="HE260" s="9"/>
      <c r="HF260" s="9"/>
      <c r="HG260" s="9"/>
      <c r="HH260" s="9"/>
      <c r="HI260" s="9"/>
      <c r="HJ260" s="9"/>
      <c r="HK260" s="9"/>
      <c r="HL260" s="9"/>
      <c r="HM260" s="9"/>
      <c r="HN260" s="9"/>
      <c r="HO260" s="9"/>
      <c r="HP260" s="9"/>
      <c r="HQ260" s="9"/>
      <c r="HR260" s="9"/>
      <c r="HS260" s="9"/>
      <c r="HT260" s="9"/>
      <c r="HU260" s="9"/>
      <c r="HV260" s="9"/>
      <c r="HW260" s="9"/>
      <c r="HX260" s="9"/>
      <c r="HY260" s="9"/>
      <c r="HZ260" s="9"/>
      <c r="IA260" s="9"/>
      <c r="IB260" s="9"/>
      <c r="IC260" s="9"/>
      <c r="ID260" s="9"/>
      <c r="IE260" s="9"/>
      <c r="IF260" s="9"/>
      <c r="IG260" s="9"/>
      <c r="IH260" s="9"/>
      <c r="II260" s="9"/>
      <c r="IJ260" s="9"/>
      <c r="IK260" s="9"/>
      <c r="IL260" s="9"/>
      <c r="IM260" s="9"/>
      <c r="IN260" s="9"/>
      <c r="IO260" s="9"/>
      <c r="IP260" s="9"/>
      <c r="IQ260" s="9"/>
      <c r="IR260" s="9"/>
      <c r="IS260" s="9"/>
      <c r="IT260" s="9"/>
      <c r="IU260" s="9"/>
      <c r="IV260" s="9"/>
      <c r="IW260" s="9"/>
      <c r="IX260" s="9"/>
      <c r="IY260" s="9"/>
      <c r="IZ260" s="9"/>
      <c r="JA260" s="9"/>
      <c r="JB260" s="9"/>
      <c r="JC260" s="9"/>
      <c r="JD260" s="9"/>
      <c r="JE260" s="9"/>
      <c r="JF260" s="9"/>
      <c r="JG260" s="9"/>
      <c r="JH260" s="9"/>
      <c r="JI260" s="9"/>
      <c r="JJ260" s="9"/>
      <c r="JK260" s="9"/>
      <c r="JL260" s="9"/>
      <c r="JM260" s="9"/>
      <c r="JN260" s="9"/>
      <c r="JO260" s="9"/>
      <c r="JP260" s="9"/>
      <c r="JQ260" s="9"/>
      <c r="JR260" s="9"/>
      <c r="JS260" s="9"/>
      <c r="JT260" s="9"/>
      <c r="JU260" s="9"/>
      <c r="JV260" s="9"/>
      <c r="JW260" s="9"/>
      <c r="JX260" s="9"/>
      <c r="JY260" s="9"/>
      <c r="JZ260" s="9"/>
      <c r="KA260" s="9"/>
      <c r="KB260" s="9"/>
      <c r="KC260" s="9"/>
      <c r="KD260" s="9"/>
      <c r="KE260" s="9"/>
      <c r="KF260" s="9"/>
      <c r="KG260" s="9"/>
      <c r="KH260" s="9"/>
      <c r="KI260" s="9"/>
      <c r="KJ260" s="9"/>
      <c r="KK260" s="9"/>
      <c r="KL260" s="9"/>
      <c r="KM260" s="9"/>
      <c r="KN260" s="9"/>
      <c r="KO260" s="9"/>
      <c r="KP260" s="9"/>
      <c r="KQ260" s="9"/>
      <c r="KR260" s="9"/>
      <c r="KS260" s="9"/>
      <c r="KT260" s="9"/>
      <c r="KU260" s="9"/>
      <c r="KV260" s="9"/>
      <c r="KW260" s="9"/>
      <c r="KX260" s="9"/>
      <c r="KY260" s="9"/>
      <c r="KZ260" s="9"/>
      <c r="LA260" s="9"/>
      <c r="LB260" s="9"/>
      <c r="LC260" s="9"/>
      <c r="LD260" s="9"/>
      <c r="LE260" s="9"/>
      <c r="LF260" s="9"/>
      <c r="LG260" s="9"/>
      <c r="LH260" s="9"/>
      <c r="LI260" s="9"/>
      <c r="LJ260" s="9"/>
      <c r="LK260" s="9"/>
      <c r="LL260" s="9"/>
      <c r="LM260" s="9"/>
      <c r="LN260" s="9"/>
      <c r="LO260" s="9"/>
      <c r="LP260" s="9"/>
      <c r="LQ260" s="9"/>
      <c r="LR260" s="9"/>
      <c r="LS260" s="9"/>
      <c r="LT260" s="9"/>
      <c r="LU260" s="9"/>
      <c r="LV260" s="9"/>
      <c r="LW260" s="9"/>
      <c r="LX260" s="9"/>
      <c r="LY260" s="9"/>
      <c r="LZ260" s="9"/>
      <c r="MA260" s="9"/>
      <c r="MB260" s="9"/>
      <c r="MC260" s="9"/>
      <c r="MD260" s="9"/>
      <c r="ME260" s="9"/>
      <c r="MF260" s="9"/>
      <c r="MG260" s="9"/>
      <c r="MH260" s="9"/>
      <c r="MI260" s="9"/>
      <c r="MJ260" s="9"/>
      <c r="MK260" s="9"/>
      <c r="ML260" s="9"/>
      <c r="MM260" s="9"/>
      <c r="MN260" s="9"/>
      <c r="MO260" s="9"/>
      <c r="MP260" s="9"/>
      <c r="MQ260" s="9"/>
      <c r="MR260" s="9"/>
      <c r="MS260" s="9"/>
      <c r="MT260" s="9"/>
      <c r="MU260" s="9"/>
      <c r="MV260" s="9"/>
      <c r="MW260" s="9"/>
      <c r="MX260" s="9"/>
      <c r="MY260" s="9"/>
      <c r="MZ260" s="9"/>
      <c r="NA260" s="9"/>
      <c r="NB260" s="9"/>
      <c r="NC260" s="9"/>
      <c r="ND260" s="9"/>
      <c r="NE260" s="9"/>
      <c r="NF260" s="9"/>
      <c r="NG260" s="9"/>
      <c r="NH260" s="9"/>
      <c r="NI260" s="9"/>
      <c r="NJ260" s="9"/>
      <c r="NK260" s="9"/>
      <c r="NL260" s="9"/>
      <c r="NM260" s="9"/>
      <c r="NN260" s="9"/>
      <c r="NO260" s="9"/>
      <c r="NP260" s="9"/>
      <c r="NQ260" s="9"/>
      <c r="NR260" s="9"/>
      <c r="NS260" s="9"/>
      <c r="NT260" s="9"/>
      <c r="NU260" s="9"/>
      <c r="NV260" s="9"/>
      <c r="NW260" s="9"/>
      <c r="NX260" s="9"/>
      <c r="NY260" s="9"/>
      <c r="NZ260" s="9"/>
      <c r="OA260" s="9"/>
      <c r="OB260" s="9"/>
      <c r="OC260" s="9"/>
      <c r="OD260" s="9"/>
      <c r="OE260" s="9"/>
      <c r="OF260" s="9"/>
      <c r="OG260" s="9"/>
      <c r="OH260" s="9"/>
      <c r="OI260" s="9"/>
      <c r="OJ260" s="9"/>
      <c r="OK260" s="9"/>
      <c r="OL260" s="9"/>
      <c r="OM260" s="9"/>
      <c r="ON260" s="9"/>
      <c r="OO260" s="9"/>
      <c r="OP260" s="9"/>
      <c r="OQ260" s="9"/>
      <c r="OR260" s="9"/>
      <c r="OS260" s="9"/>
      <c r="OT260" s="9"/>
      <c r="OU260" s="9"/>
      <c r="OV260" s="9"/>
      <c r="OW260" s="9"/>
      <c r="OX260" s="9"/>
      <c r="OY260" s="9"/>
      <c r="OZ260" s="9"/>
      <c r="PA260" s="9"/>
      <c r="PB260" s="9"/>
      <c r="PC260" s="9"/>
      <c r="PD260" s="9"/>
      <c r="PE260" s="9"/>
      <c r="PF260" s="9"/>
      <c r="PG260" s="9"/>
      <c r="PH260" s="9"/>
      <c r="PI260" s="9"/>
      <c r="PJ260" s="9"/>
      <c r="PK260" s="9"/>
      <c r="PL260" s="9"/>
      <c r="PM260" s="9"/>
      <c r="PN260" s="9"/>
      <c r="PO260" s="9"/>
      <c r="PP260" s="9"/>
      <c r="PQ260" s="9"/>
      <c r="PR260" s="9"/>
      <c r="PS260" s="9"/>
      <c r="PT260" s="9"/>
      <c r="PU260" s="9"/>
      <c r="PV260" s="9"/>
      <c r="PW260" s="9"/>
      <c r="PX260" s="9"/>
      <c r="PY260" s="9"/>
      <c r="PZ260" s="9"/>
      <c r="QA260" s="9"/>
      <c r="QB260" s="9"/>
      <c r="QC260" s="9"/>
      <c r="QD260" s="9"/>
      <c r="QE260" s="9"/>
      <c r="QF260" s="9"/>
      <c r="QG260" s="9"/>
      <c r="QH260" s="9"/>
      <c r="QI260" s="9"/>
      <c r="QJ260" s="9"/>
      <c r="QK260" s="9"/>
      <c r="QL260" s="9"/>
      <c r="QM260" s="9"/>
      <c r="QN260" s="9"/>
      <c r="QO260" s="9"/>
      <c r="QP260" s="9"/>
      <c r="QQ260" s="9"/>
      <c r="QR260" s="9"/>
      <c r="QS260" s="9"/>
      <c r="QT260" s="9"/>
      <c r="QU260" s="9"/>
      <c r="QV260" s="9"/>
      <c r="QW260" s="9"/>
      <c r="QX260" s="9"/>
      <c r="QY260" s="9"/>
      <c r="QZ260" s="9"/>
      <c r="RA260" s="9"/>
      <c r="RB260" s="9"/>
      <c r="RC260" s="9"/>
      <c r="RD260" s="9"/>
      <c r="RE260" s="9"/>
      <c r="RF260" s="9"/>
      <c r="RG260" s="9"/>
      <c r="RH260" s="9"/>
      <c r="RI260" s="9"/>
      <c r="RJ260" s="9"/>
      <c r="RK260" s="9"/>
      <c r="RL260" s="9"/>
      <c r="RM260" s="9"/>
      <c r="RN260" s="9"/>
      <c r="RO260" s="9"/>
      <c r="RP260" s="9"/>
      <c r="RQ260" s="9"/>
      <c r="RR260" s="9"/>
      <c r="RS260" s="9"/>
      <c r="RT260" s="9"/>
      <c r="RU260" s="9"/>
      <c r="RV260" s="9"/>
      <c r="RW260" s="9"/>
      <c r="RX260" s="9"/>
      <c r="RY260" s="9"/>
      <c r="RZ260" s="9"/>
      <c r="SA260" s="9"/>
      <c r="SB260" s="9"/>
      <c r="SC260" s="9"/>
      <c r="SD260" s="9"/>
      <c r="SE260" s="9"/>
      <c r="SF260" s="9"/>
      <c r="SG260" s="9"/>
      <c r="SH260" s="9"/>
      <c r="SI260" s="9"/>
      <c r="SJ260" s="9"/>
      <c r="SK260" s="8"/>
      <c r="SL260" s="8"/>
      <c r="SM260" s="8"/>
      <c r="SN260" s="8"/>
      <c r="SO260" s="8"/>
      <c r="SP260" s="8"/>
      <c r="SQ260" s="8"/>
      <c r="SR260" s="8"/>
      <c r="SS260" s="8"/>
      <c r="ST260" s="8"/>
      <c r="SU260" s="8"/>
      <c r="SV260" s="8"/>
      <c r="SW260" s="8"/>
      <c r="SX260" s="8"/>
      <c r="SY260" s="8"/>
      <c r="SZ260" s="8"/>
      <c r="TA260" s="8"/>
      <c r="TB260" s="8"/>
      <c r="TC260" s="8"/>
      <c r="TD260" s="8"/>
      <c r="TE260" s="8"/>
      <c r="TF260" s="8"/>
      <c r="TG260" s="8"/>
      <c r="TH260" s="8"/>
      <c r="TI260" s="8"/>
      <c r="TJ260" s="8"/>
      <c r="TK260" s="8"/>
      <c r="TL260" s="8"/>
      <c r="TM260" s="8"/>
      <c r="TN260" s="8"/>
      <c r="TO260" s="8"/>
    </row>
    <row r="261" spans="1:535" x14ac:dyDescent="0.2">
      <c r="A261" s="7"/>
      <c r="B261" s="7"/>
      <c r="C261" s="9"/>
      <c r="D261" s="8"/>
      <c r="E261" s="8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9"/>
      <c r="BH261" s="9"/>
      <c r="BI261" s="9"/>
      <c r="BJ261" s="9"/>
      <c r="BK261" s="9"/>
      <c r="BL261" s="9"/>
      <c r="BM261" s="9"/>
      <c r="BN261" s="9"/>
      <c r="BO261" s="9"/>
      <c r="BP261" s="9"/>
      <c r="BQ261" s="9"/>
      <c r="BR261" s="9"/>
      <c r="BS261" s="9"/>
      <c r="BT261" s="9"/>
      <c r="BU261" s="9"/>
      <c r="BV261" s="9"/>
      <c r="BW261" s="9"/>
      <c r="BX261" s="9"/>
      <c r="BY261" s="9"/>
      <c r="BZ261" s="9"/>
      <c r="CA261" s="9"/>
      <c r="CB261" s="9"/>
      <c r="CC261" s="9"/>
      <c r="CD261" s="9"/>
      <c r="CE261" s="9"/>
      <c r="CF261" s="9"/>
      <c r="CG261" s="9"/>
      <c r="CH261" s="9"/>
      <c r="CI261" s="9"/>
      <c r="CJ261" s="9"/>
      <c r="CK261" s="9"/>
      <c r="CL261" s="9"/>
      <c r="CM261" s="9"/>
      <c r="CN261" s="9"/>
      <c r="CO261" s="9"/>
      <c r="CP261" s="9"/>
      <c r="CQ261" s="9"/>
      <c r="CR261" s="9"/>
      <c r="CS261" s="9"/>
      <c r="CT261" s="9"/>
      <c r="CU261" s="9"/>
      <c r="CV261" s="9"/>
      <c r="CW261" s="9"/>
      <c r="CX261" s="9"/>
      <c r="CY261" s="9"/>
      <c r="CZ261" s="9"/>
      <c r="DA261" s="9"/>
      <c r="DB261" s="9"/>
      <c r="DC261" s="9"/>
      <c r="DD261" s="9"/>
      <c r="DE261" s="9"/>
      <c r="DF261" s="9"/>
      <c r="DG261" s="9"/>
      <c r="DH261" s="9"/>
      <c r="DI261" s="9"/>
      <c r="DJ261" s="9"/>
      <c r="DK261" s="9"/>
      <c r="DL261" s="9"/>
      <c r="DM261" s="9"/>
      <c r="DN261" s="9"/>
      <c r="DO261" s="9"/>
      <c r="DP261" s="9"/>
      <c r="DQ261" s="9"/>
      <c r="DR261" s="9"/>
      <c r="DS261" s="9"/>
      <c r="DT261" s="9"/>
      <c r="DU261" s="9"/>
      <c r="DV261" s="9"/>
      <c r="DW261" s="9"/>
      <c r="DX261" s="9"/>
      <c r="DY261" s="9"/>
      <c r="DZ261" s="9"/>
      <c r="EA261" s="9"/>
      <c r="EB261" s="9"/>
      <c r="EC261" s="9"/>
      <c r="ED261" s="9"/>
      <c r="EE261" s="9"/>
      <c r="EF261" s="9"/>
      <c r="EG261" s="9"/>
      <c r="EH261" s="9"/>
      <c r="EI261" s="9"/>
      <c r="EJ261" s="9"/>
      <c r="EK261" s="9"/>
      <c r="EL261" s="9"/>
      <c r="EM261" s="9"/>
      <c r="EN261" s="9"/>
      <c r="EO261" s="9"/>
      <c r="EP261" s="9"/>
      <c r="EQ261" s="9"/>
      <c r="ER261" s="9"/>
      <c r="ES261" s="9"/>
      <c r="ET261" s="9"/>
      <c r="EU261" s="9"/>
      <c r="EV261" s="9"/>
      <c r="EW261" s="9"/>
      <c r="EX261" s="9"/>
      <c r="EY261" s="9"/>
      <c r="EZ261" s="9"/>
      <c r="FA261" s="9"/>
      <c r="FB261" s="9"/>
      <c r="FC261" s="9"/>
      <c r="FD261" s="9"/>
      <c r="FE261" s="9"/>
      <c r="FF261" s="9"/>
      <c r="FG261" s="9"/>
      <c r="FH261" s="9"/>
      <c r="FI261" s="9"/>
      <c r="FJ261" s="9"/>
      <c r="FK261" s="9"/>
      <c r="FL261" s="9"/>
      <c r="FM261" s="9"/>
      <c r="FN261" s="9"/>
      <c r="FO261" s="9"/>
      <c r="FP261" s="9"/>
      <c r="FQ261" s="9"/>
      <c r="FR261" s="9"/>
      <c r="FS261" s="9"/>
      <c r="FT261" s="9"/>
      <c r="FU261" s="9"/>
      <c r="FV261" s="9"/>
      <c r="FW261" s="9"/>
      <c r="FX261" s="9"/>
      <c r="FY261" s="9"/>
      <c r="FZ261" s="9"/>
      <c r="GA261" s="9"/>
      <c r="GB261" s="9"/>
      <c r="GC261" s="9"/>
      <c r="GD261" s="9"/>
      <c r="GE261" s="9"/>
      <c r="GF261" s="9"/>
      <c r="GG261" s="9"/>
      <c r="GH261" s="9"/>
      <c r="GI261" s="9"/>
      <c r="GJ261" s="9"/>
      <c r="GK261" s="9"/>
      <c r="GL261" s="9"/>
      <c r="GM261" s="9"/>
      <c r="GN261" s="9"/>
      <c r="GO261" s="9"/>
      <c r="GP261" s="9"/>
      <c r="GQ261" s="9"/>
      <c r="GR261" s="9"/>
      <c r="GS261" s="9"/>
      <c r="GT261" s="9"/>
      <c r="GU261" s="9"/>
      <c r="GV261" s="9"/>
      <c r="GW261" s="9"/>
      <c r="GX261" s="9"/>
      <c r="GY261" s="9"/>
      <c r="GZ261" s="9"/>
      <c r="HA261" s="9"/>
      <c r="HB261" s="9"/>
      <c r="HC261" s="9"/>
      <c r="HD261" s="9"/>
      <c r="HE261" s="9"/>
      <c r="HF261" s="9"/>
      <c r="HG261" s="9"/>
      <c r="HH261" s="9"/>
      <c r="HI261" s="9"/>
      <c r="HJ261" s="9"/>
      <c r="HK261" s="9"/>
      <c r="HL261" s="9"/>
      <c r="HM261" s="9"/>
      <c r="HN261" s="9"/>
      <c r="HO261" s="9"/>
      <c r="HP261" s="9"/>
      <c r="HQ261" s="9"/>
      <c r="HR261" s="9"/>
      <c r="HS261" s="9"/>
      <c r="HT261" s="9"/>
      <c r="HU261" s="9"/>
      <c r="HV261" s="9"/>
      <c r="HW261" s="9"/>
      <c r="HX261" s="9"/>
      <c r="HY261" s="9"/>
      <c r="HZ261" s="9"/>
      <c r="IA261" s="9"/>
      <c r="IB261" s="9"/>
      <c r="IC261" s="9"/>
      <c r="ID261" s="9"/>
      <c r="IE261" s="9"/>
      <c r="IF261" s="9"/>
      <c r="IG261" s="9"/>
      <c r="IH261" s="9"/>
      <c r="II261" s="9"/>
      <c r="IJ261" s="9"/>
      <c r="IK261" s="9"/>
      <c r="IL261" s="9"/>
      <c r="IM261" s="9"/>
      <c r="IN261" s="9"/>
      <c r="IO261" s="9"/>
      <c r="IP261" s="9"/>
      <c r="IQ261" s="9"/>
      <c r="IR261" s="9"/>
      <c r="IS261" s="9"/>
      <c r="IT261" s="9"/>
      <c r="IU261" s="9"/>
      <c r="IV261" s="9"/>
      <c r="IW261" s="9"/>
      <c r="IX261" s="9"/>
      <c r="IY261" s="9"/>
      <c r="IZ261" s="9"/>
      <c r="JA261" s="9"/>
      <c r="JB261" s="9"/>
      <c r="JC261" s="9"/>
      <c r="JD261" s="9"/>
      <c r="JE261" s="9"/>
      <c r="JF261" s="9"/>
      <c r="JG261" s="9"/>
      <c r="JH261" s="9"/>
      <c r="JI261" s="9"/>
      <c r="JJ261" s="9"/>
      <c r="JK261" s="9"/>
      <c r="JL261" s="9"/>
      <c r="JM261" s="9"/>
      <c r="JN261" s="9"/>
      <c r="JO261" s="9"/>
      <c r="JP261" s="9"/>
      <c r="JQ261" s="9"/>
      <c r="JR261" s="9"/>
      <c r="JS261" s="9"/>
      <c r="JT261" s="9"/>
      <c r="JU261" s="9"/>
      <c r="JV261" s="9"/>
      <c r="JW261" s="9"/>
      <c r="JX261" s="9"/>
      <c r="JY261" s="9"/>
      <c r="JZ261" s="9"/>
      <c r="KA261" s="9"/>
      <c r="KB261" s="9"/>
      <c r="KC261" s="9"/>
      <c r="KD261" s="9"/>
      <c r="KE261" s="9"/>
      <c r="KF261" s="9"/>
      <c r="KG261" s="9"/>
      <c r="KH261" s="9"/>
      <c r="KI261" s="9"/>
      <c r="KJ261" s="9"/>
      <c r="KK261" s="9"/>
      <c r="KL261" s="9"/>
      <c r="KM261" s="9"/>
      <c r="KN261" s="9"/>
      <c r="KO261" s="9"/>
      <c r="KP261" s="9"/>
      <c r="KQ261" s="9"/>
      <c r="KR261" s="9"/>
      <c r="KS261" s="9"/>
      <c r="KT261" s="9"/>
      <c r="KU261" s="9"/>
      <c r="KV261" s="9"/>
      <c r="KW261" s="9"/>
      <c r="KX261" s="9"/>
      <c r="KY261" s="9"/>
      <c r="KZ261" s="9"/>
      <c r="LA261" s="9"/>
      <c r="LB261" s="9"/>
      <c r="LC261" s="9"/>
      <c r="LD261" s="9"/>
      <c r="LE261" s="9"/>
      <c r="LF261" s="9"/>
      <c r="LG261" s="9"/>
      <c r="LH261" s="9"/>
      <c r="LI261" s="9"/>
      <c r="LJ261" s="9"/>
      <c r="LK261" s="9"/>
      <c r="LL261" s="9"/>
      <c r="LM261" s="9"/>
      <c r="LN261" s="9"/>
      <c r="LO261" s="9"/>
      <c r="LP261" s="9"/>
      <c r="LQ261" s="9"/>
      <c r="LR261" s="9"/>
      <c r="LS261" s="9"/>
      <c r="LT261" s="9"/>
      <c r="LU261" s="9"/>
      <c r="LV261" s="9"/>
      <c r="LW261" s="9"/>
      <c r="LX261" s="9"/>
      <c r="LY261" s="9"/>
      <c r="LZ261" s="9"/>
      <c r="MA261" s="9"/>
      <c r="MB261" s="9"/>
      <c r="MC261" s="9"/>
      <c r="MD261" s="9"/>
      <c r="ME261" s="9"/>
      <c r="MF261" s="9"/>
      <c r="MG261" s="9"/>
      <c r="MH261" s="9"/>
      <c r="MI261" s="9"/>
      <c r="MJ261" s="9"/>
      <c r="MK261" s="9"/>
      <c r="ML261" s="9"/>
      <c r="MM261" s="9"/>
      <c r="MN261" s="9"/>
      <c r="MO261" s="9"/>
      <c r="MP261" s="9"/>
      <c r="MQ261" s="9"/>
      <c r="MR261" s="9"/>
      <c r="MS261" s="9"/>
      <c r="MT261" s="9"/>
      <c r="MU261" s="9"/>
      <c r="MV261" s="9"/>
      <c r="MW261" s="9"/>
      <c r="MX261" s="9"/>
      <c r="MY261" s="9"/>
      <c r="MZ261" s="9"/>
      <c r="NA261" s="9"/>
      <c r="NB261" s="9"/>
      <c r="NC261" s="9"/>
      <c r="ND261" s="9"/>
      <c r="NE261" s="9"/>
      <c r="NF261" s="9"/>
      <c r="NG261" s="9"/>
      <c r="NH261" s="9"/>
      <c r="NI261" s="9"/>
      <c r="NJ261" s="9"/>
      <c r="NK261" s="9"/>
      <c r="NL261" s="9"/>
      <c r="NM261" s="9"/>
      <c r="NN261" s="9"/>
      <c r="NO261" s="9"/>
      <c r="NP261" s="9"/>
      <c r="NQ261" s="9"/>
      <c r="NR261" s="9"/>
      <c r="NS261" s="9"/>
      <c r="NT261" s="9"/>
      <c r="NU261" s="9"/>
      <c r="NV261" s="9"/>
      <c r="NW261" s="9"/>
      <c r="NX261" s="9"/>
      <c r="NY261" s="9"/>
      <c r="NZ261" s="9"/>
      <c r="OA261" s="9"/>
      <c r="OB261" s="9"/>
      <c r="OC261" s="9"/>
      <c r="OD261" s="9"/>
      <c r="OE261" s="9"/>
      <c r="OF261" s="9"/>
      <c r="OG261" s="9"/>
      <c r="OH261" s="9"/>
      <c r="OI261" s="9"/>
      <c r="OJ261" s="9"/>
      <c r="OK261" s="9"/>
      <c r="OL261" s="9"/>
      <c r="OM261" s="9"/>
      <c r="ON261" s="9"/>
      <c r="OO261" s="9"/>
      <c r="OP261" s="9"/>
      <c r="OQ261" s="9"/>
      <c r="OR261" s="9"/>
      <c r="OS261" s="9"/>
      <c r="OT261" s="9"/>
      <c r="OU261" s="9"/>
      <c r="OV261" s="9"/>
      <c r="OW261" s="9"/>
      <c r="OX261" s="9"/>
      <c r="OY261" s="9"/>
      <c r="OZ261" s="9"/>
      <c r="PA261" s="9"/>
      <c r="PB261" s="9"/>
      <c r="PC261" s="9"/>
      <c r="PD261" s="9"/>
      <c r="PE261" s="9"/>
      <c r="PF261" s="9"/>
      <c r="PG261" s="9"/>
      <c r="PH261" s="9"/>
      <c r="PI261" s="9"/>
      <c r="PJ261" s="9"/>
      <c r="PK261" s="9"/>
      <c r="PL261" s="9"/>
      <c r="PM261" s="9"/>
      <c r="PN261" s="9"/>
      <c r="PO261" s="9"/>
      <c r="PP261" s="9"/>
      <c r="PQ261" s="9"/>
      <c r="PR261" s="9"/>
      <c r="PS261" s="9"/>
      <c r="PT261" s="9"/>
      <c r="PU261" s="9"/>
      <c r="PV261" s="9"/>
      <c r="PW261" s="9"/>
      <c r="PX261" s="9"/>
      <c r="PY261" s="9"/>
      <c r="PZ261" s="9"/>
      <c r="QA261" s="9"/>
      <c r="QB261" s="9"/>
      <c r="QC261" s="9"/>
      <c r="QD261" s="9"/>
      <c r="QE261" s="9"/>
      <c r="QF261" s="9"/>
      <c r="QG261" s="9"/>
      <c r="QH261" s="9"/>
      <c r="QI261" s="9"/>
      <c r="QJ261" s="9"/>
      <c r="QK261" s="9"/>
      <c r="QL261" s="9"/>
      <c r="QM261" s="9"/>
      <c r="QN261" s="9"/>
      <c r="QO261" s="9"/>
      <c r="QP261" s="9"/>
      <c r="QQ261" s="9"/>
      <c r="QR261" s="9"/>
      <c r="QS261" s="9"/>
      <c r="QT261" s="9"/>
      <c r="QU261" s="9"/>
      <c r="QV261" s="9"/>
      <c r="QW261" s="9"/>
      <c r="QX261" s="9"/>
      <c r="QY261" s="9"/>
      <c r="QZ261" s="9"/>
      <c r="RA261" s="9"/>
      <c r="RB261" s="9"/>
      <c r="RC261" s="9"/>
      <c r="RD261" s="9"/>
      <c r="RE261" s="9"/>
      <c r="RF261" s="9"/>
      <c r="RG261" s="9"/>
      <c r="RH261" s="9"/>
      <c r="RI261" s="9"/>
      <c r="RJ261" s="9"/>
      <c r="RK261" s="9"/>
      <c r="RL261" s="9"/>
      <c r="RM261" s="9"/>
      <c r="RN261" s="9"/>
      <c r="RO261" s="9"/>
      <c r="RP261" s="9"/>
      <c r="RQ261" s="9"/>
      <c r="RR261" s="9"/>
      <c r="RS261" s="9"/>
      <c r="RT261" s="9"/>
      <c r="RU261" s="9"/>
      <c r="RV261" s="9"/>
      <c r="RW261" s="9"/>
      <c r="RX261" s="9"/>
      <c r="RY261" s="9"/>
      <c r="RZ261" s="9"/>
      <c r="SA261" s="9"/>
      <c r="SB261" s="9"/>
      <c r="SC261" s="9"/>
      <c r="SD261" s="9"/>
      <c r="SE261" s="9"/>
      <c r="SF261" s="9"/>
      <c r="SG261" s="9"/>
      <c r="SH261" s="9"/>
      <c r="SI261" s="9"/>
      <c r="SJ261" s="9"/>
      <c r="SK261" s="8"/>
      <c r="SL261" s="8"/>
      <c r="SM261" s="8"/>
      <c r="SN261" s="8"/>
      <c r="SO261" s="8"/>
      <c r="SP261" s="8"/>
      <c r="SQ261" s="8"/>
      <c r="SR261" s="8"/>
      <c r="SS261" s="8"/>
      <c r="ST261" s="8"/>
      <c r="SU261" s="8"/>
      <c r="SV261" s="8"/>
      <c r="SW261" s="8"/>
      <c r="SX261" s="8"/>
      <c r="SY261" s="8"/>
      <c r="SZ261" s="8"/>
      <c r="TA261" s="8"/>
      <c r="TB261" s="8"/>
      <c r="TC261" s="8"/>
      <c r="TD261" s="8"/>
      <c r="TE261" s="8"/>
      <c r="TF261" s="8"/>
      <c r="TG261" s="8"/>
      <c r="TH261" s="8"/>
      <c r="TI261" s="8"/>
      <c r="TJ261" s="8"/>
      <c r="TK261" s="8"/>
      <c r="TL261" s="8"/>
      <c r="TM261" s="8"/>
      <c r="TN261" s="8"/>
      <c r="TO261" s="8"/>
    </row>
    <row r="262" spans="1:535" x14ac:dyDescent="0.2">
      <c r="A262" s="7"/>
      <c r="B262" s="7"/>
      <c r="C262" s="9"/>
      <c r="D262" s="8"/>
      <c r="E262" s="8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9"/>
      <c r="BH262" s="9"/>
      <c r="BI262" s="9"/>
      <c r="BJ262" s="9"/>
      <c r="BK262" s="9"/>
      <c r="BL262" s="9"/>
      <c r="BM262" s="9"/>
      <c r="BN262" s="9"/>
      <c r="BO262" s="9"/>
      <c r="BP262" s="9"/>
      <c r="BQ262" s="9"/>
      <c r="BR262" s="9"/>
      <c r="BS262" s="9"/>
      <c r="BT262" s="9"/>
      <c r="BU262" s="9"/>
      <c r="BV262" s="9"/>
      <c r="BW262" s="9"/>
      <c r="BX262" s="9"/>
      <c r="BY262" s="9"/>
      <c r="BZ262" s="9"/>
      <c r="CA262" s="9"/>
      <c r="CB262" s="9"/>
      <c r="CC262" s="9"/>
      <c r="CD262" s="9"/>
      <c r="CE262" s="9"/>
      <c r="CF262" s="9"/>
      <c r="CG262" s="9"/>
      <c r="CH262" s="9"/>
      <c r="CI262" s="9"/>
      <c r="CJ262" s="9"/>
      <c r="CK262" s="9"/>
      <c r="CL262" s="9"/>
      <c r="CM262" s="9"/>
      <c r="CN262" s="9"/>
      <c r="CO262" s="9"/>
      <c r="CP262" s="9"/>
      <c r="CQ262" s="9"/>
      <c r="CR262" s="9"/>
      <c r="CS262" s="9"/>
      <c r="CT262" s="9"/>
      <c r="CU262" s="9"/>
      <c r="CV262" s="9"/>
      <c r="CW262" s="9"/>
      <c r="CX262" s="9"/>
      <c r="CY262" s="9"/>
      <c r="CZ262" s="9"/>
      <c r="DA262" s="9"/>
      <c r="DB262" s="9"/>
      <c r="DC262" s="9"/>
      <c r="DD262" s="9"/>
      <c r="DE262" s="9"/>
      <c r="DF262" s="9"/>
      <c r="DG262" s="9"/>
      <c r="DH262" s="9"/>
      <c r="DI262" s="9"/>
      <c r="DJ262" s="9"/>
      <c r="DK262" s="9"/>
      <c r="DL262" s="9"/>
      <c r="DM262" s="9"/>
      <c r="DN262" s="9"/>
      <c r="DO262" s="9"/>
      <c r="DP262" s="9"/>
      <c r="DQ262" s="9"/>
      <c r="DR262" s="9"/>
      <c r="DS262" s="9"/>
      <c r="DT262" s="9"/>
      <c r="DU262" s="9"/>
      <c r="DV262" s="9"/>
      <c r="DW262" s="9"/>
      <c r="DX262" s="9"/>
      <c r="DY262" s="9"/>
      <c r="DZ262" s="9"/>
      <c r="EA262" s="9"/>
      <c r="EB262" s="9"/>
      <c r="EC262" s="9"/>
      <c r="ED262" s="9"/>
      <c r="EE262" s="9"/>
      <c r="EF262" s="9"/>
      <c r="EG262" s="9"/>
      <c r="EH262" s="9"/>
      <c r="EI262" s="9"/>
      <c r="EJ262" s="9"/>
      <c r="EK262" s="9"/>
      <c r="EL262" s="9"/>
      <c r="EM262" s="9"/>
      <c r="EN262" s="9"/>
      <c r="EO262" s="9"/>
      <c r="EP262" s="9"/>
      <c r="EQ262" s="9"/>
      <c r="ER262" s="9"/>
      <c r="ES262" s="9"/>
      <c r="ET262" s="9"/>
      <c r="EU262" s="9"/>
      <c r="EV262" s="9"/>
      <c r="EW262" s="9"/>
      <c r="EX262" s="9"/>
      <c r="EY262" s="9"/>
      <c r="EZ262" s="9"/>
      <c r="FA262" s="9"/>
      <c r="FB262" s="9"/>
      <c r="FC262" s="9"/>
      <c r="FD262" s="9"/>
      <c r="FE262" s="9"/>
      <c r="FF262" s="9"/>
      <c r="FG262" s="9"/>
      <c r="FH262" s="9"/>
      <c r="FI262" s="9"/>
      <c r="FJ262" s="9"/>
      <c r="FK262" s="9"/>
      <c r="FL262" s="9"/>
      <c r="FM262" s="9"/>
      <c r="FN262" s="9"/>
      <c r="FO262" s="9"/>
      <c r="FP262" s="9"/>
      <c r="FQ262" s="9"/>
      <c r="FR262" s="9"/>
      <c r="FS262" s="9"/>
      <c r="FT262" s="9"/>
      <c r="FU262" s="9"/>
      <c r="FV262" s="9"/>
      <c r="FW262" s="9"/>
      <c r="FX262" s="9"/>
      <c r="FY262" s="9"/>
      <c r="FZ262" s="9"/>
      <c r="GA262" s="9"/>
      <c r="GB262" s="9"/>
      <c r="GC262" s="9"/>
      <c r="GD262" s="9"/>
      <c r="GE262" s="9"/>
      <c r="GF262" s="9"/>
      <c r="GG262" s="9"/>
      <c r="GH262" s="9"/>
      <c r="GI262" s="9"/>
      <c r="GJ262" s="9"/>
      <c r="GK262" s="9"/>
      <c r="GL262" s="9"/>
      <c r="GM262" s="9"/>
      <c r="GN262" s="9"/>
      <c r="GO262" s="9"/>
      <c r="GP262" s="9"/>
      <c r="GQ262" s="9"/>
      <c r="GR262" s="9"/>
      <c r="GS262" s="9"/>
      <c r="GT262" s="9"/>
      <c r="GU262" s="9"/>
      <c r="GV262" s="9"/>
      <c r="GW262" s="9"/>
      <c r="GX262" s="9"/>
      <c r="GY262" s="9"/>
      <c r="GZ262" s="9"/>
      <c r="HA262" s="9"/>
      <c r="HB262" s="9"/>
      <c r="HC262" s="9"/>
      <c r="HD262" s="9"/>
      <c r="HE262" s="9"/>
      <c r="HF262" s="9"/>
      <c r="HG262" s="9"/>
      <c r="HH262" s="9"/>
      <c r="HI262" s="9"/>
      <c r="HJ262" s="9"/>
      <c r="HK262" s="9"/>
      <c r="HL262" s="9"/>
      <c r="HM262" s="9"/>
      <c r="HN262" s="9"/>
      <c r="HO262" s="9"/>
      <c r="HP262" s="9"/>
      <c r="HQ262" s="9"/>
      <c r="HR262" s="9"/>
      <c r="HS262" s="9"/>
      <c r="HT262" s="9"/>
      <c r="HU262" s="9"/>
      <c r="HV262" s="9"/>
      <c r="HW262" s="9"/>
      <c r="HX262" s="9"/>
      <c r="HY262" s="9"/>
      <c r="HZ262" s="9"/>
      <c r="IA262" s="9"/>
      <c r="IB262" s="9"/>
      <c r="IC262" s="9"/>
      <c r="ID262" s="9"/>
      <c r="IE262" s="9"/>
      <c r="IF262" s="9"/>
      <c r="IG262" s="9"/>
      <c r="IH262" s="9"/>
      <c r="II262" s="9"/>
      <c r="IJ262" s="9"/>
      <c r="IK262" s="9"/>
      <c r="IL262" s="9"/>
      <c r="IM262" s="9"/>
      <c r="IN262" s="9"/>
      <c r="IO262" s="9"/>
      <c r="IP262" s="9"/>
      <c r="IQ262" s="9"/>
      <c r="IR262" s="9"/>
      <c r="IS262" s="9"/>
      <c r="IT262" s="9"/>
      <c r="IU262" s="9"/>
      <c r="IV262" s="9"/>
      <c r="IW262" s="9"/>
      <c r="IX262" s="9"/>
      <c r="IY262" s="9"/>
      <c r="IZ262" s="9"/>
      <c r="JA262" s="9"/>
      <c r="JB262" s="9"/>
      <c r="JC262" s="9"/>
      <c r="JD262" s="9"/>
      <c r="JE262" s="9"/>
      <c r="JF262" s="9"/>
      <c r="JG262" s="9"/>
      <c r="JH262" s="9"/>
      <c r="JI262" s="9"/>
      <c r="JJ262" s="9"/>
      <c r="JK262" s="9"/>
      <c r="JL262" s="9"/>
      <c r="JM262" s="9"/>
      <c r="JN262" s="9"/>
      <c r="JO262" s="9"/>
      <c r="JP262" s="9"/>
      <c r="JQ262" s="9"/>
      <c r="JR262" s="9"/>
      <c r="JS262" s="9"/>
      <c r="JT262" s="9"/>
      <c r="JU262" s="9"/>
      <c r="JV262" s="9"/>
      <c r="JW262" s="9"/>
      <c r="JX262" s="9"/>
      <c r="JY262" s="9"/>
      <c r="JZ262" s="9"/>
      <c r="KA262" s="9"/>
      <c r="KB262" s="9"/>
      <c r="KC262" s="9"/>
      <c r="KD262" s="9"/>
      <c r="KE262" s="9"/>
      <c r="KF262" s="9"/>
      <c r="KG262" s="9"/>
      <c r="KH262" s="9"/>
      <c r="KI262" s="9"/>
      <c r="KJ262" s="9"/>
      <c r="KK262" s="9"/>
      <c r="KL262" s="9"/>
      <c r="KM262" s="9"/>
      <c r="KN262" s="9"/>
      <c r="KO262" s="9"/>
      <c r="KP262" s="9"/>
      <c r="KQ262" s="9"/>
      <c r="KR262" s="9"/>
      <c r="KS262" s="9"/>
      <c r="KT262" s="9"/>
      <c r="KU262" s="9"/>
      <c r="KV262" s="9"/>
      <c r="KW262" s="9"/>
      <c r="KX262" s="9"/>
      <c r="KY262" s="9"/>
      <c r="KZ262" s="9"/>
      <c r="LA262" s="9"/>
      <c r="LB262" s="9"/>
      <c r="LC262" s="9"/>
      <c r="LD262" s="9"/>
      <c r="LE262" s="9"/>
      <c r="LF262" s="9"/>
      <c r="LG262" s="9"/>
      <c r="LH262" s="9"/>
      <c r="LI262" s="9"/>
      <c r="LJ262" s="9"/>
      <c r="LK262" s="9"/>
      <c r="LL262" s="9"/>
      <c r="LM262" s="9"/>
      <c r="LN262" s="9"/>
      <c r="LO262" s="9"/>
      <c r="LP262" s="9"/>
      <c r="LQ262" s="9"/>
      <c r="LR262" s="9"/>
      <c r="LS262" s="9"/>
      <c r="LT262" s="9"/>
      <c r="LU262" s="9"/>
      <c r="LV262" s="9"/>
      <c r="LW262" s="9"/>
      <c r="LX262" s="9"/>
      <c r="LY262" s="9"/>
      <c r="LZ262" s="9"/>
      <c r="MA262" s="9"/>
      <c r="MB262" s="9"/>
      <c r="MC262" s="9"/>
      <c r="MD262" s="9"/>
      <c r="ME262" s="9"/>
      <c r="MF262" s="9"/>
      <c r="MG262" s="9"/>
      <c r="MH262" s="9"/>
      <c r="MI262" s="9"/>
      <c r="MJ262" s="9"/>
      <c r="MK262" s="9"/>
      <c r="ML262" s="9"/>
      <c r="MM262" s="9"/>
      <c r="MN262" s="9"/>
      <c r="MO262" s="9"/>
      <c r="MP262" s="9"/>
      <c r="MQ262" s="9"/>
      <c r="MR262" s="9"/>
      <c r="MS262" s="9"/>
      <c r="MT262" s="9"/>
      <c r="MU262" s="9"/>
      <c r="MV262" s="9"/>
      <c r="MW262" s="9"/>
      <c r="MX262" s="9"/>
      <c r="MY262" s="9"/>
      <c r="MZ262" s="9"/>
      <c r="NA262" s="9"/>
      <c r="NB262" s="9"/>
      <c r="NC262" s="9"/>
      <c r="ND262" s="9"/>
      <c r="NE262" s="9"/>
      <c r="NF262" s="9"/>
      <c r="NG262" s="9"/>
      <c r="NH262" s="9"/>
      <c r="NI262" s="9"/>
      <c r="NJ262" s="9"/>
      <c r="NK262" s="9"/>
      <c r="NL262" s="9"/>
      <c r="NM262" s="9"/>
      <c r="NN262" s="9"/>
      <c r="NO262" s="9"/>
      <c r="NP262" s="9"/>
      <c r="NQ262" s="9"/>
      <c r="NR262" s="9"/>
      <c r="NS262" s="9"/>
      <c r="NT262" s="9"/>
      <c r="NU262" s="9"/>
      <c r="NV262" s="9"/>
      <c r="NW262" s="9"/>
      <c r="NX262" s="9"/>
      <c r="NY262" s="9"/>
      <c r="NZ262" s="9"/>
      <c r="OA262" s="9"/>
      <c r="OB262" s="9"/>
      <c r="OC262" s="9"/>
      <c r="OD262" s="9"/>
      <c r="OE262" s="9"/>
      <c r="OF262" s="9"/>
      <c r="OG262" s="9"/>
      <c r="OH262" s="9"/>
      <c r="OI262" s="9"/>
      <c r="OJ262" s="9"/>
      <c r="OK262" s="9"/>
      <c r="OL262" s="9"/>
      <c r="OM262" s="9"/>
      <c r="ON262" s="9"/>
      <c r="OO262" s="9"/>
      <c r="OP262" s="9"/>
      <c r="OQ262" s="9"/>
      <c r="OR262" s="9"/>
      <c r="OS262" s="9"/>
      <c r="OT262" s="9"/>
      <c r="OU262" s="9"/>
      <c r="OV262" s="9"/>
      <c r="OW262" s="9"/>
      <c r="OX262" s="9"/>
      <c r="OY262" s="9"/>
      <c r="OZ262" s="9"/>
      <c r="PA262" s="9"/>
      <c r="PB262" s="9"/>
      <c r="PC262" s="9"/>
      <c r="PD262" s="9"/>
      <c r="PE262" s="9"/>
      <c r="PF262" s="9"/>
      <c r="PG262" s="9"/>
      <c r="PH262" s="9"/>
      <c r="PI262" s="9"/>
      <c r="PJ262" s="9"/>
      <c r="PK262" s="9"/>
      <c r="PL262" s="9"/>
      <c r="PM262" s="9"/>
      <c r="PN262" s="9"/>
      <c r="PO262" s="9"/>
      <c r="PP262" s="9"/>
      <c r="PQ262" s="9"/>
      <c r="PR262" s="9"/>
      <c r="PS262" s="9"/>
      <c r="PT262" s="9"/>
      <c r="PU262" s="9"/>
      <c r="PV262" s="9"/>
      <c r="PW262" s="9"/>
      <c r="PX262" s="9"/>
      <c r="PY262" s="9"/>
      <c r="PZ262" s="9"/>
      <c r="QA262" s="9"/>
      <c r="QB262" s="9"/>
      <c r="QC262" s="9"/>
      <c r="QD262" s="9"/>
      <c r="QE262" s="9"/>
      <c r="QF262" s="9"/>
      <c r="QG262" s="9"/>
      <c r="QH262" s="9"/>
      <c r="QI262" s="9"/>
      <c r="QJ262" s="9"/>
      <c r="QK262" s="9"/>
      <c r="QL262" s="9"/>
      <c r="QM262" s="9"/>
      <c r="QN262" s="9"/>
      <c r="QO262" s="9"/>
      <c r="QP262" s="9"/>
      <c r="QQ262" s="9"/>
      <c r="QR262" s="9"/>
      <c r="QS262" s="9"/>
      <c r="QT262" s="9"/>
      <c r="QU262" s="9"/>
      <c r="QV262" s="9"/>
      <c r="QW262" s="9"/>
      <c r="QX262" s="9"/>
      <c r="QY262" s="9"/>
      <c r="QZ262" s="9"/>
      <c r="RA262" s="9"/>
      <c r="RB262" s="9"/>
      <c r="RC262" s="9"/>
      <c r="RD262" s="9"/>
      <c r="RE262" s="9"/>
      <c r="RF262" s="9"/>
      <c r="RG262" s="9"/>
      <c r="RH262" s="9"/>
      <c r="RI262" s="9"/>
      <c r="RJ262" s="9"/>
      <c r="RK262" s="9"/>
      <c r="RL262" s="9"/>
      <c r="RM262" s="9"/>
      <c r="RN262" s="9"/>
      <c r="RO262" s="9"/>
      <c r="RP262" s="9"/>
      <c r="RQ262" s="9"/>
      <c r="RR262" s="9"/>
      <c r="RS262" s="9"/>
      <c r="RT262" s="9"/>
      <c r="RU262" s="9"/>
      <c r="RV262" s="9"/>
      <c r="RW262" s="9"/>
      <c r="RX262" s="9"/>
      <c r="RY262" s="9"/>
      <c r="RZ262" s="9"/>
      <c r="SA262" s="9"/>
      <c r="SB262" s="9"/>
      <c r="SC262" s="9"/>
      <c r="SD262" s="9"/>
      <c r="SE262" s="9"/>
      <c r="SF262" s="9"/>
      <c r="SG262" s="9"/>
      <c r="SH262" s="9"/>
      <c r="SI262" s="9"/>
      <c r="SJ262" s="9"/>
      <c r="SK262" s="8"/>
      <c r="SL262" s="8"/>
      <c r="SM262" s="8"/>
      <c r="SN262" s="8"/>
      <c r="SO262" s="8"/>
      <c r="SP262" s="8"/>
      <c r="SQ262" s="8"/>
      <c r="SR262" s="8"/>
      <c r="SS262" s="8"/>
      <c r="ST262" s="8"/>
      <c r="SU262" s="8"/>
      <c r="SV262" s="8"/>
      <c r="SW262" s="8"/>
      <c r="SX262" s="8"/>
      <c r="SY262" s="8"/>
      <c r="SZ262" s="8"/>
      <c r="TA262" s="8"/>
      <c r="TB262" s="8"/>
      <c r="TC262" s="8"/>
      <c r="TD262" s="8"/>
      <c r="TE262" s="8"/>
      <c r="TF262" s="8"/>
      <c r="TG262" s="8"/>
      <c r="TH262" s="8"/>
      <c r="TI262" s="8"/>
      <c r="TJ262" s="8"/>
      <c r="TK262" s="8"/>
      <c r="TL262" s="8"/>
      <c r="TM262" s="8"/>
      <c r="TN262" s="8"/>
      <c r="TO262" s="8"/>
    </row>
    <row r="263" spans="1:535" x14ac:dyDescent="0.2">
      <c r="A263" s="7"/>
      <c r="B263" s="7"/>
      <c r="C263" s="9"/>
      <c r="D263" s="8"/>
      <c r="E263" s="8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9"/>
      <c r="BH263" s="9"/>
      <c r="BI263" s="9"/>
      <c r="BJ263" s="9"/>
      <c r="BK263" s="9"/>
      <c r="BL263" s="9"/>
      <c r="BM263" s="9"/>
      <c r="BN263" s="9"/>
      <c r="BO263" s="9"/>
      <c r="BP263" s="9"/>
      <c r="BQ263" s="9"/>
      <c r="BR263" s="9"/>
      <c r="BS263" s="9"/>
      <c r="BT263" s="9"/>
      <c r="BU263" s="9"/>
      <c r="BV263" s="9"/>
      <c r="BW263" s="9"/>
      <c r="BX263" s="9"/>
      <c r="BY263" s="9"/>
      <c r="BZ263" s="9"/>
      <c r="CA263" s="9"/>
      <c r="CB263" s="9"/>
      <c r="CC263" s="9"/>
      <c r="CD263" s="9"/>
      <c r="CE263" s="9"/>
      <c r="CF263" s="9"/>
      <c r="CG263" s="9"/>
      <c r="CH263" s="9"/>
      <c r="CI263" s="9"/>
      <c r="CJ263" s="9"/>
      <c r="CK263" s="9"/>
      <c r="CL263" s="9"/>
      <c r="CM263" s="9"/>
      <c r="CN263" s="9"/>
      <c r="CO263" s="9"/>
      <c r="CP263" s="9"/>
      <c r="CQ263" s="9"/>
      <c r="CR263" s="9"/>
      <c r="CS263" s="9"/>
      <c r="CT263" s="9"/>
      <c r="CU263" s="9"/>
      <c r="CV263" s="9"/>
      <c r="CW263" s="9"/>
      <c r="CX263" s="9"/>
      <c r="CY263" s="9"/>
      <c r="CZ263" s="9"/>
      <c r="DA263" s="9"/>
      <c r="DB263" s="9"/>
      <c r="DC263" s="9"/>
      <c r="DD263" s="9"/>
      <c r="DE263" s="9"/>
      <c r="DF263" s="9"/>
      <c r="DG263" s="9"/>
      <c r="DH263" s="9"/>
      <c r="DI263" s="9"/>
      <c r="DJ263" s="9"/>
      <c r="DK263" s="9"/>
      <c r="DL263" s="9"/>
      <c r="DM263" s="9"/>
      <c r="DN263" s="9"/>
      <c r="DO263" s="9"/>
      <c r="DP263" s="9"/>
      <c r="DQ263" s="9"/>
      <c r="DR263" s="9"/>
      <c r="DS263" s="9"/>
      <c r="DT263" s="9"/>
      <c r="DU263" s="9"/>
      <c r="DV263" s="9"/>
      <c r="DW263" s="9"/>
      <c r="DX263" s="9"/>
      <c r="DY263" s="9"/>
      <c r="DZ263" s="9"/>
      <c r="EA263" s="9"/>
      <c r="EB263" s="9"/>
      <c r="EC263" s="9"/>
      <c r="ED263" s="9"/>
      <c r="EE263" s="9"/>
      <c r="EF263" s="9"/>
      <c r="EG263" s="9"/>
      <c r="EH263" s="9"/>
      <c r="EI263" s="9"/>
      <c r="EJ263" s="9"/>
      <c r="EK263" s="9"/>
      <c r="EL263" s="9"/>
      <c r="EM263" s="9"/>
      <c r="EN263" s="9"/>
      <c r="EO263" s="9"/>
      <c r="EP263" s="9"/>
      <c r="EQ263" s="9"/>
      <c r="ER263" s="9"/>
      <c r="ES263" s="9"/>
      <c r="ET263" s="9"/>
      <c r="EU263" s="9"/>
      <c r="EV263" s="9"/>
      <c r="EW263" s="9"/>
      <c r="EX263" s="9"/>
      <c r="EY263" s="9"/>
      <c r="EZ263" s="9"/>
      <c r="FA263" s="9"/>
      <c r="FB263" s="9"/>
      <c r="FC263" s="9"/>
      <c r="FD263" s="9"/>
      <c r="FE263" s="9"/>
      <c r="FF263" s="9"/>
      <c r="FG263" s="9"/>
      <c r="FH263" s="9"/>
      <c r="FI263" s="9"/>
      <c r="FJ263" s="9"/>
      <c r="FK263" s="9"/>
      <c r="FL263" s="9"/>
      <c r="FM263" s="9"/>
      <c r="FN263" s="9"/>
      <c r="FO263" s="9"/>
      <c r="FP263" s="9"/>
      <c r="FQ263" s="9"/>
      <c r="FR263" s="9"/>
      <c r="FS263" s="9"/>
      <c r="FT263" s="9"/>
      <c r="FU263" s="9"/>
      <c r="FV263" s="9"/>
      <c r="FW263" s="9"/>
      <c r="FX263" s="9"/>
      <c r="FY263" s="9"/>
      <c r="FZ263" s="9"/>
      <c r="GA263" s="9"/>
      <c r="GB263" s="9"/>
      <c r="GC263" s="9"/>
      <c r="GD263" s="9"/>
      <c r="GE263" s="9"/>
      <c r="GF263" s="9"/>
      <c r="GG263" s="9"/>
      <c r="GH263" s="9"/>
      <c r="GI263" s="9"/>
      <c r="GJ263" s="9"/>
      <c r="GK263" s="9"/>
      <c r="GL263" s="9"/>
      <c r="GM263" s="9"/>
      <c r="GN263" s="9"/>
      <c r="GO263" s="9"/>
      <c r="GP263" s="9"/>
      <c r="GQ263" s="9"/>
      <c r="GR263" s="9"/>
      <c r="GS263" s="9"/>
      <c r="GT263" s="9"/>
      <c r="GU263" s="9"/>
      <c r="GV263" s="9"/>
      <c r="GW263" s="9"/>
      <c r="GX263" s="9"/>
      <c r="GY263" s="9"/>
      <c r="GZ263" s="9"/>
      <c r="HA263" s="9"/>
      <c r="HB263" s="9"/>
      <c r="HC263" s="9"/>
      <c r="HD263" s="9"/>
      <c r="HE263" s="9"/>
      <c r="HF263" s="9"/>
      <c r="HG263" s="9"/>
      <c r="HH263" s="9"/>
      <c r="HI263" s="9"/>
      <c r="HJ263" s="9"/>
      <c r="HK263" s="9"/>
      <c r="HL263" s="9"/>
      <c r="HM263" s="9"/>
      <c r="HN263" s="9"/>
      <c r="HO263" s="9"/>
      <c r="HP263" s="9"/>
      <c r="HQ263" s="9"/>
      <c r="HR263" s="9"/>
      <c r="HS263" s="9"/>
      <c r="HT263" s="9"/>
      <c r="HU263" s="9"/>
      <c r="HV263" s="9"/>
      <c r="HW263" s="9"/>
      <c r="HX263" s="9"/>
      <c r="HY263" s="9"/>
      <c r="HZ263" s="9"/>
      <c r="IA263" s="9"/>
      <c r="IB263" s="9"/>
      <c r="IC263" s="9"/>
      <c r="ID263" s="9"/>
      <c r="IE263" s="9"/>
      <c r="IF263" s="9"/>
      <c r="IG263" s="9"/>
      <c r="IH263" s="9"/>
      <c r="II263" s="9"/>
      <c r="IJ263" s="9"/>
      <c r="IK263" s="9"/>
      <c r="IL263" s="9"/>
      <c r="IM263" s="9"/>
      <c r="IN263" s="9"/>
      <c r="IO263" s="9"/>
      <c r="IP263" s="9"/>
      <c r="IQ263" s="9"/>
      <c r="IR263" s="9"/>
      <c r="IS263" s="9"/>
      <c r="IT263" s="9"/>
      <c r="IU263" s="9"/>
      <c r="IV263" s="9"/>
      <c r="IW263" s="9"/>
      <c r="IX263" s="9"/>
      <c r="IY263" s="9"/>
      <c r="IZ263" s="9"/>
      <c r="JA263" s="9"/>
      <c r="JB263" s="9"/>
      <c r="JC263" s="9"/>
      <c r="JD263" s="9"/>
      <c r="JE263" s="9"/>
      <c r="JF263" s="9"/>
      <c r="JG263" s="9"/>
      <c r="JH263" s="9"/>
      <c r="JI263" s="9"/>
      <c r="JJ263" s="9"/>
      <c r="JK263" s="9"/>
      <c r="JL263" s="9"/>
      <c r="JM263" s="9"/>
      <c r="JN263" s="9"/>
      <c r="JO263" s="9"/>
      <c r="JP263" s="9"/>
      <c r="JQ263" s="9"/>
      <c r="JR263" s="9"/>
      <c r="JS263" s="9"/>
      <c r="JT263" s="9"/>
      <c r="JU263" s="9"/>
      <c r="JV263" s="9"/>
      <c r="JW263" s="9"/>
      <c r="JX263" s="9"/>
      <c r="JY263" s="9"/>
      <c r="JZ263" s="9"/>
      <c r="KA263" s="9"/>
      <c r="KB263" s="9"/>
      <c r="KC263" s="9"/>
      <c r="KD263" s="9"/>
      <c r="KE263" s="9"/>
      <c r="KF263" s="9"/>
      <c r="KG263" s="9"/>
      <c r="KH263" s="9"/>
      <c r="KI263" s="9"/>
      <c r="KJ263" s="9"/>
      <c r="KK263" s="9"/>
      <c r="KL263" s="9"/>
      <c r="KM263" s="9"/>
      <c r="KN263" s="9"/>
      <c r="KO263" s="9"/>
      <c r="KP263" s="9"/>
      <c r="KQ263" s="9"/>
      <c r="KR263" s="9"/>
      <c r="KS263" s="9"/>
      <c r="KT263" s="9"/>
      <c r="KU263" s="9"/>
      <c r="KV263" s="9"/>
      <c r="KW263" s="9"/>
      <c r="KX263" s="9"/>
      <c r="KY263" s="9"/>
      <c r="KZ263" s="9"/>
      <c r="LA263" s="9"/>
      <c r="LB263" s="9"/>
      <c r="LC263" s="9"/>
      <c r="LD263" s="9"/>
      <c r="LE263" s="9"/>
      <c r="LF263" s="9"/>
      <c r="LG263" s="9"/>
      <c r="LH263" s="9"/>
      <c r="LI263" s="9"/>
      <c r="LJ263" s="9"/>
      <c r="LK263" s="9"/>
      <c r="LL263" s="9"/>
      <c r="LM263" s="9"/>
      <c r="LN263" s="9"/>
      <c r="LO263" s="9"/>
      <c r="LP263" s="9"/>
      <c r="LQ263" s="9"/>
      <c r="LR263" s="9"/>
      <c r="LS263" s="9"/>
      <c r="LT263" s="9"/>
      <c r="LU263" s="9"/>
      <c r="LV263" s="9"/>
      <c r="LW263" s="9"/>
      <c r="LX263" s="9"/>
      <c r="LY263" s="9"/>
      <c r="LZ263" s="9"/>
      <c r="MA263" s="9"/>
      <c r="MB263" s="9"/>
      <c r="MC263" s="9"/>
      <c r="MD263" s="9"/>
      <c r="ME263" s="9"/>
      <c r="MF263" s="9"/>
      <c r="MG263" s="9"/>
      <c r="MH263" s="9"/>
      <c r="MI263" s="9"/>
      <c r="MJ263" s="9"/>
      <c r="MK263" s="9"/>
      <c r="ML263" s="9"/>
      <c r="MM263" s="9"/>
      <c r="MN263" s="9"/>
      <c r="MO263" s="9"/>
      <c r="MP263" s="9"/>
      <c r="MQ263" s="9"/>
      <c r="MR263" s="9"/>
      <c r="MS263" s="9"/>
      <c r="MT263" s="9"/>
      <c r="MU263" s="9"/>
      <c r="MV263" s="9"/>
      <c r="MW263" s="9"/>
      <c r="MX263" s="9"/>
      <c r="MY263" s="9"/>
      <c r="MZ263" s="9"/>
      <c r="NA263" s="9"/>
      <c r="NB263" s="9"/>
      <c r="NC263" s="9"/>
      <c r="ND263" s="9"/>
      <c r="NE263" s="9"/>
      <c r="NF263" s="9"/>
      <c r="NG263" s="9"/>
      <c r="NH263" s="9"/>
      <c r="NI263" s="9"/>
      <c r="NJ263" s="9"/>
      <c r="NK263" s="9"/>
      <c r="NL263" s="9"/>
      <c r="NM263" s="9"/>
      <c r="NN263" s="9"/>
      <c r="NO263" s="9"/>
      <c r="NP263" s="9"/>
      <c r="NQ263" s="9"/>
      <c r="NR263" s="9"/>
      <c r="NS263" s="9"/>
      <c r="NT263" s="9"/>
      <c r="NU263" s="9"/>
      <c r="NV263" s="9"/>
      <c r="NW263" s="9"/>
      <c r="NX263" s="9"/>
      <c r="NY263" s="9"/>
      <c r="NZ263" s="9"/>
      <c r="OA263" s="9"/>
      <c r="OB263" s="9"/>
      <c r="OC263" s="9"/>
      <c r="OD263" s="9"/>
      <c r="OE263" s="9"/>
      <c r="OF263" s="9"/>
      <c r="OG263" s="9"/>
      <c r="OH263" s="9"/>
      <c r="OI263" s="9"/>
      <c r="OJ263" s="9"/>
      <c r="OK263" s="9"/>
      <c r="OL263" s="9"/>
      <c r="OM263" s="9"/>
      <c r="ON263" s="9"/>
      <c r="OO263" s="9"/>
      <c r="OP263" s="9"/>
      <c r="OQ263" s="9"/>
      <c r="OR263" s="9"/>
      <c r="OS263" s="9"/>
      <c r="OT263" s="9"/>
      <c r="OU263" s="9"/>
      <c r="OV263" s="9"/>
      <c r="OW263" s="9"/>
      <c r="OX263" s="9"/>
      <c r="OY263" s="9"/>
      <c r="OZ263" s="9"/>
      <c r="PA263" s="9"/>
      <c r="PB263" s="9"/>
      <c r="PC263" s="9"/>
      <c r="PD263" s="9"/>
      <c r="PE263" s="9"/>
      <c r="PF263" s="9"/>
      <c r="PG263" s="9"/>
      <c r="PH263" s="9"/>
      <c r="PI263" s="9"/>
      <c r="PJ263" s="9"/>
      <c r="PK263" s="9"/>
      <c r="PL263" s="9"/>
      <c r="PM263" s="9"/>
      <c r="PN263" s="9"/>
      <c r="PO263" s="9"/>
      <c r="PP263" s="9"/>
      <c r="PQ263" s="9"/>
      <c r="PR263" s="9"/>
      <c r="PS263" s="9"/>
      <c r="PT263" s="9"/>
      <c r="PU263" s="9"/>
      <c r="PV263" s="9"/>
      <c r="PW263" s="9"/>
      <c r="PX263" s="9"/>
      <c r="PY263" s="9"/>
      <c r="PZ263" s="9"/>
      <c r="QA263" s="9"/>
      <c r="QB263" s="9"/>
      <c r="QC263" s="9"/>
      <c r="QD263" s="9"/>
      <c r="QE263" s="9"/>
      <c r="QF263" s="9"/>
      <c r="QG263" s="9"/>
      <c r="QH263" s="9"/>
      <c r="QI263" s="9"/>
      <c r="QJ263" s="9"/>
      <c r="QK263" s="9"/>
      <c r="QL263" s="9"/>
      <c r="QM263" s="9"/>
      <c r="QN263" s="9"/>
      <c r="QO263" s="9"/>
      <c r="QP263" s="9"/>
      <c r="QQ263" s="9"/>
      <c r="QR263" s="9"/>
      <c r="QS263" s="9"/>
      <c r="QT263" s="9"/>
      <c r="QU263" s="9"/>
      <c r="QV263" s="9"/>
      <c r="QW263" s="9"/>
      <c r="QX263" s="9"/>
      <c r="QY263" s="9"/>
      <c r="QZ263" s="9"/>
      <c r="RA263" s="9"/>
      <c r="RB263" s="9"/>
      <c r="RC263" s="9"/>
      <c r="RD263" s="9"/>
      <c r="RE263" s="9"/>
      <c r="RF263" s="9"/>
      <c r="RG263" s="9"/>
      <c r="RH263" s="9"/>
      <c r="RI263" s="9"/>
      <c r="RJ263" s="9"/>
      <c r="RK263" s="9"/>
      <c r="RL263" s="9"/>
      <c r="RM263" s="9"/>
      <c r="RN263" s="9"/>
      <c r="RO263" s="9"/>
      <c r="RP263" s="9"/>
      <c r="RQ263" s="9"/>
      <c r="RR263" s="9"/>
      <c r="RS263" s="9"/>
      <c r="RT263" s="9"/>
      <c r="RU263" s="9"/>
      <c r="RV263" s="9"/>
      <c r="RW263" s="9"/>
      <c r="RX263" s="9"/>
      <c r="RY263" s="9"/>
      <c r="RZ263" s="9"/>
      <c r="SA263" s="9"/>
      <c r="SB263" s="9"/>
      <c r="SC263" s="9"/>
      <c r="SD263" s="9"/>
      <c r="SE263" s="9"/>
      <c r="SF263" s="9"/>
      <c r="SG263" s="9"/>
      <c r="SH263" s="9"/>
      <c r="SI263" s="9"/>
      <c r="SJ263" s="9"/>
      <c r="SK263" s="8"/>
      <c r="SL263" s="8"/>
      <c r="SM263" s="8"/>
      <c r="SN263" s="8"/>
      <c r="SO263" s="8"/>
      <c r="SP263" s="8"/>
      <c r="SQ263" s="8"/>
      <c r="SR263" s="8"/>
      <c r="SS263" s="8"/>
      <c r="ST263" s="8"/>
      <c r="SU263" s="8"/>
      <c r="SV263" s="8"/>
      <c r="SW263" s="8"/>
      <c r="SX263" s="8"/>
      <c r="SY263" s="8"/>
      <c r="SZ263" s="8"/>
      <c r="TA263" s="8"/>
      <c r="TB263" s="8"/>
      <c r="TC263" s="8"/>
      <c r="TD263" s="8"/>
      <c r="TE263" s="8"/>
      <c r="TF263" s="8"/>
      <c r="TG263" s="8"/>
      <c r="TH263" s="8"/>
      <c r="TI263" s="8"/>
      <c r="TJ263" s="8"/>
      <c r="TK263" s="8"/>
      <c r="TL263" s="8"/>
      <c r="TM263" s="8"/>
      <c r="TN263" s="8"/>
      <c r="TO263" s="8"/>
    </row>
    <row r="264" spans="1:535" x14ac:dyDescent="0.2">
      <c r="A264" s="7"/>
      <c r="B264" s="7"/>
      <c r="C264" s="9"/>
      <c r="D264" s="8"/>
      <c r="E264" s="8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9"/>
      <c r="BH264" s="9"/>
      <c r="BI264" s="9"/>
      <c r="BJ264" s="9"/>
      <c r="BK264" s="9"/>
      <c r="BL264" s="9"/>
      <c r="BM264" s="9"/>
      <c r="BN264" s="9"/>
      <c r="BO264" s="9"/>
      <c r="BP264" s="9"/>
      <c r="BQ264" s="9"/>
      <c r="BR264" s="9"/>
      <c r="BS264" s="9"/>
      <c r="BT264" s="9"/>
      <c r="BU264" s="9"/>
      <c r="BV264" s="9"/>
      <c r="BW264" s="9"/>
      <c r="BX264" s="9"/>
      <c r="BY264" s="9"/>
      <c r="BZ264" s="9"/>
      <c r="CA264" s="9"/>
      <c r="CB264" s="9"/>
      <c r="CC264" s="9"/>
      <c r="CD264" s="9"/>
      <c r="CE264" s="9"/>
      <c r="CF264" s="9"/>
      <c r="CG264" s="9"/>
      <c r="CH264" s="9"/>
      <c r="CI264" s="9"/>
      <c r="CJ264" s="9"/>
      <c r="CK264" s="9"/>
      <c r="CL264" s="9"/>
      <c r="CM264" s="9"/>
      <c r="CN264" s="9"/>
      <c r="CO264" s="9"/>
      <c r="CP264" s="9"/>
      <c r="CQ264" s="9"/>
      <c r="CR264" s="9"/>
      <c r="CS264" s="9"/>
      <c r="CT264" s="9"/>
      <c r="CU264" s="9"/>
      <c r="CV264" s="9"/>
      <c r="CW264" s="9"/>
      <c r="CX264" s="9"/>
      <c r="CY264" s="9"/>
      <c r="CZ264" s="9"/>
      <c r="DA264" s="9"/>
      <c r="DB264" s="9"/>
      <c r="DC264" s="9"/>
      <c r="DD264" s="9"/>
      <c r="DE264" s="9"/>
      <c r="DF264" s="9"/>
      <c r="DG264" s="9"/>
      <c r="DH264" s="9"/>
      <c r="DI264" s="9"/>
      <c r="DJ264" s="9"/>
      <c r="DK264" s="9"/>
      <c r="DL264" s="9"/>
      <c r="DM264" s="9"/>
      <c r="DN264" s="9"/>
      <c r="DO264" s="9"/>
      <c r="DP264" s="9"/>
      <c r="DQ264" s="9"/>
      <c r="DR264" s="9"/>
      <c r="DS264" s="9"/>
      <c r="DT264" s="9"/>
      <c r="DU264" s="9"/>
      <c r="DV264" s="9"/>
      <c r="DW264" s="9"/>
      <c r="DX264" s="9"/>
      <c r="DY264" s="9"/>
      <c r="DZ264" s="9"/>
      <c r="EA264" s="9"/>
      <c r="EB264" s="9"/>
      <c r="EC264" s="9"/>
      <c r="ED264" s="9"/>
      <c r="EE264" s="9"/>
      <c r="EF264" s="9"/>
      <c r="EG264" s="9"/>
      <c r="EH264" s="9"/>
      <c r="EI264" s="9"/>
      <c r="EJ264" s="9"/>
      <c r="EK264" s="9"/>
      <c r="EL264" s="9"/>
      <c r="EM264" s="9"/>
      <c r="EN264" s="9"/>
      <c r="EO264" s="9"/>
      <c r="EP264" s="9"/>
      <c r="EQ264" s="9"/>
      <c r="ER264" s="9"/>
      <c r="ES264" s="9"/>
      <c r="ET264" s="9"/>
      <c r="EU264" s="9"/>
      <c r="EV264" s="9"/>
      <c r="EW264" s="9"/>
      <c r="EX264" s="9"/>
      <c r="EY264" s="9"/>
      <c r="EZ264" s="9"/>
      <c r="FA264" s="9"/>
      <c r="FB264" s="9"/>
      <c r="FC264" s="9"/>
      <c r="FD264" s="9"/>
      <c r="FE264" s="9"/>
      <c r="FF264" s="9"/>
      <c r="FG264" s="9"/>
      <c r="FH264" s="9"/>
      <c r="FI264" s="9"/>
      <c r="FJ264" s="9"/>
      <c r="FK264" s="9"/>
      <c r="FL264" s="9"/>
      <c r="FM264" s="9"/>
      <c r="FN264" s="9"/>
      <c r="FO264" s="9"/>
      <c r="FP264" s="9"/>
      <c r="FQ264" s="9"/>
      <c r="FR264" s="9"/>
      <c r="FS264" s="9"/>
      <c r="FT264" s="9"/>
      <c r="FU264" s="9"/>
      <c r="FV264" s="9"/>
      <c r="FW264" s="9"/>
      <c r="FX264" s="9"/>
      <c r="FY264" s="9"/>
      <c r="FZ264" s="9"/>
      <c r="GA264" s="9"/>
      <c r="GB264" s="9"/>
      <c r="GC264" s="9"/>
      <c r="GD264" s="9"/>
      <c r="GE264" s="9"/>
      <c r="GF264" s="9"/>
      <c r="GG264" s="9"/>
      <c r="GH264" s="9"/>
      <c r="GI264" s="9"/>
      <c r="GJ264" s="9"/>
      <c r="GK264" s="9"/>
      <c r="GL264" s="9"/>
      <c r="GM264" s="9"/>
      <c r="GN264" s="9"/>
      <c r="GO264" s="9"/>
      <c r="GP264" s="9"/>
      <c r="GQ264" s="9"/>
      <c r="GR264" s="9"/>
      <c r="GS264" s="9"/>
      <c r="GT264" s="9"/>
      <c r="GU264" s="9"/>
      <c r="GV264" s="9"/>
      <c r="GW264" s="9"/>
      <c r="GX264" s="9"/>
      <c r="GY264" s="9"/>
      <c r="GZ264" s="9"/>
      <c r="HA264" s="9"/>
      <c r="HB264" s="9"/>
      <c r="HC264" s="9"/>
      <c r="HD264" s="9"/>
      <c r="HE264" s="9"/>
      <c r="HF264" s="9"/>
      <c r="HG264" s="9"/>
      <c r="HH264" s="9"/>
      <c r="HI264" s="9"/>
      <c r="HJ264" s="9"/>
      <c r="HK264" s="9"/>
      <c r="HL264" s="9"/>
      <c r="HM264" s="9"/>
      <c r="HN264" s="9"/>
      <c r="HO264" s="9"/>
      <c r="HP264" s="9"/>
      <c r="HQ264" s="9"/>
      <c r="HR264" s="9"/>
      <c r="HS264" s="9"/>
      <c r="HT264" s="9"/>
      <c r="HU264" s="9"/>
      <c r="HV264" s="9"/>
      <c r="HW264" s="9"/>
      <c r="HX264" s="9"/>
      <c r="HY264" s="9"/>
      <c r="HZ264" s="9"/>
      <c r="IA264" s="9"/>
      <c r="IB264" s="9"/>
      <c r="IC264" s="9"/>
      <c r="ID264" s="9"/>
      <c r="IE264" s="9"/>
      <c r="IF264" s="9"/>
      <c r="IG264" s="9"/>
      <c r="IH264" s="9"/>
      <c r="II264" s="9"/>
      <c r="IJ264" s="9"/>
      <c r="IK264" s="9"/>
      <c r="IL264" s="9"/>
      <c r="IM264" s="9"/>
      <c r="IN264" s="9"/>
      <c r="IO264" s="9"/>
      <c r="IP264" s="9"/>
      <c r="IQ264" s="9"/>
      <c r="IR264" s="9"/>
      <c r="IS264" s="9"/>
      <c r="IT264" s="9"/>
      <c r="IU264" s="9"/>
      <c r="IV264" s="9"/>
      <c r="IW264" s="9"/>
      <c r="IX264" s="9"/>
      <c r="IY264" s="9"/>
      <c r="IZ264" s="9"/>
      <c r="JA264" s="9"/>
      <c r="JB264" s="9"/>
      <c r="JC264" s="9"/>
      <c r="JD264" s="9"/>
      <c r="JE264" s="9"/>
      <c r="JF264" s="9"/>
      <c r="JG264" s="9"/>
      <c r="JH264" s="9"/>
      <c r="JI264" s="9"/>
      <c r="JJ264" s="9"/>
      <c r="JK264" s="9"/>
      <c r="JL264" s="9"/>
      <c r="JM264" s="9"/>
      <c r="JN264" s="9"/>
      <c r="JO264" s="9"/>
      <c r="JP264" s="9"/>
      <c r="JQ264" s="9"/>
      <c r="JR264" s="9"/>
      <c r="JS264" s="9"/>
      <c r="JT264" s="9"/>
      <c r="JU264" s="9"/>
      <c r="JV264" s="9"/>
      <c r="JW264" s="9"/>
      <c r="JX264" s="9"/>
      <c r="JY264" s="9"/>
      <c r="JZ264" s="9"/>
      <c r="KA264" s="9"/>
      <c r="KB264" s="9"/>
      <c r="KC264" s="9"/>
      <c r="KD264" s="9"/>
      <c r="KE264" s="9"/>
      <c r="KF264" s="9"/>
      <c r="KG264" s="9"/>
      <c r="KH264" s="9"/>
      <c r="KI264" s="9"/>
      <c r="KJ264" s="9"/>
      <c r="KK264" s="9"/>
      <c r="KL264" s="9"/>
      <c r="KM264" s="9"/>
      <c r="KN264" s="9"/>
      <c r="KO264" s="9"/>
      <c r="KP264" s="9"/>
      <c r="KQ264" s="9"/>
      <c r="KR264" s="9"/>
      <c r="KS264" s="9"/>
      <c r="KT264" s="9"/>
      <c r="KU264" s="9"/>
      <c r="KV264" s="9"/>
      <c r="KW264" s="9"/>
      <c r="KX264" s="9"/>
      <c r="KY264" s="9"/>
      <c r="KZ264" s="9"/>
      <c r="LA264" s="9"/>
      <c r="LB264" s="9"/>
      <c r="LC264" s="9"/>
      <c r="LD264" s="9"/>
      <c r="LE264" s="9"/>
      <c r="LF264" s="9"/>
      <c r="LG264" s="9"/>
      <c r="LH264" s="9"/>
      <c r="LI264" s="9"/>
      <c r="LJ264" s="9"/>
      <c r="LK264" s="9"/>
      <c r="LL264" s="9"/>
      <c r="LM264" s="9"/>
      <c r="LN264" s="9"/>
      <c r="LO264" s="9"/>
      <c r="LP264" s="9"/>
      <c r="LQ264" s="9"/>
      <c r="LR264" s="9"/>
      <c r="LS264" s="9"/>
      <c r="LT264" s="9"/>
      <c r="LU264" s="9"/>
      <c r="LV264" s="9"/>
      <c r="LW264" s="9"/>
      <c r="LX264" s="9"/>
      <c r="LY264" s="9"/>
      <c r="LZ264" s="9"/>
      <c r="MA264" s="9"/>
      <c r="MB264" s="9"/>
      <c r="MC264" s="9"/>
      <c r="MD264" s="9"/>
      <c r="ME264" s="9"/>
      <c r="MF264" s="9"/>
      <c r="MG264" s="9"/>
      <c r="MH264" s="9"/>
      <c r="MI264" s="9"/>
      <c r="MJ264" s="9"/>
      <c r="MK264" s="9"/>
      <c r="ML264" s="9"/>
      <c r="MM264" s="9"/>
      <c r="MN264" s="9"/>
      <c r="MO264" s="9"/>
      <c r="MP264" s="9"/>
      <c r="MQ264" s="9"/>
      <c r="MR264" s="9"/>
      <c r="MS264" s="9"/>
      <c r="MT264" s="9"/>
      <c r="MU264" s="9"/>
      <c r="MV264" s="9"/>
      <c r="MW264" s="9"/>
      <c r="MX264" s="9"/>
      <c r="MY264" s="9"/>
      <c r="MZ264" s="9"/>
      <c r="NA264" s="9"/>
      <c r="NB264" s="9"/>
      <c r="NC264" s="9"/>
      <c r="ND264" s="9"/>
      <c r="NE264" s="9"/>
      <c r="NF264" s="9"/>
      <c r="NG264" s="9"/>
      <c r="NH264" s="9"/>
      <c r="NI264" s="9"/>
      <c r="NJ264" s="9"/>
      <c r="NK264" s="9"/>
      <c r="NL264" s="9"/>
      <c r="NM264" s="9"/>
      <c r="NN264" s="9"/>
      <c r="NO264" s="9"/>
      <c r="NP264" s="9"/>
      <c r="NQ264" s="9"/>
      <c r="NR264" s="9"/>
      <c r="NS264" s="9"/>
      <c r="NT264" s="9"/>
      <c r="NU264" s="9"/>
      <c r="NV264" s="9"/>
      <c r="NW264" s="9"/>
      <c r="NX264" s="9"/>
      <c r="NY264" s="9"/>
      <c r="NZ264" s="9"/>
      <c r="OA264" s="9"/>
      <c r="OB264" s="9"/>
      <c r="OC264" s="9"/>
      <c r="OD264" s="9"/>
      <c r="OE264" s="9"/>
      <c r="OF264" s="9"/>
      <c r="OG264" s="9"/>
      <c r="OH264" s="9"/>
      <c r="OI264" s="9"/>
      <c r="OJ264" s="9"/>
      <c r="OK264" s="9"/>
      <c r="OL264" s="9"/>
      <c r="OM264" s="9"/>
      <c r="ON264" s="9"/>
      <c r="OO264" s="9"/>
      <c r="OP264" s="9"/>
      <c r="OQ264" s="9"/>
      <c r="OR264" s="9"/>
      <c r="OS264" s="9"/>
      <c r="OT264" s="9"/>
      <c r="OU264" s="9"/>
      <c r="OV264" s="9"/>
      <c r="OW264" s="9"/>
      <c r="OX264" s="9"/>
      <c r="OY264" s="9"/>
      <c r="OZ264" s="9"/>
      <c r="PA264" s="9"/>
      <c r="PB264" s="9"/>
      <c r="PC264" s="9"/>
      <c r="PD264" s="9"/>
      <c r="PE264" s="9"/>
      <c r="PF264" s="9"/>
      <c r="PG264" s="9"/>
      <c r="PH264" s="9"/>
      <c r="PI264" s="9"/>
      <c r="PJ264" s="9"/>
      <c r="PK264" s="9"/>
      <c r="PL264" s="9"/>
      <c r="PM264" s="9"/>
      <c r="PN264" s="9"/>
      <c r="PO264" s="9"/>
      <c r="PP264" s="9"/>
      <c r="PQ264" s="9"/>
      <c r="PR264" s="9"/>
      <c r="PS264" s="9"/>
      <c r="PT264" s="9"/>
      <c r="PU264" s="9"/>
      <c r="PV264" s="9"/>
      <c r="PW264" s="9"/>
      <c r="PX264" s="9"/>
      <c r="PY264" s="9"/>
      <c r="PZ264" s="9"/>
      <c r="QA264" s="9"/>
      <c r="QB264" s="9"/>
      <c r="QC264" s="9"/>
      <c r="QD264" s="9"/>
      <c r="QE264" s="9"/>
      <c r="QF264" s="9"/>
      <c r="QG264" s="9"/>
      <c r="QH264" s="9"/>
      <c r="QI264" s="9"/>
      <c r="QJ264" s="9"/>
      <c r="QK264" s="9"/>
      <c r="QL264" s="9"/>
      <c r="QM264" s="9"/>
      <c r="QN264" s="9"/>
      <c r="QO264" s="9"/>
      <c r="QP264" s="9"/>
      <c r="QQ264" s="9"/>
      <c r="QR264" s="9"/>
      <c r="QS264" s="9"/>
      <c r="QT264" s="9"/>
      <c r="QU264" s="9"/>
      <c r="QV264" s="9"/>
      <c r="QW264" s="9"/>
      <c r="QX264" s="9"/>
      <c r="QY264" s="9"/>
      <c r="QZ264" s="9"/>
      <c r="RA264" s="9"/>
      <c r="RB264" s="9"/>
      <c r="RC264" s="9"/>
      <c r="RD264" s="9"/>
      <c r="RE264" s="9"/>
      <c r="RF264" s="9"/>
      <c r="RG264" s="9"/>
      <c r="RH264" s="9"/>
      <c r="RI264" s="9"/>
      <c r="RJ264" s="9"/>
      <c r="RK264" s="9"/>
      <c r="RL264" s="9"/>
      <c r="RM264" s="9"/>
      <c r="RN264" s="9"/>
      <c r="RO264" s="9"/>
      <c r="RP264" s="9"/>
      <c r="RQ264" s="9"/>
      <c r="RR264" s="9"/>
      <c r="RS264" s="9"/>
      <c r="RT264" s="9"/>
      <c r="RU264" s="9"/>
      <c r="RV264" s="9"/>
      <c r="RW264" s="9"/>
      <c r="RX264" s="9"/>
      <c r="RY264" s="9"/>
      <c r="RZ264" s="9"/>
      <c r="SA264" s="9"/>
      <c r="SB264" s="9"/>
      <c r="SC264" s="9"/>
      <c r="SD264" s="9"/>
      <c r="SE264" s="9"/>
      <c r="SF264" s="9"/>
      <c r="SG264" s="9"/>
      <c r="SH264" s="9"/>
      <c r="SI264" s="9"/>
      <c r="SJ264" s="9"/>
      <c r="SK264" s="8"/>
      <c r="SL264" s="8"/>
      <c r="SM264" s="8"/>
      <c r="SN264" s="8"/>
      <c r="SO264" s="8"/>
      <c r="SP264" s="8"/>
      <c r="SQ264" s="8"/>
      <c r="SR264" s="8"/>
      <c r="SS264" s="8"/>
      <c r="ST264" s="8"/>
      <c r="SU264" s="8"/>
      <c r="SV264" s="8"/>
      <c r="SW264" s="8"/>
      <c r="SX264" s="8"/>
      <c r="SY264" s="8"/>
      <c r="SZ264" s="8"/>
      <c r="TA264" s="8"/>
      <c r="TB264" s="8"/>
      <c r="TC264" s="8"/>
      <c r="TD264" s="8"/>
      <c r="TE264" s="8"/>
      <c r="TF264" s="8"/>
      <c r="TG264" s="8"/>
      <c r="TH264" s="8"/>
      <c r="TI264" s="8"/>
      <c r="TJ264" s="8"/>
      <c r="TK264" s="8"/>
      <c r="TL264" s="8"/>
      <c r="TM264" s="8"/>
      <c r="TN264" s="8"/>
      <c r="TO264" s="8"/>
    </row>
    <row r="265" spans="1:535" x14ac:dyDescent="0.2">
      <c r="A265" s="7"/>
      <c r="B265" s="7"/>
      <c r="C265" s="9"/>
      <c r="D265" s="8"/>
      <c r="E265" s="8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9"/>
      <c r="BH265" s="9"/>
      <c r="BI265" s="9"/>
      <c r="BJ265" s="9"/>
      <c r="BK265" s="9"/>
      <c r="BL265" s="9"/>
      <c r="BM265" s="9"/>
      <c r="BN265" s="9"/>
      <c r="BO265" s="9"/>
      <c r="BP265" s="9"/>
      <c r="BQ265" s="9"/>
      <c r="BR265" s="9"/>
      <c r="BS265" s="9"/>
      <c r="BT265" s="9"/>
      <c r="BU265" s="9"/>
      <c r="BV265" s="9"/>
      <c r="BW265" s="9"/>
      <c r="BX265" s="9"/>
      <c r="BY265" s="9"/>
      <c r="BZ265" s="9"/>
      <c r="CA265" s="9"/>
      <c r="CB265" s="9"/>
      <c r="CC265" s="9"/>
      <c r="CD265" s="9"/>
      <c r="CE265" s="9"/>
      <c r="CF265" s="9"/>
      <c r="CG265" s="9"/>
      <c r="CH265" s="9"/>
      <c r="CI265" s="9"/>
      <c r="CJ265" s="9"/>
      <c r="CK265" s="9"/>
      <c r="CL265" s="9"/>
      <c r="CM265" s="9"/>
      <c r="CN265" s="9"/>
      <c r="CO265" s="9"/>
      <c r="CP265" s="9"/>
      <c r="CQ265" s="9"/>
      <c r="CR265" s="9"/>
      <c r="CS265" s="9"/>
      <c r="CT265" s="9"/>
      <c r="CU265" s="9"/>
      <c r="CV265" s="9"/>
      <c r="CW265" s="9"/>
      <c r="CX265" s="9"/>
      <c r="CY265" s="9"/>
      <c r="CZ265" s="9"/>
      <c r="DA265" s="9"/>
      <c r="DB265" s="9"/>
      <c r="DC265" s="9"/>
      <c r="DD265" s="9"/>
      <c r="DE265" s="9"/>
      <c r="DF265" s="9"/>
      <c r="DG265" s="9"/>
      <c r="DH265" s="9"/>
      <c r="DI265" s="9"/>
      <c r="DJ265" s="9"/>
      <c r="DK265" s="9"/>
      <c r="DL265" s="9"/>
      <c r="DM265" s="9"/>
      <c r="DN265" s="9"/>
      <c r="DO265" s="9"/>
      <c r="DP265" s="9"/>
      <c r="DQ265" s="9"/>
      <c r="DR265" s="9"/>
      <c r="DS265" s="9"/>
      <c r="DT265" s="9"/>
      <c r="DU265" s="9"/>
      <c r="DV265" s="9"/>
      <c r="DW265" s="9"/>
      <c r="DX265" s="9"/>
      <c r="DY265" s="9"/>
      <c r="DZ265" s="9"/>
      <c r="EA265" s="9"/>
      <c r="EB265" s="9"/>
      <c r="EC265" s="9"/>
      <c r="ED265" s="9"/>
      <c r="EE265" s="9"/>
      <c r="EF265" s="9"/>
      <c r="EG265" s="9"/>
      <c r="EH265" s="9"/>
      <c r="EI265" s="9"/>
      <c r="EJ265" s="9"/>
      <c r="EK265" s="9"/>
      <c r="EL265" s="9"/>
      <c r="EM265" s="9"/>
      <c r="EN265" s="9"/>
      <c r="EO265" s="9"/>
      <c r="EP265" s="9"/>
      <c r="EQ265" s="9"/>
      <c r="ER265" s="9"/>
      <c r="ES265" s="9"/>
      <c r="ET265" s="9"/>
      <c r="EU265" s="9"/>
      <c r="EV265" s="9"/>
      <c r="EW265" s="9"/>
      <c r="EX265" s="9"/>
      <c r="EY265" s="9"/>
      <c r="EZ265" s="9"/>
      <c r="FA265" s="9"/>
      <c r="FB265" s="9"/>
      <c r="FC265" s="9"/>
      <c r="FD265" s="9"/>
      <c r="FE265" s="9"/>
      <c r="FF265" s="9"/>
      <c r="FG265" s="9"/>
      <c r="FH265" s="9"/>
      <c r="FI265" s="9"/>
      <c r="FJ265" s="9"/>
      <c r="FK265" s="9"/>
      <c r="FL265" s="9"/>
      <c r="FM265" s="9"/>
      <c r="FN265" s="9"/>
      <c r="FO265" s="9"/>
      <c r="FP265" s="9"/>
      <c r="FQ265" s="9"/>
      <c r="FR265" s="9"/>
      <c r="FS265" s="9"/>
      <c r="FT265" s="9"/>
      <c r="FU265" s="9"/>
      <c r="FV265" s="9"/>
      <c r="FW265" s="9"/>
      <c r="FX265" s="9"/>
      <c r="FY265" s="9"/>
      <c r="FZ265" s="9"/>
      <c r="GA265" s="9"/>
      <c r="GB265" s="9"/>
      <c r="GC265" s="9"/>
      <c r="GD265" s="9"/>
      <c r="GE265" s="9"/>
      <c r="GF265" s="9"/>
      <c r="GG265" s="9"/>
      <c r="GH265" s="9"/>
      <c r="GI265" s="9"/>
      <c r="GJ265" s="9"/>
      <c r="GK265" s="9"/>
      <c r="GL265" s="9"/>
      <c r="GM265" s="9"/>
      <c r="GN265" s="9"/>
      <c r="GO265" s="9"/>
      <c r="GP265" s="9"/>
      <c r="GQ265" s="9"/>
      <c r="GR265" s="9"/>
      <c r="GS265" s="9"/>
      <c r="GT265" s="9"/>
      <c r="GU265" s="9"/>
      <c r="GV265" s="9"/>
      <c r="GW265" s="9"/>
      <c r="GX265" s="9"/>
      <c r="GY265" s="9"/>
      <c r="GZ265" s="9"/>
      <c r="HA265" s="9"/>
      <c r="HB265" s="9"/>
      <c r="HC265" s="9"/>
      <c r="HD265" s="9"/>
      <c r="HE265" s="9"/>
      <c r="HF265" s="9"/>
      <c r="HG265" s="9"/>
      <c r="HH265" s="9"/>
      <c r="HI265" s="9"/>
      <c r="HJ265" s="9"/>
      <c r="HK265" s="9"/>
      <c r="HL265" s="9"/>
      <c r="HM265" s="9"/>
      <c r="HN265" s="9"/>
      <c r="HO265" s="9"/>
      <c r="HP265" s="9"/>
      <c r="HQ265" s="9"/>
      <c r="HR265" s="9"/>
      <c r="HS265" s="9"/>
      <c r="HT265" s="9"/>
      <c r="HU265" s="9"/>
      <c r="HV265" s="9"/>
      <c r="HW265" s="9"/>
      <c r="HX265" s="9"/>
      <c r="HY265" s="9"/>
      <c r="HZ265" s="9"/>
      <c r="IA265" s="9"/>
      <c r="IB265" s="9"/>
      <c r="IC265" s="9"/>
      <c r="ID265" s="9"/>
      <c r="IE265" s="9"/>
      <c r="IF265" s="9"/>
      <c r="IG265" s="9"/>
      <c r="IH265" s="9"/>
      <c r="II265" s="9"/>
      <c r="IJ265" s="9"/>
      <c r="IK265" s="9"/>
      <c r="IL265" s="9"/>
      <c r="IM265" s="9"/>
      <c r="IN265" s="9"/>
      <c r="IO265" s="9"/>
      <c r="IP265" s="9"/>
      <c r="IQ265" s="9"/>
      <c r="IR265" s="9"/>
      <c r="IS265" s="9"/>
      <c r="IT265" s="9"/>
      <c r="IU265" s="9"/>
      <c r="IV265" s="9"/>
      <c r="IW265" s="9"/>
      <c r="IX265" s="9"/>
      <c r="IY265" s="9"/>
      <c r="IZ265" s="9"/>
      <c r="JA265" s="9"/>
      <c r="JB265" s="9"/>
      <c r="JC265" s="9"/>
      <c r="JD265" s="9"/>
      <c r="JE265" s="9"/>
      <c r="JF265" s="9"/>
      <c r="JG265" s="9"/>
      <c r="JH265" s="9"/>
      <c r="JI265" s="9"/>
      <c r="JJ265" s="9"/>
      <c r="JK265" s="9"/>
      <c r="JL265" s="9"/>
      <c r="JM265" s="9"/>
      <c r="JN265" s="9"/>
      <c r="JO265" s="9"/>
      <c r="JP265" s="9"/>
      <c r="JQ265" s="9"/>
      <c r="JR265" s="9"/>
      <c r="JS265" s="9"/>
      <c r="JT265" s="9"/>
      <c r="JU265" s="9"/>
      <c r="JV265" s="9"/>
      <c r="JW265" s="9"/>
      <c r="JX265" s="9"/>
      <c r="JY265" s="9"/>
      <c r="JZ265" s="9"/>
      <c r="KA265" s="9"/>
      <c r="KB265" s="9"/>
      <c r="KC265" s="9"/>
      <c r="KD265" s="9"/>
      <c r="KE265" s="9"/>
      <c r="KF265" s="9"/>
      <c r="KG265" s="9"/>
      <c r="KH265" s="9"/>
      <c r="KI265" s="9"/>
      <c r="KJ265" s="9"/>
      <c r="KK265" s="9"/>
      <c r="KL265" s="9"/>
      <c r="KM265" s="9"/>
      <c r="KN265" s="9"/>
      <c r="KO265" s="9"/>
      <c r="KP265" s="9"/>
      <c r="KQ265" s="9"/>
      <c r="KR265" s="9"/>
      <c r="KS265" s="9"/>
      <c r="KT265" s="9"/>
      <c r="KU265" s="9"/>
      <c r="KV265" s="9"/>
      <c r="KW265" s="9"/>
      <c r="KX265" s="9"/>
      <c r="KY265" s="9"/>
      <c r="KZ265" s="9"/>
      <c r="LA265" s="9"/>
      <c r="LB265" s="9"/>
      <c r="LC265" s="9"/>
      <c r="LD265" s="9"/>
      <c r="LE265" s="9"/>
      <c r="LF265" s="9"/>
      <c r="LG265" s="9"/>
      <c r="LH265" s="9"/>
      <c r="LI265" s="9"/>
      <c r="LJ265" s="9"/>
      <c r="LK265" s="9"/>
      <c r="LL265" s="9"/>
      <c r="LM265" s="9"/>
      <c r="LN265" s="9"/>
      <c r="LO265" s="9"/>
      <c r="LP265" s="9"/>
      <c r="LQ265" s="9"/>
      <c r="LR265" s="9"/>
      <c r="LS265" s="9"/>
      <c r="LT265" s="9"/>
      <c r="LU265" s="9"/>
      <c r="LV265" s="9"/>
      <c r="LW265" s="9"/>
      <c r="LX265" s="9"/>
      <c r="LY265" s="9"/>
      <c r="LZ265" s="9"/>
      <c r="MA265" s="9"/>
      <c r="MB265" s="9"/>
      <c r="MC265" s="9"/>
      <c r="MD265" s="9"/>
      <c r="ME265" s="9"/>
      <c r="MF265" s="9"/>
      <c r="MG265" s="9"/>
      <c r="MH265" s="9"/>
      <c r="MI265" s="9"/>
      <c r="MJ265" s="9"/>
      <c r="MK265" s="9"/>
      <c r="ML265" s="9"/>
      <c r="MM265" s="9"/>
      <c r="MN265" s="9"/>
      <c r="MO265" s="9"/>
      <c r="MP265" s="9"/>
      <c r="MQ265" s="9"/>
      <c r="MR265" s="9"/>
      <c r="MS265" s="9"/>
      <c r="MT265" s="9"/>
      <c r="MU265" s="9"/>
      <c r="MV265" s="9"/>
      <c r="MW265" s="9"/>
      <c r="MX265" s="9"/>
      <c r="MY265" s="9"/>
      <c r="MZ265" s="9"/>
      <c r="NA265" s="9"/>
      <c r="NB265" s="9"/>
      <c r="NC265" s="9"/>
      <c r="ND265" s="9"/>
      <c r="NE265" s="9"/>
      <c r="NF265" s="9"/>
      <c r="NG265" s="9"/>
      <c r="NH265" s="9"/>
      <c r="NI265" s="9"/>
      <c r="NJ265" s="9"/>
      <c r="NK265" s="9"/>
      <c r="NL265" s="9"/>
      <c r="NM265" s="9"/>
      <c r="NN265" s="9"/>
      <c r="NO265" s="9"/>
      <c r="NP265" s="9"/>
      <c r="NQ265" s="9"/>
      <c r="NR265" s="9"/>
      <c r="NS265" s="9"/>
      <c r="NT265" s="9"/>
      <c r="NU265" s="9"/>
      <c r="NV265" s="9"/>
      <c r="NW265" s="9"/>
      <c r="NX265" s="9"/>
      <c r="NY265" s="9"/>
      <c r="NZ265" s="9"/>
      <c r="OA265" s="9"/>
      <c r="OB265" s="9"/>
      <c r="OC265" s="9"/>
      <c r="OD265" s="9"/>
      <c r="OE265" s="9"/>
      <c r="OF265" s="9"/>
      <c r="OG265" s="9"/>
      <c r="OH265" s="9"/>
      <c r="OI265" s="9"/>
      <c r="OJ265" s="9"/>
      <c r="OK265" s="9"/>
      <c r="OL265" s="9"/>
      <c r="OM265" s="9"/>
      <c r="ON265" s="9"/>
      <c r="OO265" s="9"/>
      <c r="OP265" s="9"/>
      <c r="OQ265" s="9"/>
      <c r="OR265" s="9"/>
      <c r="OS265" s="9"/>
      <c r="OT265" s="9"/>
      <c r="OU265" s="9"/>
      <c r="OV265" s="9"/>
      <c r="OW265" s="9"/>
      <c r="OX265" s="9"/>
      <c r="OY265" s="9"/>
      <c r="OZ265" s="9"/>
      <c r="PA265" s="9"/>
      <c r="PB265" s="9"/>
      <c r="PC265" s="9"/>
      <c r="PD265" s="9"/>
      <c r="PE265" s="9"/>
      <c r="PF265" s="9"/>
      <c r="PG265" s="9"/>
      <c r="PH265" s="9"/>
      <c r="PI265" s="9"/>
      <c r="PJ265" s="9"/>
      <c r="PK265" s="9"/>
      <c r="PL265" s="9"/>
      <c r="PM265" s="9"/>
      <c r="PN265" s="9"/>
      <c r="PO265" s="9"/>
      <c r="PP265" s="9"/>
      <c r="PQ265" s="9"/>
      <c r="PR265" s="9"/>
      <c r="PS265" s="9"/>
      <c r="PT265" s="9"/>
      <c r="PU265" s="9"/>
      <c r="PV265" s="9"/>
      <c r="PW265" s="9"/>
      <c r="PX265" s="9"/>
      <c r="PY265" s="9"/>
      <c r="PZ265" s="9"/>
      <c r="QA265" s="9"/>
      <c r="QB265" s="9"/>
      <c r="QC265" s="9"/>
      <c r="QD265" s="9"/>
      <c r="QE265" s="9"/>
      <c r="QF265" s="9"/>
      <c r="QG265" s="9"/>
      <c r="QH265" s="9"/>
      <c r="QI265" s="9"/>
      <c r="QJ265" s="9"/>
      <c r="QK265" s="9"/>
      <c r="QL265" s="9"/>
      <c r="QM265" s="9"/>
      <c r="QN265" s="9"/>
      <c r="QO265" s="9"/>
      <c r="QP265" s="9"/>
      <c r="QQ265" s="9"/>
      <c r="QR265" s="9"/>
      <c r="QS265" s="9"/>
      <c r="QT265" s="9"/>
      <c r="QU265" s="9"/>
      <c r="QV265" s="9"/>
      <c r="QW265" s="9"/>
      <c r="QX265" s="9"/>
      <c r="QY265" s="9"/>
      <c r="QZ265" s="9"/>
      <c r="RA265" s="9"/>
      <c r="RB265" s="9"/>
      <c r="RC265" s="9"/>
      <c r="RD265" s="9"/>
      <c r="RE265" s="9"/>
      <c r="RF265" s="9"/>
      <c r="RG265" s="9"/>
      <c r="RH265" s="9"/>
      <c r="RI265" s="9"/>
      <c r="RJ265" s="9"/>
      <c r="RK265" s="9"/>
      <c r="RL265" s="9"/>
      <c r="RM265" s="9"/>
      <c r="RN265" s="9"/>
      <c r="RO265" s="9"/>
      <c r="RP265" s="9"/>
      <c r="RQ265" s="9"/>
      <c r="RR265" s="9"/>
      <c r="RS265" s="9"/>
      <c r="RT265" s="9"/>
      <c r="RU265" s="9"/>
      <c r="RV265" s="9"/>
      <c r="RW265" s="9"/>
      <c r="RX265" s="9"/>
      <c r="RY265" s="9"/>
      <c r="RZ265" s="9"/>
      <c r="SA265" s="9"/>
      <c r="SB265" s="9"/>
      <c r="SC265" s="9"/>
      <c r="SD265" s="9"/>
      <c r="SE265" s="9"/>
      <c r="SF265" s="9"/>
      <c r="SG265" s="9"/>
      <c r="SH265" s="9"/>
      <c r="SI265" s="9"/>
      <c r="SJ265" s="9"/>
      <c r="SK265" s="8"/>
      <c r="SL265" s="8"/>
      <c r="SM265" s="8"/>
      <c r="SN265" s="8"/>
      <c r="SO265" s="8"/>
      <c r="SP265" s="8"/>
      <c r="SQ265" s="8"/>
      <c r="SR265" s="8"/>
      <c r="SS265" s="8"/>
      <c r="ST265" s="8"/>
      <c r="SU265" s="8"/>
      <c r="SV265" s="8"/>
      <c r="SW265" s="8"/>
      <c r="SX265" s="8"/>
      <c r="SY265" s="8"/>
      <c r="SZ265" s="8"/>
      <c r="TA265" s="8"/>
      <c r="TB265" s="8"/>
      <c r="TC265" s="8"/>
      <c r="TD265" s="8"/>
      <c r="TE265" s="8"/>
      <c r="TF265" s="8"/>
      <c r="TG265" s="8"/>
      <c r="TH265" s="8"/>
      <c r="TI265" s="8"/>
      <c r="TJ265" s="8"/>
      <c r="TK265" s="8"/>
      <c r="TL265" s="8"/>
      <c r="TM265" s="8"/>
      <c r="TN265" s="8"/>
      <c r="TO265" s="8"/>
    </row>
    <row r="266" spans="1:535" x14ac:dyDescent="0.2">
      <c r="A266" s="7"/>
      <c r="B266" s="7"/>
      <c r="C266" s="9"/>
      <c r="D266" s="8"/>
      <c r="E266" s="8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9"/>
      <c r="BH266" s="9"/>
      <c r="BI266" s="9"/>
      <c r="BJ266" s="9"/>
      <c r="BK266" s="9"/>
      <c r="BL266" s="9"/>
      <c r="BM266" s="9"/>
      <c r="BN266" s="9"/>
      <c r="BO266" s="9"/>
      <c r="BP266" s="9"/>
      <c r="BQ266" s="9"/>
      <c r="BR266" s="9"/>
      <c r="BS266" s="9"/>
      <c r="BT266" s="9"/>
      <c r="BU266" s="9"/>
      <c r="BV266" s="9"/>
      <c r="BW266" s="9"/>
      <c r="BX266" s="9"/>
      <c r="BY266" s="9"/>
      <c r="BZ266" s="9"/>
      <c r="CA266" s="9"/>
      <c r="CB266" s="9"/>
      <c r="CC266" s="9"/>
      <c r="CD266" s="9"/>
      <c r="CE266" s="9"/>
      <c r="CF266" s="9"/>
      <c r="CG266" s="9"/>
      <c r="CH266" s="9"/>
      <c r="CI266" s="9"/>
      <c r="CJ266" s="9"/>
      <c r="CK266" s="9"/>
      <c r="CL266" s="9"/>
      <c r="CM266" s="9"/>
      <c r="CN266" s="9"/>
      <c r="CO266" s="9"/>
      <c r="CP266" s="9"/>
      <c r="CQ266" s="9"/>
      <c r="CR266" s="9"/>
      <c r="CS266" s="9"/>
      <c r="CT266" s="9"/>
      <c r="CU266" s="9"/>
      <c r="CV266" s="9"/>
      <c r="CW266" s="9"/>
      <c r="CX266" s="9"/>
      <c r="CY266" s="9"/>
      <c r="CZ266" s="9"/>
      <c r="DA266" s="9"/>
      <c r="DB266" s="9"/>
      <c r="DC266" s="9"/>
      <c r="DD266" s="9"/>
      <c r="DE266" s="9"/>
      <c r="DF266" s="9"/>
      <c r="DG266" s="9"/>
      <c r="DH266" s="9"/>
      <c r="DI266" s="9"/>
      <c r="DJ266" s="9"/>
      <c r="DK266" s="9"/>
      <c r="DL266" s="9"/>
      <c r="DM266" s="9"/>
      <c r="DN266" s="9"/>
      <c r="DO266" s="9"/>
      <c r="DP266" s="9"/>
      <c r="DQ266" s="9"/>
      <c r="DR266" s="9"/>
      <c r="DS266" s="9"/>
      <c r="DT266" s="9"/>
      <c r="DU266" s="9"/>
      <c r="DV266" s="9"/>
      <c r="DW266" s="9"/>
      <c r="DX266" s="9"/>
      <c r="DY266" s="9"/>
      <c r="DZ266" s="9"/>
      <c r="EA266" s="9"/>
      <c r="EB266" s="9"/>
      <c r="EC266" s="9"/>
      <c r="ED266" s="9"/>
      <c r="EE266" s="9"/>
      <c r="EF266" s="9"/>
      <c r="EG266" s="9"/>
      <c r="EH266" s="9"/>
      <c r="EI266" s="9"/>
      <c r="EJ266" s="9"/>
      <c r="EK266" s="9"/>
      <c r="EL266" s="9"/>
      <c r="EM266" s="9"/>
      <c r="EN266" s="9"/>
      <c r="EO266" s="9"/>
      <c r="EP266" s="9"/>
      <c r="EQ266" s="9"/>
      <c r="ER266" s="9"/>
      <c r="ES266" s="9"/>
      <c r="ET266" s="9"/>
      <c r="EU266" s="9"/>
      <c r="EV266" s="9"/>
      <c r="EW266" s="9"/>
      <c r="EX266" s="9"/>
      <c r="EY266" s="9"/>
      <c r="EZ266" s="9"/>
      <c r="FA266" s="9"/>
      <c r="FB266" s="9"/>
      <c r="FC266" s="9"/>
      <c r="FD266" s="9"/>
      <c r="FE266" s="9"/>
      <c r="FF266" s="9"/>
      <c r="FG266" s="9"/>
      <c r="FH266" s="9"/>
      <c r="FI266" s="9"/>
      <c r="FJ266" s="9"/>
      <c r="FK266" s="9"/>
      <c r="FL266" s="9"/>
      <c r="FM266" s="9"/>
      <c r="FN266" s="9"/>
      <c r="FO266" s="9"/>
      <c r="FP266" s="9"/>
      <c r="FQ266" s="9"/>
      <c r="FR266" s="9"/>
      <c r="FS266" s="9"/>
      <c r="FT266" s="9"/>
      <c r="FU266" s="9"/>
      <c r="FV266" s="9"/>
      <c r="FW266" s="9"/>
      <c r="FX266" s="9"/>
      <c r="FY266" s="9"/>
      <c r="FZ266" s="9"/>
      <c r="GA266" s="9"/>
      <c r="GB266" s="9"/>
      <c r="GC266" s="9"/>
      <c r="GD266" s="9"/>
      <c r="GE266" s="9"/>
      <c r="GF266" s="9"/>
      <c r="GG266" s="9"/>
      <c r="GH266" s="9"/>
      <c r="GI266" s="9"/>
      <c r="GJ266" s="9"/>
      <c r="GK266" s="9"/>
      <c r="GL266" s="9"/>
      <c r="GM266" s="9"/>
      <c r="GN266" s="9"/>
      <c r="GO266" s="9"/>
      <c r="GP266" s="9"/>
      <c r="GQ266" s="9"/>
      <c r="GR266" s="9"/>
      <c r="GS266" s="9"/>
      <c r="GT266" s="9"/>
      <c r="GU266" s="9"/>
      <c r="GV266" s="9"/>
      <c r="GW266" s="9"/>
      <c r="GX266" s="9"/>
      <c r="GY266" s="9"/>
      <c r="GZ266" s="9"/>
      <c r="HA266" s="9"/>
      <c r="HB266" s="9"/>
      <c r="HC266" s="9"/>
      <c r="HD266" s="9"/>
      <c r="HE266" s="9"/>
      <c r="HF266" s="9"/>
      <c r="HG266" s="9"/>
      <c r="HH266" s="9"/>
      <c r="HI266" s="9"/>
      <c r="HJ266" s="9"/>
      <c r="HK266" s="9"/>
      <c r="HL266" s="9"/>
      <c r="HM266" s="9"/>
      <c r="HN266" s="9"/>
      <c r="HO266" s="9"/>
      <c r="HP266" s="9"/>
      <c r="HQ266" s="9"/>
      <c r="HR266" s="9"/>
      <c r="HS266" s="9"/>
      <c r="HT266" s="9"/>
      <c r="HU266" s="9"/>
      <c r="HV266" s="9"/>
      <c r="HW266" s="9"/>
      <c r="HX266" s="9"/>
      <c r="HY266" s="9"/>
      <c r="HZ266" s="9"/>
      <c r="IA266" s="9"/>
      <c r="IB266" s="9"/>
      <c r="IC266" s="9"/>
      <c r="ID266" s="9"/>
      <c r="IE266" s="9"/>
      <c r="IF266" s="9"/>
      <c r="IG266" s="9"/>
      <c r="IH266" s="9"/>
      <c r="II266" s="9"/>
      <c r="IJ266" s="9"/>
      <c r="IK266" s="9"/>
      <c r="IL266" s="9"/>
      <c r="IM266" s="9"/>
      <c r="IN266" s="9"/>
      <c r="IO266" s="9"/>
      <c r="IP266" s="9"/>
      <c r="IQ266" s="9"/>
      <c r="IR266" s="9"/>
      <c r="IS266" s="9"/>
      <c r="IT266" s="9"/>
      <c r="IU266" s="9"/>
      <c r="IV266" s="9"/>
      <c r="IW266" s="9"/>
      <c r="IX266" s="9"/>
      <c r="IY266" s="9"/>
      <c r="IZ266" s="9"/>
      <c r="JA266" s="9"/>
      <c r="JB266" s="9"/>
      <c r="JC266" s="9"/>
      <c r="JD266" s="9"/>
      <c r="JE266" s="9"/>
      <c r="JF266" s="9"/>
      <c r="JG266" s="9"/>
      <c r="JH266" s="9"/>
      <c r="JI266" s="9"/>
      <c r="JJ266" s="9"/>
      <c r="JK266" s="9"/>
      <c r="JL266" s="9"/>
      <c r="JM266" s="9"/>
      <c r="JN266" s="9"/>
      <c r="JO266" s="9"/>
      <c r="JP266" s="9"/>
      <c r="JQ266" s="9"/>
      <c r="JR266" s="9"/>
      <c r="JS266" s="9"/>
      <c r="JT266" s="9"/>
      <c r="JU266" s="9"/>
      <c r="JV266" s="9"/>
      <c r="JW266" s="9"/>
      <c r="JX266" s="9"/>
      <c r="JY266" s="9"/>
      <c r="JZ266" s="9"/>
      <c r="KA266" s="9"/>
      <c r="KB266" s="9"/>
      <c r="KC266" s="9"/>
      <c r="KD266" s="9"/>
      <c r="KE266" s="9"/>
      <c r="KF266" s="9"/>
      <c r="KG266" s="9"/>
      <c r="KH266" s="9"/>
      <c r="KI266" s="9"/>
      <c r="KJ266" s="9"/>
      <c r="KK266" s="9"/>
      <c r="KL266" s="9"/>
      <c r="KM266" s="9"/>
      <c r="KN266" s="9"/>
      <c r="KO266" s="9"/>
      <c r="KP266" s="9"/>
      <c r="KQ266" s="9"/>
      <c r="KR266" s="9"/>
      <c r="KS266" s="9"/>
      <c r="KT266" s="9"/>
      <c r="KU266" s="9"/>
      <c r="KV266" s="9"/>
      <c r="KW266" s="9"/>
      <c r="KX266" s="9"/>
      <c r="KY266" s="9"/>
      <c r="KZ266" s="9"/>
      <c r="LA266" s="9"/>
      <c r="LB266" s="9"/>
      <c r="LC266" s="9"/>
      <c r="LD266" s="9"/>
      <c r="LE266" s="9"/>
      <c r="LF266" s="9"/>
      <c r="LG266" s="9"/>
      <c r="LH266" s="9"/>
      <c r="LI266" s="9"/>
      <c r="LJ266" s="9"/>
      <c r="LK266" s="9"/>
      <c r="LL266" s="9"/>
      <c r="LM266" s="9"/>
      <c r="LN266" s="9"/>
      <c r="LO266" s="9"/>
      <c r="LP266" s="9"/>
      <c r="LQ266" s="9"/>
      <c r="LR266" s="9"/>
      <c r="LS266" s="9"/>
      <c r="LT266" s="9"/>
      <c r="LU266" s="9"/>
      <c r="LV266" s="9"/>
      <c r="LW266" s="9"/>
      <c r="LX266" s="9"/>
      <c r="LY266" s="9"/>
      <c r="LZ266" s="9"/>
      <c r="MA266" s="9"/>
      <c r="MB266" s="9"/>
      <c r="MC266" s="9"/>
      <c r="MD266" s="9"/>
      <c r="ME266" s="9"/>
      <c r="MF266" s="9"/>
      <c r="MG266" s="9"/>
      <c r="MH266" s="9"/>
      <c r="MI266" s="9"/>
      <c r="MJ266" s="9"/>
      <c r="MK266" s="9"/>
      <c r="ML266" s="9"/>
      <c r="MM266" s="9"/>
      <c r="MN266" s="9"/>
      <c r="MO266" s="9"/>
      <c r="MP266" s="9"/>
      <c r="MQ266" s="9"/>
      <c r="MR266" s="9"/>
      <c r="MS266" s="9"/>
      <c r="MT266" s="9"/>
      <c r="MU266" s="9"/>
      <c r="MV266" s="9"/>
      <c r="MW266" s="9"/>
      <c r="MX266" s="9"/>
      <c r="MY266" s="9"/>
      <c r="MZ266" s="9"/>
      <c r="NA266" s="9"/>
      <c r="NB266" s="9"/>
      <c r="NC266" s="9"/>
      <c r="ND266" s="9"/>
      <c r="NE266" s="9"/>
      <c r="NF266" s="9"/>
      <c r="NG266" s="9"/>
      <c r="NH266" s="9"/>
      <c r="NI266" s="9"/>
      <c r="NJ266" s="9"/>
      <c r="NK266" s="9"/>
      <c r="NL266" s="9"/>
      <c r="NM266" s="9"/>
      <c r="NN266" s="9"/>
      <c r="NO266" s="9"/>
      <c r="NP266" s="9"/>
      <c r="NQ266" s="9"/>
      <c r="NR266" s="9"/>
      <c r="NS266" s="9"/>
      <c r="NT266" s="9"/>
      <c r="NU266" s="9"/>
      <c r="NV266" s="9"/>
      <c r="NW266" s="9"/>
      <c r="NX266" s="9"/>
      <c r="NY266" s="9"/>
      <c r="NZ266" s="9"/>
      <c r="OA266" s="9"/>
      <c r="OB266" s="9"/>
      <c r="OC266" s="9"/>
      <c r="OD266" s="9"/>
      <c r="OE266" s="9"/>
      <c r="OF266" s="9"/>
      <c r="OG266" s="9"/>
      <c r="OH266" s="9"/>
      <c r="OI266" s="9"/>
      <c r="OJ266" s="9"/>
      <c r="OK266" s="9"/>
      <c r="OL266" s="9"/>
      <c r="OM266" s="9"/>
      <c r="ON266" s="9"/>
      <c r="OO266" s="9"/>
      <c r="OP266" s="9"/>
      <c r="OQ266" s="9"/>
      <c r="OR266" s="9"/>
      <c r="OS266" s="9"/>
      <c r="OT266" s="9"/>
      <c r="OU266" s="9"/>
      <c r="OV266" s="9"/>
      <c r="OW266" s="9"/>
      <c r="OX266" s="9"/>
      <c r="OY266" s="9"/>
      <c r="OZ266" s="9"/>
      <c r="PA266" s="9"/>
      <c r="PB266" s="9"/>
      <c r="PC266" s="9"/>
      <c r="PD266" s="9"/>
      <c r="PE266" s="9"/>
      <c r="PF266" s="9"/>
      <c r="PG266" s="9"/>
      <c r="PH266" s="9"/>
      <c r="PI266" s="9"/>
      <c r="PJ266" s="9"/>
      <c r="PK266" s="9"/>
      <c r="PL266" s="9"/>
      <c r="PM266" s="9"/>
      <c r="PN266" s="9"/>
      <c r="PO266" s="9"/>
      <c r="PP266" s="9"/>
      <c r="PQ266" s="9"/>
      <c r="PR266" s="9"/>
      <c r="PS266" s="9"/>
      <c r="PT266" s="9"/>
      <c r="PU266" s="9"/>
      <c r="PV266" s="9"/>
      <c r="PW266" s="9"/>
      <c r="PX266" s="9"/>
      <c r="PY266" s="9"/>
      <c r="PZ266" s="9"/>
      <c r="QA266" s="9"/>
      <c r="QB266" s="9"/>
      <c r="QC266" s="9"/>
      <c r="QD266" s="9"/>
      <c r="QE266" s="9"/>
      <c r="QF266" s="9"/>
      <c r="QG266" s="9"/>
      <c r="QH266" s="9"/>
      <c r="QI266" s="9"/>
      <c r="QJ266" s="9"/>
      <c r="QK266" s="9"/>
      <c r="QL266" s="9"/>
      <c r="QM266" s="9"/>
      <c r="QN266" s="9"/>
      <c r="QO266" s="9"/>
      <c r="QP266" s="9"/>
      <c r="QQ266" s="9"/>
      <c r="QR266" s="9"/>
      <c r="QS266" s="9"/>
      <c r="QT266" s="9"/>
      <c r="QU266" s="9"/>
      <c r="QV266" s="9"/>
      <c r="QW266" s="9"/>
      <c r="QX266" s="9"/>
      <c r="QY266" s="9"/>
      <c r="QZ266" s="9"/>
      <c r="RA266" s="9"/>
      <c r="RB266" s="9"/>
      <c r="RC266" s="9"/>
      <c r="RD266" s="9"/>
      <c r="RE266" s="9"/>
      <c r="RF266" s="9"/>
      <c r="RG266" s="9"/>
      <c r="RH266" s="9"/>
      <c r="RI266" s="9"/>
      <c r="RJ266" s="9"/>
      <c r="RK266" s="9"/>
      <c r="RL266" s="9"/>
      <c r="RM266" s="9"/>
      <c r="RN266" s="9"/>
      <c r="RO266" s="9"/>
      <c r="RP266" s="9"/>
      <c r="RQ266" s="9"/>
      <c r="RR266" s="9"/>
      <c r="RS266" s="9"/>
      <c r="RT266" s="9"/>
      <c r="RU266" s="9"/>
      <c r="RV266" s="9"/>
      <c r="RW266" s="9"/>
      <c r="RX266" s="9"/>
      <c r="RY266" s="9"/>
      <c r="RZ266" s="9"/>
      <c r="SA266" s="9"/>
      <c r="SB266" s="9"/>
      <c r="SC266" s="9"/>
      <c r="SD266" s="9"/>
      <c r="SE266" s="9"/>
      <c r="SF266" s="9"/>
      <c r="SG266" s="9"/>
      <c r="SH266" s="9"/>
      <c r="SI266" s="9"/>
      <c r="SJ266" s="9"/>
      <c r="SK266" s="8"/>
      <c r="SL266" s="8"/>
      <c r="SM266" s="8"/>
      <c r="SN266" s="8"/>
      <c r="SO266" s="8"/>
      <c r="SP266" s="8"/>
      <c r="SQ266" s="8"/>
      <c r="SR266" s="8"/>
      <c r="SS266" s="8"/>
      <c r="ST266" s="8"/>
      <c r="SU266" s="8"/>
      <c r="SV266" s="8"/>
      <c r="SW266" s="8"/>
      <c r="SX266" s="8"/>
      <c r="SY266" s="8"/>
      <c r="SZ266" s="8"/>
      <c r="TA266" s="8"/>
      <c r="TB266" s="8"/>
      <c r="TC266" s="8"/>
      <c r="TD266" s="8"/>
      <c r="TE266" s="8"/>
      <c r="TF266" s="8"/>
      <c r="TG266" s="8"/>
      <c r="TH266" s="8"/>
      <c r="TI266" s="8"/>
      <c r="TJ266" s="8"/>
      <c r="TK266" s="8"/>
      <c r="TL266" s="8"/>
      <c r="TM266" s="8"/>
      <c r="TN266" s="8"/>
      <c r="TO266" s="8"/>
    </row>
    <row r="267" spans="1:535" x14ac:dyDescent="0.2">
      <c r="A267" s="7"/>
      <c r="B267" s="7"/>
      <c r="C267" s="9"/>
      <c r="D267" s="8"/>
      <c r="E267" s="8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9"/>
      <c r="BH267" s="9"/>
      <c r="BI267" s="9"/>
      <c r="BJ267" s="9"/>
      <c r="BK267" s="9"/>
      <c r="BL267" s="9"/>
      <c r="BM267" s="9"/>
      <c r="BN267" s="9"/>
      <c r="BO267" s="9"/>
      <c r="BP267" s="9"/>
      <c r="BQ267" s="9"/>
      <c r="BR267" s="9"/>
      <c r="BS267" s="9"/>
      <c r="BT267" s="9"/>
      <c r="BU267" s="9"/>
      <c r="BV267" s="9"/>
      <c r="BW267" s="9"/>
      <c r="BX267" s="9"/>
      <c r="BY267" s="9"/>
      <c r="BZ267" s="9"/>
      <c r="CA267" s="9"/>
      <c r="CB267" s="9"/>
      <c r="CC267" s="9"/>
      <c r="CD267" s="9"/>
      <c r="CE267" s="9"/>
      <c r="CF267" s="9"/>
      <c r="CG267" s="9"/>
      <c r="CH267" s="9"/>
      <c r="CI267" s="9"/>
      <c r="CJ267" s="9"/>
      <c r="CK267" s="9"/>
      <c r="CL267" s="9"/>
      <c r="CM267" s="9"/>
      <c r="CN267" s="9"/>
      <c r="CO267" s="9"/>
      <c r="CP267" s="9"/>
      <c r="CQ267" s="9"/>
      <c r="CR267" s="9"/>
      <c r="CS267" s="9"/>
      <c r="CT267" s="9"/>
      <c r="CU267" s="9"/>
      <c r="CV267" s="9"/>
      <c r="CW267" s="9"/>
      <c r="CX267" s="9"/>
      <c r="CY267" s="9"/>
      <c r="CZ267" s="9"/>
      <c r="DA267" s="9"/>
      <c r="DB267" s="9"/>
      <c r="DC267" s="9"/>
      <c r="DD267" s="9"/>
      <c r="DE267" s="9"/>
      <c r="DF267" s="9"/>
      <c r="DG267" s="9"/>
      <c r="DH267" s="9"/>
      <c r="DI267" s="9"/>
      <c r="DJ267" s="9"/>
      <c r="DK267" s="9"/>
      <c r="DL267" s="9"/>
      <c r="DM267" s="9"/>
      <c r="DN267" s="9"/>
      <c r="DO267" s="9"/>
      <c r="DP267" s="9"/>
      <c r="DQ267" s="9"/>
      <c r="DR267" s="9"/>
      <c r="DS267" s="9"/>
      <c r="DT267" s="9"/>
      <c r="DU267" s="9"/>
      <c r="DV267" s="9"/>
      <c r="DW267" s="9"/>
      <c r="DX267" s="9"/>
      <c r="DY267" s="9"/>
      <c r="DZ267" s="9"/>
      <c r="EA267" s="9"/>
      <c r="EB267" s="9"/>
      <c r="EC267" s="9"/>
      <c r="ED267" s="9"/>
      <c r="EE267" s="9"/>
      <c r="EF267" s="9"/>
      <c r="EG267" s="9"/>
      <c r="EH267" s="9"/>
      <c r="EI267" s="9"/>
      <c r="EJ267" s="9"/>
      <c r="EK267" s="9"/>
      <c r="EL267" s="9"/>
      <c r="EM267" s="9"/>
      <c r="EN267" s="9"/>
      <c r="EO267" s="9"/>
      <c r="EP267" s="9"/>
      <c r="EQ267" s="9"/>
      <c r="ER267" s="9"/>
      <c r="ES267" s="9"/>
      <c r="ET267" s="9"/>
      <c r="EU267" s="9"/>
      <c r="EV267" s="9"/>
      <c r="EW267" s="9"/>
      <c r="EX267" s="9"/>
      <c r="EY267" s="9"/>
      <c r="EZ267" s="9"/>
      <c r="FA267" s="9"/>
      <c r="FB267" s="9"/>
      <c r="FC267" s="9"/>
      <c r="FD267" s="9"/>
      <c r="FE267" s="9"/>
      <c r="FF267" s="9"/>
      <c r="FG267" s="9"/>
      <c r="FH267" s="9"/>
      <c r="FI267" s="9"/>
      <c r="FJ267" s="9"/>
      <c r="FK267" s="9"/>
      <c r="FL267" s="9"/>
      <c r="FM267" s="9"/>
      <c r="FN267" s="9"/>
      <c r="FO267" s="9"/>
      <c r="FP267" s="9"/>
      <c r="FQ267" s="9"/>
      <c r="FR267" s="9"/>
      <c r="FS267" s="9"/>
      <c r="FT267" s="9"/>
      <c r="FU267" s="9"/>
      <c r="FV267" s="9"/>
      <c r="FW267" s="9"/>
      <c r="FX267" s="9"/>
      <c r="FY267" s="9"/>
      <c r="FZ267" s="9"/>
      <c r="GA267" s="9"/>
      <c r="GB267" s="9"/>
      <c r="GC267" s="9"/>
      <c r="GD267" s="9"/>
      <c r="GE267" s="9"/>
      <c r="GF267" s="9"/>
      <c r="GG267" s="9"/>
      <c r="GH267" s="9"/>
      <c r="GI267" s="9"/>
      <c r="GJ267" s="9"/>
      <c r="GK267" s="9"/>
      <c r="GL267" s="9"/>
      <c r="GM267" s="9"/>
      <c r="GN267" s="9"/>
      <c r="GO267" s="9"/>
      <c r="GP267" s="9"/>
      <c r="GQ267" s="9"/>
      <c r="GR267" s="9"/>
      <c r="GS267" s="9"/>
      <c r="GT267" s="9"/>
      <c r="GU267" s="9"/>
      <c r="GV267" s="9"/>
      <c r="GW267" s="9"/>
      <c r="GX267" s="9"/>
      <c r="GY267" s="9"/>
      <c r="GZ267" s="9"/>
      <c r="HA267" s="9"/>
      <c r="HB267" s="9"/>
      <c r="HC267" s="9"/>
      <c r="HD267" s="9"/>
      <c r="HE267" s="9"/>
      <c r="HF267" s="9"/>
      <c r="HG267" s="9"/>
      <c r="HH267" s="9"/>
      <c r="HI267" s="9"/>
      <c r="HJ267" s="9"/>
      <c r="HK267" s="9"/>
      <c r="HL267" s="9"/>
      <c r="HM267" s="9"/>
      <c r="HN267" s="9"/>
      <c r="HO267" s="9"/>
      <c r="HP267" s="9"/>
      <c r="HQ267" s="9"/>
      <c r="HR267" s="9"/>
      <c r="HS267" s="9"/>
      <c r="HT267" s="9"/>
      <c r="HU267" s="9"/>
      <c r="HV267" s="9"/>
      <c r="HW267" s="9"/>
      <c r="HX267" s="9"/>
      <c r="HY267" s="9"/>
      <c r="HZ267" s="9"/>
      <c r="IA267" s="9"/>
      <c r="IB267" s="9"/>
      <c r="IC267" s="9"/>
      <c r="ID267" s="9"/>
      <c r="IE267" s="9"/>
      <c r="IF267" s="9"/>
      <c r="IG267" s="9"/>
      <c r="IH267" s="9"/>
      <c r="II267" s="9"/>
      <c r="IJ267" s="9"/>
      <c r="IK267" s="9"/>
      <c r="IL267" s="9"/>
      <c r="IM267" s="9"/>
      <c r="IN267" s="9"/>
      <c r="IO267" s="9"/>
      <c r="IP267" s="9"/>
      <c r="IQ267" s="9"/>
      <c r="IR267" s="9"/>
      <c r="IS267" s="9"/>
      <c r="IT267" s="9"/>
      <c r="IU267" s="9"/>
      <c r="IV267" s="9"/>
      <c r="IW267" s="9"/>
      <c r="IX267" s="9"/>
      <c r="IY267" s="9"/>
      <c r="IZ267" s="9"/>
      <c r="JA267" s="9"/>
      <c r="JB267" s="9"/>
      <c r="JC267" s="9"/>
      <c r="JD267" s="9"/>
      <c r="JE267" s="9"/>
      <c r="JF267" s="9"/>
      <c r="JG267" s="9"/>
      <c r="JH267" s="9"/>
      <c r="JI267" s="9"/>
      <c r="JJ267" s="9"/>
      <c r="JK267" s="9"/>
      <c r="JL267" s="9"/>
      <c r="JM267" s="9"/>
      <c r="JN267" s="9"/>
      <c r="JO267" s="9"/>
      <c r="JP267" s="9"/>
      <c r="JQ267" s="9"/>
      <c r="JR267" s="9"/>
      <c r="JS267" s="9"/>
      <c r="JT267" s="9"/>
      <c r="JU267" s="9"/>
      <c r="JV267" s="9"/>
      <c r="JW267" s="9"/>
      <c r="JX267" s="9"/>
      <c r="JY267" s="9"/>
      <c r="JZ267" s="9"/>
      <c r="KA267" s="9"/>
      <c r="KB267" s="9"/>
      <c r="KC267" s="9"/>
      <c r="KD267" s="9"/>
      <c r="KE267" s="9"/>
      <c r="KF267" s="9"/>
      <c r="KG267" s="9"/>
      <c r="KH267" s="9"/>
      <c r="KI267" s="9"/>
      <c r="KJ267" s="9"/>
      <c r="KK267" s="9"/>
      <c r="KL267" s="9"/>
      <c r="KM267" s="9"/>
      <c r="KN267" s="9"/>
      <c r="KO267" s="9"/>
      <c r="KP267" s="9"/>
      <c r="KQ267" s="9"/>
      <c r="KR267" s="9"/>
      <c r="KS267" s="9"/>
      <c r="KT267" s="9"/>
      <c r="KU267" s="9"/>
      <c r="KV267" s="9"/>
      <c r="KW267" s="9"/>
      <c r="KX267" s="9"/>
      <c r="KY267" s="9"/>
      <c r="KZ267" s="9"/>
      <c r="LA267" s="9"/>
      <c r="LB267" s="9"/>
      <c r="LC267" s="9"/>
      <c r="LD267" s="9"/>
      <c r="LE267" s="9"/>
      <c r="LF267" s="9"/>
      <c r="LG267" s="9"/>
      <c r="LH267" s="9"/>
      <c r="LI267" s="9"/>
      <c r="LJ267" s="9"/>
      <c r="LK267" s="9"/>
      <c r="LL267" s="9"/>
      <c r="LM267" s="9"/>
      <c r="LN267" s="9"/>
      <c r="LO267" s="9"/>
      <c r="LP267" s="9"/>
      <c r="LQ267" s="9"/>
      <c r="LR267" s="9"/>
      <c r="LS267" s="9"/>
      <c r="LT267" s="9"/>
      <c r="LU267" s="9"/>
      <c r="LV267" s="9"/>
      <c r="LW267" s="9"/>
      <c r="LX267" s="9"/>
      <c r="LY267" s="9"/>
      <c r="LZ267" s="9"/>
      <c r="MA267" s="9"/>
      <c r="MB267" s="9"/>
      <c r="MC267" s="9"/>
      <c r="MD267" s="9"/>
      <c r="ME267" s="9"/>
      <c r="MF267" s="9"/>
      <c r="MG267" s="9"/>
      <c r="MH267" s="9"/>
      <c r="MI267" s="9"/>
      <c r="MJ267" s="9"/>
      <c r="MK267" s="9"/>
      <c r="ML267" s="9"/>
      <c r="MM267" s="9"/>
      <c r="MN267" s="9"/>
      <c r="MO267" s="9"/>
      <c r="MP267" s="9"/>
      <c r="MQ267" s="9"/>
      <c r="MR267" s="9"/>
      <c r="MS267" s="9"/>
      <c r="MT267" s="9"/>
      <c r="MU267" s="9"/>
      <c r="MV267" s="9"/>
      <c r="MW267" s="9"/>
      <c r="MX267" s="9"/>
      <c r="MY267" s="9"/>
      <c r="MZ267" s="9"/>
      <c r="NA267" s="9"/>
      <c r="NB267" s="9"/>
      <c r="NC267" s="9"/>
      <c r="ND267" s="9"/>
      <c r="NE267" s="9"/>
      <c r="NF267" s="9"/>
      <c r="NG267" s="9"/>
      <c r="NH267" s="9"/>
      <c r="NI267" s="9"/>
      <c r="NJ267" s="9"/>
      <c r="NK267" s="9"/>
      <c r="NL267" s="9"/>
      <c r="NM267" s="9"/>
      <c r="NN267" s="9"/>
      <c r="NO267" s="9"/>
      <c r="NP267" s="9"/>
      <c r="NQ267" s="9"/>
      <c r="NR267" s="9"/>
      <c r="NS267" s="9"/>
      <c r="NT267" s="9"/>
      <c r="NU267" s="9"/>
      <c r="NV267" s="9"/>
      <c r="NW267" s="9"/>
      <c r="NX267" s="9"/>
      <c r="NY267" s="9"/>
      <c r="NZ267" s="9"/>
      <c r="OA267" s="9"/>
      <c r="OB267" s="9"/>
      <c r="OC267" s="9"/>
      <c r="OD267" s="9"/>
      <c r="OE267" s="9"/>
      <c r="OF267" s="9"/>
      <c r="OG267" s="9"/>
      <c r="OH267" s="9"/>
      <c r="OI267" s="9"/>
      <c r="OJ267" s="9"/>
      <c r="OK267" s="9"/>
      <c r="OL267" s="9"/>
      <c r="OM267" s="9"/>
      <c r="ON267" s="9"/>
      <c r="OO267" s="9"/>
      <c r="OP267" s="9"/>
      <c r="OQ267" s="9"/>
      <c r="OR267" s="9"/>
      <c r="OS267" s="9"/>
      <c r="OT267" s="9"/>
      <c r="OU267" s="9"/>
      <c r="OV267" s="9"/>
      <c r="OW267" s="9"/>
      <c r="OX267" s="9"/>
      <c r="OY267" s="9"/>
      <c r="OZ267" s="9"/>
      <c r="PA267" s="9"/>
      <c r="PB267" s="9"/>
      <c r="PC267" s="9"/>
      <c r="PD267" s="9"/>
      <c r="PE267" s="9"/>
      <c r="PF267" s="9"/>
      <c r="PG267" s="9"/>
      <c r="PH267" s="9"/>
      <c r="PI267" s="9"/>
      <c r="PJ267" s="9"/>
      <c r="PK267" s="9"/>
      <c r="PL267" s="9"/>
      <c r="PM267" s="9"/>
      <c r="PN267" s="9"/>
      <c r="PO267" s="9"/>
      <c r="PP267" s="9"/>
      <c r="PQ267" s="9"/>
      <c r="PR267" s="9"/>
      <c r="PS267" s="9"/>
      <c r="PT267" s="9"/>
      <c r="PU267" s="9"/>
      <c r="PV267" s="9"/>
      <c r="PW267" s="9"/>
      <c r="PX267" s="9"/>
      <c r="PY267" s="9"/>
      <c r="PZ267" s="9"/>
      <c r="QA267" s="9"/>
      <c r="QB267" s="9"/>
      <c r="QC267" s="9"/>
      <c r="QD267" s="9"/>
      <c r="QE267" s="9"/>
      <c r="QF267" s="9"/>
      <c r="QG267" s="9"/>
      <c r="QH267" s="9"/>
      <c r="QI267" s="9"/>
      <c r="QJ267" s="9"/>
      <c r="QK267" s="9"/>
      <c r="QL267" s="9"/>
      <c r="QM267" s="9"/>
      <c r="QN267" s="9"/>
      <c r="QO267" s="9"/>
      <c r="QP267" s="9"/>
      <c r="QQ267" s="9"/>
      <c r="QR267" s="9"/>
      <c r="QS267" s="9"/>
      <c r="QT267" s="9"/>
      <c r="QU267" s="9"/>
      <c r="QV267" s="9"/>
      <c r="QW267" s="9"/>
      <c r="QX267" s="9"/>
      <c r="QY267" s="9"/>
      <c r="QZ267" s="9"/>
      <c r="RA267" s="9"/>
      <c r="RB267" s="9"/>
      <c r="RC267" s="9"/>
      <c r="RD267" s="9"/>
      <c r="RE267" s="9"/>
      <c r="RF267" s="9"/>
      <c r="RG267" s="9"/>
      <c r="RH267" s="9"/>
      <c r="RI267" s="9"/>
      <c r="RJ267" s="9"/>
      <c r="RK267" s="9"/>
      <c r="RL267" s="9"/>
      <c r="RM267" s="9"/>
      <c r="RN267" s="9"/>
      <c r="RO267" s="9"/>
      <c r="RP267" s="9"/>
      <c r="RQ267" s="9"/>
      <c r="RR267" s="9"/>
      <c r="RS267" s="9"/>
      <c r="RT267" s="9"/>
      <c r="RU267" s="9"/>
      <c r="RV267" s="9"/>
      <c r="RW267" s="9"/>
      <c r="RX267" s="9"/>
      <c r="RY267" s="9"/>
      <c r="RZ267" s="9"/>
      <c r="SA267" s="9"/>
      <c r="SB267" s="9"/>
      <c r="SC267" s="9"/>
      <c r="SD267" s="9"/>
      <c r="SE267" s="9"/>
      <c r="SF267" s="9"/>
      <c r="SG267" s="9"/>
      <c r="SH267" s="9"/>
      <c r="SI267" s="9"/>
      <c r="SJ267" s="9"/>
      <c r="SK267" s="8"/>
      <c r="SL267" s="8"/>
      <c r="SM267" s="8"/>
      <c r="SN267" s="8"/>
      <c r="SO267" s="8"/>
      <c r="SP267" s="8"/>
      <c r="SQ267" s="8"/>
      <c r="SR267" s="8"/>
      <c r="SS267" s="8"/>
      <c r="ST267" s="8"/>
      <c r="SU267" s="8"/>
      <c r="SV267" s="8"/>
      <c r="SW267" s="8"/>
      <c r="SX267" s="8"/>
      <c r="SY267" s="8"/>
      <c r="SZ267" s="8"/>
      <c r="TA267" s="8"/>
      <c r="TB267" s="8"/>
      <c r="TC267" s="8"/>
      <c r="TD267" s="8"/>
      <c r="TE267" s="8"/>
      <c r="TF267" s="8"/>
      <c r="TG267" s="8"/>
      <c r="TH267" s="8"/>
      <c r="TI267" s="8"/>
      <c r="TJ267" s="8"/>
      <c r="TK267" s="8"/>
      <c r="TL267" s="8"/>
      <c r="TM267" s="8"/>
      <c r="TN267" s="8"/>
      <c r="TO267" s="8"/>
    </row>
    <row r="268" spans="1:535" x14ac:dyDescent="0.2">
      <c r="A268" s="7"/>
      <c r="B268" s="7"/>
      <c r="C268" s="9"/>
      <c r="D268" s="8"/>
      <c r="E268" s="8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9"/>
      <c r="BH268" s="9"/>
      <c r="BI268" s="9"/>
      <c r="BJ268" s="9"/>
      <c r="BK268" s="9"/>
      <c r="BL268" s="9"/>
      <c r="BM268" s="9"/>
      <c r="BN268" s="9"/>
      <c r="BO268" s="9"/>
      <c r="BP268" s="9"/>
      <c r="BQ268" s="9"/>
      <c r="BR268" s="9"/>
      <c r="BS268" s="9"/>
      <c r="BT268" s="9"/>
      <c r="BU268" s="9"/>
      <c r="BV268" s="9"/>
      <c r="BW268" s="9"/>
      <c r="BX268" s="9"/>
      <c r="BY268" s="9"/>
      <c r="BZ268" s="9"/>
      <c r="CA268" s="9"/>
      <c r="CB268" s="9"/>
      <c r="CC268" s="9"/>
      <c r="CD268" s="9"/>
      <c r="CE268" s="9"/>
      <c r="CF268" s="9"/>
      <c r="CG268" s="9"/>
      <c r="CH268" s="9"/>
      <c r="CI268" s="9"/>
      <c r="CJ268" s="9"/>
      <c r="CK268" s="9"/>
      <c r="CL268" s="9"/>
      <c r="CM268" s="9"/>
      <c r="CN268" s="9"/>
      <c r="CO268" s="9"/>
      <c r="CP268" s="9"/>
      <c r="CQ268" s="9"/>
      <c r="CR268" s="9"/>
      <c r="CS268" s="9"/>
      <c r="CT268" s="9"/>
      <c r="CU268" s="9"/>
      <c r="CV268" s="9"/>
      <c r="CW268" s="9"/>
      <c r="CX268" s="9"/>
      <c r="CY268" s="9"/>
      <c r="CZ268" s="9"/>
      <c r="DA268" s="9"/>
      <c r="DB268" s="9"/>
      <c r="DC268" s="9"/>
      <c r="DD268" s="9"/>
      <c r="DE268" s="9"/>
      <c r="DF268" s="9"/>
      <c r="DG268" s="9"/>
      <c r="DH268" s="9"/>
      <c r="DI268" s="9"/>
      <c r="DJ268" s="9"/>
      <c r="DK268" s="9"/>
      <c r="DL268" s="9"/>
      <c r="DM268" s="9"/>
      <c r="DN268" s="9"/>
      <c r="DO268" s="9"/>
      <c r="DP268" s="9"/>
      <c r="DQ268" s="9"/>
      <c r="DR268" s="9"/>
      <c r="DS268" s="9"/>
      <c r="DT268" s="9"/>
      <c r="DU268" s="9"/>
      <c r="DV268" s="9"/>
      <c r="DW268" s="9"/>
      <c r="DX268" s="9"/>
      <c r="DY268" s="9"/>
      <c r="DZ268" s="9"/>
      <c r="EA268" s="9"/>
      <c r="EB268" s="9"/>
      <c r="EC268" s="9"/>
      <c r="ED268" s="9"/>
      <c r="EE268" s="9"/>
      <c r="EF268" s="9"/>
      <c r="EG268" s="9"/>
      <c r="EH268" s="9"/>
      <c r="EI268" s="9"/>
      <c r="EJ268" s="9"/>
      <c r="EK268" s="9"/>
      <c r="EL268" s="9"/>
      <c r="EM268" s="9"/>
      <c r="EN268" s="9"/>
      <c r="EO268" s="9"/>
      <c r="EP268" s="9"/>
      <c r="EQ268" s="9"/>
      <c r="ER268" s="9"/>
      <c r="ES268" s="9"/>
      <c r="ET268" s="9"/>
      <c r="EU268" s="9"/>
      <c r="EV268" s="9"/>
      <c r="EW268" s="9"/>
      <c r="EX268" s="9"/>
      <c r="EY268" s="9"/>
      <c r="EZ268" s="9"/>
      <c r="FA268" s="9"/>
      <c r="FB268" s="9"/>
      <c r="FC268" s="9"/>
      <c r="FD268" s="9"/>
      <c r="FE268" s="9"/>
      <c r="FF268" s="9"/>
      <c r="FG268" s="9"/>
      <c r="FH268" s="9"/>
      <c r="FI268" s="9"/>
      <c r="FJ268" s="9"/>
      <c r="FK268" s="9"/>
      <c r="FL268" s="9"/>
      <c r="FM268" s="9"/>
      <c r="FN268" s="9"/>
      <c r="FO268" s="9"/>
      <c r="FP268" s="9"/>
      <c r="FQ268" s="9"/>
      <c r="FR268" s="9"/>
      <c r="FS268" s="9"/>
      <c r="FT268" s="9"/>
      <c r="FU268" s="9"/>
      <c r="FV268" s="9"/>
      <c r="FW268" s="9"/>
      <c r="FX268" s="9"/>
      <c r="FY268" s="9"/>
      <c r="FZ268" s="9"/>
      <c r="GA268" s="9"/>
      <c r="GB268" s="9"/>
      <c r="GC268" s="9"/>
      <c r="GD268" s="9"/>
      <c r="GE268" s="9"/>
      <c r="GF268" s="9"/>
      <c r="GG268" s="9"/>
      <c r="GH268" s="9"/>
      <c r="GI268" s="9"/>
      <c r="GJ268" s="9"/>
      <c r="GK268" s="9"/>
      <c r="GL268" s="9"/>
      <c r="GM268" s="9"/>
      <c r="GN268" s="9"/>
      <c r="GO268" s="9"/>
      <c r="GP268" s="9"/>
      <c r="GQ268" s="9"/>
      <c r="GR268" s="9"/>
      <c r="GS268" s="9"/>
      <c r="GT268" s="9"/>
      <c r="GU268" s="9"/>
      <c r="GV268" s="9"/>
      <c r="GW268" s="9"/>
      <c r="GX268" s="9"/>
      <c r="GY268" s="9"/>
      <c r="GZ268" s="9"/>
      <c r="HA268" s="9"/>
      <c r="HB268" s="9"/>
      <c r="HC268" s="9"/>
      <c r="HD268" s="9"/>
      <c r="HE268" s="9"/>
      <c r="HF268" s="9"/>
      <c r="HG268" s="9"/>
      <c r="HH268" s="9"/>
      <c r="HI268" s="9"/>
      <c r="HJ268" s="9"/>
      <c r="HK268" s="9"/>
      <c r="HL268" s="9"/>
      <c r="HM268" s="9"/>
      <c r="HN268" s="9"/>
      <c r="HO268" s="9"/>
      <c r="HP268" s="9"/>
      <c r="HQ268" s="9"/>
      <c r="HR268" s="9"/>
      <c r="HS268" s="9"/>
      <c r="HT268" s="9"/>
      <c r="HU268" s="9"/>
      <c r="HV268" s="9"/>
      <c r="HW268" s="9"/>
      <c r="HX268" s="9"/>
      <c r="HY268" s="9"/>
      <c r="HZ268" s="9"/>
      <c r="IA268" s="9"/>
      <c r="IB268" s="9"/>
      <c r="IC268" s="9"/>
      <c r="ID268" s="9"/>
      <c r="IE268" s="9"/>
      <c r="IF268" s="9"/>
      <c r="IG268" s="9"/>
      <c r="IH268" s="9"/>
      <c r="II268" s="9"/>
      <c r="IJ268" s="9"/>
      <c r="IK268" s="9"/>
      <c r="IL268" s="9"/>
      <c r="IM268" s="9"/>
      <c r="IN268" s="9"/>
      <c r="IO268" s="9"/>
      <c r="IP268" s="9"/>
      <c r="IQ268" s="9"/>
      <c r="IR268" s="9"/>
      <c r="IS268" s="9"/>
      <c r="IT268" s="9"/>
      <c r="IU268" s="9"/>
      <c r="IV268" s="9"/>
      <c r="IW268" s="9"/>
      <c r="IX268" s="9"/>
      <c r="IY268" s="9"/>
      <c r="IZ268" s="9"/>
      <c r="JA268" s="9"/>
      <c r="JB268" s="9"/>
      <c r="JC268" s="9"/>
      <c r="JD268" s="9"/>
      <c r="JE268" s="9"/>
      <c r="JF268" s="9"/>
      <c r="JG268" s="9"/>
      <c r="JH268" s="9"/>
      <c r="JI268" s="9"/>
      <c r="JJ268" s="9"/>
      <c r="JK268" s="9"/>
      <c r="JL268" s="9"/>
      <c r="JM268" s="9"/>
      <c r="JN268" s="9"/>
      <c r="JO268" s="9"/>
      <c r="JP268" s="9"/>
      <c r="JQ268" s="9"/>
      <c r="JR268" s="9"/>
      <c r="JS268" s="9"/>
      <c r="JT268" s="9"/>
      <c r="JU268" s="9"/>
      <c r="JV268" s="9"/>
      <c r="JW268" s="9"/>
      <c r="JX268" s="9"/>
      <c r="JY268" s="9"/>
      <c r="JZ268" s="9"/>
      <c r="KA268" s="9"/>
      <c r="KB268" s="9"/>
      <c r="KC268" s="9"/>
      <c r="KD268" s="9"/>
      <c r="KE268" s="9"/>
      <c r="KF268" s="9"/>
      <c r="KG268" s="9"/>
      <c r="KH268" s="9"/>
      <c r="KI268" s="9"/>
      <c r="KJ268" s="9"/>
      <c r="KK268" s="9"/>
      <c r="KL268" s="9"/>
      <c r="KM268" s="9"/>
      <c r="KN268" s="9"/>
      <c r="KO268" s="9"/>
      <c r="KP268" s="9"/>
      <c r="KQ268" s="9"/>
      <c r="KR268" s="9"/>
      <c r="KS268" s="9"/>
      <c r="KT268" s="9"/>
      <c r="KU268" s="9"/>
      <c r="KV268" s="9"/>
      <c r="KW268" s="9"/>
      <c r="KX268" s="9"/>
      <c r="KY268" s="9"/>
      <c r="KZ268" s="9"/>
      <c r="LA268" s="9"/>
      <c r="LB268" s="9"/>
      <c r="LC268" s="9"/>
      <c r="LD268" s="9"/>
      <c r="LE268" s="9"/>
      <c r="LF268" s="9"/>
      <c r="LG268" s="9"/>
      <c r="LH268" s="9"/>
      <c r="LI268" s="9"/>
      <c r="LJ268" s="9"/>
      <c r="LK268" s="9"/>
      <c r="LL268" s="9"/>
      <c r="LM268" s="9"/>
      <c r="LN268" s="9"/>
      <c r="LO268" s="9"/>
      <c r="LP268" s="9"/>
      <c r="LQ268" s="9"/>
      <c r="LR268" s="9"/>
      <c r="LS268" s="9"/>
      <c r="LT268" s="9"/>
      <c r="LU268" s="9"/>
      <c r="LV268" s="9"/>
      <c r="LW268" s="9"/>
      <c r="LX268" s="9"/>
      <c r="LY268" s="9"/>
      <c r="LZ268" s="9"/>
      <c r="MA268" s="9"/>
      <c r="MB268" s="9"/>
      <c r="MC268" s="9"/>
      <c r="MD268" s="9"/>
      <c r="ME268" s="9"/>
      <c r="MF268" s="9"/>
      <c r="MG268" s="9"/>
      <c r="MH268" s="9"/>
      <c r="MI268" s="9"/>
      <c r="MJ268" s="9"/>
      <c r="MK268" s="9"/>
      <c r="ML268" s="9"/>
      <c r="MM268" s="9"/>
      <c r="MN268" s="9"/>
      <c r="MO268" s="9"/>
      <c r="MP268" s="9"/>
      <c r="MQ268" s="9"/>
      <c r="MR268" s="9"/>
      <c r="MS268" s="9"/>
      <c r="MT268" s="9"/>
      <c r="MU268" s="9"/>
      <c r="MV268" s="9"/>
      <c r="MW268" s="9"/>
      <c r="MX268" s="9"/>
      <c r="MY268" s="9"/>
      <c r="MZ268" s="9"/>
      <c r="NA268" s="9"/>
      <c r="NB268" s="9"/>
      <c r="NC268" s="9"/>
      <c r="ND268" s="9"/>
      <c r="NE268" s="9"/>
      <c r="NF268" s="9"/>
      <c r="NG268" s="9"/>
      <c r="NH268" s="9"/>
      <c r="NI268" s="9"/>
      <c r="NJ268" s="9"/>
      <c r="NK268" s="9"/>
      <c r="NL268" s="9"/>
      <c r="NM268" s="9"/>
      <c r="NN268" s="9"/>
      <c r="NO268" s="9"/>
      <c r="NP268" s="9"/>
      <c r="NQ268" s="9"/>
      <c r="NR268" s="9"/>
      <c r="NS268" s="9"/>
      <c r="NT268" s="9"/>
      <c r="NU268" s="9"/>
      <c r="NV268" s="9"/>
      <c r="NW268" s="9"/>
      <c r="NX268" s="9"/>
      <c r="NY268" s="9"/>
      <c r="NZ268" s="9"/>
      <c r="OA268" s="9"/>
      <c r="OB268" s="9"/>
      <c r="OC268" s="9"/>
      <c r="OD268" s="9"/>
      <c r="OE268" s="9"/>
      <c r="OF268" s="9"/>
      <c r="OG268" s="9"/>
      <c r="OH268" s="9"/>
      <c r="OI268" s="9"/>
      <c r="OJ268" s="9"/>
      <c r="OK268" s="9"/>
      <c r="OL268" s="9"/>
      <c r="OM268" s="9"/>
      <c r="ON268" s="9"/>
      <c r="OO268" s="9"/>
      <c r="OP268" s="9"/>
      <c r="OQ268" s="9"/>
      <c r="OR268" s="9"/>
      <c r="OS268" s="9"/>
      <c r="OT268" s="9"/>
      <c r="OU268" s="9"/>
      <c r="OV268" s="9"/>
      <c r="OW268" s="9"/>
      <c r="OX268" s="9"/>
      <c r="OY268" s="9"/>
      <c r="OZ268" s="9"/>
      <c r="PA268" s="9"/>
      <c r="PB268" s="9"/>
      <c r="PC268" s="9"/>
      <c r="PD268" s="9"/>
      <c r="PE268" s="9"/>
      <c r="PF268" s="9"/>
      <c r="PG268" s="9"/>
      <c r="PH268" s="9"/>
      <c r="PI268" s="9"/>
      <c r="PJ268" s="9"/>
      <c r="PK268" s="9"/>
      <c r="PL268" s="9"/>
      <c r="PM268" s="9"/>
      <c r="PN268" s="9"/>
      <c r="PO268" s="9"/>
      <c r="PP268" s="9"/>
      <c r="PQ268" s="9"/>
      <c r="PR268" s="9"/>
      <c r="PS268" s="9"/>
      <c r="PT268" s="9"/>
      <c r="PU268" s="9"/>
      <c r="PV268" s="9"/>
      <c r="PW268" s="9"/>
      <c r="PX268" s="9"/>
      <c r="PY268" s="9"/>
      <c r="PZ268" s="9"/>
      <c r="QA268" s="9"/>
      <c r="QB268" s="9"/>
      <c r="QC268" s="9"/>
      <c r="QD268" s="9"/>
      <c r="QE268" s="9"/>
      <c r="QF268" s="9"/>
      <c r="QG268" s="9"/>
      <c r="QH268" s="9"/>
      <c r="QI268" s="9"/>
      <c r="QJ268" s="9"/>
      <c r="QK268" s="9"/>
      <c r="QL268" s="9"/>
      <c r="QM268" s="9"/>
      <c r="QN268" s="9"/>
      <c r="QO268" s="9"/>
      <c r="QP268" s="9"/>
      <c r="QQ268" s="9"/>
      <c r="QR268" s="9"/>
      <c r="QS268" s="9"/>
      <c r="QT268" s="9"/>
      <c r="QU268" s="9"/>
      <c r="QV268" s="9"/>
      <c r="QW268" s="9"/>
      <c r="QX268" s="9"/>
      <c r="QY268" s="9"/>
      <c r="QZ268" s="9"/>
      <c r="RA268" s="9"/>
      <c r="RB268" s="9"/>
      <c r="RC268" s="9"/>
      <c r="RD268" s="9"/>
      <c r="RE268" s="9"/>
      <c r="RF268" s="9"/>
      <c r="RG268" s="9"/>
      <c r="RH268" s="9"/>
      <c r="RI268" s="9"/>
      <c r="RJ268" s="9"/>
      <c r="RK268" s="9"/>
      <c r="RL268" s="9"/>
      <c r="RM268" s="9"/>
      <c r="RN268" s="9"/>
      <c r="RO268" s="9"/>
      <c r="RP268" s="9"/>
      <c r="RQ268" s="9"/>
      <c r="RR268" s="9"/>
      <c r="RS268" s="9"/>
      <c r="RT268" s="9"/>
      <c r="RU268" s="9"/>
      <c r="RV268" s="9"/>
      <c r="RW268" s="9"/>
      <c r="RX268" s="9"/>
      <c r="RY268" s="9"/>
      <c r="RZ268" s="9"/>
      <c r="SA268" s="9"/>
      <c r="SB268" s="9"/>
      <c r="SC268" s="9"/>
      <c r="SD268" s="9"/>
      <c r="SE268" s="9"/>
      <c r="SF268" s="9"/>
      <c r="SG268" s="9"/>
      <c r="SH268" s="9"/>
      <c r="SI268" s="9"/>
      <c r="SJ268" s="9"/>
      <c r="SK268" s="8"/>
      <c r="SL268" s="8"/>
      <c r="SM268" s="8"/>
      <c r="SN268" s="8"/>
      <c r="SO268" s="8"/>
      <c r="SP268" s="8"/>
      <c r="SQ268" s="8"/>
      <c r="SR268" s="8"/>
      <c r="SS268" s="8"/>
      <c r="ST268" s="8"/>
      <c r="SU268" s="8"/>
      <c r="SV268" s="8"/>
      <c r="SW268" s="8"/>
      <c r="SX268" s="8"/>
      <c r="SY268" s="8"/>
      <c r="SZ268" s="8"/>
      <c r="TA268" s="8"/>
      <c r="TB268" s="8"/>
      <c r="TC268" s="8"/>
      <c r="TD268" s="8"/>
      <c r="TE268" s="8"/>
      <c r="TF268" s="8"/>
      <c r="TG268" s="8"/>
      <c r="TH268" s="8"/>
      <c r="TI268" s="8"/>
      <c r="TJ268" s="8"/>
      <c r="TK268" s="8"/>
      <c r="TL268" s="8"/>
      <c r="TM268" s="8"/>
      <c r="TN268" s="8"/>
      <c r="TO268" s="8"/>
    </row>
    <row r="269" spans="1:535" x14ac:dyDescent="0.2">
      <c r="A269" s="7"/>
      <c r="B269" s="7"/>
      <c r="C269" s="9"/>
      <c r="D269" s="8"/>
      <c r="E269" s="8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9"/>
      <c r="BH269" s="9"/>
      <c r="BI269" s="9"/>
      <c r="BJ269" s="9"/>
      <c r="BK269" s="9"/>
      <c r="BL269" s="9"/>
      <c r="BM269" s="9"/>
      <c r="BN269" s="9"/>
      <c r="BO269" s="9"/>
      <c r="BP269" s="9"/>
      <c r="BQ269" s="9"/>
      <c r="BR269" s="9"/>
      <c r="BS269" s="9"/>
      <c r="BT269" s="9"/>
      <c r="BU269" s="9"/>
      <c r="BV269" s="9"/>
      <c r="BW269" s="9"/>
      <c r="BX269" s="9"/>
      <c r="BY269" s="9"/>
      <c r="BZ269" s="9"/>
      <c r="CA269" s="9"/>
      <c r="CB269" s="9"/>
      <c r="CC269" s="9"/>
      <c r="CD269" s="9"/>
      <c r="CE269" s="9"/>
      <c r="CF269" s="9"/>
      <c r="CG269" s="9"/>
      <c r="CH269" s="9"/>
      <c r="CI269" s="9"/>
      <c r="CJ269" s="9"/>
      <c r="CK269" s="9"/>
      <c r="CL269" s="9"/>
      <c r="CM269" s="9"/>
      <c r="CN269" s="9"/>
      <c r="CO269" s="9"/>
      <c r="CP269" s="9"/>
      <c r="CQ269" s="9"/>
      <c r="CR269" s="9"/>
      <c r="CS269" s="9"/>
      <c r="CT269" s="9"/>
      <c r="CU269" s="9"/>
      <c r="CV269" s="9"/>
      <c r="CW269" s="9"/>
      <c r="CX269" s="9"/>
      <c r="CY269" s="9"/>
      <c r="CZ269" s="9"/>
      <c r="DA269" s="9"/>
      <c r="DB269" s="9"/>
      <c r="DC269" s="9"/>
      <c r="DD269" s="9"/>
      <c r="DE269" s="9"/>
      <c r="DF269" s="9"/>
      <c r="DG269" s="9"/>
      <c r="DH269" s="9"/>
      <c r="DI269" s="9"/>
      <c r="DJ269" s="9"/>
      <c r="DK269" s="9"/>
      <c r="DL269" s="9"/>
      <c r="DM269" s="9"/>
      <c r="DN269" s="9"/>
      <c r="DO269" s="9"/>
      <c r="DP269" s="9"/>
      <c r="DQ269" s="9"/>
      <c r="DR269" s="9"/>
      <c r="DS269" s="9"/>
      <c r="DT269" s="9"/>
      <c r="DU269" s="9"/>
      <c r="DV269" s="9"/>
      <c r="DW269" s="9"/>
      <c r="DX269" s="9"/>
      <c r="DY269" s="9"/>
      <c r="DZ269" s="9"/>
      <c r="EA269" s="9"/>
      <c r="EB269" s="9"/>
      <c r="EC269" s="9"/>
      <c r="ED269" s="9"/>
      <c r="EE269" s="9"/>
      <c r="EF269" s="9"/>
      <c r="EG269" s="9"/>
      <c r="EH269" s="9"/>
      <c r="EI269" s="9"/>
      <c r="EJ269" s="9"/>
      <c r="EK269" s="9"/>
      <c r="EL269" s="9"/>
      <c r="EM269" s="9"/>
      <c r="EN269" s="9"/>
      <c r="EO269" s="9"/>
      <c r="EP269" s="9"/>
      <c r="EQ269" s="9"/>
      <c r="ER269" s="9"/>
      <c r="ES269" s="9"/>
      <c r="ET269" s="9"/>
      <c r="EU269" s="9"/>
      <c r="EV269" s="9"/>
      <c r="EW269" s="9"/>
      <c r="EX269" s="9"/>
      <c r="EY269" s="9"/>
      <c r="EZ269" s="9"/>
      <c r="FA269" s="9"/>
      <c r="FB269" s="9"/>
      <c r="FC269" s="9"/>
      <c r="FD269" s="9"/>
      <c r="FE269" s="9"/>
      <c r="FF269" s="9"/>
      <c r="FG269" s="9"/>
      <c r="FH269" s="9"/>
      <c r="FI269" s="9"/>
      <c r="FJ269" s="9"/>
      <c r="FK269" s="9"/>
      <c r="FL269" s="9"/>
      <c r="FM269" s="9"/>
      <c r="FN269" s="9"/>
      <c r="FO269" s="9"/>
      <c r="FP269" s="9"/>
      <c r="FQ269" s="9"/>
      <c r="FR269" s="9"/>
      <c r="FS269" s="9"/>
      <c r="FT269" s="9"/>
      <c r="FU269" s="9"/>
      <c r="FV269" s="9"/>
      <c r="FW269" s="9"/>
      <c r="FX269" s="9"/>
      <c r="FY269" s="9"/>
      <c r="FZ269" s="9"/>
      <c r="GA269" s="9"/>
      <c r="GB269" s="9"/>
      <c r="GC269" s="9"/>
      <c r="GD269" s="9"/>
      <c r="GE269" s="9"/>
      <c r="GF269" s="9"/>
      <c r="GG269" s="9"/>
      <c r="GH269" s="9"/>
      <c r="GI269" s="9"/>
      <c r="GJ269" s="9"/>
      <c r="GK269" s="9"/>
      <c r="GL269" s="9"/>
      <c r="GM269" s="9"/>
      <c r="GN269" s="9"/>
      <c r="GO269" s="9"/>
      <c r="GP269" s="9"/>
      <c r="GQ269" s="9"/>
      <c r="GR269" s="9"/>
      <c r="GS269" s="9"/>
      <c r="GT269" s="9"/>
      <c r="GU269" s="9"/>
      <c r="GV269" s="9"/>
      <c r="GW269" s="9"/>
      <c r="GX269" s="9"/>
      <c r="GY269" s="9"/>
      <c r="GZ269" s="9"/>
      <c r="HA269" s="9"/>
      <c r="HB269" s="9"/>
      <c r="HC269" s="9"/>
      <c r="HD269" s="9"/>
      <c r="HE269" s="9"/>
      <c r="HF269" s="9"/>
      <c r="HG269" s="9"/>
      <c r="HH269" s="9"/>
      <c r="HI269" s="9"/>
      <c r="HJ269" s="9"/>
      <c r="HK269" s="9"/>
      <c r="HL269" s="9"/>
      <c r="HM269" s="9"/>
      <c r="HN269" s="9"/>
      <c r="HO269" s="9"/>
      <c r="HP269" s="9"/>
      <c r="HQ269" s="9"/>
      <c r="HR269" s="9"/>
      <c r="HS269" s="9"/>
      <c r="HT269" s="9"/>
      <c r="HU269" s="9"/>
      <c r="HV269" s="9"/>
      <c r="HW269" s="9"/>
      <c r="HX269" s="9"/>
      <c r="HY269" s="9"/>
      <c r="HZ269" s="9"/>
      <c r="IA269" s="9"/>
      <c r="IB269" s="9"/>
      <c r="IC269" s="9"/>
      <c r="ID269" s="9"/>
      <c r="IE269" s="9"/>
      <c r="IF269" s="9"/>
      <c r="IG269" s="9"/>
      <c r="IH269" s="9"/>
      <c r="II269" s="9"/>
      <c r="IJ269" s="9"/>
      <c r="IK269" s="9"/>
      <c r="IL269" s="9"/>
      <c r="IM269" s="9"/>
      <c r="IN269" s="9"/>
      <c r="IO269" s="9"/>
      <c r="IP269" s="9"/>
      <c r="IQ269" s="9"/>
      <c r="IR269" s="9"/>
      <c r="IS269" s="9"/>
      <c r="IT269" s="9"/>
      <c r="IU269" s="9"/>
      <c r="IV269" s="9"/>
      <c r="IW269" s="9"/>
      <c r="IX269" s="9"/>
      <c r="IY269" s="9"/>
      <c r="IZ269" s="9"/>
      <c r="JA269" s="9"/>
      <c r="JB269" s="9"/>
      <c r="JC269" s="9"/>
      <c r="JD269" s="9"/>
      <c r="JE269" s="9"/>
      <c r="JF269" s="9"/>
      <c r="JG269" s="9"/>
      <c r="JH269" s="9"/>
      <c r="JI269" s="9"/>
      <c r="JJ269" s="9"/>
      <c r="JK269" s="9"/>
      <c r="JL269" s="9"/>
      <c r="JM269" s="9"/>
      <c r="JN269" s="9"/>
      <c r="JO269" s="9"/>
      <c r="JP269" s="9"/>
      <c r="JQ269" s="9"/>
      <c r="JR269" s="9"/>
      <c r="JS269" s="9"/>
      <c r="JT269" s="9"/>
      <c r="JU269" s="9"/>
      <c r="JV269" s="9"/>
      <c r="JW269" s="9"/>
      <c r="JX269" s="9"/>
      <c r="JY269" s="9"/>
      <c r="JZ269" s="9"/>
      <c r="KA269" s="9"/>
      <c r="KB269" s="9"/>
      <c r="KC269" s="9"/>
      <c r="KD269" s="9"/>
      <c r="KE269" s="9"/>
      <c r="KF269" s="9"/>
      <c r="KG269" s="9"/>
      <c r="KH269" s="9"/>
      <c r="KI269" s="9"/>
      <c r="KJ269" s="9"/>
      <c r="KK269" s="9"/>
      <c r="KL269" s="9"/>
      <c r="KM269" s="9"/>
      <c r="KN269" s="9"/>
      <c r="KO269" s="9"/>
      <c r="KP269" s="9"/>
      <c r="KQ269" s="9"/>
      <c r="KR269" s="9"/>
      <c r="KS269" s="9"/>
      <c r="KT269" s="9"/>
      <c r="KU269" s="9"/>
      <c r="KV269" s="9"/>
      <c r="KW269" s="9"/>
      <c r="KX269" s="9"/>
      <c r="KY269" s="9"/>
      <c r="KZ269" s="9"/>
      <c r="LA269" s="9"/>
      <c r="LB269" s="9"/>
      <c r="LC269" s="9"/>
      <c r="LD269" s="9"/>
      <c r="LE269" s="9"/>
      <c r="LF269" s="9"/>
      <c r="LG269" s="9"/>
      <c r="LH269" s="9"/>
      <c r="LI269" s="9"/>
      <c r="LJ269" s="9"/>
      <c r="LK269" s="9"/>
      <c r="LL269" s="9"/>
      <c r="LM269" s="9"/>
      <c r="LN269" s="9"/>
      <c r="LO269" s="9"/>
      <c r="LP269" s="9"/>
      <c r="LQ269" s="9"/>
      <c r="LR269" s="9"/>
      <c r="LS269" s="9"/>
      <c r="LT269" s="9"/>
      <c r="LU269" s="9"/>
      <c r="LV269" s="9"/>
      <c r="LW269" s="9"/>
      <c r="LX269" s="9"/>
      <c r="LY269" s="9"/>
      <c r="LZ269" s="9"/>
      <c r="MA269" s="9"/>
      <c r="MB269" s="9"/>
      <c r="MC269" s="9"/>
      <c r="MD269" s="9"/>
      <c r="ME269" s="9"/>
      <c r="MF269" s="9"/>
      <c r="MG269" s="9"/>
      <c r="MH269" s="9"/>
      <c r="MI269" s="9"/>
      <c r="MJ269" s="9"/>
      <c r="MK269" s="9"/>
      <c r="ML269" s="9"/>
      <c r="MM269" s="9"/>
      <c r="MN269" s="9"/>
      <c r="MO269" s="9"/>
      <c r="MP269" s="9"/>
      <c r="MQ269" s="9"/>
      <c r="MR269" s="9"/>
      <c r="MS269" s="9"/>
      <c r="MT269" s="9"/>
      <c r="MU269" s="9"/>
      <c r="MV269" s="9"/>
      <c r="MW269" s="9"/>
      <c r="MX269" s="9"/>
      <c r="MY269" s="9"/>
      <c r="MZ269" s="9"/>
      <c r="NA269" s="9"/>
      <c r="NB269" s="9"/>
      <c r="NC269" s="9"/>
      <c r="ND269" s="9"/>
      <c r="NE269" s="9"/>
      <c r="NF269" s="9"/>
      <c r="NG269" s="9"/>
      <c r="NH269" s="9"/>
      <c r="NI269" s="9"/>
      <c r="NJ269" s="9"/>
      <c r="NK269" s="9"/>
      <c r="NL269" s="9"/>
      <c r="NM269" s="9"/>
      <c r="NN269" s="9"/>
      <c r="NO269" s="9"/>
      <c r="NP269" s="9"/>
      <c r="NQ269" s="9"/>
      <c r="NR269" s="9"/>
      <c r="NS269" s="9"/>
      <c r="NT269" s="9"/>
      <c r="NU269" s="9"/>
      <c r="NV269" s="9"/>
      <c r="NW269" s="9"/>
      <c r="NX269" s="9"/>
      <c r="NY269" s="9"/>
      <c r="NZ269" s="9"/>
      <c r="OA269" s="9"/>
      <c r="OB269" s="9"/>
      <c r="OC269" s="9"/>
      <c r="OD269" s="9"/>
      <c r="OE269" s="9"/>
      <c r="OF269" s="9"/>
      <c r="OG269" s="9"/>
      <c r="OH269" s="9"/>
      <c r="OI269" s="9"/>
      <c r="OJ269" s="9"/>
      <c r="OK269" s="9"/>
      <c r="OL269" s="9"/>
      <c r="OM269" s="9"/>
      <c r="ON269" s="9"/>
      <c r="OO269" s="9"/>
      <c r="OP269" s="9"/>
      <c r="OQ269" s="9"/>
      <c r="OR269" s="9"/>
      <c r="OS269" s="9"/>
      <c r="OT269" s="9"/>
      <c r="OU269" s="9"/>
      <c r="OV269" s="9"/>
      <c r="OW269" s="9"/>
      <c r="OX269" s="9"/>
      <c r="OY269" s="9"/>
      <c r="OZ269" s="9"/>
      <c r="PA269" s="9"/>
      <c r="PB269" s="9"/>
      <c r="PC269" s="9"/>
      <c r="PD269" s="9"/>
      <c r="PE269" s="9"/>
      <c r="PF269" s="9"/>
      <c r="PG269" s="9"/>
      <c r="PH269" s="9"/>
      <c r="PI269" s="9"/>
      <c r="PJ269" s="9"/>
      <c r="PK269" s="9"/>
      <c r="PL269" s="9"/>
      <c r="PM269" s="9"/>
      <c r="PN269" s="9"/>
      <c r="PO269" s="9"/>
      <c r="PP269" s="9"/>
      <c r="PQ269" s="9"/>
      <c r="PR269" s="9"/>
      <c r="PS269" s="9"/>
      <c r="PT269" s="9"/>
      <c r="PU269" s="9"/>
      <c r="PV269" s="9"/>
      <c r="PW269" s="9"/>
      <c r="PX269" s="9"/>
      <c r="PY269" s="9"/>
      <c r="PZ269" s="9"/>
      <c r="QA269" s="9"/>
      <c r="QB269" s="9"/>
      <c r="QC269" s="9"/>
      <c r="QD269" s="9"/>
      <c r="QE269" s="9"/>
      <c r="QF269" s="9"/>
      <c r="QG269" s="9"/>
      <c r="QH269" s="9"/>
      <c r="QI269" s="9"/>
      <c r="QJ269" s="9"/>
      <c r="QK269" s="9"/>
      <c r="QL269" s="9"/>
      <c r="QM269" s="9"/>
      <c r="QN269" s="9"/>
      <c r="QO269" s="9"/>
      <c r="QP269" s="9"/>
      <c r="QQ269" s="9"/>
      <c r="QR269" s="9"/>
      <c r="QS269" s="9"/>
      <c r="QT269" s="9"/>
      <c r="QU269" s="9"/>
      <c r="QV269" s="9"/>
      <c r="QW269" s="9"/>
      <c r="QX269" s="9"/>
      <c r="QY269" s="9"/>
      <c r="QZ269" s="9"/>
      <c r="RA269" s="9"/>
      <c r="RB269" s="9"/>
      <c r="RC269" s="9"/>
      <c r="RD269" s="9"/>
      <c r="RE269" s="9"/>
      <c r="RF269" s="9"/>
      <c r="RG269" s="9"/>
      <c r="RH269" s="9"/>
      <c r="RI269" s="9"/>
      <c r="RJ269" s="9"/>
      <c r="RK269" s="9"/>
      <c r="RL269" s="9"/>
      <c r="RM269" s="9"/>
      <c r="RN269" s="9"/>
      <c r="RO269" s="9"/>
      <c r="RP269" s="9"/>
      <c r="RQ269" s="9"/>
      <c r="RR269" s="9"/>
      <c r="RS269" s="9"/>
      <c r="RT269" s="9"/>
      <c r="RU269" s="9"/>
      <c r="RV269" s="9"/>
      <c r="RW269" s="9"/>
      <c r="RX269" s="9"/>
      <c r="RY269" s="9"/>
      <c r="RZ269" s="9"/>
      <c r="SA269" s="9"/>
      <c r="SB269" s="9"/>
      <c r="SC269" s="9"/>
      <c r="SD269" s="9"/>
      <c r="SE269" s="9"/>
      <c r="SF269" s="9"/>
      <c r="SG269" s="9"/>
      <c r="SH269" s="9"/>
      <c r="SI269" s="9"/>
      <c r="SJ269" s="9"/>
      <c r="SK269" s="8"/>
      <c r="SL269" s="8"/>
      <c r="SM269" s="8"/>
      <c r="SN269" s="8"/>
      <c r="SO269" s="8"/>
      <c r="SP269" s="8"/>
      <c r="SQ269" s="8"/>
      <c r="SR269" s="8"/>
      <c r="SS269" s="8"/>
      <c r="ST269" s="8"/>
      <c r="SU269" s="8"/>
      <c r="SV269" s="8"/>
      <c r="SW269" s="8"/>
      <c r="SX269" s="8"/>
      <c r="SY269" s="8"/>
      <c r="SZ269" s="8"/>
      <c r="TA269" s="8"/>
      <c r="TB269" s="8"/>
      <c r="TC269" s="8"/>
      <c r="TD269" s="8"/>
      <c r="TE269" s="8"/>
      <c r="TF269" s="8"/>
      <c r="TG269" s="8"/>
      <c r="TH269" s="8"/>
      <c r="TI269" s="8"/>
      <c r="TJ269" s="8"/>
      <c r="TK269" s="8"/>
      <c r="TL269" s="8"/>
      <c r="TM269" s="8"/>
      <c r="TN269" s="8"/>
      <c r="TO269" s="8"/>
    </row>
    <row r="270" spans="1:535" x14ac:dyDescent="0.2">
      <c r="A270" s="7"/>
      <c r="B270" s="7"/>
      <c r="C270" s="9"/>
      <c r="D270" s="8"/>
      <c r="E270" s="8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  <c r="BL270" s="9"/>
      <c r="BM270" s="9"/>
      <c r="BN270" s="9"/>
      <c r="BO270" s="9"/>
      <c r="BP270" s="9"/>
      <c r="BQ270" s="9"/>
      <c r="BR270" s="9"/>
      <c r="BS270" s="9"/>
      <c r="BT270" s="9"/>
      <c r="BU270" s="9"/>
      <c r="BV270" s="9"/>
      <c r="BW270" s="9"/>
      <c r="BX270" s="9"/>
      <c r="BY270" s="9"/>
      <c r="BZ270" s="9"/>
      <c r="CA270" s="9"/>
      <c r="CB270" s="9"/>
      <c r="CC270" s="9"/>
      <c r="CD270" s="9"/>
      <c r="CE270" s="9"/>
      <c r="CF270" s="9"/>
      <c r="CG270" s="9"/>
      <c r="CH270" s="9"/>
      <c r="CI270" s="9"/>
      <c r="CJ270" s="9"/>
      <c r="CK270" s="9"/>
      <c r="CL270" s="9"/>
      <c r="CM270" s="9"/>
      <c r="CN270" s="9"/>
      <c r="CO270" s="9"/>
      <c r="CP270" s="9"/>
      <c r="CQ270" s="9"/>
      <c r="CR270" s="9"/>
      <c r="CS270" s="9"/>
      <c r="CT270" s="9"/>
      <c r="CU270" s="9"/>
      <c r="CV270" s="9"/>
      <c r="CW270" s="9"/>
      <c r="CX270" s="9"/>
      <c r="CY270" s="9"/>
      <c r="CZ270" s="9"/>
      <c r="DA270" s="9"/>
      <c r="DB270" s="9"/>
      <c r="DC270" s="9"/>
      <c r="DD270" s="9"/>
      <c r="DE270" s="9"/>
      <c r="DF270" s="9"/>
      <c r="DG270" s="9"/>
      <c r="DH270" s="9"/>
      <c r="DI270" s="9"/>
      <c r="DJ270" s="9"/>
      <c r="DK270" s="9"/>
      <c r="DL270" s="9"/>
      <c r="DM270" s="9"/>
      <c r="DN270" s="9"/>
      <c r="DO270" s="9"/>
      <c r="DP270" s="9"/>
      <c r="DQ270" s="9"/>
      <c r="DR270" s="9"/>
      <c r="DS270" s="9"/>
      <c r="DT270" s="9"/>
      <c r="DU270" s="9"/>
      <c r="DV270" s="9"/>
      <c r="DW270" s="9"/>
      <c r="DX270" s="9"/>
      <c r="DY270" s="9"/>
      <c r="DZ270" s="9"/>
      <c r="EA270" s="9"/>
      <c r="EB270" s="9"/>
      <c r="EC270" s="9"/>
      <c r="ED270" s="9"/>
      <c r="EE270" s="9"/>
      <c r="EF270" s="9"/>
      <c r="EG270" s="9"/>
      <c r="EH270" s="9"/>
      <c r="EI270" s="9"/>
      <c r="EJ270" s="9"/>
      <c r="EK270" s="9"/>
      <c r="EL270" s="9"/>
      <c r="EM270" s="9"/>
      <c r="EN270" s="9"/>
      <c r="EO270" s="9"/>
      <c r="EP270" s="9"/>
      <c r="EQ270" s="9"/>
      <c r="ER270" s="9"/>
      <c r="ES270" s="9"/>
      <c r="ET270" s="9"/>
      <c r="EU270" s="9"/>
      <c r="EV270" s="9"/>
      <c r="EW270" s="9"/>
      <c r="EX270" s="9"/>
      <c r="EY270" s="9"/>
      <c r="EZ270" s="9"/>
      <c r="FA270" s="9"/>
      <c r="FB270" s="9"/>
      <c r="FC270" s="9"/>
      <c r="FD270" s="9"/>
      <c r="FE270" s="9"/>
      <c r="FF270" s="9"/>
      <c r="FG270" s="9"/>
      <c r="FH270" s="9"/>
      <c r="FI270" s="9"/>
      <c r="FJ270" s="9"/>
      <c r="FK270" s="9"/>
      <c r="FL270" s="9"/>
      <c r="FM270" s="9"/>
      <c r="FN270" s="9"/>
      <c r="FO270" s="9"/>
      <c r="FP270" s="9"/>
      <c r="FQ270" s="9"/>
      <c r="FR270" s="9"/>
      <c r="FS270" s="9"/>
      <c r="FT270" s="9"/>
      <c r="FU270" s="9"/>
      <c r="FV270" s="9"/>
      <c r="FW270" s="9"/>
      <c r="FX270" s="9"/>
      <c r="FY270" s="9"/>
      <c r="FZ270" s="9"/>
      <c r="GA270" s="9"/>
      <c r="GB270" s="9"/>
      <c r="GC270" s="9"/>
      <c r="GD270" s="9"/>
      <c r="GE270" s="9"/>
      <c r="GF270" s="9"/>
      <c r="GG270" s="9"/>
      <c r="GH270" s="9"/>
      <c r="GI270" s="9"/>
      <c r="GJ270" s="9"/>
      <c r="GK270" s="9"/>
      <c r="GL270" s="9"/>
      <c r="GM270" s="9"/>
      <c r="GN270" s="9"/>
      <c r="GO270" s="9"/>
      <c r="GP270" s="9"/>
      <c r="GQ270" s="9"/>
      <c r="GR270" s="9"/>
      <c r="GS270" s="9"/>
      <c r="GT270" s="9"/>
      <c r="GU270" s="9"/>
      <c r="GV270" s="9"/>
      <c r="GW270" s="9"/>
      <c r="GX270" s="9"/>
      <c r="GY270" s="9"/>
      <c r="GZ270" s="9"/>
      <c r="HA270" s="9"/>
      <c r="HB270" s="9"/>
      <c r="HC270" s="9"/>
      <c r="HD270" s="9"/>
      <c r="HE270" s="9"/>
      <c r="HF270" s="9"/>
      <c r="HG270" s="9"/>
      <c r="HH270" s="9"/>
      <c r="HI270" s="9"/>
      <c r="HJ270" s="9"/>
      <c r="HK270" s="9"/>
      <c r="HL270" s="9"/>
      <c r="HM270" s="9"/>
      <c r="HN270" s="9"/>
      <c r="HO270" s="9"/>
      <c r="HP270" s="9"/>
      <c r="HQ270" s="9"/>
      <c r="HR270" s="9"/>
      <c r="HS270" s="9"/>
      <c r="HT270" s="9"/>
      <c r="HU270" s="9"/>
      <c r="HV270" s="9"/>
      <c r="HW270" s="9"/>
      <c r="HX270" s="9"/>
      <c r="HY270" s="9"/>
      <c r="HZ270" s="9"/>
      <c r="IA270" s="9"/>
      <c r="IB270" s="9"/>
      <c r="IC270" s="9"/>
      <c r="ID270" s="9"/>
      <c r="IE270" s="9"/>
      <c r="IF270" s="9"/>
      <c r="IG270" s="9"/>
      <c r="IH270" s="9"/>
      <c r="II270" s="9"/>
      <c r="IJ270" s="9"/>
      <c r="IK270" s="9"/>
      <c r="IL270" s="9"/>
      <c r="IM270" s="9"/>
      <c r="IN270" s="9"/>
      <c r="IO270" s="9"/>
      <c r="IP270" s="9"/>
      <c r="IQ270" s="9"/>
      <c r="IR270" s="9"/>
      <c r="IS270" s="9"/>
      <c r="IT270" s="9"/>
      <c r="IU270" s="9"/>
      <c r="IV270" s="9"/>
      <c r="IW270" s="9"/>
      <c r="IX270" s="9"/>
      <c r="IY270" s="9"/>
      <c r="IZ270" s="9"/>
      <c r="JA270" s="9"/>
      <c r="JB270" s="9"/>
      <c r="JC270" s="9"/>
      <c r="JD270" s="9"/>
      <c r="JE270" s="9"/>
      <c r="JF270" s="9"/>
      <c r="JG270" s="9"/>
      <c r="JH270" s="9"/>
      <c r="JI270" s="9"/>
      <c r="JJ270" s="9"/>
      <c r="JK270" s="9"/>
      <c r="JL270" s="9"/>
      <c r="JM270" s="9"/>
      <c r="JN270" s="9"/>
      <c r="JO270" s="9"/>
      <c r="JP270" s="9"/>
      <c r="JQ270" s="9"/>
      <c r="JR270" s="9"/>
      <c r="JS270" s="9"/>
      <c r="JT270" s="9"/>
      <c r="JU270" s="9"/>
      <c r="JV270" s="9"/>
      <c r="JW270" s="9"/>
      <c r="JX270" s="9"/>
      <c r="JY270" s="9"/>
      <c r="JZ270" s="9"/>
      <c r="KA270" s="9"/>
      <c r="KB270" s="9"/>
      <c r="KC270" s="9"/>
      <c r="KD270" s="9"/>
      <c r="KE270" s="9"/>
      <c r="KF270" s="9"/>
      <c r="KG270" s="9"/>
      <c r="KH270" s="9"/>
      <c r="KI270" s="9"/>
      <c r="KJ270" s="9"/>
      <c r="KK270" s="9"/>
      <c r="KL270" s="9"/>
      <c r="KM270" s="9"/>
      <c r="KN270" s="9"/>
      <c r="KO270" s="9"/>
      <c r="KP270" s="9"/>
      <c r="KQ270" s="9"/>
      <c r="KR270" s="9"/>
      <c r="KS270" s="9"/>
      <c r="KT270" s="9"/>
      <c r="KU270" s="9"/>
      <c r="KV270" s="9"/>
      <c r="KW270" s="9"/>
      <c r="KX270" s="9"/>
      <c r="KY270" s="9"/>
      <c r="KZ270" s="9"/>
      <c r="LA270" s="9"/>
      <c r="LB270" s="9"/>
      <c r="LC270" s="9"/>
      <c r="LD270" s="9"/>
      <c r="LE270" s="9"/>
      <c r="LF270" s="9"/>
      <c r="LG270" s="9"/>
      <c r="LH270" s="9"/>
      <c r="LI270" s="9"/>
      <c r="LJ270" s="9"/>
      <c r="LK270" s="9"/>
      <c r="LL270" s="9"/>
      <c r="LM270" s="9"/>
      <c r="LN270" s="9"/>
      <c r="LO270" s="9"/>
      <c r="LP270" s="9"/>
      <c r="LQ270" s="9"/>
      <c r="LR270" s="9"/>
      <c r="LS270" s="9"/>
      <c r="LT270" s="9"/>
      <c r="LU270" s="9"/>
      <c r="LV270" s="9"/>
      <c r="LW270" s="9"/>
      <c r="LX270" s="9"/>
      <c r="LY270" s="9"/>
      <c r="LZ270" s="9"/>
      <c r="MA270" s="9"/>
      <c r="MB270" s="9"/>
      <c r="MC270" s="9"/>
      <c r="MD270" s="9"/>
      <c r="ME270" s="9"/>
      <c r="MF270" s="9"/>
      <c r="MG270" s="9"/>
      <c r="MH270" s="9"/>
      <c r="MI270" s="9"/>
      <c r="MJ270" s="9"/>
      <c r="MK270" s="9"/>
      <c r="ML270" s="9"/>
      <c r="MM270" s="9"/>
      <c r="MN270" s="9"/>
      <c r="MO270" s="9"/>
      <c r="MP270" s="9"/>
      <c r="MQ270" s="9"/>
      <c r="MR270" s="9"/>
      <c r="MS270" s="9"/>
      <c r="MT270" s="9"/>
      <c r="MU270" s="9"/>
      <c r="MV270" s="9"/>
      <c r="MW270" s="9"/>
      <c r="MX270" s="9"/>
      <c r="MY270" s="9"/>
      <c r="MZ270" s="9"/>
      <c r="NA270" s="9"/>
      <c r="NB270" s="9"/>
      <c r="NC270" s="9"/>
      <c r="ND270" s="9"/>
      <c r="NE270" s="9"/>
      <c r="NF270" s="9"/>
      <c r="NG270" s="9"/>
      <c r="NH270" s="9"/>
      <c r="NI270" s="9"/>
      <c r="NJ270" s="9"/>
      <c r="NK270" s="9"/>
      <c r="NL270" s="9"/>
      <c r="NM270" s="9"/>
      <c r="NN270" s="9"/>
      <c r="NO270" s="9"/>
      <c r="NP270" s="9"/>
      <c r="NQ270" s="9"/>
      <c r="NR270" s="9"/>
      <c r="NS270" s="9"/>
      <c r="NT270" s="9"/>
      <c r="NU270" s="9"/>
      <c r="NV270" s="9"/>
      <c r="NW270" s="9"/>
      <c r="NX270" s="9"/>
      <c r="NY270" s="9"/>
      <c r="NZ270" s="9"/>
      <c r="OA270" s="9"/>
      <c r="OB270" s="9"/>
      <c r="OC270" s="9"/>
      <c r="OD270" s="9"/>
      <c r="OE270" s="9"/>
      <c r="OF270" s="9"/>
      <c r="OG270" s="9"/>
      <c r="OH270" s="9"/>
      <c r="OI270" s="9"/>
      <c r="OJ270" s="9"/>
      <c r="OK270" s="9"/>
      <c r="OL270" s="9"/>
      <c r="OM270" s="9"/>
      <c r="ON270" s="9"/>
      <c r="OO270" s="9"/>
      <c r="OP270" s="9"/>
      <c r="OQ270" s="9"/>
      <c r="OR270" s="9"/>
      <c r="OS270" s="9"/>
      <c r="OT270" s="9"/>
      <c r="OU270" s="9"/>
      <c r="OV270" s="9"/>
      <c r="OW270" s="9"/>
      <c r="OX270" s="9"/>
      <c r="OY270" s="9"/>
      <c r="OZ270" s="9"/>
      <c r="PA270" s="9"/>
      <c r="PB270" s="9"/>
      <c r="PC270" s="9"/>
      <c r="PD270" s="9"/>
      <c r="PE270" s="9"/>
      <c r="PF270" s="9"/>
      <c r="PG270" s="9"/>
      <c r="PH270" s="9"/>
      <c r="PI270" s="9"/>
      <c r="PJ270" s="9"/>
      <c r="PK270" s="9"/>
      <c r="PL270" s="9"/>
      <c r="PM270" s="9"/>
      <c r="PN270" s="9"/>
      <c r="PO270" s="9"/>
      <c r="PP270" s="9"/>
      <c r="PQ270" s="9"/>
      <c r="PR270" s="9"/>
      <c r="PS270" s="9"/>
      <c r="PT270" s="9"/>
      <c r="PU270" s="9"/>
      <c r="PV270" s="9"/>
      <c r="PW270" s="9"/>
      <c r="PX270" s="9"/>
      <c r="PY270" s="9"/>
      <c r="PZ270" s="9"/>
      <c r="QA270" s="9"/>
      <c r="QB270" s="9"/>
      <c r="QC270" s="9"/>
      <c r="QD270" s="9"/>
      <c r="QE270" s="9"/>
      <c r="QF270" s="9"/>
      <c r="QG270" s="9"/>
      <c r="QH270" s="9"/>
      <c r="QI270" s="9"/>
      <c r="QJ270" s="9"/>
      <c r="QK270" s="9"/>
      <c r="QL270" s="9"/>
      <c r="QM270" s="9"/>
      <c r="QN270" s="9"/>
      <c r="QO270" s="9"/>
      <c r="QP270" s="9"/>
      <c r="QQ270" s="9"/>
      <c r="QR270" s="9"/>
      <c r="QS270" s="9"/>
      <c r="QT270" s="9"/>
      <c r="QU270" s="9"/>
      <c r="QV270" s="9"/>
      <c r="QW270" s="9"/>
      <c r="QX270" s="9"/>
      <c r="QY270" s="9"/>
      <c r="QZ270" s="9"/>
      <c r="RA270" s="9"/>
      <c r="RB270" s="9"/>
      <c r="RC270" s="9"/>
      <c r="RD270" s="9"/>
      <c r="RE270" s="9"/>
      <c r="RF270" s="9"/>
      <c r="RG270" s="9"/>
      <c r="RH270" s="9"/>
      <c r="RI270" s="9"/>
      <c r="RJ270" s="9"/>
      <c r="RK270" s="9"/>
      <c r="RL270" s="9"/>
      <c r="RM270" s="9"/>
      <c r="RN270" s="9"/>
      <c r="RO270" s="9"/>
      <c r="RP270" s="9"/>
      <c r="RQ270" s="9"/>
      <c r="RR270" s="9"/>
      <c r="RS270" s="9"/>
      <c r="RT270" s="9"/>
      <c r="RU270" s="9"/>
      <c r="RV270" s="9"/>
      <c r="RW270" s="9"/>
      <c r="RX270" s="9"/>
      <c r="RY270" s="9"/>
      <c r="RZ270" s="9"/>
      <c r="SA270" s="9"/>
      <c r="SB270" s="9"/>
      <c r="SC270" s="9"/>
      <c r="SD270" s="9"/>
      <c r="SE270" s="9"/>
      <c r="SF270" s="9"/>
      <c r="SG270" s="9"/>
      <c r="SH270" s="9"/>
      <c r="SI270" s="9"/>
      <c r="SJ270" s="9"/>
      <c r="SK270" s="8"/>
      <c r="SL270" s="8"/>
      <c r="SM270" s="8"/>
      <c r="SN270" s="8"/>
      <c r="SO270" s="8"/>
      <c r="SP270" s="8"/>
      <c r="SQ270" s="8"/>
      <c r="SR270" s="8"/>
      <c r="SS270" s="8"/>
      <c r="ST270" s="8"/>
      <c r="SU270" s="8"/>
      <c r="SV270" s="8"/>
      <c r="SW270" s="8"/>
      <c r="SX270" s="8"/>
      <c r="SY270" s="8"/>
      <c r="SZ270" s="8"/>
      <c r="TA270" s="8"/>
      <c r="TB270" s="8"/>
      <c r="TC270" s="8"/>
      <c r="TD270" s="8"/>
      <c r="TE270" s="8"/>
      <c r="TF270" s="8"/>
      <c r="TG270" s="8"/>
      <c r="TH270" s="8"/>
      <c r="TI270" s="8"/>
      <c r="TJ270" s="8"/>
      <c r="TK270" s="8"/>
      <c r="TL270" s="8"/>
      <c r="TM270" s="8"/>
      <c r="TN270" s="8"/>
      <c r="TO270" s="8"/>
    </row>
    <row r="271" spans="1:535" x14ac:dyDescent="0.2">
      <c r="A271" s="7"/>
      <c r="B271" s="7"/>
      <c r="C271" s="9"/>
      <c r="D271" s="8"/>
      <c r="E271" s="8"/>
      <c r="IY271" s="8"/>
      <c r="IZ271" s="8"/>
      <c r="JA271" s="8"/>
      <c r="JB271" s="8"/>
      <c r="JC271" s="8"/>
      <c r="JD271" s="8"/>
      <c r="JE271" s="8"/>
      <c r="JF271" s="8"/>
      <c r="JG271" s="8"/>
      <c r="JH271" s="8"/>
      <c r="JI271" s="8"/>
      <c r="JJ271" s="8"/>
      <c r="JK271" s="8"/>
      <c r="JL271" s="8"/>
      <c r="JM271" s="8"/>
      <c r="JN271" s="8"/>
      <c r="JO271" s="8"/>
      <c r="JP271" s="8"/>
      <c r="JQ271" s="8"/>
      <c r="JR271" s="8"/>
      <c r="JS271" s="8"/>
      <c r="JT271" s="8"/>
      <c r="JU271" s="8"/>
      <c r="JV271" s="8"/>
      <c r="JW271" s="8"/>
      <c r="JX271" s="8"/>
      <c r="JY271" s="8"/>
      <c r="JZ271" s="8"/>
      <c r="KA271" s="8"/>
      <c r="KB271" s="8"/>
      <c r="KC271" s="8"/>
      <c r="KD271" s="8"/>
      <c r="KE271" s="8"/>
      <c r="KF271" s="8"/>
      <c r="KG271" s="8"/>
      <c r="KH271" s="8"/>
      <c r="KI271" s="8"/>
      <c r="KJ271" s="8"/>
      <c r="KK271" s="8"/>
      <c r="KL271" s="8"/>
      <c r="KM271" s="8"/>
      <c r="KN271" s="8"/>
      <c r="KO271" s="8"/>
      <c r="KP271" s="8"/>
      <c r="KQ271" s="8"/>
      <c r="KR271" s="8"/>
      <c r="KS271" s="8"/>
      <c r="KT271" s="8"/>
      <c r="KU271" s="8"/>
      <c r="KV271" s="8"/>
      <c r="KW271" s="8"/>
      <c r="KX271" s="8"/>
      <c r="KY271" s="8"/>
      <c r="KZ271" s="8"/>
      <c r="LA271" s="8"/>
      <c r="LB271" s="8"/>
      <c r="LC271" s="8"/>
      <c r="LD271" s="8"/>
      <c r="LE271" s="8"/>
      <c r="LF271" s="8"/>
      <c r="LG271" s="8"/>
      <c r="LH271" s="8"/>
      <c r="LI271" s="8"/>
      <c r="LJ271" s="8"/>
      <c r="LK271" s="8"/>
      <c r="LL271" s="8"/>
      <c r="LM271" s="8"/>
      <c r="LN271" s="8"/>
      <c r="LO271" s="8"/>
      <c r="LP271" s="8"/>
      <c r="LQ271" s="8"/>
      <c r="LR271" s="8"/>
      <c r="LS271" s="8"/>
      <c r="LT271" s="8"/>
      <c r="LU271" s="8"/>
      <c r="LV271" s="8"/>
      <c r="LW271" s="8"/>
      <c r="LX271" s="8"/>
      <c r="LY271" s="8"/>
      <c r="LZ271" s="8"/>
      <c r="MA271" s="8"/>
      <c r="MB271" s="8"/>
      <c r="MC271" s="8"/>
      <c r="MD271" s="8"/>
      <c r="ME271" s="8"/>
      <c r="MF271" s="8"/>
      <c r="MG271" s="8"/>
      <c r="MH271" s="8"/>
      <c r="MI271" s="8"/>
      <c r="MJ271" s="8"/>
      <c r="MK271" s="8"/>
      <c r="ML271" s="8"/>
      <c r="MM271" s="8"/>
      <c r="MN271" s="8"/>
      <c r="MO271" s="8"/>
      <c r="MP271" s="8"/>
      <c r="MQ271" s="8"/>
      <c r="MR271" s="8"/>
      <c r="MS271" s="8"/>
      <c r="MT271" s="8"/>
      <c r="MU271" s="8"/>
      <c r="MV271" s="8"/>
      <c r="MW271" s="8"/>
      <c r="MX271" s="8"/>
      <c r="MY271" s="8"/>
      <c r="MZ271" s="8"/>
      <c r="NA271" s="8"/>
      <c r="NB271" s="8"/>
      <c r="NC271" s="8"/>
      <c r="ND271" s="8"/>
      <c r="NE271" s="8"/>
      <c r="NF271" s="8"/>
      <c r="NG271" s="8"/>
      <c r="NH271" s="8"/>
      <c r="NI271" s="8"/>
      <c r="NJ271" s="8"/>
      <c r="NK271" s="8"/>
      <c r="NL271" s="8"/>
      <c r="NM271" s="8"/>
      <c r="NN271" s="8"/>
      <c r="NO271" s="8"/>
      <c r="NP271" s="8"/>
      <c r="NQ271" s="8"/>
      <c r="NR271" s="8"/>
      <c r="NS271" s="8"/>
      <c r="NT271" s="8"/>
      <c r="NU271" s="8"/>
      <c r="NV271" s="8"/>
      <c r="NW271" s="8"/>
      <c r="NX271" s="8"/>
      <c r="NY271" s="8"/>
      <c r="NZ271" s="8"/>
      <c r="OA271" s="8"/>
      <c r="OB271" s="8"/>
      <c r="OC271" s="8"/>
      <c r="OD271" s="8"/>
      <c r="OE271" s="8"/>
      <c r="OF271" s="8"/>
      <c r="OG271" s="8"/>
      <c r="OH271" s="8"/>
      <c r="OI271" s="8"/>
      <c r="OJ271" s="8"/>
      <c r="OK271" s="8"/>
      <c r="OL271" s="8"/>
      <c r="OM271" s="8"/>
      <c r="ON271" s="8"/>
      <c r="OO271" s="8"/>
      <c r="OP271" s="8"/>
      <c r="OQ271" s="8"/>
      <c r="OR271" s="8"/>
      <c r="OS271" s="8"/>
      <c r="OT271" s="8"/>
      <c r="OU271" s="8"/>
      <c r="OV271" s="8"/>
      <c r="OW271" s="8"/>
      <c r="OX271" s="8"/>
      <c r="OY271" s="8"/>
      <c r="OZ271" s="8"/>
      <c r="PA271" s="8"/>
      <c r="PB271" s="8"/>
      <c r="PC271" s="8"/>
      <c r="PD271" s="8"/>
      <c r="PE271" s="8"/>
      <c r="PF271" s="8"/>
      <c r="PG271" s="8"/>
      <c r="PH271" s="8"/>
      <c r="PI271" s="8"/>
      <c r="PJ271" s="8"/>
      <c r="PK271" s="8"/>
      <c r="PL271" s="8"/>
      <c r="PM271" s="8"/>
      <c r="PN271" s="8"/>
      <c r="PO271" s="8"/>
      <c r="PP271" s="8"/>
      <c r="PQ271" s="8"/>
      <c r="PR271" s="8"/>
      <c r="PS271" s="8"/>
      <c r="PT271" s="8"/>
      <c r="PU271" s="8"/>
      <c r="PV271" s="8"/>
      <c r="PW271" s="8"/>
      <c r="PX271" s="8"/>
      <c r="PY271" s="8"/>
      <c r="PZ271" s="8"/>
      <c r="QA271" s="8"/>
      <c r="QB271" s="8"/>
      <c r="QC271" s="8"/>
      <c r="QD271" s="8"/>
      <c r="QE271" s="8"/>
      <c r="QF271" s="8"/>
      <c r="QG271" s="8"/>
      <c r="QH271" s="8"/>
      <c r="QI271" s="8"/>
      <c r="QJ271" s="8"/>
      <c r="QK271" s="8"/>
      <c r="QL271" s="8"/>
      <c r="QM271" s="8"/>
      <c r="QN271" s="8"/>
      <c r="QO271" s="8"/>
      <c r="QP271" s="8"/>
      <c r="QQ271" s="8"/>
      <c r="QR271" s="8"/>
      <c r="QS271" s="8"/>
      <c r="QT271" s="8"/>
      <c r="QU271" s="8"/>
      <c r="QV271" s="8"/>
      <c r="QW271" s="8"/>
      <c r="QX271" s="8"/>
      <c r="QY271" s="8"/>
      <c r="QZ271" s="8"/>
      <c r="RA271" s="8"/>
      <c r="RB271" s="8"/>
      <c r="RC271" s="8"/>
      <c r="RD271" s="8"/>
      <c r="RE271" s="8"/>
      <c r="RF271" s="8"/>
      <c r="RG271" s="8"/>
      <c r="RH271" s="8"/>
      <c r="RI271" s="8"/>
      <c r="RJ271" s="8"/>
      <c r="RK271" s="8"/>
      <c r="RL271" s="8"/>
      <c r="RM271" s="8"/>
      <c r="RN271" s="8"/>
      <c r="RO271" s="8"/>
      <c r="RP271" s="8"/>
      <c r="RQ271" s="8"/>
      <c r="RR271" s="8"/>
      <c r="RS271" s="8"/>
      <c r="RT271" s="8"/>
      <c r="RU271" s="8"/>
      <c r="RV271" s="8"/>
      <c r="RW271" s="8"/>
      <c r="RX271" s="8"/>
      <c r="RY271" s="8"/>
      <c r="RZ271" s="8"/>
      <c r="SA271" s="8"/>
      <c r="SB271" s="8"/>
      <c r="SC271" s="8"/>
      <c r="SD271" s="8"/>
      <c r="SE271" s="8"/>
      <c r="SF271" s="8"/>
      <c r="SG271" s="8"/>
      <c r="SH271" s="8"/>
      <c r="SI271" s="8"/>
      <c r="SJ271" s="8"/>
      <c r="SK271" s="8"/>
      <c r="SL271" s="8"/>
      <c r="SM271" s="8"/>
      <c r="SN271" s="8"/>
      <c r="SO271" s="8"/>
      <c r="SP271" s="8"/>
      <c r="SQ271" s="8"/>
      <c r="SR271" s="8"/>
      <c r="SS271" s="8"/>
      <c r="ST271" s="8"/>
      <c r="SU271" s="8"/>
      <c r="SV271" s="8"/>
      <c r="SW271" s="8"/>
      <c r="SX271" s="8"/>
      <c r="SY271" s="8"/>
      <c r="SZ271" s="8"/>
      <c r="TA271" s="8"/>
      <c r="TB271" s="8"/>
      <c r="TC271" s="8"/>
      <c r="TD271" s="8"/>
      <c r="TE271" s="8"/>
      <c r="TF271" s="8"/>
      <c r="TG271" s="8"/>
      <c r="TH271" s="8"/>
      <c r="TI271" s="8"/>
      <c r="TJ271" s="8"/>
      <c r="TK271" s="8"/>
      <c r="TL271" s="8"/>
      <c r="TM271" s="8"/>
      <c r="TN271" s="8"/>
      <c r="TO271" s="8"/>
    </row>
    <row r="272" spans="1:535" x14ac:dyDescent="0.2">
      <c r="A272" s="7"/>
      <c r="B272" s="7"/>
      <c r="C272" s="9"/>
      <c r="D272" s="8"/>
      <c r="E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  <c r="EN272" s="8"/>
      <c r="EO272" s="8"/>
      <c r="EP272" s="8"/>
      <c r="EQ272" s="8"/>
      <c r="ER272" s="8"/>
      <c r="ES272" s="8"/>
      <c r="ET272" s="8"/>
      <c r="EU272" s="8"/>
      <c r="EV272" s="8"/>
      <c r="EW272" s="8"/>
      <c r="EX272" s="8"/>
      <c r="EY272" s="8"/>
      <c r="EZ272" s="8"/>
      <c r="FA272" s="8"/>
      <c r="FB272" s="8"/>
      <c r="FC272" s="8"/>
      <c r="FD272" s="8"/>
      <c r="FE272" s="8"/>
      <c r="FF272" s="8"/>
      <c r="FG272" s="8"/>
      <c r="FH272" s="8"/>
      <c r="FI272" s="8"/>
      <c r="FJ272" s="8"/>
      <c r="FK272" s="8"/>
      <c r="FL272" s="8"/>
      <c r="FM272" s="8"/>
      <c r="FN272" s="8"/>
      <c r="FO272" s="8"/>
      <c r="FP272" s="8"/>
      <c r="FQ272" s="8"/>
      <c r="FR272" s="8"/>
      <c r="FS272" s="8"/>
      <c r="FT272" s="8"/>
      <c r="FU272" s="8"/>
      <c r="FV272" s="8"/>
      <c r="FW272" s="8"/>
      <c r="FX272" s="8"/>
      <c r="FY272" s="8"/>
      <c r="FZ272" s="8"/>
      <c r="GA272" s="8"/>
      <c r="GB272" s="8"/>
      <c r="GC272" s="8"/>
      <c r="GD272" s="8"/>
      <c r="GE272" s="8"/>
      <c r="GF272" s="8"/>
      <c r="GG272" s="8"/>
      <c r="GH272" s="8"/>
      <c r="GI272" s="8"/>
      <c r="GJ272" s="8"/>
      <c r="GK272" s="8"/>
      <c r="GL272" s="8"/>
      <c r="GM272" s="8"/>
      <c r="GN272" s="8"/>
      <c r="GO272" s="8"/>
      <c r="GP272" s="8"/>
      <c r="GQ272" s="8"/>
      <c r="GR272" s="8"/>
      <c r="GS272" s="8"/>
      <c r="GT272" s="8"/>
      <c r="GU272" s="8"/>
      <c r="GV272" s="8"/>
      <c r="GW272" s="8"/>
      <c r="GX272" s="8"/>
      <c r="GY272" s="8"/>
      <c r="GZ272" s="8"/>
      <c r="HA272" s="8"/>
      <c r="HB272" s="8"/>
      <c r="HC272" s="8"/>
      <c r="HD272" s="8"/>
      <c r="HE272" s="8"/>
      <c r="HF272" s="8"/>
      <c r="HG272" s="8"/>
      <c r="HH272" s="8"/>
      <c r="HI272" s="8"/>
      <c r="HJ272" s="8"/>
      <c r="HK272" s="8"/>
      <c r="HL272" s="8"/>
      <c r="HM272" s="8"/>
      <c r="HN272" s="8"/>
      <c r="HO272" s="8"/>
      <c r="HP272" s="8"/>
      <c r="HQ272" s="8"/>
      <c r="HR272" s="8"/>
      <c r="HS272" s="8"/>
      <c r="HT272" s="8"/>
      <c r="HU272" s="8"/>
      <c r="HV272" s="8"/>
      <c r="HW272" s="8"/>
      <c r="HX272" s="8"/>
      <c r="HY272" s="8"/>
      <c r="HZ272" s="8"/>
      <c r="IA272" s="8"/>
      <c r="IB272" s="8"/>
      <c r="IC272" s="8"/>
      <c r="ID272" s="8"/>
      <c r="IE272" s="8"/>
      <c r="IF272" s="8"/>
      <c r="IG272" s="8"/>
      <c r="IH272" s="8"/>
      <c r="II272" s="8"/>
      <c r="IJ272" s="8"/>
      <c r="IK272" s="8"/>
      <c r="IL272" s="8"/>
      <c r="IM272" s="8"/>
      <c r="IN272" s="8"/>
      <c r="IO272" s="8"/>
      <c r="IP272" s="8"/>
      <c r="IQ272" s="8"/>
      <c r="IR272" s="8"/>
      <c r="IS272" s="8"/>
      <c r="IT272" s="8"/>
      <c r="IU272" s="8"/>
      <c r="IV272" s="8"/>
      <c r="IW272" s="8"/>
      <c r="IX272" s="8"/>
      <c r="IY272" s="8"/>
      <c r="IZ272" s="8"/>
      <c r="JA272" s="8"/>
      <c r="JB272" s="8"/>
      <c r="JC272" s="8"/>
      <c r="JD272" s="8"/>
      <c r="JE272" s="8"/>
      <c r="JF272" s="8"/>
      <c r="JG272" s="8"/>
      <c r="JH272" s="8"/>
      <c r="JI272" s="8"/>
      <c r="JJ272" s="8"/>
      <c r="JK272" s="8"/>
      <c r="JL272" s="8"/>
      <c r="JM272" s="8"/>
      <c r="JN272" s="8"/>
      <c r="JO272" s="8"/>
      <c r="JP272" s="8"/>
      <c r="JQ272" s="8"/>
      <c r="JR272" s="8"/>
      <c r="JS272" s="8"/>
      <c r="JT272" s="8"/>
      <c r="JU272" s="8"/>
      <c r="JV272" s="8"/>
      <c r="JW272" s="8"/>
      <c r="JX272" s="8"/>
      <c r="JY272" s="8"/>
      <c r="JZ272" s="8"/>
      <c r="KA272" s="8"/>
      <c r="KB272" s="8"/>
      <c r="KC272" s="8"/>
      <c r="KD272" s="8"/>
      <c r="KE272" s="8"/>
      <c r="KF272" s="8"/>
      <c r="KG272" s="8"/>
      <c r="KH272" s="8"/>
      <c r="KI272" s="8"/>
      <c r="KJ272" s="8"/>
      <c r="KK272" s="8"/>
      <c r="KL272" s="8"/>
      <c r="KM272" s="8"/>
      <c r="KN272" s="8"/>
      <c r="KO272" s="8"/>
      <c r="KP272" s="8"/>
      <c r="KQ272" s="8"/>
      <c r="KR272" s="8"/>
      <c r="KS272" s="8"/>
      <c r="KT272" s="8"/>
      <c r="KU272" s="8"/>
      <c r="KV272" s="8"/>
      <c r="KW272" s="8"/>
      <c r="KX272" s="8"/>
      <c r="KY272" s="8"/>
      <c r="KZ272" s="8"/>
      <c r="LA272" s="8"/>
      <c r="LB272" s="8"/>
      <c r="LC272" s="8"/>
      <c r="LD272" s="8"/>
      <c r="LE272" s="8"/>
      <c r="LF272" s="8"/>
      <c r="LG272" s="8"/>
      <c r="LH272" s="8"/>
      <c r="LI272" s="8"/>
      <c r="LJ272" s="8"/>
      <c r="LK272" s="8"/>
      <c r="LL272" s="8"/>
      <c r="LM272" s="8"/>
      <c r="LN272" s="8"/>
      <c r="LO272" s="8"/>
      <c r="LP272" s="8"/>
      <c r="LQ272" s="8"/>
      <c r="LR272" s="8"/>
      <c r="LS272" s="8"/>
      <c r="LT272" s="8"/>
      <c r="LU272" s="8"/>
      <c r="LV272" s="8"/>
      <c r="LW272" s="8"/>
      <c r="LX272" s="8"/>
      <c r="LY272" s="8"/>
      <c r="LZ272" s="8"/>
      <c r="MA272" s="8"/>
      <c r="MB272" s="8"/>
      <c r="MC272" s="8"/>
      <c r="MD272" s="8"/>
      <c r="ME272" s="8"/>
      <c r="MF272" s="8"/>
      <c r="MG272" s="8"/>
      <c r="MH272" s="8"/>
      <c r="MI272" s="8"/>
      <c r="MJ272" s="8"/>
      <c r="MK272" s="8"/>
      <c r="ML272" s="8"/>
      <c r="MM272" s="8"/>
      <c r="MN272" s="8"/>
      <c r="MO272" s="8"/>
      <c r="MP272" s="8"/>
      <c r="MQ272" s="8"/>
      <c r="MR272" s="8"/>
      <c r="MS272" s="8"/>
      <c r="MT272" s="8"/>
      <c r="MU272" s="8"/>
      <c r="MV272" s="8"/>
      <c r="MW272" s="8"/>
      <c r="MX272" s="8"/>
      <c r="MY272" s="8"/>
      <c r="MZ272" s="8"/>
      <c r="NA272" s="8"/>
      <c r="NB272" s="8"/>
      <c r="NC272" s="8"/>
      <c r="ND272" s="8"/>
      <c r="NE272" s="8"/>
      <c r="NF272" s="8"/>
      <c r="NG272" s="8"/>
      <c r="NH272" s="8"/>
      <c r="NI272" s="8"/>
      <c r="NJ272" s="8"/>
      <c r="NK272" s="8"/>
      <c r="NL272" s="8"/>
      <c r="NM272" s="8"/>
      <c r="NN272" s="8"/>
      <c r="NO272" s="8"/>
      <c r="NP272" s="8"/>
      <c r="NQ272" s="8"/>
      <c r="NR272" s="8"/>
      <c r="NS272" s="8"/>
      <c r="NT272" s="8"/>
      <c r="NU272" s="8"/>
      <c r="NV272" s="8"/>
      <c r="NW272" s="8"/>
      <c r="NX272" s="8"/>
      <c r="NY272" s="8"/>
      <c r="NZ272" s="8"/>
      <c r="OA272" s="8"/>
      <c r="OB272" s="8"/>
      <c r="OC272" s="8"/>
      <c r="OD272" s="8"/>
      <c r="OE272" s="8"/>
      <c r="OF272" s="8"/>
      <c r="OG272" s="8"/>
      <c r="OH272" s="8"/>
      <c r="OI272" s="8"/>
      <c r="OJ272" s="8"/>
      <c r="OK272" s="8"/>
      <c r="OL272" s="8"/>
      <c r="OM272" s="8"/>
      <c r="ON272" s="8"/>
      <c r="OO272" s="8"/>
      <c r="OP272" s="8"/>
      <c r="OQ272" s="8"/>
      <c r="OR272" s="8"/>
      <c r="OS272" s="8"/>
      <c r="OT272" s="8"/>
      <c r="OU272" s="8"/>
      <c r="OV272" s="8"/>
      <c r="OW272" s="8"/>
      <c r="OX272" s="8"/>
      <c r="OY272" s="8"/>
      <c r="OZ272" s="8"/>
      <c r="PA272" s="8"/>
      <c r="PB272" s="8"/>
      <c r="PC272" s="8"/>
      <c r="PD272" s="8"/>
      <c r="PE272" s="8"/>
      <c r="PF272" s="8"/>
      <c r="PG272" s="8"/>
      <c r="PH272" s="8"/>
      <c r="PI272" s="8"/>
      <c r="PJ272" s="8"/>
      <c r="PK272" s="8"/>
      <c r="PL272" s="8"/>
      <c r="PM272" s="8"/>
      <c r="PN272" s="8"/>
      <c r="PO272" s="8"/>
      <c r="PP272" s="8"/>
      <c r="PQ272" s="8"/>
      <c r="PR272" s="8"/>
      <c r="PS272" s="8"/>
      <c r="PT272" s="8"/>
      <c r="PU272" s="8"/>
      <c r="PV272" s="8"/>
      <c r="PW272" s="8"/>
      <c r="PX272" s="8"/>
      <c r="PY272" s="8"/>
      <c r="PZ272" s="8"/>
      <c r="QA272" s="8"/>
      <c r="QB272" s="8"/>
      <c r="QC272" s="8"/>
      <c r="QD272" s="8"/>
      <c r="QE272" s="8"/>
      <c r="QF272" s="8"/>
      <c r="QG272" s="8"/>
      <c r="QH272" s="8"/>
      <c r="QI272" s="8"/>
      <c r="QJ272" s="8"/>
      <c r="QK272" s="8"/>
      <c r="QL272" s="8"/>
      <c r="QM272" s="8"/>
      <c r="QN272" s="8"/>
      <c r="QO272" s="8"/>
      <c r="QP272" s="8"/>
      <c r="QQ272" s="8"/>
      <c r="QR272" s="8"/>
      <c r="QS272" s="8"/>
      <c r="QT272" s="8"/>
      <c r="QU272" s="8"/>
      <c r="QV272" s="8"/>
      <c r="QW272" s="8"/>
      <c r="QX272" s="8"/>
      <c r="QY272" s="8"/>
      <c r="QZ272" s="8"/>
      <c r="RA272" s="8"/>
      <c r="RB272" s="8"/>
      <c r="RC272" s="8"/>
      <c r="RD272" s="8"/>
      <c r="RE272" s="8"/>
      <c r="RF272" s="8"/>
      <c r="RG272" s="8"/>
      <c r="RH272" s="8"/>
      <c r="RI272" s="8"/>
      <c r="RJ272" s="8"/>
      <c r="RK272" s="8"/>
      <c r="RL272" s="8"/>
      <c r="RM272" s="8"/>
      <c r="RN272" s="8"/>
      <c r="RO272" s="8"/>
      <c r="RP272" s="8"/>
      <c r="RQ272" s="8"/>
      <c r="RR272" s="8"/>
      <c r="RS272" s="8"/>
      <c r="RT272" s="8"/>
      <c r="RU272" s="8"/>
      <c r="RV272" s="8"/>
      <c r="RW272" s="8"/>
      <c r="RX272" s="8"/>
      <c r="RY272" s="8"/>
      <c r="RZ272" s="8"/>
      <c r="SA272" s="8"/>
      <c r="SB272" s="8"/>
      <c r="SC272" s="8"/>
      <c r="SD272" s="8"/>
      <c r="SE272" s="8"/>
      <c r="SF272" s="8"/>
      <c r="SG272" s="8"/>
      <c r="SH272" s="8"/>
      <c r="SI272" s="8"/>
      <c r="SJ272" s="8"/>
    </row>
    <row r="273" spans="1:504" x14ac:dyDescent="0.2">
      <c r="A273" s="7"/>
      <c r="B273" s="7"/>
      <c r="C273" s="9"/>
      <c r="D273" s="8"/>
      <c r="E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  <c r="EN273" s="8"/>
      <c r="EO273" s="8"/>
      <c r="EP273" s="8"/>
      <c r="EQ273" s="8"/>
      <c r="ER273" s="8"/>
      <c r="ES273" s="8"/>
      <c r="ET273" s="8"/>
      <c r="EU273" s="8"/>
      <c r="EV273" s="8"/>
      <c r="EW273" s="8"/>
      <c r="EX273" s="8"/>
      <c r="EY273" s="8"/>
      <c r="EZ273" s="8"/>
      <c r="FA273" s="8"/>
      <c r="FB273" s="8"/>
      <c r="FC273" s="8"/>
      <c r="FD273" s="8"/>
      <c r="FE273" s="8"/>
      <c r="FF273" s="8"/>
      <c r="FG273" s="8"/>
      <c r="FH273" s="8"/>
      <c r="FI273" s="8"/>
      <c r="FJ273" s="8"/>
      <c r="FK273" s="8"/>
      <c r="FL273" s="8"/>
      <c r="FM273" s="8"/>
      <c r="FN273" s="8"/>
      <c r="FO273" s="8"/>
      <c r="FP273" s="8"/>
      <c r="FQ273" s="8"/>
      <c r="FR273" s="8"/>
      <c r="FS273" s="8"/>
      <c r="FT273" s="8"/>
      <c r="FU273" s="8"/>
      <c r="FV273" s="8"/>
      <c r="FW273" s="8"/>
      <c r="FX273" s="8"/>
      <c r="FY273" s="8"/>
      <c r="FZ273" s="8"/>
      <c r="GA273" s="8"/>
      <c r="GB273" s="8"/>
      <c r="GC273" s="8"/>
      <c r="GD273" s="8"/>
      <c r="GE273" s="8"/>
      <c r="GF273" s="8"/>
      <c r="GG273" s="8"/>
      <c r="GH273" s="8"/>
      <c r="GI273" s="8"/>
      <c r="GJ273" s="8"/>
      <c r="GK273" s="8"/>
      <c r="GL273" s="8"/>
      <c r="GM273" s="8"/>
      <c r="GN273" s="8"/>
      <c r="GO273" s="8"/>
      <c r="GP273" s="8"/>
      <c r="GQ273" s="8"/>
      <c r="GR273" s="8"/>
      <c r="GS273" s="8"/>
      <c r="GT273" s="8"/>
      <c r="GU273" s="8"/>
      <c r="GV273" s="8"/>
      <c r="GW273" s="8"/>
      <c r="GX273" s="8"/>
      <c r="GY273" s="8"/>
      <c r="GZ273" s="8"/>
      <c r="HA273" s="8"/>
      <c r="HB273" s="8"/>
      <c r="HC273" s="8"/>
      <c r="HD273" s="8"/>
      <c r="HE273" s="8"/>
      <c r="HF273" s="8"/>
      <c r="HG273" s="8"/>
      <c r="HH273" s="8"/>
      <c r="HI273" s="8"/>
      <c r="HJ273" s="8"/>
      <c r="HK273" s="8"/>
      <c r="HL273" s="8"/>
      <c r="HM273" s="8"/>
      <c r="HN273" s="8"/>
      <c r="HO273" s="8"/>
      <c r="HP273" s="8"/>
      <c r="HQ273" s="8"/>
      <c r="HR273" s="8"/>
      <c r="HS273" s="8"/>
      <c r="HT273" s="8"/>
      <c r="HU273" s="8"/>
      <c r="HV273" s="8"/>
      <c r="HW273" s="8"/>
      <c r="HX273" s="8"/>
      <c r="HY273" s="8"/>
      <c r="HZ273" s="8"/>
      <c r="IA273" s="8"/>
      <c r="IB273" s="8"/>
      <c r="IC273" s="8"/>
      <c r="ID273" s="8"/>
      <c r="IE273" s="8"/>
      <c r="IF273" s="8"/>
      <c r="IG273" s="8"/>
      <c r="IH273" s="8"/>
      <c r="II273" s="8"/>
      <c r="IJ273" s="8"/>
      <c r="IK273" s="8"/>
      <c r="IL273" s="8"/>
      <c r="IM273" s="8"/>
      <c r="IN273" s="8"/>
      <c r="IO273" s="8"/>
      <c r="IP273" s="8"/>
      <c r="IQ273" s="8"/>
      <c r="IR273" s="8"/>
      <c r="IS273" s="8"/>
      <c r="IT273" s="8"/>
      <c r="IU273" s="8"/>
      <c r="IV273" s="8"/>
      <c r="IW273" s="8"/>
      <c r="IX273" s="8"/>
      <c r="IY273" s="8"/>
      <c r="IZ273" s="8"/>
      <c r="JA273" s="8"/>
      <c r="JB273" s="8"/>
      <c r="JC273" s="8"/>
      <c r="JD273" s="8"/>
      <c r="JE273" s="8"/>
      <c r="JF273" s="8"/>
      <c r="JG273" s="8"/>
      <c r="JH273" s="8"/>
      <c r="JI273" s="8"/>
      <c r="JJ273" s="8"/>
      <c r="JK273" s="8"/>
      <c r="JL273" s="8"/>
      <c r="JM273" s="8"/>
      <c r="JN273" s="8"/>
      <c r="JO273" s="8"/>
      <c r="JP273" s="8"/>
      <c r="JQ273" s="8"/>
      <c r="JR273" s="8"/>
      <c r="JS273" s="8"/>
      <c r="JT273" s="8"/>
      <c r="JU273" s="8"/>
      <c r="JV273" s="8"/>
      <c r="JW273" s="8"/>
      <c r="JX273" s="8"/>
      <c r="JY273" s="8"/>
      <c r="JZ273" s="8"/>
      <c r="KA273" s="8"/>
      <c r="KB273" s="8"/>
      <c r="KC273" s="8"/>
      <c r="KD273" s="8"/>
      <c r="KE273" s="8"/>
      <c r="KF273" s="8"/>
      <c r="KG273" s="8"/>
      <c r="KH273" s="8"/>
      <c r="KI273" s="8"/>
      <c r="KJ273" s="8"/>
      <c r="KK273" s="8"/>
      <c r="KL273" s="8"/>
      <c r="KM273" s="8"/>
      <c r="KN273" s="8"/>
      <c r="KO273" s="8"/>
      <c r="KP273" s="8"/>
      <c r="KQ273" s="8"/>
      <c r="KR273" s="8"/>
      <c r="KS273" s="8"/>
      <c r="KT273" s="8"/>
      <c r="KU273" s="8"/>
      <c r="KV273" s="8"/>
      <c r="KW273" s="8"/>
      <c r="KX273" s="8"/>
      <c r="KY273" s="8"/>
      <c r="KZ273" s="8"/>
      <c r="LA273" s="8"/>
      <c r="LB273" s="8"/>
      <c r="LC273" s="8"/>
      <c r="LD273" s="8"/>
      <c r="LE273" s="8"/>
      <c r="LF273" s="8"/>
      <c r="LG273" s="8"/>
      <c r="LH273" s="8"/>
      <c r="LI273" s="8"/>
      <c r="LJ273" s="8"/>
      <c r="LK273" s="8"/>
      <c r="LL273" s="8"/>
      <c r="LM273" s="8"/>
      <c r="LN273" s="8"/>
      <c r="LO273" s="8"/>
      <c r="LP273" s="8"/>
      <c r="LQ273" s="8"/>
      <c r="LR273" s="8"/>
      <c r="LS273" s="8"/>
      <c r="LT273" s="8"/>
      <c r="LU273" s="8"/>
      <c r="LV273" s="8"/>
      <c r="LW273" s="8"/>
      <c r="LX273" s="8"/>
      <c r="LY273" s="8"/>
      <c r="LZ273" s="8"/>
      <c r="MA273" s="8"/>
      <c r="MB273" s="8"/>
      <c r="MC273" s="8"/>
      <c r="MD273" s="8"/>
      <c r="ME273" s="8"/>
      <c r="MF273" s="8"/>
      <c r="MG273" s="8"/>
      <c r="MH273" s="8"/>
      <c r="MI273" s="8"/>
      <c r="MJ273" s="8"/>
      <c r="MK273" s="8"/>
      <c r="ML273" s="8"/>
      <c r="MM273" s="8"/>
      <c r="MN273" s="8"/>
      <c r="MO273" s="8"/>
      <c r="MP273" s="8"/>
      <c r="MQ273" s="8"/>
      <c r="MR273" s="8"/>
      <c r="MS273" s="8"/>
      <c r="MT273" s="8"/>
      <c r="MU273" s="8"/>
      <c r="MV273" s="8"/>
      <c r="MW273" s="8"/>
      <c r="MX273" s="8"/>
      <c r="MY273" s="8"/>
      <c r="MZ273" s="8"/>
      <c r="NA273" s="8"/>
      <c r="NB273" s="8"/>
      <c r="NC273" s="8"/>
      <c r="ND273" s="8"/>
      <c r="NE273" s="8"/>
      <c r="NF273" s="8"/>
      <c r="NG273" s="8"/>
      <c r="NH273" s="8"/>
      <c r="NI273" s="8"/>
      <c r="NJ273" s="8"/>
      <c r="NK273" s="8"/>
      <c r="NL273" s="8"/>
      <c r="NM273" s="8"/>
      <c r="NN273" s="8"/>
      <c r="NO273" s="8"/>
      <c r="NP273" s="8"/>
      <c r="NQ273" s="8"/>
      <c r="NR273" s="8"/>
      <c r="NS273" s="8"/>
      <c r="NT273" s="8"/>
      <c r="NU273" s="8"/>
      <c r="NV273" s="8"/>
      <c r="NW273" s="8"/>
      <c r="NX273" s="8"/>
      <c r="NY273" s="8"/>
      <c r="NZ273" s="8"/>
      <c r="OA273" s="8"/>
      <c r="OB273" s="8"/>
      <c r="OC273" s="8"/>
      <c r="OD273" s="8"/>
      <c r="OE273" s="8"/>
      <c r="OF273" s="8"/>
      <c r="OG273" s="8"/>
      <c r="OH273" s="8"/>
      <c r="OI273" s="8"/>
      <c r="OJ273" s="8"/>
      <c r="OK273" s="8"/>
      <c r="OL273" s="8"/>
      <c r="OM273" s="8"/>
      <c r="ON273" s="8"/>
      <c r="OO273" s="8"/>
      <c r="OP273" s="8"/>
      <c r="OQ273" s="8"/>
      <c r="OR273" s="8"/>
      <c r="OS273" s="8"/>
      <c r="OT273" s="8"/>
      <c r="OU273" s="8"/>
      <c r="OV273" s="8"/>
      <c r="OW273" s="8"/>
      <c r="OX273" s="8"/>
      <c r="OY273" s="8"/>
      <c r="OZ273" s="8"/>
      <c r="PA273" s="8"/>
      <c r="PB273" s="8"/>
      <c r="PC273" s="8"/>
      <c r="PD273" s="8"/>
      <c r="PE273" s="8"/>
      <c r="PF273" s="8"/>
      <c r="PG273" s="8"/>
      <c r="PH273" s="8"/>
      <c r="PI273" s="8"/>
      <c r="PJ273" s="8"/>
      <c r="PK273" s="8"/>
      <c r="PL273" s="8"/>
      <c r="PM273" s="8"/>
      <c r="PN273" s="8"/>
      <c r="PO273" s="8"/>
      <c r="PP273" s="8"/>
      <c r="PQ273" s="8"/>
      <c r="PR273" s="8"/>
      <c r="PS273" s="8"/>
      <c r="PT273" s="8"/>
      <c r="PU273" s="8"/>
      <c r="PV273" s="8"/>
      <c r="PW273" s="8"/>
      <c r="PX273" s="8"/>
      <c r="PY273" s="8"/>
      <c r="PZ273" s="8"/>
      <c r="QA273" s="8"/>
      <c r="QB273" s="8"/>
      <c r="QC273" s="8"/>
      <c r="QD273" s="8"/>
      <c r="QE273" s="8"/>
      <c r="QF273" s="8"/>
      <c r="QG273" s="8"/>
      <c r="QH273" s="8"/>
      <c r="QI273" s="8"/>
      <c r="QJ273" s="8"/>
      <c r="QK273" s="8"/>
      <c r="QL273" s="8"/>
      <c r="QM273" s="8"/>
      <c r="QN273" s="8"/>
      <c r="QO273" s="8"/>
      <c r="QP273" s="8"/>
      <c r="QQ273" s="8"/>
      <c r="QR273" s="8"/>
      <c r="QS273" s="8"/>
      <c r="QT273" s="8"/>
      <c r="QU273" s="8"/>
      <c r="QV273" s="8"/>
      <c r="QW273" s="8"/>
      <c r="QX273" s="8"/>
      <c r="QY273" s="8"/>
      <c r="QZ273" s="8"/>
      <c r="RA273" s="8"/>
      <c r="RB273" s="8"/>
      <c r="RC273" s="8"/>
      <c r="RD273" s="8"/>
      <c r="RE273" s="8"/>
      <c r="RF273" s="8"/>
      <c r="RG273" s="8"/>
      <c r="RH273" s="8"/>
      <c r="RI273" s="8"/>
      <c r="RJ273" s="8"/>
      <c r="RK273" s="8"/>
      <c r="RL273" s="8"/>
      <c r="RM273" s="8"/>
      <c r="RN273" s="8"/>
      <c r="RO273" s="8"/>
      <c r="RP273" s="8"/>
      <c r="RQ273" s="8"/>
      <c r="RR273" s="8"/>
      <c r="RS273" s="8"/>
      <c r="RT273" s="8"/>
      <c r="RU273" s="8"/>
      <c r="RV273" s="8"/>
      <c r="RW273" s="8"/>
      <c r="RX273" s="8"/>
      <c r="RY273" s="8"/>
      <c r="RZ273" s="8"/>
      <c r="SA273" s="8"/>
      <c r="SB273" s="8"/>
      <c r="SC273" s="8"/>
      <c r="SD273" s="8"/>
      <c r="SE273" s="8"/>
      <c r="SF273" s="8"/>
      <c r="SG273" s="8"/>
      <c r="SH273" s="8"/>
      <c r="SI273" s="8"/>
      <c r="SJ273" s="8"/>
    </row>
    <row r="274" spans="1:504" x14ac:dyDescent="0.2">
      <c r="A274" s="7"/>
      <c r="B274" s="7"/>
      <c r="C274" s="9"/>
      <c r="D274" s="8"/>
      <c r="E274" s="8"/>
    </row>
    <row r="275" spans="1:504" x14ac:dyDescent="0.2">
      <c r="A275" s="7"/>
      <c r="B275" s="7"/>
      <c r="C275" s="9"/>
      <c r="D275" s="8"/>
      <c r="E275" s="8"/>
    </row>
    <row r="276" spans="1:504" x14ac:dyDescent="0.2">
      <c r="A276" s="7"/>
      <c r="B276" s="7"/>
      <c r="C276" s="9"/>
      <c r="D276" s="8"/>
      <c r="E276" s="8"/>
    </row>
    <row r="277" spans="1:504" x14ac:dyDescent="0.2">
      <c r="A277" s="7"/>
      <c r="B277" s="7"/>
      <c r="C277" s="9"/>
      <c r="D277" s="8"/>
      <c r="E277" s="8"/>
    </row>
    <row r="278" spans="1:504" x14ac:dyDescent="0.2">
      <c r="A278" s="7"/>
      <c r="B278" s="7"/>
      <c r="C278" s="9"/>
      <c r="D278" s="8"/>
      <c r="E278" s="8"/>
    </row>
    <row r="279" spans="1:504" x14ac:dyDescent="0.2">
      <c r="A279" s="7"/>
      <c r="B279" s="7"/>
      <c r="C279" s="9"/>
      <c r="D279" s="8"/>
      <c r="E279" s="8"/>
    </row>
    <row r="280" spans="1:504" x14ac:dyDescent="0.2">
      <c r="A280" s="7"/>
      <c r="B280" s="7"/>
      <c r="C280" s="9"/>
      <c r="D280" s="8"/>
      <c r="E280" s="8"/>
    </row>
    <row r="281" spans="1:504" x14ac:dyDescent="0.2">
      <c r="A281" s="7"/>
      <c r="B281" s="7"/>
      <c r="C281" s="9"/>
      <c r="D281" s="8"/>
      <c r="E281" s="8"/>
    </row>
    <row r="282" spans="1:504" x14ac:dyDescent="0.2">
      <c r="A282" s="7"/>
      <c r="B282" s="7"/>
      <c r="C282" s="9"/>
      <c r="D282" s="8"/>
      <c r="E282" s="8"/>
    </row>
    <row r="283" spans="1:504" x14ac:dyDescent="0.2">
      <c r="A283" s="7"/>
      <c r="B283" s="7"/>
      <c r="C283" s="9"/>
      <c r="D283" s="8"/>
      <c r="E283" s="8"/>
    </row>
    <row r="284" spans="1:504" x14ac:dyDescent="0.2">
      <c r="A284" s="7"/>
      <c r="B284" s="7"/>
      <c r="C284" s="9"/>
      <c r="D284" s="8"/>
      <c r="E284" s="8"/>
    </row>
    <row r="285" spans="1:504" x14ac:dyDescent="0.2">
      <c r="A285" s="7"/>
      <c r="B285" s="7"/>
      <c r="C285" s="9"/>
      <c r="D285" s="8"/>
      <c r="E285" s="8"/>
    </row>
    <row r="286" spans="1:504" x14ac:dyDescent="0.2">
      <c r="A286" s="7"/>
      <c r="B286" s="7"/>
      <c r="C286" s="9"/>
      <c r="D286" s="8"/>
      <c r="E286" s="8"/>
    </row>
    <row r="287" spans="1:504" x14ac:dyDescent="0.2">
      <c r="A287" s="7"/>
      <c r="B287" s="7"/>
      <c r="C287" s="9"/>
      <c r="D287" s="8"/>
      <c r="E287" s="8"/>
    </row>
    <row r="288" spans="1:504" x14ac:dyDescent="0.2">
      <c r="A288" s="7"/>
      <c r="B288" s="7"/>
      <c r="C288" s="9"/>
      <c r="D288" s="8"/>
      <c r="E288" s="8"/>
    </row>
    <row r="289" spans="1:5" x14ac:dyDescent="0.2">
      <c r="A289" s="7"/>
      <c r="B289" s="7"/>
      <c r="C289" s="9"/>
      <c r="D289" s="8"/>
      <c r="E289" s="8"/>
    </row>
    <row r="290" spans="1:5" x14ac:dyDescent="0.2">
      <c r="A290" s="7"/>
      <c r="B290" s="7"/>
      <c r="C290" s="9"/>
      <c r="D290" s="8"/>
      <c r="E290" s="8"/>
    </row>
    <row r="291" spans="1:5" x14ac:dyDescent="0.2">
      <c r="A291" s="7"/>
      <c r="B291" s="7"/>
      <c r="C291" s="9"/>
      <c r="D291" s="8"/>
      <c r="E291" s="8"/>
    </row>
    <row r="292" spans="1:5" x14ac:dyDescent="0.2">
      <c r="A292" s="7"/>
      <c r="B292" s="7"/>
      <c r="C292" s="9"/>
      <c r="D292" s="8"/>
      <c r="E292" s="8"/>
    </row>
    <row r="293" spans="1:5" x14ac:dyDescent="0.2">
      <c r="A293" s="7"/>
      <c r="B293" s="7"/>
      <c r="C293" s="9"/>
      <c r="D293" s="8"/>
      <c r="E293" s="8"/>
    </row>
    <row r="294" spans="1:5" x14ac:dyDescent="0.2">
      <c r="A294" s="7"/>
      <c r="B294" s="7"/>
      <c r="C294" s="9"/>
      <c r="D294" s="8"/>
      <c r="E294" s="8"/>
    </row>
    <row r="295" spans="1:5" x14ac:dyDescent="0.2">
      <c r="A295" s="7"/>
      <c r="B295" s="7"/>
      <c r="C295" s="9"/>
      <c r="D295" s="8"/>
      <c r="E295" s="8"/>
    </row>
    <row r="296" spans="1:5" x14ac:dyDescent="0.2">
      <c r="A296" s="7"/>
      <c r="B296" s="7"/>
      <c r="C296" s="9"/>
      <c r="D296" s="8"/>
      <c r="E296" s="8"/>
    </row>
    <row r="297" spans="1:5" x14ac:dyDescent="0.2">
      <c r="A297" s="7"/>
      <c r="B297" s="7"/>
      <c r="C297" s="9"/>
      <c r="D297" s="8"/>
      <c r="E297" s="8"/>
    </row>
    <row r="298" spans="1:5" x14ac:dyDescent="0.2">
      <c r="A298" s="7"/>
      <c r="B298" s="7"/>
      <c r="C298" s="9"/>
      <c r="D298" s="8"/>
      <c r="E298" s="8"/>
    </row>
    <row r="299" spans="1:5" x14ac:dyDescent="0.2">
      <c r="A299" s="7"/>
      <c r="B299" s="7"/>
      <c r="C299" s="9"/>
      <c r="D299" s="8"/>
      <c r="E299" s="8"/>
    </row>
    <row r="300" spans="1:5" x14ac:dyDescent="0.2">
      <c r="A300" s="7"/>
      <c r="B300" s="7"/>
      <c r="C300" s="9"/>
      <c r="D300" s="8"/>
      <c r="E300" s="8"/>
    </row>
    <row r="301" spans="1:5" x14ac:dyDescent="0.2">
      <c r="A301" s="7"/>
      <c r="B301" s="7"/>
      <c r="C301" s="9"/>
      <c r="D301" s="8"/>
      <c r="E301" s="8"/>
    </row>
    <row r="302" spans="1:5" x14ac:dyDescent="0.2">
      <c r="A302" s="7"/>
      <c r="B302" s="7"/>
      <c r="C302" s="9"/>
      <c r="D302" s="8"/>
      <c r="E302" s="8"/>
    </row>
    <row r="303" spans="1:5" x14ac:dyDescent="0.2">
      <c r="A303" s="7"/>
      <c r="B303" s="7"/>
      <c r="C303" s="9"/>
      <c r="D303" s="8"/>
      <c r="E303" s="8"/>
    </row>
    <row r="304" spans="1:5" x14ac:dyDescent="0.2">
      <c r="A304" s="7"/>
      <c r="B304" s="7"/>
      <c r="C304" s="9"/>
      <c r="D304" s="8"/>
      <c r="E304" s="8"/>
    </row>
    <row r="305" spans="1:5" x14ac:dyDescent="0.2">
      <c r="A305" s="7"/>
      <c r="B305" s="7"/>
      <c r="C305" s="9"/>
      <c r="D305" s="8"/>
      <c r="E305" s="8"/>
    </row>
    <row r="306" spans="1:5" x14ac:dyDescent="0.2">
      <c r="A306" s="7"/>
      <c r="B306" s="7"/>
      <c r="C306" s="9"/>
      <c r="D306" s="8"/>
      <c r="E306" s="8"/>
    </row>
    <row r="307" spans="1:5" x14ac:dyDescent="0.2">
      <c r="A307" s="7"/>
      <c r="B307" s="7"/>
      <c r="C307" s="9"/>
      <c r="D307" s="8"/>
      <c r="E307" s="8"/>
    </row>
    <row r="308" spans="1:5" x14ac:dyDescent="0.2">
      <c r="A308" s="7"/>
      <c r="B308" s="7"/>
      <c r="C308" s="9"/>
      <c r="D308" s="8"/>
      <c r="E308" s="8"/>
    </row>
    <row r="309" spans="1:5" x14ac:dyDescent="0.2">
      <c r="A309" s="7"/>
      <c r="B309" s="7"/>
      <c r="C309" s="9"/>
      <c r="D309" s="8"/>
      <c r="E309" s="8"/>
    </row>
    <row r="310" spans="1:5" x14ac:dyDescent="0.2">
      <c r="A310" s="7"/>
      <c r="B310" s="7"/>
      <c r="C310" s="9"/>
      <c r="D310" s="8"/>
      <c r="E310" s="8"/>
    </row>
    <row r="311" spans="1:5" x14ac:dyDescent="0.2">
      <c r="A311" s="7"/>
      <c r="B311" s="7"/>
      <c r="C311" s="9"/>
      <c r="D311" s="8"/>
      <c r="E311" s="8"/>
    </row>
    <row r="312" spans="1:5" x14ac:dyDescent="0.2">
      <c r="A312" s="7"/>
      <c r="B312" s="7"/>
      <c r="C312" s="9"/>
      <c r="D312" s="8"/>
      <c r="E312" s="8"/>
    </row>
    <row r="313" spans="1:5" x14ac:dyDescent="0.2">
      <c r="A313" s="7"/>
      <c r="B313" s="7"/>
      <c r="C313" s="9"/>
      <c r="D313" s="8"/>
      <c r="E313" s="8"/>
    </row>
    <row r="314" spans="1:5" x14ac:dyDescent="0.2">
      <c r="A314" s="7"/>
      <c r="B314" s="7"/>
      <c r="C314" s="9"/>
      <c r="D314" s="8"/>
      <c r="E314" s="8"/>
    </row>
    <row r="315" spans="1:5" x14ac:dyDescent="0.2">
      <c r="A315" s="7"/>
      <c r="B315" s="7"/>
      <c r="C315" s="9"/>
      <c r="D315" s="8"/>
      <c r="E315" s="8"/>
    </row>
    <row r="316" spans="1:5" x14ac:dyDescent="0.2">
      <c r="A316" s="7"/>
      <c r="B316" s="7"/>
      <c r="C316" s="9"/>
      <c r="D316" s="8"/>
      <c r="E316" s="8"/>
    </row>
    <row r="317" spans="1:5" x14ac:dyDescent="0.2">
      <c r="A317" s="7"/>
      <c r="B317" s="7"/>
      <c r="C317" s="9"/>
      <c r="D317" s="8"/>
      <c r="E317" s="8"/>
    </row>
    <row r="318" spans="1:5" x14ac:dyDescent="0.2">
      <c r="A318" s="7"/>
      <c r="B318" s="7"/>
      <c r="C318" s="9"/>
      <c r="D318" s="8"/>
      <c r="E318" s="8"/>
    </row>
    <row r="319" spans="1:5" x14ac:dyDescent="0.2">
      <c r="A319" s="7"/>
      <c r="B319" s="7"/>
      <c r="C319" s="9"/>
      <c r="D319" s="8"/>
      <c r="E319" s="8"/>
    </row>
    <row r="320" spans="1:5" x14ac:dyDescent="0.2">
      <c r="A320" s="7"/>
      <c r="B320" s="7"/>
      <c r="C320" s="9"/>
      <c r="D320" s="8"/>
      <c r="E320" s="8"/>
    </row>
    <row r="321" spans="1:5" x14ac:dyDescent="0.2">
      <c r="A321" s="7"/>
      <c r="B321" s="7"/>
      <c r="C321" s="9"/>
      <c r="D321" s="8"/>
      <c r="E321" s="8"/>
    </row>
    <row r="322" spans="1:5" x14ac:dyDescent="0.2">
      <c r="A322" s="7"/>
      <c r="B322" s="7"/>
      <c r="C322" s="9"/>
      <c r="D322" s="8"/>
      <c r="E322" s="8"/>
    </row>
    <row r="323" spans="1:5" x14ac:dyDescent="0.2">
      <c r="A323" s="7"/>
      <c r="B323" s="7"/>
      <c r="C323" s="9"/>
      <c r="D323" s="8"/>
      <c r="E323" s="8"/>
    </row>
    <row r="324" spans="1:5" x14ac:dyDescent="0.2">
      <c r="A324" s="7"/>
      <c r="B324" s="7"/>
      <c r="C324" s="9"/>
      <c r="D324" s="8"/>
      <c r="E324" s="8"/>
    </row>
    <row r="325" spans="1:5" x14ac:dyDescent="0.2">
      <c r="A325" s="7"/>
      <c r="B325" s="7"/>
      <c r="C325" s="9"/>
      <c r="D325" s="8"/>
      <c r="E325" s="8"/>
    </row>
    <row r="326" spans="1:5" x14ac:dyDescent="0.2">
      <c r="A326" s="7"/>
      <c r="B326" s="7"/>
      <c r="C326" s="9"/>
      <c r="D326" s="8"/>
      <c r="E326" s="8"/>
    </row>
    <row r="327" spans="1:5" x14ac:dyDescent="0.2">
      <c r="A327" s="7"/>
      <c r="B327" s="7"/>
      <c r="C327" s="9"/>
      <c r="D327" s="8"/>
      <c r="E327" s="8"/>
    </row>
    <row r="328" spans="1:5" x14ac:dyDescent="0.2">
      <c r="A328" s="7"/>
      <c r="B328" s="7"/>
      <c r="C328" s="9"/>
      <c r="D328" s="8"/>
      <c r="E328" s="8"/>
    </row>
    <row r="329" spans="1:5" x14ac:dyDescent="0.2">
      <c r="A329" s="7"/>
      <c r="B329" s="7"/>
      <c r="C329" s="9"/>
      <c r="D329" s="8"/>
      <c r="E329" s="8"/>
    </row>
    <row r="330" spans="1:5" x14ac:dyDescent="0.2">
      <c r="A330" s="7"/>
      <c r="B330" s="7"/>
      <c r="C330" s="9"/>
      <c r="D330" s="8"/>
      <c r="E330" s="8"/>
    </row>
    <row r="331" spans="1:5" x14ac:dyDescent="0.2">
      <c r="A331" s="7"/>
      <c r="B331" s="7"/>
      <c r="C331" s="9"/>
      <c r="D331" s="8"/>
      <c r="E331" s="8"/>
    </row>
    <row r="332" spans="1:5" x14ac:dyDescent="0.2">
      <c r="A332" s="7"/>
      <c r="B332" s="7"/>
      <c r="C332" s="9"/>
      <c r="D332" s="8"/>
      <c r="E332" s="8"/>
    </row>
    <row r="333" spans="1:5" x14ac:dyDescent="0.2">
      <c r="A333" s="7"/>
      <c r="B333" s="7"/>
      <c r="C333" s="9"/>
      <c r="D333" s="8"/>
      <c r="E333" s="8"/>
    </row>
    <row r="334" spans="1:5" x14ac:dyDescent="0.2">
      <c r="A334" s="7"/>
      <c r="B334" s="7"/>
      <c r="C334" s="9"/>
      <c r="D334" s="8"/>
      <c r="E334" s="8"/>
    </row>
    <row r="335" spans="1:5" x14ac:dyDescent="0.2">
      <c r="A335" s="7"/>
      <c r="B335" s="7"/>
      <c r="C335" s="9"/>
      <c r="D335" s="8"/>
      <c r="E335" s="8"/>
    </row>
    <row r="336" spans="1:5" x14ac:dyDescent="0.2">
      <c r="A336" s="7"/>
      <c r="B336" s="7"/>
      <c r="C336" s="9"/>
      <c r="D336" s="8"/>
      <c r="E336" s="8"/>
    </row>
    <row r="337" spans="1:5" x14ac:dyDescent="0.2">
      <c r="A337" s="7"/>
      <c r="B337" s="7"/>
      <c r="C337" s="9"/>
      <c r="D337" s="8"/>
      <c r="E337" s="8"/>
    </row>
    <row r="338" spans="1:5" x14ac:dyDescent="0.2">
      <c r="A338" s="7"/>
      <c r="B338" s="7"/>
      <c r="C338" s="9"/>
      <c r="D338" s="8"/>
      <c r="E338" s="8"/>
    </row>
    <row r="339" spans="1:5" x14ac:dyDescent="0.2">
      <c r="A339" s="7"/>
      <c r="B339" s="7"/>
      <c r="C339" s="9"/>
      <c r="D339" s="8"/>
      <c r="E339" s="8"/>
    </row>
    <row r="340" spans="1:5" x14ac:dyDescent="0.2">
      <c r="A340" s="7"/>
      <c r="B340" s="7"/>
      <c r="C340" s="9"/>
      <c r="D340" s="8"/>
      <c r="E340" s="8"/>
    </row>
    <row r="341" spans="1:5" x14ac:dyDescent="0.2">
      <c r="A341" s="7"/>
      <c r="B341" s="7"/>
      <c r="C341" s="9"/>
      <c r="D341" s="8"/>
      <c r="E341" s="8"/>
    </row>
    <row r="342" spans="1:5" x14ac:dyDescent="0.2">
      <c r="A342" s="7"/>
      <c r="B342" s="7"/>
      <c r="C342" s="9"/>
      <c r="D342" s="8"/>
      <c r="E342" s="8"/>
    </row>
    <row r="343" spans="1:5" x14ac:dyDescent="0.2">
      <c r="A343" s="7"/>
      <c r="B343" s="7"/>
      <c r="C343" s="9"/>
      <c r="D343" s="8"/>
      <c r="E343" s="8"/>
    </row>
    <row r="344" spans="1:5" x14ac:dyDescent="0.2">
      <c r="A344" s="7"/>
      <c r="B344" s="7"/>
      <c r="C344" s="9"/>
      <c r="D344" s="8"/>
      <c r="E344" s="8"/>
    </row>
    <row r="345" spans="1:5" x14ac:dyDescent="0.2">
      <c r="A345" s="7"/>
      <c r="B345" s="7"/>
      <c r="C345" s="9"/>
      <c r="D345" s="8"/>
      <c r="E345" s="8"/>
    </row>
    <row r="346" spans="1:5" x14ac:dyDescent="0.2">
      <c r="A346" s="7"/>
      <c r="B346" s="7"/>
      <c r="C346" s="9"/>
      <c r="D346" s="8"/>
      <c r="E346" s="8"/>
    </row>
    <row r="347" spans="1:5" x14ac:dyDescent="0.2">
      <c r="A347" s="7"/>
      <c r="B347" s="7"/>
      <c r="C347" s="9"/>
      <c r="D347" s="8"/>
      <c r="E347" s="8"/>
    </row>
    <row r="348" spans="1:5" x14ac:dyDescent="0.2">
      <c r="A348" s="7"/>
      <c r="B348" s="7"/>
      <c r="C348" s="9"/>
      <c r="D348" s="8"/>
      <c r="E348" s="8"/>
    </row>
    <row r="349" spans="1:5" x14ac:dyDescent="0.2">
      <c r="A349" s="7"/>
      <c r="B349" s="7"/>
      <c r="C349" s="9"/>
      <c r="D349" s="8"/>
      <c r="E349" s="8"/>
    </row>
    <row r="350" spans="1:5" x14ac:dyDescent="0.2">
      <c r="A350" s="7"/>
      <c r="B350" s="7"/>
      <c r="C350" s="9"/>
      <c r="D350" s="8"/>
      <c r="E350" s="8"/>
    </row>
    <row r="351" spans="1:5" x14ac:dyDescent="0.2">
      <c r="A351" s="7"/>
      <c r="B351" s="7"/>
      <c r="C351" s="9"/>
      <c r="D351" s="8"/>
      <c r="E351" s="8"/>
    </row>
    <row r="352" spans="1:5" x14ac:dyDescent="0.2">
      <c r="A352" s="7"/>
      <c r="B352" s="7"/>
      <c r="C352" s="9"/>
      <c r="D352" s="8"/>
      <c r="E352" s="8"/>
    </row>
    <row r="353" spans="1:5" x14ac:dyDescent="0.2">
      <c r="A353" s="7"/>
      <c r="B353" s="7"/>
      <c r="C353" s="9"/>
      <c r="D353" s="8"/>
      <c r="E353" s="8"/>
    </row>
    <row r="354" spans="1:5" x14ac:dyDescent="0.2">
      <c r="A354" s="7"/>
      <c r="B354" s="7"/>
      <c r="C354" s="9"/>
      <c r="D354" s="8"/>
      <c r="E354" s="8"/>
    </row>
    <row r="355" spans="1:5" x14ac:dyDescent="0.2">
      <c r="A355" s="7"/>
      <c r="B355" s="7"/>
      <c r="C355" s="9"/>
      <c r="D355" s="8"/>
      <c r="E355" s="8"/>
    </row>
    <row r="356" spans="1:5" x14ac:dyDescent="0.2">
      <c r="A356" s="7"/>
      <c r="B356" s="7"/>
      <c r="C356" s="9"/>
      <c r="D356" s="8"/>
      <c r="E356" s="8"/>
    </row>
    <row r="357" spans="1:5" x14ac:dyDescent="0.2">
      <c r="A357" s="7"/>
      <c r="B357" s="7"/>
      <c r="C357" s="9"/>
      <c r="D357" s="8"/>
      <c r="E357" s="8"/>
    </row>
    <row r="358" spans="1:5" x14ac:dyDescent="0.2">
      <c r="A358" s="7"/>
      <c r="B358" s="7"/>
      <c r="C358" s="9"/>
      <c r="D358" s="8"/>
      <c r="E358" s="8"/>
    </row>
    <row r="359" spans="1:5" x14ac:dyDescent="0.2">
      <c r="A359" s="7"/>
      <c r="B359" s="7"/>
      <c r="C359" s="9"/>
      <c r="D359" s="8"/>
      <c r="E359" s="8"/>
    </row>
    <row r="360" spans="1:5" x14ac:dyDescent="0.2">
      <c r="A360" s="7"/>
      <c r="B360" s="7"/>
      <c r="C360" s="9"/>
      <c r="D360" s="8"/>
      <c r="E360" s="8"/>
    </row>
    <row r="361" spans="1:5" x14ac:dyDescent="0.2">
      <c r="A361" s="7"/>
      <c r="B361" s="7"/>
      <c r="C361" s="9"/>
      <c r="D361" s="8"/>
      <c r="E361" s="8"/>
    </row>
    <row r="362" spans="1:5" x14ac:dyDescent="0.2">
      <c r="A362" s="7"/>
      <c r="B362" s="7"/>
      <c r="C362" s="9"/>
      <c r="D362" s="8"/>
      <c r="E362" s="8"/>
    </row>
    <row r="363" spans="1:5" x14ac:dyDescent="0.2">
      <c r="A363" s="7"/>
      <c r="B363" s="7"/>
      <c r="C363" s="9"/>
      <c r="D363" s="8"/>
      <c r="E363" s="8"/>
    </row>
    <row r="364" spans="1:5" x14ac:dyDescent="0.2">
      <c r="A364" s="7"/>
      <c r="B364" s="7"/>
      <c r="C364" s="9"/>
      <c r="D364" s="8"/>
      <c r="E364" s="8"/>
    </row>
    <row r="365" spans="1:5" x14ac:dyDescent="0.2">
      <c r="A365" s="7"/>
      <c r="B365" s="7"/>
      <c r="C365" s="9"/>
      <c r="D365" s="8"/>
      <c r="E365" s="8"/>
    </row>
    <row r="366" spans="1:5" x14ac:dyDescent="0.2">
      <c r="A366" s="7"/>
      <c r="B366" s="7"/>
      <c r="C366" s="9"/>
      <c r="D366" s="8"/>
      <c r="E366" s="8"/>
    </row>
    <row r="367" spans="1:5" x14ac:dyDescent="0.2">
      <c r="A367" s="7"/>
      <c r="B367" s="7"/>
      <c r="C367" s="9"/>
      <c r="D367" s="8"/>
      <c r="E367" s="8"/>
    </row>
    <row r="368" spans="1:5" x14ac:dyDescent="0.2">
      <c r="A368" s="7"/>
      <c r="B368" s="7"/>
      <c r="C368" s="9"/>
      <c r="D368" s="8"/>
      <c r="E368" s="8"/>
    </row>
    <row r="369" spans="1:5" x14ac:dyDescent="0.2">
      <c r="A369" s="7"/>
      <c r="B369" s="7"/>
      <c r="C369" s="9"/>
      <c r="D369" s="8"/>
      <c r="E369" s="8"/>
    </row>
    <row r="370" spans="1:5" x14ac:dyDescent="0.2">
      <c r="A370" s="7"/>
      <c r="B370" s="7"/>
      <c r="C370" s="9"/>
      <c r="D370" s="8"/>
      <c r="E370" s="8"/>
    </row>
    <row r="371" spans="1:5" x14ac:dyDescent="0.2">
      <c r="A371" s="7"/>
      <c r="B371" s="7"/>
      <c r="C371" s="9"/>
      <c r="D371" s="8"/>
      <c r="E371" s="8"/>
    </row>
    <row r="372" spans="1:5" x14ac:dyDescent="0.2">
      <c r="A372" s="7"/>
      <c r="B372" s="7"/>
      <c r="C372" s="9"/>
      <c r="D372" s="8"/>
      <c r="E372" s="8"/>
    </row>
    <row r="373" spans="1:5" x14ac:dyDescent="0.2">
      <c r="A373" s="7"/>
      <c r="B373" s="7"/>
      <c r="C373" s="9"/>
      <c r="D373" s="8"/>
      <c r="E373" s="8"/>
    </row>
    <row r="374" spans="1:5" x14ac:dyDescent="0.2">
      <c r="A374" s="7"/>
      <c r="B374" s="7"/>
      <c r="C374" s="9"/>
      <c r="D374" s="8"/>
      <c r="E374" s="8"/>
    </row>
    <row r="375" spans="1:5" x14ac:dyDescent="0.2">
      <c r="A375" s="7"/>
      <c r="B375" s="7"/>
      <c r="C375" s="9"/>
      <c r="D375" s="8"/>
      <c r="E375" s="8"/>
    </row>
    <row r="376" spans="1:5" x14ac:dyDescent="0.2">
      <c r="A376" s="7"/>
      <c r="B376" s="7"/>
      <c r="C376" s="9"/>
      <c r="D376" s="8"/>
      <c r="E376" s="8"/>
    </row>
    <row r="377" spans="1:5" x14ac:dyDescent="0.2">
      <c r="A377" s="7"/>
      <c r="B377" s="7"/>
      <c r="C377" s="9"/>
      <c r="D377" s="8"/>
      <c r="E377" s="8"/>
    </row>
    <row r="378" spans="1:5" x14ac:dyDescent="0.2">
      <c r="A378" s="7"/>
      <c r="B378" s="7"/>
      <c r="C378" s="9"/>
      <c r="D378" s="8"/>
      <c r="E378" s="8"/>
    </row>
    <row r="379" spans="1:5" x14ac:dyDescent="0.2">
      <c r="A379" s="7"/>
      <c r="B379" s="7"/>
      <c r="C379" s="9"/>
      <c r="D379" s="8"/>
      <c r="E379" s="8"/>
    </row>
    <row r="380" spans="1:5" x14ac:dyDescent="0.2">
      <c r="A380" s="7"/>
      <c r="B380" s="7"/>
      <c r="C380" s="9"/>
      <c r="D380" s="8"/>
      <c r="E380" s="8"/>
    </row>
    <row r="381" spans="1:5" x14ac:dyDescent="0.2">
      <c r="A381" s="7"/>
      <c r="B381" s="7"/>
      <c r="C381" s="9"/>
      <c r="D381" s="8"/>
      <c r="E381" s="8"/>
    </row>
    <row r="382" spans="1:5" x14ac:dyDescent="0.2">
      <c r="A382" s="7"/>
      <c r="B382" s="7"/>
      <c r="C382" s="9"/>
      <c r="D382" s="8"/>
      <c r="E382" s="8"/>
    </row>
    <row r="383" spans="1:5" x14ac:dyDescent="0.2">
      <c r="A383" s="7"/>
      <c r="B383" s="7"/>
      <c r="C383" s="9"/>
      <c r="D383" s="8"/>
      <c r="E383" s="8"/>
    </row>
    <row r="384" spans="1:5" x14ac:dyDescent="0.2">
      <c r="A384" s="7"/>
      <c r="B384" s="7"/>
      <c r="C384" s="9"/>
      <c r="D384" s="8"/>
      <c r="E384" s="8"/>
    </row>
    <row r="385" spans="1:5" x14ac:dyDescent="0.2">
      <c r="A385" s="7"/>
      <c r="B385" s="7"/>
      <c r="C385" s="9"/>
      <c r="D385" s="8"/>
      <c r="E385" s="8"/>
    </row>
    <row r="386" spans="1:5" x14ac:dyDescent="0.2">
      <c r="A386" s="7"/>
      <c r="B386" s="7"/>
      <c r="C386" s="9"/>
      <c r="D386" s="8"/>
      <c r="E386" s="8"/>
    </row>
    <row r="387" spans="1:5" x14ac:dyDescent="0.2">
      <c r="A387" s="7"/>
      <c r="B387" s="7"/>
      <c r="C387" s="9"/>
      <c r="D387" s="8"/>
      <c r="E387" s="8"/>
    </row>
    <row r="388" spans="1:5" x14ac:dyDescent="0.2">
      <c r="A388" s="7"/>
      <c r="B388" s="7"/>
      <c r="C388" s="9"/>
      <c r="D388" s="8"/>
      <c r="E388" s="8"/>
    </row>
    <row r="389" spans="1:5" x14ac:dyDescent="0.2">
      <c r="A389" s="7"/>
      <c r="B389" s="7"/>
      <c r="C389" s="9"/>
      <c r="D389" s="8"/>
      <c r="E389" s="8"/>
    </row>
    <row r="390" spans="1:5" x14ac:dyDescent="0.2">
      <c r="A390" s="7"/>
      <c r="B390" s="7"/>
      <c r="C390" s="9"/>
      <c r="D390" s="8"/>
      <c r="E390" s="8"/>
    </row>
    <row r="391" spans="1:5" x14ac:dyDescent="0.2">
      <c r="A391" s="7"/>
      <c r="B391" s="7"/>
      <c r="C391" s="9"/>
      <c r="D391" s="8"/>
      <c r="E391" s="8"/>
    </row>
    <row r="392" spans="1:5" x14ac:dyDescent="0.2">
      <c r="A392" s="7"/>
      <c r="B392" s="7"/>
      <c r="C392" s="9"/>
      <c r="D392" s="8"/>
      <c r="E392" s="8"/>
    </row>
    <row r="393" spans="1:5" x14ac:dyDescent="0.2">
      <c r="A393" s="7"/>
      <c r="B393" s="7"/>
      <c r="C393" s="9"/>
      <c r="D393" s="8"/>
      <c r="E393" s="8"/>
    </row>
    <row r="394" spans="1:5" x14ac:dyDescent="0.2">
      <c r="A394" s="7"/>
      <c r="B394" s="7"/>
      <c r="C394" s="9"/>
      <c r="D394" s="8"/>
      <c r="E394" s="8"/>
    </row>
    <row r="395" spans="1:5" x14ac:dyDescent="0.2">
      <c r="A395" s="7"/>
      <c r="B395" s="7"/>
      <c r="C395" s="9"/>
      <c r="D395" s="8"/>
      <c r="E395" s="8"/>
    </row>
    <row r="396" spans="1:5" x14ac:dyDescent="0.2">
      <c r="A396" s="7"/>
      <c r="B396" s="7"/>
      <c r="C396" s="9"/>
      <c r="D396" s="8"/>
      <c r="E396" s="8"/>
    </row>
    <row r="397" spans="1:5" x14ac:dyDescent="0.2">
      <c r="A397" s="7"/>
      <c r="B397" s="7"/>
      <c r="C397" s="9"/>
      <c r="D397" s="8"/>
      <c r="E397" s="8"/>
    </row>
    <row r="398" spans="1:5" x14ac:dyDescent="0.2">
      <c r="A398" s="7"/>
      <c r="B398" s="7"/>
      <c r="C398" s="9"/>
      <c r="D398" s="8"/>
      <c r="E398" s="8"/>
    </row>
    <row r="399" spans="1:5" x14ac:dyDescent="0.2">
      <c r="A399" s="7"/>
      <c r="B399" s="7"/>
      <c r="C399" s="9"/>
      <c r="D399" s="8"/>
      <c r="E399" s="8"/>
    </row>
    <row r="400" spans="1:5" x14ac:dyDescent="0.2">
      <c r="A400" s="7"/>
      <c r="B400" s="7"/>
      <c r="C400" s="9"/>
      <c r="D400" s="8"/>
      <c r="E400" s="8"/>
    </row>
    <row r="401" spans="1:5" x14ac:dyDescent="0.2">
      <c r="A401" s="7"/>
      <c r="B401" s="7"/>
      <c r="C401" s="9"/>
      <c r="D401" s="8"/>
      <c r="E401" s="8"/>
    </row>
    <row r="402" spans="1:5" x14ac:dyDescent="0.2">
      <c r="A402" s="7"/>
      <c r="B402" s="7"/>
      <c r="C402" s="9"/>
      <c r="D402" s="8"/>
      <c r="E402" s="8"/>
    </row>
    <row r="403" spans="1:5" x14ac:dyDescent="0.2">
      <c r="A403" s="7"/>
      <c r="B403" s="7"/>
      <c r="C403" s="9"/>
      <c r="D403" s="8"/>
      <c r="E403" s="8"/>
    </row>
    <row r="404" spans="1:5" x14ac:dyDescent="0.2">
      <c r="A404" s="7"/>
      <c r="B404" s="7"/>
      <c r="C404" s="9"/>
      <c r="D404" s="8"/>
      <c r="E404" s="8"/>
    </row>
    <row r="405" spans="1:5" x14ac:dyDescent="0.2">
      <c r="A405" s="7"/>
      <c r="B405" s="7"/>
      <c r="C405" s="9"/>
      <c r="D405" s="8"/>
      <c r="E405" s="8"/>
    </row>
    <row r="406" spans="1:5" x14ac:dyDescent="0.2">
      <c r="A406" s="7"/>
      <c r="B406" s="7"/>
      <c r="C406" s="9"/>
      <c r="D406" s="8"/>
      <c r="E406" s="8"/>
    </row>
    <row r="407" spans="1:5" x14ac:dyDescent="0.2">
      <c r="A407" s="7"/>
      <c r="B407" s="7"/>
      <c r="C407" s="9"/>
      <c r="D407" s="8"/>
      <c r="E407" s="8"/>
    </row>
    <row r="408" spans="1:5" x14ac:dyDescent="0.2">
      <c r="A408" s="7"/>
      <c r="B408" s="7"/>
      <c r="C408" s="9"/>
      <c r="D408" s="8"/>
      <c r="E408" s="8"/>
    </row>
    <row r="409" spans="1:5" x14ac:dyDescent="0.2">
      <c r="A409" s="7"/>
      <c r="B409" s="7"/>
      <c r="C409" s="9"/>
      <c r="D409" s="8"/>
      <c r="E409" s="8"/>
    </row>
    <row r="410" spans="1:5" x14ac:dyDescent="0.2">
      <c r="A410" s="7"/>
      <c r="B410" s="7"/>
      <c r="C410" s="9"/>
      <c r="D410" s="8"/>
      <c r="E410" s="8"/>
    </row>
    <row r="411" spans="1:5" x14ac:dyDescent="0.2">
      <c r="A411" s="7"/>
      <c r="B411" s="7"/>
      <c r="C411" s="9"/>
      <c r="D411" s="8"/>
      <c r="E411" s="8"/>
    </row>
    <row r="412" spans="1:5" x14ac:dyDescent="0.2">
      <c r="A412" s="7"/>
      <c r="B412" s="7"/>
      <c r="C412" s="9"/>
      <c r="D412" s="8"/>
      <c r="E412" s="8"/>
    </row>
    <row r="413" spans="1:5" x14ac:dyDescent="0.2">
      <c r="A413" s="7"/>
      <c r="B413" s="7"/>
      <c r="C413" s="9"/>
      <c r="D413" s="8"/>
      <c r="E413" s="8"/>
    </row>
    <row r="414" spans="1:5" x14ac:dyDescent="0.2">
      <c r="A414" s="7"/>
      <c r="B414" s="7"/>
      <c r="C414" s="9"/>
      <c r="D414" s="8"/>
      <c r="E414" s="8"/>
    </row>
    <row r="415" spans="1:5" x14ac:dyDescent="0.2">
      <c r="A415" s="7"/>
      <c r="B415" s="7"/>
      <c r="C415" s="9"/>
      <c r="D415" s="8"/>
      <c r="E415" s="8"/>
    </row>
    <row r="416" spans="1:5" x14ac:dyDescent="0.2">
      <c r="A416" s="7"/>
      <c r="B416" s="7"/>
      <c r="C416" s="9"/>
      <c r="D416" s="8"/>
      <c r="E416" s="8"/>
    </row>
    <row r="417" spans="1:5" x14ac:dyDescent="0.2">
      <c r="A417" s="7"/>
      <c r="B417" s="7"/>
      <c r="C417" s="9"/>
      <c r="D417" s="8"/>
      <c r="E417" s="8"/>
    </row>
    <row r="418" spans="1:5" x14ac:dyDescent="0.2">
      <c r="A418" s="7"/>
      <c r="B418" s="7"/>
      <c r="C418" s="9"/>
      <c r="D418" s="8"/>
      <c r="E418" s="8"/>
    </row>
    <row r="419" spans="1:5" x14ac:dyDescent="0.2">
      <c r="A419" s="7"/>
      <c r="B419" s="7"/>
      <c r="C419" s="9"/>
      <c r="D419" s="8"/>
      <c r="E419" s="8"/>
    </row>
    <row r="420" spans="1:5" x14ac:dyDescent="0.2">
      <c r="A420" s="7"/>
      <c r="B420" s="7"/>
      <c r="C420" s="9"/>
      <c r="D420" s="8"/>
      <c r="E420" s="8"/>
    </row>
    <row r="421" spans="1:5" x14ac:dyDescent="0.2">
      <c r="A421" s="7"/>
      <c r="B421" s="7"/>
      <c r="C421" s="9"/>
      <c r="D421" s="8"/>
      <c r="E421" s="8"/>
    </row>
    <row r="422" spans="1:5" x14ac:dyDescent="0.2">
      <c r="A422" s="7"/>
      <c r="B422" s="7"/>
      <c r="C422" s="9"/>
      <c r="D422" s="8"/>
      <c r="E422" s="8"/>
    </row>
    <row r="423" spans="1:5" x14ac:dyDescent="0.2">
      <c r="A423" s="7"/>
      <c r="B423" s="7"/>
      <c r="C423" s="9"/>
      <c r="D423" s="8"/>
      <c r="E423" s="8"/>
    </row>
    <row r="424" spans="1:5" x14ac:dyDescent="0.2">
      <c r="A424" s="7"/>
      <c r="B424" s="7"/>
      <c r="C424" s="9"/>
      <c r="D424" s="8"/>
      <c r="E424" s="8"/>
    </row>
    <row r="425" spans="1:5" x14ac:dyDescent="0.2">
      <c r="A425" s="7"/>
      <c r="B425" s="7"/>
      <c r="C425" s="9"/>
      <c r="D425" s="8"/>
      <c r="E425" s="8"/>
    </row>
    <row r="426" spans="1:5" x14ac:dyDescent="0.2">
      <c r="A426" s="7"/>
      <c r="B426" s="7"/>
      <c r="C426" s="9"/>
      <c r="D426" s="8"/>
      <c r="E426" s="8"/>
    </row>
    <row r="427" spans="1:5" x14ac:dyDescent="0.2">
      <c r="A427" s="7"/>
      <c r="B427" s="7"/>
      <c r="C427" s="9"/>
      <c r="D427" s="8"/>
      <c r="E427" s="8"/>
    </row>
    <row r="428" spans="1:5" x14ac:dyDescent="0.2">
      <c r="A428" s="7"/>
      <c r="B428" s="7"/>
      <c r="C428" s="9"/>
      <c r="D428" s="8"/>
      <c r="E428" s="8"/>
    </row>
    <row r="429" spans="1:5" x14ac:dyDescent="0.2">
      <c r="A429" s="7"/>
      <c r="B429" s="7"/>
      <c r="C429" s="9"/>
      <c r="D429" s="8"/>
      <c r="E429" s="8"/>
    </row>
    <row r="430" spans="1:5" x14ac:dyDescent="0.2">
      <c r="A430" s="7"/>
      <c r="B430" s="7"/>
      <c r="C430" s="9"/>
      <c r="D430" s="8"/>
      <c r="E430" s="8"/>
    </row>
    <row r="431" spans="1:5" x14ac:dyDescent="0.2">
      <c r="A431" s="7"/>
      <c r="B431" s="7"/>
      <c r="C431" s="9"/>
      <c r="D431" s="8"/>
      <c r="E431" s="8"/>
    </row>
    <row r="432" spans="1:5" x14ac:dyDescent="0.2">
      <c r="A432" s="7"/>
      <c r="B432" s="7"/>
      <c r="C432" s="9"/>
      <c r="D432" s="8"/>
      <c r="E432" s="8"/>
    </row>
    <row r="433" spans="1:5" x14ac:dyDescent="0.2">
      <c r="A433" s="7"/>
      <c r="B433" s="7"/>
      <c r="C433" s="9"/>
      <c r="D433" s="8"/>
      <c r="E433" s="8"/>
    </row>
    <row r="434" spans="1:5" x14ac:dyDescent="0.2">
      <c r="A434" s="7"/>
      <c r="B434" s="7"/>
      <c r="C434" s="9"/>
      <c r="D434" s="8"/>
      <c r="E434" s="8"/>
    </row>
    <row r="435" spans="1:5" x14ac:dyDescent="0.2">
      <c r="A435" s="7"/>
      <c r="B435" s="7"/>
      <c r="C435" s="9"/>
      <c r="D435" s="8"/>
      <c r="E435" s="8"/>
    </row>
    <row r="436" spans="1:5" x14ac:dyDescent="0.2">
      <c r="A436" s="7"/>
      <c r="B436" s="7"/>
      <c r="C436" s="9"/>
      <c r="D436" s="8"/>
      <c r="E436" s="8"/>
    </row>
    <row r="437" spans="1:5" x14ac:dyDescent="0.2">
      <c r="A437" s="7"/>
      <c r="B437" s="7"/>
      <c r="C437" s="9"/>
      <c r="D437" s="8"/>
      <c r="E437" s="8"/>
    </row>
    <row r="438" spans="1:5" x14ac:dyDescent="0.2">
      <c r="A438" s="7"/>
      <c r="B438" s="7"/>
      <c r="C438" s="9"/>
      <c r="D438" s="8"/>
      <c r="E438" s="8"/>
    </row>
    <row r="439" spans="1:5" x14ac:dyDescent="0.2">
      <c r="A439" s="7"/>
      <c r="B439" s="7"/>
      <c r="C439" s="9"/>
      <c r="D439" s="8"/>
      <c r="E439" s="8"/>
    </row>
    <row r="440" spans="1:5" x14ac:dyDescent="0.2">
      <c r="A440" s="7"/>
      <c r="B440" s="7"/>
      <c r="C440" s="9"/>
      <c r="D440" s="8"/>
      <c r="E440" s="8"/>
    </row>
    <row r="441" spans="1:5" x14ac:dyDescent="0.2">
      <c r="A441" s="7"/>
      <c r="B441" s="7"/>
      <c r="C441" s="9"/>
      <c r="D441" s="8"/>
      <c r="E441" s="8"/>
    </row>
    <row r="442" spans="1:5" x14ac:dyDescent="0.2">
      <c r="A442" s="7"/>
      <c r="B442" s="7"/>
      <c r="C442" s="9"/>
      <c r="D442" s="8"/>
      <c r="E442" s="8"/>
    </row>
    <row r="443" spans="1:5" x14ac:dyDescent="0.2">
      <c r="A443" s="7"/>
      <c r="B443" s="7"/>
      <c r="C443" s="9"/>
      <c r="D443" s="8"/>
      <c r="E443" s="8"/>
    </row>
    <row r="444" spans="1:5" x14ac:dyDescent="0.2">
      <c r="A444" s="7"/>
      <c r="B444" s="7"/>
      <c r="C444" s="9"/>
      <c r="D444" s="8"/>
      <c r="E444" s="8"/>
    </row>
    <row r="445" spans="1:5" x14ac:dyDescent="0.2">
      <c r="A445" s="7"/>
      <c r="B445" s="7"/>
      <c r="C445" s="9"/>
      <c r="D445" s="8"/>
      <c r="E445" s="8"/>
    </row>
    <row r="446" spans="1:5" x14ac:dyDescent="0.2">
      <c r="A446" s="7"/>
      <c r="B446" s="7"/>
      <c r="C446" s="9"/>
      <c r="D446" s="8"/>
      <c r="E446" s="8"/>
    </row>
    <row r="447" spans="1:5" x14ac:dyDescent="0.2">
      <c r="A447" s="7"/>
      <c r="B447" s="7"/>
      <c r="C447" s="9"/>
      <c r="D447" s="8"/>
      <c r="E447" s="8"/>
    </row>
    <row r="448" spans="1:5" x14ac:dyDescent="0.2">
      <c r="A448" s="7"/>
      <c r="B448" s="7"/>
      <c r="C448" s="9"/>
      <c r="D448" s="8"/>
      <c r="E448" s="8"/>
    </row>
    <row r="449" spans="1:5" x14ac:dyDescent="0.2">
      <c r="A449" s="7"/>
      <c r="B449" s="7"/>
      <c r="C449" s="9"/>
      <c r="D449" s="8"/>
      <c r="E449" s="8"/>
    </row>
    <row r="450" spans="1:5" x14ac:dyDescent="0.2">
      <c r="A450" s="7"/>
      <c r="B450" s="7"/>
      <c r="C450" s="9"/>
      <c r="D450" s="8"/>
      <c r="E450" s="8"/>
    </row>
    <row r="451" spans="1:5" x14ac:dyDescent="0.2">
      <c r="A451" s="7"/>
      <c r="B451" s="7"/>
      <c r="C451" s="9"/>
      <c r="D451" s="8"/>
      <c r="E451" s="8"/>
    </row>
    <row r="452" spans="1:5" x14ac:dyDescent="0.2">
      <c r="A452" s="7"/>
      <c r="B452" s="7"/>
      <c r="C452" s="9"/>
      <c r="D452" s="8"/>
      <c r="E452" s="8"/>
    </row>
    <row r="453" spans="1:5" x14ac:dyDescent="0.2">
      <c r="A453" s="7"/>
      <c r="B453" s="7"/>
      <c r="C453" s="9"/>
      <c r="D453" s="8"/>
      <c r="E453" s="8"/>
    </row>
    <row r="454" spans="1:5" x14ac:dyDescent="0.2">
      <c r="A454" s="7"/>
      <c r="B454" s="7"/>
      <c r="C454" s="9"/>
      <c r="D454" s="8"/>
      <c r="E454" s="8"/>
    </row>
    <row r="455" spans="1:5" x14ac:dyDescent="0.2">
      <c r="A455" s="7"/>
      <c r="B455" s="7"/>
      <c r="C455" s="9"/>
      <c r="D455" s="8"/>
      <c r="E455" s="8"/>
    </row>
    <row r="456" spans="1:5" x14ac:dyDescent="0.2">
      <c r="A456" s="7"/>
      <c r="B456" s="7"/>
      <c r="C456" s="9"/>
      <c r="D456" s="8"/>
      <c r="E456" s="8"/>
    </row>
    <row r="457" spans="1:5" x14ac:dyDescent="0.2">
      <c r="A457" s="7"/>
      <c r="B457" s="7"/>
      <c r="C457" s="9"/>
      <c r="D457" s="8"/>
      <c r="E457" s="8"/>
    </row>
    <row r="458" spans="1:5" x14ac:dyDescent="0.2">
      <c r="A458" s="7"/>
      <c r="B458" s="7"/>
      <c r="C458" s="9"/>
      <c r="D458" s="8"/>
      <c r="E458" s="8"/>
    </row>
    <row r="459" spans="1:5" x14ac:dyDescent="0.2">
      <c r="A459" s="7"/>
      <c r="B459" s="7"/>
      <c r="C459" s="9"/>
      <c r="D459" s="8"/>
      <c r="E459" s="8"/>
    </row>
    <row r="460" spans="1:5" x14ac:dyDescent="0.2">
      <c r="A460" s="7"/>
      <c r="B460" s="7"/>
      <c r="C460" s="9"/>
      <c r="D460" s="8"/>
      <c r="E460" s="8"/>
    </row>
    <row r="461" spans="1:5" x14ac:dyDescent="0.2">
      <c r="A461" s="7"/>
      <c r="B461" s="7"/>
      <c r="C461" s="9"/>
      <c r="D461" s="8"/>
      <c r="E461" s="8"/>
    </row>
    <row r="462" spans="1:5" x14ac:dyDescent="0.2">
      <c r="A462" s="7"/>
      <c r="B462" s="7"/>
      <c r="C462" s="9"/>
      <c r="D462" s="8"/>
      <c r="E462" s="8"/>
    </row>
    <row r="463" spans="1:5" x14ac:dyDescent="0.2">
      <c r="A463" s="7"/>
      <c r="B463" s="7"/>
      <c r="C463" s="9"/>
      <c r="D463" s="8"/>
      <c r="E463" s="8"/>
    </row>
    <row r="464" spans="1:5" x14ac:dyDescent="0.2">
      <c r="A464" s="7"/>
      <c r="B464" s="7"/>
      <c r="C464" s="9"/>
      <c r="D464" s="8"/>
      <c r="E464" s="8"/>
    </row>
    <row r="465" spans="1:5" x14ac:dyDescent="0.2">
      <c r="A465" s="7"/>
      <c r="B465" s="7"/>
      <c r="C465" s="9"/>
      <c r="D465" s="8"/>
      <c r="E465" s="8"/>
    </row>
    <row r="466" spans="1:5" x14ac:dyDescent="0.2">
      <c r="A466" s="7"/>
      <c r="B466" s="7"/>
      <c r="C466" s="9"/>
      <c r="D466" s="8"/>
      <c r="E466" s="8"/>
    </row>
    <row r="467" spans="1:5" x14ac:dyDescent="0.2">
      <c r="A467" s="7"/>
      <c r="B467" s="7"/>
      <c r="C467" s="9"/>
      <c r="D467" s="8"/>
      <c r="E467" s="8"/>
    </row>
    <row r="468" spans="1:5" x14ac:dyDescent="0.2">
      <c r="A468" s="7"/>
      <c r="B468" s="7"/>
      <c r="C468" s="9"/>
      <c r="D468" s="8"/>
      <c r="E468" s="8"/>
    </row>
    <row r="469" spans="1:5" x14ac:dyDescent="0.2">
      <c r="A469" s="7"/>
      <c r="B469" s="7"/>
      <c r="C469" s="9"/>
      <c r="D469" s="8"/>
      <c r="E469" s="8"/>
    </row>
    <row r="470" spans="1:5" x14ac:dyDescent="0.2">
      <c r="A470" s="7"/>
      <c r="B470" s="7"/>
      <c r="C470" s="9"/>
      <c r="D470" s="8"/>
      <c r="E470" s="8"/>
    </row>
    <row r="471" spans="1:5" x14ac:dyDescent="0.2">
      <c r="A471" s="7"/>
      <c r="B471" s="7"/>
      <c r="C471" s="9"/>
      <c r="D471" s="8"/>
      <c r="E471" s="8"/>
    </row>
    <row r="472" spans="1:5" x14ac:dyDescent="0.2">
      <c r="A472" s="7"/>
      <c r="B472" s="7"/>
      <c r="C472" s="9"/>
      <c r="D472" s="8"/>
      <c r="E472" s="8"/>
    </row>
    <row r="473" spans="1:5" x14ac:dyDescent="0.2">
      <c r="A473" s="7"/>
      <c r="B473" s="7"/>
      <c r="C473" s="9"/>
      <c r="D473" s="8"/>
      <c r="E473" s="8"/>
    </row>
    <row r="474" spans="1:5" x14ac:dyDescent="0.2">
      <c r="A474" s="7"/>
      <c r="B474" s="7"/>
      <c r="C474" s="9"/>
      <c r="D474" s="8"/>
      <c r="E474" s="8"/>
    </row>
    <row r="475" spans="1:5" x14ac:dyDescent="0.2">
      <c r="A475" s="7"/>
      <c r="B475" s="7"/>
      <c r="C475" s="9"/>
      <c r="D475" s="8"/>
      <c r="E475" s="8"/>
    </row>
    <row r="476" spans="1:5" x14ac:dyDescent="0.2">
      <c r="A476" s="7"/>
      <c r="B476" s="7"/>
      <c r="C476" s="9"/>
      <c r="D476" s="8"/>
      <c r="E476" s="8"/>
    </row>
    <row r="477" spans="1:5" x14ac:dyDescent="0.2">
      <c r="A477" s="7"/>
      <c r="B477" s="7"/>
      <c r="C477" s="9"/>
      <c r="D477" s="8"/>
      <c r="E477" s="8"/>
    </row>
    <row r="478" spans="1:5" x14ac:dyDescent="0.2">
      <c r="A478" s="7"/>
      <c r="B478" s="7"/>
      <c r="C478" s="9"/>
      <c r="D478" s="8"/>
      <c r="E478" s="8"/>
    </row>
    <row r="479" spans="1:5" x14ac:dyDescent="0.2">
      <c r="A479" s="7"/>
      <c r="B479" s="7"/>
      <c r="C479" s="9"/>
      <c r="D479" s="8"/>
      <c r="E479" s="8"/>
    </row>
    <row r="480" spans="1:5" x14ac:dyDescent="0.2">
      <c r="A480" s="7"/>
      <c r="B480" s="7"/>
      <c r="C480" s="9"/>
      <c r="D480" s="8"/>
      <c r="E480" s="8"/>
    </row>
    <row r="481" spans="1:5" x14ac:dyDescent="0.2">
      <c r="A481" s="7"/>
      <c r="B481" s="7"/>
      <c r="C481" s="9"/>
      <c r="D481" s="8"/>
      <c r="E481" s="8"/>
    </row>
    <row r="482" spans="1:5" x14ac:dyDescent="0.2">
      <c r="A482" s="7"/>
      <c r="B482" s="7"/>
      <c r="C482" s="9"/>
      <c r="D482" s="8"/>
      <c r="E482" s="8"/>
    </row>
    <row r="483" spans="1:5" x14ac:dyDescent="0.2">
      <c r="A483" s="7"/>
      <c r="B483" s="7"/>
      <c r="C483" s="9"/>
      <c r="D483" s="8"/>
      <c r="E483" s="8"/>
    </row>
    <row r="484" spans="1:5" x14ac:dyDescent="0.2">
      <c r="A484" s="7"/>
      <c r="B484" s="7"/>
      <c r="C484" s="9"/>
      <c r="D484" s="8"/>
      <c r="E484" s="8"/>
    </row>
    <row r="485" spans="1:5" x14ac:dyDescent="0.2">
      <c r="A485" s="7"/>
      <c r="B485" s="7"/>
      <c r="C485" s="9"/>
      <c r="D485" s="8"/>
      <c r="E485" s="8"/>
    </row>
    <row r="486" spans="1:5" x14ac:dyDescent="0.2">
      <c r="A486" s="7"/>
      <c r="B486" s="7"/>
      <c r="C486" s="9"/>
      <c r="D486" s="8"/>
      <c r="E486" s="8"/>
    </row>
    <row r="487" spans="1:5" x14ac:dyDescent="0.2">
      <c r="A487" s="7"/>
      <c r="B487" s="7"/>
      <c r="C487" s="9"/>
      <c r="D487" s="8"/>
      <c r="E487" s="8"/>
    </row>
    <row r="488" spans="1:5" x14ac:dyDescent="0.2">
      <c r="A488" s="7"/>
      <c r="B488" s="7"/>
      <c r="C488" s="9"/>
      <c r="D488" s="8"/>
      <c r="E488" s="8"/>
    </row>
    <row r="489" spans="1:5" x14ac:dyDescent="0.2">
      <c r="A489" s="7"/>
      <c r="B489" s="7"/>
      <c r="C489" s="9"/>
      <c r="D489" s="8"/>
      <c r="E489" s="8"/>
    </row>
    <row r="490" spans="1:5" x14ac:dyDescent="0.2">
      <c r="A490" s="7"/>
      <c r="B490" s="7"/>
      <c r="C490" s="9"/>
      <c r="D490" s="8"/>
      <c r="E490" s="8"/>
    </row>
    <row r="491" spans="1:5" x14ac:dyDescent="0.2">
      <c r="A491" s="7"/>
      <c r="B491" s="7"/>
      <c r="C491" s="9"/>
      <c r="D491" s="8"/>
      <c r="E491" s="8"/>
    </row>
    <row r="492" spans="1:5" x14ac:dyDescent="0.2">
      <c r="A492" s="7"/>
      <c r="B492" s="7"/>
      <c r="C492" s="9"/>
      <c r="D492" s="8"/>
      <c r="E492" s="8"/>
    </row>
    <row r="493" spans="1:5" x14ac:dyDescent="0.2">
      <c r="A493" s="7"/>
      <c r="B493" s="7"/>
      <c r="C493" s="9"/>
      <c r="D493" s="8"/>
      <c r="E493" s="8"/>
    </row>
    <row r="494" spans="1:5" x14ac:dyDescent="0.2">
      <c r="A494" s="7"/>
      <c r="B494" s="7"/>
      <c r="C494" s="9"/>
      <c r="D494" s="8"/>
      <c r="E494" s="8"/>
    </row>
    <row r="495" spans="1:5" x14ac:dyDescent="0.2">
      <c r="A495" s="7"/>
      <c r="B495" s="7"/>
      <c r="C495" s="9"/>
      <c r="D495" s="8"/>
      <c r="E495" s="8"/>
    </row>
    <row r="496" spans="1:5" x14ac:dyDescent="0.2">
      <c r="A496" s="7"/>
      <c r="B496" s="7"/>
      <c r="C496" s="9"/>
      <c r="D496" s="8"/>
      <c r="E496" s="8"/>
    </row>
    <row r="497" spans="1:5" x14ac:dyDescent="0.2">
      <c r="A497" s="7"/>
      <c r="B497" s="7"/>
      <c r="C497" s="9"/>
      <c r="D497" s="8"/>
      <c r="E497" s="8"/>
    </row>
    <row r="498" spans="1:5" x14ac:dyDescent="0.2">
      <c r="A498" s="7"/>
      <c r="B498" s="7"/>
      <c r="C498" s="9"/>
      <c r="D498" s="8"/>
      <c r="E498" s="8"/>
    </row>
    <row r="499" spans="1:5" x14ac:dyDescent="0.2">
      <c r="A499" s="7"/>
      <c r="B499" s="7"/>
      <c r="C499" s="9"/>
      <c r="D499" s="8"/>
      <c r="E499" s="8"/>
    </row>
    <row r="500" spans="1:5" x14ac:dyDescent="0.2">
      <c r="A500" s="7"/>
      <c r="B500" s="7"/>
      <c r="C500" s="9"/>
      <c r="D500" s="8"/>
      <c r="E500" s="8"/>
    </row>
    <row r="501" spans="1:5" x14ac:dyDescent="0.2">
      <c r="A501" s="7"/>
      <c r="B501" s="7"/>
      <c r="C501" s="9"/>
      <c r="D501" s="8"/>
      <c r="E501" s="8"/>
    </row>
    <row r="502" spans="1:5" x14ac:dyDescent="0.2">
      <c r="A502" s="7"/>
      <c r="B502" s="7"/>
      <c r="C502" s="9"/>
      <c r="D502" s="8"/>
      <c r="E502" s="8"/>
    </row>
    <row r="503" spans="1:5" x14ac:dyDescent="0.2">
      <c r="A503" s="7"/>
      <c r="B503" s="7"/>
      <c r="C503" s="9"/>
      <c r="D503" s="8"/>
      <c r="E503" s="8"/>
    </row>
    <row r="504" spans="1:5" x14ac:dyDescent="0.2">
      <c r="A504" s="7"/>
      <c r="B504" s="7"/>
      <c r="C504" s="9"/>
      <c r="D504" s="8"/>
      <c r="E504" s="8"/>
    </row>
    <row r="505" spans="1:5" x14ac:dyDescent="0.2">
      <c r="A505" s="7"/>
      <c r="B505" s="7"/>
      <c r="C505" s="9"/>
      <c r="D505" s="8"/>
      <c r="E505" s="8"/>
    </row>
    <row r="506" spans="1:5" x14ac:dyDescent="0.2">
      <c r="A506" s="7"/>
      <c r="B506" s="7"/>
      <c r="C506" s="9"/>
      <c r="D506" s="8"/>
      <c r="E506" s="8"/>
    </row>
    <row r="507" spans="1:5" x14ac:dyDescent="0.2">
      <c r="A507" s="7"/>
      <c r="B507" s="7"/>
      <c r="C507" s="9"/>
      <c r="D507" s="8"/>
      <c r="E507" s="8"/>
    </row>
    <row r="508" spans="1:5" x14ac:dyDescent="0.2">
      <c r="A508" s="7"/>
      <c r="B508" s="7"/>
      <c r="C508" s="9"/>
      <c r="D508" s="8"/>
      <c r="E508" s="8"/>
    </row>
    <row r="509" spans="1:5" x14ac:dyDescent="0.2">
      <c r="A509" s="7"/>
      <c r="B509" s="7"/>
      <c r="C509" s="9"/>
      <c r="D509" s="8"/>
      <c r="E509" s="8"/>
    </row>
    <row r="510" spans="1:5" x14ac:dyDescent="0.2">
      <c r="A510" s="7"/>
      <c r="B510" s="7"/>
      <c r="C510" s="9"/>
      <c r="D510" s="8"/>
      <c r="E510" s="8"/>
    </row>
    <row r="511" spans="1:5" x14ac:dyDescent="0.2">
      <c r="A511" s="7"/>
      <c r="B511" s="7"/>
      <c r="C511" s="9"/>
      <c r="D511" s="8"/>
      <c r="E511" s="8"/>
    </row>
    <row r="512" spans="1:5" x14ac:dyDescent="0.2">
      <c r="A512" s="7"/>
      <c r="B512" s="7"/>
      <c r="C512" s="9"/>
      <c r="D512" s="8"/>
      <c r="E512" s="8"/>
    </row>
    <row r="513" spans="1:5" x14ac:dyDescent="0.2">
      <c r="A513" s="7"/>
      <c r="B513" s="7"/>
      <c r="C513" s="9"/>
      <c r="D513" s="8"/>
      <c r="E513" s="8"/>
    </row>
    <row r="514" spans="1:5" x14ac:dyDescent="0.2">
      <c r="A514" s="7"/>
      <c r="B514" s="7"/>
      <c r="C514" s="9"/>
      <c r="D514" s="8"/>
      <c r="E514" s="8"/>
    </row>
    <row r="515" spans="1:5" x14ac:dyDescent="0.2">
      <c r="A515" s="7"/>
      <c r="B515" s="7"/>
      <c r="C515" s="9"/>
      <c r="D515" s="8"/>
      <c r="E515" s="8"/>
    </row>
    <row r="516" spans="1:5" x14ac:dyDescent="0.2">
      <c r="A516" s="7"/>
      <c r="B516" s="7"/>
      <c r="C516" s="9"/>
      <c r="D516" s="8"/>
      <c r="E516" s="8"/>
    </row>
    <row r="517" spans="1:5" x14ac:dyDescent="0.2">
      <c r="A517" s="7"/>
      <c r="B517" s="7"/>
      <c r="C517" s="9"/>
      <c r="D517" s="8"/>
      <c r="E517" s="8"/>
    </row>
    <row r="518" spans="1:5" x14ac:dyDescent="0.2">
      <c r="A518" s="7"/>
      <c r="B518" s="7"/>
      <c r="C518" s="9"/>
      <c r="D518" s="8"/>
      <c r="E518" s="8"/>
    </row>
    <row r="519" spans="1:5" x14ac:dyDescent="0.2">
      <c r="A519" s="7"/>
      <c r="B519" s="7"/>
      <c r="C519" s="9"/>
      <c r="D519" s="8"/>
      <c r="E519" s="8"/>
    </row>
    <row r="520" spans="1:5" x14ac:dyDescent="0.2">
      <c r="A520" s="7"/>
      <c r="B520" s="7"/>
      <c r="C520" s="9"/>
      <c r="D520" s="8"/>
      <c r="E520" s="8"/>
    </row>
    <row r="521" spans="1:5" x14ac:dyDescent="0.2">
      <c r="A521" s="7"/>
      <c r="B521" s="7"/>
      <c r="C521" s="9"/>
      <c r="D521" s="8"/>
      <c r="E521" s="8"/>
    </row>
    <row r="522" spans="1:5" x14ac:dyDescent="0.2">
      <c r="A522" s="7"/>
      <c r="B522" s="7"/>
      <c r="C522" s="9"/>
      <c r="D522" s="8"/>
      <c r="E522" s="8"/>
    </row>
    <row r="523" spans="1:5" x14ac:dyDescent="0.2">
      <c r="A523" s="7"/>
      <c r="B523" s="7"/>
      <c r="C523" s="9"/>
      <c r="D523" s="8"/>
      <c r="E523" s="8"/>
    </row>
    <row r="524" spans="1:5" x14ac:dyDescent="0.2">
      <c r="A524" s="7"/>
      <c r="B524" s="7"/>
      <c r="C524" s="9"/>
      <c r="D524" s="8"/>
      <c r="E524" s="8"/>
    </row>
    <row r="525" spans="1:5" x14ac:dyDescent="0.2">
      <c r="A525" s="7"/>
      <c r="B525" s="7"/>
      <c r="C525" s="9"/>
      <c r="D525" s="8"/>
      <c r="E525" s="8"/>
    </row>
    <row r="526" spans="1:5" x14ac:dyDescent="0.2">
      <c r="A526" s="7"/>
      <c r="B526" s="7"/>
      <c r="C526" s="9"/>
      <c r="D526" s="8"/>
      <c r="E526" s="8"/>
    </row>
    <row r="527" spans="1:5" x14ac:dyDescent="0.2">
      <c r="A527" s="7"/>
      <c r="B527" s="7"/>
      <c r="C527" s="9"/>
      <c r="D527" s="8"/>
      <c r="E527" s="8"/>
    </row>
    <row r="528" spans="1:5" x14ac:dyDescent="0.2">
      <c r="A528" s="7"/>
      <c r="B528" s="7"/>
      <c r="C528" s="9"/>
      <c r="D528" s="8"/>
      <c r="E528" s="8"/>
    </row>
    <row r="529" spans="1:5" x14ac:dyDescent="0.2">
      <c r="A529" s="7"/>
      <c r="B529" s="7"/>
      <c r="C529" s="9"/>
      <c r="D529" s="8"/>
      <c r="E529" s="8"/>
    </row>
    <row r="530" spans="1:5" x14ac:dyDescent="0.2">
      <c r="A530" s="7"/>
      <c r="B530" s="7"/>
      <c r="C530" s="9"/>
      <c r="D530" s="8"/>
      <c r="E530" s="8"/>
    </row>
    <row r="531" spans="1:5" x14ac:dyDescent="0.2">
      <c r="A531" s="7"/>
      <c r="B531" s="7"/>
      <c r="C531" s="9"/>
      <c r="D531" s="8"/>
      <c r="E531" s="8"/>
    </row>
    <row r="532" spans="1:5" x14ac:dyDescent="0.2">
      <c r="A532" s="7"/>
      <c r="B532" s="7"/>
      <c r="C532" s="9"/>
      <c r="D532" s="8"/>
      <c r="E532" s="8"/>
    </row>
    <row r="533" spans="1:5" x14ac:dyDescent="0.2">
      <c r="A533" s="7"/>
      <c r="B533" s="7"/>
      <c r="C533" s="9"/>
      <c r="D533" s="8"/>
      <c r="E533" s="8"/>
    </row>
    <row r="534" spans="1:5" x14ac:dyDescent="0.2">
      <c r="A534" s="7"/>
      <c r="B534" s="7"/>
      <c r="C534" s="9"/>
      <c r="D534" s="8"/>
      <c r="E534" s="8"/>
    </row>
    <row r="535" spans="1:5" x14ac:dyDescent="0.2">
      <c r="A535" s="7"/>
      <c r="B535" s="7"/>
      <c r="C535" s="9"/>
      <c r="D535" s="8"/>
      <c r="E535" s="8"/>
    </row>
    <row r="536" spans="1:5" x14ac:dyDescent="0.2">
      <c r="A536" s="7"/>
      <c r="B536" s="7"/>
      <c r="C536" s="9"/>
      <c r="D536" s="8"/>
      <c r="E536" s="8"/>
    </row>
    <row r="537" spans="1:5" x14ac:dyDescent="0.2">
      <c r="A537" s="7"/>
      <c r="B537" s="7"/>
      <c r="C537" s="9"/>
      <c r="D537" s="8"/>
      <c r="E537" s="8"/>
    </row>
    <row r="538" spans="1:5" x14ac:dyDescent="0.2">
      <c r="A538" s="7"/>
      <c r="B538" s="7"/>
      <c r="C538" s="9"/>
      <c r="D538" s="8"/>
      <c r="E538" s="8"/>
    </row>
    <row r="539" spans="1:5" x14ac:dyDescent="0.2">
      <c r="A539" s="7"/>
      <c r="B539" s="7"/>
      <c r="C539" s="9"/>
      <c r="D539" s="8"/>
      <c r="E539" s="8"/>
    </row>
    <row r="540" spans="1:5" x14ac:dyDescent="0.2">
      <c r="A540" s="7"/>
      <c r="B540" s="7"/>
      <c r="C540" s="9"/>
      <c r="D540" s="8"/>
      <c r="E540" s="8"/>
    </row>
    <row r="541" spans="1:5" x14ac:dyDescent="0.2">
      <c r="A541" s="7"/>
      <c r="B541" s="7"/>
      <c r="C541" s="9"/>
      <c r="D541" s="8"/>
      <c r="E541" s="8"/>
    </row>
    <row r="542" spans="1:5" x14ac:dyDescent="0.2">
      <c r="A542" s="7"/>
      <c r="B542" s="7"/>
      <c r="C542" s="9"/>
      <c r="D542" s="8"/>
      <c r="E542" s="8"/>
    </row>
    <row r="543" spans="1:5" x14ac:dyDescent="0.2">
      <c r="A543" s="7"/>
      <c r="B543" s="7"/>
      <c r="C543" s="9"/>
      <c r="D543" s="8"/>
      <c r="E543" s="8"/>
    </row>
    <row r="544" spans="1:5" x14ac:dyDescent="0.2">
      <c r="A544" s="7"/>
      <c r="B544" s="7"/>
      <c r="C544" s="9"/>
      <c r="D544" s="8"/>
      <c r="E544" s="8"/>
    </row>
    <row r="545" spans="1:5" x14ac:dyDescent="0.2">
      <c r="A545" s="7"/>
      <c r="B545" s="7"/>
      <c r="C545" s="9"/>
      <c r="D545" s="8"/>
      <c r="E545" s="8"/>
    </row>
    <row r="546" spans="1:5" x14ac:dyDescent="0.2">
      <c r="A546" s="7"/>
      <c r="B546" s="7"/>
      <c r="C546" s="9"/>
      <c r="D546" s="8"/>
      <c r="E546" s="8"/>
    </row>
    <row r="547" spans="1:5" x14ac:dyDescent="0.2">
      <c r="A547" s="7"/>
      <c r="B547" s="7"/>
      <c r="C547" s="9"/>
      <c r="D547" s="8"/>
      <c r="E547" s="8"/>
    </row>
    <row r="548" spans="1:5" x14ac:dyDescent="0.2">
      <c r="A548" s="7"/>
      <c r="B548" s="7"/>
      <c r="C548" s="9"/>
      <c r="D548" s="8"/>
      <c r="E548" s="8"/>
    </row>
    <row r="549" spans="1:5" x14ac:dyDescent="0.2">
      <c r="A549" s="7"/>
      <c r="B549" s="7"/>
      <c r="C549" s="9"/>
      <c r="D549" s="8"/>
      <c r="E549" s="8"/>
    </row>
    <row r="550" spans="1:5" x14ac:dyDescent="0.2">
      <c r="A550" s="7"/>
      <c r="B550" s="7"/>
      <c r="C550" s="9"/>
      <c r="D550" s="8"/>
      <c r="E550" s="8"/>
    </row>
    <row r="551" spans="1:5" x14ac:dyDescent="0.2">
      <c r="A551" s="7"/>
      <c r="B551" s="7"/>
      <c r="C551" s="9"/>
      <c r="D551" s="8"/>
      <c r="E551" s="8"/>
    </row>
    <row r="552" spans="1:5" x14ac:dyDescent="0.2">
      <c r="A552" s="7"/>
      <c r="B552" s="7"/>
      <c r="C552" s="9"/>
      <c r="D552" s="8"/>
      <c r="E552" s="8"/>
    </row>
    <row r="553" spans="1:5" x14ac:dyDescent="0.2">
      <c r="A553" s="7"/>
      <c r="B553" s="7"/>
      <c r="C553" s="9"/>
      <c r="D553" s="8"/>
      <c r="E553" s="8"/>
    </row>
    <row r="554" spans="1:5" x14ac:dyDescent="0.2">
      <c r="A554" s="7"/>
      <c r="B554" s="7"/>
      <c r="C554" s="9"/>
      <c r="D554" s="8"/>
      <c r="E554" s="8"/>
    </row>
    <row r="555" spans="1:5" x14ac:dyDescent="0.2">
      <c r="A555" s="7"/>
      <c r="B555" s="7"/>
      <c r="C555" s="9"/>
      <c r="D555" s="8"/>
      <c r="E555" s="8"/>
    </row>
    <row r="556" spans="1:5" x14ac:dyDescent="0.2">
      <c r="A556" s="7"/>
      <c r="B556" s="7"/>
      <c r="C556" s="9"/>
      <c r="D556" s="8"/>
      <c r="E556" s="8"/>
    </row>
    <row r="557" spans="1:5" x14ac:dyDescent="0.2">
      <c r="A557" s="7"/>
      <c r="B557" s="7"/>
      <c r="C557" s="9"/>
      <c r="D557" s="8"/>
      <c r="E557" s="8"/>
    </row>
    <row r="558" spans="1:5" x14ac:dyDescent="0.2">
      <c r="A558" s="7"/>
      <c r="B558" s="7"/>
      <c r="C558" s="9"/>
      <c r="D558" s="8"/>
      <c r="E558" s="8"/>
    </row>
    <row r="559" spans="1:5" x14ac:dyDescent="0.2">
      <c r="A559" s="7"/>
      <c r="B559" s="7"/>
      <c r="C559" s="9"/>
      <c r="D559" s="8"/>
      <c r="E559" s="8"/>
    </row>
    <row r="560" spans="1:5" x14ac:dyDescent="0.2">
      <c r="A560" s="7"/>
      <c r="B560" s="7"/>
      <c r="C560" s="9"/>
      <c r="D560" s="8"/>
      <c r="E560" s="8"/>
    </row>
    <row r="561" spans="1:5" x14ac:dyDescent="0.2">
      <c r="A561" s="7"/>
      <c r="B561" s="7"/>
      <c r="C561" s="9"/>
      <c r="D561" s="8"/>
      <c r="E561" s="8"/>
    </row>
    <row r="562" spans="1:5" x14ac:dyDescent="0.2">
      <c r="A562" s="7"/>
      <c r="B562" s="7"/>
      <c r="C562" s="9"/>
      <c r="D562" s="8"/>
      <c r="E562" s="8"/>
    </row>
    <row r="563" spans="1:5" x14ac:dyDescent="0.2">
      <c r="A563" s="7"/>
      <c r="B563" s="7"/>
      <c r="C563" s="9"/>
      <c r="D563" s="8"/>
      <c r="E563" s="8"/>
    </row>
    <row r="564" spans="1:5" x14ac:dyDescent="0.2">
      <c r="A564" s="7"/>
      <c r="B564" s="7"/>
      <c r="C564" s="9"/>
      <c r="D564" s="8"/>
      <c r="E564" s="8"/>
    </row>
    <row r="565" spans="1:5" x14ac:dyDescent="0.2">
      <c r="A565" s="7"/>
      <c r="B565" s="7"/>
      <c r="C565" s="9"/>
      <c r="D565" s="8"/>
      <c r="E565" s="8"/>
    </row>
    <row r="566" spans="1:5" x14ac:dyDescent="0.2">
      <c r="A566" s="7"/>
      <c r="B566" s="7"/>
      <c r="C566" s="9"/>
      <c r="D566" s="8"/>
      <c r="E566" s="8"/>
    </row>
    <row r="567" spans="1:5" x14ac:dyDescent="0.2">
      <c r="A567" s="7"/>
      <c r="B567" s="7"/>
      <c r="C567" s="9"/>
      <c r="D567" s="8"/>
      <c r="E567" s="8"/>
    </row>
    <row r="568" spans="1:5" x14ac:dyDescent="0.2">
      <c r="A568" s="7"/>
      <c r="B568" s="7"/>
      <c r="C568" s="9"/>
      <c r="D568" s="8"/>
      <c r="E568" s="8"/>
    </row>
    <row r="569" spans="1:5" x14ac:dyDescent="0.2">
      <c r="A569" s="7"/>
      <c r="B569" s="7"/>
      <c r="C569" s="9"/>
      <c r="D569" s="8"/>
      <c r="E569" s="8"/>
    </row>
    <row r="570" spans="1:5" x14ac:dyDescent="0.2">
      <c r="A570" s="7"/>
      <c r="B570" s="7"/>
      <c r="C570" s="9"/>
      <c r="D570" s="8"/>
      <c r="E570" s="8"/>
    </row>
    <row r="571" spans="1:5" x14ac:dyDescent="0.2">
      <c r="A571" s="7"/>
      <c r="B571" s="7"/>
      <c r="C571" s="9"/>
      <c r="D571" s="8"/>
      <c r="E571" s="8"/>
    </row>
    <row r="572" spans="1:5" x14ac:dyDescent="0.2">
      <c r="A572" s="7"/>
      <c r="B572" s="7"/>
      <c r="C572" s="9"/>
      <c r="D572" s="8"/>
      <c r="E572" s="8"/>
    </row>
    <row r="573" spans="1:5" x14ac:dyDescent="0.2">
      <c r="A573" s="7"/>
      <c r="B573" s="7"/>
      <c r="C573" s="9"/>
      <c r="D573" s="8"/>
      <c r="E573" s="8"/>
    </row>
    <row r="574" spans="1:5" x14ac:dyDescent="0.2">
      <c r="A574" s="7"/>
      <c r="B574" s="7"/>
      <c r="C574" s="9"/>
      <c r="D574" s="8"/>
      <c r="E574" s="8"/>
    </row>
    <row r="575" spans="1:5" x14ac:dyDescent="0.2">
      <c r="A575" s="7"/>
      <c r="B575" s="7"/>
      <c r="C575" s="9"/>
      <c r="D575" s="8"/>
      <c r="E575" s="8"/>
    </row>
    <row r="576" spans="1:5" x14ac:dyDescent="0.2">
      <c r="A576" s="7"/>
      <c r="B576" s="7"/>
      <c r="C576" s="9"/>
      <c r="D576" s="8"/>
      <c r="E576" s="8"/>
    </row>
    <row r="577" spans="1:5" x14ac:dyDescent="0.2">
      <c r="A577" s="7"/>
      <c r="B577" s="7"/>
      <c r="C577" s="9"/>
      <c r="D577" s="8"/>
      <c r="E577" s="8"/>
    </row>
    <row r="578" spans="1:5" x14ac:dyDescent="0.2">
      <c r="A578" s="7"/>
      <c r="B578" s="7"/>
      <c r="C578" s="9"/>
      <c r="D578" s="8"/>
      <c r="E578" s="8"/>
    </row>
    <row r="579" spans="1:5" x14ac:dyDescent="0.2">
      <c r="A579" s="7"/>
      <c r="B579" s="7"/>
      <c r="C579" s="9"/>
      <c r="D579" s="8"/>
      <c r="E579" s="8"/>
    </row>
    <row r="580" spans="1:5" x14ac:dyDescent="0.2">
      <c r="A580" s="7"/>
      <c r="B580" s="7"/>
      <c r="C580" s="9"/>
      <c r="D580" s="8"/>
      <c r="E580" s="8"/>
    </row>
    <row r="581" spans="1:5" x14ac:dyDescent="0.2">
      <c r="A581" s="7"/>
      <c r="B581" s="7"/>
      <c r="C581" s="9"/>
      <c r="D581" s="8"/>
      <c r="E581" s="8"/>
    </row>
    <row r="582" spans="1:5" x14ac:dyDescent="0.2">
      <c r="A582" s="7"/>
      <c r="B582" s="7"/>
      <c r="C582" s="9"/>
      <c r="D582" s="8"/>
      <c r="E582" s="8"/>
    </row>
    <row r="583" spans="1:5" x14ac:dyDescent="0.2">
      <c r="A583" s="7"/>
      <c r="B583" s="7"/>
      <c r="C583" s="9"/>
      <c r="D583" s="8"/>
      <c r="E583" s="8"/>
    </row>
    <row r="584" spans="1:5" x14ac:dyDescent="0.2">
      <c r="A584" s="7"/>
      <c r="B584" s="7"/>
      <c r="C584" s="9"/>
      <c r="D584" s="8"/>
      <c r="E584" s="8"/>
    </row>
    <row r="585" spans="1:5" x14ac:dyDescent="0.2">
      <c r="A585" s="7"/>
      <c r="B585" s="7"/>
      <c r="C585" s="9"/>
      <c r="D585" s="8"/>
      <c r="E585" s="8"/>
    </row>
    <row r="586" spans="1:5" x14ac:dyDescent="0.2">
      <c r="A586" s="7"/>
      <c r="B586" s="7"/>
      <c r="C586" s="9"/>
      <c r="D586" s="8"/>
      <c r="E586" s="8"/>
    </row>
    <row r="587" spans="1:5" x14ac:dyDescent="0.2">
      <c r="A587" s="7"/>
      <c r="B587" s="7"/>
      <c r="C587" s="9"/>
      <c r="D587" s="8"/>
      <c r="E587" s="8"/>
    </row>
    <row r="588" spans="1:5" x14ac:dyDescent="0.2">
      <c r="A588" s="7"/>
      <c r="B588" s="7"/>
      <c r="C588" s="9"/>
      <c r="D588" s="8"/>
      <c r="E588" s="8"/>
    </row>
    <row r="589" spans="1:5" x14ac:dyDescent="0.2">
      <c r="A589" s="7"/>
      <c r="B589" s="7"/>
      <c r="C589" s="9"/>
      <c r="D589" s="8"/>
      <c r="E589" s="8"/>
    </row>
    <row r="590" spans="1:5" x14ac:dyDescent="0.2">
      <c r="A590" s="7"/>
      <c r="B590" s="7"/>
      <c r="C590" s="9"/>
      <c r="D590" s="8"/>
      <c r="E590" s="8"/>
    </row>
    <row r="591" spans="1:5" x14ac:dyDescent="0.2">
      <c r="A591" s="7"/>
      <c r="B591" s="7"/>
      <c r="C591" s="9"/>
      <c r="D591" s="8"/>
      <c r="E591" s="8"/>
    </row>
    <row r="592" spans="1:5" x14ac:dyDescent="0.2">
      <c r="A592" s="7"/>
      <c r="B592" s="7"/>
      <c r="C592" s="9"/>
      <c r="D592" s="8"/>
      <c r="E592" s="8"/>
    </row>
    <row r="593" spans="1:5" x14ac:dyDescent="0.2">
      <c r="A593" s="7"/>
      <c r="B593" s="7"/>
      <c r="C593" s="9"/>
      <c r="D593" s="8"/>
      <c r="E593" s="8"/>
    </row>
    <row r="594" spans="1:5" x14ac:dyDescent="0.2">
      <c r="A594" s="7"/>
      <c r="B594" s="7"/>
      <c r="C594" s="9"/>
      <c r="D594" s="8"/>
      <c r="E594" s="8"/>
    </row>
    <row r="595" spans="1:5" x14ac:dyDescent="0.2">
      <c r="A595" s="7"/>
      <c r="B595" s="7"/>
      <c r="C595" s="9"/>
      <c r="D595" s="8"/>
      <c r="E595" s="8"/>
    </row>
    <row r="596" spans="1:5" x14ac:dyDescent="0.2">
      <c r="A596" s="7"/>
      <c r="B596" s="7"/>
      <c r="C596" s="9"/>
      <c r="D596" s="8"/>
      <c r="E596" s="8"/>
    </row>
    <row r="597" spans="1:5" x14ac:dyDescent="0.2">
      <c r="A597" s="7"/>
      <c r="B597" s="7"/>
      <c r="C597" s="9"/>
      <c r="D597" s="8"/>
      <c r="E597" s="8"/>
    </row>
    <row r="598" spans="1:5" x14ac:dyDescent="0.2">
      <c r="A598" s="7"/>
      <c r="B598" s="7"/>
      <c r="C598" s="9"/>
      <c r="D598" s="8"/>
      <c r="E598" s="8"/>
    </row>
    <row r="599" spans="1:5" x14ac:dyDescent="0.2">
      <c r="A599" s="7"/>
      <c r="B599" s="7"/>
      <c r="C599" s="9"/>
      <c r="D599" s="8"/>
      <c r="E599" s="8"/>
    </row>
    <row r="600" spans="1:5" x14ac:dyDescent="0.2">
      <c r="A600" s="7"/>
      <c r="B600" s="7"/>
      <c r="C600" s="9"/>
      <c r="D600" s="8"/>
      <c r="E600" s="8"/>
    </row>
    <row r="601" spans="1:5" x14ac:dyDescent="0.2">
      <c r="A601" s="7"/>
      <c r="B601" s="7"/>
      <c r="C601" s="9"/>
      <c r="D601" s="8"/>
      <c r="E601" s="8"/>
    </row>
    <row r="602" spans="1:5" x14ac:dyDescent="0.2">
      <c r="A602" s="7"/>
      <c r="B602" s="7"/>
      <c r="C602" s="9"/>
      <c r="D602" s="8"/>
      <c r="E602" s="8"/>
    </row>
    <row r="603" spans="1:5" x14ac:dyDescent="0.2">
      <c r="A603" s="7"/>
      <c r="B603" s="7"/>
      <c r="C603" s="9"/>
      <c r="D603" s="8"/>
      <c r="E603" s="8"/>
    </row>
    <row r="604" spans="1:5" x14ac:dyDescent="0.2">
      <c r="A604" s="7"/>
      <c r="B604" s="7"/>
      <c r="C604" s="9"/>
      <c r="D604" s="8"/>
      <c r="E604" s="8"/>
    </row>
    <row r="605" spans="1:5" x14ac:dyDescent="0.2">
      <c r="A605" s="7"/>
      <c r="B605" s="7"/>
      <c r="C605" s="9"/>
      <c r="D605" s="8"/>
      <c r="E605" s="8"/>
    </row>
    <row r="606" spans="1:5" x14ac:dyDescent="0.2">
      <c r="A606" s="7"/>
      <c r="B606" s="7"/>
      <c r="C606" s="9"/>
      <c r="D606" s="8"/>
      <c r="E606" s="8"/>
    </row>
    <row r="607" spans="1:5" x14ac:dyDescent="0.2">
      <c r="A607" s="7"/>
      <c r="B607" s="7"/>
      <c r="C607" s="9"/>
      <c r="D607" s="8"/>
      <c r="E607" s="8"/>
    </row>
    <row r="608" spans="1:5" x14ac:dyDescent="0.2">
      <c r="A608" s="7"/>
      <c r="B608" s="7"/>
      <c r="C608" s="9"/>
      <c r="D608" s="8"/>
      <c r="E608" s="8"/>
    </row>
    <row r="609" spans="1:5" x14ac:dyDescent="0.2">
      <c r="A609" s="7"/>
      <c r="B609" s="7"/>
      <c r="C609" s="9"/>
      <c r="D609" s="8"/>
      <c r="E609" s="8"/>
    </row>
    <row r="610" spans="1:5" x14ac:dyDescent="0.2">
      <c r="A610" s="7"/>
      <c r="B610" s="7"/>
      <c r="C610" s="9"/>
      <c r="D610" s="8"/>
      <c r="E610" s="8"/>
    </row>
    <row r="611" spans="1:5" x14ac:dyDescent="0.2">
      <c r="A611" s="7"/>
      <c r="B611" s="7"/>
      <c r="C611" s="9"/>
      <c r="D611" s="8"/>
      <c r="E611" s="8"/>
    </row>
    <row r="612" spans="1:5" x14ac:dyDescent="0.2">
      <c r="A612" s="7"/>
      <c r="B612" s="7"/>
      <c r="C612" s="9"/>
      <c r="D612" s="8"/>
      <c r="E612" s="8"/>
    </row>
    <row r="613" spans="1:5" x14ac:dyDescent="0.2">
      <c r="A613" s="7"/>
      <c r="B613" s="7"/>
      <c r="C613" s="9"/>
      <c r="D613" s="8"/>
      <c r="E613" s="8"/>
    </row>
    <row r="614" spans="1:5" x14ac:dyDescent="0.2">
      <c r="A614" s="7"/>
      <c r="B614" s="7"/>
      <c r="C614" s="9"/>
      <c r="D614" s="8"/>
      <c r="E614" s="8"/>
    </row>
    <row r="615" spans="1:5" x14ac:dyDescent="0.2">
      <c r="A615" s="7"/>
      <c r="B615" s="7"/>
      <c r="C615" s="9"/>
      <c r="D615" s="8"/>
      <c r="E615" s="8"/>
    </row>
    <row r="616" spans="1:5" x14ac:dyDescent="0.2">
      <c r="A616" s="7"/>
      <c r="B616" s="7"/>
      <c r="C616" s="9"/>
      <c r="D616" s="8"/>
      <c r="E616" s="8"/>
    </row>
    <row r="617" spans="1:5" x14ac:dyDescent="0.2">
      <c r="A617" s="7"/>
      <c r="B617" s="7"/>
      <c r="C617" s="9"/>
      <c r="D617" s="8"/>
      <c r="E617" s="8"/>
    </row>
    <row r="618" spans="1:5" x14ac:dyDescent="0.2">
      <c r="A618" s="7"/>
      <c r="B618" s="7"/>
      <c r="C618" s="9"/>
      <c r="D618" s="8"/>
      <c r="E618" s="8"/>
    </row>
    <row r="619" spans="1:5" x14ac:dyDescent="0.2">
      <c r="A619" s="7"/>
      <c r="B619" s="7"/>
      <c r="C619" s="9"/>
      <c r="D619" s="8"/>
      <c r="E619" s="8"/>
    </row>
    <row r="620" spans="1:5" x14ac:dyDescent="0.2">
      <c r="A620" s="7"/>
      <c r="B620" s="7"/>
      <c r="C620" s="9"/>
      <c r="D620" s="8"/>
      <c r="E620" s="8"/>
    </row>
    <row r="621" spans="1:5" x14ac:dyDescent="0.2">
      <c r="A621" s="7"/>
      <c r="B621" s="7"/>
      <c r="C621" s="9"/>
      <c r="D621" s="8"/>
      <c r="E621" s="8"/>
    </row>
    <row r="622" spans="1:5" x14ac:dyDescent="0.2">
      <c r="A622" s="7"/>
      <c r="B622" s="7"/>
      <c r="C622" s="9"/>
      <c r="D622" s="8"/>
      <c r="E622" s="8"/>
    </row>
    <row r="623" spans="1:5" x14ac:dyDescent="0.2">
      <c r="A623" s="7"/>
      <c r="B623" s="7"/>
      <c r="C623" s="9"/>
      <c r="D623" s="8"/>
      <c r="E623" s="8"/>
    </row>
    <row r="624" spans="1:5" x14ac:dyDescent="0.2">
      <c r="A624" s="7"/>
      <c r="B624" s="7"/>
      <c r="C624" s="9"/>
      <c r="D624" s="8"/>
      <c r="E624" s="8"/>
    </row>
    <row r="625" spans="1:5" x14ac:dyDescent="0.2">
      <c r="A625" s="7"/>
      <c r="B625" s="7"/>
      <c r="C625" s="9"/>
      <c r="D625" s="8"/>
      <c r="E625" s="8"/>
    </row>
    <row r="626" spans="1:5" x14ac:dyDescent="0.2">
      <c r="A626" s="7"/>
      <c r="B626" s="7"/>
      <c r="C626" s="9"/>
      <c r="D626" s="8"/>
      <c r="E626" s="8"/>
    </row>
    <row r="627" spans="1:5" x14ac:dyDescent="0.2">
      <c r="A627" s="7"/>
      <c r="B627" s="7"/>
      <c r="C627" s="9"/>
      <c r="D627" s="8"/>
      <c r="E627" s="8"/>
    </row>
    <row r="628" spans="1:5" x14ac:dyDescent="0.2">
      <c r="A628" s="7"/>
      <c r="B628" s="7"/>
      <c r="C628" s="9"/>
      <c r="D628" s="8"/>
      <c r="E628" s="8"/>
    </row>
    <row r="629" spans="1:5" x14ac:dyDescent="0.2">
      <c r="A629" s="7"/>
      <c r="B629" s="7"/>
      <c r="C629" s="9"/>
      <c r="D629" s="8"/>
      <c r="E629" s="8"/>
    </row>
    <row r="630" spans="1:5" x14ac:dyDescent="0.2">
      <c r="A630" s="7"/>
      <c r="B630" s="7"/>
      <c r="C630" s="9"/>
      <c r="D630" s="8"/>
      <c r="E630" s="8"/>
    </row>
    <row r="631" spans="1:5" x14ac:dyDescent="0.2">
      <c r="A631" s="7"/>
      <c r="B631" s="7"/>
      <c r="C631" s="9"/>
      <c r="D631" s="8"/>
      <c r="E631" s="8"/>
    </row>
    <row r="632" spans="1:5" x14ac:dyDescent="0.2">
      <c r="A632" s="7"/>
      <c r="B632" s="7"/>
      <c r="C632" s="9"/>
      <c r="D632" s="8"/>
      <c r="E632" s="8"/>
    </row>
    <row r="633" spans="1:5" x14ac:dyDescent="0.2">
      <c r="A633" s="7"/>
      <c r="B633" s="7"/>
      <c r="C633" s="9"/>
      <c r="D633" s="8"/>
      <c r="E633" s="8"/>
    </row>
    <row r="634" spans="1:5" x14ac:dyDescent="0.2">
      <c r="A634" s="7"/>
      <c r="B634" s="7"/>
      <c r="C634" s="9"/>
      <c r="D634" s="8"/>
      <c r="E634" s="8"/>
    </row>
    <row r="635" spans="1:5" x14ac:dyDescent="0.2">
      <c r="A635" s="7"/>
      <c r="B635" s="7"/>
      <c r="C635" s="9"/>
      <c r="D635" s="8"/>
      <c r="E635" s="8"/>
    </row>
    <row r="636" spans="1:5" x14ac:dyDescent="0.2">
      <c r="A636" s="7"/>
      <c r="B636" s="7"/>
      <c r="C636" s="9"/>
      <c r="D636" s="8"/>
      <c r="E636" s="8"/>
    </row>
    <row r="637" spans="1:5" x14ac:dyDescent="0.2">
      <c r="A637" s="7"/>
      <c r="B637" s="7"/>
      <c r="C637" s="9"/>
      <c r="D637" s="8"/>
      <c r="E637" s="8"/>
    </row>
    <row r="638" spans="1:5" x14ac:dyDescent="0.2">
      <c r="A638" s="7"/>
      <c r="B638" s="7"/>
      <c r="C638" s="9"/>
      <c r="D638" s="8"/>
      <c r="E638" s="8"/>
    </row>
    <row r="639" spans="1:5" x14ac:dyDescent="0.2">
      <c r="A639" s="7"/>
      <c r="B639" s="7"/>
      <c r="C639" s="9"/>
      <c r="D639" s="8"/>
      <c r="E639" s="8"/>
    </row>
    <row r="640" spans="1:5" x14ac:dyDescent="0.2">
      <c r="A640" s="7"/>
      <c r="B640" s="7"/>
      <c r="C640" s="9"/>
      <c r="D640" s="8"/>
      <c r="E640" s="8"/>
    </row>
    <row r="641" spans="1:5" x14ac:dyDescent="0.2">
      <c r="A641" s="7"/>
      <c r="B641" s="7"/>
      <c r="C641" s="9"/>
      <c r="D641" s="8"/>
      <c r="E641" s="8"/>
    </row>
    <row r="642" spans="1:5" x14ac:dyDescent="0.2">
      <c r="A642" s="7"/>
      <c r="B642" s="7"/>
      <c r="C642" s="9"/>
      <c r="D642" s="8"/>
      <c r="E642" s="8"/>
    </row>
    <row r="643" spans="1:5" x14ac:dyDescent="0.2">
      <c r="A643" s="7"/>
      <c r="B643" s="7"/>
      <c r="C643" s="9"/>
      <c r="D643" s="8"/>
      <c r="E643" s="8"/>
    </row>
    <row r="644" spans="1:5" x14ac:dyDescent="0.2">
      <c r="A644" s="7"/>
      <c r="B644" s="7"/>
      <c r="C644" s="9"/>
      <c r="D644" s="8"/>
      <c r="E644" s="8"/>
    </row>
    <row r="645" spans="1:5" x14ac:dyDescent="0.2">
      <c r="A645" s="7"/>
      <c r="B645" s="7"/>
      <c r="C645" s="9"/>
      <c r="D645" s="8"/>
      <c r="E645" s="8"/>
    </row>
    <row r="646" spans="1:5" x14ac:dyDescent="0.2">
      <c r="A646" s="7"/>
      <c r="B646" s="7"/>
      <c r="C646" s="9"/>
      <c r="D646" s="8"/>
      <c r="E646" s="8"/>
    </row>
    <row r="647" spans="1:5" x14ac:dyDescent="0.2">
      <c r="A647" s="7"/>
      <c r="B647" s="7"/>
      <c r="C647" s="9"/>
      <c r="D647" s="8"/>
      <c r="E647" s="8"/>
    </row>
    <row r="648" spans="1:5" x14ac:dyDescent="0.2">
      <c r="A648" s="7"/>
      <c r="B648" s="7"/>
      <c r="C648" s="9"/>
      <c r="D648" s="8"/>
      <c r="E648" s="8"/>
    </row>
    <row r="649" spans="1:5" x14ac:dyDescent="0.2">
      <c r="A649" s="7"/>
      <c r="B649" s="7"/>
      <c r="C649" s="9"/>
      <c r="D649" s="8"/>
      <c r="E649" s="8"/>
    </row>
    <row r="650" spans="1:5" x14ac:dyDescent="0.2">
      <c r="A650" s="7"/>
      <c r="B650" s="7"/>
      <c r="C650" s="9"/>
      <c r="D650" s="8"/>
      <c r="E650" s="8"/>
    </row>
    <row r="651" spans="1:5" x14ac:dyDescent="0.2">
      <c r="A651" s="7"/>
      <c r="B651" s="7"/>
      <c r="C651" s="9"/>
      <c r="D651" s="8"/>
      <c r="E651" s="8"/>
    </row>
    <row r="652" spans="1:5" x14ac:dyDescent="0.2">
      <c r="A652" s="7"/>
      <c r="B652" s="7"/>
      <c r="C652" s="9"/>
      <c r="D652" s="8"/>
      <c r="E652" s="8"/>
    </row>
    <row r="653" spans="1:5" x14ac:dyDescent="0.2">
      <c r="A653" s="7"/>
      <c r="B653" s="7"/>
      <c r="C653" s="9"/>
      <c r="D653" s="8"/>
      <c r="E653" s="8"/>
    </row>
    <row r="654" spans="1:5" x14ac:dyDescent="0.2">
      <c r="A654" s="7"/>
      <c r="B654" s="7"/>
      <c r="C654" s="9"/>
      <c r="D654" s="8"/>
      <c r="E654" s="8"/>
    </row>
    <row r="655" spans="1:5" x14ac:dyDescent="0.2">
      <c r="A655" s="7"/>
      <c r="B655" s="7"/>
      <c r="C655" s="9"/>
      <c r="D655" s="8"/>
      <c r="E655" s="8"/>
    </row>
    <row r="656" spans="1:5" x14ac:dyDescent="0.2">
      <c r="A656" s="7"/>
      <c r="B656" s="7"/>
      <c r="C656" s="9"/>
      <c r="D656" s="8"/>
      <c r="E656" s="8"/>
    </row>
    <row r="657" spans="1:5" x14ac:dyDescent="0.2">
      <c r="A657" s="7"/>
      <c r="B657" s="7"/>
      <c r="C657" s="9"/>
      <c r="D657" s="8"/>
      <c r="E657" s="8"/>
    </row>
    <row r="658" spans="1:5" x14ac:dyDescent="0.2">
      <c r="A658" s="7"/>
      <c r="B658" s="7"/>
      <c r="C658" s="9"/>
      <c r="D658" s="8"/>
      <c r="E658" s="8"/>
    </row>
    <row r="659" spans="1:5" x14ac:dyDescent="0.2">
      <c r="A659" s="7"/>
      <c r="B659" s="7"/>
      <c r="C659" s="9"/>
      <c r="D659" s="8"/>
      <c r="E659" s="8"/>
    </row>
    <row r="660" spans="1:5" x14ac:dyDescent="0.2">
      <c r="A660" s="7"/>
      <c r="B660" s="7"/>
      <c r="C660" s="9"/>
      <c r="D660" s="8"/>
      <c r="E660" s="8"/>
    </row>
    <row r="661" spans="1:5" x14ac:dyDescent="0.2">
      <c r="A661" s="7"/>
      <c r="B661" s="7"/>
      <c r="C661" s="9"/>
      <c r="D661" s="8"/>
      <c r="E661" s="8"/>
    </row>
    <row r="662" spans="1:5" x14ac:dyDescent="0.2">
      <c r="A662" s="7"/>
      <c r="B662" s="7"/>
      <c r="C662" s="9"/>
      <c r="D662" s="8"/>
      <c r="E662" s="8"/>
    </row>
    <row r="663" spans="1:5" x14ac:dyDescent="0.2">
      <c r="A663" s="7"/>
      <c r="B663" s="7"/>
      <c r="C663" s="9"/>
      <c r="D663" s="8"/>
      <c r="E663" s="8"/>
    </row>
    <row r="664" spans="1:5" x14ac:dyDescent="0.2">
      <c r="A664" s="7"/>
      <c r="B664" s="7"/>
      <c r="C664" s="9"/>
      <c r="D664" s="8"/>
      <c r="E664" s="8"/>
    </row>
    <row r="665" spans="1:5" x14ac:dyDescent="0.2">
      <c r="A665" s="7"/>
      <c r="B665" s="7"/>
      <c r="C665" s="9"/>
      <c r="D665" s="8"/>
      <c r="E665" s="8"/>
    </row>
    <row r="666" spans="1:5" x14ac:dyDescent="0.2">
      <c r="A666" s="7"/>
      <c r="B666" s="7"/>
      <c r="C666" s="9"/>
      <c r="D666" s="8"/>
      <c r="E666" s="8"/>
    </row>
    <row r="667" spans="1:5" x14ac:dyDescent="0.2">
      <c r="A667" s="7"/>
      <c r="B667" s="7"/>
      <c r="C667" s="9"/>
      <c r="D667" s="8"/>
      <c r="E667" s="8"/>
    </row>
    <row r="668" spans="1:5" x14ac:dyDescent="0.2">
      <c r="A668" s="7"/>
      <c r="B668" s="7"/>
      <c r="C668" s="9"/>
      <c r="D668" s="8"/>
      <c r="E668" s="8"/>
    </row>
    <row r="669" spans="1:5" x14ac:dyDescent="0.2">
      <c r="A669" s="7"/>
      <c r="B669" s="7"/>
      <c r="C669" s="9"/>
      <c r="D669" s="8"/>
      <c r="E669" s="8"/>
    </row>
    <row r="670" spans="1:5" x14ac:dyDescent="0.2">
      <c r="A670" s="7"/>
      <c r="B670" s="7"/>
      <c r="C670" s="9"/>
      <c r="D670" s="8"/>
      <c r="E670" s="8"/>
    </row>
    <row r="671" spans="1:5" x14ac:dyDescent="0.2">
      <c r="A671" s="7"/>
      <c r="B671" s="7"/>
      <c r="C671" s="9"/>
      <c r="D671" s="8"/>
      <c r="E671" s="8"/>
    </row>
    <row r="672" spans="1:5" x14ac:dyDescent="0.2">
      <c r="A672" s="7"/>
      <c r="B672" s="7"/>
      <c r="C672" s="9"/>
      <c r="D672" s="8"/>
      <c r="E672" s="8"/>
    </row>
    <row r="673" spans="1:5" x14ac:dyDescent="0.2">
      <c r="A673" s="7"/>
      <c r="B673" s="7"/>
      <c r="C673" s="9"/>
      <c r="D673" s="8"/>
      <c r="E673" s="8"/>
    </row>
    <row r="674" spans="1:5" x14ac:dyDescent="0.2">
      <c r="A674" s="7"/>
      <c r="B674" s="7"/>
      <c r="C674" s="9"/>
      <c r="D674" s="8"/>
      <c r="E674" s="8"/>
    </row>
    <row r="675" spans="1:5" x14ac:dyDescent="0.2">
      <c r="A675" s="7"/>
      <c r="B675" s="7"/>
      <c r="C675" s="9"/>
      <c r="D675" s="8"/>
      <c r="E675" s="8"/>
    </row>
    <row r="676" spans="1:5" x14ac:dyDescent="0.2">
      <c r="A676" s="7"/>
      <c r="B676" s="7"/>
      <c r="C676" s="9"/>
      <c r="D676" s="8"/>
      <c r="E676" s="8"/>
    </row>
    <row r="677" spans="1:5" x14ac:dyDescent="0.2">
      <c r="A677" s="7"/>
      <c r="B677" s="7"/>
      <c r="C677" s="9"/>
      <c r="D677" s="8"/>
      <c r="E677" s="8"/>
    </row>
    <row r="678" spans="1:5" x14ac:dyDescent="0.2">
      <c r="A678" s="7"/>
      <c r="B678" s="7"/>
      <c r="C678" s="9"/>
      <c r="D678" s="8"/>
      <c r="E678" s="8"/>
    </row>
    <row r="679" spans="1:5" x14ac:dyDescent="0.2">
      <c r="A679" s="7"/>
      <c r="B679" s="7"/>
      <c r="C679" s="9"/>
      <c r="D679" s="8"/>
      <c r="E679" s="8"/>
    </row>
    <row r="680" spans="1:5" x14ac:dyDescent="0.2">
      <c r="A680" s="7"/>
      <c r="B680" s="7"/>
      <c r="C680" s="9"/>
      <c r="D680" s="8"/>
      <c r="E680" s="8"/>
    </row>
    <row r="681" spans="1:5" x14ac:dyDescent="0.2">
      <c r="A681" s="7"/>
      <c r="B681" s="7"/>
      <c r="C681" s="9"/>
      <c r="D681" s="8"/>
      <c r="E681" s="8"/>
    </row>
    <row r="682" spans="1:5" x14ac:dyDescent="0.2">
      <c r="A682" s="7"/>
      <c r="B682" s="7"/>
      <c r="C682" s="9"/>
      <c r="D682" s="8"/>
      <c r="E682" s="8"/>
    </row>
    <row r="683" spans="1:5" x14ac:dyDescent="0.2">
      <c r="A683" s="7"/>
      <c r="B683" s="7"/>
      <c r="C683" s="9"/>
      <c r="D683" s="8"/>
      <c r="E683" s="8"/>
    </row>
    <row r="684" spans="1:5" x14ac:dyDescent="0.2">
      <c r="A684" s="7"/>
      <c r="B684" s="7"/>
      <c r="C684" s="9"/>
      <c r="D684" s="8"/>
      <c r="E684" s="8"/>
    </row>
    <row r="685" spans="1:5" x14ac:dyDescent="0.2">
      <c r="A685" s="7"/>
      <c r="B685" s="7"/>
      <c r="C685" s="9"/>
      <c r="D685" s="8"/>
      <c r="E685" s="8"/>
    </row>
    <row r="686" spans="1:5" x14ac:dyDescent="0.2">
      <c r="A686" s="7"/>
      <c r="B686" s="7"/>
      <c r="C686" s="9"/>
      <c r="D686" s="8"/>
      <c r="E686" s="8"/>
    </row>
    <row r="687" spans="1:5" x14ac:dyDescent="0.2">
      <c r="A687" s="7"/>
      <c r="B687" s="7"/>
      <c r="C687" s="9"/>
      <c r="D687" s="8"/>
      <c r="E687" s="8"/>
    </row>
    <row r="688" spans="1:5" x14ac:dyDescent="0.2">
      <c r="A688" s="7"/>
      <c r="B688" s="7"/>
      <c r="C688" s="9"/>
      <c r="D688" s="8"/>
      <c r="E688" s="8"/>
    </row>
    <row r="689" spans="1:5" x14ac:dyDescent="0.2">
      <c r="A689" s="7"/>
      <c r="B689" s="7"/>
      <c r="C689" s="9"/>
      <c r="D689" s="8"/>
      <c r="E689" s="8"/>
    </row>
    <row r="690" spans="1:5" x14ac:dyDescent="0.2">
      <c r="A690" s="7"/>
      <c r="B690" s="7"/>
      <c r="C690" s="9"/>
      <c r="D690" s="8"/>
      <c r="E690" s="8"/>
    </row>
    <row r="691" spans="1:5" x14ac:dyDescent="0.2">
      <c r="A691" s="7"/>
      <c r="B691" s="7"/>
      <c r="C691" s="9"/>
      <c r="D691" s="8"/>
      <c r="E691" s="8"/>
    </row>
    <row r="692" spans="1:5" x14ac:dyDescent="0.2">
      <c r="A692" s="7"/>
      <c r="B692" s="7"/>
      <c r="C692" s="9"/>
      <c r="D692" s="8"/>
      <c r="E692" s="8"/>
    </row>
    <row r="693" spans="1:5" x14ac:dyDescent="0.2">
      <c r="A693" s="7"/>
      <c r="B693" s="7"/>
      <c r="C693" s="9"/>
      <c r="D693" s="8"/>
      <c r="E693" s="8"/>
    </row>
    <row r="694" spans="1:5" x14ac:dyDescent="0.2">
      <c r="A694" s="7"/>
      <c r="B694" s="7"/>
      <c r="C694" s="9"/>
      <c r="D694" s="8"/>
      <c r="E694" s="8"/>
    </row>
    <row r="695" spans="1:5" x14ac:dyDescent="0.2">
      <c r="A695" s="7"/>
      <c r="B695" s="7"/>
      <c r="C695" s="9"/>
      <c r="D695" s="8"/>
      <c r="E695" s="8"/>
    </row>
    <row r="696" spans="1:5" x14ac:dyDescent="0.2">
      <c r="A696" s="7"/>
      <c r="B696" s="7"/>
      <c r="C696" s="9"/>
      <c r="D696" s="8"/>
      <c r="E696" s="8"/>
    </row>
    <row r="697" spans="1:5" x14ac:dyDescent="0.2">
      <c r="A697" s="7"/>
      <c r="B697" s="7"/>
      <c r="C697" s="9"/>
      <c r="D697" s="8"/>
      <c r="E697" s="8"/>
    </row>
    <row r="698" spans="1:5" x14ac:dyDescent="0.2">
      <c r="A698" s="7"/>
      <c r="B698" s="7"/>
      <c r="C698" s="9"/>
      <c r="D698" s="8"/>
      <c r="E698" s="8"/>
    </row>
    <row r="699" spans="1:5" x14ac:dyDescent="0.2">
      <c r="A699" s="7"/>
      <c r="B699" s="7"/>
      <c r="C699" s="9"/>
      <c r="D699" s="8"/>
      <c r="E699" s="8"/>
    </row>
    <row r="700" spans="1:5" x14ac:dyDescent="0.2">
      <c r="A700" s="7"/>
      <c r="B700" s="7"/>
      <c r="C700" s="9"/>
      <c r="D700" s="8"/>
      <c r="E700" s="8"/>
    </row>
    <row r="701" spans="1:5" x14ac:dyDescent="0.2">
      <c r="A701" s="7"/>
      <c r="B701" s="7"/>
      <c r="C701" s="9"/>
      <c r="D701" s="8"/>
      <c r="E701" s="8"/>
    </row>
    <row r="702" spans="1:5" x14ac:dyDescent="0.2">
      <c r="A702" s="7"/>
      <c r="B702" s="7"/>
      <c r="C702" s="9"/>
      <c r="D702" s="8"/>
      <c r="E702" s="8"/>
    </row>
    <row r="703" spans="1:5" x14ac:dyDescent="0.2">
      <c r="A703" s="7"/>
      <c r="B703" s="7"/>
      <c r="C703" s="9"/>
      <c r="D703" s="8"/>
      <c r="E703" s="8"/>
    </row>
    <row r="704" spans="1:5" x14ac:dyDescent="0.2">
      <c r="A704" s="7"/>
      <c r="B704" s="7"/>
      <c r="C704" s="9"/>
      <c r="D704" s="8"/>
      <c r="E704" s="8"/>
    </row>
    <row r="705" spans="1:5" x14ac:dyDescent="0.2">
      <c r="A705" s="7"/>
      <c r="B705" s="7"/>
      <c r="C705" s="9"/>
      <c r="D705" s="8"/>
      <c r="E705" s="8"/>
    </row>
    <row r="706" spans="1:5" x14ac:dyDescent="0.2">
      <c r="A706" s="7"/>
      <c r="B706" s="7"/>
      <c r="C706" s="9"/>
      <c r="D706" s="8"/>
      <c r="E706" s="8"/>
    </row>
    <row r="707" spans="1:5" x14ac:dyDescent="0.2">
      <c r="A707" s="7"/>
      <c r="B707" s="7"/>
      <c r="C707" s="9"/>
      <c r="D707" s="8"/>
      <c r="E707" s="8"/>
    </row>
    <row r="708" spans="1:5" x14ac:dyDescent="0.2">
      <c r="A708" s="7"/>
      <c r="B708" s="7"/>
      <c r="C708" s="9"/>
      <c r="D708" s="8"/>
      <c r="E708" s="8"/>
    </row>
    <row r="709" spans="1:5" x14ac:dyDescent="0.2">
      <c r="A709" s="7"/>
      <c r="B709" s="7"/>
      <c r="C709" s="9"/>
      <c r="D709" s="8"/>
      <c r="E709" s="8"/>
    </row>
    <row r="710" spans="1:5" x14ac:dyDescent="0.2">
      <c r="A710" s="7"/>
      <c r="B710" s="7"/>
      <c r="C710" s="9"/>
      <c r="D710" s="8"/>
      <c r="E710" s="8"/>
    </row>
    <row r="711" spans="1:5" x14ac:dyDescent="0.2">
      <c r="A711" s="7"/>
      <c r="B711" s="7"/>
      <c r="C711" s="9"/>
      <c r="D711" s="8"/>
      <c r="E711" s="8"/>
    </row>
    <row r="712" spans="1:5" x14ac:dyDescent="0.2">
      <c r="A712" s="7"/>
      <c r="B712" s="7"/>
      <c r="C712" s="9"/>
      <c r="D712" s="8"/>
      <c r="E712" s="8"/>
    </row>
    <row r="713" spans="1:5" x14ac:dyDescent="0.2">
      <c r="A713" s="7"/>
      <c r="B713" s="7"/>
      <c r="C713" s="9"/>
      <c r="D713" s="8"/>
      <c r="E713" s="8"/>
    </row>
    <row r="714" spans="1:5" x14ac:dyDescent="0.2">
      <c r="A714" s="7"/>
      <c r="B714" s="7"/>
      <c r="C714" s="9"/>
      <c r="D714" s="8"/>
      <c r="E714" s="8"/>
    </row>
    <row r="715" spans="1:5" x14ac:dyDescent="0.2">
      <c r="A715" s="7"/>
      <c r="B715" s="7"/>
      <c r="C715" s="9"/>
      <c r="D715" s="8"/>
      <c r="E715" s="8"/>
    </row>
    <row r="716" spans="1:5" x14ac:dyDescent="0.2">
      <c r="A716" s="7"/>
      <c r="B716" s="7"/>
      <c r="C716" s="9"/>
      <c r="D716" s="8"/>
      <c r="E716" s="8"/>
    </row>
    <row r="717" spans="1:5" x14ac:dyDescent="0.2">
      <c r="A717" s="7"/>
      <c r="B717" s="7"/>
      <c r="C717" s="9"/>
      <c r="D717" s="8"/>
      <c r="E717" s="8"/>
    </row>
    <row r="718" spans="1:5" x14ac:dyDescent="0.2">
      <c r="A718" s="7"/>
      <c r="B718" s="7"/>
      <c r="C718" s="9"/>
      <c r="D718" s="8"/>
      <c r="E718" s="8"/>
    </row>
    <row r="719" spans="1:5" x14ac:dyDescent="0.2">
      <c r="A719" s="7"/>
      <c r="B719" s="7"/>
      <c r="C719" s="9"/>
      <c r="D719" s="8"/>
      <c r="E719" s="8"/>
    </row>
    <row r="720" spans="1:5" x14ac:dyDescent="0.2">
      <c r="A720" s="7"/>
      <c r="B720" s="7"/>
      <c r="C720" s="9"/>
      <c r="D720" s="8"/>
      <c r="E720" s="8"/>
    </row>
    <row r="721" spans="1:5" x14ac:dyDescent="0.2">
      <c r="A721" s="7"/>
      <c r="B721" s="7"/>
      <c r="C721" s="9"/>
      <c r="D721" s="8"/>
      <c r="E721" s="8"/>
    </row>
    <row r="722" spans="1:5" x14ac:dyDescent="0.2">
      <c r="A722" s="7"/>
      <c r="B722" s="7"/>
      <c r="C722" s="9"/>
      <c r="D722" s="8"/>
      <c r="E722" s="8"/>
    </row>
    <row r="723" spans="1:5" x14ac:dyDescent="0.2">
      <c r="A723" s="7"/>
      <c r="B723" s="7"/>
      <c r="C723" s="9"/>
      <c r="D723" s="8"/>
      <c r="E723" s="8"/>
    </row>
    <row r="724" spans="1:5" x14ac:dyDescent="0.2">
      <c r="A724" s="7"/>
      <c r="B724" s="7"/>
      <c r="C724" s="9"/>
      <c r="D724" s="8"/>
      <c r="E724" s="8"/>
    </row>
    <row r="725" spans="1:5" x14ac:dyDescent="0.2">
      <c r="A725" s="7"/>
      <c r="B725" s="7"/>
      <c r="C725" s="9"/>
      <c r="D725" s="8"/>
      <c r="E725" s="8"/>
    </row>
    <row r="726" spans="1:5" x14ac:dyDescent="0.2">
      <c r="A726" s="7"/>
      <c r="B726" s="7"/>
      <c r="C726" s="9"/>
      <c r="D726" s="8"/>
      <c r="E726" s="8"/>
    </row>
    <row r="727" spans="1:5" x14ac:dyDescent="0.2">
      <c r="A727" s="7"/>
      <c r="B727" s="7"/>
      <c r="C727" s="9"/>
      <c r="D727" s="8"/>
      <c r="E727" s="8"/>
    </row>
    <row r="728" spans="1:5" x14ac:dyDescent="0.2">
      <c r="A728" s="7"/>
      <c r="B728" s="7"/>
      <c r="C728" s="9"/>
      <c r="D728" s="8"/>
      <c r="E728" s="8"/>
    </row>
    <row r="729" spans="1:5" x14ac:dyDescent="0.2">
      <c r="A729" s="7"/>
      <c r="B729" s="7"/>
      <c r="C729" s="9"/>
      <c r="D729" s="8"/>
      <c r="E729" s="8"/>
    </row>
    <row r="730" spans="1:5" x14ac:dyDescent="0.2">
      <c r="A730" s="7"/>
      <c r="B730" s="7"/>
      <c r="C730" s="9"/>
      <c r="D730" s="8"/>
      <c r="E730" s="8"/>
    </row>
    <row r="731" spans="1:5" x14ac:dyDescent="0.2">
      <c r="A731" s="7"/>
      <c r="B731" s="7"/>
      <c r="C731" s="9"/>
      <c r="D731" s="8"/>
      <c r="E731" s="8"/>
    </row>
    <row r="732" spans="1:5" x14ac:dyDescent="0.2">
      <c r="A732" s="7"/>
      <c r="B732" s="7"/>
      <c r="C732" s="9"/>
      <c r="D732" s="8"/>
      <c r="E732" s="8"/>
    </row>
    <row r="733" spans="1:5" x14ac:dyDescent="0.2">
      <c r="A733" s="7"/>
      <c r="B733" s="7"/>
      <c r="C733" s="9"/>
      <c r="D733" s="8"/>
      <c r="E733" s="8"/>
    </row>
    <row r="734" spans="1:5" x14ac:dyDescent="0.2">
      <c r="A734" s="7"/>
      <c r="B734" s="7"/>
      <c r="C734" s="9"/>
      <c r="D734" s="8"/>
      <c r="E734" s="8"/>
    </row>
    <row r="735" spans="1:5" x14ac:dyDescent="0.2">
      <c r="A735" s="7"/>
      <c r="B735" s="7"/>
      <c r="C735" s="9"/>
      <c r="D735" s="8"/>
      <c r="E735" s="8"/>
    </row>
    <row r="736" spans="1:5" x14ac:dyDescent="0.2">
      <c r="A736" s="7"/>
      <c r="B736" s="7"/>
      <c r="C736" s="9"/>
      <c r="D736" s="8"/>
      <c r="E736" s="8"/>
    </row>
    <row r="737" spans="1:5" x14ac:dyDescent="0.2">
      <c r="A737" s="7"/>
      <c r="B737" s="7"/>
      <c r="C737" s="9"/>
      <c r="D737" s="8"/>
      <c r="E737" s="8"/>
    </row>
    <row r="738" spans="1:5" x14ac:dyDescent="0.2">
      <c r="A738" s="7"/>
      <c r="B738" s="7"/>
      <c r="C738" s="9"/>
      <c r="D738" s="8"/>
      <c r="E738" s="8"/>
    </row>
    <row r="739" spans="1:5" x14ac:dyDescent="0.2">
      <c r="A739" s="7"/>
      <c r="B739" s="7"/>
      <c r="C739" s="9"/>
      <c r="D739" s="8"/>
      <c r="E739" s="8"/>
    </row>
    <row r="740" spans="1:5" x14ac:dyDescent="0.2">
      <c r="A740" s="7"/>
      <c r="B740" s="7"/>
      <c r="C740" s="9"/>
      <c r="D740" s="8"/>
      <c r="E740" s="8"/>
    </row>
    <row r="741" spans="1:5" x14ac:dyDescent="0.2">
      <c r="A741" s="7"/>
      <c r="B741" s="7"/>
      <c r="C741" s="9"/>
      <c r="D741" s="8"/>
      <c r="E741" s="8"/>
    </row>
    <row r="742" spans="1:5" x14ac:dyDescent="0.2">
      <c r="A742" s="7"/>
      <c r="B742" s="7"/>
      <c r="C742" s="9"/>
      <c r="D742" s="8"/>
      <c r="E742" s="8"/>
    </row>
    <row r="743" spans="1:5" x14ac:dyDescent="0.2">
      <c r="A743" s="7"/>
      <c r="B743" s="7"/>
      <c r="C743" s="9"/>
      <c r="D743" s="8"/>
      <c r="E743" s="8"/>
    </row>
    <row r="744" spans="1:5" x14ac:dyDescent="0.2">
      <c r="A744" s="7"/>
      <c r="B744" s="7"/>
      <c r="C744" s="9"/>
      <c r="D744" s="8"/>
      <c r="E744" s="8"/>
    </row>
    <row r="745" spans="1:5" x14ac:dyDescent="0.2">
      <c r="A745" s="7"/>
      <c r="B745" s="7"/>
      <c r="C745" s="9"/>
      <c r="D745" s="8"/>
      <c r="E745" s="8"/>
    </row>
    <row r="746" spans="1:5" x14ac:dyDescent="0.2">
      <c r="A746" s="7"/>
      <c r="B746" s="7"/>
      <c r="C746" s="9"/>
      <c r="D746" s="8"/>
      <c r="E746" s="8"/>
    </row>
    <row r="747" spans="1:5" x14ac:dyDescent="0.2">
      <c r="A747" s="7"/>
      <c r="B747" s="7"/>
      <c r="C747" s="9"/>
      <c r="D747" s="8"/>
      <c r="E747" s="8"/>
    </row>
    <row r="748" spans="1:5" x14ac:dyDescent="0.2">
      <c r="A748" s="7"/>
      <c r="B748" s="7"/>
      <c r="C748" s="9"/>
      <c r="D748" s="8"/>
      <c r="E748" s="8"/>
    </row>
    <row r="749" spans="1:5" x14ac:dyDescent="0.2">
      <c r="A749" s="7"/>
      <c r="B749" s="7"/>
      <c r="C749" s="9"/>
      <c r="D749" s="8"/>
      <c r="E749" s="8"/>
    </row>
    <row r="750" spans="1:5" x14ac:dyDescent="0.2">
      <c r="A750" s="7"/>
      <c r="B750" s="7"/>
      <c r="C750" s="9"/>
      <c r="D750" s="8"/>
      <c r="E750" s="8"/>
    </row>
    <row r="751" spans="1:5" x14ac:dyDescent="0.2">
      <c r="A751" s="7"/>
      <c r="B751" s="7"/>
      <c r="C751" s="9"/>
      <c r="D751" s="8"/>
      <c r="E751" s="8"/>
    </row>
    <row r="752" spans="1:5" x14ac:dyDescent="0.2">
      <c r="A752" s="7"/>
      <c r="B752" s="7"/>
      <c r="C752" s="9"/>
      <c r="D752" s="8"/>
      <c r="E752" s="8"/>
    </row>
    <row r="753" spans="1:5" x14ac:dyDescent="0.2">
      <c r="A753" s="7"/>
      <c r="B753" s="7"/>
      <c r="C753" s="9"/>
      <c r="D753" s="8"/>
      <c r="E753" s="8"/>
    </row>
    <row r="754" spans="1:5" x14ac:dyDescent="0.2">
      <c r="A754" s="7"/>
      <c r="B754" s="7"/>
      <c r="C754" s="9"/>
      <c r="D754" s="8"/>
      <c r="E754" s="8"/>
    </row>
    <row r="755" spans="1:5" x14ac:dyDescent="0.2">
      <c r="A755" s="7"/>
      <c r="B755" s="7"/>
      <c r="C755" s="9"/>
      <c r="D755" s="8"/>
      <c r="E755" s="8"/>
    </row>
    <row r="756" spans="1:5" x14ac:dyDescent="0.2">
      <c r="A756" s="7"/>
      <c r="B756" s="7"/>
      <c r="C756" s="9"/>
      <c r="D756" s="8"/>
      <c r="E756" s="8"/>
    </row>
    <row r="757" spans="1:5" x14ac:dyDescent="0.2">
      <c r="A757" s="7"/>
      <c r="B757" s="7"/>
      <c r="C757" s="9"/>
      <c r="D757" s="8"/>
      <c r="E757" s="8"/>
    </row>
    <row r="758" spans="1:5" x14ac:dyDescent="0.2">
      <c r="A758" s="7"/>
      <c r="B758" s="7"/>
      <c r="C758" s="9"/>
      <c r="D758" s="8"/>
      <c r="E758" s="8"/>
    </row>
    <row r="759" spans="1:5" x14ac:dyDescent="0.2">
      <c r="A759" s="7"/>
      <c r="B759" s="7"/>
      <c r="C759" s="9"/>
      <c r="D759" s="8"/>
      <c r="E759" s="8"/>
    </row>
    <row r="760" spans="1:5" x14ac:dyDescent="0.2">
      <c r="A760" s="7"/>
      <c r="B760" s="7"/>
      <c r="C760" s="9"/>
      <c r="D760" s="8"/>
      <c r="E760" s="8"/>
    </row>
    <row r="761" spans="1:5" x14ac:dyDescent="0.2">
      <c r="A761" s="7"/>
      <c r="B761" s="7"/>
      <c r="C761" s="9"/>
      <c r="D761" s="8"/>
      <c r="E761" s="8"/>
    </row>
    <row r="762" spans="1:5" x14ac:dyDescent="0.2">
      <c r="A762" s="7"/>
      <c r="B762" s="7"/>
      <c r="C762" s="9"/>
      <c r="D762" s="8"/>
      <c r="E762" s="8"/>
    </row>
    <row r="763" spans="1:5" x14ac:dyDescent="0.2">
      <c r="A763" s="7"/>
      <c r="B763" s="7"/>
      <c r="C763" s="9"/>
      <c r="D763" s="8"/>
      <c r="E763" s="8"/>
    </row>
    <row r="764" spans="1:5" x14ac:dyDescent="0.2">
      <c r="A764" s="7"/>
      <c r="B764" s="7"/>
      <c r="C764" s="9"/>
      <c r="D764" s="8"/>
      <c r="E764" s="8"/>
    </row>
    <row r="765" spans="1:5" x14ac:dyDescent="0.2">
      <c r="A765" s="7"/>
      <c r="B765" s="7"/>
      <c r="C765" s="9"/>
      <c r="D765" s="8"/>
      <c r="E765" s="8"/>
    </row>
    <row r="766" spans="1:5" x14ac:dyDescent="0.2">
      <c r="A766" s="7"/>
      <c r="B766" s="7"/>
      <c r="C766" s="9"/>
      <c r="D766" s="8"/>
      <c r="E766" s="8"/>
    </row>
    <row r="767" spans="1:5" x14ac:dyDescent="0.2">
      <c r="A767" s="7"/>
      <c r="B767" s="7"/>
      <c r="C767" s="9"/>
      <c r="D767" s="8"/>
      <c r="E767" s="8"/>
    </row>
    <row r="768" spans="1:5" x14ac:dyDescent="0.2">
      <c r="A768" s="7"/>
      <c r="B768" s="7"/>
      <c r="C768" s="9"/>
      <c r="D768" s="8"/>
      <c r="E768" s="8"/>
    </row>
    <row r="769" spans="1:5" x14ac:dyDescent="0.2">
      <c r="A769" s="7"/>
      <c r="B769" s="7"/>
      <c r="C769" s="9"/>
      <c r="D769" s="8"/>
      <c r="E769" s="8"/>
    </row>
    <row r="770" spans="1:5" x14ac:dyDescent="0.2">
      <c r="A770" s="7"/>
      <c r="B770" s="7"/>
      <c r="C770" s="9"/>
      <c r="D770" s="8"/>
      <c r="E770" s="8"/>
    </row>
    <row r="771" spans="1:5" x14ac:dyDescent="0.2">
      <c r="A771" s="7"/>
      <c r="B771" s="7"/>
      <c r="C771" s="9"/>
      <c r="D771" s="8"/>
      <c r="E771" s="8"/>
    </row>
    <row r="772" spans="1:5" x14ac:dyDescent="0.2">
      <c r="A772" s="7"/>
      <c r="B772" s="7"/>
      <c r="C772" s="9"/>
      <c r="D772" s="8"/>
      <c r="E772" s="8"/>
    </row>
    <row r="773" spans="1:5" x14ac:dyDescent="0.2">
      <c r="A773" s="7"/>
      <c r="B773" s="7"/>
      <c r="C773" s="9"/>
      <c r="D773" s="8"/>
      <c r="E773" s="8"/>
    </row>
    <row r="774" spans="1:5" x14ac:dyDescent="0.2">
      <c r="A774" s="7"/>
      <c r="B774" s="7"/>
      <c r="C774" s="9"/>
      <c r="D774" s="8"/>
      <c r="E774" s="8"/>
    </row>
    <row r="775" spans="1:5" x14ac:dyDescent="0.2">
      <c r="A775" s="7"/>
      <c r="B775" s="7"/>
      <c r="C775" s="9"/>
      <c r="D775" s="8"/>
      <c r="E775" s="8"/>
    </row>
    <row r="776" spans="1:5" x14ac:dyDescent="0.2">
      <c r="A776" s="7"/>
      <c r="B776" s="7"/>
      <c r="C776" s="9"/>
      <c r="D776" s="8"/>
      <c r="E776" s="8"/>
    </row>
    <row r="777" spans="1:5" x14ac:dyDescent="0.2">
      <c r="A777" s="7"/>
      <c r="B777" s="7"/>
      <c r="C777" s="9"/>
      <c r="D777" s="8"/>
      <c r="E777" s="8"/>
    </row>
    <row r="778" spans="1:5" x14ac:dyDescent="0.2">
      <c r="A778" s="7"/>
      <c r="B778" s="7"/>
      <c r="C778" s="9"/>
      <c r="D778" s="8"/>
      <c r="E778" s="8"/>
    </row>
    <row r="779" spans="1:5" x14ac:dyDescent="0.2">
      <c r="A779" s="7"/>
      <c r="B779" s="7"/>
      <c r="C779" s="9"/>
      <c r="D779" s="8"/>
      <c r="E779" s="8"/>
    </row>
    <row r="780" spans="1:5" x14ac:dyDescent="0.2">
      <c r="A780" s="7"/>
      <c r="B780" s="7"/>
      <c r="C780" s="9"/>
      <c r="D780" s="8"/>
      <c r="E780" s="8"/>
    </row>
    <row r="781" spans="1:5" x14ac:dyDescent="0.2">
      <c r="A781" s="7"/>
      <c r="B781" s="7"/>
      <c r="C781" s="9"/>
      <c r="D781" s="8"/>
      <c r="E781" s="8"/>
    </row>
    <row r="782" spans="1:5" x14ac:dyDescent="0.2">
      <c r="A782" s="7"/>
      <c r="B782" s="7"/>
      <c r="C782" s="9"/>
      <c r="D782" s="8"/>
      <c r="E782" s="8"/>
    </row>
    <row r="783" spans="1:5" x14ac:dyDescent="0.2">
      <c r="A783" s="7"/>
      <c r="B783" s="7"/>
      <c r="C783" s="9"/>
      <c r="D783" s="8"/>
      <c r="E783" s="8"/>
    </row>
    <row r="784" spans="1:5" x14ac:dyDescent="0.2">
      <c r="A784" s="7"/>
      <c r="B784" s="7"/>
      <c r="C784" s="9"/>
      <c r="D784" s="8"/>
      <c r="E784" s="8"/>
    </row>
    <row r="785" spans="1:5" x14ac:dyDescent="0.2">
      <c r="A785" s="7"/>
      <c r="B785" s="7"/>
      <c r="C785" s="9"/>
      <c r="D785" s="8"/>
      <c r="E785" s="8"/>
    </row>
    <row r="786" spans="1:5" x14ac:dyDescent="0.2">
      <c r="A786" s="7"/>
      <c r="B786" s="7"/>
      <c r="C786" s="9"/>
      <c r="D786" s="8"/>
      <c r="E786" s="8"/>
    </row>
    <row r="787" spans="1:5" x14ac:dyDescent="0.2">
      <c r="A787" s="7"/>
      <c r="B787" s="7"/>
      <c r="C787" s="9"/>
      <c r="D787" s="8"/>
      <c r="E787" s="8"/>
    </row>
    <row r="788" spans="1:5" x14ac:dyDescent="0.2">
      <c r="A788" s="7"/>
      <c r="B788" s="7"/>
      <c r="C788" s="9"/>
      <c r="D788" s="8"/>
      <c r="E788" s="8"/>
    </row>
    <row r="789" spans="1:5" x14ac:dyDescent="0.2">
      <c r="A789" s="7"/>
      <c r="B789" s="7"/>
      <c r="C789" s="9"/>
      <c r="D789" s="8"/>
      <c r="E789" s="8"/>
    </row>
    <row r="790" spans="1:5" x14ac:dyDescent="0.2">
      <c r="A790" s="7"/>
      <c r="B790" s="7"/>
      <c r="C790" s="9"/>
      <c r="D790" s="8"/>
      <c r="E790" s="8"/>
    </row>
    <row r="791" spans="1:5" x14ac:dyDescent="0.2">
      <c r="A791" s="7"/>
      <c r="B791" s="7"/>
      <c r="C791" s="9"/>
      <c r="D791" s="8"/>
      <c r="E791" s="8"/>
    </row>
    <row r="792" spans="1:5" x14ac:dyDescent="0.2">
      <c r="A792" s="7"/>
      <c r="B792" s="7"/>
      <c r="C792" s="9"/>
      <c r="D792" s="8"/>
      <c r="E792" s="8"/>
    </row>
    <row r="793" spans="1:5" x14ac:dyDescent="0.2">
      <c r="A793" s="7"/>
      <c r="B793" s="7"/>
      <c r="C793" s="9"/>
      <c r="D793" s="8"/>
      <c r="E793" s="8"/>
    </row>
    <row r="794" spans="1:5" x14ac:dyDescent="0.2">
      <c r="A794" s="7"/>
      <c r="B794" s="7"/>
      <c r="C794" s="9"/>
      <c r="D794" s="8"/>
      <c r="E794" s="8"/>
    </row>
    <row r="795" spans="1:5" x14ac:dyDescent="0.2">
      <c r="A795" s="7"/>
      <c r="B795" s="7"/>
      <c r="C795" s="9"/>
      <c r="D795" s="8"/>
      <c r="E795" s="8"/>
    </row>
    <row r="796" spans="1:5" x14ac:dyDescent="0.2">
      <c r="A796" s="7"/>
      <c r="B796" s="7"/>
      <c r="C796" s="9"/>
      <c r="D796" s="8"/>
      <c r="E796" s="8"/>
    </row>
    <row r="797" spans="1:5" x14ac:dyDescent="0.2">
      <c r="A797" s="7"/>
      <c r="B797" s="7"/>
      <c r="C797" s="9"/>
      <c r="D797" s="8"/>
      <c r="E797" s="8"/>
    </row>
    <row r="798" spans="1:5" x14ac:dyDescent="0.2">
      <c r="A798" s="7"/>
      <c r="B798" s="7"/>
      <c r="C798" s="9"/>
      <c r="D798" s="8"/>
      <c r="E798" s="8"/>
    </row>
    <row r="799" spans="1:5" x14ac:dyDescent="0.2">
      <c r="A799" s="7"/>
      <c r="B799" s="7"/>
      <c r="C799" s="9"/>
      <c r="D799" s="8"/>
      <c r="E799" s="8"/>
    </row>
    <row r="800" spans="1:5" x14ac:dyDescent="0.2">
      <c r="A800" s="7"/>
      <c r="B800" s="7"/>
      <c r="C800" s="9"/>
      <c r="D800" s="8"/>
      <c r="E800" s="8"/>
    </row>
    <row r="801" spans="1:5" x14ac:dyDescent="0.2">
      <c r="A801" s="7"/>
      <c r="B801" s="7"/>
      <c r="C801" s="9"/>
      <c r="D801" s="8"/>
      <c r="E801" s="8"/>
    </row>
    <row r="802" spans="1:5" x14ac:dyDescent="0.2">
      <c r="A802" s="7"/>
      <c r="B802" s="7"/>
      <c r="C802" s="9"/>
      <c r="D802" s="8"/>
      <c r="E802" s="8"/>
    </row>
    <row r="803" spans="1:5" x14ac:dyDescent="0.2">
      <c r="A803" s="7"/>
      <c r="B803" s="7"/>
      <c r="C803" s="9"/>
      <c r="D803" s="8"/>
      <c r="E803" s="8"/>
    </row>
    <row r="804" spans="1:5" x14ac:dyDescent="0.2">
      <c r="A804" s="7"/>
      <c r="B804" s="7"/>
      <c r="C804" s="9"/>
      <c r="D804" s="8"/>
      <c r="E804" s="8"/>
    </row>
    <row r="805" spans="1:5" x14ac:dyDescent="0.2">
      <c r="A805" s="7"/>
      <c r="B805" s="7"/>
      <c r="C805" s="9"/>
      <c r="D805" s="8"/>
      <c r="E805" s="8"/>
    </row>
    <row r="806" spans="1:5" x14ac:dyDescent="0.2">
      <c r="A806" s="7"/>
      <c r="B806" s="7"/>
      <c r="C806" s="9"/>
      <c r="D806" s="8"/>
      <c r="E806" s="8"/>
    </row>
    <row r="807" spans="1:5" x14ac:dyDescent="0.2">
      <c r="A807" s="7"/>
      <c r="B807" s="7"/>
      <c r="C807" s="9"/>
      <c r="D807" s="8"/>
      <c r="E807" s="8"/>
    </row>
    <row r="808" spans="1:5" x14ac:dyDescent="0.2">
      <c r="A808" s="7"/>
      <c r="B808" s="7"/>
      <c r="C808" s="9"/>
      <c r="D808" s="8"/>
      <c r="E808" s="8"/>
    </row>
    <row r="809" spans="1:5" x14ac:dyDescent="0.2">
      <c r="A809" s="7"/>
      <c r="B809" s="7"/>
      <c r="C809" s="9"/>
      <c r="D809" s="8"/>
      <c r="E809" s="8"/>
    </row>
    <row r="810" spans="1:5" x14ac:dyDescent="0.2">
      <c r="A810" s="7"/>
      <c r="B810" s="7"/>
      <c r="C810" s="9"/>
      <c r="D810" s="8"/>
      <c r="E810" s="8"/>
    </row>
    <row r="811" spans="1:5" x14ac:dyDescent="0.2">
      <c r="A811" s="7"/>
      <c r="B811" s="7"/>
      <c r="C811" s="9"/>
      <c r="D811" s="8"/>
      <c r="E811" s="8"/>
    </row>
    <row r="812" spans="1:5" x14ac:dyDescent="0.2">
      <c r="A812" s="7"/>
      <c r="B812" s="7"/>
      <c r="C812" s="9"/>
      <c r="D812" s="8"/>
      <c r="E812" s="8"/>
    </row>
    <row r="813" spans="1:5" x14ac:dyDescent="0.2">
      <c r="A813" s="7"/>
      <c r="B813" s="7"/>
      <c r="C813" s="9"/>
      <c r="D813" s="8"/>
      <c r="E813" s="8"/>
    </row>
    <row r="814" spans="1:5" x14ac:dyDescent="0.2">
      <c r="A814" s="7"/>
      <c r="B814" s="7"/>
      <c r="C814" s="9"/>
      <c r="D814" s="8"/>
      <c r="E814" s="8"/>
    </row>
    <row r="815" spans="1:5" x14ac:dyDescent="0.2">
      <c r="A815" s="7"/>
      <c r="B815" s="7"/>
      <c r="C815" s="9"/>
      <c r="D815" s="8"/>
      <c r="E815" s="8"/>
    </row>
    <row r="816" spans="1:5" x14ac:dyDescent="0.2">
      <c r="A816" s="7"/>
      <c r="B816" s="7"/>
      <c r="C816" s="9"/>
      <c r="D816" s="8"/>
      <c r="E816" s="8"/>
    </row>
    <row r="817" spans="1:5" x14ac:dyDescent="0.2">
      <c r="A817" s="7"/>
      <c r="B817" s="7"/>
      <c r="C817" s="9"/>
      <c r="D817" s="8"/>
      <c r="E817" s="8"/>
    </row>
    <row r="818" spans="1:5" x14ac:dyDescent="0.2">
      <c r="A818" s="7"/>
      <c r="B818" s="7"/>
      <c r="C818" s="9"/>
      <c r="D818" s="8"/>
      <c r="E818" s="8"/>
    </row>
    <row r="819" spans="1:5" x14ac:dyDescent="0.2">
      <c r="A819" s="7"/>
      <c r="B819" s="7"/>
      <c r="C819" s="9"/>
      <c r="D819" s="8"/>
      <c r="E819" s="8"/>
    </row>
    <row r="820" spans="1:5" x14ac:dyDescent="0.2">
      <c r="A820" s="7"/>
      <c r="B820" s="7"/>
      <c r="C820" s="9"/>
      <c r="D820" s="8"/>
      <c r="E820" s="8"/>
    </row>
    <row r="821" spans="1:5" x14ac:dyDescent="0.2">
      <c r="A821" s="7"/>
      <c r="B821" s="7"/>
      <c r="C821" s="9"/>
      <c r="D821" s="8"/>
      <c r="E821" s="8"/>
    </row>
    <row r="822" spans="1:5" x14ac:dyDescent="0.2">
      <c r="A822" s="7"/>
      <c r="B822" s="7"/>
      <c r="C822" s="9"/>
      <c r="D822" s="8"/>
      <c r="E822" s="8"/>
    </row>
    <row r="823" spans="1:5" x14ac:dyDescent="0.2">
      <c r="A823" s="7"/>
      <c r="B823" s="7"/>
      <c r="C823" s="9"/>
      <c r="D823" s="8"/>
      <c r="E823" s="8"/>
    </row>
    <row r="824" spans="1:5" x14ac:dyDescent="0.2">
      <c r="A824" s="7"/>
      <c r="B824" s="7"/>
      <c r="C824" s="9"/>
      <c r="D824" s="8"/>
      <c r="E824" s="8"/>
    </row>
    <row r="825" spans="1:5" x14ac:dyDescent="0.2">
      <c r="A825" s="7"/>
      <c r="B825" s="7"/>
      <c r="C825" s="9"/>
      <c r="D825" s="8"/>
      <c r="E825" s="8"/>
    </row>
    <row r="826" spans="1:5" x14ac:dyDescent="0.2">
      <c r="A826" s="7"/>
      <c r="B826" s="7"/>
      <c r="C826" s="9"/>
      <c r="D826" s="8"/>
      <c r="E826" s="8"/>
    </row>
    <row r="827" spans="1:5" x14ac:dyDescent="0.2">
      <c r="A827" s="7"/>
      <c r="B827" s="7"/>
      <c r="C827" s="9"/>
      <c r="D827" s="8"/>
      <c r="E827" s="8"/>
    </row>
    <row r="828" spans="1:5" x14ac:dyDescent="0.2">
      <c r="A828" s="7"/>
      <c r="B828" s="7"/>
      <c r="C828" s="9"/>
      <c r="D828" s="8"/>
      <c r="E828" s="8"/>
    </row>
    <row r="829" spans="1:5" x14ac:dyDescent="0.2">
      <c r="A829" s="7"/>
      <c r="B829" s="7"/>
      <c r="C829" s="9"/>
      <c r="D829" s="8"/>
      <c r="E829" s="8"/>
    </row>
    <row r="830" spans="1:5" x14ac:dyDescent="0.2">
      <c r="A830" s="7"/>
      <c r="B830" s="7"/>
      <c r="C830" s="9"/>
      <c r="D830" s="8"/>
      <c r="E830" s="8"/>
    </row>
    <row r="831" spans="1:5" x14ac:dyDescent="0.2">
      <c r="A831" s="7"/>
      <c r="B831" s="7"/>
      <c r="C831" s="9"/>
      <c r="D831" s="8"/>
      <c r="E831" s="8"/>
    </row>
    <row r="832" spans="1:5" x14ac:dyDescent="0.2">
      <c r="A832" s="7"/>
      <c r="B832" s="7"/>
      <c r="C832" s="9"/>
      <c r="D832" s="8"/>
      <c r="E832" s="8"/>
    </row>
    <row r="833" spans="1:5" x14ac:dyDescent="0.2">
      <c r="A833" s="7"/>
      <c r="B833" s="7"/>
      <c r="C833" s="9"/>
      <c r="D833" s="8"/>
      <c r="E833" s="8"/>
    </row>
    <row r="834" spans="1:5" x14ac:dyDescent="0.2">
      <c r="A834" s="7"/>
      <c r="B834" s="7"/>
      <c r="C834" s="9"/>
      <c r="D834" s="8"/>
      <c r="E834" s="8"/>
    </row>
    <row r="835" spans="1:5" x14ac:dyDescent="0.2">
      <c r="A835" s="7"/>
      <c r="B835" s="7"/>
      <c r="C835" s="9"/>
      <c r="D835" s="8"/>
      <c r="E835" s="8"/>
    </row>
    <row r="836" spans="1:5" x14ac:dyDescent="0.2">
      <c r="A836" s="7"/>
      <c r="B836" s="7"/>
      <c r="C836" s="9"/>
      <c r="D836" s="8"/>
      <c r="E836" s="8"/>
    </row>
    <row r="837" spans="1:5" x14ac:dyDescent="0.2">
      <c r="A837" s="7"/>
      <c r="B837" s="7"/>
      <c r="C837" s="9"/>
      <c r="D837" s="8"/>
      <c r="E837" s="8"/>
    </row>
    <row r="838" spans="1:5" x14ac:dyDescent="0.2">
      <c r="A838" s="7"/>
      <c r="B838" s="7"/>
      <c r="C838" s="9"/>
      <c r="D838" s="8"/>
      <c r="E838" s="8"/>
    </row>
    <row r="839" spans="1:5" x14ac:dyDescent="0.2">
      <c r="A839" s="7"/>
      <c r="B839" s="7"/>
      <c r="C839" s="9"/>
      <c r="D839" s="8"/>
      <c r="E839" s="8"/>
    </row>
    <row r="840" spans="1:5" x14ac:dyDescent="0.2">
      <c r="A840" s="7"/>
      <c r="B840" s="7"/>
      <c r="C840" s="9"/>
      <c r="D840" s="8"/>
      <c r="E840" s="8"/>
    </row>
    <row r="841" spans="1:5" x14ac:dyDescent="0.2">
      <c r="A841" s="7"/>
      <c r="B841" s="7"/>
      <c r="C841" s="9"/>
      <c r="D841" s="8"/>
      <c r="E841" s="8"/>
    </row>
    <row r="842" spans="1:5" x14ac:dyDescent="0.2">
      <c r="A842" s="7"/>
      <c r="B842" s="7"/>
      <c r="C842" s="9"/>
      <c r="D842" s="8"/>
      <c r="E842" s="8"/>
    </row>
    <row r="843" spans="1:5" x14ac:dyDescent="0.2">
      <c r="A843" s="7"/>
      <c r="B843" s="7"/>
      <c r="C843" s="9"/>
      <c r="D843" s="8"/>
      <c r="E843" s="8"/>
    </row>
    <row r="844" spans="1:5" x14ac:dyDescent="0.2">
      <c r="A844" s="7"/>
      <c r="B844" s="7"/>
      <c r="C844" s="9"/>
      <c r="D844" s="8"/>
      <c r="E844" s="8"/>
    </row>
    <row r="845" spans="1:5" x14ac:dyDescent="0.2">
      <c r="A845" s="7"/>
      <c r="B845" s="7"/>
      <c r="C845" s="9"/>
      <c r="D845" s="8"/>
      <c r="E845" s="8"/>
    </row>
    <row r="846" spans="1:5" x14ac:dyDescent="0.2">
      <c r="A846" s="7"/>
      <c r="B846" s="7"/>
      <c r="C846" s="9"/>
      <c r="D846" s="8"/>
      <c r="E846" s="8"/>
    </row>
    <row r="847" spans="1:5" x14ac:dyDescent="0.2">
      <c r="A847" s="7"/>
      <c r="B847" s="7"/>
      <c r="C847" s="9"/>
      <c r="D847" s="8"/>
      <c r="E847" s="8"/>
    </row>
    <row r="848" spans="1:5" x14ac:dyDescent="0.2">
      <c r="A848" s="7"/>
      <c r="B848" s="7"/>
      <c r="C848" s="9"/>
      <c r="D848" s="8"/>
      <c r="E848" s="8"/>
    </row>
    <row r="849" spans="1:5" x14ac:dyDescent="0.2">
      <c r="A849" s="7"/>
      <c r="B849" s="7"/>
      <c r="C849" s="9"/>
      <c r="D849" s="8"/>
      <c r="E849" s="8"/>
    </row>
    <row r="850" spans="1:5" x14ac:dyDescent="0.2">
      <c r="A850" s="7"/>
      <c r="B850" s="7"/>
      <c r="C850" s="9"/>
      <c r="D850" s="8"/>
      <c r="E850" s="8"/>
    </row>
    <row r="851" spans="1:5" x14ac:dyDescent="0.2">
      <c r="A851" s="7"/>
      <c r="B851" s="7"/>
      <c r="C851" s="9"/>
      <c r="D851" s="8"/>
      <c r="E851" s="8"/>
    </row>
    <row r="852" spans="1:5" x14ac:dyDescent="0.2">
      <c r="A852" s="7"/>
      <c r="B852" s="7"/>
      <c r="C852" s="9"/>
      <c r="D852" s="8"/>
      <c r="E852" s="8"/>
    </row>
    <row r="853" spans="1:5" x14ac:dyDescent="0.2">
      <c r="A853" s="7"/>
      <c r="B853" s="7"/>
      <c r="C853" s="9"/>
      <c r="D853" s="8"/>
      <c r="E853" s="8"/>
    </row>
    <row r="854" spans="1:5" x14ac:dyDescent="0.2">
      <c r="A854" s="7"/>
      <c r="B854" s="7"/>
      <c r="C854" s="9"/>
      <c r="D854" s="8"/>
      <c r="E854" s="8"/>
    </row>
    <row r="855" spans="1:5" x14ac:dyDescent="0.2">
      <c r="A855" s="7"/>
      <c r="B855" s="7"/>
      <c r="C855" s="9"/>
      <c r="D855" s="8"/>
      <c r="E855" s="8"/>
    </row>
    <row r="856" spans="1:5" x14ac:dyDescent="0.2">
      <c r="A856" s="7"/>
      <c r="B856" s="7"/>
      <c r="C856" s="9"/>
      <c r="D856" s="8"/>
      <c r="E856" s="8"/>
    </row>
    <row r="857" spans="1:5" x14ac:dyDescent="0.2">
      <c r="A857" s="7"/>
      <c r="B857" s="7"/>
      <c r="C857" s="9"/>
      <c r="D857" s="8"/>
      <c r="E857" s="8"/>
    </row>
    <row r="858" spans="1:5" x14ac:dyDescent="0.2">
      <c r="A858" s="7"/>
      <c r="B858" s="7"/>
      <c r="C858" s="9"/>
      <c r="D858" s="8"/>
      <c r="E858" s="8"/>
    </row>
    <row r="859" spans="1:5" x14ac:dyDescent="0.2">
      <c r="A859" s="7"/>
      <c r="B859" s="7"/>
      <c r="C859" s="9"/>
      <c r="D859" s="8"/>
      <c r="E859" s="8"/>
    </row>
    <row r="860" spans="1:5" x14ac:dyDescent="0.2">
      <c r="A860" s="7"/>
      <c r="B860" s="7"/>
      <c r="C860" s="9"/>
      <c r="D860" s="8"/>
      <c r="E860" s="8"/>
    </row>
    <row r="861" spans="1:5" x14ac:dyDescent="0.2">
      <c r="A861" s="7"/>
      <c r="B861" s="7"/>
      <c r="C861" s="9"/>
      <c r="D861" s="8"/>
      <c r="E861" s="8"/>
    </row>
    <row r="862" spans="1:5" x14ac:dyDescent="0.2">
      <c r="A862" s="7"/>
      <c r="B862" s="7"/>
      <c r="C862" s="9"/>
      <c r="D862" s="8"/>
      <c r="E862" s="8"/>
    </row>
    <row r="863" spans="1:5" x14ac:dyDescent="0.2">
      <c r="A863" s="7"/>
      <c r="B863" s="7"/>
      <c r="C863" s="9"/>
      <c r="D863" s="8"/>
      <c r="E863" s="8"/>
    </row>
    <row r="864" spans="1:5" x14ac:dyDescent="0.2">
      <c r="A864" s="7"/>
      <c r="B864" s="7"/>
      <c r="C864" s="9"/>
      <c r="D864" s="8"/>
      <c r="E864" s="8"/>
    </row>
    <row r="865" spans="1:5" x14ac:dyDescent="0.2">
      <c r="A865" s="7"/>
      <c r="B865" s="7"/>
      <c r="C865" s="9"/>
      <c r="D865" s="8"/>
      <c r="E865" s="8"/>
    </row>
    <row r="866" spans="1:5" x14ac:dyDescent="0.2">
      <c r="A866" s="7"/>
      <c r="B866" s="7"/>
      <c r="C866" s="9"/>
      <c r="D866" s="8"/>
      <c r="E866" s="8"/>
    </row>
    <row r="867" spans="1:5" x14ac:dyDescent="0.2">
      <c r="A867" s="7"/>
      <c r="B867" s="7"/>
      <c r="C867" s="9"/>
      <c r="D867" s="8"/>
      <c r="E867" s="8"/>
    </row>
    <row r="868" spans="1:5" x14ac:dyDescent="0.2">
      <c r="A868" s="7"/>
      <c r="B868" s="7"/>
      <c r="C868" s="9"/>
      <c r="D868" s="8"/>
      <c r="E868" s="8"/>
    </row>
    <row r="869" spans="1:5" x14ac:dyDescent="0.2">
      <c r="A869" s="7"/>
      <c r="B869" s="7"/>
      <c r="C869" s="9"/>
      <c r="D869" s="8"/>
      <c r="E869" s="8"/>
    </row>
    <row r="870" spans="1:5" x14ac:dyDescent="0.2">
      <c r="A870" s="7"/>
      <c r="B870" s="7"/>
      <c r="C870" s="9"/>
      <c r="D870" s="8"/>
      <c r="E870" s="8"/>
    </row>
    <row r="871" spans="1:5" x14ac:dyDescent="0.2">
      <c r="A871" s="7"/>
      <c r="B871" s="7"/>
      <c r="C871" s="9"/>
      <c r="D871" s="8"/>
      <c r="E871" s="8"/>
    </row>
    <row r="872" spans="1:5" x14ac:dyDescent="0.2">
      <c r="A872" s="7"/>
      <c r="B872" s="7"/>
      <c r="C872" s="9"/>
      <c r="D872" s="8"/>
      <c r="E872" s="8"/>
    </row>
    <row r="873" spans="1:5" x14ac:dyDescent="0.2">
      <c r="A873" s="7"/>
      <c r="B873" s="7"/>
      <c r="C873" s="9"/>
      <c r="D873" s="8"/>
      <c r="E873" s="8"/>
    </row>
    <row r="874" spans="1:5" x14ac:dyDescent="0.2">
      <c r="A874" s="7"/>
      <c r="B874" s="7"/>
      <c r="C874" s="9"/>
      <c r="D874" s="8"/>
      <c r="E874" s="8"/>
    </row>
    <row r="875" spans="1:5" x14ac:dyDescent="0.2">
      <c r="A875" s="7"/>
      <c r="B875" s="7"/>
      <c r="C875" s="9"/>
      <c r="D875" s="8"/>
      <c r="E875" s="8"/>
    </row>
    <row r="876" spans="1:5" x14ac:dyDescent="0.2">
      <c r="A876" s="7"/>
      <c r="B876" s="7"/>
      <c r="C876" s="9"/>
      <c r="D876" s="8"/>
      <c r="E876" s="8"/>
    </row>
    <row r="877" spans="1:5" x14ac:dyDescent="0.2">
      <c r="A877" s="7"/>
      <c r="B877" s="7"/>
      <c r="C877" s="9"/>
      <c r="D877" s="8"/>
      <c r="E877" s="8"/>
    </row>
    <row r="878" spans="1:5" x14ac:dyDescent="0.2">
      <c r="A878" s="7"/>
      <c r="B878" s="7"/>
      <c r="C878" s="9"/>
      <c r="D878" s="8"/>
      <c r="E878" s="8"/>
    </row>
    <row r="879" spans="1:5" x14ac:dyDescent="0.2">
      <c r="A879" s="7"/>
      <c r="B879" s="7"/>
      <c r="C879" s="9"/>
      <c r="D879" s="8"/>
      <c r="E879" s="8"/>
    </row>
    <row r="880" spans="1:5" x14ac:dyDescent="0.2">
      <c r="A880" s="7"/>
      <c r="B880" s="7"/>
      <c r="C880" s="9"/>
      <c r="D880" s="8"/>
      <c r="E880" s="8"/>
    </row>
    <row r="881" spans="1:5" x14ac:dyDescent="0.2">
      <c r="A881" s="7"/>
      <c r="B881" s="7"/>
      <c r="C881" s="9"/>
      <c r="D881" s="8"/>
      <c r="E881" s="8"/>
    </row>
    <row r="882" spans="1:5" x14ac:dyDescent="0.2">
      <c r="A882" s="7"/>
      <c r="B882" s="7"/>
      <c r="C882" s="9"/>
      <c r="D882" s="8"/>
      <c r="E882" s="8"/>
    </row>
    <row r="883" spans="1:5" x14ac:dyDescent="0.2">
      <c r="A883" s="7"/>
      <c r="B883" s="7"/>
      <c r="C883" s="9"/>
      <c r="D883" s="8"/>
      <c r="E883" s="8"/>
    </row>
    <row r="884" spans="1:5" x14ac:dyDescent="0.2">
      <c r="A884" s="7"/>
      <c r="B884" s="7"/>
      <c r="C884" s="9"/>
      <c r="D884" s="8"/>
      <c r="E884" s="8"/>
    </row>
    <row r="885" spans="1:5" x14ac:dyDescent="0.2">
      <c r="A885" s="7"/>
      <c r="B885" s="7"/>
      <c r="C885" s="9"/>
      <c r="D885" s="8"/>
      <c r="E885" s="8"/>
    </row>
    <row r="886" spans="1:5" x14ac:dyDescent="0.2">
      <c r="A886" s="7"/>
      <c r="B886" s="7"/>
      <c r="C886" s="9"/>
      <c r="D886" s="8"/>
      <c r="E886" s="8"/>
    </row>
    <row r="887" spans="1:5" x14ac:dyDescent="0.2">
      <c r="A887" s="7"/>
      <c r="B887" s="7"/>
      <c r="C887" s="9"/>
      <c r="D887" s="8"/>
      <c r="E887" s="8"/>
    </row>
    <row r="888" spans="1:5" x14ac:dyDescent="0.2">
      <c r="A888" s="7"/>
      <c r="B888" s="7"/>
      <c r="C888" s="9"/>
      <c r="D888" s="8"/>
      <c r="E888" s="8"/>
    </row>
    <row r="889" spans="1:5" x14ac:dyDescent="0.2">
      <c r="A889" s="7"/>
      <c r="B889" s="7"/>
      <c r="C889" s="9"/>
      <c r="D889" s="8"/>
      <c r="E889" s="8"/>
    </row>
    <row r="890" spans="1:5" x14ac:dyDescent="0.2">
      <c r="A890" s="7"/>
      <c r="B890" s="7"/>
      <c r="C890" s="9"/>
      <c r="D890" s="8"/>
      <c r="E890" s="8"/>
    </row>
    <row r="891" spans="1:5" x14ac:dyDescent="0.2">
      <c r="A891" s="7"/>
      <c r="B891" s="7"/>
      <c r="C891" s="9"/>
      <c r="D891" s="8"/>
      <c r="E891" s="8"/>
    </row>
    <row r="892" spans="1:5" x14ac:dyDescent="0.2">
      <c r="A892" s="7"/>
      <c r="B892" s="7"/>
      <c r="C892" s="9"/>
      <c r="D892" s="8"/>
      <c r="E892" s="8"/>
    </row>
    <row r="893" spans="1:5" x14ac:dyDescent="0.2">
      <c r="A893" s="7"/>
      <c r="B893" s="7"/>
      <c r="C893" s="9"/>
      <c r="D893" s="8"/>
      <c r="E893" s="8"/>
    </row>
    <row r="894" spans="1:5" x14ac:dyDescent="0.2">
      <c r="A894" s="7"/>
      <c r="B894" s="7"/>
      <c r="C894" s="9"/>
      <c r="D894" s="8"/>
      <c r="E894" s="8"/>
    </row>
    <row r="895" spans="1:5" x14ac:dyDescent="0.2">
      <c r="A895" s="7"/>
      <c r="B895" s="7"/>
      <c r="C895" s="9"/>
      <c r="D895" s="8"/>
      <c r="E895" s="8"/>
    </row>
    <row r="896" spans="1:5" x14ac:dyDescent="0.2">
      <c r="A896" s="7"/>
      <c r="B896" s="7"/>
      <c r="C896" s="9"/>
      <c r="D896" s="8"/>
      <c r="E896" s="8"/>
    </row>
    <row r="897" spans="1:5" x14ac:dyDescent="0.2">
      <c r="A897" s="7"/>
      <c r="B897" s="7"/>
      <c r="C897" s="9"/>
      <c r="D897" s="8"/>
      <c r="E897" s="8"/>
    </row>
    <row r="898" spans="1:5" x14ac:dyDescent="0.2">
      <c r="A898" s="7"/>
      <c r="B898" s="7"/>
      <c r="C898" s="9"/>
      <c r="D898" s="8"/>
      <c r="E898" s="8"/>
    </row>
    <row r="899" spans="1:5" x14ac:dyDescent="0.2">
      <c r="A899" s="7"/>
      <c r="B899" s="7"/>
      <c r="C899" s="9"/>
      <c r="D899" s="8"/>
      <c r="E899" s="8"/>
    </row>
    <row r="900" spans="1:5" x14ac:dyDescent="0.2">
      <c r="A900" s="7"/>
      <c r="B900" s="7"/>
      <c r="C900" s="9"/>
      <c r="D900" s="8"/>
      <c r="E900" s="8"/>
    </row>
    <row r="901" spans="1:5" x14ac:dyDescent="0.2">
      <c r="A901" s="7"/>
      <c r="B901" s="7"/>
      <c r="C901" s="9"/>
      <c r="D901" s="8"/>
      <c r="E901" s="8"/>
    </row>
    <row r="902" spans="1:5" x14ac:dyDescent="0.2">
      <c r="A902" s="7"/>
      <c r="B902" s="7"/>
      <c r="C902" s="9"/>
      <c r="D902" s="8"/>
      <c r="E902" s="8"/>
    </row>
    <row r="903" spans="1:5" x14ac:dyDescent="0.2">
      <c r="A903" s="7"/>
      <c r="B903" s="7"/>
      <c r="C903" s="9"/>
      <c r="D903" s="8"/>
      <c r="E903" s="8"/>
    </row>
    <row r="904" spans="1:5" x14ac:dyDescent="0.2">
      <c r="A904" s="7"/>
      <c r="B904" s="7"/>
      <c r="C904" s="9"/>
      <c r="D904" s="8"/>
      <c r="E904" s="8"/>
    </row>
    <row r="905" spans="1:5" x14ac:dyDescent="0.2">
      <c r="A905" s="7"/>
      <c r="B905" s="7"/>
      <c r="C905" s="9"/>
      <c r="D905" s="8"/>
      <c r="E905" s="8"/>
    </row>
    <row r="906" spans="1:5" x14ac:dyDescent="0.2">
      <c r="A906" s="7"/>
      <c r="B906" s="7"/>
      <c r="C906" s="9"/>
      <c r="D906" s="8"/>
      <c r="E906" s="8"/>
    </row>
    <row r="907" spans="1:5" x14ac:dyDescent="0.2">
      <c r="A907" s="7"/>
      <c r="B907" s="7"/>
      <c r="C907" s="9"/>
      <c r="D907" s="8"/>
      <c r="E907" s="8"/>
    </row>
    <row r="908" spans="1:5" x14ac:dyDescent="0.2">
      <c r="A908" s="7"/>
      <c r="B908" s="7"/>
      <c r="C908" s="9"/>
      <c r="D908" s="8"/>
      <c r="E908" s="8"/>
    </row>
    <row r="909" spans="1:5" x14ac:dyDescent="0.2">
      <c r="A909" s="7"/>
      <c r="B909" s="7"/>
      <c r="C909" s="9"/>
      <c r="D909" s="8"/>
      <c r="E909" s="8"/>
    </row>
    <row r="910" spans="1:5" x14ac:dyDescent="0.2">
      <c r="A910" s="7"/>
      <c r="B910" s="7"/>
      <c r="C910" s="9"/>
      <c r="D910" s="8"/>
      <c r="E910" s="8"/>
    </row>
    <row r="911" spans="1:5" x14ac:dyDescent="0.2">
      <c r="A911" s="7"/>
      <c r="B911" s="7"/>
      <c r="C911" s="9"/>
      <c r="D911" s="8"/>
      <c r="E911" s="8"/>
    </row>
    <row r="912" spans="1:5" x14ac:dyDescent="0.2">
      <c r="A912" s="7"/>
      <c r="B912" s="7"/>
      <c r="C912" s="9"/>
      <c r="D912" s="8"/>
      <c r="E912" s="8"/>
    </row>
    <row r="913" spans="1:5" x14ac:dyDescent="0.2">
      <c r="A913" s="7"/>
      <c r="B913" s="7"/>
      <c r="C913" s="9"/>
      <c r="D913" s="8"/>
      <c r="E913" s="8"/>
    </row>
    <row r="914" spans="1:5" x14ac:dyDescent="0.2">
      <c r="A914" s="7"/>
      <c r="B914" s="7"/>
      <c r="C914" s="9"/>
      <c r="D914" s="8"/>
      <c r="E914" s="8"/>
    </row>
    <row r="915" spans="1:5" x14ac:dyDescent="0.2">
      <c r="A915" s="7"/>
      <c r="B915" s="7"/>
      <c r="C915" s="9"/>
      <c r="D915" s="8"/>
      <c r="E915" s="8"/>
    </row>
    <row r="916" spans="1:5" x14ac:dyDescent="0.2">
      <c r="A916" s="7"/>
      <c r="B916" s="7"/>
      <c r="C916" s="9"/>
      <c r="D916" s="8"/>
      <c r="E916" s="8"/>
    </row>
    <row r="917" spans="1:5" x14ac:dyDescent="0.2">
      <c r="A917" s="7"/>
      <c r="B917" s="7"/>
      <c r="C917" s="9"/>
      <c r="D917" s="8"/>
      <c r="E917" s="8"/>
    </row>
    <row r="918" spans="1:5" x14ac:dyDescent="0.2">
      <c r="A918" s="7"/>
      <c r="B918" s="7"/>
      <c r="C918" s="9"/>
      <c r="D918" s="8"/>
      <c r="E918" s="8"/>
    </row>
    <row r="919" spans="1:5" x14ac:dyDescent="0.2">
      <c r="A919" s="7"/>
      <c r="B919" s="7"/>
      <c r="C919" s="9"/>
      <c r="D919" s="8"/>
      <c r="E919" s="8"/>
    </row>
    <row r="920" spans="1:5" x14ac:dyDescent="0.2">
      <c r="A920" s="7"/>
      <c r="B920" s="7"/>
      <c r="C920" s="9"/>
      <c r="D920" s="8"/>
      <c r="E920" s="8"/>
    </row>
    <row r="921" spans="1:5" x14ac:dyDescent="0.2">
      <c r="A921" s="7"/>
      <c r="B921" s="7"/>
      <c r="C921" s="9"/>
      <c r="D921" s="8"/>
      <c r="E921" s="8"/>
    </row>
    <row r="922" spans="1:5" x14ac:dyDescent="0.2">
      <c r="A922" s="7"/>
      <c r="B922" s="7"/>
      <c r="C922" s="9"/>
      <c r="D922" s="8"/>
      <c r="E922" s="8"/>
    </row>
    <row r="923" spans="1:5" x14ac:dyDescent="0.2">
      <c r="A923" s="7"/>
      <c r="B923" s="7"/>
      <c r="C923" s="9"/>
      <c r="D923" s="8"/>
      <c r="E923" s="8"/>
    </row>
    <row r="924" spans="1:5" x14ac:dyDescent="0.2">
      <c r="A924" s="7"/>
      <c r="B924" s="7"/>
      <c r="C924" s="9"/>
      <c r="D924" s="8"/>
      <c r="E924" s="8"/>
    </row>
    <row r="925" spans="1:5" x14ac:dyDescent="0.2">
      <c r="A925" s="7"/>
      <c r="B925" s="7"/>
      <c r="C925" s="9"/>
      <c r="D925" s="8"/>
      <c r="E925" s="8"/>
    </row>
    <row r="926" spans="1:5" x14ac:dyDescent="0.2">
      <c r="A926" s="7"/>
      <c r="B926" s="7"/>
      <c r="C926" s="9"/>
      <c r="D926" s="8"/>
      <c r="E926" s="8"/>
    </row>
    <row r="927" spans="1:5" x14ac:dyDescent="0.2">
      <c r="A927" s="7"/>
      <c r="B927" s="7"/>
      <c r="C927" s="9"/>
      <c r="D927" s="8"/>
      <c r="E927" s="8"/>
    </row>
    <row r="928" spans="1:5" x14ac:dyDescent="0.2">
      <c r="A928" s="7"/>
      <c r="B928" s="7"/>
      <c r="C928" s="9"/>
      <c r="D928" s="8"/>
      <c r="E928" s="8"/>
    </row>
    <row r="929" spans="1:5" x14ac:dyDescent="0.2">
      <c r="A929" s="7"/>
      <c r="B929" s="7"/>
      <c r="C929" s="9"/>
      <c r="D929" s="8"/>
      <c r="E929" s="8"/>
    </row>
    <row r="930" spans="1:5" x14ac:dyDescent="0.2">
      <c r="A930" s="7"/>
      <c r="B930" s="7"/>
      <c r="C930" s="9"/>
      <c r="D930" s="8"/>
      <c r="E930" s="8"/>
    </row>
    <row r="931" spans="1:5" x14ac:dyDescent="0.2">
      <c r="A931" s="7"/>
      <c r="B931" s="7"/>
      <c r="C931" s="9"/>
      <c r="D931" s="8"/>
      <c r="E931" s="8"/>
    </row>
    <row r="932" spans="1:5" x14ac:dyDescent="0.2">
      <c r="A932" s="7"/>
      <c r="B932" s="7"/>
      <c r="C932" s="9"/>
      <c r="D932" s="8"/>
      <c r="E932" s="8"/>
    </row>
    <row r="933" spans="1:5" x14ac:dyDescent="0.2">
      <c r="A933" s="7"/>
      <c r="B933" s="7"/>
      <c r="C933" s="9"/>
      <c r="D933" s="8"/>
      <c r="E933" s="8"/>
    </row>
    <row r="934" spans="1:5" x14ac:dyDescent="0.2">
      <c r="A934" s="7"/>
      <c r="B934" s="7"/>
      <c r="C934" s="9"/>
      <c r="D934" s="8"/>
      <c r="E934" s="8"/>
    </row>
    <row r="935" spans="1:5" x14ac:dyDescent="0.2">
      <c r="A935" s="7"/>
      <c r="B935" s="7"/>
      <c r="C935" s="9"/>
      <c r="D935" s="8"/>
      <c r="E935" s="8"/>
    </row>
    <row r="936" spans="1:5" x14ac:dyDescent="0.2">
      <c r="A936" s="7"/>
      <c r="B936" s="7"/>
      <c r="C936" s="9"/>
      <c r="D936" s="8"/>
      <c r="E936" s="8"/>
    </row>
    <row r="937" spans="1:5" x14ac:dyDescent="0.2">
      <c r="A937" s="7"/>
      <c r="B937" s="7"/>
      <c r="C937" s="9"/>
      <c r="D937" s="8"/>
      <c r="E937" s="8"/>
    </row>
    <row r="938" spans="1:5" x14ac:dyDescent="0.2">
      <c r="A938" s="7"/>
      <c r="B938" s="7"/>
      <c r="C938" s="9"/>
      <c r="D938" s="8"/>
      <c r="E938" s="8"/>
    </row>
    <row r="939" spans="1:5" x14ac:dyDescent="0.2">
      <c r="A939" s="7"/>
      <c r="B939" s="7"/>
      <c r="C939" s="9"/>
      <c r="D939" s="8"/>
      <c r="E939" s="8"/>
    </row>
    <row r="940" spans="1:5" x14ac:dyDescent="0.2">
      <c r="A940" s="7"/>
      <c r="B940" s="7"/>
      <c r="C940" s="9"/>
      <c r="D940" s="8"/>
      <c r="E940" s="8"/>
    </row>
    <row r="941" spans="1:5" x14ac:dyDescent="0.2">
      <c r="A941" s="7"/>
      <c r="B941" s="7"/>
      <c r="C941" s="9"/>
      <c r="D941" s="8"/>
      <c r="E941" s="8"/>
    </row>
    <row r="942" spans="1:5" x14ac:dyDescent="0.2">
      <c r="A942" s="7"/>
      <c r="B942" s="7"/>
      <c r="C942" s="9"/>
      <c r="D942" s="8"/>
      <c r="E942" s="8"/>
    </row>
    <row r="943" spans="1:5" x14ac:dyDescent="0.2">
      <c r="A943" s="7"/>
      <c r="B943" s="7"/>
      <c r="C943" s="9"/>
      <c r="D943" s="8"/>
      <c r="E943" s="8"/>
    </row>
    <row r="944" spans="1:5" x14ac:dyDescent="0.2">
      <c r="A944" s="7"/>
      <c r="B944" s="7"/>
      <c r="C944" s="9"/>
      <c r="D944" s="8"/>
      <c r="E944" s="8"/>
    </row>
    <row r="945" spans="1:5" x14ac:dyDescent="0.2">
      <c r="A945" s="7"/>
      <c r="B945" s="7"/>
      <c r="C945" s="9"/>
      <c r="D945" s="8"/>
      <c r="E945" s="8"/>
    </row>
    <row r="946" spans="1:5" x14ac:dyDescent="0.2">
      <c r="A946" s="7"/>
      <c r="B946" s="7"/>
      <c r="C946" s="9"/>
      <c r="D946" s="8"/>
      <c r="E946" s="8"/>
    </row>
    <row r="947" spans="1:5" x14ac:dyDescent="0.2">
      <c r="A947" s="7"/>
      <c r="B947" s="7"/>
      <c r="C947" s="9"/>
      <c r="D947" s="8"/>
      <c r="E947" s="8"/>
    </row>
    <row r="948" spans="1:5" x14ac:dyDescent="0.2">
      <c r="A948" s="7"/>
      <c r="B948" s="7"/>
      <c r="C948" s="9"/>
      <c r="D948" s="8"/>
      <c r="E948" s="8"/>
    </row>
    <row r="949" spans="1:5" x14ac:dyDescent="0.2">
      <c r="A949" s="7"/>
      <c r="B949" s="7"/>
      <c r="C949" s="9"/>
      <c r="D949" s="8"/>
      <c r="E949" s="8"/>
    </row>
    <row r="950" spans="1:5" x14ac:dyDescent="0.2">
      <c r="A950" s="7"/>
      <c r="B950" s="7"/>
      <c r="C950" s="9"/>
      <c r="D950" s="8"/>
      <c r="E950" s="8"/>
    </row>
    <row r="951" spans="1:5" x14ac:dyDescent="0.2">
      <c r="A951" s="7"/>
      <c r="B951" s="7"/>
      <c r="C951" s="9"/>
      <c r="D951" s="8"/>
      <c r="E951" s="8"/>
    </row>
    <row r="952" spans="1:5" x14ac:dyDescent="0.2">
      <c r="A952" s="7"/>
      <c r="B952" s="7"/>
      <c r="C952" s="9"/>
      <c r="D952" s="8"/>
      <c r="E952" s="8"/>
    </row>
    <row r="953" spans="1:5" x14ac:dyDescent="0.2">
      <c r="A953" s="7"/>
      <c r="B953" s="7"/>
      <c r="C953" s="9"/>
      <c r="D953" s="8"/>
      <c r="E953" s="8"/>
    </row>
    <row r="954" spans="1:5" x14ac:dyDescent="0.2">
      <c r="A954" s="7"/>
      <c r="B954" s="7"/>
      <c r="C954" s="9"/>
      <c r="D954" s="8"/>
      <c r="E954" s="8"/>
    </row>
    <row r="955" spans="1:5" x14ac:dyDescent="0.2">
      <c r="A955" s="7"/>
      <c r="B955" s="7"/>
      <c r="C955" s="9"/>
      <c r="D955" s="8"/>
      <c r="E955" s="8"/>
    </row>
    <row r="956" spans="1:5" x14ac:dyDescent="0.2">
      <c r="A956" s="7"/>
      <c r="B956" s="7"/>
      <c r="C956" s="9"/>
      <c r="D956" s="8"/>
      <c r="E956" s="8"/>
    </row>
    <row r="957" spans="1:5" x14ac:dyDescent="0.2">
      <c r="A957" s="7"/>
      <c r="B957" s="7"/>
      <c r="C957" s="9"/>
      <c r="D957" s="8"/>
      <c r="E957" s="8"/>
    </row>
    <row r="958" spans="1:5" x14ac:dyDescent="0.2">
      <c r="A958" s="7"/>
      <c r="B958" s="7"/>
      <c r="C958" s="9"/>
      <c r="D958" s="8"/>
      <c r="E958" s="8"/>
    </row>
    <row r="959" spans="1:5" x14ac:dyDescent="0.2">
      <c r="A959" s="7"/>
      <c r="B959" s="7"/>
      <c r="C959" s="9"/>
      <c r="D959" s="8"/>
      <c r="E959" s="8"/>
    </row>
    <row r="960" spans="1:5" x14ac:dyDescent="0.2">
      <c r="A960" s="7"/>
      <c r="B960" s="7"/>
      <c r="C960" s="9"/>
      <c r="D960" s="8"/>
      <c r="E960" s="8"/>
    </row>
    <row r="961" spans="1:5" x14ac:dyDescent="0.2">
      <c r="A961" s="7"/>
      <c r="B961" s="7"/>
      <c r="C961" s="9"/>
      <c r="D961" s="8"/>
      <c r="E961" s="8"/>
    </row>
    <row r="962" spans="1:5" x14ac:dyDescent="0.2">
      <c r="A962" s="7"/>
      <c r="B962" s="7"/>
      <c r="C962" s="9"/>
      <c r="D962" s="8"/>
      <c r="E962" s="8"/>
    </row>
    <row r="963" spans="1:5" x14ac:dyDescent="0.2">
      <c r="A963" s="7"/>
      <c r="B963" s="7"/>
      <c r="C963" s="9"/>
      <c r="D963" s="8"/>
      <c r="E963" s="8"/>
    </row>
    <row r="964" spans="1:5" x14ac:dyDescent="0.2">
      <c r="A964" s="7"/>
      <c r="B964" s="7"/>
      <c r="C964" s="9"/>
      <c r="D964" s="8"/>
      <c r="E964" s="8"/>
    </row>
    <row r="965" spans="1:5" x14ac:dyDescent="0.2">
      <c r="A965" s="7"/>
      <c r="B965" s="7"/>
      <c r="C965" s="9"/>
      <c r="D965" s="8"/>
      <c r="E965" s="8"/>
    </row>
    <row r="966" spans="1:5" x14ac:dyDescent="0.2">
      <c r="A966" s="7"/>
      <c r="B966" s="7"/>
      <c r="C966" s="9"/>
      <c r="D966" s="8"/>
      <c r="E966" s="8"/>
    </row>
    <row r="967" spans="1:5" x14ac:dyDescent="0.2">
      <c r="A967" s="7"/>
      <c r="B967" s="7"/>
      <c r="C967" s="9"/>
      <c r="D967" s="8"/>
      <c r="E967" s="8"/>
    </row>
    <row r="968" spans="1:5" x14ac:dyDescent="0.2">
      <c r="A968" s="7"/>
      <c r="B968" s="7"/>
      <c r="C968" s="9"/>
      <c r="D968" s="8"/>
      <c r="E968" s="8"/>
    </row>
    <row r="969" spans="1:5" x14ac:dyDescent="0.2">
      <c r="A969" s="7"/>
      <c r="B969" s="7"/>
      <c r="C969" s="9"/>
      <c r="D969" s="8"/>
      <c r="E969" s="8"/>
    </row>
    <row r="970" spans="1:5" x14ac:dyDescent="0.2">
      <c r="A970" s="7"/>
      <c r="B970" s="7"/>
      <c r="C970" s="9"/>
      <c r="D970" s="8"/>
      <c r="E970" s="8"/>
    </row>
    <row r="971" spans="1:5" x14ac:dyDescent="0.2">
      <c r="A971" s="7"/>
      <c r="B971" s="7"/>
      <c r="C971" s="9"/>
      <c r="D971" s="8"/>
      <c r="E971" s="8"/>
    </row>
    <row r="972" spans="1:5" x14ac:dyDescent="0.2">
      <c r="A972" s="7"/>
      <c r="B972" s="7"/>
      <c r="C972" s="9"/>
      <c r="D972" s="8"/>
      <c r="E972" s="8"/>
    </row>
    <row r="973" spans="1:5" x14ac:dyDescent="0.2">
      <c r="A973" s="7"/>
      <c r="B973" s="7"/>
      <c r="C973" s="9"/>
      <c r="D973" s="8"/>
      <c r="E973" s="8"/>
    </row>
    <row r="974" spans="1:5" x14ac:dyDescent="0.2">
      <c r="A974" s="7"/>
      <c r="B974" s="7"/>
      <c r="C974" s="9"/>
      <c r="D974" s="8"/>
      <c r="E974" s="8"/>
    </row>
    <row r="975" spans="1:5" x14ac:dyDescent="0.2">
      <c r="A975" s="7"/>
      <c r="B975" s="7"/>
      <c r="C975" s="9"/>
      <c r="D975" s="8"/>
      <c r="E975" s="8"/>
    </row>
    <row r="976" spans="1:5" x14ac:dyDescent="0.2">
      <c r="A976" s="7"/>
      <c r="B976" s="7"/>
      <c r="C976" s="9"/>
      <c r="D976" s="8"/>
      <c r="E976" s="8"/>
    </row>
    <row r="977" spans="1:5" x14ac:dyDescent="0.2">
      <c r="A977" s="7"/>
      <c r="B977" s="7"/>
      <c r="C977" s="9"/>
      <c r="D977" s="8"/>
      <c r="E977" s="8"/>
    </row>
    <row r="978" spans="1:5" x14ac:dyDescent="0.2">
      <c r="A978" s="7"/>
      <c r="B978" s="7"/>
      <c r="C978" s="9"/>
      <c r="D978" s="8"/>
      <c r="E978" s="8"/>
    </row>
    <row r="979" spans="1:5" x14ac:dyDescent="0.2">
      <c r="A979" s="7"/>
      <c r="B979" s="7"/>
      <c r="C979" s="9"/>
      <c r="D979" s="8"/>
      <c r="E979" s="8"/>
    </row>
    <row r="980" spans="1:5" x14ac:dyDescent="0.2">
      <c r="A980" s="7"/>
      <c r="B980" s="7"/>
      <c r="C980" s="9"/>
      <c r="D980" s="8"/>
      <c r="E980" s="8"/>
    </row>
    <row r="981" spans="1:5" x14ac:dyDescent="0.2">
      <c r="A981" s="7"/>
      <c r="B981" s="7"/>
      <c r="C981" s="9"/>
      <c r="D981" s="8"/>
      <c r="E981" s="8"/>
    </row>
    <row r="982" spans="1:5" x14ac:dyDescent="0.2">
      <c r="A982" s="7"/>
      <c r="B982" s="7"/>
      <c r="C982" s="9"/>
      <c r="D982" s="8"/>
      <c r="E982" s="8"/>
    </row>
    <row r="983" spans="1:5" x14ac:dyDescent="0.2">
      <c r="A983" s="7"/>
      <c r="B983" s="7"/>
      <c r="C983" s="9"/>
      <c r="D983" s="8"/>
      <c r="E983" s="8"/>
    </row>
    <row r="984" spans="1:5" x14ac:dyDescent="0.2">
      <c r="A984" s="7"/>
      <c r="B984" s="7"/>
      <c r="C984" s="9"/>
      <c r="D984" s="8"/>
      <c r="E984" s="8"/>
    </row>
    <row r="985" spans="1:5" x14ac:dyDescent="0.2">
      <c r="A985" s="7"/>
      <c r="B985" s="7"/>
      <c r="C985" s="9"/>
      <c r="D985" s="8"/>
      <c r="E985" s="8"/>
    </row>
    <row r="986" spans="1:5" x14ac:dyDescent="0.2">
      <c r="A986" s="7"/>
      <c r="B986" s="7"/>
      <c r="C986" s="9"/>
      <c r="D986" s="8"/>
      <c r="E986" s="8"/>
    </row>
    <row r="987" spans="1:5" x14ac:dyDescent="0.2">
      <c r="A987" s="7"/>
      <c r="B987" s="7"/>
      <c r="C987" s="9"/>
      <c r="D987" s="8"/>
      <c r="E987" s="8"/>
    </row>
    <row r="988" spans="1:5" x14ac:dyDescent="0.2">
      <c r="A988" s="7"/>
      <c r="B988" s="7"/>
      <c r="C988" s="9"/>
      <c r="D988" s="8"/>
      <c r="E988" s="8"/>
    </row>
    <row r="989" spans="1:5" x14ac:dyDescent="0.2">
      <c r="A989" s="7"/>
      <c r="B989" s="7"/>
      <c r="C989" s="9"/>
      <c r="D989" s="8"/>
      <c r="E989" s="8"/>
    </row>
    <row r="990" spans="1:5" x14ac:dyDescent="0.2">
      <c r="A990" s="7"/>
      <c r="B990" s="7"/>
      <c r="C990" s="9"/>
      <c r="D990" s="8"/>
      <c r="E990" s="8"/>
    </row>
    <row r="991" spans="1:5" x14ac:dyDescent="0.2">
      <c r="A991" s="7"/>
      <c r="B991" s="7"/>
      <c r="C991" s="9"/>
      <c r="D991" s="8"/>
      <c r="E991" s="8"/>
    </row>
    <row r="992" spans="1:5" x14ac:dyDescent="0.2">
      <c r="A992" s="7"/>
      <c r="B992" s="7"/>
      <c r="C992" s="9"/>
      <c r="D992" s="8"/>
      <c r="E992" s="8"/>
    </row>
    <row r="993" spans="1:5" x14ac:dyDescent="0.2">
      <c r="A993" s="7"/>
      <c r="B993" s="7"/>
      <c r="C993" s="9"/>
      <c r="D993" s="8"/>
      <c r="E993" s="8"/>
    </row>
    <row r="994" spans="1:5" x14ac:dyDescent="0.2">
      <c r="A994" s="7"/>
      <c r="B994" s="7"/>
      <c r="C994" s="9"/>
      <c r="D994" s="8"/>
      <c r="E994" s="8"/>
    </row>
    <row r="995" spans="1:5" x14ac:dyDescent="0.2">
      <c r="A995" s="7"/>
      <c r="B995" s="7"/>
      <c r="C995" s="9"/>
      <c r="D995" s="8"/>
      <c r="E995" s="8"/>
    </row>
    <row r="996" spans="1:5" x14ac:dyDescent="0.2">
      <c r="A996" s="7"/>
      <c r="B996" s="7"/>
      <c r="C996" s="9"/>
      <c r="D996" s="8"/>
      <c r="E996" s="8"/>
    </row>
    <row r="997" spans="1:5" x14ac:dyDescent="0.2">
      <c r="A997" s="7"/>
      <c r="B997" s="7"/>
      <c r="C997" s="9"/>
      <c r="D997" s="8"/>
      <c r="E997" s="8"/>
    </row>
    <row r="998" spans="1:5" x14ac:dyDescent="0.2">
      <c r="A998" s="7"/>
      <c r="B998" s="7"/>
      <c r="C998" s="9"/>
      <c r="D998" s="8"/>
      <c r="E998" s="8"/>
    </row>
    <row r="999" spans="1:5" x14ac:dyDescent="0.2">
      <c r="A999" s="7"/>
      <c r="B999" s="7"/>
      <c r="C999" s="9"/>
      <c r="D999" s="8"/>
      <c r="E999" s="8"/>
    </row>
    <row r="1000" spans="1:5" x14ac:dyDescent="0.2">
      <c r="A1000" s="7"/>
      <c r="B1000" s="7"/>
      <c r="C1000" s="9"/>
      <c r="D1000" s="8"/>
      <c r="E1000" s="8"/>
    </row>
    <row r="1001" spans="1:5" x14ac:dyDescent="0.2">
      <c r="A1001" s="7" t="s">
        <v>5</v>
      </c>
      <c r="B1001" s="7"/>
      <c r="C1001" s="9"/>
      <c r="D1001" s="8"/>
      <c r="E1001" s="8"/>
    </row>
    <row r="1002" spans="1:5" x14ac:dyDescent="0.2">
      <c r="A1002" s="7" t="s">
        <v>6</v>
      </c>
      <c r="B1002" s="7"/>
      <c r="C1002" s="9"/>
      <c r="D1002" s="8"/>
      <c r="E1002" s="8"/>
    </row>
    <row r="1003" spans="1:5" x14ac:dyDescent="0.2">
      <c r="A1003" s="7" t="s">
        <v>7</v>
      </c>
      <c r="B1003" s="7"/>
      <c r="C1003" s="9"/>
      <c r="D1003" s="8"/>
      <c r="E1003" s="8"/>
    </row>
    <row r="1004" spans="1:5" x14ac:dyDescent="0.2">
      <c r="A1004" s="7" t="s">
        <v>8</v>
      </c>
      <c r="B1004" s="7"/>
      <c r="C1004" s="9"/>
      <c r="D1004" s="8"/>
      <c r="E1004" s="8"/>
    </row>
    <row r="1005" spans="1:5" x14ac:dyDescent="0.2">
      <c r="A1005" s="7" t="s">
        <v>9</v>
      </c>
      <c r="B1005" s="7"/>
      <c r="C1005" s="9"/>
      <c r="D1005" s="8"/>
      <c r="E1005" s="8"/>
    </row>
    <row r="1006" spans="1:5" x14ac:dyDescent="0.2">
      <c r="A1006" s="7" t="s">
        <v>10</v>
      </c>
      <c r="B1006" s="7"/>
      <c r="C1006" s="9"/>
      <c r="D1006" s="8"/>
      <c r="E1006" s="8"/>
    </row>
    <row r="1007" spans="1:5" x14ac:dyDescent="0.2">
      <c r="A1007" s="7" t="s">
        <v>11</v>
      </c>
      <c r="B1007" s="7"/>
      <c r="C1007" s="9"/>
      <c r="D1007" s="8"/>
      <c r="E1007" s="8"/>
    </row>
    <row r="1008" spans="1:5" x14ac:dyDescent="0.2">
      <c r="A1008" s="7" t="s">
        <v>12</v>
      </c>
      <c r="B1008" s="7"/>
      <c r="C1008" s="9"/>
      <c r="D1008" s="8"/>
      <c r="E1008" s="8"/>
    </row>
    <row r="1009" spans="1:5" x14ac:dyDescent="0.2">
      <c r="A1009" s="7" t="s">
        <v>13</v>
      </c>
      <c r="B1009" s="7"/>
      <c r="C1009" s="9"/>
      <c r="D1009" s="8"/>
      <c r="E1009" s="8"/>
    </row>
    <row r="1010" spans="1:5" x14ac:dyDescent="0.2">
      <c r="A1010" s="7" t="s">
        <v>14</v>
      </c>
      <c r="B1010" s="7"/>
      <c r="C1010" s="9"/>
      <c r="D1010" s="8"/>
      <c r="E1010" s="8"/>
    </row>
    <row r="1011" spans="1:5" x14ac:dyDescent="0.2">
      <c r="A1011" s="7" t="s">
        <v>15</v>
      </c>
      <c r="B1011" s="7"/>
      <c r="C1011" s="9"/>
      <c r="D1011" s="8"/>
      <c r="E1011" s="8"/>
    </row>
    <row r="1012" spans="1:5" x14ac:dyDescent="0.2">
      <c r="A1012" s="7" t="s">
        <v>16</v>
      </c>
      <c r="B1012" s="7"/>
      <c r="C1012" s="9"/>
      <c r="D1012" s="8"/>
      <c r="E1012" s="8"/>
    </row>
    <row r="1013" spans="1:5" x14ac:dyDescent="0.2">
      <c r="A1013" s="7" t="s">
        <v>17</v>
      </c>
      <c r="B1013" s="7"/>
      <c r="C1013" s="9"/>
      <c r="D1013" s="8"/>
      <c r="E1013" s="8"/>
    </row>
    <row r="1014" spans="1:5" x14ac:dyDescent="0.2">
      <c r="A1014" s="7" t="s">
        <v>18</v>
      </c>
      <c r="B1014" s="7"/>
      <c r="C1014" s="9"/>
      <c r="D1014" s="8"/>
      <c r="E1014" s="8"/>
    </row>
    <row r="1015" spans="1:5" x14ac:dyDescent="0.2">
      <c r="A1015" s="7" t="s">
        <v>19</v>
      </c>
      <c r="B1015" s="7"/>
      <c r="C1015" s="9"/>
      <c r="D1015" s="8"/>
      <c r="E1015" s="8"/>
    </row>
    <row r="1016" spans="1:5" x14ac:dyDescent="0.2">
      <c r="A1016" s="7" t="s">
        <v>20</v>
      </c>
      <c r="B1016" s="7"/>
      <c r="C1016" s="9"/>
      <c r="D1016" s="8"/>
      <c r="E1016" s="8"/>
    </row>
  </sheetData>
  <mergeCells count="19">
    <mergeCell ref="F6:G6"/>
    <mergeCell ref="F7:G8"/>
    <mergeCell ref="D10:F10"/>
    <mergeCell ref="T2:V4"/>
    <mergeCell ref="N1:R1"/>
    <mergeCell ref="N3:O3"/>
    <mergeCell ref="Q3:R3"/>
    <mergeCell ref="N4:O5"/>
    <mergeCell ref="Q4:R5"/>
    <mergeCell ref="O7:Q7"/>
    <mergeCell ref="N9:O10"/>
    <mergeCell ref="Q9:R10"/>
    <mergeCell ref="C4:G4"/>
    <mergeCell ref="C12:D13"/>
    <mergeCell ref="F12:G13"/>
    <mergeCell ref="F15:H15"/>
    <mergeCell ref="B15:D15"/>
    <mergeCell ref="C6:D6"/>
    <mergeCell ref="C7:D8"/>
  </mergeCells>
  <phoneticPr fontId="5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ciones_AB_CRR">
                <anchor moveWithCells="1" sizeWithCells="1">
                  <from>
                    <xdr:col>7</xdr:col>
                    <xdr:colOff>476250</xdr:colOff>
                    <xdr:row>5</xdr:row>
                    <xdr:rowOff>114300</xdr:rowOff>
                  </from>
                  <to>
                    <xdr:col>9</xdr:col>
                    <xdr:colOff>285750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Árboles Binomiales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Venegas del Angel; Torres Ferrer Luis Noe</dc:creator>
  <cp:lastModifiedBy>Luis Noe Torres Ferrer</cp:lastModifiedBy>
  <dcterms:created xsi:type="dcterms:W3CDTF">2019-08-24T12:20:27Z</dcterms:created>
  <dcterms:modified xsi:type="dcterms:W3CDTF">2025-05-26T17:07:37Z</dcterms:modified>
</cp:coreProperties>
</file>
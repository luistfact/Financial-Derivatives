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Derivados\"/>
    </mc:Choice>
  </mc:AlternateContent>
  <xr:revisionPtr revIDLastSave="0" documentId="13_ncr:1_{11AA506C-AB0D-4693-B575-44C4C6A57B5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mulación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G5" i="2"/>
  <c r="G11" i="2" s="1"/>
  <c r="D5" i="2"/>
  <c r="D11" i="2" s="1"/>
  <c r="B12" i="2" l="1"/>
</calcChain>
</file>

<file path=xl/sharedStrings.xml><?xml version="1.0" encoding="utf-8"?>
<sst xmlns="http://schemas.openxmlformats.org/spreadsheetml/2006/main" count="5016" uniqueCount="5016">
  <si>
    <t>Dividendos (q) o Tasa Externa (TE)</t>
  </si>
  <si>
    <t>Volatilidad (anual)</t>
  </si>
  <si>
    <t>Spot</t>
  </si>
  <si>
    <t>Strike</t>
  </si>
  <si>
    <t>Timestep</t>
  </si>
  <si>
    <t>Precio Simulado</t>
  </si>
  <si>
    <t>No. de Escenarios</t>
  </si>
  <si>
    <t>Cálculo de la Prima de una Opción con Simulación</t>
  </si>
  <si>
    <t>Días</t>
  </si>
  <si>
    <t>Prima Call</t>
  </si>
  <si>
    <t>Prima Put</t>
  </si>
  <si>
    <t>Payoff Call</t>
  </si>
  <si>
    <t>Payoff Put</t>
  </si>
  <si>
    <t>Paridad Put - Call</t>
  </si>
  <si>
    <t>≈</t>
  </si>
  <si>
    <t>Tasa Libre de Riesgo (ML)</t>
  </si>
  <si>
    <t>Esc. 1</t>
  </si>
  <si>
    <t>Esc. 2</t>
  </si>
  <si>
    <t>Esc. 3</t>
  </si>
  <si>
    <t>Esc. 4</t>
  </si>
  <si>
    <t>Esc. 5</t>
  </si>
  <si>
    <t>Esc. 6</t>
  </si>
  <si>
    <t>Esc. 7</t>
  </si>
  <si>
    <t>Esc. 8</t>
  </si>
  <si>
    <t>Esc. 9</t>
  </si>
  <si>
    <t>Esc. 10</t>
  </si>
  <si>
    <t>Esc. 11</t>
  </si>
  <si>
    <t>Esc. 12</t>
  </si>
  <si>
    <t>Esc. 13</t>
  </si>
  <si>
    <t>Esc. 14</t>
  </si>
  <si>
    <t>Esc. 15</t>
  </si>
  <si>
    <t>Esc. 16</t>
  </si>
  <si>
    <t>Esc. 17</t>
  </si>
  <si>
    <t>Esc. 18</t>
  </si>
  <si>
    <t>Esc. 19</t>
  </si>
  <si>
    <t>Esc. 20</t>
  </si>
  <si>
    <t>Esc. 21</t>
  </si>
  <si>
    <t>Esc. 22</t>
  </si>
  <si>
    <t>Esc. 23</t>
  </si>
  <si>
    <t>Esc. 24</t>
  </si>
  <si>
    <t>Esc. 25</t>
  </si>
  <si>
    <t>Esc. 26</t>
  </si>
  <si>
    <t>Esc. 27</t>
  </si>
  <si>
    <t>Esc. 28</t>
  </si>
  <si>
    <t>Esc. 29</t>
  </si>
  <si>
    <t>Esc. 30</t>
  </si>
  <si>
    <t>Esc. 31</t>
  </si>
  <si>
    <t>Esc. 32</t>
  </si>
  <si>
    <t>Esc. 33</t>
  </si>
  <si>
    <t>Esc. 34</t>
  </si>
  <si>
    <t>Esc. 35</t>
  </si>
  <si>
    <t>Esc. 36</t>
  </si>
  <si>
    <t>Esc. 37</t>
  </si>
  <si>
    <t>Esc. 38</t>
  </si>
  <si>
    <t>Esc. 39</t>
  </si>
  <si>
    <t>Esc. 40</t>
  </si>
  <si>
    <t>Esc. 41</t>
  </si>
  <si>
    <t>Esc. 42</t>
  </si>
  <si>
    <t>Esc. 43</t>
  </si>
  <si>
    <t>Esc. 44</t>
  </si>
  <si>
    <t>Esc. 45</t>
  </si>
  <si>
    <t>Esc. 46</t>
  </si>
  <si>
    <t>Esc. 47</t>
  </si>
  <si>
    <t>Esc. 48</t>
  </si>
  <si>
    <t>Esc. 49</t>
  </si>
  <si>
    <t>Esc. 50</t>
  </si>
  <si>
    <t>Esc. 51</t>
  </si>
  <si>
    <t>Esc. 52</t>
  </si>
  <si>
    <t>Esc. 53</t>
  </si>
  <si>
    <t>Esc. 54</t>
  </si>
  <si>
    <t>Esc. 55</t>
  </si>
  <si>
    <t>Esc. 56</t>
  </si>
  <si>
    <t>Esc. 57</t>
  </si>
  <si>
    <t>Esc. 58</t>
  </si>
  <si>
    <t>Esc. 59</t>
  </si>
  <si>
    <t>Esc. 60</t>
  </si>
  <si>
    <t>Esc. 61</t>
  </si>
  <si>
    <t>Esc. 62</t>
  </si>
  <si>
    <t>Esc. 63</t>
  </si>
  <si>
    <t>Esc. 64</t>
  </si>
  <si>
    <t>Esc. 65</t>
  </si>
  <si>
    <t>Esc. 66</t>
  </si>
  <si>
    <t>Esc. 67</t>
  </si>
  <si>
    <t>Esc. 68</t>
  </si>
  <si>
    <t>Esc. 69</t>
  </si>
  <si>
    <t>Esc. 70</t>
  </si>
  <si>
    <t>Esc. 71</t>
  </si>
  <si>
    <t>Esc. 72</t>
  </si>
  <si>
    <t>Esc. 73</t>
  </si>
  <si>
    <t>Esc. 74</t>
  </si>
  <si>
    <t>Esc. 75</t>
  </si>
  <si>
    <t>Esc. 76</t>
  </si>
  <si>
    <t>Esc. 77</t>
  </si>
  <si>
    <t>Esc. 78</t>
  </si>
  <si>
    <t>Esc. 79</t>
  </si>
  <si>
    <t>Esc. 80</t>
  </si>
  <si>
    <t>Esc. 81</t>
  </si>
  <si>
    <t>Esc. 82</t>
  </si>
  <si>
    <t>Esc. 83</t>
  </si>
  <si>
    <t>Esc. 84</t>
  </si>
  <si>
    <t>Esc. 85</t>
  </si>
  <si>
    <t>Esc. 86</t>
  </si>
  <si>
    <t>Esc. 87</t>
  </si>
  <si>
    <t>Esc. 88</t>
  </si>
  <si>
    <t>Esc. 89</t>
  </si>
  <si>
    <t>Esc. 90</t>
  </si>
  <si>
    <t>Esc. 91</t>
  </si>
  <si>
    <t>Esc. 92</t>
  </si>
  <si>
    <t>Esc. 93</t>
  </si>
  <si>
    <t>Esc. 94</t>
  </si>
  <si>
    <t>Esc. 95</t>
  </si>
  <si>
    <t>Esc. 96</t>
  </si>
  <si>
    <t>Esc. 97</t>
  </si>
  <si>
    <t>Esc. 98</t>
  </si>
  <si>
    <t>Esc. 99</t>
  </si>
  <si>
    <t>Esc. 100</t>
  </si>
  <si>
    <t>Esc. 101</t>
  </si>
  <si>
    <t>Esc. 102</t>
  </si>
  <si>
    <t>Esc. 103</t>
  </si>
  <si>
    <t>Esc. 104</t>
  </si>
  <si>
    <t>Esc. 105</t>
  </si>
  <si>
    <t>Esc. 106</t>
  </si>
  <si>
    <t>Esc. 107</t>
  </si>
  <si>
    <t>Esc. 108</t>
  </si>
  <si>
    <t>Esc. 109</t>
  </si>
  <si>
    <t>Esc. 110</t>
  </si>
  <si>
    <t>Esc. 111</t>
  </si>
  <si>
    <t>Esc. 112</t>
  </si>
  <si>
    <t>Esc. 113</t>
  </si>
  <si>
    <t>Esc. 114</t>
  </si>
  <si>
    <t>Esc. 115</t>
  </si>
  <si>
    <t>Esc. 116</t>
  </si>
  <si>
    <t>Esc. 117</t>
  </si>
  <si>
    <t>Esc. 118</t>
  </si>
  <si>
    <t>Esc. 119</t>
  </si>
  <si>
    <t>Esc. 120</t>
  </si>
  <si>
    <t>Esc. 121</t>
  </si>
  <si>
    <t>Esc. 122</t>
  </si>
  <si>
    <t>Esc. 123</t>
  </si>
  <si>
    <t>Esc. 124</t>
  </si>
  <si>
    <t>Esc. 125</t>
  </si>
  <si>
    <t>Esc. 126</t>
  </si>
  <si>
    <t>Esc. 127</t>
  </si>
  <si>
    <t>Esc. 128</t>
  </si>
  <si>
    <t>Esc. 129</t>
  </si>
  <si>
    <t>Esc. 130</t>
  </si>
  <si>
    <t>Esc. 131</t>
  </si>
  <si>
    <t>Esc. 132</t>
  </si>
  <si>
    <t>Esc. 133</t>
  </si>
  <si>
    <t>Esc. 134</t>
  </si>
  <si>
    <t>Esc. 135</t>
  </si>
  <si>
    <t>Esc. 136</t>
  </si>
  <si>
    <t>Esc. 137</t>
  </si>
  <si>
    <t>Esc. 138</t>
  </si>
  <si>
    <t>Esc. 139</t>
  </si>
  <si>
    <t>Esc. 140</t>
  </si>
  <si>
    <t>Esc. 141</t>
  </si>
  <si>
    <t>Esc. 142</t>
  </si>
  <si>
    <t>Esc. 143</t>
  </si>
  <si>
    <t>Esc. 144</t>
  </si>
  <si>
    <t>Esc. 145</t>
  </si>
  <si>
    <t>Esc. 146</t>
  </si>
  <si>
    <t>Esc. 147</t>
  </si>
  <si>
    <t>Esc. 148</t>
  </si>
  <si>
    <t>Esc. 149</t>
  </si>
  <si>
    <t>Esc. 150</t>
  </si>
  <si>
    <t>Esc. 151</t>
  </si>
  <si>
    <t>Esc. 152</t>
  </si>
  <si>
    <t>Esc. 153</t>
  </si>
  <si>
    <t>Esc. 154</t>
  </si>
  <si>
    <t>Esc. 155</t>
  </si>
  <si>
    <t>Esc. 156</t>
  </si>
  <si>
    <t>Esc. 157</t>
  </si>
  <si>
    <t>Esc. 158</t>
  </si>
  <si>
    <t>Esc. 159</t>
  </si>
  <si>
    <t>Esc. 160</t>
  </si>
  <si>
    <t>Esc. 161</t>
  </si>
  <si>
    <t>Esc. 162</t>
  </si>
  <si>
    <t>Esc. 163</t>
  </si>
  <si>
    <t>Esc. 164</t>
  </si>
  <si>
    <t>Esc. 165</t>
  </si>
  <si>
    <t>Esc. 166</t>
  </si>
  <si>
    <t>Esc. 167</t>
  </si>
  <si>
    <t>Esc. 168</t>
  </si>
  <si>
    <t>Esc. 169</t>
  </si>
  <si>
    <t>Esc. 170</t>
  </si>
  <si>
    <t>Esc. 171</t>
  </si>
  <si>
    <t>Esc. 172</t>
  </si>
  <si>
    <t>Esc. 173</t>
  </si>
  <si>
    <t>Esc. 174</t>
  </si>
  <si>
    <t>Esc. 175</t>
  </si>
  <si>
    <t>Esc. 176</t>
  </si>
  <si>
    <t>Esc. 177</t>
  </si>
  <si>
    <t>Esc. 178</t>
  </si>
  <si>
    <t>Esc. 179</t>
  </si>
  <si>
    <t>Esc. 180</t>
  </si>
  <si>
    <t>Esc. 181</t>
  </si>
  <si>
    <t>Esc. 182</t>
  </si>
  <si>
    <t>Esc. 183</t>
  </si>
  <si>
    <t>Esc. 184</t>
  </si>
  <si>
    <t>Esc. 185</t>
  </si>
  <si>
    <t>Esc. 186</t>
  </si>
  <si>
    <t>Esc. 187</t>
  </si>
  <si>
    <t>Esc. 188</t>
  </si>
  <si>
    <t>Esc. 189</t>
  </si>
  <si>
    <t>Esc. 190</t>
  </si>
  <si>
    <t>Esc. 191</t>
  </si>
  <si>
    <t>Esc. 192</t>
  </si>
  <si>
    <t>Esc. 193</t>
  </si>
  <si>
    <t>Esc. 194</t>
  </si>
  <si>
    <t>Esc. 195</t>
  </si>
  <si>
    <t>Esc. 196</t>
  </si>
  <si>
    <t>Esc. 197</t>
  </si>
  <si>
    <t>Esc. 198</t>
  </si>
  <si>
    <t>Esc. 199</t>
  </si>
  <si>
    <t>Esc. 200</t>
  </si>
  <si>
    <t>Esc. 201</t>
  </si>
  <si>
    <t>Esc. 202</t>
  </si>
  <si>
    <t>Esc. 203</t>
  </si>
  <si>
    <t>Esc. 204</t>
  </si>
  <si>
    <t>Esc. 205</t>
  </si>
  <si>
    <t>Esc. 206</t>
  </si>
  <si>
    <t>Esc. 207</t>
  </si>
  <si>
    <t>Esc. 208</t>
  </si>
  <si>
    <t>Esc. 209</t>
  </si>
  <si>
    <t>Esc. 210</t>
  </si>
  <si>
    <t>Esc. 211</t>
  </si>
  <si>
    <t>Esc. 212</t>
  </si>
  <si>
    <t>Esc. 213</t>
  </si>
  <si>
    <t>Esc. 214</t>
  </si>
  <si>
    <t>Esc. 215</t>
  </si>
  <si>
    <t>Esc. 216</t>
  </si>
  <si>
    <t>Esc. 217</t>
  </si>
  <si>
    <t>Esc. 218</t>
  </si>
  <si>
    <t>Esc. 219</t>
  </si>
  <si>
    <t>Esc. 220</t>
  </si>
  <si>
    <t>Esc. 221</t>
  </si>
  <si>
    <t>Esc. 222</t>
  </si>
  <si>
    <t>Esc. 223</t>
  </si>
  <si>
    <t>Esc. 224</t>
  </si>
  <si>
    <t>Esc. 225</t>
  </si>
  <si>
    <t>Esc. 226</t>
  </si>
  <si>
    <t>Esc. 227</t>
  </si>
  <si>
    <t>Esc. 228</t>
  </si>
  <si>
    <t>Esc. 229</t>
  </si>
  <si>
    <t>Esc. 230</t>
  </si>
  <si>
    <t>Esc. 231</t>
  </si>
  <si>
    <t>Esc. 232</t>
  </si>
  <si>
    <t>Esc. 233</t>
  </si>
  <si>
    <t>Esc. 234</t>
  </si>
  <si>
    <t>Esc. 235</t>
  </si>
  <si>
    <t>Esc. 236</t>
  </si>
  <si>
    <t>Esc. 237</t>
  </si>
  <si>
    <t>Esc. 238</t>
  </si>
  <si>
    <t>Esc. 239</t>
  </si>
  <si>
    <t>Esc. 240</t>
  </si>
  <si>
    <t>Esc. 241</t>
  </si>
  <si>
    <t>Esc. 242</t>
  </si>
  <si>
    <t>Esc. 243</t>
  </si>
  <si>
    <t>Esc. 244</t>
  </si>
  <si>
    <t>Esc. 245</t>
  </si>
  <si>
    <t>Esc. 246</t>
  </si>
  <si>
    <t>Esc. 247</t>
  </si>
  <si>
    <t>Esc. 248</t>
  </si>
  <si>
    <t>Esc. 249</t>
  </si>
  <si>
    <t>Esc. 250</t>
  </si>
  <si>
    <t>Esc. 251</t>
  </si>
  <si>
    <t>Esc. 252</t>
  </si>
  <si>
    <t>Esc. 253</t>
  </si>
  <si>
    <t>Esc. 254</t>
  </si>
  <si>
    <t>Esc. 255</t>
  </si>
  <si>
    <t>Esc. 256</t>
  </si>
  <si>
    <t>Esc. 257</t>
  </si>
  <si>
    <t>Esc. 258</t>
  </si>
  <si>
    <t>Esc. 259</t>
  </si>
  <si>
    <t>Esc. 260</t>
  </si>
  <si>
    <t>Esc. 261</t>
  </si>
  <si>
    <t>Esc. 262</t>
  </si>
  <si>
    <t>Esc. 263</t>
  </si>
  <si>
    <t>Esc. 264</t>
  </si>
  <si>
    <t>Esc. 265</t>
  </si>
  <si>
    <t>Esc. 266</t>
  </si>
  <si>
    <t>Esc. 267</t>
  </si>
  <si>
    <t>Esc. 268</t>
  </si>
  <si>
    <t>Esc. 269</t>
  </si>
  <si>
    <t>Esc. 270</t>
  </si>
  <si>
    <t>Esc. 271</t>
  </si>
  <si>
    <t>Esc. 272</t>
  </si>
  <si>
    <t>Esc. 273</t>
  </si>
  <si>
    <t>Esc. 274</t>
  </si>
  <si>
    <t>Esc. 275</t>
  </si>
  <si>
    <t>Esc. 276</t>
  </si>
  <si>
    <t>Esc. 277</t>
  </si>
  <si>
    <t>Esc. 278</t>
  </si>
  <si>
    <t>Esc. 279</t>
  </si>
  <si>
    <t>Esc. 280</t>
  </si>
  <si>
    <t>Esc. 281</t>
  </si>
  <si>
    <t>Esc. 282</t>
  </si>
  <si>
    <t>Esc. 283</t>
  </si>
  <si>
    <t>Esc. 284</t>
  </si>
  <si>
    <t>Esc. 285</t>
  </si>
  <si>
    <t>Esc. 286</t>
  </si>
  <si>
    <t>Esc. 287</t>
  </si>
  <si>
    <t>Esc. 288</t>
  </si>
  <si>
    <t>Esc. 289</t>
  </si>
  <si>
    <t>Esc. 290</t>
  </si>
  <si>
    <t>Esc. 291</t>
  </si>
  <si>
    <t>Esc. 292</t>
  </si>
  <si>
    <t>Esc. 293</t>
  </si>
  <si>
    <t>Esc. 294</t>
  </si>
  <si>
    <t>Esc. 295</t>
  </si>
  <si>
    <t>Esc. 296</t>
  </si>
  <si>
    <t>Esc. 297</t>
  </si>
  <si>
    <t>Esc. 298</t>
  </si>
  <si>
    <t>Esc. 299</t>
  </si>
  <si>
    <t>Esc. 300</t>
  </si>
  <si>
    <t>Esc. 301</t>
  </si>
  <si>
    <t>Esc. 302</t>
  </si>
  <si>
    <t>Esc. 303</t>
  </si>
  <si>
    <t>Esc. 304</t>
  </si>
  <si>
    <t>Esc. 305</t>
  </si>
  <si>
    <t>Esc. 306</t>
  </si>
  <si>
    <t>Esc. 307</t>
  </si>
  <si>
    <t>Esc. 308</t>
  </si>
  <si>
    <t>Esc. 309</t>
  </si>
  <si>
    <t>Esc. 310</t>
  </si>
  <si>
    <t>Esc. 311</t>
  </si>
  <si>
    <t>Esc. 312</t>
  </si>
  <si>
    <t>Esc. 313</t>
  </si>
  <si>
    <t>Esc. 314</t>
  </si>
  <si>
    <t>Esc. 315</t>
  </si>
  <si>
    <t>Esc. 316</t>
  </si>
  <si>
    <t>Esc. 317</t>
  </si>
  <si>
    <t>Esc. 318</t>
  </si>
  <si>
    <t>Esc. 319</t>
  </si>
  <si>
    <t>Esc. 320</t>
  </si>
  <si>
    <t>Esc. 321</t>
  </si>
  <si>
    <t>Esc. 322</t>
  </si>
  <si>
    <t>Esc. 323</t>
  </si>
  <si>
    <t>Esc. 324</t>
  </si>
  <si>
    <t>Esc. 325</t>
  </si>
  <si>
    <t>Esc. 326</t>
  </si>
  <si>
    <t>Esc. 327</t>
  </si>
  <si>
    <t>Esc. 328</t>
  </si>
  <si>
    <t>Esc. 329</t>
  </si>
  <si>
    <t>Esc. 330</t>
  </si>
  <si>
    <t>Esc. 331</t>
  </si>
  <si>
    <t>Esc. 332</t>
  </si>
  <si>
    <t>Esc. 333</t>
  </si>
  <si>
    <t>Esc. 334</t>
  </si>
  <si>
    <t>Esc. 335</t>
  </si>
  <si>
    <t>Esc. 336</t>
  </si>
  <si>
    <t>Esc. 337</t>
  </si>
  <si>
    <t>Esc. 338</t>
  </si>
  <si>
    <t>Esc. 339</t>
  </si>
  <si>
    <t>Esc. 340</t>
  </si>
  <si>
    <t>Esc. 341</t>
  </si>
  <si>
    <t>Esc. 342</t>
  </si>
  <si>
    <t>Esc. 343</t>
  </si>
  <si>
    <t>Esc. 344</t>
  </si>
  <si>
    <t>Esc. 345</t>
  </si>
  <si>
    <t>Esc. 346</t>
  </si>
  <si>
    <t>Esc. 347</t>
  </si>
  <si>
    <t>Esc. 348</t>
  </si>
  <si>
    <t>Esc. 349</t>
  </si>
  <si>
    <t>Esc. 350</t>
  </si>
  <si>
    <t>Esc. 351</t>
  </si>
  <si>
    <t>Esc. 352</t>
  </si>
  <si>
    <t>Esc. 353</t>
  </si>
  <si>
    <t>Esc. 354</t>
  </si>
  <si>
    <t>Esc. 355</t>
  </si>
  <si>
    <t>Esc. 356</t>
  </si>
  <si>
    <t>Esc. 357</t>
  </si>
  <si>
    <t>Esc. 358</t>
  </si>
  <si>
    <t>Esc. 359</t>
  </si>
  <si>
    <t>Esc. 360</t>
  </si>
  <si>
    <t>Esc. 361</t>
  </si>
  <si>
    <t>Esc. 362</t>
  </si>
  <si>
    <t>Esc. 363</t>
  </si>
  <si>
    <t>Esc. 364</t>
  </si>
  <si>
    <t>Esc. 365</t>
  </si>
  <si>
    <t>Esc. 366</t>
  </si>
  <si>
    <t>Esc. 367</t>
  </si>
  <si>
    <t>Esc. 368</t>
  </si>
  <si>
    <t>Esc. 369</t>
  </si>
  <si>
    <t>Esc. 370</t>
  </si>
  <si>
    <t>Esc. 371</t>
  </si>
  <si>
    <t>Esc. 372</t>
  </si>
  <si>
    <t>Esc. 373</t>
  </si>
  <si>
    <t>Esc. 374</t>
  </si>
  <si>
    <t>Esc. 375</t>
  </si>
  <si>
    <t>Esc. 376</t>
  </si>
  <si>
    <t>Esc. 377</t>
  </si>
  <si>
    <t>Esc. 378</t>
  </si>
  <si>
    <t>Esc. 379</t>
  </si>
  <si>
    <t>Esc. 380</t>
  </si>
  <si>
    <t>Esc. 381</t>
  </si>
  <si>
    <t>Esc. 382</t>
  </si>
  <si>
    <t>Esc. 383</t>
  </si>
  <si>
    <t>Esc. 384</t>
  </si>
  <si>
    <t>Esc. 385</t>
  </si>
  <si>
    <t>Esc. 386</t>
  </si>
  <si>
    <t>Esc. 387</t>
  </si>
  <si>
    <t>Esc. 388</t>
  </si>
  <si>
    <t>Esc. 389</t>
  </si>
  <si>
    <t>Esc. 390</t>
  </si>
  <si>
    <t>Esc. 391</t>
  </si>
  <si>
    <t>Esc. 392</t>
  </si>
  <si>
    <t>Esc. 393</t>
  </si>
  <si>
    <t>Esc. 394</t>
  </si>
  <si>
    <t>Esc. 395</t>
  </si>
  <si>
    <t>Esc. 396</t>
  </si>
  <si>
    <t>Esc. 397</t>
  </si>
  <si>
    <t>Esc. 398</t>
  </si>
  <si>
    <t>Esc. 399</t>
  </si>
  <si>
    <t>Esc. 400</t>
  </si>
  <si>
    <t>Esc. 401</t>
  </si>
  <si>
    <t>Esc. 402</t>
  </si>
  <si>
    <t>Esc. 403</t>
  </si>
  <si>
    <t>Esc. 404</t>
  </si>
  <si>
    <t>Esc. 405</t>
  </si>
  <si>
    <t>Esc. 406</t>
  </si>
  <si>
    <t>Esc. 407</t>
  </si>
  <si>
    <t>Esc. 408</t>
  </si>
  <si>
    <t>Esc. 409</t>
  </si>
  <si>
    <t>Esc. 410</t>
  </si>
  <si>
    <t>Esc. 411</t>
  </si>
  <si>
    <t>Esc. 412</t>
  </si>
  <si>
    <t>Esc. 413</t>
  </si>
  <si>
    <t>Esc. 414</t>
  </si>
  <si>
    <t>Esc. 415</t>
  </si>
  <si>
    <t>Esc. 416</t>
  </si>
  <si>
    <t>Esc. 417</t>
  </si>
  <si>
    <t>Esc. 418</t>
  </si>
  <si>
    <t>Esc. 419</t>
  </si>
  <si>
    <t>Esc. 420</t>
  </si>
  <si>
    <t>Esc. 421</t>
  </si>
  <si>
    <t>Esc. 422</t>
  </si>
  <si>
    <t>Esc. 423</t>
  </si>
  <si>
    <t>Esc. 424</t>
  </si>
  <si>
    <t>Esc. 425</t>
  </si>
  <si>
    <t>Esc. 426</t>
  </si>
  <si>
    <t>Esc. 427</t>
  </si>
  <si>
    <t>Esc. 428</t>
  </si>
  <si>
    <t>Esc. 429</t>
  </si>
  <si>
    <t>Esc. 430</t>
  </si>
  <si>
    <t>Esc. 431</t>
  </si>
  <si>
    <t>Esc. 432</t>
  </si>
  <si>
    <t>Esc. 433</t>
  </si>
  <si>
    <t>Esc. 434</t>
  </si>
  <si>
    <t>Esc. 435</t>
  </si>
  <si>
    <t>Esc. 436</t>
  </si>
  <si>
    <t>Esc. 437</t>
  </si>
  <si>
    <t>Esc. 438</t>
  </si>
  <si>
    <t>Esc. 439</t>
  </si>
  <si>
    <t>Esc. 440</t>
  </si>
  <si>
    <t>Esc. 441</t>
  </si>
  <si>
    <t>Esc. 442</t>
  </si>
  <si>
    <t>Esc. 443</t>
  </si>
  <si>
    <t>Esc. 444</t>
  </si>
  <si>
    <t>Esc. 445</t>
  </si>
  <si>
    <t>Esc. 446</t>
  </si>
  <si>
    <t>Esc. 447</t>
  </si>
  <si>
    <t>Esc. 448</t>
  </si>
  <si>
    <t>Esc. 449</t>
  </si>
  <si>
    <t>Esc. 450</t>
  </si>
  <si>
    <t>Esc. 451</t>
  </si>
  <si>
    <t>Esc. 452</t>
  </si>
  <si>
    <t>Esc. 453</t>
  </si>
  <si>
    <t>Esc. 454</t>
  </si>
  <si>
    <t>Esc. 455</t>
  </si>
  <si>
    <t>Esc. 456</t>
  </si>
  <si>
    <t>Esc. 457</t>
  </si>
  <si>
    <t>Esc. 458</t>
  </si>
  <si>
    <t>Esc. 459</t>
  </si>
  <si>
    <t>Esc. 460</t>
  </si>
  <si>
    <t>Esc. 461</t>
  </si>
  <si>
    <t>Esc. 462</t>
  </si>
  <si>
    <t>Esc. 463</t>
  </si>
  <si>
    <t>Esc. 464</t>
  </si>
  <si>
    <t>Esc. 465</t>
  </si>
  <si>
    <t>Esc. 466</t>
  </si>
  <si>
    <t>Esc. 467</t>
  </si>
  <si>
    <t>Esc. 468</t>
  </si>
  <si>
    <t>Esc. 469</t>
  </si>
  <si>
    <t>Esc. 470</t>
  </si>
  <si>
    <t>Esc. 471</t>
  </si>
  <si>
    <t>Esc. 472</t>
  </si>
  <si>
    <t>Esc. 473</t>
  </si>
  <si>
    <t>Esc. 474</t>
  </si>
  <si>
    <t>Esc. 475</t>
  </si>
  <si>
    <t>Esc. 476</t>
  </si>
  <si>
    <t>Esc. 477</t>
  </si>
  <si>
    <t>Esc. 478</t>
  </si>
  <si>
    <t>Esc. 479</t>
  </si>
  <si>
    <t>Esc. 480</t>
  </si>
  <si>
    <t>Esc. 481</t>
  </si>
  <si>
    <t>Esc. 482</t>
  </si>
  <si>
    <t>Esc. 483</t>
  </si>
  <si>
    <t>Esc. 484</t>
  </si>
  <si>
    <t>Esc. 485</t>
  </si>
  <si>
    <t>Esc. 486</t>
  </si>
  <si>
    <t>Esc. 487</t>
  </si>
  <si>
    <t>Esc. 488</t>
  </si>
  <si>
    <t>Esc. 489</t>
  </si>
  <si>
    <t>Esc. 490</t>
  </si>
  <si>
    <t>Esc. 491</t>
  </si>
  <si>
    <t>Esc. 492</t>
  </si>
  <si>
    <t>Esc. 493</t>
  </si>
  <si>
    <t>Esc. 494</t>
  </si>
  <si>
    <t>Esc. 495</t>
  </si>
  <si>
    <t>Esc. 496</t>
  </si>
  <si>
    <t>Esc. 497</t>
  </si>
  <si>
    <t>Esc. 498</t>
  </si>
  <si>
    <t>Esc. 499</t>
  </si>
  <si>
    <t>Esc. 500</t>
  </si>
  <si>
    <t>Esc. 501</t>
  </si>
  <si>
    <t>Esc. 502</t>
  </si>
  <si>
    <t>Esc. 503</t>
  </si>
  <si>
    <t>Esc. 504</t>
  </si>
  <si>
    <t>Esc. 505</t>
  </si>
  <si>
    <t>Esc. 506</t>
  </si>
  <si>
    <t>Esc. 507</t>
  </si>
  <si>
    <t>Esc. 508</t>
  </si>
  <si>
    <t>Esc. 509</t>
  </si>
  <si>
    <t>Esc. 510</t>
  </si>
  <si>
    <t>Esc. 511</t>
  </si>
  <si>
    <t>Esc. 512</t>
  </si>
  <si>
    <t>Esc. 513</t>
  </si>
  <si>
    <t>Esc. 514</t>
  </si>
  <si>
    <t>Esc. 515</t>
  </si>
  <si>
    <t>Esc. 516</t>
  </si>
  <si>
    <t>Esc. 517</t>
  </si>
  <si>
    <t>Esc. 518</t>
  </si>
  <si>
    <t>Esc. 519</t>
  </si>
  <si>
    <t>Esc. 520</t>
  </si>
  <si>
    <t>Esc. 521</t>
  </si>
  <si>
    <t>Esc. 522</t>
  </si>
  <si>
    <t>Esc. 523</t>
  </si>
  <si>
    <t>Esc. 524</t>
  </si>
  <si>
    <t>Esc. 525</t>
  </si>
  <si>
    <t>Esc. 526</t>
  </si>
  <si>
    <t>Esc. 527</t>
  </si>
  <si>
    <t>Esc. 528</t>
  </si>
  <si>
    <t>Esc. 529</t>
  </si>
  <si>
    <t>Esc. 530</t>
  </si>
  <si>
    <t>Esc. 531</t>
  </si>
  <si>
    <t>Esc. 532</t>
  </si>
  <si>
    <t>Esc. 533</t>
  </si>
  <si>
    <t>Esc. 534</t>
  </si>
  <si>
    <t>Esc. 535</t>
  </si>
  <si>
    <t>Esc. 536</t>
  </si>
  <si>
    <t>Esc. 537</t>
  </si>
  <si>
    <t>Esc. 538</t>
  </si>
  <si>
    <t>Esc. 539</t>
  </si>
  <si>
    <t>Esc. 540</t>
  </si>
  <si>
    <t>Esc. 541</t>
  </si>
  <si>
    <t>Esc. 542</t>
  </si>
  <si>
    <t>Esc. 543</t>
  </si>
  <si>
    <t>Esc. 544</t>
  </si>
  <si>
    <t>Esc. 545</t>
  </si>
  <si>
    <t>Esc. 546</t>
  </si>
  <si>
    <t>Esc. 547</t>
  </si>
  <si>
    <t>Esc. 548</t>
  </si>
  <si>
    <t>Esc. 549</t>
  </si>
  <si>
    <t>Esc. 550</t>
  </si>
  <si>
    <t>Esc. 551</t>
  </si>
  <si>
    <t>Esc. 552</t>
  </si>
  <si>
    <t>Esc. 553</t>
  </si>
  <si>
    <t>Esc. 554</t>
  </si>
  <si>
    <t>Esc. 555</t>
  </si>
  <si>
    <t>Esc. 556</t>
  </si>
  <si>
    <t>Esc. 557</t>
  </si>
  <si>
    <t>Esc. 558</t>
  </si>
  <si>
    <t>Esc. 559</t>
  </si>
  <si>
    <t>Esc. 560</t>
  </si>
  <si>
    <t>Esc. 561</t>
  </si>
  <si>
    <t>Esc. 562</t>
  </si>
  <si>
    <t>Esc. 563</t>
  </si>
  <si>
    <t>Esc. 564</t>
  </si>
  <si>
    <t>Esc. 565</t>
  </si>
  <si>
    <t>Esc. 566</t>
  </si>
  <si>
    <t>Esc. 567</t>
  </si>
  <si>
    <t>Esc. 568</t>
  </si>
  <si>
    <t>Esc. 569</t>
  </si>
  <si>
    <t>Esc. 570</t>
  </si>
  <si>
    <t>Esc. 571</t>
  </si>
  <si>
    <t>Esc. 572</t>
  </si>
  <si>
    <t>Esc. 573</t>
  </si>
  <si>
    <t>Esc. 574</t>
  </si>
  <si>
    <t>Esc. 575</t>
  </si>
  <si>
    <t>Esc. 576</t>
  </si>
  <si>
    <t>Esc. 577</t>
  </si>
  <si>
    <t>Esc. 578</t>
  </si>
  <si>
    <t>Esc. 579</t>
  </si>
  <si>
    <t>Esc. 580</t>
  </si>
  <si>
    <t>Esc. 581</t>
  </si>
  <si>
    <t>Esc. 582</t>
  </si>
  <si>
    <t>Esc. 583</t>
  </si>
  <si>
    <t>Esc. 584</t>
  </si>
  <si>
    <t>Esc. 585</t>
  </si>
  <si>
    <t>Esc. 586</t>
  </si>
  <si>
    <t>Esc. 587</t>
  </si>
  <si>
    <t>Esc. 588</t>
  </si>
  <si>
    <t>Esc. 589</t>
  </si>
  <si>
    <t>Esc. 590</t>
  </si>
  <si>
    <t>Esc. 591</t>
  </si>
  <si>
    <t>Esc. 592</t>
  </si>
  <si>
    <t>Esc. 593</t>
  </si>
  <si>
    <t>Esc. 594</t>
  </si>
  <si>
    <t>Esc. 595</t>
  </si>
  <si>
    <t>Esc. 596</t>
  </si>
  <si>
    <t>Esc. 597</t>
  </si>
  <si>
    <t>Esc. 598</t>
  </si>
  <si>
    <t>Esc. 599</t>
  </si>
  <si>
    <t>Esc. 600</t>
  </si>
  <si>
    <t>Esc. 601</t>
  </si>
  <si>
    <t>Esc. 602</t>
  </si>
  <si>
    <t>Esc. 603</t>
  </si>
  <si>
    <t>Esc. 604</t>
  </si>
  <si>
    <t>Esc. 605</t>
  </si>
  <si>
    <t>Esc. 606</t>
  </si>
  <si>
    <t>Esc. 607</t>
  </si>
  <si>
    <t>Esc. 608</t>
  </si>
  <si>
    <t>Esc. 609</t>
  </si>
  <si>
    <t>Esc. 610</t>
  </si>
  <si>
    <t>Esc. 611</t>
  </si>
  <si>
    <t>Esc. 612</t>
  </si>
  <si>
    <t>Esc. 613</t>
  </si>
  <si>
    <t>Esc. 614</t>
  </si>
  <si>
    <t>Esc. 615</t>
  </si>
  <si>
    <t>Esc. 616</t>
  </si>
  <si>
    <t>Esc. 617</t>
  </si>
  <si>
    <t>Esc. 618</t>
  </si>
  <si>
    <t>Esc. 619</t>
  </si>
  <si>
    <t>Esc. 620</t>
  </si>
  <si>
    <t>Esc. 621</t>
  </si>
  <si>
    <t>Esc. 622</t>
  </si>
  <si>
    <t>Esc. 623</t>
  </si>
  <si>
    <t>Esc. 624</t>
  </si>
  <si>
    <t>Esc. 625</t>
  </si>
  <si>
    <t>Esc. 626</t>
  </si>
  <si>
    <t>Esc. 627</t>
  </si>
  <si>
    <t>Esc. 628</t>
  </si>
  <si>
    <t>Esc. 629</t>
  </si>
  <si>
    <t>Esc. 630</t>
  </si>
  <si>
    <t>Esc. 631</t>
  </si>
  <si>
    <t>Esc. 632</t>
  </si>
  <si>
    <t>Esc. 633</t>
  </si>
  <si>
    <t>Esc. 634</t>
  </si>
  <si>
    <t>Esc. 635</t>
  </si>
  <si>
    <t>Esc. 636</t>
  </si>
  <si>
    <t>Esc. 637</t>
  </si>
  <si>
    <t>Esc. 638</t>
  </si>
  <si>
    <t>Esc. 639</t>
  </si>
  <si>
    <t>Esc. 640</t>
  </si>
  <si>
    <t>Esc. 641</t>
  </si>
  <si>
    <t>Esc. 642</t>
  </si>
  <si>
    <t>Esc. 643</t>
  </si>
  <si>
    <t>Esc. 644</t>
  </si>
  <si>
    <t>Esc. 645</t>
  </si>
  <si>
    <t>Esc. 646</t>
  </si>
  <si>
    <t>Esc. 647</t>
  </si>
  <si>
    <t>Esc. 648</t>
  </si>
  <si>
    <t>Esc. 649</t>
  </si>
  <si>
    <t>Esc. 650</t>
  </si>
  <si>
    <t>Esc. 651</t>
  </si>
  <si>
    <t>Esc. 652</t>
  </si>
  <si>
    <t>Esc. 653</t>
  </si>
  <si>
    <t>Esc. 654</t>
  </si>
  <si>
    <t>Esc. 655</t>
  </si>
  <si>
    <t>Esc. 656</t>
  </si>
  <si>
    <t>Esc. 657</t>
  </si>
  <si>
    <t>Esc. 658</t>
  </si>
  <si>
    <t>Esc. 659</t>
  </si>
  <si>
    <t>Esc. 660</t>
  </si>
  <si>
    <t>Esc. 661</t>
  </si>
  <si>
    <t>Esc. 662</t>
  </si>
  <si>
    <t>Esc. 663</t>
  </si>
  <si>
    <t>Esc. 664</t>
  </si>
  <si>
    <t>Esc. 665</t>
  </si>
  <si>
    <t>Esc. 666</t>
  </si>
  <si>
    <t>Esc. 667</t>
  </si>
  <si>
    <t>Esc. 668</t>
  </si>
  <si>
    <t>Esc. 669</t>
  </si>
  <si>
    <t>Esc. 670</t>
  </si>
  <si>
    <t>Esc. 671</t>
  </si>
  <si>
    <t>Esc. 672</t>
  </si>
  <si>
    <t>Esc. 673</t>
  </si>
  <si>
    <t>Esc. 674</t>
  </si>
  <si>
    <t>Esc. 675</t>
  </si>
  <si>
    <t>Esc. 676</t>
  </si>
  <si>
    <t>Esc. 677</t>
  </si>
  <si>
    <t>Esc. 678</t>
  </si>
  <si>
    <t>Esc. 679</t>
  </si>
  <si>
    <t>Esc. 680</t>
  </si>
  <si>
    <t>Esc. 681</t>
  </si>
  <si>
    <t>Esc. 682</t>
  </si>
  <si>
    <t>Esc. 683</t>
  </si>
  <si>
    <t>Esc. 684</t>
  </si>
  <si>
    <t>Esc. 685</t>
  </si>
  <si>
    <t>Esc. 686</t>
  </si>
  <si>
    <t>Esc. 687</t>
  </si>
  <si>
    <t>Esc. 688</t>
  </si>
  <si>
    <t>Esc. 689</t>
  </si>
  <si>
    <t>Esc. 690</t>
  </si>
  <si>
    <t>Esc. 691</t>
  </si>
  <si>
    <t>Esc. 692</t>
  </si>
  <si>
    <t>Esc. 693</t>
  </si>
  <si>
    <t>Esc. 694</t>
  </si>
  <si>
    <t>Esc. 695</t>
  </si>
  <si>
    <t>Esc. 696</t>
  </si>
  <si>
    <t>Esc. 697</t>
  </si>
  <si>
    <t>Esc. 698</t>
  </si>
  <si>
    <t>Esc. 699</t>
  </si>
  <si>
    <t>Esc. 700</t>
  </si>
  <si>
    <t>Esc. 701</t>
  </si>
  <si>
    <t>Esc. 702</t>
  </si>
  <si>
    <t>Esc. 703</t>
  </si>
  <si>
    <t>Esc. 704</t>
  </si>
  <si>
    <t>Esc. 705</t>
  </si>
  <si>
    <t>Esc. 706</t>
  </si>
  <si>
    <t>Esc. 707</t>
  </si>
  <si>
    <t>Esc. 708</t>
  </si>
  <si>
    <t>Esc. 709</t>
  </si>
  <si>
    <t>Esc. 710</t>
  </si>
  <si>
    <t>Esc. 711</t>
  </si>
  <si>
    <t>Esc. 712</t>
  </si>
  <si>
    <t>Esc. 713</t>
  </si>
  <si>
    <t>Esc. 714</t>
  </si>
  <si>
    <t>Esc. 715</t>
  </si>
  <si>
    <t>Esc. 716</t>
  </si>
  <si>
    <t>Esc. 717</t>
  </si>
  <si>
    <t>Esc. 718</t>
  </si>
  <si>
    <t>Esc. 719</t>
  </si>
  <si>
    <t>Esc. 720</t>
  </si>
  <si>
    <t>Esc. 721</t>
  </si>
  <si>
    <t>Esc. 722</t>
  </si>
  <si>
    <t>Esc. 723</t>
  </si>
  <si>
    <t>Esc. 724</t>
  </si>
  <si>
    <t>Esc. 725</t>
  </si>
  <si>
    <t>Esc. 726</t>
  </si>
  <si>
    <t>Esc. 727</t>
  </si>
  <si>
    <t>Esc. 728</t>
  </si>
  <si>
    <t>Esc. 729</t>
  </si>
  <si>
    <t>Esc. 730</t>
  </si>
  <si>
    <t>Esc. 731</t>
  </si>
  <si>
    <t>Esc. 732</t>
  </si>
  <si>
    <t>Esc. 733</t>
  </si>
  <si>
    <t>Esc. 734</t>
  </si>
  <si>
    <t>Esc. 735</t>
  </si>
  <si>
    <t>Esc. 736</t>
  </si>
  <si>
    <t>Esc. 737</t>
  </si>
  <si>
    <t>Esc. 738</t>
  </si>
  <si>
    <t>Esc. 739</t>
  </si>
  <si>
    <t>Esc. 740</t>
  </si>
  <si>
    <t>Esc. 741</t>
  </si>
  <si>
    <t>Esc. 742</t>
  </si>
  <si>
    <t>Esc. 743</t>
  </si>
  <si>
    <t>Esc. 744</t>
  </si>
  <si>
    <t>Esc. 745</t>
  </si>
  <si>
    <t>Esc. 746</t>
  </si>
  <si>
    <t>Esc. 747</t>
  </si>
  <si>
    <t>Esc. 748</t>
  </si>
  <si>
    <t>Esc. 749</t>
  </si>
  <si>
    <t>Esc. 750</t>
  </si>
  <si>
    <t>Esc. 751</t>
  </si>
  <si>
    <t>Esc. 752</t>
  </si>
  <si>
    <t>Esc. 753</t>
  </si>
  <si>
    <t>Esc. 754</t>
  </si>
  <si>
    <t>Esc. 755</t>
  </si>
  <si>
    <t>Esc. 756</t>
  </si>
  <si>
    <t>Esc. 757</t>
  </si>
  <si>
    <t>Esc. 758</t>
  </si>
  <si>
    <t>Esc. 759</t>
  </si>
  <si>
    <t>Esc. 760</t>
  </si>
  <si>
    <t>Esc. 761</t>
  </si>
  <si>
    <t>Esc. 762</t>
  </si>
  <si>
    <t>Esc. 763</t>
  </si>
  <si>
    <t>Esc. 764</t>
  </si>
  <si>
    <t>Esc. 765</t>
  </si>
  <si>
    <t>Esc. 766</t>
  </si>
  <si>
    <t>Esc. 767</t>
  </si>
  <si>
    <t>Esc. 768</t>
  </si>
  <si>
    <t>Esc. 769</t>
  </si>
  <si>
    <t>Esc. 770</t>
  </si>
  <si>
    <t>Esc. 771</t>
  </si>
  <si>
    <t>Esc. 772</t>
  </si>
  <si>
    <t>Esc. 773</t>
  </si>
  <si>
    <t>Esc. 774</t>
  </si>
  <si>
    <t>Esc. 775</t>
  </si>
  <si>
    <t>Esc. 776</t>
  </si>
  <si>
    <t>Esc. 777</t>
  </si>
  <si>
    <t>Esc. 778</t>
  </si>
  <si>
    <t>Esc. 779</t>
  </si>
  <si>
    <t>Esc. 780</t>
  </si>
  <si>
    <t>Esc. 781</t>
  </si>
  <si>
    <t>Esc. 782</t>
  </si>
  <si>
    <t>Esc. 783</t>
  </si>
  <si>
    <t>Esc. 784</t>
  </si>
  <si>
    <t>Esc. 785</t>
  </si>
  <si>
    <t>Esc. 786</t>
  </si>
  <si>
    <t>Esc. 787</t>
  </si>
  <si>
    <t>Esc. 788</t>
  </si>
  <si>
    <t>Esc. 789</t>
  </si>
  <si>
    <t>Esc. 790</t>
  </si>
  <si>
    <t>Esc. 791</t>
  </si>
  <si>
    <t>Esc. 792</t>
  </si>
  <si>
    <t>Esc. 793</t>
  </si>
  <si>
    <t>Esc. 794</t>
  </si>
  <si>
    <t>Esc. 795</t>
  </si>
  <si>
    <t>Esc. 796</t>
  </si>
  <si>
    <t>Esc. 797</t>
  </si>
  <si>
    <t>Esc. 798</t>
  </si>
  <si>
    <t>Esc. 799</t>
  </si>
  <si>
    <t>Esc. 800</t>
  </si>
  <si>
    <t>Esc. 801</t>
  </si>
  <si>
    <t>Esc. 802</t>
  </si>
  <si>
    <t>Esc. 803</t>
  </si>
  <si>
    <t>Esc. 804</t>
  </si>
  <si>
    <t>Esc. 805</t>
  </si>
  <si>
    <t>Esc. 806</t>
  </si>
  <si>
    <t>Esc. 807</t>
  </si>
  <si>
    <t>Esc. 808</t>
  </si>
  <si>
    <t>Esc. 809</t>
  </si>
  <si>
    <t>Esc. 810</t>
  </si>
  <si>
    <t>Esc. 811</t>
  </si>
  <si>
    <t>Esc. 812</t>
  </si>
  <si>
    <t>Esc. 813</t>
  </si>
  <si>
    <t>Esc. 814</t>
  </si>
  <si>
    <t>Esc. 815</t>
  </si>
  <si>
    <t>Esc. 816</t>
  </si>
  <si>
    <t>Esc. 817</t>
  </si>
  <si>
    <t>Esc. 818</t>
  </si>
  <si>
    <t>Esc. 819</t>
  </si>
  <si>
    <t>Esc. 820</t>
  </si>
  <si>
    <t>Esc. 821</t>
  </si>
  <si>
    <t>Esc. 822</t>
  </si>
  <si>
    <t>Esc. 823</t>
  </si>
  <si>
    <t>Esc. 824</t>
  </si>
  <si>
    <t>Esc. 825</t>
  </si>
  <si>
    <t>Esc. 826</t>
  </si>
  <si>
    <t>Esc. 827</t>
  </si>
  <si>
    <t>Esc. 828</t>
  </si>
  <si>
    <t>Esc. 829</t>
  </si>
  <si>
    <t>Esc. 830</t>
  </si>
  <si>
    <t>Esc. 831</t>
  </si>
  <si>
    <t>Esc. 832</t>
  </si>
  <si>
    <t>Esc. 833</t>
  </si>
  <si>
    <t>Esc. 834</t>
  </si>
  <si>
    <t>Esc. 835</t>
  </si>
  <si>
    <t>Esc. 836</t>
  </si>
  <si>
    <t>Esc. 837</t>
  </si>
  <si>
    <t>Esc. 838</t>
  </si>
  <si>
    <t>Esc. 839</t>
  </si>
  <si>
    <t>Esc. 840</t>
  </si>
  <si>
    <t>Esc. 841</t>
  </si>
  <si>
    <t>Esc. 842</t>
  </si>
  <si>
    <t>Esc. 843</t>
  </si>
  <si>
    <t>Esc. 844</t>
  </si>
  <si>
    <t>Esc. 845</t>
  </si>
  <si>
    <t>Esc. 846</t>
  </si>
  <si>
    <t>Esc. 847</t>
  </si>
  <si>
    <t>Esc. 848</t>
  </si>
  <si>
    <t>Esc. 849</t>
  </si>
  <si>
    <t>Esc. 850</t>
  </si>
  <si>
    <t>Esc. 851</t>
  </si>
  <si>
    <t>Esc. 852</t>
  </si>
  <si>
    <t>Esc. 853</t>
  </si>
  <si>
    <t>Esc. 854</t>
  </si>
  <si>
    <t>Esc. 855</t>
  </si>
  <si>
    <t>Esc. 856</t>
  </si>
  <si>
    <t>Esc. 857</t>
  </si>
  <si>
    <t>Esc. 858</t>
  </si>
  <si>
    <t>Esc. 859</t>
  </si>
  <si>
    <t>Esc. 860</t>
  </si>
  <si>
    <t>Esc. 861</t>
  </si>
  <si>
    <t>Esc. 862</t>
  </si>
  <si>
    <t>Esc. 863</t>
  </si>
  <si>
    <t>Esc. 864</t>
  </si>
  <si>
    <t>Esc. 865</t>
  </si>
  <si>
    <t>Esc. 866</t>
  </si>
  <si>
    <t>Esc. 867</t>
  </si>
  <si>
    <t>Esc. 868</t>
  </si>
  <si>
    <t>Esc. 869</t>
  </si>
  <si>
    <t>Esc. 870</t>
  </si>
  <si>
    <t>Esc. 871</t>
  </si>
  <si>
    <t>Esc. 872</t>
  </si>
  <si>
    <t>Esc. 873</t>
  </si>
  <si>
    <t>Esc. 874</t>
  </si>
  <si>
    <t>Esc. 875</t>
  </si>
  <si>
    <t>Esc. 876</t>
  </si>
  <si>
    <t>Esc. 877</t>
  </si>
  <si>
    <t>Esc. 878</t>
  </si>
  <si>
    <t>Esc. 879</t>
  </si>
  <si>
    <t>Esc. 880</t>
  </si>
  <si>
    <t>Esc. 881</t>
  </si>
  <si>
    <t>Esc. 882</t>
  </si>
  <si>
    <t>Esc. 883</t>
  </si>
  <si>
    <t>Esc. 884</t>
  </si>
  <si>
    <t>Esc. 885</t>
  </si>
  <si>
    <t>Esc. 886</t>
  </si>
  <si>
    <t>Esc. 887</t>
  </si>
  <si>
    <t>Esc. 888</t>
  </si>
  <si>
    <t>Esc. 889</t>
  </si>
  <si>
    <t>Esc. 890</t>
  </si>
  <si>
    <t>Esc. 891</t>
  </si>
  <si>
    <t>Esc. 892</t>
  </si>
  <si>
    <t>Esc. 893</t>
  </si>
  <si>
    <t>Esc. 894</t>
  </si>
  <si>
    <t>Esc. 895</t>
  </si>
  <si>
    <t>Esc. 896</t>
  </si>
  <si>
    <t>Esc. 897</t>
  </si>
  <si>
    <t>Esc. 898</t>
  </si>
  <si>
    <t>Esc. 899</t>
  </si>
  <si>
    <t>Esc. 900</t>
  </si>
  <si>
    <t>Esc. 901</t>
  </si>
  <si>
    <t>Esc. 902</t>
  </si>
  <si>
    <t>Esc. 903</t>
  </si>
  <si>
    <t>Esc. 904</t>
  </si>
  <si>
    <t>Esc. 905</t>
  </si>
  <si>
    <t>Esc. 906</t>
  </si>
  <si>
    <t>Esc. 907</t>
  </si>
  <si>
    <t>Esc. 908</t>
  </si>
  <si>
    <t>Esc. 909</t>
  </si>
  <si>
    <t>Esc. 910</t>
  </si>
  <si>
    <t>Esc. 911</t>
  </si>
  <si>
    <t>Esc. 912</t>
  </si>
  <si>
    <t>Esc. 913</t>
  </si>
  <si>
    <t>Esc. 914</t>
  </si>
  <si>
    <t>Esc. 915</t>
  </si>
  <si>
    <t>Esc. 916</t>
  </si>
  <si>
    <t>Esc. 917</t>
  </si>
  <si>
    <t>Esc. 918</t>
  </si>
  <si>
    <t>Esc. 919</t>
  </si>
  <si>
    <t>Esc. 920</t>
  </si>
  <si>
    <t>Esc. 921</t>
  </si>
  <si>
    <t>Esc. 922</t>
  </si>
  <si>
    <t>Esc. 923</t>
  </si>
  <si>
    <t>Esc. 924</t>
  </si>
  <si>
    <t>Esc. 925</t>
  </si>
  <si>
    <t>Esc. 926</t>
  </si>
  <si>
    <t>Esc. 927</t>
  </si>
  <si>
    <t>Esc. 928</t>
  </si>
  <si>
    <t>Esc. 929</t>
  </si>
  <si>
    <t>Esc. 930</t>
  </si>
  <si>
    <t>Esc. 931</t>
  </si>
  <si>
    <t>Esc. 932</t>
  </si>
  <si>
    <t>Esc. 933</t>
  </si>
  <si>
    <t>Esc. 934</t>
  </si>
  <si>
    <t>Esc. 935</t>
  </si>
  <si>
    <t>Esc. 936</t>
  </si>
  <si>
    <t>Esc. 937</t>
  </si>
  <si>
    <t>Esc. 938</t>
  </si>
  <si>
    <t>Esc. 939</t>
  </si>
  <si>
    <t>Esc. 940</t>
  </si>
  <si>
    <t>Esc. 941</t>
  </si>
  <si>
    <t>Esc. 942</t>
  </si>
  <si>
    <t>Esc. 943</t>
  </si>
  <si>
    <t>Esc. 944</t>
  </si>
  <si>
    <t>Esc. 945</t>
  </si>
  <si>
    <t>Esc. 946</t>
  </si>
  <si>
    <t>Esc. 947</t>
  </si>
  <si>
    <t>Esc. 948</t>
  </si>
  <si>
    <t>Esc. 949</t>
  </si>
  <si>
    <t>Esc. 950</t>
  </si>
  <si>
    <t>Esc. 951</t>
  </si>
  <si>
    <t>Esc. 952</t>
  </si>
  <si>
    <t>Esc. 953</t>
  </si>
  <si>
    <t>Esc. 954</t>
  </si>
  <si>
    <t>Esc. 955</t>
  </si>
  <si>
    <t>Esc. 956</t>
  </si>
  <si>
    <t>Esc. 957</t>
  </si>
  <si>
    <t>Esc. 958</t>
  </si>
  <si>
    <t>Esc. 959</t>
  </si>
  <si>
    <t>Esc. 960</t>
  </si>
  <si>
    <t>Esc. 961</t>
  </si>
  <si>
    <t>Esc. 962</t>
  </si>
  <si>
    <t>Esc. 963</t>
  </si>
  <si>
    <t>Esc. 964</t>
  </si>
  <si>
    <t>Esc. 965</t>
  </si>
  <si>
    <t>Esc. 966</t>
  </si>
  <si>
    <t>Esc. 967</t>
  </si>
  <si>
    <t>Esc. 968</t>
  </si>
  <si>
    <t>Esc. 969</t>
  </si>
  <si>
    <t>Esc. 970</t>
  </si>
  <si>
    <t>Esc. 971</t>
  </si>
  <si>
    <t>Esc. 972</t>
  </si>
  <si>
    <t>Esc. 973</t>
  </si>
  <si>
    <t>Esc. 974</t>
  </si>
  <si>
    <t>Esc. 975</t>
  </si>
  <si>
    <t>Esc. 976</t>
  </si>
  <si>
    <t>Esc. 977</t>
  </si>
  <si>
    <t>Esc. 978</t>
  </si>
  <si>
    <t>Esc. 979</t>
  </si>
  <si>
    <t>Esc. 980</t>
  </si>
  <si>
    <t>Esc. 981</t>
  </si>
  <si>
    <t>Esc. 982</t>
  </si>
  <si>
    <t>Esc. 983</t>
  </si>
  <si>
    <t>Esc. 984</t>
  </si>
  <si>
    <t>Esc. 985</t>
  </si>
  <si>
    <t>Esc. 986</t>
  </si>
  <si>
    <t>Esc. 987</t>
  </si>
  <si>
    <t>Esc. 988</t>
  </si>
  <si>
    <t>Esc. 989</t>
  </si>
  <si>
    <t>Esc. 990</t>
  </si>
  <si>
    <t>Esc. 991</t>
  </si>
  <si>
    <t>Esc. 992</t>
  </si>
  <si>
    <t>Esc. 993</t>
  </si>
  <si>
    <t>Esc. 994</t>
  </si>
  <si>
    <t>Esc. 995</t>
  </si>
  <si>
    <t>Esc. 996</t>
  </si>
  <si>
    <t>Esc. 997</t>
  </si>
  <si>
    <t>Esc. 998</t>
  </si>
  <si>
    <t>Esc. 999</t>
  </si>
  <si>
    <t>Esc. 1000</t>
  </si>
  <si>
    <t>Esc. 1001</t>
  </si>
  <si>
    <t>Esc. 1002</t>
  </si>
  <si>
    <t>Esc. 1003</t>
  </si>
  <si>
    <t>Esc. 1004</t>
  </si>
  <si>
    <t>Esc. 1005</t>
  </si>
  <si>
    <t>Esc. 1006</t>
  </si>
  <si>
    <t>Esc. 1007</t>
  </si>
  <si>
    <t>Esc. 1008</t>
  </si>
  <si>
    <t>Esc. 1009</t>
  </si>
  <si>
    <t>Esc. 1010</t>
  </si>
  <si>
    <t>Esc. 1011</t>
  </si>
  <si>
    <t>Esc. 1012</t>
  </si>
  <si>
    <t>Esc. 1013</t>
  </si>
  <si>
    <t>Esc. 1014</t>
  </si>
  <si>
    <t>Esc. 1015</t>
  </si>
  <si>
    <t>Esc. 1016</t>
  </si>
  <si>
    <t>Esc. 1017</t>
  </si>
  <si>
    <t>Esc. 1018</t>
  </si>
  <si>
    <t>Esc. 1019</t>
  </si>
  <si>
    <t>Esc. 1020</t>
  </si>
  <si>
    <t>Esc. 1021</t>
  </si>
  <si>
    <t>Esc. 1022</t>
  </si>
  <si>
    <t>Esc. 1023</t>
  </si>
  <si>
    <t>Esc. 1024</t>
  </si>
  <si>
    <t>Esc. 1025</t>
  </si>
  <si>
    <t>Esc. 1026</t>
  </si>
  <si>
    <t>Esc. 1027</t>
  </si>
  <si>
    <t>Esc. 1028</t>
  </si>
  <si>
    <t>Esc. 1029</t>
  </si>
  <si>
    <t>Esc. 1030</t>
  </si>
  <si>
    <t>Esc. 1031</t>
  </si>
  <si>
    <t>Esc. 1032</t>
  </si>
  <si>
    <t>Esc. 1033</t>
  </si>
  <si>
    <t>Esc. 1034</t>
  </si>
  <si>
    <t>Esc. 1035</t>
  </si>
  <si>
    <t>Esc. 1036</t>
  </si>
  <si>
    <t>Esc. 1037</t>
  </si>
  <si>
    <t>Esc. 1038</t>
  </si>
  <si>
    <t>Esc. 1039</t>
  </si>
  <si>
    <t>Esc. 1040</t>
  </si>
  <si>
    <t>Esc. 1041</t>
  </si>
  <si>
    <t>Esc. 1042</t>
  </si>
  <si>
    <t>Esc. 1043</t>
  </si>
  <si>
    <t>Esc. 1044</t>
  </si>
  <si>
    <t>Esc. 1045</t>
  </si>
  <si>
    <t>Esc. 1046</t>
  </si>
  <si>
    <t>Esc. 1047</t>
  </si>
  <si>
    <t>Esc. 1048</t>
  </si>
  <si>
    <t>Esc. 1049</t>
  </si>
  <si>
    <t>Esc. 1050</t>
  </si>
  <si>
    <t>Esc. 1051</t>
  </si>
  <si>
    <t>Esc. 1052</t>
  </si>
  <si>
    <t>Esc. 1053</t>
  </si>
  <si>
    <t>Esc. 1054</t>
  </si>
  <si>
    <t>Esc. 1055</t>
  </si>
  <si>
    <t>Esc. 1056</t>
  </si>
  <si>
    <t>Esc. 1057</t>
  </si>
  <si>
    <t>Esc. 1058</t>
  </si>
  <si>
    <t>Esc. 1059</t>
  </si>
  <si>
    <t>Esc. 1060</t>
  </si>
  <si>
    <t>Esc. 1061</t>
  </si>
  <si>
    <t>Esc. 1062</t>
  </si>
  <si>
    <t>Esc. 1063</t>
  </si>
  <si>
    <t>Esc. 1064</t>
  </si>
  <si>
    <t>Esc. 1065</t>
  </si>
  <si>
    <t>Esc. 1066</t>
  </si>
  <si>
    <t>Esc. 1067</t>
  </si>
  <si>
    <t>Esc. 1068</t>
  </si>
  <si>
    <t>Esc. 1069</t>
  </si>
  <si>
    <t>Esc. 1070</t>
  </si>
  <si>
    <t>Esc. 1071</t>
  </si>
  <si>
    <t>Esc. 1072</t>
  </si>
  <si>
    <t>Esc. 1073</t>
  </si>
  <si>
    <t>Esc. 1074</t>
  </si>
  <si>
    <t>Esc. 1075</t>
  </si>
  <si>
    <t>Esc. 1076</t>
  </si>
  <si>
    <t>Esc. 1077</t>
  </si>
  <si>
    <t>Esc. 1078</t>
  </si>
  <si>
    <t>Esc. 1079</t>
  </si>
  <si>
    <t>Esc. 1080</t>
  </si>
  <si>
    <t>Esc. 1081</t>
  </si>
  <si>
    <t>Esc. 1082</t>
  </si>
  <si>
    <t>Esc. 1083</t>
  </si>
  <si>
    <t>Esc. 1084</t>
  </si>
  <si>
    <t>Esc. 1085</t>
  </si>
  <si>
    <t>Esc. 1086</t>
  </si>
  <si>
    <t>Esc. 1087</t>
  </si>
  <si>
    <t>Esc. 1088</t>
  </si>
  <si>
    <t>Esc. 1089</t>
  </si>
  <si>
    <t>Esc. 1090</t>
  </si>
  <si>
    <t>Esc. 1091</t>
  </si>
  <si>
    <t>Esc. 1092</t>
  </si>
  <si>
    <t>Esc. 1093</t>
  </si>
  <si>
    <t>Esc. 1094</t>
  </si>
  <si>
    <t>Esc. 1095</t>
  </si>
  <si>
    <t>Esc. 1096</t>
  </si>
  <si>
    <t>Esc. 1097</t>
  </si>
  <si>
    <t>Esc. 1098</t>
  </si>
  <si>
    <t>Esc. 1099</t>
  </si>
  <si>
    <t>Esc. 1100</t>
  </si>
  <si>
    <t>Esc. 1101</t>
  </si>
  <si>
    <t>Esc. 1102</t>
  </si>
  <si>
    <t>Esc. 1103</t>
  </si>
  <si>
    <t>Esc. 1104</t>
  </si>
  <si>
    <t>Esc. 1105</t>
  </si>
  <si>
    <t>Esc. 1106</t>
  </si>
  <si>
    <t>Esc. 1107</t>
  </si>
  <si>
    <t>Esc. 1108</t>
  </si>
  <si>
    <t>Esc. 1109</t>
  </si>
  <si>
    <t>Esc. 1110</t>
  </si>
  <si>
    <t>Esc. 1111</t>
  </si>
  <si>
    <t>Esc. 1112</t>
  </si>
  <si>
    <t>Esc. 1113</t>
  </si>
  <si>
    <t>Esc. 1114</t>
  </si>
  <si>
    <t>Esc. 1115</t>
  </si>
  <si>
    <t>Esc. 1116</t>
  </si>
  <si>
    <t>Esc. 1117</t>
  </si>
  <si>
    <t>Esc. 1118</t>
  </si>
  <si>
    <t>Esc. 1119</t>
  </si>
  <si>
    <t>Esc. 1120</t>
  </si>
  <si>
    <t>Esc. 1121</t>
  </si>
  <si>
    <t>Esc. 1122</t>
  </si>
  <si>
    <t>Esc. 1123</t>
  </si>
  <si>
    <t>Esc. 1124</t>
  </si>
  <si>
    <t>Esc. 1125</t>
  </si>
  <si>
    <t>Esc. 1126</t>
  </si>
  <si>
    <t>Esc. 1127</t>
  </si>
  <si>
    <t>Esc. 1128</t>
  </si>
  <si>
    <t>Esc. 1129</t>
  </si>
  <si>
    <t>Esc. 1130</t>
  </si>
  <si>
    <t>Esc. 1131</t>
  </si>
  <si>
    <t>Esc. 1132</t>
  </si>
  <si>
    <t>Esc. 1133</t>
  </si>
  <si>
    <t>Esc. 1134</t>
  </si>
  <si>
    <t>Esc. 1135</t>
  </si>
  <si>
    <t>Esc. 1136</t>
  </si>
  <si>
    <t>Esc. 1137</t>
  </si>
  <si>
    <t>Esc. 1138</t>
  </si>
  <si>
    <t>Esc. 1139</t>
  </si>
  <si>
    <t>Esc. 1140</t>
  </si>
  <si>
    <t>Esc. 1141</t>
  </si>
  <si>
    <t>Esc. 1142</t>
  </si>
  <si>
    <t>Esc. 1143</t>
  </si>
  <si>
    <t>Esc. 1144</t>
  </si>
  <si>
    <t>Esc. 1145</t>
  </si>
  <si>
    <t>Esc. 1146</t>
  </si>
  <si>
    <t>Esc. 1147</t>
  </si>
  <si>
    <t>Esc. 1148</t>
  </si>
  <si>
    <t>Esc. 1149</t>
  </si>
  <si>
    <t>Esc. 1150</t>
  </si>
  <si>
    <t>Esc. 1151</t>
  </si>
  <si>
    <t>Esc. 1152</t>
  </si>
  <si>
    <t>Esc. 1153</t>
  </si>
  <si>
    <t>Esc. 1154</t>
  </si>
  <si>
    <t>Esc. 1155</t>
  </si>
  <si>
    <t>Esc. 1156</t>
  </si>
  <si>
    <t>Esc. 1157</t>
  </si>
  <si>
    <t>Esc. 1158</t>
  </si>
  <si>
    <t>Esc. 1159</t>
  </si>
  <si>
    <t>Esc. 1160</t>
  </si>
  <si>
    <t>Esc. 1161</t>
  </si>
  <si>
    <t>Esc. 1162</t>
  </si>
  <si>
    <t>Esc. 1163</t>
  </si>
  <si>
    <t>Esc. 1164</t>
  </si>
  <si>
    <t>Esc. 1165</t>
  </si>
  <si>
    <t>Esc. 1166</t>
  </si>
  <si>
    <t>Esc. 1167</t>
  </si>
  <si>
    <t>Esc. 1168</t>
  </si>
  <si>
    <t>Esc. 1169</t>
  </si>
  <si>
    <t>Esc. 1170</t>
  </si>
  <si>
    <t>Esc. 1171</t>
  </si>
  <si>
    <t>Esc. 1172</t>
  </si>
  <si>
    <t>Esc. 1173</t>
  </si>
  <si>
    <t>Esc. 1174</t>
  </si>
  <si>
    <t>Esc. 1175</t>
  </si>
  <si>
    <t>Esc. 1176</t>
  </si>
  <si>
    <t>Esc. 1177</t>
  </si>
  <si>
    <t>Esc. 1178</t>
  </si>
  <si>
    <t>Esc. 1179</t>
  </si>
  <si>
    <t>Esc. 1180</t>
  </si>
  <si>
    <t>Esc. 1181</t>
  </si>
  <si>
    <t>Esc. 1182</t>
  </si>
  <si>
    <t>Esc. 1183</t>
  </si>
  <si>
    <t>Esc. 1184</t>
  </si>
  <si>
    <t>Esc. 1185</t>
  </si>
  <si>
    <t>Esc. 1186</t>
  </si>
  <si>
    <t>Esc. 1187</t>
  </si>
  <si>
    <t>Esc. 1188</t>
  </si>
  <si>
    <t>Esc. 1189</t>
  </si>
  <si>
    <t>Esc. 1190</t>
  </si>
  <si>
    <t>Esc. 1191</t>
  </si>
  <si>
    <t>Esc. 1192</t>
  </si>
  <si>
    <t>Esc. 1193</t>
  </si>
  <si>
    <t>Esc. 1194</t>
  </si>
  <si>
    <t>Esc. 1195</t>
  </si>
  <si>
    <t>Esc. 1196</t>
  </si>
  <si>
    <t>Esc. 1197</t>
  </si>
  <si>
    <t>Esc. 1198</t>
  </si>
  <si>
    <t>Esc. 1199</t>
  </si>
  <si>
    <t>Esc. 1200</t>
  </si>
  <si>
    <t>Esc. 1201</t>
  </si>
  <si>
    <t>Esc. 1202</t>
  </si>
  <si>
    <t>Esc. 1203</t>
  </si>
  <si>
    <t>Esc. 1204</t>
  </si>
  <si>
    <t>Esc. 1205</t>
  </si>
  <si>
    <t>Esc. 1206</t>
  </si>
  <si>
    <t>Esc. 1207</t>
  </si>
  <si>
    <t>Esc. 1208</t>
  </si>
  <si>
    <t>Esc. 1209</t>
  </si>
  <si>
    <t>Esc. 1210</t>
  </si>
  <si>
    <t>Esc. 1211</t>
  </si>
  <si>
    <t>Esc. 1212</t>
  </si>
  <si>
    <t>Esc. 1213</t>
  </si>
  <si>
    <t>Esc. 1214</t>
  </si>
  <si>
    <t>Esc. 1215</t>
  </si>
  <si>
    <t>Esc. 1216</t>
  </si>
  <si>
    <t>Esc. 1217</t>
  </si>
  <si>
    <t>Esc. 1218</t>
  </si>
  <si>
    <t>Esc. 1219</t>
  </si>
  <si>
    <t>Esc. 1220</t>
  </si>
  <si>
    <t>Esc. 1221</t>
  </si>
  <si>
    <t>Esc. 1222</t>
  </si>
  <si>
    <t>Esc. 1223</t>
  </si>
  <si>
    <t>Esc. 1224</t>
  </si>
  <si>
    <t>Esc. 1225</t>
  </si>
  <si>
    <t>Esc. 1226</t>
  </si>
  <si>
    <t>Esc. 1227</t>
  </si>
  <si>
    <t>Esc. 1228</t>
  </si>
  <si>
    <t>Esc. 1229</t>
  </si>
  <si>
    <t>Esc. 1230</t>
  </si>
  <si>
    <t>Esc. 1231</t>
  </si>
  <si>
    <t>Esc. 1232</t>
  </si>
  <si>
    <t>Esc. 1233</t>
  </si>
  <si>
    <t>Esc. 1234</t>
  </si>
  <si>
    <t>Esc. 1235</t>
  </si>
  <si>
    <t>Esc. 1236</t>
  </si>
  <si>
    <t>Esc. 1237</t>
  </si>
  <si>
    <t>Esc. 1238</t>
  </si>
  <si>
    <t>Esc. 1239</t>
  </si>
  <si>
    <t>Esc. 1240</t>
  </si>
  <si>
    <t>Esc. 1241</t>
  </si>
  <si>
    <t>Esc. 1242</t>
  </si>
  <si>
    <t>Esc. 1243</t>
  </si>
  <si>
    <t>Esc. 1244</t>
  </si>
  <si>
    <t>Esc. 1245</t>
  </si>
  <si>
    <t>Esc. 1246</t>
  </si>
  <si>
    <t>Esc. 1247</t>
  </si>
  <si>
    <t>Esc. 1248</t>
  </si>
  <si>
    <t>Esc. 1249</t>
  </si>
  <si>
    <t>Esc. 1250</t>
  </si>
  <si>
    <t>Esc. 1251</t>
  </si>
  <si>
    <t>Esc. 1252</t>
  </si>
  <si>
    <t>Esc. 1253</t>
  </si>
  <si>
    <t>Esc. 1254</t>
  </si>
  <si>
    <t>Esc. 1255</t>
  </si>
  <si>
    <t>Esc. 1256</t>
  </si>
  <si>
    <t>Esc. 1257</t>
  </si>
  <si>
    <t>Esc. 1258</t>
  </si>
  <si>
    <t>Esc. 1259</t>
  </si>
  <si>
    <t>Esc. 1260</t>
  </si>
  <si>
    <t>Esc. 1261</t>
  </si>
  <si>
    <t>Esc. 1262</t>
  </si>
  <si>
    <t>Esc. 1263</t>
  </si>
  <si>
    <t>Esc. 1264</t>
  </si>
  <si>
    <t>Esc. 1265</t>
  </si>
  <si>
    <t>Esc. 1266</t>
  </si>
  <si>
    <t>Esc. 1267</t>
  </si>
  <si>
    <t>Esc. 1268</t>
  </si>
  <si>
    <t>Esc. 1269</t>
  </si>
  <si>
    <t>Esc. 1270</t>
  </si>
  <si>
    <t>Esc. 1271</t>
  </si>
  <si>
    <t>Esc. 1272</t>
  </si>
  <si>
    <t>Esc. 1273</t>
  </si>
  <si>
    <t>Esc. 1274</t>
  </si>
  <si>
    <t>Esc. 1275</t>
  </si>
  <si>
    <t>Esc. 1276</t>
  </si>
  <si>
    <t>Esc. 1277</t>
  </si>
  <si>
    <t>Esc. 1278</t>
  </si>
  <si>
    <t>Esc. 1279</t>
  </si>
  <si>
    <t>Esc. 1280</t>
  </si>
  <si>
    <t>Esc. 1281</t>
  </si>
  <si>
    <t>Esc. 1282</t>
  </si>
  <si>
    <t>Esc. 1283</t>
  </si>
  <si>
    <t>Esc. 1284</t>
  </si>
  <si>
    <t>Esc. 1285</t>
  </si>
  <si>
    <t>Esc. 1286</t>
  </si>
  <si>
    <t>Esc. 1287</t>
  </si>
  <si>
    <t>Esc. 1288</t>
  </si>
  <si>
    <t>Esc. 1289</t>
  </si>
  <si>
    <t>Esc. 1290</t>
  </si>
  <si>
    <t>Esc. 1291</t>
  </si>
  <si>
    <t>Esc. 1292</t>
  </si>
  <si>
    <t>Esc. 1293</t>
  </si>
  <si>
    <t>Esc. 1294</t>
  </si>
  <si>
    <t>Esc. 1295</t>
  </si>
  <si>
    <t>Esc. 1296</t>
  </si>
  <si>
    <t>Esc. 1297</t>
  </si>
  <si>
    <t>Esc. 1298</t>
  </si>
  <si>
    <t>Esc. 1299</t>
  </si>
  <si>
    <t>Esc. 1300</t>
  </si>
  <si>
    <t>Esc. 1301</t>
  </si>
  <si>
    <t>Esc. 1302</t>
  </si>
  <si>
    <t>Esc. 1303</t>
  </si>
  <si>
    <t>Esc. 1304</t>
  </si>
  <si>
    <t>Esc. 1305</t>
  </si>
  <si>
    <t>Esc. 1306</t>
  </si>
  <si>
    <t>Esc. 1307</t>
  </si>
  <si>
    <t>Esc. 1308</t>
  </si>
  <si>
    <t>Esc. 1309</t>
  </si>
  <si>
    <t>Esc. 1310</t>
  </si>
  <si>
    <t>Esc. 1311</t>
  </si>
  <si>
    <t>Esc. 1312</t>
  </si>
  <si>
    <t>Esc. 1313</t>
  </si>
  <si>
    <t>Esc. 1314</t>
  </si>
  <si>
    <t>Esc. 1315</t>
  </si>
  <si>
    <t>Esc. 1316</t>
  </si>
  <si>
    <t>Esc. 1317</t>
  </si>
  <si>
    <t>Esc. 1318</t>
  </si>
  <si>
    <t>Esc. 1319</t>
  </si>
  <si>
    <t>Esc. 1320</t>
  </si>
  <si>
    <t>Esc. 1321</t>
  </si>
  <si>
    <t>Esc. 1322</t>
  </si>
  <si>
    <t>Esc. 1323</t>
  </si>
  <si>
    <t>Esc. 1324</t>
  </si>
  <si>
    <t>Esc. 1325</t>
  </si>
  <si>
    <t>Esc. 1326</t>
  </si>
  <si>
    <t>Esc. 1327</t>
  </si>
  <si>
    <t>Esc. 1328</t>
  </si>
  <si>
    <t>Esc. 1329</t>
  </si>
  <si>
    <t>Esc. 1330</t>
  </si>
  <si>
    <t>Esc. 1331</t>
  </si>
  <si>
    <t>Esc. 1332</t>
  </si>
  <si>
    <t>Esc. 1333</t>
  </si>
  <si>
    <t>Esc. 1334</t>
  </si>
  <si>
    <t>Esc. 1335</t>
  </si>
  <si>
    <t>Esc. 1336</t>
  </si>
  <si>
    <t>Esc. 1337</t>
  </si>
  <si>
    <t>Esc. 1338</t>
  </si>
  <si>
    <t>Esc. 1339</t>
  </si>
  <si>
    <t>Esc. 1340</t>
  </si>
  <si>
    <t>Esc. 1341</t>
  </si>
  <si>
    <t>Esc. 1342</t>
  </si>
  <si>
    <t>Esc. 1343</t>
  </si>
  <si>
    <t>Esc. 1344</t>
  </si>
  <si>
    <t>Esc. 1345</t>
  </si>
  <si>
    <t>Esc. 1346</t>
  </si>
  <si>
    <t>Esc. 1347</t>
  </si>
  <si>
    <t>Esc. 1348</t>
  </si>
  <si>
    <t>Esc. 1349</t>
  </si>
  <si>
    <t>Esc. 1350</t>
  </si>
  <si>
    <t>Esc. 1351</t>
  </si>
  <si>
    <t>Esc. 1352</t>
  </si>
  <si>
    <t>Esc. 1353</t>
  </si>
  <si>
    <t>Esc. 1354</t>
  </si>
  <si>
    <t>Esc. 1355</t>
  </si>
  <si>
    <t>Esc. 1356</t>
  </si>
  <si>
    <t>Esc. 1357</t>
  </si>
  <si>
    <t>Esc. 1358</t>
  </si>
  <si>
    <t>Esc. 1359</t>
  </si>
  <si>
    <t>Esc. 1360</t>
  </si>
  <si>
    <t>Esc. 1361</t>
  </si>
  <si>
    <t>Esc. 1362</t>
  </si>
  <si>
    <t>Esc. 1363</t>
  </si>
  <si>
    <t>Esc. 1364</t>
  </si>
  <si>
    <t>Esc. 1365</t>
  </si>
  <si>
    <t>Esc. 1366</t>
  </si>
  <si>
    <t>Esc. 1367</t>
  </si>
  <si>
    <t>Esc. 1368</t>
  </si>
  <si>
    <t>Esc. 1369</t>
  </si>
  <si>
    <t>Esc. 1370</t>
  </si>
  <si>
    <t>Esc. 1371</t>
  </si>
  <si>
    <t>Esc. 1372</t>
  </si>
  <si>
    <t>Esc. 1373</t>
  </si>
  <si>
    <t>Esc. 1374</t>
  </si>
  <si>
    <t>Esc. 1375</t>
  </si>
  <si>
    <t>Esc. 1376</t>
  </si>
  <si>
    <t>Esc. 1377</t>
  </si>
  <si>
    <t>Esc. 1378</t>
  </si>
  <si>
    <t>Esc. 1379</t>
  </si>
  <si>
    <t>Esc. 1380</t>
  </si>
  <si>
    <t>Esc. 1381</t>
  </si>
  <si>
    <t>Esc. 1382</t>
  </si>
  <si>
    <t>Esc. 1383</t>
  </si>
  <si>
    <t>Esc. 1384</t>
  </si>
  <si>
    <t>Esc. 1385</t>
  </si>
  <si>
    <t>Esc. 1386</t>
  </si>
  <si>
    <t>Esc. 1387</t>
  </si>
  <si>
    <t>Esc. 1388</t>
  </si>
  <si>
    <t>Esc. 1389</t>
  </si>
  <si>
    <t>Esc. 1390</t>
  </si>
  <si>
    <t>Esc. 1391</t>
  </si>
  <si>
    <t>Esc. 1392</t>
  </si>
  <si>
    <t>Esc. 1393</t>
  </si>
  <si>
    <t>Esc. 1394</t>
  </si>
  <si>
    <t>Esc. 1395</t>
  </si>
  <si>
    <t>Esc. 1396</t>
  </si>
  <si>
    <t>Esc. 1397</t>
  </si>
  <si>
    <t>Esc. 1398</t>
  </si>
  <si>
    <t>Esc. 1399</t>
  </si>
  <si>
    <t>Esc. 1400</t>
  </si>
  <si>
    <t>Esc. 1401</t>
  </si>
  <si>
    <t>Esc. 1402</t>
  </si>
  <si>
    <t>Esc. 1403</t>
  </si>
  <si>
    <t>Esc. 1404</t>
  </si>
  <si>
    <t>Esc. 1405</t>
  </si>
  <si>
    <t>Esc. 1406</t>
  </si>
  <si>
    <t>Esc. 1407</t>
  </si>
  <si>
    <t>Esc. 1408</t>
  </si>
  <si>
    <t>Esc. 1409</t>
  </si>
  <si>
    <t>Esc. 1410</t>
  </si>
  <si>
    <t>Esc. 1411</t>
  </si>
  <si>
    <t>Esc. 1412</t>
  </si>
  <si>
    <t>Esc. 1413</t>
  </si>
  <si>
    <t>Esc. 1414</t>
  </si>
  <si>
    <t>Esc. 1415</t>
  </si>
  <si>
    <t>Esc. 1416</t>
  </si>
  <si>
    <t>Esc. 1417</t>
  </si>
  <si>
    <t>Esc. 1418</t>
  </si>
  <si>
    <t>Esc. 1419</t>
  </si>
  <si>
    <t>Esc. 1420</t>
  </si>
  <si>
    <t>Esc. 1421</t>
  </si>
  <si>
    <t>Esc. 1422</t>
  </si>
  <si>
    <t>Esc. 1423</t>
  </si>
  <si>
    <t>Esc. 1424</t>
  </si>
  <si>
    <t>Esc. 1425</t>
  </si>
  <si>
    <t>Esc. 1426</t>
  </si>
  <si>
    <t>Esc. 1427</t>
  </si>
  <si>
    <t>Esc. 1428</t>
  </si>
  <si>
    <t>Esc. 1429</t>
  </si>
  <si>
    <t>Esc. 1430</t>
  </si>
  <si>
    <t>Esc. 1431</t>
  </si>
  <si>
    <t>Esc. 1432</t>
  </si>
  <si>
    <t>Esc. 1433</t>
  </si>
  <si>
    <t>Esc. 1434</t>
  </si>
  <si>
    <t>Esc. 1435</t>
  </si>
  <si>
    <t>Esc. 1436</t>
  </si>
  <si>
    <t>Esc. 1437</t>
  </si>
  <si>
    <t>Esc. 1438</t>
  </si>
  <si>
    <t>Esc. 1439</t>
  </si>
  <si>
    <t>Esc. 1440</t>
  </si>
  <si>
    <t>Esc. 1441</t>
  </si>
  <si>
    <t>Esc. 1442</t>
  </si>
  <si>
    <t>Esc. 1443</t>
  </si>
  <si>
    <t>Esc. 1444</t>
  </si>
  <si>
    <t>Esc. 1445</t>
  </si>
  <si>
    <t>Esc. 1446</t>
  </si>
  <si>
    <t>Esc. 1447</t>
  </si>
  <si>
    <t>Esc. 1448</t>
  </si>
  <si>
    <t>Esc. 1449</t>
  </si>
  <si>
    <t>Esc. 1450</t>
  </si>
  <si>
    <t>Esc. 1451</t>
  </si>
  <si>
    <t>Esc. 1452</t>
  </si>
  <si>
    <t>Esc. 1453</t>
  </si>
  <si>
    <t>Esc. 1454</t>
  </si>
  <si>
    <t>Esc. 1455</t>
  </si>
  <si>
    <t>Esc. 1456</t>
  </si>
  <si>
    <t>Esc. 1457</t>
  </si>
  <si>
    <t>Esc. 1458</t>
  </si>
  <si>
    <t>Esc. 1459</t>
  </si>
  <si>
    <t>Esc. 1460</t>
  </si>
  <si>
    <t>Esc. 1461</t>
  </si>
  <si>
    <t>Esc. 1462</t>
  </si>
  <si>
    <t>Esc. 1463</t>
  </si>
  <si>
    <t>Esc. 1464</t>
  </si>
  <si>
    <t>Esc. 1465</t>
  </si>
  <si>
    <t>Esc. 1466</t>
  </si>
  <si>
    <t>Esc. 1467</t>
  </si>
  <si>
    <t>Esc. 1468</t>
  </si>
  <si>
    <t>Esc. 1469</t>
  </si>
  <si>
    <t>Esc. 1470</t>
  </si>
  <si>
    <t>Esc. 1471</t>
  </si>
  <si>
    <t>Esc. 1472</t>
  </si>
  <si>
    <t>Esc. 1473</t>
  </si>
  <si>
    <t>Esc. 1474</t>
  </si>
  <si>
    <t>Esc. 1475</t>
  </si>
  <si>
    <t>Esc. 1476</t>
  </si>
  <si>
    <t>Esc. 1477</t>
  </si>
  <si>
    <t>Esc. 1478</t>
  </si>
  <si>
    <t>Esc. 1479</t>
  </si>
  <si>
    <t>Esc. 1480</t>
  </si>
  <si>
    <t>Esc. 1481</t>
  </si>
  <si>
    <t>Esc. 1482</t>
  </si>
  <si>
    <t>Esc. 1483</t>
  </si>
  <si>
    <t>Esc. 1484</t>
  </si>
  <si>
    <t>Esc. 1485</t>
  </si>
  <si>
    <t>Esc. 1486</t>
  </si>
  <si>
    <t>Esc. 1487</t>
  </si>
  <si>
    <t>Esc. 1488</t>
  </si>
  <si>
    <t>Esc. 1489</t>
  </si>
  <si>
    <t>Esc. 1490</t>
  </si>
  <si>
    <t>Esc. 1491</t>
  </si>
  <si>
    <t>Esc. 1492</t>
  </si>
  <si>
    <t>Esc. 1493</t>
  </si>
  <si>
    <t>Esc. 1494</t>
  </si>
  <si>
    <t>Esc. 1495</t>
  </si>
  <si>
    <t>Esc. 1496</t>
  </si>
  <si>
    <t>Esc. 1497</t>
  </si>
  <si>
    <t>Esc. 1498</t>
  </si>
  <si>
    <t>Esc. 1499</t>
  </si>
  <si>
    <t>Esc. 1500</t>
  </si>
  <si>
    <t>Esc. 1501</t>
  </si>
  <si>
    <t>Esc. 1502</t>
  </si>
  <si>
    <t>Esc. 1503</t>
  </si>
  <si>
    <t>Esc. 1504</t>
  </si>
  <si>
    <t>Esc. 1505</t>
  </si>
  <si>
    <t>Esc. 1506</t>
  </si>
  <si>
    <t>Esc. 1507</t>
  </si>
  <si>
    <t>Esc. 1508</t>
  </si>
  <si>
    <t>Esc. 1509</t>
  </si>
  <si>
    <t>Esc. 1510</t>
  </si>
  <si>
    <t>Esc. 1511</t>
  </si>
  <si>
    <t>Esc. 1512</t>
  </si>
  <si>
    <t>Esc. 1513</t>
  </si>
  <si>
    <t>Esc. 1514</t>
  </si>
  <si>
    <t>Esc. 1515</t>
  </si>
  <si>
    <t>Esc. 1516</t>
  </si>
  <si>
    <t>Esc. 1517</t>
  </si>
  <si>
    <t>Esc. 1518</t>
  </si>
  <si>
    <t>Esc. 1519</t>
  </si>
  <si>
    <t>Esc. 1520</t>
  </si>
  <si>
    <t>Esc. 1521</t>
  </si>
  <si>
    <t>Esc. 1522</t>
  </si>
  <si>
    <t>Esc. 1523</t>
  </si>
  <si>
    <t>Esc. 1524</t>
  </si>
  <si>
    <t>Esc. 1525</t>
  </si>
  <si>
    <t>Esc. 1526</t>
  </si>
  <si>
    <t>Esc. 1527</t>
  </si>
  <si>
    <t>Esc. 1528</t>
  </si>
  <si>
    <t>Esc. 1529</t>
  </si>
  <si>
    <t>Esc. 1530</t>
  </si>
  <si>
    <t>Esc. 1531</t>
  </si>
  <si>
    <t>Esc. 1532</t>
  </si>
  <si>
    <t>Esc. 1533</t>
  </si>
  <si>
    <t>Esc. 1534</t>
  </si>
  <si>
    <t>Esc. 1535</t>
  </si>
  <si>
    <t>Esc. 1536</t>
  </si>
  <si>
    <t>Esc. 1537</t>
  </si>
  <si>
    <t>Esc. 1538</t>
  </si>
  <si>
    <t>Esc. 1539</t>
  </si>
  <si>
    <t>Esc. 1540</t>
  </si>
  <si>
    <t>Esc. 1541</t>
  </si>
  <si>
    <t>Esc. 1542</t>
  </si>
  <si>
    <t>Esc. 1543</t>
  </si>
  <si>
    <t>Esc. 1544</t>
  </si>
  <si>
    <t>Esc. 1545</t>
  </si>
  <si>
    <t>Esc. 1546</t>
  </si>
  <si>
    <t>Esc. 1547</t>
  </si>
  <si>
    <t>Esc. 1548</t>
  </si>
  <si>
    <t>Esc. 1549</t>
  </si>
  <si>
    <t>Esc. 1550</t>
  </si>
  <si>
    <t>Esc. 1551</t>
  </si>
  <si>
    <t>Esc. 1552</t>
  </si>
  <si>
    <t>Esc. 1553</t>
  </si>
  <si>
    <t>Esc. 1554</t>
  </si>
  <si>
    <t>Esc. 1555</t>
  </si>
  <si>
    <t>Esc. 1556</t>
  </si>
  <si>
    <t>Esc. 1557</t>
  </si>
  <si>
    <t>Esc. 1558</t>
  </si>
  <si>
    <t>Esc. 1559</t>
  </si>
  <si>
    <t>Esc. 1560</t>
  </si>
  <si>
    <t>Esc. 1561</t>
  </si>
  <si>
    <t>Esc. 1562</t>
  </si>
  <si>
    <t>Esc. 1563</t>
  </si>
  <si>
    <t>Esc. 1564</t>
  </si>
  <si>
    <t>Esc. 1565</t>
  </si>
  <si>
    <t>Esc. 1566</t>
  </si>
  <si>
    <t>Esc. 1567</t>
  </si>
  <si>
    <t>Esc. 1568</t>
  </si>
  <si>
    <t>Esc. 1569</t>
  </si>
  <si>
    <t>Esc. 1570</t>
  </si>
  <si>
    <t>Esc. 1571</t>
  </si>
  <si>
    <t>Esc. 1572</t>
  </si>
  <si>
    <t>Esc. 1573</t>
  </si>
  <si>
    <t>Esc. 1574</t>
  </si>
  <si>
    <t>Esc. 1575</t>
  </si>
  <si>
    <t>Esc. 1576</t>
  </si>
  <si>
    <t>Esc. 1577</t>
  </si>
  <si>
    <t>Esc. 1578</t>
  </si>
  <si>
    <t>Esc. 1579</t>
  </si>
  <si>
    <t>Esc. 1580</t>
  </si>
  <si>
    <t>Esc. 1581</t>
  </si>
  <si>
    <t>Esc. 1582</t>
  </si>
  <si>
    <t>Esc. 1583</t>
  </si>
  <si>
    <t>Esc. 1584</t>
  </si>
  <si>
    <t>Esc. 1585</t>
  </si>
  <si>
    <t>Esc. 1586</t>
  </si>
  <si>
    <t>Esc. 1587</t>
  </si>
  <si>
    <t>Esc. 1588</t>
  </si>
  <si>
    <t>Esc. 1589</t>
  </si>
  <si>
    <t>Esc. 1590</t>
  </si>
  <si>
    <t>Esc. 1591</t>
  </si>
  <si>
    <t>Esc. 1592</t>
  </si>
  <si>
    <t>Esc. 1593</t>
  </si>
  <si>
    <t>Esc. 1594</t>
  </si>
  <si>
    <t>Esc. 1595</t>
  </si>
  <si>
    <t>Esc. 1596</t>
  </si>
  <si>
    <t>Esc. 1597</t>
  </si>
  <si>
    <t>Esc. 1598</t>
  </si>
  <si>
    <t>Esc. 1599</t>
  </si>
  <si>
    <t>Esc. 1600</t>
  </si>
  <si>
    <t>Esc. 1601</t>
  </si>
  <si>
    <t>Esc. 1602</t>
  </si>
  <si>
    <t>Esc. 1603</t>
  </si>
  <si>
    <t>Esc. 1604</t>
  </si>
  <si>
    <t>Esc. 1605</t>
  </si>
  <si>
    <t>Esc. 1606</t>
  </si>
  <si>
    <t>Esc. 1607</t>
  </si>
  <si>
    <t>Esc. 1608</t>
  </si>
  <si>
    <t>Esc. 1609</t>
  </si>
  <si>
    <t>Esc. 1610</t>
  </si>
  <si>
    <t>Esc. 1611</t>
  </si>
  <si>
    <t>Esc. 1612</t>
  </si>
  <si>
    <t>Esc. 1613</t>
  </si>
  <si>
    <t>Esc. 1614</t>
  </si>
  <si>
    <t>Esc. 1615</t>
  </si>
  <si>
    <t>Esc. 1616</t>
  </si>
  <si>
    <t>Esc. 1617</t>
  </si>
  <si>
    <t>Esc. 1618</t>
  </si>
  <si>
    <t>Esc. 1619</t>
  </si>
  <si>
    <t>Esc. 1620</t>
  </si>
  <si>
    <t>Esc. 1621</t>
  </si>
  <si>
    <t>Esc. 1622</t>
  </si>
  <si>
    <t>Esc. 1623</t>
  </si>
  <si>
    <t>Esc. 1624</t>
  </si>
  <si>
    <t>Esc. 1625</t>
  </si>
  <si>
    <t>Esc. 1626</t>
  </si>
  <si>
    <t>Esc. 1627</t>
  </si>
  <si>
    <t>Esc. 1628</t>
  </si>
  <si>
    <t>Esc. 1629</t>
  </si>
  <si>
    <t>Esc. 1630</t>
  </si>
  <si>
    <t>Esc. 1631</t>
  </si>
  <si>
    <t>Esc. 1632</t>
  </si>
  <si>
    <t>Esc. 1633</t>
  </si>
  <si>
    <t>Esc. 1634</t>
  </si>
  <si>
    <t>Esc. 1635</t>
  </si>
  <si>
    <t>Esc. 1636</t>
  </si>
  <si>
    <t>Esc. 1637</t>
  </si>
  <si>
    <t>Esc. 1638</t>
  </si>
  <si>
    <t>Esc. 1639</t>
  </si>
  <si>
    <t>Esc. 1640</t>
  </si>
  <si>
    <t>Esc. 1641</t>
  </si>
  <si>
    <t>Esc. 1642</t>
  </si>
  <si>
    <t>Esc. 1643</t>
  </si>
  <si>
    <t>Esc. 1644</t>
  </si>
  <si>
    <t>Esc. 1645</t>
  </si>
  <si>
    <t>Esc. 1646</t>
  </si>
  <si>
    <t>Esc. 1647</t>
  </si>
  <si>
    <t>Esc. 1648</t>
  </si>
  <si>
    <t>Esc. 1649</t>
  </si>
  <si>
    <t>Esc. 1650</t>
  </si>
  <si>
    <t>Esc. 1651</t>
  </si>
  <si>
    <t>Esc. 1652</t>
  </si>
  <si>
    <t>Esc. 1653</t>
  </si>
  <si>
    <t>Esc. 1654</t>
  </si>
  <si>
    <t>Esc. 1655</t>
  </si>
  <si>
    <t>Esc. 1656</t>
  </si>
  <si>
    <t>Esc. 1657</t>
  </si>
  <si>
    <t>Esc. 1658</t>
  </si>
  <si>
    <t>Esc. 1659</t>
  </si>
  <si>
    <t>Esc. 1660</t>
  </si>
  <si>
    <t>Esc. 1661</t>
  </si>
  <si>
    <t>Esc. 1662</t>
  </si>
  <si>
    <t>Esc. 1663</t>
  </si>
  <si>
    <t>Esc. 1664</t>
  </si>
  <si>
    <t>Esc. 1665</t>
  </si>
  <si>
    <t>Esc. 1666</t>
  </si>
  <si>
    <t>Esc. 1667</t>
  </si>
  <si>
    <t>Esc. 1668</t>
  </si>
  <si>
    <t>Esc. 1669</t>
  </si>
  <si>
    <t>Esc. 1670</t>
  </si>
  <si>
    <t>Esc. 1671</t>
  </si>
  <si>
    <t>Esc. 1672</t>
  </si>
  <si>
    <t>Esc. 1673</t>
  </si>
  <si>
    <t>Esc. 1674</t>
  </si>
  <si>
    <t>Esc. 1675</t>
  </si>
  <si>
    <t>Esc. 1676</t>
  </si>
  <si>
    <t>Esc. 1677</t>
  </si>
  <si>
    <t>Esc. 1678</t>
  </si>
  <si>
    <t>Esc. 1679</t>
  </si>
  <si>
    <t>Esc. 1680</t>
  </si>
  <si>
    <t>Esc. 1681</t>
  </si>
  <si>
    <t>Esc. 1682</t>
  </si>
  <si>
    <t>Esc. 1683</t>
  </si>
  <si>
    <t>Esc. 1684</t>
  </si>
  <si>
    <t>Esc. 1685</t>
  </si>
  <si>
    <t>Esc. 1686</t>
  </si>
  <si>
    <t>Esc. 1687</t>
  </si>
  <si>
    <t>Esc. 1688</t>
  </si>
  <si>
    <t>Esc. 1689</t>
  </si>
  <si>
    <t>Esc. 1690</t>
  </si>
  <si>
    <t>Esc. 1691</t>
  </si>
  <si>
    <t>Esc. 1692</t>
  </si>
  <si>
    <t>Esc. 1693</t>
  </si>
  <si>
    <t>Esc. 1694</t>
  </si>
  <si>
    <t>Esc. 1695</t>
  </si>
  <si>
    <t>Esc. 1696</t>
  </si>
  <si>
    <t>Esc. 1697</t>
  </si>
  <si>
    <t>Esc. 1698</t>
  </si>
  <si>
    <t>Esc. 1699</t>
  </si>
  <si>
    <t>Esc. 1700</t>
  </si>
  <si>
    <t>Esc. 1701</t>
  </si>
  <si>
    <t>Esc. 1702</t>
  </si>
  <si>
    <t>Esc. 1703</t>
  </si>
  <si>
    <t>Esc. 1704</t>
  </si>
  <si>
    <t>Esc. 1705</t>
  </si>
  <si>
    <t>Esc. 1706</t>
  </si>
  <si>
    <t>Esc. 1707</t>
  </si>
  <si>
    <t>Esc. 1708</t>
  </si>
  <si>
    <t>Esc. 1709</t>
  </si>
  <si>
    <t>Esc. 1710</t>
  </si>
  <si>
    <t>Esc. 1711</t>
  </si>
  <si>
    <t>Esc. 1712</t>
  </si>
  <si>
    <t>Esc. 1713</t>
  </si>
  <si>
    <t>Esc. 1714</t>
  </si>
  <si>
    <t>Esc. 1715</t>
  </si>
  <si>
    <t>Esc. 1716</t>
  </si>
  <si>
    <t>Esc. 1717</t>
  </si>
  <si>
    <t>Esc. 1718</t>
  </si>
  <si>
    <t>Esc. 1719</t>
  </si>
  <si>
    <t>Esc. 1720</t>
  </si>
  <si>
    <t>Esc. 1721</t>
  </si>
  <si>
    <t>Esc. 1722</t>
  </si>
  <si>
    <t>Esc. 1723</t>
  </si>
  <si>
    <t>Esc. 1724</t>
  </si>
  <si>
    <t>Esc. 1725</t>
  </si>
  <si>
    <t>Esc. 1726</t>
  </si>
  <si>
    <t>Esc. 1727</t>
  </si>
  <si>
    <t>Esc. 1728</t>
  </si>
  <si>
    <t>Esc. 1729</t>
  </si>
  <si>
    <t>Esc. 1730</t>
  </si>
  <si>
    <t>Esc. 1731</t>
  </si>
  <si>
    <t>Esc. 1732</t>
  </si>
  <si>
    <t>Esc. 1733</t>
  </si>
  <si>
    <t>Esc. 1734</t>
  </si>
  <si>
    <t>Esc. 1735</t>
  </si>
  <si>
    <t>Esc. 1736</t>
  </si>
  <si>
    <t>Esc. 1737</t>
  </si>
  <si>
    <t>Esc. 1738</t>
  </si>
  <si>
    <t>Esc. 1739</t>
  </si>
  <si>
    <t>Esc. 1740</t>
  </si>
  <si>
    <t>Esc. 1741</t>
  </si>
  <si>
    <t>Esc. 1742</t>
  </si>
  <si>
    <t>Esc. 1743</t>
  </si>
  <si>
    <t>Esc. 1744</t>
  </si>
  <si>
    <t>Esc. 1745</t>
  </si>
  <si>
    <t>Esc. 1746</t>
  </si>
  <si>
    <t>Esc. 1747</t>
  </si>
  <si>
    <t>Esc. 1748</t>
  </si>
  <si>
    <t>Esc. 1749</t>
  </si>
  <si>
    <t>Esc. 1750</t>
  </si>
  <si>
    <t>Esc. 1751</t>
  </si>
  <si>
    <t>Esc. 1752</t>
  </si>
  <si>
    <t>Esc. 1753</t>
  </si>
  <si>
    <t>Esc. 1754</t>
  </si>
  <si>
    <t>Esc. 1755</t>
  </si>
  <si>
    <t>Esc. 1756</t>
  </si>
  <si>
    <t>Esc. 1757</t>
  </si>
  <si>
    <t>Esc. 1758</t>
  </si>
  <si>
    <t>Esc. 1759</t>
  </si>
  <si>
    <t>Esc. 1760</t>
  </si>
  <si>
    <t>Esc. 1761</t>
  </si>
  <si>
    <t>Esc. 1762</t>
  </si>
  <si>
    <t>Esc. 1763</t>
  </si>
  <si>
    <t>Esc. 1764</t>
  </si>
  <si>
    <t>Esc. 1765</t>
  </si>
  <si>
    <t>Esc. 1766</t>
  </si>
  <si>
    <t>Esc. 1767</t>
  </si>
  <si>
    <t>Esc. 1768</t>
  </si>
  <si>
    <t>Esc. 1769</t>
  </si>
  <si>
    <t>Esc. 1770</t>
  </si>
  <si>
    <t>Esc. 1771</t>
  </si>
  <si>
    <t>Esc. 1772</t>
  </si>
  <si>
    <t>Esc. 1773</t>
  </si>
  <si>
    <t>Esc. 1774</t>
  </si>
  <si>
    <t>Esc. 1775</t>
  </si>
  <si>
    <t>Esc. 1776</t>
  </si>
  <si>
    <t>Esc. 1777</t>
  </si>
  <si>
    <t>Esc. 1778</t>
  </si>
  <si>
    <t>Esc. 1779</t>
  </si>
  <si>
    <t>Esc. 1780</t>
  </si>
  <si>
    <t>Esc. 1781</t>
  </si>
  <si>
    <t>Esc. 1782</t>
  </si>
  <si>
    <t>Esc. 1783</t>
  </si>
  <si>
    <t>Esc. 1784</t>
  </si>
  <si>
    <t>Esc. 1785</t>
  </si>
  <si>
    <t>Esc. 1786</t>
  </si>
  <si>
    <t>Esc. 1787</t>
  </si>
  <si>
    <t>Esc. 1788</t>
  </si>
  <si>
    <t>Esc. 1789</t>
  </si>
  <si>
    <t>Esc. 1790</t>
  </si>
  <si>
    <t>Esc. 1791</t>
  </si>
  <si>
    <t>Esc. 1792</t>
  </si>
  <si>
    <t>Esc. 1793</t>
  </si>
  <si>
    <t>Esc. 1794</t>
  </si>
  <si>
    <t>Esc. 1795</t>
  </si>
  <si>
    <t>Esc. 1796</t>
  </si>
  <si>
    <t>Esc. 1797</t>
  </si>
  <si>
    <t>Esc. 1798</t>
  </si>
  <si>
    <t>Esc. 1799</t>
  </si>
  <si>
    <t>Esc. 1800</t>
  </si>
  <si>
    <t>Esc. 1801</t>
  </si>
  <si>
    <t>Esc. 1802</t>
  </si>
  <si>
    <t>Esc. 1803</t>
  </si>
  <si>
    <t>Esc. 1804</t>
  </si>
  <si>
    <t>Esc. 1805</t>
  </si>
  <si>
    <t>Esc. 1806</t>
  </si>
  <si>
    <t>Esc. 1807</t>
  </si>
  <si>
    <t>Esc. 1808</t>
  </si>
  <si>
    <t>Esc. 1809</t>
  </si>
  <si>
    <t>Esc. 1810</t>
  </si>
  <si>
    <t>Esc. 1811</t>
  </si>
  <si>
    <t>Esc. 1812</t>
  </si>
  <si>
    <t>Esc. 1813</t>
  </si>
  <si>
    <t>Esc. 1814</t>
  </si>
  <si>
    <t>Esc. 1815</t>
  </si>
  <si>
    <t>Esc. 1816</t>
  </si>
  <si>
    <t>Esc. 1817</t>
  </si>
  <si>
    <t>Esc. 1818</t>
  </si>
  <si>
    <t>Esc. 1819</t>
  </si>
  <si>
    <t>Esc. 1820</t>
  </si>
  <si>
    <t>Esc. 1821</t>
  </si>
  <si>
    <t>Esc. 1822</t>
  </si>
  <si>
    <t>Esc. 1823</t>
  </si>
  <si>
    <t>Esc. 1824</t>
  </si>
  <si>
    <t>Esc. 1825</t>
  </si>
  <si>
    <t>Esc. 1826</t>
  </si>
  <si>
    <t>Esc. 1827</t>
  </si>
  <si>
    <t>Esc. 1828</t>
  </si>
  <si>
    <t>Esc. 1829</t>
  </si>
  <si>
    <t>Esc. 1830</t>
  </si>
  <si>
    <t>Esc. 1831</t>
  </si>
  <si>
    <t>Esc. 1832</t>
  </si>
  <si>
    <t>Esc. 1833</t>
  </si>
  <si>
    <t>Esc. 1834</t>
  </si>
  <si>
    <t>Esc. 1835</t>
  </si>
  <si>
    <t>Esc. 1836</t>
  </si>
  <si>
    <t>Esc. 1837</t>
  </si>
  <si>
    <t>Esc. 1838</t>
  </si>
  <si>
    <t>Esc. 1839</t>
  </si>
  <si>
    <t>Esc. 1840</t>
  </si>
  <si>
    <t>Esc. 1841</t>
  </si>
  <si>
    <t>Esc. 1842</t>
  </si>
  <si>
    <t>Esc. 1843</t>
  </si>
  <si>
    <t>Esc. 1844</t>
  </si>
  <si>
    <t>Esc. 1845</t>
  </si>
  <si>
    <t>Esc. 1846</t>
  </si>
  <si>
    <t>Esc. 1847</t>
  </si>
  <si>
    <t>Esc. 1848</t>
  </si>
  <si>
    <t>Esc. 1849</t>
  </si>
  <si>
    <t>Esc. 1850</t>
  </si>
  <si>
    <t>Esc. 1851</t>
  </si>
  <si>
    <t>Esc. 1852</t>
  </si>
  <si>
    <t>Esc. 1853</t>
  </si>
  <si>
    <t>Esc. 1854</t>
  </si>
  <si>
    <t>Esc. 1855</t>
  </si>
  <si>
    <t>Esc. 1856</t>
  </si>
  <si>
    <t>Esc. 1857</t>
  </si>
  <si>
    <t>Esc. 1858</t>
  </si>
  <si>
    <t>Esc. 1859</t>
  </si>
  <si>
    <t>Esc. 1860</t>
  </si>
  <si>
    <t>Esc. 1861</t>
  </si>
  <si>
    <t>Esc. 1862</t>
  </si>
  <si>
    <t>Esc. 1863</t>
  </si>
  <si>
    <t>Esc. 1864</t>
  </si>
  <si>
    <t>Esc. 1865</t>
  </si>
  <si>
    <t>Esc. 1866</t>
  </si>
  <si>
    <t>Esc. 1867</t>
  </si>
  <si>
    <t>Esc. 1868</t>
  </si>
  <si>
    <t>Esc. 1869</t>
  </si>
  <si>
    <t>Esc. 1870</t>
  </si>
  <si>
    <t>Esc. 1871</t>
  </si>
  <si>
    <t>Esc. 1872</t>
  </si>
  <si>
    <t>Esc. 1873</t>
  </si>
  <si>
    <t>Esc. 1874</t>
  </si>
  <si>
    <t>Esc. 1875</t>
  </si>
  <si>
    <t>Esc. 1876</t>
  </si>
  <si>
    <t>Esc. 1877</t>
  </si>
  <si>
    <t>Esc. 1878</t>
  </si>
  <si>
    <t>Esc. 1879</t>
  </si>
  <si>
    <t>Esc. 1880</t>
  </si>
  <si>
    <t>Esc. 1881</t>
  </si>
  <si>
    <t>Esc. 1882</t>
  </si>
  <si>
    <t>Esc. 1883</t>
  </si>
  <si>
    <t>Esc. 1884</t>
  </si>
  <si>
    <t>Esc. 1885</t>
  </si>
  <si>
    <t>Esc. 1886</t>
  </si>
  <si>
    <t>Esc. 1887</t>
  </si>
  <si>
    <t>Esc. 1888</t>
  </si>
  <si>
    <t>Esc. 1889</t>
  </si>
  <si>
    <t>Esc. 1890</t>
  </si>
  <si>
    <t>Esc. 1891</t>
  </si>
  <si>
    <t>Esc. 1892</t>
  </si>
  <si>
    <t>Esc. 1893</t>
  </si>
  <si>
    <t>Esc. 1894</t>
  </si>
  <si>
    <t>Esc. 1895</t>
  </si>
  <si>
    <t>Esc. 1896</t>
  </si>
  <si>
    <t>Esc. 1897</t>
  </si>
  <si>
    <t>Esc. 1898</t>
  </si>
  <si>
    <t>Esc. 1899</t>
  </si>
  <si>
    <t>Esc. 1900</t>
  </si>
  <si>
    <t>Esc. 1901</t>
  </si>
  <si>
    <t>Esc. 1902</t>
  </si>
  <si>
    <t>Esc. 1903</t>
  </si>
  <si>
    <t>Esc. 1904</t>
  </si>
  <si>
    <t>Esc. 1905</t>
  </si>
  <si>
    <t>Esc. 1906</t>
  </si>
  <si>
    <t>Esc. 1907</t>
  </si>
  <si>
    <t>Esc. 1908</t>
  </si>
  <si>
    <t>Esc. 1909</t>
  </si>
  <si>
    <t>Esc. 1910</t>
  </si>
  <si>
    <t>Esc. 1911</t>
  </si>
  <si>
    <t>Esc. 1912</t>
  </si>
  <si>
    <t>Esc. 1913</t>
  </si>
  <si>
    <t>Esc. 1914</t>
  </si>
  <si>
    <t>Esc. 1915</t>
  </si>
  <si>
    <t>Esc. 1916</t>
  </si>
  <si>
    <t>Esc. 1917</t>
  </si>
  <si>
    <t>Esc. 1918</t>
  </si>
  <si>
    <t>Esc. 1919</t>
  </si>
  <si>
    <t>Esc. 1920</t>
  </si>
  <si>
    <t>Esc. 1921</t>
  </si>
  <si>
    <t>Esc. 1922</t>
  </si>
  <si>
    <t>Esc. 1923</t>
  </si>
  <si>
    <t>Esc. 1924</t>
  </si>
  <si>
    <t>Esc. 1925</t>
  </si>
  <si>
    <t>Esc. 1926</t>
  </si>
  <si>
    <t>Esc. 1927</t>
  </si>
  <si>
    <t>Esc. 1928</t>
  </si>
  <si>
    <t>Esc. 1929</t>
  </si>
  <si>
    <t>Esc. 1930</t>
  </si>
  <si>
    <t>Esc. 1931</t>
  </si>
  <si>
    <t>Esc. 1932</t>
  </si>
  <si>
    <t>Esc. 1933</t>
  </si>
  <si>
    <t>Esc. 1934</t>
  </si>
  <si>
    <t>Esc. 1935</t>
  </si>
  <si>
    <t>Esc. 1936</t>
  </si>
  <si>
    <t>Esc. 1937</t>
  </si>
  <si>
    <t>Esc. 1938</t>
  </si>
  <si>
    <t>Esc. 1939</t>
  </si>
  <si>
    <t>Esc. 1940</t>
  </si>
  <si>
    <t>Esc. 1941</t>
  </si>
  <si>
    <t>Esc. 1942</t>
  </si>
  <si>
    <t>Esc. 1943</t>
  </si>
  <si>
    <t>Esc. 1944</t>
  </si>
  <si>
    <t>Esc. 1945</t>
  </si>
  <si>
    <t>Esc. 1946</t>
  </si>
  <si>
    <t>Esc. 1947</t>
  </si>
  <si>
    <t>Esc. 1948</t>
  </si>
  <si>
    <t>Esc. 1949</t>
  </si>
  <si>
    <t>Esc. 1950</t>
  </si>
  <si>
    <t>Esc. 1951</t>
  </si>
  <si>
    <t>Esc. 1952</t>
  </si>
  <si>
    <t>Esc. 1953</t>
  </si>
  <si>
    <t>Esc. 1954</t>
  </si>
  <si>
    <t>Esc. 1955</t>
  </si>
  <si>
    <t>Esc. 1956</t>
  </si>
  <si>
    <t>Esc. 1957</t>
  </si>
  <si>
    <t>Esc. 1958</t>
  </si>
  <si>
    <t>Esc. 1959</t>
  </si>
  <si>
    <t>Esc. 1960</t>
  </si>
  <si>
    <t>Esc. 1961</t>
  </si>
  <si>
    <t>Esc. 1962</t>
  </si>
  <si>
    <t>Esc. 1963</t>
  </si>
  <si>
    <t>Esc. 1964</t>
  </si>
  <si>
    <t>Esc. 1965</t>
  </si>
  <si>
    <t>Esc. 1966</t>
  </si>
  <si>
    <t>Esc. 1967</t>
  </si>
  <si>
    <t>Esc. 1968</t>
  </si>
  <si>
    <t>Esc. 1969</t>
  </si>
  <si>
    <t>Esc. 1970</t>
  </si>
  <si>
    <t>Esc. 1971</t>
  </si>
  <si>
    <t>Esc. 1972</t>
  </si>
  <si>
    <t>Esc. 1973</t>
  </si>
  <si>
    <t>Esc. 1974</t>
  </si>
  <si>
    <t>Esc. 1975</t>
  </si>
  <si>
    <t>Esc. 1976</t>
  </si>
  <si>
    <t>Esc. 1977</t>
  </si>
  <si>
    <t>Esc. 1978</t>
  </si>
  <si>
    <t>Esc. 1979</t>
  </si>
  <si>
    <t>Esc. 1980</t>
  </si>
  <si>
    <t>Esc. 1981</t>
  </si>
  <si>
    <t>Esc. 1982</t>
  </si>
  <si>
    <t>Esc. 1983</t>
  </si>
  <si>
    <t>Esc. 1984</t>
  </si>
  <si>
    <t>Esc. 1985</t>
  </si>
  <si>
    <t>Esc. 1986</t>
  </si>
  <si>
    <t>Esc. 1987</t>
  </si>
  <si>
    <t>Esc. 1988</t>
  </si>
  <si>
    <t>Esc. 1989</t>
  </si>
  <si>
    <t>Esc. 1990</t>
  </si>
  <si>
    <t>Esc. 1991</t>
  </si>
  <si>
    <t>Esc. 1992</t>
  </si>
  <si>
    <t>Esc. 1993</t>
  </si>
  <si>
    <t>Esc. 1994</t>
  </si>
  <si>
    <t>Esc. 1995</t>
  </si>
  <si>
    <t>Esc. 1996</t>
  </si>
  <si>
    <t>Esc. 1997</t>
  </si>
  <si>
    <t>Esc. 1998</t>
  </si>
  <si>
    <t>Esc. 1999</t>
  </si>
  <si>
    <t>Esc. 2000</t>
  </si>
  <si>
    <t>Esc. 2001</t>
  </si>
  <si>
    <t>Esc. 2002</t>
  </si>
  <si>
    <t>Esc. 2003</t>
  </si>
  <si>
    <t>Esc. 2004</t>
  </si>
  <si>
    <t>Esc. 2005</t>
  </si>
  <si>
    <t>Esc. 2006</t>
  </si>
  <si>
    <t>Esc. 2007</t>
  </si>
  <si>
    <t>Esc. 2008</t>
  </si>
  <si>
    <t>Esc. 2009</t>
  </si>
  <si>
    <t>Esc. 2010</t>
  </si>
  <si>
    <t>Esc. 2011</t>
  </si>
  <si>
    <t>Esc. 2012</t>
  </si>
  <si>
    <t>Esc. 2013</t>
  </si>
  <si>
    <t>Esc. 2014</t>
  </si>
  <si>
    <t>Esc. 2015</t>
  </si>
  <si>
    <t>Esc. 2016</t>
  </si>
  <si>
    <t>Esc. 2017</t>
  </si>
  <si>
    <t>Esc. 2018</t>
  </si>
  <si>
    <t>Esc. 2019</t>
  </si>
  <si>
    <t>Esc. 2020</t>
  </si>
  <si>
    <t>Esc. 2021</t>
  </si>
  <si>
    <t>Esc. 2022</t>
  </si>
  <si>
    <t>Esc. 2023</t>
  </si>
  <si>
    <t>Esc. 2024</t>
  </si>
  <si>
    <t>Esc. 2025</t>
  </si>
  <si>
    <t>Esc. 2026</t>
  </si>
  <si>
    <t>Esc. 2027</t>
  </si>
  <si>
    <t>Esc. 2028</t>
  </si>
  <si>
    <t>Esc. 2029</t>
  </si>
  <si>
    <t>Esc. 2030</t>
  </si>
  <si>
    <t>Esc. 2031</t>
  </si>
  <si>
    <t>Esc. 2032</t>
  </si>
  <si>
    <t>Esc. 2033</t>
  </si>
  <si>
    <t>Esc. 2034</t>
  </si>
  <si>
    <t>Esc. 2035</t>
  </si>
  <si>
    <t>Esc. 2036</t>
  </si>
  <si>
    <t>Esc. 2037</t>
  </si>
  <si>
    <t>Esc. 2038</t>
  </si>
  <si>
    <t>Esc. 2039</t>
  </si>
  <si>
    <t>Esc. 2040</t>
  </si>
  <si>
    <t>Esc. 2041</t>
  </si>
  <si>
    <t>Esc. 2042</t>
  </si>
  <si>
    <t>Esc. 2043</t>
  </si>
  <si>
    <t>Esc. 2044</t>
  </si>
  <si>
    <t>Esc. 2045</t>
  </si>
  <si>
    <t>Esc. 2046</t>
  </si>
  <si>
    <t>Esc. 2047</t>
  </si>
  <si>
    <t>Esc. 2048</t>
  </si>
  <si>
    <t>Esc. 2049</t>
  </si>
  <si>
    <t>Esc. 2050</t>
  </si>
  <si>
    <t>Esc. 2051</t>
  </si>
  <si>
    <t>Esc. 2052</t>
  </si>
  <si>
    <t>Esc. 2053</t>
  </si>
  <si>
    <t>Esc. 2054</t>
  </si>
  <si>
    <t>Esc. 2055</t>
  </si>
  <si>
    <t>Esc. 2056</t>
  </si>
  <si>
    <t>Esc. 2057</t>
  </si>
  <si>
    <t>Esc. 2058</t>
  </si>
  <si>
    <t>Esc. 2059</t>
  </si>
  <si>
    <t>Esc. 2060</t>
  </si>
  <si>
    <t>Esc. 2061</t>
  </si>
  <si>
    <t>Esc. 2062</t>
  </si>
  <si>
    <t>Esc. 2063</t>
  </si>
  <si>
    <t>Esc. 2064</t>
  </si>
  <si>
    <t>Esc. 2065</t>
  </si>
  <si>
    <t>Esc. 2066</t>
  </si>
  <si>
    <t>Esc. 2067</t>
  </si>
  <si>
    <t>Esc. 2068</t>
  </si>
  <si>
    <t>Esc. 2069</t>
  </si>
  <si>
    <t>Esc. 2070</t>
  </si>
  <si>
    <t>Esc. 2071</t>
  </si>
  <si>
    <t>Esc. 2072</t>
  </si>
  <si>
    <t>Esc. 2073</t>
  </si>
  <si>
    <t>Esc. 2074</t>
  </si>
  <si>
    <t>Esc. 2075</t>
  </si>
  <si>
    <t>Esc. 2076</t>
  </si>
  <si>
    <t>Esc. 2077</t>
  </si>
  <si>
    <t>Esc. 2078</t>
  </si>
  <si>
    <t>Esc. 2079</t>
  </si>
  <si>
    <t>Esc. 2080</t>
  </si>
  <si>
    <t>Esc. 2081</t>
  </si>
  <si>
    <t>Esc. 2082</t>
  </si>
  <si>
    <t>Esc. 2083</t>
  </si>
  <si>
    <t>Esc. 2084</t>
  </si>
  <si>
    <t>Esc. 2085</t>
  </si>
  <si>
    <t>Esc. 2086</t>
  </si>
  <si>
    <t>Esc. 2087</t>
  </si>
  <si>
    <t>Esc. 2088</t>
  </si>
  <si>
    <t>Esc. 2089</t>
  </si>
  <si>
    <t>Esc. 2090</t>
  </si>
  <si>
    <t>Esc. 2091</t>
  </si>
  <si>
    <t>Esc. 2092</t>
  </si>
  <si>
    <t>Esc. 2093</t>
  </si>
  <si>
    <t>Esc. 2094</t>
  </si>
  <si>
    <t>Esc. 2095</t>
  </si>
  <si>
    <t>Esc. 2096</t>
  </si>
  <si>
    <t>Esc. 2097</t>
  </si>
  <si>
    <t>Esc. 2098</t>
  </si>
  <si>
    <t>Esc. 2099</t>
  </si>
  <si>
    <t>Esc. 2100</t>
  </si>
  <si>
    <t>Esc. 2101</t>
  </si>
  <si>
    <t>Esc. 2102</t>
  </si>
  <si>
    <t>Esc. 2103</t>
  </si>
  <si>
    <t>Esc. 2104</t>
  </si>
  <si>
    <t>Esc. 2105</t>
  </si>
  <si>
    <t>Esc. 2106</t>
  </si>
  <si>
    <t>Esc. 2107</t>
  </si>
  <si>
    <t>Esc. 2108</t>
  </si>
  <si>
    <t>Esc. 2109</t>
  </si>
  <si>
    <t>Esc. 2110</t>
  </si>
  <si>
    <t>Esc. 2111</t>
  </si>
  <si>
    <t>Esc. 2112</t>
  </si>
  <si>
    <t>Esc. 2113</t>
  </si>
  <si>
    <t>Esc. 2114</t>
  </si>
  <si>
    <t>Esc. 2115</t>
  </si>
  <si>
    <t>Esc. 2116</t>
  </si>
  <si>
    <t>Esc. 2117</t>
  </si>
  <si>
    <t>Esc. 2118</t>
  </si>
  <si>
    <t>Esc. 2119</t>
  </si>
  <si>
    <t>Esc. 2120</t>
  </si>
  <si>
    <t>Esc. 2121</t>
  </si>
  <si>
    <t>Esc. 2122</t>
  </si>
  <si>
    <t>Esc. 2123</t>
  </si>
  <si>
    <t>Esc. 2124</t>
  </si>
  <si>
    <t>Esc. 2125</t>
  </si>
  <si>
    <t>Esc. 2126</t>
  </si>
  <si>
    <t>Esc. 2127</t>
  </si>
  <si>
    <t>Esc. 2128</t>
  </si>
  <si>
    <t>Esc. 2129</t>
  </si>
  <si>
    <t>Esc. 2130</t>
  </si>
  <si>
    <t>Esc. 2131</t>
  </si>
  <si>
    <t>Esc. 2132</t>
  </si>
  <si>
    <t>Esc. 2133</t>
  </si>
  <si>
    <t>Esc. 2134</t>
  </si>
  <si>
    <t>Esc. 2135</t>
  </si>
  <si>
    <t>Esc. 2136</t>
  </si>
  <si>
    <t>Esc. 2137</t>
  </si>
  <si>
    <t>Esc. 2138</t>
  </si>
  <si>
    <t>Esc. 2139</t>
  </si>
  <si>
    <t>Esc. 2140</t>
  </si>
  <si>
    <t>Esc. 2141</t>
  </si>
  <si>
    <t>Esc. 2142</t>
  </si>
  <si>
    <t>Esc. 2143</t>
  </si>
  <si>
    <t>Esc. 2144</t>
  </si>
  <si>
    <t>Esc. 2145</t>
  </si>
  <si>
    <t>Esc. 2146</t>
  </si>
  <si>
    <t>Esc. 2147</t>
  </si>
  <si>
    <t>Esc. 2148</t>
  </si>
  <si>
    <t>Esc. 2149</t>
  </si>
  <si>
    <t>Esc. 2150</t>
  </si>
  <si>
    <t>Esc. 2151</t>
  </si>
  <si>
    <t>Esc. 2152</t>
  </si>
  <si>
    <t>Esc. 2153</t>
  </si>
  <si>
    <t>Esc. 2154</t>
  </si>
  <si>
    <t>Esc. 2155</t>
  </si>
  <si>
    <t>Esc. 2156</t>
  </si>
  <si>
    <t>Esc. 2157</t>
  </si>
  <si>
    <t>Esc. 2158</t>
  </si>
  <si>
    <t>Esc. 2159</t>
  </si>
  <si>
    <t>Esc. 2160</t>
  </si>
  <si>
    <t>Esc. 2161</t>
  </si>
  <si>
    <t>Esc. 2162</t>
  </si>
  <si>
    <t>Esc. 2163</t>
  </si>
  <si>
    <t>Esc. 2164</t>
  </si>
  <si>
    <t>Esc. 2165</t>
  </si>
  <si>
    <t>Esc. 2166</t>
  </si>
  <si>
    <t>Esc. 2167</t>
  </si>
  <si>
    <t>Esc. 2168</t>
  </si>
  <si>
    <t>Esc. 2169</t>
  </si>
  <si>
    <t>Esc. 2170</t>
  </si>
  <si>
    <t>Esc. 2171</t>
  </si>
  <si>
    <t>Esc. 2172</t>
  </si>
  <si>
    <t>Esc. 2173</t>
  </si>
  <si>
    <t>Esc. 2174</t>
  </si>
  <si>
    <t>Esc. 2175</t>
  </si>
  <si>
    <t>Esc. 2176</t>
  </si>
  <si>
    <t>Esc. 2177</t>
  </si>
  <si>
    <t>Esc. 2178</t>
  </si>
  <si>
    <t>Esc. 2179</t>
  </si>
  <si>
    <t>Esc. 2180</t>
  </si>
  <si>
    <t>Esc. 2181</t>
  </si>
  <si>
    <t>Esc. 2182</t>
  </si>
  <si>
    <t>Esc. 2183</t>
  </si>
  <si>
    <t>Esc. 2184</t>
  </si>
  <si>
    <t>Esc. 2185</t>
  </si>
  <si>
    <t>Esc. 2186</t>
  </si>
  <si>
    <t>Esc. 2187</t>
  </si>
  <si>
    <t>Esc. 2188</t>
  </si>
  <si>
    <t>Esc. 2189</t>
  </si>
  <si>
    <t>Esc. 2190</t>
  </si>
  <si>
    <t>Esc. 2191</t>
  </si>
  <si>
    <t>Esc. 2192</t>
  </si>
  <si>
    <t>Esc. 2193</t>
  </si>
  <si>
    <t>Esc. 2194</t>
  </si>
  <si>
    <t>Esc. 2195</t>
  </si>
  <si>
    <t>Esc. 2196</t>
  </si>
  <si>
    <t>Esc. 2197</t>
  </si>
  <si>
    <t>Esc. 2198</t>
  </si>
  <si>
    <t>Esc. 2199</t>
  </si>
  <si>
    <t>Esc. 2200</t>
  </si>
  <si>
    <t>Esc. 2201</t>
  </si>
  <si>
    <t>Esc. 2202</t>
  </si>
  <si>
    <t>Esc. 2203</t>
  </si>
  <si>
    <t>Esc. 2204</t>
  </si>
  <si>
    <t>Esc. 2205</t>
  </si>
  <si>
    <t>Esc. 2206</t>
  </si>
  <si>
    <t>Esc. 2207</t>
  </si>
  <si>
    <t>Esc. 2208</t>
  </si>
  <si>
    <t>Esc. 2209</t>
  </si>
  <si>
    <t>Esc. 2210</t>
  </si>
  <si>
    <t>Esc. 2211</t>
  </si>
  <si>
    <t>Esc. 2212</t>
  </si>
  <si>
    <t>Esc. 2213</t>
  </si>
  <si>
    <t>Esc. 2214</t>
  </si>
  <si>
    <t>Esc. 2215</t>
  </si>
  <si>
    <t>Esc. 2216</t>
  </si>
  <si>
    <t>Esc. 2217</t>
  </si>
  <si>
    <t>Esc. 2218</t>
  </si>
  <si>
    <t>Esc. 2219</t>
  </si>
  <si>
    <t>Esc. 2220</t>
  </si>
  <si>
    <t>Esc. 2221</t>
  </si>
  <si>
    <t>Esc. 2222</t>
  </si>
  <si>
    <t>Esc. 2223</t>
  </si>
  <si>
    <t>Esc. 2224</t>
  </si>
  <si>
    <t>Esc. 2225</t>
  </si>
  <si>
    <t>Esc. 2226</t>
  </si>
  <si>
    <t>Esc. 2227</t>
  </si>
  <si>
    <t>Esc. 2228</t>
  </si>
  <si>
    <t>Esc. 2229</t>
  </si>
  <si>
    <t>Esc. 2230</t>
  </si>
  <si>
    <t>Esc. 2231</t>
  </si>
  <si>
    <t>Esc. 2232</t>
  </si>
  <si>
    <t>Esc. 2233</t>
  </si>
  <si>
    <t>Esc. 2234</t>
  </si>
  <si>
    <t>Esc. 2235</t>
  </si>
  <si>
    <t>Esc. 2236</t>
  </si>
  <si>
    <t>Esc. 2237</t>
  </si>
  <si>
    <t>Esc. 2238</t>
  </si>
  <si>
    <t>Esc. 2239</t>
  </si>
  <si>
    <t>Esc. 2240</t>
  </si>
  <si>
    <t>Esc. 2241</t>
  </si>
  <si>
    <t>Esc. 2242</t>
  </si>
  <si>
    <t>Esc. 2243</t>
  </si>
  <si>
    <t>Esc. 2244</t>
  </si>
  <si>
    <t>Esc. 2245</t>
  </si>
  <si>
    <t>Esc. 2246</t>
  </si>
  <si>
    <t>Esc. 2247</t>
  </si>
  <si>
    <t>Esc. 2248</t>
  </si>
  <si>
    <t>Esc. 2249</t>
  </si>
  <si>
    <t>Esc. 2250</t>
  </si>
  <si>
    <t>Esc. 2251</t>
  </si>
  <si>
    <t>Esc. 2252</t>
  </si>
  <si>
    <t>Esc. 2253</t>
  </si>
  <si>
    <t>Esc. 2254</t>
  </si>
  <si>
    <t>Esc. 2255</t>
  </si>
  <si>
    <t>Esc. 2256</t>
  </si>
  <si>
    <t>Esc. 2257</t>
  </si>
  <si>
    <t>Esc. 2258</t>
  </si>
  <si>
    <t>Esc. 2259</t>
  </si>
  <si>
    <t>Esc. 2260</t>
  </si>
  <si>
    <t>Esc. 2261</t>
  </si>
  <si>
    <t>Esc. 2262</t>
  </si>
  <si>
    <t>Esc. 2263</t>
  </si>
  <si>
    <t>Esc. 2264</t>
  </si>
  <si>
    <t>Esc. 2265</t>
  </si>
  <si>
    <t>Esc. 2266</t>
  </si>
  <si>
    <t>Esc. 2267</t>
  </si>
  <si>
    <t>Esc. 2268</t>
  </si>
  <si>
    <t>Esc. 2269</t>
  </si>
  <si>
    <t>Esc. 2270</t>
  </si>
  <si>
    <t>Esc. 2271</t>
  </si>
  <si>
    <t>Esc. 2272</t>
  </si>
  <si>
    <t>Esc. 2273</t>
  </si>
  <si>
    <t>Esc. 2274</t>
  </si>
  <si>
    <t>Esc. 2275</t>
  </si>
  <si>
    <t>Esc. 2276</t>
  </si>
  <si>
    <t>Esc. 2277</t>
  </si>
  <si>
    <t>Esc. 2278</t>
  </si>
  <si>
    <t>Esc. 2279</t>
  </si>
  <si>
    <t>Esc. 2280</t>
  </si>
  <si>
    <t>Esc. 2281</t>
  </si>
  <si>
    <t>Esc. 2282</t>
  </si>
  <si>
    <t>Esc. 2283</t>
  </si>
  <si>
    <t>Esc. 2284</t>
  </si>
  <si>
    <t>Esc. 2285</t>
  </si>
  <si>
    <t>Esc. 2286</t>
  </si>
  <si>
    <t>Esc. 2287</t>
  </si>
  <si>
    <t>Esc. 2288</t>
  </si>
  <si>
    <t>Esc. 2289</t>
  </si>
  <si>
    <t>Esc. 2290</t>
  </si>
  <si>
    <t>Esc. 2291</t>
  </si>
  <si>
    <t>Esc. 2292</t>
  </si>
  <si>
    <t>Esc. 2293</t>
  </si>
  <si>
    <t>Esc. 2294</t>
  </si>
  <si>
    <t>Esc. 2295</t>
  </si>
  <si>
    <t>Esc. 2296</t>
  </si>
  <si>
    <t>Esc. 2297</t>
  </si>
  <si>
    <t>Esc. 2298</t>
  </si>
  <si>
    <t>Esc. 2299</t>
  </si>
  <si>
    <t>Esc. 2300</t>
  </si>
  <si>
    <t>Esc. 2301</t>
  </si>
  <si>
    <t>Esc. 2302</t>
  </si>
  <si>
    <t>Esc. 2303</t>
  </si>
  <si>
    <t>Esc. 2304</t>
  </si>
  <si>
    <t>Esc. 2305</t>
  </si>
  <si>
    <t>Esc. 2306</t>
  </si>
  <si>
    <t>Esc. 2307</t>
  </si>
  <si>
    <t>Esc. 2308</t>
  </si>
  <si>
    <t>Esc. 2309</t>
  </si>
  <si>
    <t>Esc. 2310</t>
  </si>
  <si>
    <t>Esc. 2311</t>
  </si>
  <si>
    <t>Esc. 2312</t>
  </si>
  <si>
    <t>Esc. 2313</t>
  </si>
  <si>
    <t>Esc. 2314</t>
  </si>
  <si>
    <t>Esc. 2315</t>
  </si>
  <si>
    <t>Esc. 2316</t>
  </si>
  <si>
    <t>Esc. 2317</t>
  </si>
  <si>
    <t>Esc. 2318</t>
  </si>
  <si>
    <t>Esc. 2319</t>
  </si>
  <si>
    <t>Esc. 2320</t>
  </si>
  <si>
    <t>Esc. 2321</t>
  </si>
  <si>
    <t>Esc. 2322</t>
  </si>
  <si>
    <t>Esc. 2323</t>
  </si>
  <si>
    <t>Esc. 2324</t>
  </si>
  <si>
    <t>Esc. 2325</t>
  </si>
  <si>
    <t>Esc. 2326</t>
  </si>
  <si>
    <t>Esc. 2327</t>
  </si>
  <si>
    <t>Esc. 2328</t>
  </si>
  <si>
    <t>Esc. 2329</t>
  </si>
  <si>
    <t>Esc. 2330</t>
  </si>
  <si>
    <t>Esc. 2331</t>
  </si>
  <si>
    <t>Esc. 2332</t>
  </si>
  <si>
    <t>Esc. 2333</t>
  </si>
  <si>
    <t>Esc. 2334</t>
  </si>
  <si>
    <t>Esc. 2335</t>
  </si>
  <si>
    <t>Esc. 2336</t>
  </si>
  <si>
    <t>Esc. 2337</t>
  </si>
  <si>
    <t>Esc. 2338</t>
  </si>
  <si>
    <t>Esc. 2339</t>
  </si>
  <si>
    <t>Esc. 2340</t>
  </si>
  <si>
    <t>Esc. 2341</t>
  </si>
  <si>
    <t>Esc. 2342</t>
  </si>
  <si>
    <t>Esc. 2343</t>
  </si>
  <si>
    <t>Esc. 2344</t>
  </si>
  <si>
    <t>Esc. 2345</t>
  </si>
  <si>
    <t>Esc. 2346</t>
  </si>
  <si>
    <t>Esc. 2347</t>
  </si>
  <si>
    <t>Esc. 2348</t>
  </si>
  <si>
    <t>Esc. 2349</t>
  </si>
  <si>
    <t>Esc. 2350</t>
  </si>
  <si>
    <t>Esc. 2351</t>
  </si>
  <si>
    <t>Esc. 2352</t>
  </si>
  <si>
    <t>Esc. 2353</t>
  </si>
  <si>
    <t>Esc. 2354</t>
  </si>
  <si>
    <t>Esc. 2355</t>
  </si>
  <si>
    <t>Esc. 2356</t>
  </si>
  <si>
    <t>Esc. 2357</t>
  </si>
  <si>
    <t>Esc. 2358</t>
  </si>
  <si>
    <t>Esc. 2359</t>
  </si>
  <si>
    <t>Esc. 2360</t>
  </si>
  <si>
    <t>Esc. 2361</t>
  </si>
  <si>
    <t>Esc. 2362</t>
  </si>
  <si>
    <t>Esc. 2363</t>
  </si>
  <si>
    <t>Esc. 2364</t>
  </si>
  <si>
    <t>Esc. 2365</t>
  </si>
  <si>
    <t>Esc. 2366</t>
  </si>
  <si>
    <t>Esc. 2367</t>
  </si>
  <si>
    <t>Esc. 2368</t>
  </si>
  <si>
    <t>Esc. 2369</t>
  </si>
  <si>
    <t>Esc. 2370</t>
  </si>
  <si>
    <t>Esc. 2371</t>
  </si>
  <si>
    <t>Esc. 2372</t>
  </si>
  <si>
    <t>Esc. 2373</t>
  </si>
  <si>
    <t>Esc. 2374</t>
  </si>
  <si>
    <t>Esc. 2375</t>
  </si>
  <si>
    <t>Esc. 2376</t>
  </si>
  <si>
    <t>Esc. 2377</t>
  </si>
  <si>
    <t>Esc. 2378</t>
  </si>
  <si>
    <t>Esc. 2379</t>
  </si>
  <si>
    <t>Esc. 2380</t>
  </si>
  <si>
    <t>Esc. 2381</t>
  </si>
  <si>
    <t>Esc. 2382</t>
  </si>
  <si>
    <t>Esc. 2383</t>
  </si>
  <si>
    <t>Esc. 2384</t>
  </si>
  <si>
    <t>Esc. 2385</t>
  </si>
  <si>
    <t>Esc. 2386</t>
  </si>
  <si>
    <t>Esc. 2387</t>
  </si>
  <si>
    <t>Esc. 2388</t>
  </si>
  <si>
    <t>Esc. 2389</t>
  </si>
  <si>
    <t>Esc. 2390</t>
  </si>
  <si>
    <t>Esc. 2391</t>
  </si>
  <si>
    <t>Esc. 2392</t>
  </si>
  <si>
    <t>Esc. 2393</t>
  </si>
  <si>
    <t>Esc. 2394</t>
  </si>
  <si>
    <t>Esc. 2395</t>
  </si>
  <si>
    <t>Esc. 2396</t>
  </si>
  <si>
    <t>Esc. 2397</t>
  </si>
  <si>
    <t>Esc. 2398</t>
  </si>
  <si>
    <t>Esc. 2399</t>
  </si>
  <si>
    <t>Esc. 2400</t>
  </si>
  <si>
    <t>Esc. 2401</t>
  </si>
  <si>
    <t>Esc. 2402</t>
  </si>
  <si>
    <t>Esc. 2403</t>
  </si>
  <si>
    <t>Esc. 2404</t>
  </si>
  <si>
    <t>Esc. 2405</t>
  </si>
  <si>
    <t>Esc. 2406</t>
  </si>
  <si>
    <t>Esc. 2407</t>
  </si>
  <si>
    <t>Esc. 2408</t>
  </si>
  <si>
    <t>Esc. 2409</t>
  </si>
  <si>
    <t>Esc. 2410</t>
  </si>
  <si>
    <t>Esc. 2411</t>
  </si>
  <si>
    <t>Esc. 2412</t>
  </si>
  <si>
    <t>Esc. 2413</t>
  </si>
  <si>
    <t>Esc. 2414</t>
  </si>
  <si>
    <t>Esc. 2415</t>
  </si>
  <si>
    <t>Esc. 2416</t>
  </si>
  <si>
    <t>Esc. 2417</t>
  </si>
  <si>
    <t>Esc. 2418</t>
  </si>
  <si>
    <t>Esc. 2419</t>
  </si>
  <si>
    <t>Esc. 2420</t>
  </si>
  <si>
    <t>Esc. 2421</t>
  </si>
  <si>
    <t>Esc. 2422</t>
  </si>
  <si>
    <t>Esc. 2423</t>
  </si>
  <si>
    <t>Esc. 2424</t>
  </si>
  <si>
    <t>Esc. 2425</t>
  </si>
  <si>
    <t>Esc. 2426</t>
  </si>
  <si>
    <t>Esc. 2427</t>
  </si>
  <si>
    <t>Esc. 2428</t>
  </si>
  <si>
    <t>Esc. 2429</t>
  </si>
  <si>
    <t>Esc. 2430</t>
  </si>
  <si>
    <t>Esc. 2431</t>
  </si>
  <si>
    <t>Esc. 2432</t>
  </si>
  <si>
    <t>Esc. 2433</t>
  </si>
  <si>
    <t>Esc. 2434</t>
  </si>
  <si>
    <t>Esc. 2435</t>
  </si>
  <si>
    <t>Esc. 2436</t>
  </si>
  <si>
    <t>Esc. 2437</t>
  </si>
  <si>
    <t>Esc. 2438</t>
  </si>
  <si>
    <t>Esc. 2439</t>
  </si>
  <si>
    <t>Esc. 2440</t>
  </si>
  <si>
    <t>Esc. 2441</t>
  </si>
  <si>
    <t>Esc. 2442</t>
  </si>
  <si>
    <t>Esc. 2443</t>
  </si>
  <si>
    <t>Esc. 2444</t>
  </si>
  <si>
    <t>Esc. 2445</t>
  </si>
  <si>
    <t>Esc. 2446</t>
  </si>
  <si>
    <t>Esc. 2447</t>
  </si>
  <si>
    <t>Esc. 2448</t>
  </si>
  <si>
    <t>Esc. 2449</t>
  </si>
  <si>
    <t>Esc. 2450</t>
  </si>
  <si>
    <t>Esc. 2451</t>
  </si>
  <si>
    <t>Esc. 2452</t>
  </si>
  <si>
    <t>Esc. 2453</t>
  </si>
  <si>
    <t>Esc. 2454</t>
  </si>
  <si>
    <t>Esc. 2455</t>
  </si>
  <si>
    <t>Esc. 2456</t>
  </si>
  <si>
    <t>Esc. 2457</t>
  </si>
  <si>
    <t>Esc. 2458</t>
  </si>
  <si>
    <t>Esc. 2459</t>
  </si>
  <si>
    <t>Esc. 2460</t>
  </si>
  <si>
    <t>Esc. 2461</t>
  </si>
  <si>
    <t>Esc. 2462</t>
  </si>
  <si>
    <t>Esc. 2463</t>
  </si>
  <si>
    <t>Esc. 2464</t>
  </si>
  <si>
    <t>Esc. 2465</t>
  </si>
  <si>
    <t>Esc. 2466</t>
  </si>
  <si>
    <t>Esc. 2467</t>
  </si>
  <si>
    <t>Esc. 2468</t>
  </si>
  <si>
    <t>Esc. 2469</t>
  </si>
  <si>
    <t>Esc. 2470</t>
  </si>
  <si>
    <t>Esc. 2471</t>
  </si>
  <si>
    <t>Esc. 2472</t>
  </si>
  <si>
    <t>Esc. 2473</t>
  </si>
  <si>
    <t>Esc. 2474</t>
  </si>
  <si>
    <t>Esc. 2475</t>
  </si>
  <si>
    <t>Esc. 2476</t>
  </si>
  <si>
    <t>Esc. 2477</t>
  </si>
  <si>
    <t>Esc. 2478</t>
  </si>
  <si>
    <t>Esc. 2479</t>
  </si>
  <si>
    <t>Esc. 2480</t>
  </si>
  <si>
    <t>Esc. 2481</t>
  </si>
  <si>
    <t>Esc. 2482</t>
  </si>
  <si>
    <t>Esc. 2483</t>
  </si>
  <si>
    <t>Esc. 2484</t>
  </si>
  <si>
    <t>Esc. 2485</t>
  </si>
  <si>
    <t>Esc. 2486</t>
  </si>
  <si>
    <t>Esc. 2487</t>
  </si>
  <si>
    <t>Esc. 2488</t>
  </si>
  <si>
    <t>Esc. 2489</t>
  </si>
  <si>
    <t>Esc. 2490</t>
  </si>
  <si>
    <t>Esc. 2491</t>
  </si>
  <si>
    <t>Esc. 2492</t>
  </si>
  <si>
    <t>Esc. 2493</t>
  </si>
  <si>
    <t>Esc. 2494</t>
  </si>
  <si>
    <t>Esc. 2495</t>
  </si>
  <si>
    <t>Esc. 2496</t>
  </si>
  <si>
    <t>Esc. 2497</t>
  </si>
  <si>
    <t>Esc. 2498</t>
  </si>
  <si>
    <t>Esc. 2499</t>
  </si>
  <si>
    <t>Esc. 2500</t>
  </si>
  <si>
    <t>Esc. 2501</t>
  </si>
  <si>
    <t>Esc. 2502</t>
  </si>
  <si>
    <t>Esc. 2503</t>
  </si>
  <si>
    <t>Esc. 2504</t>
  </si>
  <si>
    <t>Esc. 2505</t>
  </si>
  <si>
    <t>Esc. 2506</t>
  </si>
  <si>
    <t>Esc. 2507</t>
  </si>
  <si>
    <t>Esc. 2508</t>
  </si>
  <si>
    <t>Esc. 2509</t>
  </si>
  <si>
    <t>Esc. 2510</t>
  </si>
  <si>
    <t>Esc. 2511</t>
  </si>
  <si>
    <t>Esc. 2512</t>
  </si>
  <si>
    <t>Esc. 2513</t>
  </si>
  <si>
    <t>Esc. 2514</t>
  </si>
  <si>
    <t>Esc. 2515</t>
  </si>
  <si>
    <t>Esc. 2516</t>
  </si>
  <si>
    <t>Esc. 2517</t>
  </si>
  <si>
    <t>Esc. 2518</t>
  </si>
  <si>
    <t>Esc. 2519</t>
  </si>
  <si>
    <t>Esc. 2520</t>
  </si>
  <si>
    <t>Esc. 2521</t>
  </si>
  <si>
    <t>Esc. 2522</t>
  </si>
  <si>
    <t>Esc. 2523</t>
  </si>
  <si>
    <t>Esc. 2524</t>
  </si>
  <si>
    <t>Esc. 2525</t>
  </si>
  <si>
    <t>Esc. 2526</t>
  </si>
  <si>
    <t>Esc. 2527</t>
  </si>
  <si>
    <t>Esc. 2528</t>
  </si>
  <si>
    <t>Esc. 2529</t>
  </si>
  <si>
    <t>Esc. 2530</t>
  </si>
  <si>
    <t>Esc. 2531</t>
  </si>
  <si>
    <t>Esc. 2532</t>
  </si>
  <si>
    <t>Esc. 2533</t>
  </si>
  <si>
    <t>Esc. 2534</t>
  </si>
  <si>
    <t>Esc. 2535</t>
  </si>
  <si>
    <t>Esc. 2536</t>
  </si>
  <si>
    <t>Esc. 2537</t>
  </si>
  <si>
    <t>Esc. 2538</t>
  </si>
  <si>
    <t>Esc. 2539</t>
  </si>
  <si>
    <t>Esc. 2540</t>
  </si>
  <si>
    <t>Esc. 2541</t>
  </si>
  <si>
    <t>Esc. 2542</t>
  </si>
  <si>
    <t>Esc. 2543</t>
  </si>
  <si>
    <t>Esc. 2544</t>
  </si>
  <si>
    <t>Esc. 2545</t>
  </si>
  <si>
    <t>Esc. 2546</t>
  </si>
  <si>
    <t>Esc. 2547</t>
  </si>
  <si>
    <t>Esc. 2548</t>
  </si>
  <si>
    <t>Esc. 2549</t>
  </si>
  <si>
    <t>Esc. 2550</t>
  </si>
  <si>
    <t>Esc. 2551</t>
  </si>
  <si>
    <t>Esc. 2552</t>
  </si>
  <si>
    <t>Esc. 2553</t>
  </si>
  <si>
    <t>Esc. 2554</t>
  </si>
  <si>
    <t>Esc. 2555</t>
  </si>
  <si>
    <t>Esc. 2556</t>
  </si>
  <si>
    <t>Esc. 2557</t>
  </si>
  <si>
    <t>Esc. 2558</t>
  </si>
  <si>
    <t>Esc. 2559</t>
  </si>
  <si>
    <t>Esc. 2560</t>
  </si>
  <si>
    <t>Esc. 2561</t>
  </si>
  <si>
    <t>Esc. 2562</t>
  </si>
  <si>
    <t>Esc. 2563</t>
  </si>
  <si>
    <t>Esc. 2564</t>
  </si>
  <si>
    <t>Esc. 2565</t>
  </si>
  <si>
    <t>Esc. 2566</t>
  </si>
  <si>
    <t>Esc. 2567</t>
  </si>
  <si>
    <t>Esc. 2568</t>
  </si>
  <si>
    <t>Esc. 2569</t>
  </si>
  <si>
    <t>Esc. 2570</t>
  </si>
  <si>
    <t>Esc. 2571</t>
  </si>
  <si>
    <t>Esc. 2572</t>
  </si>
  <si>
    <t>Esc. 2573</t>
  </si>
  <si>
    <t>Esc. 2574</t>
  </si>
  <si>
    <t>Esc. 2575</t>
  </si>
  <si>
    <t>Esc. 2576</t>
  </si>
  <si>
    <t>Esc. 2577</t>
  </si>
  <si>
    <t>Esc. 2578</t>
  </si>
  <si>
    <t>Esc. 2579</t>
  </si>
  <si>
    <t>Esc. 2580</t>
  </si>
  <si>
    <t>Esc. 2581</t>
  </si>
  <si>
    <t>Esc. 2582</t>
  </si>
  <si>
    <t>Esc. 2583</t>
  </si>
  <si>
    <t>Esc. 2584</t>
  </si>
  <si>
    <t>Esc. 2585</t>
  </si>
  <si>
    <t>Esc. 2586</t>
  </si>
  <si>
    <t>Esc. 2587</t>
  </si>
  <si>
    <t>Esc. 2588</t>
  </si>
  <si>
    <t>Esc. 2589</t>
  </si>
  <si>
    <t>Esc. 2590</t>
  </si>
  <si>
    <t>Esc. 2591</t>
  </si>
  <si>
    <t>Esc. 2592</t>
  </si>
  <si>
    <t>Esc. 2593</t>
  </si>
  <si>
    <t>Esc. 2594</t>
  </si>
  <si>
    <t>Esc. 2595</t>
  </si>
  <si>
    <t>Esc. 2596</t>
  </si>
  <si>
    <t>Esc. 2597</t>
  </si>
  <si>
    <t>Esc. 2598</t>
  </si>
  <si>
    <t>Esc. 2599</t>
  </si>
  <si>
    <t>Esc. 2600</t>
  </si>
  <si>
    <t>Esc. 2601</t>
  </si>
  <si>
    <t>Esc. 2602</t>
  </si>
  <si>
    <t>Esc. 2603</t>
  </si>
  <si>
    <t>Esc. 2604</t>
  </si>
  <si>
    <t>Esc. 2605</t>
  </si>
  <si>
    <t>Esc. 2606</t>
  </si>
  <si>
    <t>Esc. 2607</t>
  </si>
  <si>
    <t>Esc. 2608</t>
  </si>
  <si>
    <t>Esc. 2609</t>
  </si>
  <si>
    <t>Esc. 2610</t>
  </si>
  <si>
    <t>Esc. 2611</t>
  </si>
  <si>
    <t>Esc. 2612</t>
  </si>
  <si>
    <t>Esc. 2613</t>
  </si>
  <si>
    <t>Esc. 2614</t>
  </si>
  <si>
    <t>Esc. 2615</t>
  </si>
  <si>
    <t>Esc. 2616</t>
  </si>
  <si>
    <t>Esc. 2617</t>
  </si>
  <si>
    <t>Esc. 2618</t>
  </si>
  <si>
    <t>Esc. 2619</t>
  </si>
  <si>
    <t>Esc. 2620</t>
  </si>
  <si>
    <t>Esc. 2621</t>
  </si>
  <si>
    <t>Esc. 2622</t>
  </si>
  <si>
    <t>Esc. 2623</t>
  </si>
  <si>
    <t>Esc. 2624</t>
  </si>
  <si>
    <t>Esc. 2625</t>
  </si>
  <si>
    <t>Esc. 2626</t>
  </si>
  <si>
    <t>Esc. 2627</t>
  </si>
  <si>
    <t>Esc. 2628</t>
  </si>
  <si>
    <t>Esc. 2629</t>
  </si>
  <si>
    <t>Esc. 2630</t>
  </si>
  <si>
    <t>Esc. 2631</t>
  </si>
  <si>
    <t>Esc. 2632</t>
  </si>
  <si>
    <t>Esc. 2633</t>
  </si>
  <si>
    <t>Esc. 2634</t>
  </si>
  <si>
    <t>Esc. 2635</t>
  </si>
  <si>
    <t>Esc. 2636</t>
  </si>
  <si>
    <t>Esc. 2637</t>
  </si>
  <si>
    <t>Esc. 2638</t>
  </si>
  <si>
    <t>Esc. 2639</t>
  </si>
  <si>
    <t>Esc. 2640</t>
  </si>
  <si>
    <t>Esc. 2641</t>
  </si>
  <si>
    <t>Esc. 2642</t>
  </si>
  <si>
    <t>Esc. 2643</t>
  </si>
  <si>
    <t>Esc. 2644</t>
  </si>
  <si>
    <t>Esc. 2645</t>
  </si>
  <si>
    <t>Esc. 2646</t>
  </si>
  <si>
    <t>Esc. 2647</t>
  </si>
  <si>
    <t>Esc. 2648</t>
  </si>
  <si>
    <t>Esc. 2649</t>
  </si>
  <si>
    <t>Esc. 2650</t>
  </si>
  <si>
    <t>Esc. 2651</t>
  </si>
  <si>
    <t>Esc. 2652</t>
  </si>
  <si>
    <t>Esc. 2653</t>
  </si>
  <si>
    <t>Esc. 2654</t>
  </si>
  <si>
    <t>Esc. 2655</t>
  </si>
  <si>
    <t>Esc. 2656</t>
  </si>
  <si>
    <t>Esc. 2657</t>
  </si>
  <si>
    <t>Esc. 2658</t>
  </si>
  <si>
    <t>Esc. 2659</t>
  </si>
  <si>
    <t>Esc. 2660</t>
  </si>
  <si>
    <t>Esc. 2661</t>
  </si>
  <si>
    <t>Esc. 2662</t>
  </si>
  <si>
    <t>Esc. 2663</t>
  </si>
  <si>
    <t>Esc. 2664</t>
  </si>
  <si>
    <t>Esc. 2665</t>
  </si>
  <si>
    <t>Esc. 2666</t>
  </si>
  <si>
    <t>Esc. 2667</t>
  </si>
  <si>
    <t>Esc. 2668</t>
  </si>
  <si>
    <t>Esc. 2669</t>
  </si>
  <si>
    <t>Esc. 2670</t>
  </si>
  <si>
    <t>Esc. 2671</t>
  </si>
  <si>
    <t>Esc. 2672</t>
  </si>
  <si>
    <t>Esc. 2673</t>
  </si>
  <si>
    <t>Esc. 2674</t>
  </si>
  <si>
    <t>Esc. 2675</t>
  </si>
  <si>
    <t>Esc. 2676</t>
  </si>
  <si>
    <t>Esc. 2677</t>
  </si>
  <si>
    <t>Esc. 2678</t>
  </si>
  <si>
    <t>Esc. 2679</t>
  </si>
  <si>
    <t>Esc. 2680</t>
  </si>
  <si>
    <t>Esc. 2681</t>
  </si>
  <si>
    <t>Esc. 2682</t>
  </si>
  <si>
    <t>Esc. 2683</t>
  </si>
  <si>
    <t>Esc. 2684</t>
  </si>
  <si>
    <t>Esc. 2685</t>
  </si>
  <si>
    <t>Esc. 2686</t>
  </si>
  <si>
    <t>Esc. 2687</t>
  </si>
  <si>
    <t>Esc. 2688</t>
  </si>
  <si>
    <t>Esc. 2689</t>
  </si>
  <si>
    <t>Esc. 2690</t>
  </si>
  <si>
    <t>Esc. 2691</t>
  </si>
  <si>
    <t>Esc. 2692</t>
  </si>
  <si>
    <t>Esc. 2693</t>
  </si>
  <si>
    <t>Esc. 2694</t>
  </si>
  <si>
    <t>Esc. 2695</t>
  </si>
  <si>
    <t>Esc. 2696</t>
  </si>
  <si>
    <t>Esc. 2697</t>
  </si>
  <si>
    <t>Esc. 2698</t>
  </si>
  <si>
    <t>Esc. 2699</t>
  </si>
  <si>
    <t>Esc. 2700</t>
  </si>
  <si>
    <t>Esc. 2701</t>
  </si>
  <si>
    <t>Esc. 2702</t>
  </si>
  <si>
    <t>Esc. 2703</t>
  </si>
  <si>
    <t>Esc. 2704</t>
  </si>
  <si>
    <t>Esc. 2705</t>
  </si>
  <si>
    <t>Esc. 2706</t>
  </si>
  <si>
    <t>Esc. 2707</t>
  </si>
  <si>
    <t>Esc. 2708</t>
  </si>
  <si>
    <t>Esc. 2709</t>
  </si>
  <si>
    <t>Esc. 2710</t>
  </si>
  <si>
    <t>Esc. 2711</t>
  </si>
  <si>
    <t>Esc. 2712</t>
  </si>
  <si>
    <t>Esc. 2713</t>
  </si>
  <si>
    <t>Esc. 2714</t>
  </si>
  <si>
    <t>Esc. 2715</t>
  </si>
  <si>
    <t>Esc. 2716</t>
  </si>
  <si>
    <t>Esc. 2717</t>
  </si>
  <si>
    <t>Esc. 2718</t>
  </si>
  <si>
    <t>Esc. 2719</t>
  </si>
  <si>
    <t>Esc. 2720</t>
  </si>
  <si>
    <t>Esc. 2721</t>
  </si>
  <si>
    <t>Esc. 2722</t>
  </si>
  <si>
    <t>Esc. 2723</t>
  </si>
  <si>
    <t>Esc. 2724</t>
  </si>
  <si>
    <t>Esc. 2725</t>
  </si>
  <si>
    <t>Esc. 2726</t>
  </si>
  <si>
    <t>Esc. 2727</t>
  </si>
  <si>
    <t>Esc. 2728</t>
  </si>
  <si>
    <t>Esc. 2729</t>
  </si>
  <si>
    <t>Esc. 2730</t>
  </si>
  <si>
    <t>Esc. 2731</t>
  </si>
  <si>
    <t>Esc. 2732</t>
  </si>
  <si>
    <t>Esc. 2733</t>
  </si>
  <si>
    <t>Esc. 2734</t>
  </si>
  <si>
    <t>Esc. 2735</t>
  </si>
  <si>
    <t>Esc. 2736</t>
  </si>
  <si>
    <t>Esc. 2737</t>
  </si>
  <si>
    <t>Esc. 2738</t>
  </si>
  <si>
    <t>Esc. 2739</t>
  </si>
  <si>
    <t>Esc. 2740</t>
  </si>
  <si>
    <t>Esc. 2741</t>
  </si>
  <si>
    <t>Esc. 2742</t>
  </si>
  <si>
    <t>Esc. 2743</t>
  </si>
  <si>
    <t>Esc. 2744</t>
  </si>
  <si>
    <t>Esc. 2745</t>
  </si>
  <si>
    <t>Esc. 2746</t>
  </si>
  <si>
    <t>Esc. 2747</t>
  </si>
  <si>
    <t>Esc. 2748</t>
  </si>
  <si>
    <t>Esc. 2749</t>
  </si>
  <si>
    <t>Esc. 2750</t>
  </si>
  <si>
    <t>Esc. 2751</t>
  </si>
  <si>
    <t>Esc. 2752</t>
  </si>
  <si>
    <t>Esc. 2753</t>
  </si>
  <si>
    <t>Esc. 2754</t>
  </si>
  <si>
    <t>Esc. 2755</t>
  </si>
  <si>
    <t>Esc. 2756</t>
  </si>
  <si>
    <t>Esc. 2757</t>
  </si>
  <si>
    <t>Esc. 2758</t>
  </si>
  <si>
    <t>Esc. 2759</t>
  </si>
  <si>
    <t>Esc. 2760</t>
  </si>
  <si>
    <t>Esc. 2761</t>
  </si>
  <si>
    <t>Esc. 2762</t>
  </si>
  <si>
    <t>Esc. 2763</t>
  </si>
  <si>
    <t>Esc. 2764</t>
  </si>
  <si>
    <t>Esc. 2765</t>
  </si>
  <si>
    <t>Esc. 2766</t>
  </si>
  <si>
    <t>Esc. 2767</t>
  </si>
  <si>
    <t>Esc. 2768</t>
  </si>
  <si>
    <t>Esc. 2769</t>
  </si>
  <si>
    <t>Esc. 2770</t>
  </si>
  <si>
    <t>Esc. 2771</t>
  </si>
  <si>
    <t>Esc. 2772</t>
  </si>
  <si>
    <t>Esc. 2773</t>
  </si>
  <si>
    <t>Esc. 2774</t>
  </si>
  <si>
    <t>Esc. 2775</t>
  </si>
  <si>
    <t>Esc. 2776</t>
  </si>
  <si>
    <t>Esc. 2777</t>
  </si>
  <si>
    <t>Esc. 2778</t>
  </si>
  <si>
    <t>Esc. 2779</t>
  </si>
  <si>
    <t>Esc. 2780</t>
  </si>
  <si>
    <t>Esc. 2781</t>
  </si>
  <si>
    <t>Esc. 2782</t>
  </si>
  <si>
    <t>Esc. 2783</t>
  </si>
  <si>
    <t>Esc. 2784</t>
  </si>
  <si>
    <t>Esc. 2785</t>
  </si>
  <si>
    <t>Esc. 2786</t>
  </si>
  <si>
    <t>Esc. 2787</t>
  </si>
  <si>
    <t>Esc. 2788</t>
  </si>
  <si>
    <t>Esc. 2789</t>
  </si>
  <si>
    <t>Esc. 2790</t>
  </si>
  <si>
    <t>Esc. 2791</t>
  </si>
  <si>
    <t>Esc. 2792</t>
  </si>
  <si>
    <t>Esc. 2793</t>
  </si>
  <si>
    <t>Esc. 2794</t>
  </si>
  <si>
    <t>Esc. 2795</t>
  </si>
  <si>
    <t>Esc. 2796</t>
  </si>
  <si>
    <t>Esc. 2797</t>
  </si>
  <si>
    <t>Esc. 2798</t>
  </si>
  <si>
    <t>Esc. 2799</t>
  </si>
  <si>
    <t>Esc. 2800</t>
  </si>
  <si>
    <t>Esc. 2801</t>
  </si>
  <si>
    <t>Esc. 2802</t>
  </si>
  <si>
    <t>Esc. 2803</t>
  </si>
  <si>
    <t>Esc. 2804</t>
  </si>
  <si>
    <t>Esc. 2805</t>
  </si>
  <si>
    <t>Esc. 2806</t>
  </si>
  <si>
    <t>Esc. 2807</t>
  </si>
  <si>
    <t>Esc. 2808</t>
  </si>
  <si>
    <t>Esc. 2809</t>
  </si>
  <si>
    <t>Esc. 2810</t>
  </si>
  <si>
    <t>Esc. 2811</t>
  </si>
  <si>
    <t>Esc. 2812</t>
  </si>
  <si>
    <t>Esc. 2813</t>
  </si>
  <si>
    <t>Esc. 2814</t>
  </si>
  <si>
    <t>Esc. 2815</t>
  </si>
  <si>
    <t>Esc. 2816</t>
  </si>
  <si>
    <t>Esc. 2817</t>
  </si>
  <si>
    <t>Esc. 2818</t>
  </si>
  <si>
    <t>Esc. 2819</t>
  </si>
  <si>
    <t>Esc. 2820</t>
  </si>
  <si>
    <t>Esc. 2821</t>
  </si>
  <si>
    <t>Esc. 2822</t>
  </si>
  <si>
    <t>Esc. 2823</t>
  </si>
  <si>
    <t>Esc. 2824</t>
  </si>
  <si>
    <t>Esc. 2825</t>
  </si>
  <si>
    <t>Esc. 2826</t>
  </si>
  <si>
    <t>Esc. 2827</t>
  </si>
  <si>
    <t>Esc. 2828</t>
  </si>
  <si>
    <t>Esc. 2829</t>
  </si>
  <si>
    <t>Esc. 2830</t>
  </si>
  <si>
    <t>Esc. 2831</t>
  </si>
  <si>
    <t>Esc. 2832</t>
  </si>
  <si>
    <t>Esc. 2833</t>
  </si>
  <si>
    <t>Esc. 2834</t>
  </si>
  <si>
    <t>Esc. 2835</t>
  </si>
  <si>
    <t>Esc. 2836</t>
  </si>
  <si>
    <t>Esc. 2837</t>
  </si>
  <si>
    <t>Esc. 2838</t>
  </si>
  <si>
    <t>Esc. 2839</t>
  </si>
  <si>
    <t>Esc. 2840</t>
  </si>
  <si>
    <t>Esc. 2841</t>
  </si>
  <si>
    <t>Esc. 2842</t>
  </si>
  <si>
    <t>Esc. 2843</t>
  </si>
  <si>
    <t>Esc. 2844</t>
  </si>
  <si>
    <t>Esc. 2845</t>
  </si>
  <si>
    <t>Esc. 2846</t>
  </si>
  <si>
    <t>Esc. 2847</t>
  </si>
  <si>
    <t>Esc. 2848</t>
  </si>
  <si>
    <t>Esc. 2849</t>
  </si>
  <si>
    <t>Esc. 2850</t>
  </si>
  <si>
    <t>Esc. 2851</t>
  </si>
  <si>
    <t>Esc. 2852</t>
  </si>
  <si>
    <t>Esc. 2853</t>
  </si>
  <si>
    <t>Esc. 2854</t>
  </si>
  <si>
    <t>Esc. 2855</t>
  </si>
  <si>
    <t>Esc. 2856</t>
  </si>
  <si>
    <t>Esc. 2857</t>
  </si>
  <si>
    <t>Esc. 2858</t>
  </si>
  <si>
    <t>Esc. 2859</t>
  </si>
  <si>
    <t>Esc. 2860</t>
  </si>
  <si>
    <t>Esc. 2861</t>
  </si>
  <si>
    <t>Esc. 2862</t>
  </si>
  <si>
    <t>Esc. 2863</t>
  </si>
  <si>
    <t>Esc. 2864</t>
  </si>
  <si>
    <t>Esc. 2865</t>
  </si>
  <si>
    <t>Esc. 2866</t>
  </si>
  <si>
    <t>Esc. 2867</t>
  </si>
  <si>
    <t>Esc. 2868</t>
  </si>
  <si>
    <t>Esc. 2869</t>
  </si>
  <si>
    <t>Esc. 2870</t>
  </si>
  <si>
    <t>Esc. 2871</t>
  </si>
  <si>
    <t>Esc. 2872</t>
  </si>
  <si>
    <t>Esc. 2873</t>
  </si>
  <si>
    <t>Esc. 2874</t>
  </si>
  <si>
    <t>Esc. 2875</t>
  </si>
  <si>
    <t>Esc. 2876</t>
  </si>
  <si>
    <t>Esc. 2877</t>
  </si>
  <si>
    <t>Esc. 2878</t>
  </si>
  <si>
    <t>Esc. 2879</t>
  </si>
  <si>
    <t>Esc. 2880</t>
  </si>
  <si>
    <t>Esc. 2881</t>
  </si>
  <si>
    <t>Esc. 2882</t>
  </si>
  <si>
    <t>Esc. 2883</t>
  </si>
  <si>
    <t>Esc. 2884</t>
  </si>
  <si>
    <t>Esc. 2885</t>
  </si>
  <si>
    <t>Esc. 2886</t>
  </si>
  <si>
    <t>Esc. 2887</t>
  </si>
  <si>
    <t>Esc. 2888</t>
  </si>
  <si>
    <t>Esc. 2889</t>
  </si>
  <si>
    <t>Esc. 2890</t>
  </si>
  <si>
    <t>Esc. 2891</t>
  </si>
  <si>
    <t>Esc. 2892</t>
  </si>
  <si>
    <t>Esc. 2893</t>
  </si>
  <si>
    <t>Esc. 2894</t>
  </si>
  <si>
    <t>Esc. 2895</t>
  </si>
  <si>
    <t>Esc. 2896</t>
  </si>
  <si>
    <t>Esc. 2897</t>
  </si>
  <si>
    <t>Esc. 2898</t>
  </si>
  <si>
    <t>Esc. 2899</t>
  </si>
  <si>
    <t>Esc. 2900</t>
  </si>
  <si>
    <t>Esc. 2901</t>
  </si>
  <si>
    <t>Esc. 2902</t>
  </si>
  <si>
    <t>Esc. 2903</t>
  </si>
  <si>
    <t>Esc. 2904</t>
  </si>
  <si>
    <t>Esc. 2905</t>
  </si>
  <si>
    <t>Esc. 2906</t>
  </si>
  <si>
    <t>Esc. 2907</t>
  </si>
  <si>
    <t>Esc. 2908</t>
  </si>
  <si>
    <t>Esc. 2909</t>
  </si>
  <si>
    <t>Esc. 2910</t>
  </si>
  <si>
    <t>Esc. 2911</t>
  </si>
  <si>
    <t>Esc. 2912</t>
  </si>
  <si>
    <t>Esc. 2913</t>
  </si>
  <si>
    <t>Esc. 2914</t>
  </si>
  <si>
    <t>Esc. 2915</t>
  </si>
  <si>
    <t>Esc. 2916</t>
  </si>
  <si>
    <t>Esc. 2917</t>
  </si>
  <si>
    <t>Esc. 2918</t>
  </si>
  <si>
    <t>Esc. 2919</t>
  </si>
  <si>
    <t>Esc. 2920</t>
  </si>
  <si>
    <t>Esc. 2921</t>
  </si>
  <si>
    <t>Esc. 2922</t>
  </si>
  <si>
    <t>Esc. 2923</t>
  </si>
  <si>
    <t>Esc. 2924</t>
  </si>
  <si>
    <t>Esc. 2925</t>
  </si>
  <si>
    <t>Esc. 2926</t>
  </si>
  <si>
    <t>Esc. 2927</t>
  </si>
  <si>
    <t>Esc. 2928</t>
  </si>
  <si>
    <t>Esc. 2929</t>
  </si>
  <si>
    <t>Esc. 2930</t>
  </si>
  <si>
    <t>Esc. 2931</t>
  </si>
  <si>
    <t>Esc. 2932</t>
  </si>
  <si>
    <t>Esc. 2933</t>
  </si>
  <si>
    <t>Esc. 2934</t>
  </si>
  <si>
    <t>Esc. 2935</t>
  </si>
  <si>
    <t>Esc. 2936</t>
  </si>
  <si>
    <t>Esc. 2937</t>
  </si>
  <si>
    <t>Esc. 2938</t>
  </si>
  <si>
    <t>Esc. 2939</t>
  </si>
  <si>
    <t>Esc. 2940</t>
  </si>
  <si>
    <t>Esc. 2941</t>
  </si>
  <si>
    <t>Esc. 2942</t>
  </si>
  <si>
    <t>Esc. 2943</t>
  </si>
  <si>
    <t>Esc. 2944</t>
  </si>
  <si>
    <t>Esc. 2945</t>
  </si>
  <si>
    <t>Esc. 2946</t>
  </si>
  <si>
    <t>Esc. 2947</t>
  </si>
  <si>
    <t>Esc. 2948</t>
  </si>
  <si>
    <t>Esc. 2949</t>
  </si>
  <si>
    <t>Esc. 2950</t>
  </si>
  <si>
    <t>Esc. 2951</t>
  </si>
  <si>
    <t>Esc. 2952</t>
  </si>
  <si>
    <t>Esc. 2953</t>
  </si>
  <si>
    <t>Esc. 2954</t>
  </si>
  <si>
    <t>Esc. 2955</t>
  </si>
  <si>
    <t>Esc. 2956</t>
  </si>
  <si>
    <t>Esc. 2957</t>
  </si>
  <si>
    <t>Esc. 2958</t>
  </si>
  <si>
    <t>Esc. 2959</t>
  </si>
  <si>
    <t>Esc. 2960</t>
  </si>
  <si>
    <t>Esc. 2961</t>
  </si>
  <si>
    <t>Esc. 2962</t>
  </si>
  <si>
    <t>Esc. 2963</t>
  </si>
  <si>
    <t>Esc. 2964</t>
  </si>
  <si>
    <t>Esc. 2965</t>
  </si>
  <si>
    <t>Esc. 2966</t>
  </si>
  <si>
    <t>Esc. 2967</t>
  </si>
  <si>
    <t>Esc. 2968</t>
  </si>
  <si>
    <t>Esc. 2969</t>
  </si>
  <si>
    <t>Esc. 2970</t>
  </si>
  <si>
    <t>Esc. 2971</t>
  </si>
  <si>
    <t>Esc. 2972</t>
  </si>
  <si>
    <t>Esc. 2973</t>
  </si>
  <si>
    <t>Esc. 2974</t>
  </si>
  <si>
    <t>Esc. 2975</t>
  </si>
  <si>
    <t>Esc. 2976</t>
  </si>
  <si>
    <t>Esc. 2977</t>
  </si>
  <si>
    <t>Esc. 2978</t>
  </si>
  <si>
    <t>Esc. 2979</t>
  </si>
  <si>
    <t>Esc. 2980</t>
  </si>
  <si>
    <t>Esc. 2981</t>
  </si>
  <si>
    <t>Esc. 2982</t>
  </si>
  <si>
    <t>Esc. 2983</t>
  </si>
  <si>
    <t>Esc. 2984</t>
  </si>
  <si>
    <t>Esc. 2985</t>
  </si>
  <si>
    <t>Esc. 2986</t>
  </si>
  <si>
    <t>Esc. 2987</t>
  </si>
  <si>
    <t>Esc. 2988</t>
  </si>
  <si>
    <t>Esc. 2989</t>
  </si>
  <si>
    <t>Esc. 2990</t>
  </si>
  <si>
    <t>Esc. 2991</t>
  </si>
  <si>
    <t>Esc. 2992</t>
  </si>
  <si>
    <t>Esc. 2993</t>
  </si>
  <si>
    <t>Esc. 2994</t>
  </si>
  <si>
    <t>Esc. 2995</t>
  </si>
  <si>
    <t>Esc. 2996</t>
  </si>
  <si>
    <t>Esc. 2997</t>
  </si>
  <si>
    <t>Esc. 2998</t>
  </si>
  <si>
    <t>Esc. 2999</t>
  </si>
  <si>
    <t>Esc. 3000</t>
  </si>
  <si>
    <t>Esc. 3001</t>
  </si>
  <si>
    <t>Esc. 3002</t>
  </si>
  <si>
    <t>Esc. 3003</t>
  </si>
  <si>
    <t>Esc. 3004</t>
  </si>
  <si>
    <t>Esc. 3005</t>
  </si>
  <si>
    <t>Esc. 3006</t>
  </si>
  <si>
    <t>Esc. 3007</t>
  </si>
  <si>
    <t>Esc. 3008</t>
  </si>
  <si>
    <t>Esc. 3009</t>
  </si>
  <si>
    <t>Esc. 3010</t>
  </si>
  <si>
    <t>Esc. 3011</t>
  </si>
  <si>
    <t>Esc. 3012</t>
  </si>
  <si>
    <t>Esc. 3013</t>
  </si>
  <si>
    <t>Esc. 3014</t>
  </si>
  <si>
    <t>Esc. 3015</t>
  </si>
  <si>
    <t>Esc. 3016</t>
  </si>
  <si>
    <t>Esc. 3017</t>
  </si>
  <si>
    <t>Esc. 3018</t>
  </si>
  <si>
    <t>Esc. 3019</t>
  </si>
  <si>
    <t>Esc. 3020</t>
  </si>
  <si>
    <t>Esc. 3021</t>
  </si>
  <si>
    <t>Esc. 3022</t>
  </si>
  <si>
    <t>Esc. 3023</t>
  </si>
  <si>
    <t>Esc. 3024</t>
  </si>
  <si>
    <t>Esc. 3025</t>
  </si>
  <si>
    <t>Esc. 3026</t>
  </si>
  <si>
    <t>Esc. 3027</t>
  </si>
  <si>
    <t>Esc. 3028</t>
  </si>
  <si>
    <t>Esc. 3029</t>
  </si>
  <si>
    <t>Esc. 3030</t>
  </si>
  <si>
    <t>Esc. 3031</t>
  </si>
  <si>
    <t>Esc. 3032</t>
  </si>
  <si>
    <t>Esc. 3033</t>
  </si>
  <si>
    <t>Esc. 3034</t>
  </si>
  <si>
    <t>Esc. 3035</t>
  </si>
  <si>
    <t>Esc. 3036</t>
  </si>
  <si>
    <t>Esc. 3037</t>
  </si>
  <si>
    <t>Esc. 3038</t>
  </si>
  <si>
    <t>Esc. 3039</t>
  </si>
  <si>
    <t>Esc. 3040</t>
  </si>
  <si>
    <t>Esc. 3041</t>
  </si>
  <si>
    <t>Esc. 3042</t>
  </si>
  <si>
    <t>Esc. 3043</t>
  </si>
  <si>
    <t>Esc. 3044</t>
  </si>
  <si>
    <t>Esc. 3045</t>
  </si>
  <si>
    <t>Esc. 3046</t>
  </si>
  <si>
    <t>Esc. 3047</t>
  </si>
  <si>
    <t>Esc. 3048</t>
  </si>
  <si>
    <t>Esc. 3049</t>
  </si>
  <si>
    <t>Esc. 3050</t>
  </si>
  <si>
    <t>Esc. 3051</t>
  </si>
  <si>
    <t>Esc. 3052</t>
  </si>
  <si>
    <t>Esc. 3053</t>
  </si>
  <si>
    <t>Esc. 3054</t>
  </si>
  <si>
    <t>Esc. 3055</t>
  </si>
  <si>
    <t>Esc. 3056</t>
  </si>
  <si>
    <t>Esc. 3057</t>
  </si>
  <si>
    <t>Esc. 3058</t>
  </si>
  <si>
    <t>Esc. 3059</t>
  </si>
  <si>
    <t>Esc. 3060</t>
  </si>
  <si>
    <t>Esc. 3061</t>
  </si>
  <si>
    <t>Esc. 3062</t>
  </si>
  <si>
    <t>Esc. 3063</t>
  </si>
  <si>
    <t>Esc. 3064</t>
  </si>
  <si>
    <t>Esc. 3065</t>
  </si>
  <si>
    <t>Esc. 3066</t>
  </si>
  <si>
    <t>Esc. 3067</t>
  </si>
  <si>
    <t>Esc. 3068</t>
  </si>
  <si>
    <t>Esc. 3069</t>
  </si>
  <si>
    <t>Esc. 3070</t>
  </si>
  <si>
    <t>Esc. 3071</t>
  </si>
  <si>
    <t>Esc. 3072</t>
  </si>
  <si>
    <t>Esc. 3073</t>
  </si>
  <si>
    <t>Esc. 3074</t>
  </si>
  <si>
    <t>Esc. 3075</t>
  </si>
  <si>
    <t>Esc. 3076</t>
  </si>
  <si>
    <t>Esc. 3077</t>
  </si>
  <si>
    <t>Esc. 3078</t>
  </si>
  <si>
    <t>Esc. 3079</t>
  </si>
  <si>
    <t>Esc. 3080</t>
  </si>
  <si>
    <t>Esc. 3081</t>
  </si>
  <si>
    <t>Esc. 3082</t>
  </si>
  <si>
    <t>Esc. 3083</t>
  </si>
  <si>
    <t>Esc. 3084</t>
  </si>
  <si>
    <t>Esc. 3085</t>
  </si>
  <si>
    <t>Esc. 3086</t>
  </si>
  <si>
    <t>Esc. 3087</t>
  </si>
  <si>
    <t>Esc. 3088</t>
  </si>
  <si>
    <t>Esc. 3089</t>
  </si>
  <si>
    <t>Esc. 3090</t>
  </si>
  <si>
    <t>Esc. 3091</t>
  </si>
  <si>
    <t>Esc. 3092</t>
  </si>
  <si>
    <t>Esc. 3093</t>
  </si>
  <si>
    <t>Esc. 3094</t>
  </si>
  <si>
    <t>Esc. 3095</t>
  </si>
  <si>
    <t>Esc. 3096</t>
  </si>
  <si>
    <t>Esc. 3097</t>
  </si>
  <si>
    <t>Esc. 3098</t>
  </si>
  <si>
    <t>Esc. 3099</t>
  </si>
  <si>
    <t>Esc. 3100</t>
  </si>
  <si>
    <t>Esc. 3101</t>
  </si>
  <si>
    <t>Esc. 3102</t>
  </si>
  <si>
    <t>Esc. 3103</t>
  </si>
  <si>
    <t>Esc. 3104</t>
  </si>
  <si>
    <t>Esc. 3105</t>
  </si>
  <si>
    <t>Esc. 3106</t>
  </si>
  <si>
    <t>Esc. 3107</t>
  </si>
  <si>
    <t>Esc. 3108</t>
  </si>
  <si>
    <t>Esc. 3109</t>
  </si>
  <si>
    <t>Esc. 3110</t>
  </si>
  <si>
    <t>Esc. 3111</t>
  </si>
  <si>
    <t>Esc. 3112</t>
  </si>
  <si>
    <t>Esc. 3113</t>
  </si>
  <si>
    <t>Esc. 3114</t>
  </si>
  <si>
    <t>Esc. 3115</t>
  </si>
  <si>
    <t>Esc. 3116</t>
  </si>
  <si>
    <t>Esc. 3117</t>
  </si>
  <si>
    <t>Esc. 3118</t>
  </si>
  <si>
    <t>Esc. 3119</t>
  </si>
  <si>
    <t>Esc. 3120</t>
  </si>
  <si>
    <t>Esc. 3121</t>
  </si>
  <si>
    <t>Esc. 3122</t>
  </si>
  <si>
    <t>Esc. 3123</t>
  </si>
  <si>
    <t>Esc. 3124</t>
  </si>
  <si>
    <t>Esc. 3125</t>
  </si>
  <si>
    <t>Esc. 3126</t>
  </si>
  <si>
    <t>Esc. 3127</t>
  </si>
  <si>
    <t>Esc. 3128</t>
  </si>
  <si>
    <t>Esc. 3129</t>
  </si>
  <si>
    <t>Esc. 3130</t>
  </si>
  <si>
    <t>Esc. 3131</t>
  </si>
  <si>
    <t>Esc. 3132</t>
  </si>
  <si>
    <t>Esc. 3133</t>
  </si>
  <si>
    <t>Esc. 3134</t>
  </si>
  <si>
    <t>Esc. 3135</t>
  </si>
  <si>
    <t>Esc. 3136</t>
  </si>
  <si>
    <t>Esc. 3137</t>
  </si>
  <si>
    <t>Esc. 3138</t>
  </si>
  <si>
    <t>Esc. 3139</t>
  </si>
  <si>
    <t>Esc. 3140</t>
  </si>
  <si>
    <t>Esc. 3141</t>
  </si>
  <si>
    <t>Esc. 3142</t>
  </si>
  <si>
    <t>Esc. 3143</t>
  </si>
  <si>
    <t>Esc. 3144</t>
  </si>
  <si>
    <t>Esc. 3145</t>
  </si>
  <si>
    <t>Esc. 3146</t>
  </si>
  <si>
    <t>Esc. 3147</t>
  </si>
  <si>
    <t>Esc. 3148</t>
  </si>
  <si>
    <t>Esc. 3149</t>
  </si>
  <si>
    <t>Esc. 3150</t>
  </si>
  <si>
    <t>Esc. 3151</t>
  </si>
  <si>
    <t>Esc. 3152</t>
  </si>
  <si>
    <t>Esc. 3153</t>
  </si>
  <si>
    <t>Esc. 3154</t>
  </si>
  <si>
    <t>Esc. 3155</t>
  </si>
  <si>
    <t>Esc. 3156</t>
  </si>
  <si>
    <t>Esc. 3157</t>
  </si>
  <si>
    <t>Esc. 3158</t>
  </si>
  <si>
    <t>Esc. 3159</t>
  </si>
  <si>
    <t>Esc. 3160</t>
  </si>
  <si>
    <t>Esc. 3161</t>
  </si>
  <si>
    <t>Esc. 3162</t>
  </si>
  <si>
    <t>Esc. 3163</t>
  </si>
  <si>
    <t>Esc. 3164</t>
  </si>
  <si>
    <t>Esc. 3165</t>
  </si>
  <si>
    <t>Esc. 3166</t>
  </si>
  <si>
    <t>Esc. 3167</t>
  </si>
  <si>
    <t>Esc. 3168</t>
  </si>
  <si>
    <t>Esc. 3169</t>
  </si>
  <si>
    <t>Esc. 3170</t>
  </si>
  <si>
    <t>Esc. 3171</t>
  </si>
  <si>
    <t>Esc. 3172</t>
  </si>
  <si>
    <t>Esc. 3173</t>
  </si>
  <si>
    <t>Esc. 3174</t>
  </si>
  <si>
    <t>Esc. 3175</t>
  </si>
  <si>
    <t>Esc. 3176</t>
  </si>
  <si>
    <t>Esc. 3177</t>
  </si>
  <si>
    <t>Esc. 3178</t>
  </si>
  <si>
    <t>Esc. 3179</t>
  </si>
  <si>
    <t>Esc. 3180</t>
  </si>
  <si>
    <t>Esc. 3181</t>
  </si>
  <si>
    <t>Esc. 3182</t>
  </si>
  <si>
    <t>Esc. 3183</t>
  </si>
  <si>
    <t>Esc. 3184</t>
  </si>
  <si>
    <t>Esc. 3185</t>
  </si>
  <si>
    <t>Esc. 3186</t>
  </si>
  <si>
    <t>Esc. 3187</t>
  </si>
  <si>
    <t>Esc. 3188</t>
  </si>
  <si>
    <t>Esc. 3189</t>
  </si>
  <si>
    <t>Esc. 3190</t>
  </si>
  <si>
    <t>Esc. 3191</t>
  </si>
  <si>
    <t>Esc. 3192</t>
  </si>
  <si>
    <t>Esc. 3193</t>
  </si>
  <si>
    <t>Esc. 3194</t>
  </si>
  <si>
    <t>Esc. 3195</t>
  </si>
  <si>
    <t>Esc. 3196</t>
  </si>
  <si>
    <t>Esc. 3197</t>
  </si>
  <si>
    <t>Esc. 3198</t>
  </si>
  <si>
    <t>Esc. 3199</t>
  </si>
  <si>
    <t>Esc. 3200</t>
  </si>
  <si>
    <t>Esc. 3201</t>
  </si>
  <si>
    <t>Esc. 3202</t>
  </si>
  <si>
    <t>Esc. 3203</t>
  </si>
  <si>
    <t>Esc. 3204</t>
  </si>
  <si>
    <t>Esc. 3205</t>
  </si>
  <si>
    <t>Esc. 3206</t>
  </si>
  <si>
    <t>Esc. 3207</t>
  </si>
  <si>
    <t>Esc. 3208</t>
  </si>
  <si>
    <t>Esc. 3209</t>
  </si>
  <si>
    <t>Esc. 3210</t>
  </si>
  <si>
    <t>Esc. 3211</t>
  </si>
  <si>
    <t>Esc. 3212</t>
  </si>
  <si>
    <t>Esc. 3213</t>
  </si>
  <si>
    <t>Esc. 3214</t>
  </si>
  <si>
    <t>Esc. 3215</t>
  </si>
  <si>
    <t>Esc. 3216</t>
  </si>
  <si>
    <t>Esc. 3217</t>
  </si>
  <si>
    <t>Esc. 3218</t>
  </si>
  <si>
    <t>Esc. 3219</t>
  </si>
  <si>
    <t>Esc. 3220</t>
  </si>
  <si>
    <t>Esc. 3221</t>
  </si>
  <si>
    <t>Esc. 3222</t>
  </si>
  <si>
    <t>Esc. 3223</t>
  </si>
  <si>
    <t>Esc. 3224</t>
  </si>
  <si>
    <t>Esc. 3225</t>
  </si>
  <si>
    <t>Esc. 3226</t>
  </si>
  <si>
    <t>Esc. 3227</t>
  </si>
  <si>
    <t>Esc. 3228</t>
  </si>
  <si>
    <t>Esc. 3229</t>
  </si>
  <si>
    <t>Esc. 3230</t>
  </si>
  <si>
    <t>Esc. 3231</t>
  </si>
  <si>
    <t>Esc. 3232</t>
  </si>
  <si>
    <t>Esc. 3233</t>
  </si>
  <si>
    <t>Esc. 3234</t>
  </si>
  <si>
    <t>Esc. 3235</t>
  </si>
  <si>
    <t>Esc. 3236</t>
  </si>
  <si>
    <t>Esc. 3237</t>
  </si>
  <si>
    <t>Esc. 3238</t>
  </si>
  <si>
    <t>Esc. 3239</t>
  </si>
  <si>
    <t>Esc. 3240</t>
  </si>
  <si>
    <t>Esc. 3241</t>
  </si>
  <si>
    <t>Esc. 3242</t>
  </si>
  <si>
    <t>Esc. 3243</t>
  </si>
  <si>
    <t>Esc. 3244</t>
  </si>
  <si>
    <t>Esc. 3245</t>
  </si>
  <si>
    <t>Esc. 3246</t>
  </si>
  <si>
    <t>Esc. 3247</t>
  </si>
  <si>
    <t>Esc. 3248</t>
  </si>
  <si>
    <t>Esc. 3249</t>
  </si>
  <si>
    <t>Esc. 3250</t>
  </si>
  <si>
    <t>Esc. 3251</t>
  </si>
  <si>
    <t>Esc. 3252</t>
  </si>
  <si>
    <t>Esc. 3253</t>
  </si>
  <si>
    <t>Esc. 3254</t>
  </si>
  <si>
    <t>Esc. 3255</t>
  </si>
  <si>
    <t>Esc. 3256</t>
  </si>
  <si>
    <t>Esc. 3257</t>
  </si>
  <si>
    <t>Esc. 3258</t>
  </si>
  <si>
    <t>Esc. 3259</t>
  </si>
  <si>
    <t>Esc. 3260</t>
  </si>
  <si>
    <t>Esc. 3261</t>
  </si>
  <si>
    <t>Esc. 3262</t>
  </si>
  <si>
    <t>Esc. 3263</t>
  </si>
  <si>
    <t>Esc. 3264</t>
  </si>
  <si>
    <t>Esc. 3265</t>
  </si>
  <si>
    <t>Esc. 3266</t>
  </si>
  <si>
    <t>Esc. 3267</t>
  </si>
  <si>
    <t>Esc. 3268</t>
  </si>
  <si>
    <t>Esc. 3269</t>
  </si>
  <si>
    <t>Esc. 3270</t>
  </si>
  <si>
    <t>Esc. 3271</t>
  </si>
  <si>
    <t>Esc. 3272</t>
  </si>
  <si>
    <t>Esc. 3273</t>
  </si>
  <si>
    <t>Esc. 3274</t>
  </si>
  <si>
    <t>Esc. 3275</t>
  </si>
  <si>
    <t>Esc. 3276</t>
  </si>
  <si>
    <t>Esc. 3277</t>
  </si>
  <si>
    <t>Esc. 3278</t>
  </si>
  <si>
    <t>Esc. 3279</t>
  </si>
  <si>
    <t>Esc. 3280</t>
  </si>
  <si>
    <t>Esc. 3281</t>
  </si>
  <si>
    <t>Esc. 3282</t>
  </si>
  <si>
    <t>Esc. 3283</t>
  </si>
  <si>
    <t>Esc. 3284</t>
  </si>
  <si>
    <t>Esc. 3285</t>
  </si>
  <si>
    <t>Esc. 3286</t>
  </si>
  <si>
    <t>Esc. 3287</t>
  </si>
  <si>
    <t>Esc. 3288</t>
  </si>
  <si>
    <t>Esc. 3289</t>
  </si>
  <si>
    <t>Esc. 3290</t>
  </si>
  <si>
    <t>Esc. 3291</t>
  </si>
  <si>
    <t>Esc. 3292</t>
  </si>
  <si>
    <t>Esc. 3293</t>
  </si>
  <si>
    <t>Esc. 3294</t>
  </si>
  <si>
    <t>Esc. 3295</t>
  </si>
  <si>
    <t>Esc. 3296</t>
  </si>
  <si>
    <t>Esc. 3297</t>
  </si>
  <si>
    <t>Esc. 3298</t>
  </si>
  <si>
    <t>Esc. 3299</t>
  </si>
  <si>
    <t>Esc. 3300</t>
  </si>
  <si>
    <t>Esc. 3301</t>
  </si>
  <si>
    <t>Esc. 3302</t>
  </si>
  <si>
    <t>Esc. 3303</t>
  </si>
  <si>
    <t>Esc. 3304</t>
  </si>
  <si>
    <t>Esc. 3305</t>
  </si>
  <si>
    <t>Esc. 3306</t>
  </si>
  <si>
    <t>Esc. 3307</t>
  </si>
  <si>
    <t>Esc. 3308</t>
  </si>
  <si>
    <t>Esc. 3309</t>
  </si>
  <si>
    <t>Esc. 3310</t>
  </si>
  <si>
    <t>Esc. 3311</t>
  </si>
  <si>
    <t>Esc. 3312</t>
  </si>
  <si>
    <t>Esc. 3313</t>
  </si>
  <si>
    <t>Esc. 3314</t>
  </si>
  <si>
    <t>Esc. 3315</t>
  </si>
  <si>
    <t>Esc. 3316</t>
  </si>
  <si>
    <t>Esc. 3317</t>
  </si>
  <si>
    <t>Esc. 3318</t>
  </si>
  <si>
    <t>Esc. 3319</t>
  </si>
  <si>
    <t>Esc. 3320</t>
  </si>
  <si>
    <t>Esc. 3321</t>
  </si>
  <si>
    <t>Esc. 3322</t>
  </si>
  <si>
    <t>Esc. 3323</t>
  </si>
  <si>
    <t>Esc. 3324</t>
  </si>
  <si>
    <t>Esc. 3325</t>
  </si>
  <si>
    <t>Esc. 3326</t>
  </si>
  <si>
    <t>Esc. 3327</t>
  </si>
  <si>
    <t>Esc. 3328</t>
  </si>
  <si>
    <t>Esc. 3329</t>
  </si>
  <si>
    <t>Esc. 3330</t>
  </si>
  <si>
    <t>Esc. 3331</t>
  </si>
  <si>
    <t>Esc. 3332</t>
  </si>
  <si>
    <t>Esc. 3333</t>
  </si>
  <si>
    <t>Esc. 3334</t>
  </si>
  <si>
    <t>Esc. 3335</t>
  </si>
  <si>
    <t>Esc. 3336</t>
  </si>
  <si>
    <t>Esc. 3337</t>
  </si>
  <si>
    <t>Esc. 3338</t>
  </si>
  <si>
    <t>Esc. 3339</t>
  </si>
  <si>
    <t>Esc. 3340</t>
  </si>
  <si>
    <t>Esc. 3341</t>
  </si>
  <si>
    <t>Esc. 3342</t>
  </si>
  <si>
    <t>Esc. 3343</t>
  </si>
  <si>
    <t>Esc. 3344</t>
  </si>
  <si>
    <t>Esc. 3345</t>
  </si>
  <si>
    <t>Esc. 3346</t>
  </si>
  <si>
    <t>Esc. 3347</t>
  </si>
  <si>
    <t>Esc. 3348</t>
  </si>
  <si>
    <t>Esc. 3349</t>
  </si>
  <si>
    <t>Esc. 3350</t>
  </si>
  <si>
    <t>Esc. 3351</t>
  </si>
  <si>
    <t>Esc. 3352</t>
  </si>
  <si>
    <t>Esc. 3353</t>
  </si>
  <si>
    <t>Esc. 3354</t>
  </si>
  <si>
    <t>Esc. 3355</t>
  </si>
  <si>
    <t>Esc. 3356</t>
  </si>
  <si>
    <t>Esc. 3357</t>
  </si>
  <si>
    <t>Esc. 3358</t>
  </si>
  <si>
    <t>Esc. 3359</t>
  </si>
  <si>
    <t>Esc. 3360</t>
  </si>
  <si>
    <t>Esc. 3361</t>
  </si>
  <si>
    <t>Esc. 3362</t>
  </si>
  <si>
    <t>Esc. 3363</t>
  </si>
  <si>
    <t>Esc. 3364</t>
  </si>
  <si>
    <t>Esc. 3365</t>
  </si>
  <si>
    <t>Esc. 3366</t>
  </si>
  <si>
    <t>Esc. 3367</t>
  </si>
  <si>
    <t>Esc. 3368</t>
  </si>
  <si>
    <t>Esc. 3369</t>
  </si>
  <si>
    <t>Esc. 3370</t>
  </si>
  <si>
    <t>Esc. 3371</t>
  </si>
  <si>
    <t>Esc. 3372</t>
  </si>
  <si>
    <t>Esc. 3373</t>
  </si>
  <si>
    <t>Esc. 3374</t>
  </si>
  <si>
    <t>Esc. 3375</t>
  </si>
  <si>
    <t>Esc. 3376</t>
  </si>
  <si>
    <t>Esc. 3377</t>
  </si>
  <si>
    <t>Esc. 3378</t>
  </si>
  <si>
    <t>Esc. 3379</t>
  </si>
  <si>
    <t>Esc. 3380</t>
  </si>
  <si>
    <t>Esc. 3381</t>
  </si>
  <si>
    <t>Esc. 3382</t>
  </si>
  <si>
    <t>Esc. 3383</t>
  </si>
  <si>
    <t>Esc. 3384</t>
  </si>
  <si>
    <t>Esc. 3385</t>
  </si>
  <si>
    <t>Esc. 3386</t>
  </si>
  <si>
    <t>Esc. 3387</t>
  </si>
  <si>
    <t>Esc. 3388</t>
  </si>
  <si>
    <t>Esc. 3389</t>
  </si>
  <si>
    <t>Esc. 3390</t>
  </si>
  <si>
    <t>Esc. 3391</t>
  </si>
  <si>
    <t>Esc. 3392</t>
  </si>
  <si>
    <t>Esc. 3393</t>
  </si>
  <si>
    <t>Esc. 3394</t>
  </si>
  <si>
    <t>Esc. 3395</t>
  </si>
  <si>
    <t>Esc. 3396</t>
  </si>
  <si>
    <t>Esc. 3397</t>
  </si>
  <si>
    <t>Esc. 3398</t>
  </si>
  <si>
    <t>Esc. 3399</t>
  </si>
  <si>
    <t>Esc. 3400</t>
  </si>
  <si>
    <t>Esc. 3401</t>
  </si>
  <si>
    <t>Esc. 3402</t>
  </si>
  <si>
    <t>Esc. 3403</t>
  </si>
  <si>
    <t>Esc. 3404</t>
  </si>
  <si>
    <t>Esc. 3405</t>
  </si>
  <si>
    <t>Esc. 3406</t>
  </si>
  <si>
    <t>Esc. 3407</t>
  </si>
  <si>
    <t>Esc. 3408</t>
  </si>
  <si>
    <t>Esc. 3409</t>
  </si>
  <si>
    <t>Esc. 3410</t>
  </si>
  <si>
    <t>Esc. 3411</t>
  </si>
  <si>
    <t>Esc. 3412</t>
  </si>
  <si>
    <t>Esc. 3413</t>
  </si>
  <si>
    <t>Esc. 3414</t>
  </si>
  <si>
    <t>Esc. 3415</t>
  </si>
  <si>
    <t>Esc. 3416</t>
  </si>
  <si>
    <t>Esc. 3417</t>
  </si>
  <si>
    <t>Esc. 3418</t>
  </si>
  <si>
    <t>Esc. 3419</t>
  </si>
  <si>
    <t>Esc. 3420</t>
  </si>
  <si>
    <t>Esc. 3421</t>
  </si>
  <si>
    <t>Esc. 3422</t>
  </si>
  <si>
    <t>Esc. 3423</t>
  </si>
  <si>
    <t>Esc. 3424</t>
  </si>
  <si>
    <t>Esc. 3425</t>
  </si>
  <si>
    <t>Esc. 3426</t>
  </si>
  <si>
    <t>Esc. 3427</t>
  </si>
  <si>
    <t>Esc. 3428</t>
  </si>
  <si>
    <t>Esc. 3429</t>
  </si>
  <si>
    <t>Esc. 3430</t>
  </si>
  <si>
    <t>Esc. 3431</t>
  </si>
  <si>
    <t>Esc. 3432</t>
  </si>
  <si>
    <t>Esc. 3433</t>
  </si>
  <si>
    <t>Esc. 3434</t>
  </si>
  <si>
    <t>Esc. 3435</t>
  </si>
  <si>
    <t>Esc. 3436</t>
  </si>
  <si>
    <t>Esc. 3437</t>
  </si>
  <si>
    <t>Esc. 3438</t>
  </si>
  <si>
    <t>Esc. 3439</t>
  </si>
  <si>
    <t>Esc. 3440</t>
  </si>
  <si>
    <t>Esc. 3441</t>
  </si>
  <si>
    <t>Esc. 3442</t>
  </si>
  <si>
    <t>Esc. 3443</t>
  </si>
  <si>
    <t>Esc. 3444</t>
  </si>
  <si>
    <t>Esc. 3445</t>
  </si>
  <si>
    <t>Esc. 3446</t>
  </si>
  <si>
    <t>Esc. 3447</t>
  </si>
  <si>
    <t>Esc. 3448</t>
  </si>
  <si>
    <t>Esc. 3449</t>
  </si>
  <si>
    <t>Esc. 3450</t>
  </si>
  <si>
    <t>Esc. 3451</t>
  </si>
  <si>
    <t>Esc. 3452</t>
  </si>
  <si>
    <t>Esc. 3453</t>
  </si>
  <si>
    <t>Esc. 3454</t>
  </si>
  <si>
    <t>Esc. 3455</t>
  </si>
  <si>
    <t>Esc. 3456</t>
  </si>
  <si>
    <t>Esc. 3457</t>
  </si>
  <si>
    <t>Esc. 3458</t>
  </si>
  <si>
    <t>Esc. 3459</t>
  </si>
  <si>
    <t>Esc. 3460</t>
  </si>
  <si>
    <t>Esc. 3461</t>
  </si>
  <si>
    <t>Esc. 3462</t>
  </si>
  <si>
    <t>Esc. 3463</t>
  </si>
  <si>
    <t>Esc. 3464</t>
  </si>
  <si>
    <t>Esc. 3465</t>
  </si>
  <si>
    <t>Esc. 3466</t>
  </si>
  <si>
    <t>Esc. 3467</t>
  </si>
  <si>
    <t>Esc. 3468</t>
  </si>
  <si>
    <t>Esc. 3469</t>
  </si>
  <si>
    <t>Esc. 3470</t>
  </si>
  <si>
    <t>Esc. 3471</t>
  </si>
  <si>
    <t>Esc. 3472</t>
  </si>
  <si>
    <t>Esc. 3473</t>
  </si>
  <si>
    <t>Esc. 3474</t>
  </si>
  <si>
    <t>Esc. 3475</t>
  </si>
  <si>
    <t>Esc. 3476</t>
  </si>
  <si>
    <t>Esc. 3477</t>
  </si>
  <si>
    <t>Esc. 3478</t>
  </si>
  <si>
    <t>Esc. 3479</t>
  </si>
  <si>
    <t>Esc. 3480</t>
  </si>
  <si>
    <t>Esc. 3481</t>
  </si>
  <si>
    <t>Esc. 3482</t>
  </si>
  <si>
    <t>Esc. 3483</t>
  </si>
  <si>
    <t>Esc. 3484</t>
  </si>
  <si>
    <t>Esc. 3485</t>
  </si>
  <si>
    <t>Esc. 3486</t>
  </si>
  <si>
    <t>Esc. 3487</t>
  </si>
  <si>
    <t>Esc. 3488</t>
  </si>
  <si>
    <t>Esc. 3489</t>
  </si>
  <si>
    <t>Esc. 3490</t>
  </si>
  <si>
    <t>Esc. 3491</t>
  </si>
  <si>
    <t>Esc. 3492</t>
  </si>
  <si>
    <t>Esc. 3493</t>
  </si>
  <si>
    <t>Esc. 3494</t>
  </si>
  <si>
    <t>Esc. 3495</t>
  </si>
  <si>
    <t>Esc. 3496</t>
  </si>
  <si>
    <t>Esc. 3497</t>
  </si>
  <si>
    <t>Esc. 3498</t>
  </si>
  <si>
    <t>Esc. 3499</t>
  </si>
  <si>
    <t>Esc. 3500</t>
  </si>
  <si>
    <t>Esc. 3501</t>
  </si>
  <si>
    <t>Esc. 3502</t>
  </si>
  <si>
    <t>Esc. 3503</t>
  </si>
  <si>
    <t>Esc. 3504</t>
  </si>
  <si>
    <t>Esc. 3505</t>
  </si>
  <si>
    <t>Esc. 3506</t>
  </si>
  <si>
    <t>Esc. 3507</t>
  </si>
  <si>
    <t>Esc. 3508</t>
  </si>
  <si>
    <t>Esc. 3509</t>
  </si>
  <si>
    <t>Esc. 3510</t>
  </si>
  <si>
    <t>Esc. 3511</t>
  </si>
  <si>
    <t>Esc. 3512</t>
  </si>
  <si>
    <t>Esc. 3513</t>
  </si>
  <si>
    <t>Esc. 3514</t>
  </si>
  <si>
    <t>Esc. 3515</t>
  </si>
  <si>
    <t>Esc. 3516</t>
  </si>
  <si>
    <t>Esc. 3517</t>
  </si>
  <si>
    <t>Esc. 3518</t>
  </si>
  <si>
    <t>Esc. 3519</t>
  </si>
  <si>
    <t>Esc. 3520</t>
  </si>
  <si>
    <t>Esc. 3521</t>
  </si>
  <si>
    <t>Esc. 3522</t>
  </si>
  <si>
    <t>Esc. 3523</t>
  </si>
  <si>
    <t>Esc. 3524</t>
  </si>
  <si>
    <t>Esc. 3525</t>
  </si>
  <si>
    <t>Esc. 3526</t>
  </si>
  <si>
    <t>Esc. 3527</t>
  </si>
  <si>
    <t>Esc. 3528</t>
  </si>
  <si>
    <t>Esc. 3529</t>
  </si>
  <si>
    <t>Esc. 3530</t>
  </si>
  <si>
    <t>Esc. 3531</t>
  </si>
  <si>
    <t>Esc. 3532</t>
  </si>
  <si>
    <t>Esc. 3533</t>
  </si>
  <si>
    <t>Esc. 3534</t>
  </si>
  <si>
    <t>Esc. 3535</t>
  </si>
  <si>
    <t>Esc. 3536</t>
  </si>
  <si>
    <t>Esc. 3537</t>
  </si>
  <si>
    <t>Esc. 3538</t>
  </si>
  <si>
    <t>Esc. 3539</t>
  </si>
  <si>
    <t>Esc. 3540</t>
  </si>
  <si>
    <t>Esc. 3541</t>
  </si>
  <si>
    <t>Esc. 3542</t>
  </si>
  <si>
    <t>Esc. 3543</t>
  </si>
  <si>
    <t>Esc. 3544</t>
  </si>
  <si>
    <t>Esc. 3545</t>
  </si>
  <si>
    <t>Esc. 3546</t>
  </si>
  <si>
    <t>Esc. 3547</t>
  </si>
  <si>
    <t>Esc. 3548</t>
  </si>
  <si>
    <t>Esc. 3549</t>
  </si>
  <si>
    <t>Esc. 3550</t>
  </si>
  <si>
    <t>Esc. 3551</t>
  </si>
  <si>
    <t>Esc. 3552</t>
  </si>
  <si>
    <t>Esc. 3553</t>
  </si>
  <si>
    <t>Esc. 3554</t>
  </si>
  <si>
    <t>Esc. 3555</t>
  </si>
  <si>
    <t>Esc. 3556</t>
  </si>
  <si>
    <t>Esc. 3557</t>
  </si>
  <si>
    <t>Esc. 3558</t>
  </si>
  <si>
    <t>Esc. 3559</t>
  </si>
  <si>
    <t>Esc. 3560</t>
  </si>
  <si>
    <t>Esc. 3561</t>
  </si>
  <si>
    <t>Esc. 3562</t>
  </si>
  <si>
    <t>Esc. 3563</t>
  </si>
  <si>
    <t>Esc. 3564</t>
  </si>
  <si>
    <t>Esc. 3565</t>
  </si>
  <si>
    <t>Esc. 3566</t>
  </si>
  <si>
    <t>Esc. 3567</t>
  </si>
  <si>
    <t>Esc. 3568</t>
  </si>
  <si>
    <t>Esc. 3569</t>
  </si>
  <si>
    <t>Esc. 3570</t>
  </si>
  <si>
    <t>Esc. 3571</t>
  </si>
  <si>
    <t>Esc. 3572</t>
  </si>
  <si>
    <t>Esc. 3573</t>
  </si>
  <si>
    <t>Esc. 3574</t>
  </si>
  <si>
    <t>Esc. 3575</t>
  </si>
  <si>
    <t>Esc. 3576</t>
  </si>
  <si>
    <t>Esc. 3577</t>
  </si>
  <si>
    <t>Esc. 3578</t>
  </si>
  <si>
    <t>Esc. 3579</t>
  </si>
  <si>
    <t>Esc. 3580</t>
  </si>
  <si>
    <t>Esc. 3581</t>
  </si>
  <si>
    <t>Esc. 3582</t>
  </si>
  <si>
    <t>Esc. 3583</t>
  </si>
  <si>
    <t>Esc. 3584</t>
  </si>
  <si>
    <t>Esc. 3585</t>
  </si>
  <si>
    <t>Esc. 3586</t>
  </si>
  <si>
    <t>Esc. 3587</t>
  </si>
  <si>
    <t>Esc. 3588</t>
  </si>
  <si>
    <t>Esc. 3589</t>
  </si>
  <si>
    <t>Esc. 3590</t>
  </si>
  <si>
    <t>Esc. 3591</t>
  </si>
  <si>
    <t>Esc. 3592</t>
  </si>
  <si>
    <t>Esc. 3593</t>
  </si>
  <si>
    <t>Esc. 3594</t>
  </si>
  <si>
    <t>Esc. 3595</t>
  </si>
  <si>
    <t>Esc. 3596</t>
  </si>
  <si>
    <t>Esc. 3597</t>
  </si>
  <si>
    <t>Esc. 3598</t>
  </si>
  <si>
    <t>Esc. 3599</t>
  </si>
  <si>
    <t>Esc. 3600</t>
  </si>
  <si>
    <t>Esc. 3601</t>
  </si>
  <si>
    <t>Esc. 3602</t>
  </si>
  <si>
    <t>Esc. 3603</t>
  </si>
  <si>
    <t>Esc. 3604</t>
  </si>
  <si>
    <t>Esc. 3605</t>
  </si>
  <si>
    <t>Esc. 3606</t>
  </si>
  <si>
    <t>Esc. 3607</t>
  </si>
  <si>
    <t>Esc. 3608</t>
  </si>
  <si>
    <t>Esc. 3609</t>
  </si>
  <si>
    <t>Esc. 3610</t>
  </si>
  <si>
    <t>Esc. 3611</t>
  </si>
  <si>
    <t>Esc. 3612</t>
  </si>
  <si>
    <t>Esc. 3613</t>
  </si>
  <si>
    <t>Esc. 3614</t>
  </si>
  <si>
    <t>Esc. 3615</t>
  </si>
  <si>
    <t>Esc. 3616</t>
  </si>
  <si>
    <t>Esc. 3617</t>
  </si>
  <si>
    <t>Esc. 3618</t>
  </si>
  <si>
    <t>Esc. 3619</t>
  </si>
  <si>
    <t>Esc. 3620</t>
  </si>
  <si>
    <t>Esc. 3621</t>
  </si>
  <si>
    <t>Esc. 3622</t>
  </si>
  <si>
    <t>Esc. 3623</t>
  </si>
  <si>
    <t>Esc. 3624</t>
  </si>
  <si>
    <t>Esc. 3625</t>
  </si>
  <si>
    <t>Esc. 3626</t>
  </si>
  <si>
    <t>Esc. 3627</t>
  </si>
  <si>
    <t>Esc. 3628</t>
  </si>
  <si>
    <t>Esc. 3629</t>
  </si>
  <si>
    <t>Esc. 3630</t>
  </si>
  <si>
    <t>Esc. 3631</t>
  </si>
  <si>
    <t>Esc. 3632</t>
  </si>
  <si>
    <t>Esc. 3633</t>
  </si>
  <si>
    <t>Esc. 3634</t>
  </si>
  <si>
    <t>Esc. 3635</t>
  </si>
  <si>
    <t>Esc. 3636</t>
  </si>
  <si>
    <t>Esc. 3637</t>
  </si>
  <si>
    <t>Esc. 3638</t>
  </si>
  <si>
    <t>Esc. 3639</t>
  </si>
  <si>
    <t>Esc. 3640</t>
  </si>
  <si>
    <t>Esc. 3641</t>
  </si>
  <si>
    <t>Esc. 3642</t>
  </si>
  <si>
    <t>Esc. 3643</t>
  </si>
  <si>
    <t>Esc. 3644</t>
  </si>
  <si>
    <t>Esc. 3645</t>
  </si>
  <si>
    <t>Esc. 3646</t>
  </si>
  <si>
    <t>Esc. 3647</t>
  </si>
  <si>
    <t>Esc. 3648</t>
  </si>
  <si>
    <t>Esc. 3649</t>
  </si>
  <si>
    <t>Esc. 3650</t>
  </si>
  <si>
    <t>Esc. 3651</t>
  </si>
  <si>
    <t>Esc. 3652</t>
  </si>
  <si>
    <t>Esc. 3653</t>
  </si>
  <si>
    <t>Esc. 3654</t>
  </si>
  <si>
    <t>Esc. 3655</t>
  </si>
  <si>
    <t>Esc. 3656</t>
  </si>
  <si>
    <t>Esc. 3657</t>
  </si>
  <si>
    <t>Esc. 3658</t>
  </si>
  <si>
    <t>Esc. 3659</t>
  </si>
  <si>
    <t>Esc. 3660</t>
  </si>
  <si>
    <t>Esc. 3661</t>
  </si>
  <si>
    <t>Esc. 3662</t>
  </si>
  <si>
    <t>Esc. 3663</t>
  </si>
  <si>
    <t>Esc. 3664</t>
  </si>
  <si>
    <t>Esc. 3665</t>
  </si>
  <si>
    <t>Esc. 3666</t>
  </si>
  <si>
    <t>Esc. 3667</t>
  </si>
  <si>
    <t>Esc. 3668</t>
  </si>
  <si>
    <t>Esc. 3669</t>
  </si>
  <si>
    <t>Esc. 3670</t>
  </si>
  <si>
    <t>Esc. 3671</t>
  </si>
  <si>
    <t>Esc. 3672</t>
  </si>
  <si>
    <t>Esc. 3673</t>
  </si>
  <si>
    <t>Esc. 3674</t>
  </si>
  <si>
    <t>Esc. 3675</t>
  </si>
  <si>
    <t>Esc. 3676</t>
  </si>
  <si>
    <t>Esc. 3677</t>
  </si>
  <si>
    <t>Esc. 3678</t>
  </si>
  <si>
    <t>Esc. 3679</t>
  </si>
  <si>
    <t>Esc. 3680</t>
  </si>
  <si>
    <t>Esc. 3681</t>
  </si>
  <si>
    <t>Esc. 3682</t>
  </si>
  <si>
    <t>Esc. 3683</t>
  </si>
  <si>
    <t>Esc. 3684</t>
  </si>
  <si>
    <t>Esc. 3685</t>
  </si>
  <si>
    <t>Esc. 3686</t>
  </si>
  <si>
    <t>Esc. 3687</t>
  </si>
  <si>
    <t>Esc. 3688</t>
  </si>
  <si>
    <t>Esc. 3689</t>
  </si>
  <si>
    <t>Esc. 3690</t>
  </si>
  <si>
    <t>Esc. 3691</t>
  </si>
  <si>
    <t>Esc. 3692</t>
  </si>
  <si>
    <t>Esc. 3693</t>
  </si>
  <si>
    <t>Esc. 3694</t>
  </si>
  <si>
    <t>Esc. 3695</t>
  </si>
  <si>
    <t>Esc. 3696</t>
  </si>
  <si>
    <t>Esc. 3697</t>
  </si>
  <si>
    <t>Esc. 3698</t>
  </si>
  <si>
    <t>Esc. 3699</t>
  </si>
  <si>
    <t>Esc. 3700</t>
  </si>
  <si>
    <t>Esc. 3701</t>
  </si>
  <si>
    <t>Esc. 3702</t>
  </si>
  <si>
    <t>Esc. 3703</t>
  </si>
  <si>
    <t>Esc. 3704</t>
  </si>
  <si>
    <t>Esc. 3705</t>
  </si>
  <si>
    <t>Esc. 3706</t>
  </si>
  <si>
    <t>Esc. 3707</t>
  </si>
  <si>
    <t>Esc. 3708</t>
  </si>
  <si>
    <t>Esc. 3709</t>
  </si>
  <si>
    <t>Esc. 3710</t>
  </si>
  <si>
    <t>Esc. 3711</t>
  </si>
  <si>
    <t>Esc. 3712</t>
  </si>
  <si>
    <t>Esc. 3713</t>
  </si>
  <si>
    <t>Esc. 3714</t>
  </si>
  <si>
    <t>Esc. 3715</t>
  </si>
  <si>
    <t>Esc. 3716</t>
  </si>
  <si>
    <t>Esc. 3717</t>
  </si>
  <si>
    <t>Esc. 3718</t>
  </si>
  <si>
    <t>Esc. 3719</t>
  </si>
  <si>
    <t>Esc. 3720</t>
  </si>
  <si>
    <t>Esc. 3721</t>
  </si>
  <si>
    <t>Esc. 3722</t>
  </si>
  <si>
    <t>Esc. 3723</t>
  </si>
  <si>
    <t>Esc. 3724</t>
  </si>
  <si>
    <t>Esc. 3725</t>
  </si>
  <si>
    <t>Esc. 3726</t>
  </si>
  <si>
    <t>Esc. 3727</t>
  </si>
  <si>
    <t>Esc. 3728</t>
  </si>
  <si>
    <t>Esc. 3729</t>
  </si>
  <si>
    <t>Esc. 3730</t>
  </si>
  <si>
    <t>Esc. 3731</t>
  </si>
  <si>
    <t>Esc. 3732</t>
  </si>
  <si>
    <t>Esc. 3733</t>
  </si>
  <si>
    <t>Esc. 3734</t>
  </si>
  <si>
    <t>Esc. 3735</t>
  </si>
  <si>
    <t>Esc. 3736</t>
  </si>
  <si>
    <t>Esc. 3737</t>
  </si>
  <si>
    <t>Esc. 3738</t>
  </si>
  <si>
    <t>Esc. 3739</t>
  </si>
  <si>
    <t>Esc. 3740</t>
  </si>
  <si>
    <t>Esc. 3741</t>
  </si>
  <si>
    <t>Esc. 3742</t>
  </si>
  <si>
    <t>Esc. 3743</t>
  </si>
  <si>
    <t>Esc. 3744</t>
  </si>
  <si>
    <t>Esc. 3745</t>
  </si>
  <si>
    <t>Esc. 3746</t>
  </si>
  <si>
    <t>Esc. 3747</t>
  </si>
  <si>
    <t>Esc. 3748</t>
  </si>
  <si>
    <t>Esc. 3749</t>
  </si>
  <si>
    <t>Esc. 3750</t>
  </si>
  <si>
    <t>Esc. 3751</t>
  </si>
  <si>
    <t>Esc. 3752</t>
  </si>
  <si>
    <t>Esc. 3753</t>
  </si>
  <si>
    <t>Esc. 3754</t>
  </si>
  <si>
    <t>Esc. 3755</t>
  </si>
  <si>
    <t>Esc. 3756</t>
  </si>
  <si>
    <t>Esc. 3757</t>
  </si>
  <si>
    <t>Esc. 3758</t>
  </si>
  <si>
    <t>Esc. 3759</t>
  </si>
  <si>
    <t>Esc. 3760</t>
  </si>
  <si>
    <t>Esc. 3761</t>
  </si>
  <si>
    <t>Esc. 3762</t>
  </si>
  <si>
    <t>Esc. 3763</t>
  </si>
  <si>
    <t>Esc. 3764</t>
  </si>
  <si>
    <t>Esc. 3765</t>
  </si>
  <si>
    <t>Esc. 3766</t>
  </si>
  <si>
    <t>Esc. 3767</t>
  </si>
  <si>
    <t>Esc. 3768</t>
  </si>
  <si>
    <t>Esc. 3769</t>
  </si>
  <si>
    <t>Esc. 3770</t>
  </si>
  <si>
    <t>Esc. 3771</t>
  </si>
  <si>
    <t>Esc. 3772</t>
  </si>
  <si>
    <t>Esc. 3773</t>
  </si>
  <si>
    <t>Esc. 3774</t>
  </si>
  <si>
    <t>Esc. 3775</t>
  </si>
  <si>
    <t>Esc. 3776</t>
  </si>
  <si>
    <t>Esc. 3777</t>
  </si>
  <si>
    <t>Esc. 3778</t>
  </si>
  <si>
    <t>Esc. 3779</t>
  </si>
  <si>
    <t>Esc. 3780</t>
  </si>
  <si>
    <t>Esc. 3781</t>
  </si>
  <si>
    <t>Esc. 3782</t>
  </si>
  <si>
    <t>Esc. 3783</t>
  </si>
  <si>
    <t>Esc. 3784</t>
  </si>
  <si>
    <t>Esc. 3785</t>
  </si>
  <si>
    <t>Esc. 3786</t>
  </si>
  <si>
    <t>Esc. 3787</t>
  </si>
  <si>
    <t>Esc. 3788</t>
  </si>
  <si>
    <t>Esc. 3789</t>
  </si>
  <si>
    <t>Esc. 3790</t>
  </si>
  <si>
    <t>Esc. 3791</t>
  </si>
  <si>
    <t>Esc. 3792</t>
  </si>
  <si>
    <t>Esc. 3793</t>
  </si>
  <si>
    <t>Esc. 3794</t>
  </si>
  <si>
    <t>Esc. 3795</t>
  </si>
  <si>
    <t>Esc. 3796</t>
  </si>
  <si>
    <t>Esc. 3797</t>
  </si>
  <si>
    <t>Esc. 3798</t>
  </si>
  <si>
    <t>Esc. 3799</t>
  </si>
  <si>
    <t>Esc. 3800</t>
  </si>
  <si>
    <t>Esc. 3801</t>
  </si>
  <si>
    <t>Esc. 3802</t>
  </si>
  <si>
    <t>Esc. 3803</t>
  </si>
  <si>
    <t>Esc. 3804</t>
  </si>
  <si>
    <t>Esc. 3805</t>
  </si>
  <si>
    <t>Esc. 3806</t>
  </si>
  <si>
    <t>Esc. 3807</t>
  </si>
  <si>
    <t>Esc. 3808</t>
  </si>
  <si>
    <t>Esc. 3809</t>
  </si>
  <si>
    <t>Esc. 3810</t>
  </si>
  <si>
    <t>Esc. 3811</t>
  </si>
  <si>
    <t>Esc. 3812</t>
  </si>
  <si>
    <t>Esc. 3813</t>
  </si>
  <si>
    <t>Esc. 3814</t>
  </si>
  <si>
    <t>Esc. 3815</t>
  </si>
  <si>
    <t>Esc. 3816</t>
  </si>
  <si>
    <t>Esc. 3817</t>
  </si>
  <si>
    <t>Esc. 3818</t>
  </si>
  <si>
    <t>Esc. 3819</t>
  </si>
  <si>
    <t>Esc. 3820</t>
  </si>
  <si>
    <t>Esc. 3821</t>
  </si>
  <si>
    <t>Esc. 3822</t>
  </si>
  <si>
    <t>Esc. 3823</t>
  </si>
  <si>
    <t>Esc. 3824</t>
  </si>
  <si>
    <t>Esc. 3825</t>
  </si>
  <si>
    <t>Esc. 3826</t>
  </si>
  <si>
    <t>Esc. 3827</t>
  </si>
  <si>
    <t>Esc. 3828</t>
  </si>
  <si>
    <t>Esc. 3829</t>
  </si>
  <si>
    <t>Esc. 3830</t>
  </si>
  <si>
    <t>Esc. 3831</t>
  </si>
  <si>
    <t>Esc. 3832</t>
  </si>
  <si>
    <t>Esc. 3833</t>
  </si>
  <si>
    <t>Esc. 3834</t>
  </si>
  <si>
    <t>Esc. 3835</t>
  </si>
  <si>
    <t>Esc. 3836</t>
  </si>
  <si>
    <t>Esc. 3837</t>
  </si>
  <si>
    <t>Esc. 3838</t>
  </si>
  <si>
    <t>Esc. 3839</t>
  </si>
  <si>
    <t>Esc. 3840</t>
  </si>
  <si>
    <t>Esc. 3841</t>
  </si>
  <si>
    <t>Esc. 3842</t>
  </si>
  <si>
    <t>Esc. 3843</t>
  </si>
  <si>
    <t>Esc. 3844</t>
  </si>
  <si>
    <t>Esc. 3845</t>
  </si>
  <si>
    <t>Esc. 3846</t>
  </si>
  <si>
    <t>Esc. 3847</t>
  </si>
  <si>
    <t>Esc. 3848</t>
  </si>
  <si>
    <t>Esc. 3849</t>
  </si>
  <si>
    <t>Esc. 3850</t>
  </si>
  <si>
    <t>Esc. 3851</t>
  </si>
  <si>
    <t>Esc. 3852</t>
  </si>
  <si>
    <t>Esc. 3853</t>
  </si>
  <si>
    <t>Esc. 3854</t>
  </si>
  <si>
    <t>Esc. 3855</t>
  </si>
  <si>
    <t>Esc. 3856</t>
  </si>
  <si>
    <t>Esc. 3857</t>
  </si>
  <si>
    <t>Esc. 3858</t>
  </si>
  <si>
    <t>Esc. 3859</t>
  </si>
  <si>
    <t>Esc. 3860</t>
  </si>
  <si>
    <t>Esc. 3861</t>
  </si>
  <si>
    <t>Esc. 3862</t>
  </si>
  <si>
    <t>Esc. 3863</t>
  </si>
  <si>
    <t>Esc. 3864</t>
  </si>
  <si>
    <t>Esc. 3865</t>
  </si>
  <si>
    <t>Esc. 3866</t>
  </si>
  <si>
    <t>Esc. 3867</t>
  </si>
  <si>
    <t>Esc. 3868</t>
  </si>
  <si>
    <t>Esc. 3869</t>
  </si>
  <si>
    <t>Esc. 3870</t>
  </si>
  <si>
    <t>Esc. 3871</t>
  </si>
  <si>
    <t>Esc. 3872</t>
  </si>
  <si>
    <t>Esc. 3873</t>
  </si>
  <si>
    <t>Esc. 3874</t>
  </si>
  <si>
    <t>Esc. 3875</t>
  </si>
  <si>
    <t>Esc. 3876</t>
  </si>
  <si>
    <t>Esc. 3877</t>
  </si>
  <si>
    <t>Esc. 3878</t>
  </si>
  <si>
    <t>Esc. 3879</t>
  </si>
  <si>
    <t>Esc. 3880</t>
  </si>
  <si>
    <t>Esc. 3881</t>
  </si>
  <si>
    <t>Esc. 3882</t>
  </si>
  <si>
    <t>Esc. 3883</t>
  </si>
  <si>
    <t>Esc. 3884</t>
  </si>
  <si>
    <t>Esc. 3885</t>
  </si>
  <si>
    <t>Esc. 3886</t>
  </si>
  <si>
    <t>Esc. 3887</t>
  </si>
  <si>
    <t>Esc. 3888</t>
  </si>
  <si>
    <t>Esc. 3889</t>
  </si>
  <si>
    <t>Esc. 3890</t>
  </si>
  <si>
    <t>Esc. 3891</t>
  </si>
  <si>
    <t>Esc. 3892</t>
  </si>
  <si>
    <t>Esc. 3893</t>
  </si>
  <si>
    <t>Esc. 3894</t>
  </si>
  <si>
    <t>Esc. 3895</t>
  </si>
  <si>
    <t>Esc. 3896</t>
  </si>
  <si>
    <t>Esc. 3897</t>
  </si>
  <si>
    <t>Esc. 3898</t>
  </si>
  <si>
    <t>Esc. 3899</t>
  </si>
  <si>
    <t>Esc. 3900</t>
  </si>
  <si>
    <t>Esc. 3901</t>
  </si>
  <si>
    <t>Esc. 3902</t>
  </si>
  <si>
    <t>Esc. 3903</t>
  </si>
  <si>
    <t>Esc. 3904</t>
  </si>
  <si>
    <t>Esc. 3905</t>
  </si>
  <si>
    <t>Esc. 3906</t>
  </si>
  <si>
    <t>Esc. 3907</t>
  </si>
  <si>
    <t>Esc. 3908</t>
  </si>
  <si>
    <t>Esc. 3909</t>
  </si>
  <si>
    <t>Esc. 3910</t>
  </si>
  <si>
    <t>Esc. 3911</t>
  </si>
  <si>
    <t>Esc. 3912</t>
  </si>
  <si>
    <t>Esc. 3913</t>
  </si>
  <si>
    <t>Esc. 3914</t>
  </si>
  <si>
    <t>Esc. 3915</t>
  </si>
  <si>
    <t>Esc. 3916</t>
  </si>
  <si>
    <t>Esc. 3917</t>
  </si>
  <si>
    <t>Esc. 3918</t>
  </si>
  <si>
    <t>Esc. 3919</t>
  </si>
  <si>
    <t>Esc. 3920</t>
  </si>
  <si>
    <t>Esc. 3921</t>
  </si>
  <si>
    <t>Esc. 3922</t>
  </si>
  <si>
    <t>Esc. 3923</t>
  </si>
  <si>
    <t>Esc. 3924</t>
  </si>
  <si>
    <t>Esc. 3925</t>
  </si>
  <si>
    <t>Esc. 3926</t>
  </si>
  <si>
    <t>Esc. 3927</t>
  </si>
  <si>
    <t>Esc. 3928</t>
  </si>
  <si>
    <t>Esc. 3929</t>
  </si>
  <si>
    <t>Esc. 3930</t>
  </si>
  <si>
    <t>Esc. 3931</t>
  </si>
  <si>
    <t>Esc. 3932</t>
  </si>
  <si>
    <t>Esc. 3933</t>
  </si>
  <si>
    <t>Esc. 3934</t>
  </si>
  <si>
    <t>Esc. 3935</t>
  </si>
  <si>
    <t>Esc. 3936</t>
  </si>
  <si>
    <t>Esc. 3937</t>
  </si>
  <si>
    <t>Esc. 3938</t>
  </si>
  <si>
    <t>Esc. 3939</t>
  </si>
  <si>
    <t>Esc. 3940</t>
  </si>
  <si>
    <t>Esc. 3941</t>
  </si>
  <si>
    <t>Esc. 3942</t>
  </si>
  <si>
    <t>Esc. 3943</t>
  </si>
  <si>
    <t>Esc. 3944</t>
  </si>
  <si>
    <t>Esc. 3945</t>
  </si>
  <si>
    <t>Esc. 3946</t>
  </si>
  <si>
    <t>Esc. 3947</t>
  </si>
  <si>
    <t>Esc. 3948</t>
  </si>
  <si>
    <t>Esc. 3949</t>
  </si>
  <si>
    <t>Esc. 3950</t>
  </si>
  <si>
    <t>Esc. 3951</t>
  </si>
  <si>
    <t>Esc. 3952</t>
  </si>
  <si>
    <t>Esc. 3953</t>
  </si>
  <si>
    <t>Esc. 3954</t>
  </si>
  <si>
    <t>Esc. 3955</t>
  </si>
  <si>
    <t>Esc. 3956</t>
  </si>
  <si>
    <t>Esc. 3957</t>
  </si>
  <si>
    <t>Esc. 3958</t>
  </si>
  <si>
    <t>Esc. 3959</t>
  </si>
  <si>
    <t>Esc. 3960</t>
  </si>
  <si>
    <t>Esc. 3961</t>
  </si>
  <si>
    <t>Esc. 3962</t>
  </si>
  <si>
    <t>Esc. 3963</t>
  </si>
  <si>
    <t>Esc. 3964</t>
  </si>
  <si>
    <t>Esc. 3965</t>
  </si>
  <si>
    <t>Esc. 3966</t>
  </si>
  <si>
    <t>Esc. 3967</t>
  </si>
  <si>
    <t>Esc. 3968</t>
  </si>
  <si>
    <t>Esc. 3969</t>
  </si>
  <si>
    <t>Esc. 3970</t>
  </si>
  <si>
    <t>Esc. 3971</t>
  </si>
  <si>
    <t>Esc. 3972</t>
  </si>
  <si>
    <t>Esc. 3973</t>
  </si>
  <si>
    <t>Esc. 3974</t>
  </si>
  <si>
    <t>Esc. 3975</t>
  </si>
  <si>
    <t>Esc. 3976</t>
  </si>
  <si>
    <t>Esc. 3977</t>
  </si>
  <si>
    <t>Esc. 3978</t>
  </si>
  <si>
    <t>Esc. 3979</t>
  </si>
  <si>
    <t>Esc. 3980</t>
  </si>
  <si>
    <t>Esc. 3981</t>
  </si>
  <si>
    <t>Esc. 3982</t>
  </si>
  <si>
    <t>Esc. 3983</t>
  </si>
  <si>
    <t>Esc. 3984</t>
  </si>
  <si>
    <t>Esc. 3985</t>
  </si>
  <si>
    <t>Esc. 3986</t>
  </si>
  <si>
    <t>Esc. 3987</t>
  </si>
  <si>
    <t>Esc. 3988</t>
  </si>
  <si>
    <t>Esc. 3989</t>
  </si>
  <si>
    <t>Esc. 3990</t>
  </si>
  <si>
    <t>Esc. 3991</t>
  </si>
  <si>
    <t>Esc. 3992</t>
  </si>
  <si>
    <t>Esc. 3993</t>
  </si>
  <si>
    <t>Esc. 3994</t>
  </si>
  <si>
    <t>Esc. 3995</t>
  </si>
  <si>
    <t>Esc. 3996</t>
  </si>
  <si>
    <t>Esc. 3997</t>
  </si>
  <si>
    <t>Esc. 3998</t>
  </si>
  <si>
    <t>Esc. 3999</t>
  </si>
  <si>
    <t>Esc. 4000</t>
  </si>
  <si>
    <t>Esc. 4001</t>
  </si>
  <si>
    <t>Esc. 4002</t>
  </si>
  <si>
    <t>Esc. 4003</t>
  </si>
  <si>
    <t>Esc. 4004</t>
  </si>
  <si>
    <t>Esc. 4005</t>
  </si>
  <si>
    <t>Esc. 4006</t>
  </si>
  <si>
    <t>Esc. 4007</t>
  </si>
  <si>
    <t>Esc. 4008</t>
  </si>
  <si>
    <t>Esc. 4009</t>
  </si>
  <si>
    <t>Esc. 4010</t>
  </si>
  <si>
    <t>Esc. 4011</t>
  </si>
  <si>
    <t>Esc. 4012</t>
  </si>
  <si>
    <t>Esc. 4013</t>
  </si>
  <si>
    <t>Esc. 4014</t>
  </si>
  <si>
    <t>Esc. 4015</t>
  </si>
  <si>
    <t>Esc. 4016</t>
  </si>
  <si>
    <t>Esc. 4017</t>
  </si>
  <si>
    <t>Esc. 4018</t>
  </si>
  <si>
    <t>Esc. 4019</t>
  </si>
  <si>
    <t>Esc. 4020</t>
  </si>
  <si>
    <t>Esc. 4021</t>
  </si>
  <si>
    <t>Esc. 4022</t>
  </si>
  <si>
    <t>Esc. 4023</t>
  </si>
  <si>
    <t>Esc. 4024</t>
  </si>
  <si>
    <t>Esc. 4025</t>
  </si>
  <si>
    <t>Esc. 4026</t>
  </si>
  <si>
    <t>Esc. 4027</t>
  </si>
  <si>
    <t>Esc. 4028</t>
  </si>
  <si>
    <t>Esc. 4029</t>
  </si>
  <si>
    <t>Esc. 4030</t>
  </si>
  <si>
    <t>Esc. 4031</t>
  </si>
  <si>
    <t>Esc. 4032</t>
  </si>
  <si>
    <t>Esc. 4033</t>
  </si>
  <si>
    <t>Esc. 4034</t>
  </si>
  <si>
    <t>Esc. 4035</t>
  </si>
  <si>
    <t>Esc. 4036</t>
  </si>
  <si>
    <t>Esc. 4037</t>
  </si>
  <si>
    <t>Esc. 4038</t>
  </si>
  <si>
    <t>Esc. 4039</t>
  </si>
  <si>
    <t>Esc. 4040</t>
  </si>
  <si>
    <t>Esc. 4041</t>
  </si>
  <si>
    <t>Esc. 4042</t>
  </si>
  <si>
    <t>Esc. 4043</t>
  </si>
  <si>
    <t>Esc. 4044</t>
  </si>
  <si>
    <t>Esc. 4045</t>
  </si>
  <si>
    <t>Esc. 4046</t>
  </si>
  <si>
    <t>Esc. 4047</t>
  </si>
  <si>
    <t>Esc. 4048</t>
  </si>
  <si>
    <t>Esc. 4049</t>
  </si>
  <si>
    <t>Esc. 4050</t>
  </si>
  <si>
    <t>Esc. 4051</t>
  </si>
  <si>
    <t>Esc. 4052</t>
  </si>
  <si>
    <t>Esc. 4053</t>
  </si>
  <si>
    <t>Esc. 4054</t>
  </si>
  <si>
    <t>Esc. 4055</t>
  </si>
  <si>
    <t>Esc. 4056</t>
  </si>
  <si>
    <t>Esc. 4057</t>
  </si>
  <si>
    <t>Esc. 4058</t>
  </si>
  <si>
    <t>Esc. 4059</t>
  </si>
  <si>
    <t>Esc. 4060</t>
  </si>
  <si>
    <t>Esc. 4061</t>
  </si>
  <si>
    <t>Esc. 4062</t>
  </si>
  <si>
    <t>Esc. 4063</t>
  </si>
  <si>
    <t>Esc. 4064</t>
  </si>
  <si>
    <t>Esc. 4065</t>
  </si>
  <si>
    <t>Esc. 4066</t>
  </si>
  <si>
    <t>Esc. 4067</t>
  </si>
  <si>
    <t>Esc. 4068</t>
  </si>
  <si>
    <t>Esc. 4069</t>
  </si>
  <si>
    <t>Esc. 4070</t>
  </si>
  <si>
    <t>Esc. 4071</t>
  </si>
  <si>
    <t>Esc. 4072</t>
  </si>
  <si>
    <t>Esc. 4073</t>
  </si>
  <si>
    <t>Esc. 4074</t>
  </si>
  <si>
    <t>Esc. 4075</t>
  </si>
  <si>
    <t>Esc. 4076</t>
  </si>
  <si>
    <t>Esc. 4077</t>
  </si>
  <si>
    <t>Esc. 4078</t>
  </si>
  <si>
    <t>Esc. 4079</t>
  </si>
  <si>
    <t>Esc. 4080</t>
  </si>
  <si>
    <t>Esc. 4081</t>
  </si>
  <si>
    <t>Esc. 4082</t>
  </si>
  <si>
    <t>Esc. 4083</t>
  </si>
  <si>
    <t>Esc. 4084</t>
  </si>
  <si>
    <t>Esc. 4085</t>
  </si>
  <si>
    <t>Esc. 4086</t>
  </si>
  <si>
    <t>Esc. 4087</t>
  </si>
  <si>
    <t>Esc. 4088</t>
  </si>
  <si>
    <t>Esc. 4089</t>
  </si>
  <si>
    <t>Esc. 4090</t>
  </si>
  <si>
    <t>Esc. 4091</t>
  </si>
  <si>
    <t>Esc. 4092</t>
  </si>
  <si>
    <t>Esc. 4093</t>
  </si>
  <si>
    <t>Esc. 4094</t>
  </si>
  <si>
    <t>Esc. 4095</t>
  </si>
  <si>
    <t>Esc. 4096</t>
  </si>
  <si>
    <t>Esc. 4097</t>
  </si>
  <si>
    <t>Esc. 4098</t>
  </si>
  <si>
    <t>Esc. 4099</t>
  </si>
  <si>
    <t>Esc. 4100</t>
  </si>
  <si>
    <t>Esc. 4101</t>
  </si>
  <si>
    <t>Esc. 4102</t>
  </si>
  <si>
    <t>Esc. 4103</t>
  </si>
  <si>
    <t>Esc. 4104</t>
  </si>
  <si>
    <t>Esc. 4105</t>
  </si>
  <si>
    <t>Esc. 4106</t>
  </si>
  <si>
    <t>Esc. 4107</t>
  </si>
  <si>
    <t>Esc. 4108</t>
  </si>
  <si>
    <t>Esc. 4109</t>
  </si>
  <si>
    <t>Esc. 4110</t>
  </si>
  <si>
    <t>Esc. 4111</t>
  </si>
  <si>
    <t>Esc. 4112</t>
  </si>
  <si>
    <t>Esc. 4113</t>
  </si>
  <si>
    <t>Esc. 4114</t>
  </si>
  <si>
    <t>Esc. 4115</t>
  </si>
  <si>
    <t>Esc. 4116</t>
  </si>
  <si>
    <t>Esc. 4117</t>
  </si>
  <si>
    <t>Esc. 4118</t>
  </si>
  <si>
    <t>Esc. 4119</t>
  </si>
  <si>
    <t>Esc. 4120</t>
  </si>
  <si>
    <t>Esc. 4121</t>
  </si>
  <si>
    <t>Esc. 4122</t>
  </si>
  <si>
    <t>Esc. 4123</t>
  </si>
  <si>
    <t>Esc. 4124</t>
  </si>
  <si>
    <t>Esc. 4125</t>
  </si>
  <si>
    <t>Esc. 4126</t>
  </si>
  <si>
    <t>Esc. 4127</t>
  </si>
  <si>
    <t>Esc. 4128</t>
  </si>
  <si>
    <t>Esc. 4129</t>
  </si>
  <si>
    <t>Esc. 4130</t>
  </si>
  <si>
    <t>Esc. 4131</t>
  </si>
  <si>
    <t>Esc. 4132</t>
  </si>
  <si>
    <t>Esc. 4133</t>
  </si>
  <si>
    <t>Esc. 4134</t>
  </si>
  <si>
    <t>Esc. 4135</t>
  </si>
  <si>
    <t>Esc. 4136</t>
  </si>
  <si>
    <t>Esc. 4137</t>
  </si>
  <si>
    <t>Esc. 4138</t>
  </si>
  <si>
    <t>Esc. 4139</t>
  </si>
  <si>
    <t>Esc. 4140</t>
  </si>
  <si>
    <t>Esc. 4141</t>
  </si>
  <si>
    <t>Esc. 4142</t>
  </si>
  <si>
    <t>Esc. 4143</t>
  </si>
  <si>
    <t>Esc. 4144</t>
  </si>
  <si>
    <t>Esc. 4145</t>
  </si>
  <si>
    <t>Esc. 4146</t>
  </si>
  <si>
    <t>Esc. 4147</t>
  </si>
  <si>
    <t>Esc. 4148</t>
  </si>
  <si>
    <t>Esc. 4149</t>
  </si>
  <si>
    <t>Esc. 4150</t>
  </si>
  <si>
    <t>Esc. 4151</t>
  </si>
  <si>
    <t>Esc. 4152</t>
  </si>
  <si>
    <t>Esc. 4153</t>
  </si>
  <si>
    <t>Esc. 4154</t>
  </si>
  <si>
    <t>Esc. 4155</t>
  </si>
  <si>
    <t>Esc. 4156</t>
  </si>
  <si>
    <t>Esc. 4157</t>
  </si>
  <si>
    <t>Esc. 4158</t>
  </si>
  <si>
    <t>Esc. 4159</t>
  </si>
  <si>
    <t>Esc. 4160</t>
  </si>
  <si>
    <t>Esc. 4161</t>
  </si>
  <si>
    <t>Esc. 4162</t>
  </si>
  <si>
    <t>Esc. 4163</t>
  </si>
  <si>
    <t>Esc. 4164</t>
  </si>
  <si>
    <t>Esc. 4165</t>
  </si>
  <si>
    <t>Esc. 4166</t>
  </si>
  <si>
    <t>Esc. 4167</t>
  </si>
  <si>
    <t>Esc. 4168</t>
  </si>
  <si>
    <t>Esc. 4169</t>
  </si>
  <si>
    <t>Esc. 4170</t>
  </si>
  <si>
    <t>Esc. 4171</t>
  </si>
  <si>
    <t>Esc. 4172</t>
  </si>
  <si>
    <t>Esc. 4173</t>
  </si>
  <si>
    <t>Esc. 4174</t>
  </si>
  <si>
    <t>Esc. 4175</t>
  </si>
  <si>
    <t>Esc. 4176</t>
  </si>
  <si>
    <t>Esc. 4177</t>
  </si>
  <si>
    <t>Esc. 4178</t>
  </si>
  <si>
    <t>Esc. 4179</t>
  </si>
  <si>
    <t>Esc. 4180</t>
  </si>
  <si>
    <t>Esc. 4181</t>
  </si>
  <si>
    <t>Esc. 4182</t>
  </si>
  <si>
    <t>Esc. 4183</t>
  </si>
  <si>
    <t>Esc. 4184</t>
  </si>
  <si>
    <t>Esc. 4185</t>
  </si>
  <si>
    <t>Esc. 4186</t>
  </si>
  <si>
    <t>Esc. 4187</t>
  </si>
  <si>
    <t>Esc. 4188</t>
  </si>
  <si>
    <t>Esc. 4189</t>
  </si>
  <si>
    <t>Esc. 4190</t>
  </si>
  <si>
    <t>Esc. 4191</t>
  </si>
  <si>
    <t>Esc. 4192</t>
  </si>
  <si>
    <t>Esc. 4193</t>
  </si>
  <si>
    <t>Esc. 4194</t>
  </si>
  <si>
    <t>Esc. 4195</t>
  </si>
  <si>
    <t>Esc. 4196</t>
  </si>
  <si>
    <t>Esc. 4197</t>
  </si>
  <si>
    <t>Esc. 4198</t>
  </si>
  <si>
    <t>Esc. 4199</t>
  </si>
  <si>
    <t>Esc. 4200</t>
  </si>
  <si>
    <t>Esc. 4201</t>
  </si>
  <si>
    <t>Esc. 4202</t>
  </si>
  <si>
    <t>Esc. 4203</t>
  </si>
  <si>
    <t>Esc. 4204</t>
  </si>
  <si>
    <t>Esc. 4205</t>
  </si>
  <si>
    <t>Esc. 4206</t>
  </si>
  <si>
    <t>Esc. 4207</t>
  </si>
  <si>
    <t>Esc. 4208</t>
  </si>
  <si>
    <t>Esc. 4209</t>
  </si>
  <si>
    <t>Esc. 4210</t>
  </si>
  <si>
    <t>Esc. 4211</t>
  </si>
  <si>
    <t>Esc. 4212</t>
  </si>
  <si>
    <t>Esc. 4213</t>
  </si>
  <si>
    <t>Esc. 4214</t>
  </si>
  <si>
    <t>Esc. 4215</t>
  </si>
  <si>
    <t>Esc. 4216</t>
  </si>
  <si>
    <t>Esc. 4217</t>
  </si>
  <si>
    <t>Esc. 4218</t>
  </si>
  <si>
    <t>Esc. 4219</t>
  </si>
  <si>
    <t>Esc. 4220</t>
  </si>
  <si>
    <t>Esc. 4221</t>
  </si>
  <si>
    <t>Esc. 4222</t>
  </si>
  <si>
    <t>Esc. 4223</t>
  </si>
  <si>
    <t>Esc. 4224</t>
  </si>
  <si>
    <t>Esc. 4225</t>
  </si>
  <si>
    <t>Esc. 4226</t>
  </si>
  <si>
    <t>Esc. 4227</t>
  </si>
  <si>
    <t>Esc. 4228</t>
  </si>
  <si>
    <t>Esc. 4229</t>
  </si>
  <si>
    <t>Esc. 4230</t>
  </si>
  <si>
    <t>Esc. 4231</t>
  </si>
  <si>
    <t>Esc. 4232</t>
  </si>
  <si>
    <t>Esc. 4233</t>
  </si>
  <si>
    <t>Esc. 4234</t>
  </si>
  <si>
    <t>Esc. 4235</t>
  </si>
  <si>
    <t>Esc. 4236</t>
  </si>
  <si>
    <t>Esc. 4237</t>
  </si>
  <si>
    <t>Esc. 4238</t>
  </si>
  <si>
    <t>Esc. 4239</t>
  </si>
  <si>
    <t>Esc. 4240</t>
  </si>
  <si>
    <t>Esc. 4241</t>
  </si>
  <si>
    <t>Esc. 4242</t>
  </si>
  <si>
    <t>Esc. 4243</t>
  </si>
  <si>
    <t>Esc. 4244</t>
  </si>
  <si>
    <t>Esc. 4245</t>
  </si>
  <si>
    <t>Esc. 4246</t>
  </si>
  <si>
    <t>Esc. 4247</t>
  </si>
  <si>
    <t>Esc. 4248</t>
  </si>
  <si>
    <t>Esc. 4249</t>
  </si>
  <si>
    <t>Esc. 4250</t>
  </si>
  <si>
    <t>Esc. 4251</t>
  </si>
  <si>
    <t>Esc. 4252</t>
  </si>
  <si>
    <t>Esc. 4253</t>
  </si>
  <si>
    <t>Esc. 4254</t>
  </si>
  <si>
    <t>Esc. 4255</t>
  </si>
  <si>
    <t>Esc. 4256</t>
  </si>
  <si>
    <t>Esc. 4257</t>
  </si>
  <si>
    <t>Esc. 4258</t>
  </si>
  <si>
    <t>Esc. 4259</t>
  </si>
  <si>
    <t>Esc. 4260</t>
  </si>
  <si>
    <t>Esc. 4261</t>
  </si>
  <si>
    <t>Esc. 4262</t>
  </si>
  <si>
    <t>Esc. 4263</t>
  </si>
  <si>
    <t>Esc. 4264</t>
  </si>
  <si>
    <t>Esc. 4265</t>
  </si>
  <si>
    <t>Esc. 4266</t>
  </si>
  <si>
    <t>Esc. 4267</t>
  </si>
  <si>
    <t>Esc. 4268</t>
  </si>
  <si>
    <t>Esc. 4269</t>
  </si>
  <si>
    <t>Esc. 4270</t>
  </si>
  <si>
    <t>Esc. 4271</t>
  </si>
  <si>
    <t>Esc. 4272</t>
  </si>
  <si>
    <t>Esc. 4273</t>
  </si>
  <si>
    <t>Esc. 4274</t>
  </si>
  <si>
    <t>Esc. 4275</t>
  </si>
  <si>
    <t>Esc. 4276</t>
  </si>
  <si>
    <t>Esc. 4277</t>
  </si>
  <si>
    <t>Esc. 4278</t>
  </si>
  <si>
    <t>Esc. 4279</t>
  </si>
  <si>
    <t>Esc. 4280</t>
  </si>
  <si>
    <t>Esc. 4281</t>
  </si>
  <si>
    <t>Esc. 4282</t>
  </si>
  <si>
    <t>Esc. 4283</t>
  </si>
  <si>
    <t>Esc. 4284</t>
  </si>
  <si>
    <t>Esc. 4285</t>
  </si>
  <si>
    <t>Esc. 4286</t>
  </si>
  <si>
    <t>Esc. 4287</t>
  </si>
  <si>
    <t>Esc. 4288</t>
  </si>
  <si>
    <t>Esc. 4289</t>
  </si>
  <si>
    <t>Esc. 4290</t>
  </si>
  <si>
    <t>Esc. 4291</t>
  </si>
  <si>
    <t>Esc. 4292</t>
  </si>
  <si>
    <t>Esc. 4293</t>
  </si>
  <si>
    <t>Esc. 4294</t>
  </si>
  <si>
    <t>Esc. 4295</t>
  </si>
  <si>
    <t>Esc. 4296</t>
  </si>
  <si>
    <t>Esc. 4297</t>
  </si>
  <si>
    <t>Esc. 4298</t>
  </si>
  <si>
    <t>Esc. 4299</t>
  </si>
  <si>
    <t>Esc. 4300</t>
  </si>
  <si>
    <t>Esc. 4301</t>
  </si>
  <si>
    <t>Esc. 4302</t>
  </si>
  <si>
    <t>Esc. 4303</t>
  </si>
  <si>
    <t>Esc. 4304</t>
  </si>
  <si>
    <t>Esc. 4305</t>
  </si>
  <si>
    <t>Esc. 4306</t>
  </si>
  <si>
    <t>Esc. 4307</t>
  </si>
  <si>
    <t>Esc. 4308</t>
  </si>
  <si>
    <t>Esc. 4309</t>
  </si>
  <si>
    <t>Esc. 4310</t>
  </si>
  <si>
    <t>Esc. 4311</t>
  </si>
  <si>
    <t>Esc. 4312</t>
  </si>
  <si>
    <t>Esc. 4313</t>
  </si>
  <si>
    <t>Esc. 4314</t>
  </si>
  <si>
    <t>Esc. 4315</t>
  </si>
  <si>
    <t>Esc. 4316</t>
  </si>
  <si>
    <t>Esc. 4317</t>
  </si>
  <si>
    <t>Esc. 4318</t>
  </si>
  <si>
    <t>Esc. 4319</t>
  </si>
  <si>
    <t>Esc. 4320</t>
  </si>
  <si>
    <t>Esc. 4321</t>
  </si>
  <si>
    <t>Esc. 4322</t>
  </si>
  <si>
    <t>Esc. 4323</t>
  </si>
  <si>
    <t>Esc. 4324</t>
  </si>
  <si>
    <t>Esc. 4325</t>
  </si>
  <si>
    <t>Esc. 4326</t>
  </si>
  <si>
    <t>Esc. 4327</t>
  </si>
  <si>
    <t>Esc. 4328</t>
  </si>
  <si>
    <t>Esc. 4329</t>
  </si>
  <si>
    <t>Esc. 4330</t>
  </si>
  <si>
    <t>Esc. 4331</t>
  </si>
  <si>
    <t>Esc. 4332</t>
  </si>
  <si>
    <t>Esc. 4333</t>
  </si>
  <si>
    <t>Esc. 4334</t>
  </si>
  <si>
    <t>Esc. 4335</t>
  </si>
  <si>
    <t>Esc. 4336</t>
  </si>
  <si>
    <t>Esc. 4337</t>
  </si>
  <si>
    <t>Esc. 4338</t>
  </si>
  <si>
    <t>Esc. 4339</t>
  </si>
  <si>
    <t>Esc. 4340</t>
  </si>
  <si>
    <t>Esc. 4341</t>
  </si>
  <si>
    <t>Esc. 4342</t>
  </si>
  <si>
    <t>Esc. 4343</t>
  </si>
  <si>
    <t>Esc. 4344</t>
  </si>
  <si>
    <t>Esc. 4345</t>
  </si>
  <si>
    <t>Esc. 4346</t>
  </si>
  <si>
    <t>Esc. 4347</t>
  </si>
  <si>
    <t>Esc. 4348</t>
  </si>
  <si>
    <t>Esc. 4349</t>
  </si>
  <si>
    <t>Esc. 4350</t>
  </si>
  <si>
    <t>Esc. 4351</t>
  </si>
  <si>
    <t>Esc. 4352</t>
  </si>
  <si>
    <t>Esc. 4353</t>
  </si>
  <si>
    <t>Esc. 4354</t>
  </si>
  <si>
    <t>Esc. 4355</t>
  </si>
  <si>
    <t>Esc. 4356</t>
  </si>
  <si>
    <t>Esc. 4357</t>
  </si>
  <si>
    <t>Esc. 4358</t>
  </si>
  <si>
    <t>Esc. 4359</t>
  </si>
  <si>
    <t>Esc. 4360</t>
  </si>
  <si>
    <t>Esc. 4361</t>
  </si>
  <si>
    <t>Esc. 4362</t>
  </si>
  <si>
    <t>Esc. 4363</t>
  </si>
  <si>
    <t>Esc. 4364</t>
  </si>
  <si>
    <t>Esc. 4365</t>
  </si>
  <si>
    <t>Esc. 4366</t>
  </si>
  <si>
    <t>Esc. 4367</t>
  </si>
  <si>
    <t>Esc. 4368</t>
  </si>
  <si>
    <t>Esc. 4369</t>
  </si>
  <si>
    <t>Esc. 4370</t>
  </si>
  <si>
    <t>Esc. 4371</t>
  </si>
  <si>
    <t>Esc. 4372</t>
  </si>
  <si>
    <t>Esc. 4373</t>
  </si>
  <si>
    <t>Esc. 4374</t>
  </si>
  <si>
    <t>Esc. 4375</t>
  </si>
  <si>
    <t>Esc. 4376</t>
  </si>
  <si>
    <t>Esc. 4377</t>
  </si>
  <si>
    <t>Esc. 4378</t>
  </si>
  <si>
    <t>Esc. 4379</t>
  </si>
  <si>
    <t>Esc. 4380</t>
  </si>
  <si>
    <t>Esc. 4381</t>
  </si>
  <si>
    <t>Esc. 4382</t>
  </si>
  <si>
    <t>Esc. 4383</t>
  </si>
  <si>
    <t>Esc. 4384</t>
  </si>
  <si>
    <t>Esc. 4385</t>
  </si>
  <si>
    <t>Esc. 4386</t>
  </si>
  <si>
    <t>Esc. 4387</t>
  </si>
  <si>
    <t>Esc. 4388</t>
  </si>
  <si>
    <t>Esc. 4389</t>
  </si>
  <si>
    <t>Esc. 4390</t>
  </si>
  <si>
    <t>Esc. 4391</t>
  </si>
  <si>
    <t>Esc. 4392</t>
  </si>
  <si>
    <t>Esc. 4393</t>
  </si>
  <si>
    <t>Esc. 4394</t>
  </si>
  <si>
    <t>Esc. 4395</t>
  </si>
  <si>
    <t>Esc. 4396</t>
  </si>
  <si>
    <t>Esc. 4397</t>
  </si>
  <si>
    <t>Esc. 4398</t>
  </si>
  <si>
    <t>Esc. 4399</t>
  </si>
  <si>
    <t>Esc. 4400</t>
  </si>
  <si>
    <t>Esc. 4401</t>
  </si>
  <si>
    <t>Esc. 4402</t>
  </si>
  <si>
    <t>Esc. 4403</t>
  </si>
  <si>
    <t>Esc. 4404</t>
  </si>
  <si>
    <t>Esc. 4405</t>
  </si>
  <si>
    <t>Esc. 4406</t>
  </si>
  <si>
    <t>Esc. 4407</t>
  </si>
  <si>
    <t>Esc. 4408</t>
  </si>
  <si>
    <t>Esc. 4409</t>
  </si>
  <si>
    <t>Esc. 4410</t>
  </si>
  <si>
    <t>Esc. 4411</t>
  </si>
  <si>
    <t>Esc. 4412</t>
  </si>
  <si>
    <t>Esc. 4413</t>
  </si>
  <si>
    <t>Esc. 4414</t>
  </si>
  <si>
    <t>Esc. 4415</t>
  </si>
  <si>
    <t>Esc. 4416</t>
  </si>
  <si>
    <t>Esc. 4417</t>
  </si>
  <si>
    <t>Esc. 4418</t>
  </si>
  <si>
    <t>Esc. 4419</t>
  </si>
  <si>
    <t>Esc. 4420</t>
  </si>
  <si>
    <t>Esc. 4421</t>
  </si>
  <si>
    <t>Esc. 4422</t>
  </si>
  <si>
    <t>Esc. 4423</t>
  </si>
  <si>
    <t>Esc. 4424</t>
  </si>
  <si>
    <t>Esc. 4425</t>
  </si>
  <si>
    <t>Esc. 4426</t>
  </si>
  <si>
    <t>Esc. 4427</t>
  </si>
  <si>
    <t>Esc. 4428</t>
  </si>
  <si>
    <t>Esc. 4429</t>
  </si>
  <si>
    <t>Esc. 4430</t>
  </si>
  <si>
    <t>Esc. 4431</t>
  </si>
  <si>
    <t>Esc. 4432</t>
  </si>
  <si>
    <t>Esc. 4433</t>
  </si>
  <si>
    <t>Esc. 4434</t>
  </si>
  <si>
    <t>Esc. 4435</t>
  </si>
  <si>
    <t>Esc. 4436</t>
  </si>
  <si>
    <t>Esc. 4437</t>
  </si>
  <si>
    <t>Esc. 4438</t>
  </si>
  <si>
    <t>Esc. 4439</t>
  </si>
  <si>
    <t>Esc. 4440</t>
  </si>
  <si>
    <t>Esc. 4441</t>
  </si>
  <si>
    <t>Esc. 4442</t>
  </si>
  <si>
    <t>Esc. 4443</t>
  </si>
  <si>
    <t>Esc. 4444</t>
  </si>
  <si>
    <t>Esc. 4445</t>
  </si>
  <si>
    <t>Esc. 4446</t>
  </si>
  <si>
    <t>Esc. 4447</t>
  </si>
  <si>
    <t>Esc. 4448</t>
  </si>
  <si>
    <t>Esc. 4449</t>
  </si>
  <si>
    <t>Esc. 4450</t>
  </si>
  <si>
    <t>Esc. 4451</t>
  </si>
  <si>
    <t>Esc. 4452</t>
  </si>
  <si>
    <t>Esc. 4453</t>
  </si>
  <si>
    <t>Esc. 4454</t>
  </si>
  <si>
    <t>Esc. 4455</t>
  </si>
  <si>
    <t>Esc. 4456</t>
  </si>
  <si>
    <t>Esc. 4457</t>
  </si>
  <si>
    <t>Esc. 4458</t>
  </si>
  <si>
    <t>Esc. 4459</t>
  </si>
  <si>
    <t>Esc. 4460</t>
  </si>
  <si>
    <t>Esc. 4461</t>
  </si>
  <si>
    <t>Esc. 4462</t>
  </si>
  <si>
    <t>Esc. 4463</t>
  </si>
  <si>
    <t>Esc. 4464</t>
  </si>
  <si>
    <t>Esc. 4465</t>
  </si>
  <si>
    <t>Esc. 4466</t>
  </si>
  <si>
    <t>Esc. 4467</t>
  </si>
  <si>
    <t>Esc. 4468</t>
  </si>
  <si>
    <t>Esc. 4469</t>
  </si>
  <si>
    <t>Esc. 4470</t>
  </si>
  <si>
    <t>Esc. 4471</t>
  </si>
  <si>
    <t>Esc. 4472</t>
  </si>
  <si>
    <t>Esc. 4473</t>
  </si>
  <si>
    <t>Esc. 4474</t>
  </si>
  <si>
    <t>Esc. 4475</t>
  </si>
  <si>
    <t>Esc. 4476</t>
  </si>
  <si>
    <t>Esc. 4477</t>
  </si>
  <si>
    <t>Esc. 4478</t>
  </si>
  <si>
    <t>Esc. 4479</t>
  </si>
  <si>
    <t>Esc. 4480</t>
  </si>
  <si>
    <t>Esc. 4481</t>
  </si>
  <si>
    <t>Esc. 4482</t>
  </si>
  <si>
    <t>Esc. 4483</t>
  </si>
  <si>
    <t>Esc. 4484</t>
  </si>
  <si>
    <t>Esc. 4485</t>
  </si>
  <si>
    <t>Esc. 4486</t>
  </si>
  <si>
    <t>Esc. 4487</t>
  </si>
  <si>
    <t>Esc. 4488</t>
  </si>
  <si>
    <t>Esc. 4489</t>
  </si>
  <si>
    <t>Esc. 4490</t>
  </si>
  <si>
    <t>Esc. 4491</t>
  </si>
  <si>
    <t>Esc. 4492</t>
  </si>
  <si>
    <t>Esc. 4493</t>
  </si>
  <si>
    <t>Esc. 4494</t>
  </si>
  <si>
    <t>Esc. 4495</t>
  </si>
  <si>
    <t>Esc. 4496</t>
  </si>
  <si>
    <t>Esc. 4497</t>
  </si>
  <si>
    <t>Esc. 4498</t>
  </si>
  <si>
    <t>Esc. 4499</t>
  </si>
  <si>
    <t>Esc. 4500</t>
  </si>
  <si>
    <t>Esc. 4501</t>
  </si>
  <si>
    <t>Esc. 4502</t>
  </si>
  <si>
    <t>Esc. 4503</t>
  </si>
  <si>
    <t>Esc. 4504</t>
  </si>
  <si>
    <t>Esc. 4505</t>
  </si>
  <si>
    <t>Esc. 4506</t>
  </si>
  <si>
    <t>Esc. 4507</t>
  </si>
  <si>
    <t>Esc. 4508</t>
  </si>
  <si>
    <t>Esc. 4509</t>
  </si>
  <si>
    <t>Esc. 4510</t>
  </si>
  <si>
    <t>Esc. 4511</t>
  </si>
  <si>
    <t>Esc. 4512</t>
  </si>
  <si>
    <t>Esc. 4513</t>
  </si>
  <si>
    <t>Esc. 4514</t>
  </si>
  <si>
    <t>Esc. 4515</t>
  </si>
  <si>
    <t>Esc. 4516</t>
  </si>
  <si>
    <t>Esc. 4517</t>
  </si>
  <si>
    <t>Esc. 4518</t>
  </si>
  <si>
    <t>Esc. 4519</t>
  </si>
  <si>
    <t>Esc. 4520</t>
  </si>
  <si>
    <t>Esc. 4521</t>
  </si>
  <si>
    <t>Esc. 4522</t>
  </si>
  <si>
    <t>Esc. 4523</t>
  </si>
  <si>
    <t>Esc. 4524</t>
  </si>
  <si>
    <t>Esc. 4525</t>
  </si>
  <si>
    <t>Esc. 4526</t>
  </si>
  <si>
    <t>Esc. 4527</t>
  </si>
  <si>
    <t>Esc. 4528</t>
  </si>
  <si>
    <t>Esc. 4529</t>
  </si>
  <si>
    <t>Esc. 4530</t>
  </si>
  <si>
    <t>Esc. 4531</t>
  </si>
  <si>
    <t>Esc. 4532</t>
  </si>
  <si>
    <t>Esc. 4533</t>
  </si>
  <si>
    <t>Esc. 4534</t>
  </si>
  <si>
    <t>Esc. 4535</t>
  </si>
  <si>
    <t>Esc. 4536</t>
  </si>
  <si>
    <t>Esc. 4537</t>
  </si>
  <si>
    <t>Esc. 4538</t>
  </si>
  <si>
    <t>Esc. 4539</t>
  </si>
  <si>
    <t>Esc. 4540</t>
  </si>
  <si>
    <t>Esc. 4541</t>
  </si>
  <si>
    <t>Esc. 4542</t>
  </si>
  <si>
    <t>Esc. 4543</t>
  </si>
  <si>
    <t>Esc. 4544</t>
  </si>
  <si>
    <t>Esc. 4545</t>
  </si>
  <si>
    <t>Esc. 4546</t>
  </si>
  <si>
    <t>Esc. 4547</t>
  </si>
  <si>
    <t>Esc. 4548</t>
  </si>
  <si>
    <t>Esc. 4549</t>
  </si>
  <si>
    <t>Esc. 4550</t>
  </si>
  <si>
    <t>Esc. 4551</t>
  </si>
  <si>
    <t>Esc. 4552</t>
  </si>
  <si>
    <t>Esc. 4553</t>
  </si>
  <si>
    <t>Esc. 4554</t>
  </si>
  <si>
    <t>Esc. 4555</t>
  </si>
  <si>
    <t>Esc. 4556</t>
  </si>
  <si>
    <t>Esc. 4557</t>
  </si>
  <si>
    <t>Esc. 4558</t>
  </si>
  <si>
    <t>Esc. 4559</t>
  </si>
  <si>
    <t>Esc. 4560</t>
  </si>
  <si>
    <t>Esc. 4561</t>
  </si>
  <si>
    <t>Esc. 4562</t>
  </si>
  <si>
    <t>Esc. 4563</t>
  </si>
  <si>
    <t>Esc. 4564</t>
  </si>
  <si>
    <t>Esc. 4565</t>
  </si>
  <si>
    <t>Esc. 4566</t>
  </si>
  <si>
    <t>Esc. 4567</t>
  </si>
  <si>
    <t>Esc. 4568</t>
  </si>
  <si>
    <t>Esc. 4569</t>
  </si>
  <si>
    <t>Esc. 4570</t>
  </si>
  <si>
    <t>Esc. 4571</t>
  </si>
  <si>
    <t>Esc. 4572</t>
  </si>
  <si>
    <t>Esc. 4573</t>
  </si>
  <si>
    <t>Esc. 4574</t>
  </si>
  <si>
    <t>Esc. 4575</t>
  </si>
  <si>
    <t>Esc. 4576</t>
  </si>
  <si>
    <t>Esc. 4577</t>
  </si>
  <si>
    <t>Esc. 4578</t>
  </si>
  <si>
    <t>Esc. 4579</t>
  </si>
  <si>
    <t>Esc. 4580</t>
  </si>
  <si>
    <t>Esc. 4581</t>
  </si>
  <si>
    <t>Esc. 4582</t>
  </si>
  <si>
    <t>Esc. 4583</t>
  </si>
  <si>
    <t>Esc. 4584</t>
  </si>
  <si>
    <t>Esc. 4585</t>
  </si>
  <si>
    <t>Esc. 4586</t>
  </si>
  <si>
    <t>Esc. 4587</t>
  </si>
  <si>
    <t>Esc. 4588</t>
  </si>
  <si>
    <t>Esc. 4589</t>
  </si>
  <si>
    <t>Esc. 4590</t>
  </si>
  <si>
    <t>Esc. 4591</t>
  </si>
  <si>
    <t>Esc. 4592</t>
  </si>
  <si>
    <t>Esc. 4593</t>
  </si>
  <si>
    <t>Esc. 4594</t>
  </si>
  <si>
    <t>Esc. 4595</t>
  </si>
  <si>
    <t>Esc. 4596</t>
  </si>
  <si>
    <t>Esc. 4597</t>
  </si>
  <si>
    <t>Esc. 4598</t>
  </si>
  <si>
    <t>Esc. 4599</t>
  </si>
  <si>
    <t>Esc. 4600</t>
  </si>
  <si>
    <t>Esc. 4601</t>
  </si>
  <si>
    <t>Esc. 4602</t>
  </si>
  <si>
    <t>Esc. 4603</t>
  </si>
  <si>
    <t>Esc. 4604</t>
  </si>
  <si>
    <t>Esc. 4605</t>
  </si>
  <si>
    <t>Esc. 4606</t>
  </si>
  <si>
    <t>Esc. 4607</t>
  </si>
  <si>
    <t>Esc. 4608</t>
  </si>
  <si>
    <t>Esc. 4609</t>
  </si>
  <si>
    <t>Esc. 4610</t>
  </si>
  <si>
    <t>Esc. 4611</t>
  </si>
  <si>
    <t>Esc. 4612</t>
  </si>
  <si>
    <t>Esc. 4613</t>
  </si>
  <si>
    <t>Esc. 4614</t>
  </si>
  <si>
    <t>Esc. 4615</t>
  </si>
  <si>
    <t>Esc. 4616</t>
  </si>
  <si>
    <t>Esc. 4617</t>
  </si>
  <si>
    <t>Esc. 4618</t>
  </si>
  <si>
    <t>Esc. 4619</t>
  </si>
  <si>
    <t>Esc. 4620</t>
  </si>
  <si>
    <t>Esc. 4621</t>
  </si>
  <si>
    <t>Esc. 4622</t>
  </si>
  <si>
    <t>Esc. 4623</t>
  </si>
  <si>
    <t>Esc. 4624</t>
  </si>
  <si>
    <t>Esc. 4625</t>
  </si>
  <si>
    <t>Esc. 4626</t>
  </si>
  <si>
    <t>Esc. 4627</t>
  </si>
  <si>
    <t>Esc. 4628</t>
  </si>
  <si>
    <t>Esc. 4629</t>
  </si>
  <si>
    <t>Esc. 4630</t>
  </si>
  <si>
    <t>Esc. 4631</t>
  </si>
  <si>
    <t>Esc. 4632</t>
  </si>
  <si>
    <t>Esc. 4633</t>
  </si>
  <si>
    <t>Esc. 4634</t>
  </si>
  <si>
    <t>Esc. 4635</t>
  </si>
  <si>
    <t>Esc. 4636</t>
  </si>
  <si>
    <t>Esc. 4637</t>
  </si>
  <si>
    <t>Esc. 4638</t>
  </si>
  <si>
    <t>Esc. 4639</t>
  </si>
  <si>
    <t>Esc. 4640</t>
  </si>
  <si>
    <t>Esc. 4641</t>
  </si>
  <si>
    <t>Esc. 4642</t>
  </si>
  <si>
    <t>Esc. 4643</t>
  </si>
  <si>
    <t>Esc. 4644</t>
  </si>
  <si>
    <t>Esc. 4645</t>
  </si>
  <si>
    <t>Esc. 4646</t>
  </si>
  <si>
    <t>Esc. 4647</t>
  </si>
  <si>
    <t>Esc. 4648</t>
  </si>
  <si>
    <t>Esc. 4649</t>
  </si>
  <si>
    <t>Esc. 4650</t>
  </si>
  <si>
    <t>Esc. 4651</t>
  </si>
  <si>
    <t>Esc. 4652</t>
  </si>
  <si>
    <t>Esc. 4653</t>
  </si>
  <si>
    <t>Esc. 4654</t>
  </si>
  <si>
    <t>Esc. 4655</t>
  </si>
  <si>
    <t>Esc. 4656</t>
  </si>
  <si>
    <t>Esc. 4657</t>
  </si>
  <si>
    <t>Esc. 4658</t>
  </si>
  <si>
    <t>Esc. 4659</t>
  </si>
  <si>
    <t>Esc. 4660</t>
  </si>
  <si>
    <t>Esc. 4661</t>
  </si>
  <si>
    <t>Esc. 4662</t>
  </si>
  <si>
    <t>Esc. 4663</t>
  </si>
  <si>
    <t>Esc. 4664</t>
  </si>
  <si>
    <t>Esc. 4665</t>
  </si>
  <si>
    <t>Esc. 4666</t>
  </si>
  <si>
    <t>Esc. 4667</t>
  </si>
  <si>
    <t>Esc. 4668</t>
  </si>
  <si>
    <t>Esc. 4669</t>
  </si>
  <si>
    <t>Esc. 4670</t>
  </si>
  <si>
    <t>Esc. 4671</t>
  </si>
  <si>
    <t>Esc. 4672</t>
  </si>
  <si>
    <t>Esc. 4673</t>
  </si>
  <si>
    <t>Esc. 4674</t>
  </si>
  <si>
    <t>Esc. 4675</t>
  </si>
  <si>
    <t>Esc. 4676</t>
  </si>
  <si>
    <t>Esc. 4677</t>
  </si>
  <si>
    <t>Esc. 4678</t>
  </si>
  <si>
    <t>Esc. 4679</t>
  </si>
  <si>
    <t>Esc. 4680</t>
  </si>
  <si>
    <t>Esc. 4681</t>
  </si>
  <si>
    <t>Esc. 4682</t>
  </si>
  <si>
    <t>Esc. 4683</t>
  </si>
  <si>
    <t>Esc. 4684</t>
  </si>
  <si>
    <t>Esc. 4685</t>
  </si>
  <si>
    <t>Esc. 4686</t>
  </si>
  <si>
    <t>Esc. 4687</t>
  </si>
  <si>
    <t>Esc. 4688</t>
  </si>
  <si>
    <t>Esc. 4689</t>
  </si>
  <si>
    <t>Esc. 4690</t>
  </si>
  <si>
    <t>Esc. 4691</t>
  </si>
  <si>
    <t>Esc. 4692</t>
  </si>
  <si>
    <t>Esc. 4693</t>
  </si>
  <si>
    <t>Esc. 4694</t>
  </si>
  <si>
    <t>Esc. 4695</t>
  </si>
  <si>
    <t>Esc. 4696</t>
  </si>
  <si>
    <t>Esc. 4697</t>
  </si>
  <si>
    <t>Esc. 4698</t>
  </si>
  <si>
    <t>Esc. 4699</t>
  </si>
  <si>
    <t>Esc. 4700</t>
  </si>
  <si>
    <t>Esc. 4701</t>
  </si>
  <si>
    <t>Esc. 4702</t>
  </si>
  <si>
    <t>Esc. 4703</t>
  </si>
  <si>
    <t>Esc. 4704</t>
  </si>
  <si>
    <t>Esc. 4705</t>
  </si>
  <si>
    <t>Esc. 4706</t>
  </si>
  <si>
    <t>Esc. 4707</t>
  </si>
  <si>
    <t>Esc. 4708</t>
  </si>
  <si>
    <t>Esc. 4709</t>
  </si>
  <si>
    <t>Esc. 4710</t>
  </si>
  <si>
    <t>Esc. 4711</t>
  </si>
  <si>
    <t>Esc. 4712</t>
  </si>
  <si>
    <t>Esc. 4713</t>
  </si>
  <si>
    <t>Esc. 4714</t>
  </si>
  <si>
    <t>Esc. 4715</t>
  </si>
  <si>
    <t>Esc. 4716</t>
  </si>
  <si>
    <t>Esc. 4717</t>
  </si>
  <si>
    <t>Esc. 4718</t>
  </si>
  <si>
    <t>Esc. 4719</t>
  </si>
  <si>
    <t>Esc. 4720</t>
  </si>
  <si>
    <t>Esc. 4721</t>
  </si>
  <si>
    <t>Esc. 4722</t>
  </si>
  <si>
    <t>Esc. 4723</t>
  </si>
  <si>
    <t>Esc. 4724</t>
  </si>
  <si>
    <t>Esc. 4725</t>
  </si>
  <si>
    <t>Esc. 4726</t>
  </si>
  <si>
    <t>Esc. 4727</t>
  </si>
  <si>
    <t>Esc. 4728</t>
  </si>
  <si>
    <t>Esc. 4729</t>
  </si>
  <si>
    <t>Esc. 4730</t>
  </si>
  <si>
    <t>Esc. 4731</t>
  </si>
  <si>
    <t>Esc. 4732</t>
  </si>
  <si>
    <t>Esc. 4733</t>
  </si>
  <si>
    <t>Esc. 4734</t>
  </si>
  <si>
    <t>Esc. 4735</t>
  </si>
  <si>
    <t>Esc. 4736</t>
  </si>
  <si>
    <t>Esc. 4737</t>
  </si>
  <si>
    <t>Esc. 4738</t>
  </si>
  <si>
    <t>Esc. 4739</t>
  </si>
  <si>
    <t>Esc. 4740</t>
  </si>
  <si>
    <t>Esc. 4741</t>
  </si>
  <si>
    <t>Esc. 4742</t>
  </si>
  <si>
    <t>Esc. 4743</t>
  </si>
  <si>
    <t>Esc. 4744</t>
  </si>
  <si>
    <t>Esc. 4745</t>
  </si>
  <si>
    <t>Esc. 4746</t>
  </si>
  <si>
    <t>Esc. 4747</t>
  </si>
  <si>
    <t>Esc. 4748</t>
  </si>
  <si>
    <t>Esc. 4749</t>
  </si>
  <si>
    <t>Esc. 4750</t>
  </si>
  <si>
    <t>Esc. 4751</t>
  </si>
  <si>
    <t>Esc. 4752</t>
  </si>
  <si>
    <t>Esc. 4753</t>
  </si>
  <si>
    <t>Esc. 4754</t>
  </si>
  <si>
    <t>Esc. 4755</t>
  </si>
  <si>
    <t>Esc. 4756</t>
  </si>
  <si>
    <t>Esc. 4757</t>
  </si>
  <si>
    <t>Esc. 4758</t>
  </si>
  <si>
    <t>Esc. 4759</t>
  </si>
  <si>
    <t>Esc. 4760</t>
  </si>
  <si>
    <t>Esc. 4761</t>
  </si>
  <si>
    <t>Esc. 4762</t>
  </si>
  <si>
    <t>Esc. 4763</t>
  </si>
  <si>
    <t>Esc. 4764</t>
  </si>
  <si>
    <t>Esc. 4765</t>
  </si>
  <si>
    <t>Esc. 4766</t>
  </si>
  <si>
    <t>Esc. 4767</t>
  </si>
  <si>
    <t>Esc. 4768</t>
  </si>
  <si>
    <t>Esc. 4769</t>
  </si>
  <si>
    <t>Esc. 4770</t>
  </si>
  <si>
    <t>Esc. 4771</t>
  </si>
  <si>
    <t>Esc. 4772</t>
  </si>
  <si>
    <t>Esc. 4773</t>
  </si>
  <si>
    <t>Esc. 4774</t>
  </si>
  <si>
    <t>Esc. 4775</t>
  </si>
  <si>
    <t>Esc. 4776</t>
  </si>
  <si>
    <t>Esc. 4777</t>
  </si>
  <si>
    <t>Esc. 4778</t>
  </si>
  <si>
    <t>Esc. 4779</t>
  </si>
  <si>
    <t>Esc. 4780</t>
  </si>
  <si>
    <t>Esc. 4781</t>
  </si>
  <si>
    <t>Esc. 4782</t>
  </si>
  <si>
    <t>Esc. 4783</t>
  </si>
  <si>
    <t>Esc. 4784</t>
  </si>
  <si>
    <t>Esc. 4785</t>
  </si>
  <si>
    <t>Esc. 4786</t>
  </si>
  <si>
    <t>Esc. 4787</t>
  </si>
  <si>
    <t>Esc. 4788</t>
  </si>
  <si>
    <t>Esc. 4789</t>
  </si>
  <si>
    <t>Esc. 4790</t>
  </si>
  <si>
    <t>Esc. 4791</t>
  </si>
  <si>
    <t>Esc. 4792</t>
  </si>
  <si>
    <t>Esc. 4793</t>
  </si>
  <si>
    <t>Esc. 4794</t>
  </si>
  <si>
    <t>Esc. 4795</t>
  </si>
  <si>
    <t>Esc. 4796</t>
  </si>
  <si>
    <t>Esc. 4797</t>
  </si>
  <si>
    <t>Esc. 4798</t>
  </si>
  <si>
    <t>Esc. 4799</t>
  </si>
  <si>
    <t>Esc. 4800</t>
  </si>
  <si>
    <t>Esc. 4801</t>
  </si>
  <si>
    <t>Esc. 4802</t>
  </si>
  <si>
    <t>Esc. 4803</t>
  </si>
  <si>
    <t>Esc. 4804</t>
  </si>
  <si>
    <t>Esc. 4805</t>
  </si>
  <si>
    <t>Esc. 4806</t>
  </si>
  <si>
    <t>Esc. 4807</t>
  </si>
  <si>
    <t>Esc. 4808</t>
  </si>
  <si>
    <t>Esc. 4809</t>
  </si>
  <si>
    <t>Esc. 4810</t>
  </si>
  <si>
    <t>Esc. 4811</t>
  </si>
  <si>
    <t>Esc. 4812</t>
  </si>
  <si>
    <t>Esc. 4813</t>
  </si>
  <si>
    <t>Esc. 4814</t>
  </si>
  <si>
    <t>Esc. 4815</t>
  </si>
  <si>
    <t>Esc. 4816</t>
  </si>
  <si>
    <t>Esc. 4817</t>
  </si>
  <si>
    <t>Esc. 4818</t>
  </si>
  <si>
    <t>Esc. 4819</t>
  </si>
  <si>
    <t>Esc. 4820</t>
  </si>
  <si>
    <t>Esc. 4821</t>
  </si>
  <si>
    <t>Esc. 4822</t>
  </si>
  <si>
    <t>Esc. 4823</t>
  </si>
  <si>
    <t>Esc. 4824</t>
  </si>
  <si>
    <t>Esc. 4825</t>
  </si>
  <si>
    <t>Esc. 4826</t>
  </si>
  <si>
    <t>Esc. 4827</t>
  </si>
  <si>
    <t>Esc. 4828</t>
  </si>
  <si>
    <t>Esc. 4829</t>
  </si>
  <si>
    <t>Esc. 4830</t>
  </si>
  <si>
    <t>Esc. 4831</t>
  </si>
  <si>
    <t>Esc. 4832</t>
  </si>
  <si>
    <t>Esc. 4833</t>
  </si>
  <si>
    <t>Esc. 4834</t>
  </si>
  <si>
    <t>Esc. 4835</t>
  </si>
  <si>
    <t>Esc. 4836</t>
  </si>
  <si>
    <t>Esc. 4837</t>
  </si>
  <si>
    <t>Esc. 4838</t>
  </si>
  <si>
    <t>Esc. 4839</t>
  </si>
  <si>
    <t>Esc. 4840</t>
  </si>
  <si>
    <t>Esc. 4841</t>
  </si>
  <si>
    <t>Esc. 4842</t>
  </si>
  <si>
    <t>Esc. 4843</t>
  </si>
  <si>
    <t>Esc. 4844</t>
  </si>
  <si>
    <t>Esc. 4845</t>
  </si>
  <si>
    <t>Esc. 4846</t>
  </si>
  <si>
    <t>Esc. 4847</t>
  </si>
  <si>
    <t>Esc. 4848</t>
  </si>
  <si>
    <t>Esc. 4849</t>
  </si>
  <si>
    <t>Esc. 4850</t>
  </si>
  <si>
    <t>Esc. 4851</t>
  </si>
  <si>
    <t>Esc. 4852</t>
  </si>
  <si>
    <t>Esc. 4853</t>
  </si>
  <si>
    <t>Esc. 4854</t>
  </si>
  <si>
    <t>Esc. 4855</t>
  </si>
  <si>
    <t>Esc. 4856</t>
  </si>
  <si>
    <t>Esc. 4857</t>
  </si>
  <si>
    <t>Esc. 4858</t>
  </si>
  <si>
    <t>Esc. 4859</t>
  </si>
  <si>
    <t>Esc. 4860</t>
  </si>
  <si>
    <t>Esc. 4861</t>
  </si>
  <si>
    <t>Esc. 4862</t>
  </si>
  <si>
    <t>Esc. 4863</t>
  </si>
  <si>
    <t>Esc. 4864</t>
  </si>
  <si>
    <t>Esc. 4865</t>
  </si>
  <si>
    <t>Esc. 4866</t>
  </si>
  <si>
    <t>Esc. 4867</t>
  </si>
  <si>
    <t>Esc. 4868</t>
  </si>
  <si>
    <t>Esc. 4869</t>
  </si>
  <si>
    <t>Esc. 4870</t>
  </si>
  <si>
    <t>Esc. 4871</t>
  </si>
  <si>
    <t>Esc. 4872</t>
  </si>
  <si>
    <t>Esc. 4873</t>
  </si>
  <si>
    <t>Esc. 4874</t>
  </si>
  <si>
    <t>Esc. 4875</t>
  </si>
  <si>
    <t>Esc. 4876</t>
  </si>
  <si>
    <t>Esc. 4877</t>
  </si>
  <si>
    <t>Esc. 4878</t>
  </si>
  <si>
    <t>Esc. 4879</t>
  </si>
  <si>
    <t>Esc. 4880</t>
  </si>
  <si>
    <t>Esc. 4881</t>
  </si>
  <si>
    <t>Esc. 4882</t>
  </si>
  <si>
    <t>Esc. 4883</t>
  </si>
  <si>
    <t>Esc. 4884</t>
  </si>
  <si>
    <t>Esc. 4885</t>
  </si>
  <si>
    <t>Esc. 4886</t>
  </si>
  <si>
    <t>Esc. 4887</t>
  </si>
  <si>
    <t>Esc. 4888</t>
  </si>
  <si>
    <t>Esc. 4889</t>
  </si>
  <si>
    <t>Esc. 4890</t>
  </si>
  <si>
    <t>Esc. 4891</t>
  </si>
  <si>
    <t>Esc. 4892</t>
  </si>
  <si>
    <t>Esc. 4893</t>
  </si>
  <si>
    <t>Esc. 4894</t>
  </si>
  <si>
    <t>Esc. 4895</t>
  </si>
  <si>
    <t>Esc. 4896</t>
  </si>
  <si>
    <t>Esc. 4897</t>
  </si>
  <si>
    <t>Esc. 4898</t>
  </si>
  <si>
    <t>Esc. 4899</t>
  </si>
  <si>
    <t>Esc. 4900</t>
  </si>
  <si>
    <t>Esc. 4901</t>
  </si>
  <si>
    <t>Esc. 4902</t>
  </si>
  <si>
    <t>Esc. 4903</t>
  </si>
  <si>
    <t>Esc. 4904</t>
  </si>
  <si>
    <t>Esc. 4905</t>
  </si>
  <si>
    <t>Esc. 4906</t>
  </si>
  <si>
    <t>Esc. 4907</t>
  </si>
  <si>
    <t>Esc. 4908</t>
  </si>
  <si>
    <t>Esc. 4909</t>
  </si>
  <si>
    <t>Esc. 4910</t>
  </si>
  <si>
    <t>Esc. 4911</t>
  </si>
  <si>
    <t>Esc. 4912</t>
  </si>
  <si>
    <t>Esc. 4913</t>
  </si>
  <si>
    <t>Esc. 4914</t>
  </si>
  <si>
    <t>Esc. 4915</t>
  </si>
  <si>
    <t>Esc. 4916</t>
  </si>
  <si>
    <t>Esc. 4917</t>
  </si>
  <si>
    <t>Esc. 4918</t>
  </si>
  <si>
    <t>Esc. 4919</t>
  </si>
  <si>
    <t>Esc. 4920</t>
  </si>
  <si>
    <t>Esc. 4921</t>
  </si>
  <si>
    <t>Esc. 4922</t>
  </si>
  <si>
    <t>Esc. 4923</t>
  </si>
  <si>
    <t>Esc. 4924</t>
  </si>
  <si>
    <t>Esc. 4925</t>
  </si>
  <si>
    <t>Esc. 4926</t>
  </si>
  <si>
    <t>Esc. 4927</t>
  </si>
  <si>
    <t>Esc. 4928</t>
  </si>
  <si>
    <t>Esc. 4929</t>
  </si>
  <si>
    <t>Esc. 4930</t>
  </si>
  <si>
    <t>Esc. 4931</t>
  </si>
  <si>
    <t>Esc. 4932</t>
  </si>
  <si>
    <t>Esc. 4933</t>
  </si>
  <si>
    <t>Esc. 4934</t>
  </si>
  <si>
    <t>Esc. 4935</t>
  </si>
  <si>
    <t>Esc. 4936</t>
  </si>
  <si>
    <t>Esc. 4937</t>
  </si>
  <si>
    <t>Esc. 4938</t>
  </si>
  <si>
    <t>Esc. 4939</t>
  </si>
  <si>
    <t>Esc. 4940</t>
  </si>
  <si>
    <t>Esc. 4941</t>
  </si>
  <si>
    <t>Esc. 4942</t>
  </si>
  <si>
    <t>Esc. 4943</t>
  </si>
  <si>
    <t>Esc. 4944</t>
  </si>
  <si>
    <t>Esc. 4945</t>
  </si>
  <si>
    <t>Esc. 4946</t>
  </si>
  <si>
    <t>Esc. 4947</t>
  </si>
  <si>
    <t>Esc. 4948</t>
  </si>
  <si>
    <t>Esc. 4949</t>
  </si>
  <si>
    <t>Esc. 4950</t>
  </si>
  <si>
    <t>Esc. 4951</t>
  </si>
  <si>
    <t>Esc. 4952</t>
  </si>
  <si>
    <t>Esc. 4953</t>
  </si>
  <si>
    <t>Esc. 4954</t>
  </si>
  <si>
    <t>Esc. 4955</t>
  </si>
  <si>
    <t>Esc. 4956</t>
  </si>
  <si>
    <t>Esc. 4957</t>
  </si>
  <si>
    <t>Esc. 4958</t>
  </si>
  <si>
    <t>Esc. 4959</t>
  </si>
  <si>
    <t>Esc. 4960</t>
  </si>
  <si>
    <t>Esc. 4961</t>
  </si>
  <si>
    <t>Esc. 4962</t>
  </si>
  <si>
    <t>Esc. 4963</t>
  </si>
  <si>
    <t>Esc. 4964</t>
  </si>
  <si>
    <t>Esc. 4965</t>
  </si>
  <si>
    <t>Esc. 4966</t>
  </si>
  <si>
    <t>Esc. 4967</t>
  </si>
  <si>
    <t>Esc. 4968</t>
  </si>
  <si>
    <t>Esc. 4969</t>
  </si>
  <si>
    <t>Esc. 4970</t>
  </si>
  <si>
    <t>Esc. 4971</t>
  </si>
  <si>
    <t>Esc. 4972</t>
  </si>
  <si>
    <t>Esc. 4973</t>
  </si>
  <si>
    <t>Esc. 4974</t>
  </si>
  <si>
    <t>Esc. 4975</t>
  </si>
  <si>
    <t>Esc. 4976</t>
  </si>
  <si>
    <t>Esc. 4977</t>
  </si>
  <si>
    <t>Esc. 4978</t>
  </si>
  <si>
    <t>Esc. 4979</t>
  </si>
  <si>
    <t>Esc. 4980</t>
  </si>
  <si>
    <t>Esc. 4981</t>
  </si>
  <si>
    <t>Esc. 4982</t>
  </si>
  <si>
    <t>Esc. 4983</t>
  </si>
  <si>
    <t>Esc. 4984</t>
  </si>
  <si>
    <t>Esc. 4985</t>
  </si>
  <si>
    <t>Esc. 4986</t>
  </si>
  <si>
    <t>Esc. 4987</t>
  </si>
  <si>
    <t>Esc. 4988</t>
  </si>
  <si>
    <t>Esc. 4989</t>
  </si>
  <si>
    <t>Esc. 4990</t>
  </si>
  <si>
    <t>Esc. 4991</t>
  </si>
  <si>
    <t>Esc. 4992</t>
  </si>
  <si>
    <t>Esc. 4993</t>
  </si>
  <si>
    <t>Esc. 4994</t>
  </si>
  <si>
    <t>Esc. 4995</t>
  </si>
  <si>
    <t>Esc. 4996</t>
  </si>
  <si>
    <t>Esc. 4997</t>
  </si>
  <si>
    <t>Esc. 4998</t>
  </si>
  <si>
    <t>Esc. 4999</t>
  </si>
  <si>
    <t>Esc. 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</si>
</sst>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44" formatCode="_-&quot;$&quot;* #,##0.00_-;\-&quot;$&quot;* #,##0.00_-;_-&quot;$&quot;* &quot;-&quot;??_-;_-@_-"/>
    <numFmt numFmtId="164" formatCode="0.0000%"/>
    <numFmt numFmtId="165" formatCode="_(&quot;$&quot;* #,##0.00_);_(&quot;$&quot;* \(#,##0.00\);_(&quot;$&quot;* &quot;-&quot;??_);_(@_)"/>
    <numFmt numFmtId="166" formatCode="_(&quot;$&quot;* #,##0.0000_);_(&quot;$&quot;* \(#,##0.0000\);_(&quot;$&quot;* &quot;-&quot;??_);_(@_)"/>
    <numFmt numFmtId="167" formatCode="0.0000"/>
    <numFmt numFmtId="168" formatCode="&quot;$&quot;#,##0.000;\-&quot;$&quot;#,##0.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8"/>
      <name val="Arial"/>
      <family val="2"/>
    </font>
    <font>
      <b/>
      <sz val="10"/>
      <name val="Arial"/>
      <family val="2"/>
    </font>
    <font>
      <b/>
      <sz val="14"/>
      <color theme="4"/>
      <name val="Arial"/>
      <family val="2"/>
    </font>
    <font>
      <b/>
      <u/>
      <sz val="10"/>
      <name val="Arial"/>
      <family val="2"/>
    </font>
    <font>
      <sz val="8"/>
      <name val="Calibri"/>
      <family val="2"/>
      <scheme val="minor"/>
    </font>
    <font>
      <b/>
      <sz val="18"/>
      <name val="Aptos Narrow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1" applyFont="1"/>
    <xf numFmtId="0" fontId="1" fillId="0" borderId="0" xfId="1"/>
    <xf numFmtId="0" fontId="3" fillId="0" borderId="0" xfId="1" applyFont="1"/>
    <xf numFmtId="164" fontId="1" fillId="0" borderId="0" xfId="1" applyNumberFormat="1"/>
    <xf numFmtId="9" fontId="1" fillId="0" borderId="0" xfId="1" applyNumberFormat="1"/>
    <xf numFmtId="10" fontId="1" fillId="0" borderId="0" xfId="1" applyNumberFormat="1"/>
    <xf numFmtId="1" fontId="1" fillId="0" borderId="0" xfId="1" applyNumberFormat="1"/>
    <xf numFmtId="166" fontId="0" fillId="0" borderId="0" xfId="2" applyNumberFormat="1" applyFont="1"/>
    <xf numFmtId="167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165" fontId="1" fillId="0" borderId="0" xfId="1" applyNumberFormat="1"/>
    <xf numFmtId="7" fontId="1" fillId="0" borderId="0" xfId="1" applyNumberFormat="1" applyAlignment="1">
      <alignment horizontal="center"/>
    </xf>
    <xf numFmtId="0" fontId="3" fillId="0" borderId="0" xfId="1" applyFont="1" applyAlignment="1">
      <alignment horizontal="center"/>
    </xf>
    <xf numFmtId="1" fontId="1" fillId="0" borderId="0" xfId="1" applyNumberFormat="1" applyAlignment="1">
      <alignment horizontal="center"/>
    </xf>
    <xf numFmtId="44" fontId="1" fillId="0" borderId="0" xfId="1" applyNumberFormat="1"/>
    <xf numFmtId="7" fontId="1" fillId="0" borderId="0" xfId="1" applyNumberFormat="1"/>
    <xf numFmtId="7" fontId="4" fillId="3" borderId="3" xfId="1" applyNumberFormat="1" applyFont="1" applyFill="1" applyBorder="1" applyAlignment="1">
      <alignment horizontal="center" vertical="center" wrapText="1"/>
    </xf>
    <xf numFmtId="7" fontId="4" fillId="3" borderId="4" xfId="1" applyNumberFormat="1" applyFont="1" applyFill="1" applyBorder="1" applyAlignment="1">
      <alignment horizontal="center" vertical="center" wrapText="1"/>
    </xf>
    <xf numFmtId="7" fontId="4" fillId="3" borderId="5" xfId="1" applyNumberFormat="1" applyFont="1" applyFill="1" applyBorder="1" applyAlignment="1">
      <alignment horizontal="center" vertical="center" wrapText="1"/>
    </xf>
    <xf numFmtId="7" fontId="4" fillId="3" borderId="6" xfId="1" applyNumberFormat="1" applyFont="1" applyFill="1" applyBorder="1" applyAlignment="1">
      <alignment horizontal="center" vertical="center" wrapText="1"/>
    </xf>
    <xf numFmtId="9" fontId="7" fillId="0" borderId="7" xfId="1" applyNumberFormat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center" wrapText="1"/>
    </xf>
    <xf numFmtId="168" fontId="4" fillId="2" borderId="3" xfId="1" applyNumberFormat="1" applyFont="1" applyFill="1" applyBorder="1" applyAlignment="1">
      <alignment horizontal="center" vertical="center" wrapText="1"/>
    </xf>
    <xf numFmtId="168" fontId="4" fillId="2" borderId="4" xfId="1" applyNumberFormat="1" applyFont="1" applyFill="1" applyBorder="1" applyAlignment="1">
      <alignment horizontal="center" vertical="center" wrapText="1"/>
    </xf>
    <xf numFmtId="168" fontId="4" fillId="2" borderId="5" xfId="1" applyNumberFormat="1" applyFont="1" applyFill="1" applyBorder="1" applyAlignment="1">
      <alignment horizontal="center" vertical="center" wrapText="1"/>
    </xf>
    <xf numFmtId="168" fontId="4" fillId="2" borderId="6" xfId="1" applyNumberFormat="1" applyFont="1" applyFill="1" applyBorder="1" applyAlignment="1">
      <alignment horizontal="center" vertical="center" wrapText="1"/>
    </xf>
    <xf numFmtId="10" fontId="5" fillId="0" borderId="0" xfId="1" applyNumberFormat="1" applyFont="1" applyAlignment="1">
      <alignment horizontal="center" vertical="center" wrapText="1"/>
    </xf>
  </cellXfs>
  <cellStyles count="3">
    <cellStyle name="Moneda 2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7</xdr:row>
          <xdr:rowOff>0</xdr:rowOff>
        </xdr:from>
        <xdr:to>
          <xdr:col>11</xdr:col>
          <xdr:colOff>19050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Simulación - Opciones Plain Vanilla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TL10016"/>
  <sheetViews>
    <sheetView tabSelected="1" workbookViewId="0">
      <selection activeCell="D17" sqref="D17"/>
    </sheetView>
  </sheetViews>
  <sheetFormatPr baseColWidth="10" defaultRowHeight="12.75" x14ac:dyDescent="0.2"/>
  <cols>
    <col min="1" max="1" width="32.7109375" style="2" customWidth="1"/>
    <col min="2" max="2" width="16.42578125" style="2" bestFit="1" customWidth="1"/>
    <col min="3" max="3" width="14.28515625" style="2" bestFit="1" customWidth="1"/>
    <col min="4" max="4" width="12.7109375" style="2" customWidth="1"/>
    <col min="5" max="5" width="6.85546875" style="2" customWidth="1"/>
    <col min="6" max="6" width="4.5703125" style="2" customWidth="1"/>
    <col min="7" max="7" width="6.85546875" style="2" customWidth="1"/>
    <col min="8" max="8" width="11.140625" style="2" customWidth="1"/>
    <col min="9" max="254" width="10.7109375" style="2" bestFit="1" customWidth="1"/>
    <col min="255" max="532" width="11.5703125" style="2"/>
    <col min="533" max="766" width="10.7109375" style="2" bestFit="1" customWidth="1"/>
    <col min="767" max="768" width="11.5703125" style="2"/>
    <col min="769" max="769" width="23.85546875" style="2" bestFit="1" customWidth="1"/>
    <col min="770" max="770" width="12.42578125" style="2" bestFit="1" customWidth="1"/>
    <col min="771" max="1022" width="10.7109375" style="2" bestFit="1" customWidth="1"/>
    <col min="1023" max="1024" width="11.5703125" style="2"/>
    <col min="1025" max="1025" width="23.85546875" style="2" bestFit="1" customWidth="1"/>
    <col min="1026" max="1026" width="12.42578125" style="2" bestFit="1" customWidth="1"/>
    <col min="1027" max="1278" width="10.7109375" style="2" bestFit="1" customWidth="1"/>
    <col min="1279" max="1280" width="11.5703125" style="2"/>
    <col min="1281" max="1281" width="23.85546875" style="2" bestFit="1" customWidth="1"/>
    <col min="1282" max="1282" width="12.42578125" style="2" bestFit="1" customWidth="1"/>
    <col min="1283" max="1534" width="10.7109375" style="2" bestFit="1" customWidth="1"/>
    <col min="1535" max="1536" width="11.5703125" style="2"/>
    <col min="1537" max="1537" width="23.85546875" style="2" bestFit="1" customWidth="1"/>
    <col min="1538" max="1538" width="12.42578125" style="2" bestFit="1" customWidth="1"/>
    <col min="1539" max="1790" width="10.7109375" style="2" bestFit="1" customWidth="1"/>
    <col min="1791" max="1792" width="11.5703125" style="2"/>
    <col min="1793" max="1793" width="23.85546875" style="2" bestFit="1" customWidth="1"/>
    <col min="1794" max="1794" width="12.42578125" style="2" bestFit="1" customWidth="1"/>
    <col min="1795" max="2046" width="10.7109375" style="2" bestFit="1" customWidth="1"/>
    <col min="2047" max="2048" width="11.5703125" style="2"/>
    <col min="2049" max="2049" width="23.85546875" style="2" bestFit="1" customWidth="1"/>
    <col min="2050" max="2050" width="12.42578125" style="2" bestFit="1" customWidth="1"/>
    <col min="2051" max="2302" width="10.7109375" style="2" bestFit="1" customWidth="1"/>
    <col min="2303" max="2304" width="11.5703125" style="2"/>
    <col min="2305" max="2305" width="23.85546875" style="2" bestFit="1" customWidth="1"/>
    <col min="2306" max="2306" width="12.42578125" style="2" bestFit="1" customWidth="1"/>
    <col min="2307" max="2558" width="10.7109375" style="2" bestFit="1" customWidth="1"/>
    <col min="2559" max="2560" width="11.5703125" style="2"/>
    <col min="2561" max="2561" width="23.85546875" style="2" bestFit="1" customWidth="1"/>
    <col min="2562" max="2562" width="12.42578125" style="2" bestFit="1" customWidth="1"/>
    <col min="2563" max="2814" width="10.7109375" style="2" bestFit="1" customWidth="1"/>
    <col min="2815" max="2816" width="11.5703125" style="2"/>
    <col min="2817" max="2817" width="23.85546875" style="2" bestFit="1" customWidth="1"/>
    <col min="2818" max="2818" width="12.42578125" style="2" bestFit="1" customWidth="1"/>
    <col min="2819" max="3070" width="10.7109375" style="2" bestFit="1" customWidth="1"/>
    <col min="3071" max="3072" width="11.5703125" style="2"/>
    <col min="3073" max="3073" width="23.85546875" style="2" bestFit="1" customWidth="1"/>
    <col min="3074" max="3074" width="12.42578125" style="2" bestFit="1" customWidth="1"/>
    <col min="3075" max="3326" width="10.7109375" style="2" bestFit="1" customWidth="1"/>
    <col min="3327" max="3328" width="11.5703125" style="2"/>
    <col min="3329" max="3329" width="23.85546875" style="2" bestFit="1" customWidth="1"/>
    <col min="3330" max="3330" width="12.42578125" style="2" bestFit="1" customWidth="1"/>
    <col min="3331" max="3582" width="10.7109375" style="2" bestFit="1" customWidth="1"/>
    <col min="3583" max="3584" width="11.5703125" style="2"/>
    <col min="3585" max="3585" width="23.85546875" style="2" bestFit="1" customWidth="1"/>
    <col min="3586" max="3586" width="12.42578125" style="2" bestFit="1" customWidth="1"/>
    <col min="3587" max="3838" width="10.7109375" style="2" bestFit="1" customWidth="1"/>
    <col min="3839" max="3840" width="11.5703125" style="2"/>
    <col min="3841" max="3841" width="23.85546875" style="2" bestFit="1" customWidth="1"/>
    <col min="3842" max="3842" width="12.42578125" style="2" bestFit="1" customWidth="1"/>
    <col min="3843" max="4094" width="10.7109375" style="2" bestFit="1" customWidth="1"/>
    <col min="4095" max="4096" width="11.5703125" style="2"/>
    <col min="4097" max="4097" width="23.85546875" style="2" bestFit="1" customWidth="1"/>
    <col min="4098" max="4098" width="12.42578125" style="2" bestFit="1" customWidth="1"/>
    <col min="4099" max="4350" width="10.7109375" style="2" bestFit="1" customWidth="1"/>
    <col min="4351" max="4352" width="11.5703125" style="2"/>
    <col min="4353" max="4353" width="23.85546875" style="2" bestFit="1" customWidth="1"/>
    <col min="4354" max="4354" width="12.42578125" style="2" bestFit="1" customWidth="1"/>
    <col min="4355" max="4606" width="10.7109375" style="2" bestFit="1" customWidth="1"/>
    <col min="4607" max="4608" width="11.5703125" style="2"/>
    <col min="4609" max="4609" width="23.85546875" style="2" bestFit="1" customWidth="1"/>
    <col min="4610" max="4610" width="12.42578125" style="2" bestFit="1" customWidth="1"/>
    <col min="4611" max="4862" width="10.7109375" style="2" bestFit="1" customWidth="1"/>
    <col min="4863" max="4864" width="11.5703125" style="2"/>
    <col min="4865" max="4865" width="23.85546875" style="2" bestFit="1" customWidth="1"/>
    <col min="4866" max="4866" width="12.42578125" style="2" bestFit="1" customWidth="1"/>
    <col min="4867" max="5118" width="10.7109375" style="2" bestFit="1" customWidth="1"/>
    <col min="5119" max="5120" width="11.5703125" style="2"/>
    <col min="5121" max="5121" width="23.85546875" style="2" bestFit="1" customWidth="1"/>
    <col min="5122" max="5122" width="12.42578125" style="2" bestFit="1" customWidth="1"/>
    <col min="5123" max="5374" width="10.7109375" style="2" bestFit="1" customWidth="1"/>
    <col min="5375" max="5376" width="11.5703125" style="2"/>
    <col min="5377" max="5377" width="23.85546875" style="2" bestFit="1" customWidth="1"/>
    <col min="5378" max="5378" width="12.42578125" style="2" bestFit="1" customWidth="1"/>
    <col min="5379" max="5630" width="10.7109375" style="2" bestFit="1" customWidth="1"/>
    <col min="5631" max="5632" width="11.5703125" style="2"/>
    <col min="5633" max="5633" width="23.85546875" style="2" bestFit="1" customWidth="1"/>
    <col min="5634" max="5634" width="12.42578125" style="2" bestFit="1" customWidth="1"/>
    <col min="5635" max="5886" width="10.7109375" style="2" bestFit="1" customWidth="1"/>
    <col min="5887" max="5888" width="11.5703125" style="2"/>
    <col min="5889" max="5889" width="23.85546875" style="2" bestFit="1" customWidth="1"/>
    <col min="5890" max="5890" width="12.42578125" style="2" bestFit="1" customWidth="1"/>
    <col min="5891" max="6142" width="10.7109375" style="2" bestFit="1" customWidth="1"/>
    <col min="6143" max="6144" width="11.5703125" style="2"/>
    <col min="6145" max="6145" width="23.85546875" style="2" bestFit="1" customWidth="1"/>
    <col min="6146" max="6146" width="12.42578125" style="2" bestFit="1" customWidth="1"/>
    <col min="6147" max="6398" width="10.7109375" style="2" bestFit="1" customWidth="1"/>
    <col min="6399" max="6400" width="11.5703125" style="2"/>
    <col min="6401" max="6401" width="23.85546875" style="2" bestFit="1" customWidth="1"/>
    <col min="6402" max="6402" width="12.42578125" style="2" bestFit="1" customWidth="1"/>
    <col min="6403" max="6654" width="10.7109375" style="2" bestFit="1" customWidth="1"/>
    <col min="6655" max="6656" width="11.5703125" style="2"/>
    <col min="6657" max="6657" width="23.85546875" style="2" bestFit="1" customWidth="1"/>
    <col min="6658" max="6658" width="12.42578125" style="2" bestFit="1" customWidth="1"/>
    <col min="6659" max="6910" width="10.7109375" style="2" bestFit="1" customWidth="1"/>
    <col min="6911" max="6912" width="11.5703125" style="2"/>
    <col min="6913" max="6913" width="23.85546875" style="2" bestFit="1" customWidth="1"/>
    <col min="6914" max="6914" width="12.42578125" style="2" bestFit="1" customWidth="1"/>
    <col min="6915" max="7166" width="10.7109375" style="2" bestFit="1" customWidth="1"/>
    <col min="7167" max="7168" width="11.5703125" style="2"/>
    <col min="7169" max="7169" width="23.85546875" style="2" bestFit="1" customWidth="1"/>
    <col min="7170" max="7170" width="12.42578125" style="2" bestFit="1" customWidth="1"/>
    <col min="7171" max="7422" width="10.7109375" style="2" bestFit="1" customWidth="1"/>
    <col min="7423" max="7424" width="11.5703125" style="2"/>
    <col min="7425" max="7425" width="23.85546875" style="2" bestFit="1" customWidth="1"/>
    <col min="7426" max="7426" width="12.42578125" style="2" bestFit="1" customWidth="1"/>
    <col min="7427" max="7678" width="10.7109375" style="2" bestFit="1" customWidth="1"/>
    <col min="7679" max="7680" width="11.5703125" style="2"/>
    <col min="7681" max="7681" width="23.85546875" style="2" bestFit="1" customWidth="1"/>
    <col min="7682" max="7682" width="12.42578125" style="2" bestFit="1" customWidth="1"/>
    <col min="7683" max="7934" width="10.7109375" style="2" bestFit="1" customWidth="1"/>
    <col min="7935" max="7936" width="11.5703125" style="2"/>
    <col min="7937" max="7937" width="23.85546875" style="2" bestFit="1" customWidth="1"/>
    <col min="7938" max="7938" width="12.42578125" style="2" bestFit="1" customWidth="1"/>
    <col min="7939" max="8190" width="10.7109375" style="2" bestFit="1" customWidth="1"/>
    <col min="8191" max="8192" width="11.5703125" style="2"/>
    <col min="8193" max="8193" width="23.85546875" style="2" bestFit="1" customWidth="1"/>
    <col min="8194" max="8194" width="12.42578125" style="2" bestFit="1" customWidth="1"/>
    <col min="8195" max="8446" width="10.7109375" style="2" bestFit="1" customWidth="1"/>
    <col min="8447" max="8448" width="11.5703125" style="2"/>
    <col min="8449" max="8449" width="23.85546875" style="2" bestFit="1" customWidth="1"/>
    <col min="8450" max="8450" width="12.42578125" style="2" bestFit="1" customWidth="1"/>
    <col min="8451" max="8702" width="10.7109375" style="2" bestFit="1" customWidth="1"/>
    <col min="8703" max="8704" width="11.5703125" style="2"/>
    <col min="8705" max="8705" width="23.85546875" style="2" bestFit="1" customWidth="1"/>
    <col min="8706" max="8706" width="12.42578125" style="2" bestFit="1" customWidth="1"/>
    <col min="8707" max="8958" width="10.7109375" style="2" bestFit="1" customWidth="1"/>
    <col min="8959" max="8960" width="11.5703125" style="2"/>
    <col min="8961" max="8961" width="23.85546875" style="2" bestFit="1" customWidth="1"/>
    <col min="8962" max="8962" width="12.42578125" style="2" bestFit="1" customWidth="1"/>
    <col min="8963" max="9214" width="10.7109375" style="2" bestFit="1" customWidth="1"/>
    <col min="9215" max="9216" width="11.5703125" style="2"/>
    <col min="9217" max="9217" width="23.85546875" style="2" bestFit="1" customWidth="1"/>
    <col min="9218" max="9218" width="12.42578125" style="2" bestFit="1" customWidth="1"/>
    <col min="9219" max="9470" width="10.7109375" style="2" bestFit="1" customWidth="1"/>
    <col min="9471" max="9472" width="11.5703125" style="2"/>
    <col min="9473" max="9473" width="23.85546875" style="2" bestFit="1" customWidth="1"/>
    <col min="9474" max="9474" width="12.42578125" style="2" bestFit="1" customWidth="1"/>
    <col min="9475" max="9726" width="10.7109375" style="2" bestFit="1" customWidth="1"/>
    <col min="9727" max="9728" width="11.5703125" style="2"/>
    <col min="9729" max="9729" width="23.85546875" style="2" bestFit="1" customWidth="1"/>
    <col min="9730" max="9730" width="12.42578125" style="2" bestFit="1" customWidth="1"/>
    <col min="9731" max="9982" width="10.7109375" style="2" bestFit="1" customWidth="1"/>
    <col min="9983" max="9984" width="11.5703125" style="2"/>
    <col min="9985" max="9985" width="23.85546875" style="2" bestFit="1" customWidth="1"/>
    <col min="9986" max="9986" width="12.42578125" style="2" bestFit="1" customWidth="1"/>
    <col min="9987" max="10238" width="10.7109375" style="2" bestFit="1" customWidth="1"/>
    <col min="10239" max="10240" width="11.5703125" style="2"/>
    <col min="10241" max="10241" width="23.85546875" style="2" bestFit="1" customWidth="1"/>
    <col min="10242" max="10242" width="12.42578125" style="2" bestFit="1" customWidth="1"/>
    <col min="10243" max="10494" width="10.7109375" style="2" bestFit="1" customWidth="1"/>
    <col min="10495" max="10496" width="11.5703125" style="2"/>
    <col min="10497" max="10497" width="23.85546875" style="2" bestFit="1" customWidth="1"/>
    <col min="10498" max="10498" width="12.42578125" style="2" bestFit="1" customWidth="1"/>
    <col min="10499" max="10750" width="10.7109375" style="2" bestFit="1" customWidth="1"/>
    <col min="10751" max="10752" width="11.5703125" style="2"/>
    <col min="10753" max="10753" width="23.85546875" style="2" bestFit="1" customWidth="1"/>
    <col min="10754" max="10754" width="12.42578125" style="2" bestFit="1" customWidth="1"/>
    <col min="10755" max="11006" width="10.7109375" style="2" bestFit="1" customWidth="1"/>
    <col min="11007" max="11008" width="11.5703125" style="2"/>
    <col min="11009" max="11009" width="23.85546875" style="2" bestFit="1" customWidth="1"/>
    <col min="11010" max="11010" width="12.42578125" style="2" bestFit="1" customWidth="1"/>
    <col min="11011" max="11262" width="10.7109375" style="2" bestFit="1" customWidth="1"/>
    <col min="11263" max="11264" width="11.5703125" style="2"/>
    <col min="11265" max="11265" width="23.85546875" style="2" bestFit="1" customWidth="1"/>
    <col min="11266" max="11266" width="12.42578125" style="2" bestFit="1" customWidth="1"/>
    <col min="11267" max="11518" width="10.7109375" style="2" bestFit="1" customWidth="1"/>
    <col min="11519" max="11520" width="11.5703125" style="2"/>
    <col min="11521" max="11521" width="23.85546875" style="2" bestFit="1" customWidth="1"/>
    <col min="11522" max="11522" width="12.42578125" style="2" bestFit="1" customWidth="1"/>
    <col min="11523" max="11774" width="10.7109375" style="2" bestFit="1" customWidth="1"/>
    <col min="11775" max="11776" width="11.5703125" style="2"/>
    <col min="11777" max="11777" width="23.85546875" style="2" bestFit="1" customWidth="1"/>
    <col min="11778" max="11778" width="12.42578125" style="2" bestFit="1" customWidth="1"/>
    <col min="11779" max="12030" width="10.7109375" style="2" bestFit="1" customWidth="1"/>
    <col min="12031" max="12032" width="11.5703125" style="2"/>
    <col min="12033" max="12033" width="23.85546875" style="2" bestFit="1" customWidth="1"/>
    <col min="12034" max="12034" width="12.42578125" style="2" bestFit="1" customWidth="1"/>
    <col min="12035" max="12286" width="10.7109375" style="2" bestFit="1" customWidth="1"/>
    <col min="12287" max="12288" width="11.5703125" style="2"/>
    <col min="12289" max="12289" width="23.85546875" style="2" bestFit="1" customWidth="1"/>
    <col min="12290" max="12290" width="12.42578125" style="2" bestFit="1" customWidth="1"/>
    <col min="12291" max="12542" width="10.7109375" style="2" bestFit="1" customWidth="1"/>
    <col min="12543" max="12544" width="11.5703125" style="2"/>
    <col min="12545" max="12545" width="23.85546875" style="2" bestFit="1" customWidth="1"/>
    <col min="12546" max="12546" width="12.42578125" style="2" bestFit="1" customWidth="1"/>
    <col min="12547" max="12798" width="10.7109375" style="2" bestFit="1" customWidth="1"/>
    <col min="12799" max="12800" width="11.5703125" style="2"/>
    <col min="12801" max="12801" width="23.85546875" style="2" bestFit="1" customWidth="1"/>
    <col min="12802" max="12802" width="12.42578125" style="2" bestFit="1" customWidth="1"/>
    <col min="12803" max="13054" width="10.7109375" style="2" bestFit="1" customWidth="1"/>
    <col min="13055" max="13056" width="11.5703125" style="2"/>
    <col min="13057" max="13057" width="23.85546875" style="2" bestFit="1" customWidth="1"/>
    <col min="13058" max="13058" width="12.42578125" style="2" bestFit="1" customWidth="1"/>
    <col min="13059" max="13310" width="10.7109375" style="2" bestFit="1" customWidth="1"/>
    <col min="13311" max="13312" width="11.5703125" style="2"/>
    <col min="13313" max="13313" width="23.85546875" style="2" bestFit="1" customWidth="1"/>
    <col min="13314" max="13314" width="12.42578125" style="2" bestFit="1" customWidth="1"/>
    <col min="13315" max="13566" width="10.7109375" style="2" bestFit="1" customWidth="1"/>
    <col min="13567" max="13568" width="11.5703125" style="2"/>
    <col min="13569" max="13569" width="23.85546875" style="2" bestFit="1" customWidth="1"/>
    <col min="13570" max="13570" width="12.42578125" style="2" bestFit="1" customWidth="1"/>
    <col min="13571" max="13822" width="10.7109375" style="2" bestFit="1" customWidth="1"/>
    <col min="13823" max="13824" width="11.5703125" style="2"/>
    <col min="13825" max="13825" width="23.85546875" style="2" bestFit="1" customWidth="1"/>
    <col min="13826" max="13826" width="12.42578125" style="2" bestFit="1" customWidth="1"/>
    <col min="13827" max="14078" width="10.7109375" style="2" bestFit="1" customWidth="1"/>
    <col min="14079" max="14080" width="11.5703125" style="2"/>
    <col min="14081" max="14081" width="23.85546875" style="2" bestFit="1" customWidth="1"/>
    <col min="14082" max="14082" width="12.42578125" style="2" bestFit="1" customWidth="1"/>
    <col min="14083" max="14334" width="10.7109375" style="2" bestFit="1" customWidth="1"/>
    <col min="14335" max="14336" width="11.5703125" style="2"/>
    <col min="14337" max="14337" width="23.85546875" style="2" bestFit="1" customWidth="1"/>
    <col min="14338" max="14338" width="12.42578125" style="2" bestFit="1" customWidth="1"/>
    <col min="14339" max="14590" width="10.7109375" style="2" bestFit="1" customWidth="1"/>
    <col min="14591" max="14592" width="11.5703125" style="2"/>
    <col min="14593" max="14593" width="23.85546875" style="2" bestFit="1" customWidth="1"/>
    <col min="14594" max="14594" width="12.42578125" style="2" bestFit="1" customWidth="1"/>
    <col min="14595" max="14846" width="10.7109375" style="2" bestFit="1" customWidth="1"/>
    <col min="14847" max="14848" width="11.5703125" style="2"/>
    <col min="14849" max="14849" width="23.85546875" style="2" bestFit="1" customWidth="1"/>
    <col min="14850" max="14850" width="12.42578125" style="2" bestFit="1" customWidth="1"/>
    <col min="14851" max="15102" width="10.7109375" style="2" bestFit="1" customWidth="1"/>
    <col min="15103" max="15104" width="11.5703125" style="2"/>
    <col min="15105" max="15105" width="23.85546875" style="2" bestFit="1" customWidth="1"/>
    <col min="15106" max="15106" width="12.42578125" style="2" bestFit="1" customWidth="1"/>
    <col min="15107" max="15358" width="10.7109375" style="2" bestFit="1" customWidth="1"/>
    <col min="15359" max="15360" width="11.5703125" style="2"/>
    <col min="15361" max="15361" width="23.85546875" style="2" bestFit="1" customWidth="1"/>
    <col min="15362" max="15362" width="12.42578125" style="2" bestFit="1" customWidth="1"/>
    <col min="15363" max="15614" width="10.7109375" style="2" bestFit="1" customWidth="1"/>
    <col min="15615" max="15616" width="11.5703125" style="2"/>
    <col min="15617" max="15617" width="23.85546875" style="2" bestFit="1" customWidth="1"/>
    <col min="15618" max="15618" width="12.42578125" style="2" bestFit="1" customWidth="1"/>
    <col min="15619" max="15870" width="10.7109375" style="2" bestFit="1" customWidth="1"/>
    <col min="15871" max="15872" width="11.5703125" style="2"/>
    <col min="15873" max="15873" width="23.85546875" style="2" bestFit="1" customWidth="1"/>
    <col min="15874" max="15874" width="12.42578125" style="2" bestFit="1" customWidth="1"/>
    <col min="15875" max="16126" width="10.7109375" style="2" bestFit="1" customWidth="1"/>
    <col min="16127" max="16128" width="11.5703125" style="2"/>
    <col min="16129" max="16129" width="23.85546875" style="2" bestFit="1" customWidth="1"/>
    <col min="16130" max="16130" width="12.42578125" style="2" bestFit="1" customWidth="1"/>
    <col min="16131" max="16382" width="10.7109375" style="2" bestFit="1" customWidth="1"/>
    <col min="16383" max="16384" width="11.5703125" style="2"/>
  </cols>
  <sheetData>
    <row r="1" spans="1:8" ht="23.25" x14ac:dyDescent="0.35">
      <c r="A1" s="1" t="s">
        <v>7</v>
      </c>
    </row>
    <row r="4" spans="1:8" x14ac:dyDescent="0.2">
      <c r="A4" s="3" t="s">
        <v>15</v>
      </c>
      <c r="B4" s="4">
        <v>8.4557999999999994E-2</v>
      </c>
      <c r="D4" s="22" t="s">
        <v>9</v>
      </c>
      <c r="E4" s="23"/>
      <c r="G4" s="22" t="s">
        <v>10</v>
      </c>
      <c r="H4" s="23"/>
    </row>
    <row r="5" spans="1:8" x14ac:dyDescent="0.2">
      <c r="A5" s="3" t="s">
        <v>0</v>
      </c>
      <c r="B5" s="4">
        <v>1.4999999999999999E-2</v>
      </c>
      <c r="D5" s="24">
        <f>AVERAGE(C17:C5016)</f>
        <v>0.14966975138752717</v>
      </c>
      <c r="E5" s="25"/>
      <c r="F5" s="5"/>
      <c r="G5" s="24">
        <f>AVERAGE(D17:D5016)</f>
        <v>1.0219130345094916</v>
      </c>
      <c r="H5" s="25"/>
    </row>
    <row r="6" spans="1:8" x14ac:dyDescent="0.2">
      <c r="A6" s="3" t="s">
        <v>1</v>
      </c>
      <c r="B6" s="6">
        <f>23.4%</f>
        <v>0.23399999999999999</v>
      </c>
      <c r="D6" s="26"/>
      <c r="E6" s="27"/>
      <c r="F6" s="5"/>
      <c r="G6" s="26"/>
      <c r="H6" s="27"/>
    </row>
    <row r="7" spans="1:8" ht="4.9000000000000004" customHeight="1" x14ac:dyDescent="0.2">
      <c r="A7" s="3"/>
      <c r="B7" s="7"/>
    </row>
    <row r="8" spans="1:8" ht="15" x14ac:dyDescent="0.25">
      <c r="A8" s="3" t="s">
        <v>2</v>
      </c>
      <c r="B8" s="8">
        <v>14</v>
      </c>
      <c r="D8" s="15"/>
      <c r="E8" s="6"/>
      <c r="F8" s="5"/>
      <c r="G8" s="15"/>
    </row>
    <row r="9" spans="1:8" ht="15" x14ac:dyDescent="0.25">
      <c r="A9" s="3" t="s">
        <v>3</v>
      </c>
      <c r="B9" s="8">
        <v>15</v>
      </c>
      <c r="E9" s="28" t="s">
        <v>13</v>
      </c>
      <c r="F9" s="28"/>
      <c r="G9" s="28"/>
    </row>
    <row r="10" spans="1:8" ht="4.9000000000000004" customHeight="1" x14ac:dyDescent="0.2">
      <c r="A10" s="3"/>
      <c r="B10" s="7"/>
    </row>
    <row r="11" spans="1:8" ht="13.15" customHeight="1" x14ac:dyDescent="0.2">
      <c r="A11" s="3" t="s">
        <v>8</v>
      </c>
      <c r="B11" s="14">
        <v>30</v>
      </c>
      <c r="D11" s="17">
        <f>+D5+B9*EXP(-B4*B11*B12)</f>
        <v>14.999430776449193</v>
      </c>
      <c r="E11" s="18"/>
      <c r="F11" s="21" t="s">
        <v>14</v>
      </c>
      <c r="G11" s="17">
        <f>+G5+B8*EXP(-B5*B11*B12)</f>
        <v>14.996935342657428</v>
      </c>
      <c r="H11" s="18"/>
    </row>
    <row r="12" spans="1:8" ht="14.45" customHeight="1" x14ac:dyDescent="0.2">
      <c r="A12" s="3" t="s">
        <v>4</v>
      </c>
      <c r="B12" s="9">
        <f>1/252</f>
        <v>3.968253968253968E-3</v>
      </c>
      <c r="D12" s="19"/>
      <c r="E12" s="20"/>
      <c r="F12" s="21"/>
      <c r="G12" s="19"/>
      <c r="H12" s="20"/>
    </row>
    <row r="15" spans="1:8" x14ac:dyDescent="0.2">
      <c r="A15" s="3"/>
      <c r="B15" s="9"/>
    </row>
    <row r="16" spans="1:8" x14ac:dyDescent="0.2">
      <c r="A16" s="3" t="s">
        <v>6</v>
      </c>
      <c r="B16" s="3" t="s">
        <v>5</v>
      </c>
      <c r="C16" s="13" t="s">
        <v>11</v>
      </c>
      <c r="D16" s="13" t="s">
        <v>12</v>
      </c>
    </row>
    <row r="17" spans="1:532" x14ac:dyDescent="0.2">
      <c r="A17" s="10" t="s">
        <v>16</v>
      </c>
      <c r="B17" s="12">
        <v>14.29</v>
      </c>
      <c r="C17" s="11">
        <v>0</v>
      </c>
      <c r="D17" s="11">
        <v>0.70288868851958541</v>
      </c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12"/>
      <c r="JX17" s="12"/>
      <c r="JY17" s="12"/>
      <c r="JZ17" s="12"/>
      <c r="KA17" s="12"/>
      <c r="KB17" s="12"/>
      <c r="KC17" s="12"/>
      <c r="KD17" s="12"/>
      <c r="KE17" s="12"/>
      <c r="KF17" s="12"/>
      <c r="KG17" s="12"/>
      <c r="KH17" s="12"/>
      <c r="KI17" s="12"/>
      <c r="KJ17" s="12"/>
      <c r="KK17" s="12"/>
      <c r="KL17" s="12"/>
      <c r="KM17" s="12"/>
      <c r="KN17" s="12"/>
      <c r="KO17" s="12"/>
      <c r="KP17" s="12"/>
      <c r="KQ17" s="12"/>
      <c r="KR17" s="12"/>
      <c r="KS17" s="12"/>
      <c r="KT17" s="12"/>
      <c r="KU17" s="12"/>
      <c r="KV17" s="12"/>
      <c r="KW17" s="12"/>
      <c r="KX17" s="12"/>
      <c r="KY17" s="12"/>
      <c r="KZ17" s="12"/>
      <c r="LA17" s="12"/>
      <c r="LB17" s="12"/>
      <c r="LC17" s="12"/>
      <c r="LD17" s="12"/>
      <c r="LE17" s="12"/>
      <c r="LF17" s="12"/>
      <c r="LG17" s="12"/>
      <c r="LH17" s="12"/>
      <c r="LI17" s="12"/>
      <c r="LJ17" s="12"/>
      <c r="LK17" s="12"/>
      <c r="LL17" s="12"/>
      <c r="LM17" s="12"/>
      <c r="LN17" s="12"/>
      <c r="LO17" s="12"/>
      <c r="LP17" s="12"/>
      <c r="LQ17" s="12"/>
      <c r="LR17" s="12"/>
      <c r="LS17" s="12"/>
      <c r="LT17" s="12"/>
      <c r="LU17" s="12"/>
      <c r="LV17" s="12"/>
      <c r="LW17" s="12"/>
      <c r="LX17" s="12"/>
      <c r="LY17" s="12"/>
      <c r="LZ17" s="12"/>
      <c r="MA17" s="12"/>
      <c r="MB17" s="12"/>
      <c r="MC17" s="12"/>
      <c r="MD17" s="12"/>
      <c r="ME17" s="12"/>
      <c r="MF17" s="12"/>
      <c r="MG17" s="12"/>
      <c r="MH17" s="12"/>
      <c r="MI17" s="12"/>
      <c r="MJ17" s="12"/>
      <c r="MK17" s="12"/>
      <c r="ML17" s="12"/>
      <c r="MM17" s="12"/>
      <c r="MN17" s="12"/>
      <c r="MO17" s="12"/>
      <c r="MP17" s="12"/>
      <c r="MQ17" s="12"/>
      <c r="MR17" s="12"/>
      <c r="MS17" s="12"/>
      <c r="MT17" s="12"/>
      <c r="MU17" s="12"/>
      <c r="MV17" s="12"/>
      <c r="MW17" s="12"/>
      <c r="MX17" s="12"/>
      <c r="MY17" s="12"/>
      <c r="MZ17" s="12"/>
      <c r="NA17" s="12"/>
      <c r="NB17" s="12"/>
      <c r="NC17" s="12"/>
      <c r="ND17" s="12"/>
      <c r="NE17" s="12"/>
      <c r="NF17" s="12"/>
      <c r="NG17" s="12"/>
      <c r="NH17" s="12"/>
      <c r="NI17" s="12"/>
      <c r="NJ17" s="12"/>
      <c r="NK17" s="12"/>
      <c r="NL17" s="12"/>
      <c r="NM17" s="12"/>
      <c r="NN17" s="12"/>
      <c r="NO17" s="12"/>
      <c r="NP17" s="12"/>
      <c r="NQ17" s="12"/>
      <c r="NR17" s="12"/>
      <c r="NS17" s="12"/>
      <c r="NT17" s="12"/>
      <c r="NU17" s="12"/>
      <c r="NV17" s="12"/>
      <c r="NW17" s="12"/>
      <c r="NX17" s="12"/>
      <c r="NY17" s="12"/>
      <c r="NZ17" s="12"/>
      <c r="OA17" s="12"/>
      <c r="OB17" s="12"/>
      <c r="OC17" s="12"/>
      <c r="OD17" s="12"/>
      <c r="OE17" s="12"/>
      <c r="OF17" s="12"/>
      <c r="OG17" s="12"/>
      <c r="OH17" s="12"/>
      <c r="OI17" s="12"/>
      <c r="OJ17" s="12"/>
      <c r="OK17" s="12"/>
      <c r="OL17" s="12"/>
      <c r="OM17" s="12"/>
      <c r="ON17" s="12"/>
      <c r="OO17" s="12"/>
      <c r="OP17" s="12"/>
      <c r="OQ17" s="12"/>
      <c r="OR17" s="12"/>
      <c r="OS17" s="12"/>
      <c r="OT17" s="12"/>
      <c r="OU17" s="12"/>
      <c r="OV17" s="12"/>
      <c r="OW17" s="12"/>
      <c r="OX17" s="12"/>
      <c r="OY17" s="12"/>
      <c r="OZ17" s="12"/>
      <c r="PA17" s="12"/>
      <c r="PB17" s="12"/>
      <c r="PC17" s="12"/>
      <c r="PD17" s="12"/>
      <c r="PE17" s="12"/>
      <c r="PF17" s="12"/>
      <c r="PG17" s="12"/>
      <c r="PH17" s="12"/>
      <c r="PI17" s="12"/>
      <c r="PJ17" s="12"/>
      <c r="PK17" s="12"/>
      <c r="PL17" s="12"/>
      <c r="PM17" s="12"/>
      <c r="PN17" s="12"/>
      <c r="PO17" s="12"/>
      <c r="PP17" s="12"/>
      <c r="PQ17" s="12"/>
      <c r="PR17" s="12"/>
      <c r="PS17" s="12"/>
      <c r="PT17" s="12"/>
      <c r="PU17" s="12"/>
      <c r="PV17" s="12"/>
      <c r="PW17" s="12"/>
      <c r="PX17" s="12"/>
      <c r="PY17" s="12"/>
      <c r="PZ17" s="12"/>
      <c r="QA17" s="12"/>
      <c r="QB17" s="12"/>
      <c r="QC17" s="12"/>
      <c r="QD17" s="12"/>
      <c r="QE17" s="12"/>
      <c r="QF17" s="12"/>
      <c r="QG17" s="12"/>
      <c r="QH17" s="12"/>
      <c r="QI17" s="12"/>
      <c r="QJ17" s="12"/>
      <c r="QK17" s="12"/>
      <c r="QL17" s="12"/>
      <c r="QM17" s="12"/>
      <c r="QN17" s="12"/>
      <c r="QO17" s="12"/>
      <c r="QP17" s="12"/>
      <c r="QQ17" s="12"/>
      <c r="QR17" s="12"/>
      <c r="QS17" s="12"/>
      <c r="QT17" s="12"/>
      <c r="QU17" s="12"/>
      <c r="QV17" s="12"/>
      <c r="QW17" s="12"/>
      <c r="QX17" s="12"/>
      <c r="QY17" s="12"/>
      <c r="QZ17" s="12"/>
      <c r="RA17" s="12"/>
      <c r="RB17" s="12"/>
      <c r="RC17" s="12"/>
      <c r="RD17" s="12"/>
      <c r="RE17" s="12"/>
      <c r="RF17" s="12"/>
      <c r="RG17" s="12"/>
      <c r="RH17" s="12"/>
      <c r="RI17" s="12"/>
      <c r="RJ17" s="12"/>
      <c r="RK17" s="12"/>
      <c r="RL17" s="12"/>
      <c r="RM17" s="12"/>
      <c r="RN17" s="12"/>
      <c r="RO17" s="12"/>
      <c r="RP17" s="12"/>
      <c r="RQ17" s="12"/>
      <c r="RR17" s="12"/>
      <c r="RS17" s="12"/>
      <c r="RT17" s="12"/>
      <c r="RU17" s="12"/>
      <c r="RV17" s="12"/>
      <c r="RW17" s="12"/>
      <c r="RX17" s="12"/>
      <c r="RY17" s="12"/>
      <c r="RZ17" s="12"/>
      <c r="SA17" s="12"/>
      <c r="SB17" s="12"/>
      <c r="SC17" s="12"/>
      <c r="SD17" s="12"/>
      <c r="SE17" s="12"/>
      <c r="SF17" s="12"/>
      <c r="SG17" s="12"/>
    </row>
    <row r="18" spans="1:532" x14ac:dyDescent="0.2">
      <c r="A18" s="10" t="s">
        <v>17</v>
      </c>
      <c r="B18" s="12">
        <v>14.74</v>
      </c>
      <c r="C18" s="11">
        <v>0</v>
      </c>
      <c r="D18" s="11">
        <v>0.25739585776773555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  <c r="JX18" s="12"/>
      <c r="JY18" s="12"/>
      <c r="JZ18" s="12"/>
      <c r="KA18" s="12"/>
      <c r="KB18" s="12"/>
      <c r="KC18" s="12"/>
      <c r="KD18" s="12"/>
      <c r="KE18" s="12"/>
      <c r="KF18" s="12"/>
      <c r="KG18" s="12"/>
      <c r="KH18" s="12"/>
      <c r="KI18" s="12"/>
      <c r="KJ18" s="12"/>
      <c r="KK18" s="12"/>
      <c r="KL18" s="12"/>
      <c r="KM18" s="12"/>
      <c r="KN18" s="12"/>
      <c r="KO18" s="12"/>
      <c r="KP18" s="12"/>
      <c r="KQ18" s="12"/>
      <c r="KR18" s="12"/>
      <c r="KS18" s="12"/>
      <c r="KT18" s="12"/>
      <c r="KU18" s="12"/>
      <c r="KV18" s="12"/>
      <c r="KW18" s="12"/>
      <c r="KX18" s="12"/>
      <c r="KY18" s="12"/>
      <c r="KZ18" s="12"/>
      <c r="LA18" s="12"/>
      <c r="LB18" s="12"/>
      <c r="LC18" s="12"/>
      <c r="LD18" s="12"/>
      <c r="LE18" s="12"/>
      <c r="LF18" s="12"/>
      <c r="LG18" s="12"/>
      <c r="LH18" s="12"/>
      <c r="LI18" s="12"/>
      <c r="LJ18" s="12"/>
      <c r="LK18" s="12"/>
      <c r="LL18" s="12"/>
      <c r="LM18" s="12"/>
      <c r="LN18" s="12"/>
      <c r="LO18" s="12"/>
      <c r="LP18" s="12"/>
      <c r="LQ18" s="12"/>
      <c r="LR18" s="12"/>
      <c r="LS18" s="12"/>
      <c r="LT18" s="12"/>
      <c r="LU18" s="12"/>
      <c r="LV18" s="12"/>
      <c r="LW18" s="12"/>
      <c r="LX18" s="12"/>
      <c r="LY18" s="12"/>
      <c r="LZ18" s="12"/>
      <c r="MA18" s="12"/>
      <c r="MB18" s="12"/>
      <c r="MC18" s="12"/>
      <c r="MD18" s="12"/>
      <c r="ME18" s="12"/>
      <c r="MF18" s="12"/>
      <c r="MG18" s="12"/>
      <c r="MH18" s="12"/>
      <c r="MI18" s="12"/>
      <c r="MJ18" s="12"/>
      <c r="MK18" s="12"/>
      <c r="ML18" s="12"/>
      <c r="MM18" s="12"/>
      <c r="MN18" s="12"/>
      <c r="MO18" s="12"/>
      <c r="MP18" s="12"/>
      <c r="MQ18" s="12"/>
      <c r="MR18" s="12"/>
      <c r="MS18" s="12"/>
      <c r="MT18" s="12"/>
      <c r="MU18" s="12"/>
      <c r="MV18" s="12"/>
      <c r="MW18" s="12"/>
      <c r="MX18" s="12"/>
      <c r="MY18" s="12"/>
      <c r="MZ18" s="12"/>
      <c r="NA18" s="12"/>
      <c r="NB18" s="12"/>
      <c r="NC18" s="12"/>
      <c r="ND18" s="12"/>
      <c r="NE18" s="12"/>
      <c r="NF18" s="12"/>
      <c r="NG18" s="12"/>
      <c r="NH18" s="12"/>
      <c r="NI18" s="12"/>
      <c r="NJ18" s="12"/>
      <c r="NK18" s="12"/>
      <c r="NL18" s="12"/>
      <c r="NM18" s="12"/>
      <c r="NN18" s="12"/>
      <c r="NO18" s="12"/>
      <c r="NP18" s="12"/>
      <c r="NQ18" s="12"/>
      <c r="NR18" s="12"/>
      <c r="NS18" s="12"/>
      <c r="NT18" s="12"/>
      <c r="NU18" s="12"/>
      <c r="NV18" s="12"/>
      <c r="NW18" s="12"/>
      <c r="NX18" s="12"/>
      <c r="NY18" s="12"/>
      <c r="NZ18" s="12"/>
      <c r="OA18" s="12"/>
      <c r="OB18" s="12"/>
      <c r="OC18" s="12"/>
      <c r="OD18" s="12"/>
      <c r="OE18" s="12"/>
      <c r="OF18" s="12"/>
      <c r="OG18" s="12"/>
      <c r="OH18" s="12"/>
      <c r="OI18" s="12"/>
      <c r="OJ18" s="12"/>
      <c r="OK18" s="12"/>
      <c r="OL18" s="12"/>
      <c r="OM18" s="12"/>
      <c r="ON18" s="12"/>
      <c r="OO18" s="12"/>
      <c r="OP18" s="12"/>
      <c r="OQ18" s="12"/>
      <c r="OR18" s="12"/>
      <c r="OS18" s="12"/>
      <c r="OT18" s="12"/>
      <c r="OU18" s="12"/>
      <c r="OV18" s="12"/>
      <c r="OW18" s="12"/>
      <c r="OX18" s="12"/>
      <c r="OY18" s="12"/>
      <c r="OZ18" s="12"/>
      <c r="PA18" s="12"/>
      <c r="PB18" s="12"/>
      <c r="PC18" s="12"/>
      <c r="PD18" s="12"/>
      <c r="PE18" s="12"/>
      <c r="PF18" s="12"/>
      <c r="PG18" s="12"/>
      <c r="PH18" s="12"/>
      <c r="PI18" s="12"/>
      <c r="PJ18" s="12"/>
      <c r="PK18" s="12"/>
      <c r="PL18" s="12"/>
      <c r="PM18" s="12"/>
      <c r="PN18" s="12"/>
      <c r="PO18" s="12"/>
      <c r="PP18" s="12"/>
      <c r="PQ18" s="12"/>
      <c r="PR18" s="12"/>
      <c r="PS18" s="12"/>
      <c r="PT18" s="12"/>
      <c r="PU18" s="12"/>
      <c r="PV18" s="12"/>
      <c r="PW18" s="12"/>
      <c r="PX18" s="12"/>
      <c r="PY18" s="12"/>
      <c r="PZ18" s="12"/>
      <c r="QA18" s="12"/>
      <c r="QB18" s="12"/>
      <c r="QC18" s="12"/>
      <c r="QD18" s="12"/>
      <c r="QE18" s="12"/>
      <c r="QF18" s="12"/>
      <c r="QG18" s="12"/>
      <c r="QH18" s="12"/>
      <c r="QI18" s="12"/>
      <c r="QJ18" s="12"/>
      <c r="QK18" s="12"/>
      <c r="QL18" s="12"/>
      <c r="QM18" s="12"/>
      <c r="QN18" s="12"/>
      <c r="QO18" s="12"/>
      <c r="QP18" s="12"/>
      <c r="QQ18" s="12"/>
      <c r="QR18" s="12"/>
      <c r="QS18" s="12"/>
      <c r="QT18" s="12"/>
      <c r="QU18" s="12"/>
      <c r="QV18" s="12"/>
      <c r="QW18" s="12"/>
      <c r="QX18" s="12"/>
      <c r="QY18" s="12"/>
      <c r="QZ18" s="12"/>
      <c r="RA18" s="12"/>
      <c r="RB18" s="12"/>
      <c r="RC18" s="12"/>
      <c r="RD18" s="12"/>
      <c r="RE18" s="12"/>
      <c r="RF18" s="12"/>
      <c r="RG18" s="12"/>
      <c r="RH18" s="12"/>
      <c r="RI18" s="12"/>
      <c r="RJ18" s="12"/>
      <c r="RK18" s="12"/>
      <c r="RL18" s="12"/>
      <c r="RM18" s="12"/>
      <c r="RN18" s="12"/>
      <c r="RO18" s="12"/>
      <c r="RP18" s="12"/>
      <c r="RQ18" s="12"/>
      <c r="RR18" s="12"/>
      <c r="RS18" s="12"/>
      <c r="RT18" s="12"/>
      <c r="RU18" s="12"/>
      <c r="RV18" s="12"/>
      <c r="RW18" s="12"/>
      <c r="RX18" s="12"/>
      <c r="RY18" s="12"/>
      <c r="RZ18" s="12"/>
      <c r="SA18" s="12"/>
      <c r="SB18" s="12"/>
      <c r="SC18" s="12"/>
      <c r="SD18" s="12"/>
      <c r="SE18" s="12"/>
      <c r="SF18" s="12"/>
      <c r="SG18" s="12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</row>
    <row r="19" spans="1:532" x14ac:dyDescent="0.2">
      <c r="A19" s="10" t="s">
        <v>18</v>
      </c>
      <c r="B19" s="12">
        <v>14.29</v>
      </c>
      <c r="C19" s="11">
        <v>0</v>
      </c>
      <c r="D19" s="11">
        <v>0.70288868851958541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12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12"/>
      <c r="JX19" s="12"/>
      <c r="JY19" s="12"/>
      <c r="JZ19" s="12"/>
      <c r="KA19" s="12"/>
      <c r="KB19" s="12"/>
      <c r="KC19" s="12"/>
      <c r="KD19" s="12"/>
      <c r="KE19" s="12"/>
      <c r="KF19" s="12"/>
      <c r="KG19" s="12"/>
      <c r="KH19" s="12"/>
      <c r="KI19" s="12"/>
      <c r="KJ19" s="12"/>
      <c r="KK19" s="12"/>
      <c r="KL19" s="12"/>
      <c r="KM19" s="12"/>
      <c r="KN19" s="12"/>
      <c r="KO19" s="12"/>
      <c r="KP19" s="12"/>
      <c r="KQ19" s="12"/>
      <c r="KR19" s="12"/>
      <c r="KS19" s="12"/>
      <c r="KT19" s="12"/>
      <c r="KU19" s="12"/>
      <c r="KV19" s="12"/>
      <c r="KW19" s="12"/>
      <c r="KX19" s="12"/>
      <c r="KY19" s="12"/>
      <c r="KZ19" s="12"/>
      <c r="LA19" s="12"/>
      <c r="LB19" s="12"/>
      <c r="LC19" s="12"/>
      <c r="LD19" s="12"/>
      <c r="LE19" s="12"/>
      <c r="LF19" s="12"/>
      <c r="LG19" s="12"/>
      <c r="LH19" s="12"/>
      <c r="LI19" s="12"/>
      <c r="LJ19" s="12"/>
      <c r="LK19" s="12"/>
      <c r="LL19" s="12"/>
      <c r="LM19" s="12"/>
      <c r="LN19" s="12"/>
      <c r="LO19" s="12"/>
      <c r="LP19" s="12"/>
      <c r="LQ19" s="12"/>
      <c r="LR19" s="12"/>
      <c r="LS19" s="12"/>
      <c r="LT19" s="12"/>
      <c r="LU19" s="12"/>
      <c r="LV19" s="12"/>
      <c r="LW19" s="12"/>
      <c r="LX19" s="12"/>
      <c r="LY19" s="12"/>
      <c r="LZ19" s="12"/>
      <c r="MA19" s="12"/>
      <c r="MB19" s="12"/>
      <c r="MC19" s="12"/>
      <c r="MD19" s="12"/>
      <c r="ME19" s="12"/>
      <c r="MF19" s="12"/>
      <c r="MG19" s="12"/>
      <c r="MH19" s="12"/>
      <c r="MI19" s="12"/>
      <c r="MJ19" s="12"/>
      <c r="MK19" s="12"/>
      <c r="ML19" s="12"/>
      <c r="MM19" s="12"/>
      <c r="MN19" s="12"/>
      <c r="MO19" s="12"/>
      <c r="MP19" s="12"/>
      <c r="MQ19" s="12"/>
      <c r="MR19" s="12"/>
      <c r="MS19" s="12"/>
      <c r="MT19" s="12"/>
      <c r="MU19" s="12"/>
      <c r="MV19" s="12"/>
      <c r="MW19" s="12"/>
      <c r="MX19" s="12"/>
      <c r="MY19" s="12"/>
      <c r="MZ19" s="12"/>
      <c r="NA19" s="12"/>
      <c r="NB19" s="12"/>
      <c r="NC19" s="12"/>
      <c r="ND19" s="12"/>
      <c r="NE19" s="12"/>
      <c r="NF19" s="12"/>
      <c r="NG19" s="12"/>
      <c r="NH19" s="12"/>
      <c r="NI19" s="12"/>
      <c r="NJ19" s="12"/>
      <c r="NK19" s="12"/>
      <c r="NL19" s="12"/>
      <c r="NM19" s="12"/>
      <c r="NN19" s="12"/>
      <c r="NO19" s="12"/>
      <c r="NP19" s="12"/>
      <c r="NQ19" s="12"/>
      <c r="NR19" s="12"/>
      <c r="NS19" s="12"/>
      <c r="NT19" s="12"/>
      <c r="NU19" s="12"/>
      <c r="NV19" s="12"/>
      <c r="NW19" s="12"/>
      <c r="NX19" s="12"/>
      <c r="NY19" s="12"/>
      <c r="NZ19" s="12"/>
      <c r="OA19" s="12"/>
      <c r="OB19" s="12"/>
      <c r="OC19" s="12"/>
      <c r="OD19" s="12"/>
      <c r="OE19" s="12"/>
      <c r="OF19" s="12"/>
      <c r="OG19" s="12"/>
      <c r="OH19" s="12"/>
      <c r="OI19" s="12"/>
      <c r="OJ19" s="12"/>
      <c r="OK19" s="12"/>
      <c r="OL19" s="12"/>
      <c r="OM19" s="12"/>
      <c r="ON19" s="12"/>
      <c r="OO19" s="12"/>
      <c r="OP19" s="12"/>
      <c r="OQ19" s="12"/>
      <c r="OR19" s="12"/>
      <c r="OS19" s="12"/>
      <c r="OT19" s="12"/>
      <c r="OU19" s="12"/>
      <c r="OV19" s="12"/>
      <c r="OW19" s="12"/>
      <c r="OX19" s="12"/>
      <c r="OY19" s="12"/>
      <c r="OZ19" s="12"/>
      <c r="PA19" s="12"/>
      <c r="PB19" s="12"/>
      <c r="PC19" s="12"/>
      <c r="PD19" s="12"/>
      <c r="PE19" s="12"/>
      <c r="PF19" s="12"/>
      <c r="PG19" s="12"/>
      <c r="PH19" s="12"/>
      <c r="PI19" s="12"/>
      <c r="PJ19" s="12"/>
      <c r="PK19" s="12"/>
      <c r="PL19" s="12"/>
      <c r="PM19" s="12"/>
      <c r="PN19" s="12"/>
      <c r="PO19" s="12"/>
      <c r="PP19" s="12"/>
      <c r="PQ19" s="12"/>
      <c r="PR19" s="12"/>
      <c r="PS19" s="12"/>
      <c r="PT19" s="12"/>
      <c r="PU19" s="12"/>
      <c r="PV19" s="12"/>
      <c r="PW19" s="12"/>
      <c r="PX19" s="12"/>
      <c r="PY19" s="12"/>
      <c r="PZ19" s="12"/>
      <c r="QA19" s="12"/>
      <c r="QB19" s="12"/>
      <c r="QC19" s="12"/>
      <c r="QD19" s="12"/>
      <c r="QE19" s="12"/>
      <c r="QF19" s="12"/>
      <c r="QG19" s="12"/>
      <c r="QH19" s="12"/>
      <c r="QI19" s="12"/>
      <c r="QJ19" s="12"/>
      <c r="QK19" s="12"/>
      <c r="QL19" s="12"/>
      <c r="QM19" s="12"/>
      <c r="QN19" s="12"/>
      <c r="QO19" s="12"/>
      <c r="QP19" s="12"/>
      <c r="QQ19" s="12"/>
      <c r="QR19" s="12"/>
      <c r="QS19" s="12"/>
      <c r="QT19" s="12"/>
      <c r="QU19" s="12"/>
      <c r="QV19" s="12"/>
      <c r="QW19" s="12"/>
      <c r="QX19" s="12"/>
      <c r="QY19" s="12"/>
      <c r="QZ19" s="12"/>
      <c r="RA19" s="12"/>
      <c r="RB19" s="12"/>
      <c r="RC19" s="12"/>
      <c r="RD19" s="12"/>
      <c r="RE19" s="12"/>
      <c r="RF19" s="12"/>
      <c r="RG19" s="12"/>
      <c r="RH19" s="12"/>
      <c r="RI19" s="12"/>
      <c r="RJ19" s="12"/>
      <c r="RK19" s="12"/>
      <c r="RL19" s="12"/>
      <c r="RM19" s="12"/>
      <c r="RN19" s="12"/>
      <c r="RO19" s="12"/>
      <c r="RP19" s="12"/>
      <c r="RQ19" s="12"/>
      <c r="RR19" s="12"/>
      <c r="RS19" s="12"/>
      <c r="RT19" s="12"/>
      <c r="RU19" s="12"/>
      <c r="RV19" s="12"/>
      <c r="RW19" s="12"/>
      <c r="RX19" s="12"/>
      <c r="RY19" s="12"/>
      <c r="RZ19" s="12"/>
      <c r="SA19" s="12"/>
      <c r="SB19" s="12"/>
      <c r="SC19" s="12"/>
      <c r="SD19" s="12"/>
      <c r="SE19" s="12"/>
      <c r="SF19" s="12"/>
      <c r="SG19" s="12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</row>
    <row r="20" spans="1:532" x14ac:dyDescent="0.2">
      <c r="A20" s="10" t="s">
        <v>19</v>
      </c>
      <c r="B20" s="12">
        <v>12.9</v>
      </c>
      <c r="C20" s="11">
        <v>0</v>
      </c>
      <c r="D20" s="11">
        <v>2.0789665435086331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  <c r="QJ20" s="12"/>
      <c r="QK20" s="12"/>
      <c r="QL20" s="12"/>
      <c r="QM20" s="12"/>
      <c r="QN20" s="12"/>
      <c r="QO20" s="12"/>
      <c r="QP20" s="12"/>
      <c r="QQ20" s="12"/>
      <c r="QR20" s="12"/>
      <c r="QS20" s="12"/>
      <c r="QT20" s="12"/>
      <c r="QU20" s="12"/>
      <c r="QV20" s="12"/>
      <c r="QW20" s="12"/>
      <c r="QX20" s="12"/>
      <c r="QY20" s="12"/>
      <c r="QZ20" s="12"/>
      <c r="RA20" s="12"/>
      <c r="RB20" s="12"/>
      <c r="RC20" s="12"/>
      <c r="RD20" s="12"/>
      <c r="RE20" s="12"/>
      <c r="RF20" s="12"/>
      <c r="RG20" s="12"/>
      <c r="RH20" s="12"/>
      <c r="RI20" s="12"/>
      <c r="RJ20" s="12"/>
      <c r="RK20" s="12"/>
      <c r="RL20" s="12"/>
      <c r="RM20" s="12"/>
      <c r="RN20" s="12"/>
      <c r="RO20" s="12"/>
      <c r="RP20" s="12"/>
      <c r="RQ20" s="12"/>
      <c r="RR20" s="12"/>
      <c r="RS20" s="12"/>
      <c r="RT20" s="12"/>
      <c r="RU20" s="12"/>
      <c r="RV20" s="12"/>
      <c r="RW20" s="12"/>
      <c r="RX20" s="12"/>
      <c r="RY20" s="12"/>
      <c r="RZ20" s="12"/>
      <c r="SA20" s="12"/>
      <c r="SB20" s="12"/>
      <c r="SC20" s="12"/>
      <c r="SD20" s="12"/>
      <c r="SE20" s="12"/>
      <c r="SF20" s="12"/>
      <c r="SG20" s="12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</row>
    <row r="21" spans="1:532" x14ac:dyDescent="0.2">
      <c r="A21" s="10" t="s">
        <v>20</v>
      </c>
      <c r="B21" s="12">
        <v>11.86</v>
      </c>
      <c r="C21" s="11">
        <v>0</v>
      </c>
      <c r="D21" s="11">
        <v>3.1085499745795753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/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/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/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/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/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/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/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/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/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/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/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/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/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/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/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/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  <c r="QJ21" s="12"/>
      <c r="QK21" s="12"/>
      <c r="QL21" s="12"/>
      <c r="QM21" s="12"/>
      <c r="QN21" s="12"/>
      <c r="QO21" s="12"/>
      <c r="QP21" s="12"/>
      <c r="QQ21" s="12"/>
      <c r="QR21" s="12"/>
      <c r="QS21" s="12"/>
      <c r="QT21" s="12"/>
      <c r="QU21" s="12"/>
      <c r="QV21" s="12"/>
      <c r="QW21" s="12"/>
      <c r="QX21" s="12"/>
      <c r="QY21" s="12"/>
      <c r="QZ21" s="12"/>
      <c r="RA21" s="12"/>
      <c r="RB21" s="12"/>
      <c r="RC21" s="12"/>
      <c r="RD21" s="12"/>
      <c r="RE21" s="12"/>
      <c r="RF21" s="12"/>
      <c r="RG21" s="12"/>
      <c r="RH21" s="12"/>
      <c r="RI21" s="12"/>
      <c r="RJ21" s="12"/>
      <c r="RK21" s="12"/>
      <c r="RL21" s="12"/>
      <c r="RM21" s="12"/>
      <c r="RN21" s="12"/>
      <c r="RO21" s="12"/>
      <c r="RP21" s="12"/>
      <c r="RQ21" s="12"/>
      <c r="RR21" s="12"/>
      <c r="RS21" s="12"/>
      <c r="RT21" s="12"/>
      <c r="RU21" s="12"/>
      <c r="RV21" s="12"/>
      <c r="RW21" s="12"/>
      <c r="RX21" s="12"/>
      <c r="RY21" s="12"/>
      <c r="RZ21" s="12"/>
      <c r="SA21" s="12"/>
      <c r="SB21" s="12"/>
      <c r="SC21" s="12"/>
      <c r="SD21" s="12"/>
      <c r="SE21" s="12"/>
      <c r="SF21" s="12"/>
      <c r="SG21" s="12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</row>
    <row r="22" spans="1:532" x14ac:dyDescent="0.2">
      <c r="A22" s="10" t="s">
        <v>21</v>
      </c>
      <c r="B22" s="12">
        <v>13.06</v>
      </c>
      <c r="C22" s="11">
        <v>0</v>
      </c>
      <c r="D22" s="11">
        <v>1.9304689332580165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12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12"/>
      <c r="JX22" s="12"/>
      <c r="JY22" s="12"/>
      <c r="JZ22" s="12"/>
      <c r="KA22" s="12"/>
      <c r="KB22" s="12"/>
      <c r="KC22" s="12"/>
      <c r="KD22" s="12"/>
      <c r="KE22" s="12"/>
      <c r="KF22" s="12"/>
      <c r="KG22" s="12"/>
      <c r="KH22" s="12"/>
      <c r="KI22" s="12"/>
      <c r="KJ22" s="12"/>
      <c r="KK22" s="12"/>
      <c r="KL22" s="12"/>
      <c r="KM22" s="12"/>
      <c r="KN22" s="12"/>
      <c r="KO22" s="12"/>
      <c r="KP22" s="12"/>
      <c r="KQ22" s="12"/>
      <c r="KR22" s="12"/>
      <c r="KS22" s="12"/>
      <c r="KT22" s="12"/>
      <c r="KU22" s="12"/>
      <c r="KV22" s="12"/>
      <c r="KW22" s="12"/>
      <c r="KX22" s="12"/>
      <c r="KY22" s="12"/>
      <c r="KZ22" s="12"/>
      <c r="LA22" s="12"/>
      <c r="LB22" s="12"/>
      <c r="LC22" s="12"/>
      <c r="LD22" s="12"/>
      <c r="LE22" s="12"/>
      <c r="LF22" s="12"/>
      <c r="LG22" s="12"/>
      <c r="LH22" s="12"/>
      <c r="LI22" s="12"/>
      <c r="LJ22" s="12"/>
      <c r="LK22" s="12"/>
      <c r="LL22" s="12"/>
      <c r="LM22" s="12"/>
      <c r="LN22" s="12"/>
      <c r="LO22" s="12"/>
      <c r="LP22" s="12"/>
      <c r="LQ22" s="12"/>
      <c r="LR22" s="12"/>
      <c r="LS22" s="12"/>
      <c r="LT22" s="12"/>
      <c r="LU22" s="12"/>
      <c r="LV22" s="12"/>
      <c r="LW22" s="12"/>
      <c r="LX22" s="12"/>
      <c r="LY22" s="12"/>
      <c r="LZ22" s="12"/>
      <c r="MA22" s="12"/>
      <c r="MB22" s="12"/>
      <c r="MC22" s="12"/>
      <c r="MD22" s="12"/>
      <c r="ME22" s="12"/>
      <c r="MF22" s="12"/>
      <c r="MG22" s="12"/>
      <c r="MH22" s="12"/>
      <c r="MI22" s="12"/>
      <c r="MJ22" s="12"/>
      <c r="MK22" s="12"/>
      <c r="ML22" s="12"/>
      <c r="MM22" s="12"/>
      <c r="MN22" s="12"/>
      <c r="MO22" s="12"/>
      <c r="MP22" s="12"/>
      <c r="MQ22" s="12"/>
      <c r="MR22" s="12"/>
      <c r="MS22" s="12"/>
      <c r="MT22" s="12"/>
      <c r="MU22" s="12"/>
      <c r="MV22" s="12"/>
      <c r="MW22" s="12"/>
      <c r="MX22" s="12"/>
      <c r="MY22" s="12"/>
      <c r="MZ22" s="12"/>
      <c r="NA22" s="12"/>
      <c r="NB22" s="12"/>
      <c r="NC22" s="12"/>
      <c r="ND22" s="12"/>
      <c r="NE22" s="12"/>
      <c r="NF22" s="12"/>
      <c r="NG22" s="12"/>
      <c r="NH22" s="12"/>
      <c r="NI22" s="12"/>
      <c r="NJ22" s="12"/>
      <c r="NK22" s="12"/>
      <c r="NL22" s="12"/>
      <c r="NM22" s="12"/>
      <c r="NN22" s="12"/>
      <c r="NO22" s="12"/>
      <c r="NP22" s="12"/>
      <c r="NQ22" s="12"/>
      <c r="NR22" s="12"/>
      <c r="NS22" s="12"/>
      <c r="NT22" s="12"/>
      <c r="NU22" s="12"/>
      <c r="NV22" s="12"/>
      <c r="NW22" s="12"/>
      <c r="NX22" s="12"/>
      <c r="NY22" s="12"/>
      <c r="NZ22" s="12"/>
      <c r="OA22" s="12"/>
      <c r="OB22" s="12"/>
      <c r="OC22" s="12"/>
      <c r="OD22" s="12"/>
      <c r="OE22" s="12"/>
      <c r="OF22" s="12"/>
      <c r="OG22" s="12"/>
      <c r="OH22" s="12"/>
      <c r="OI22" s="12"/>
      <c r="OJ22" s="12"/>
      <c r="OK22" s="12"/>
      <c r="OL22" s="12"/>
      <c r="OM22" s="12"/>
      <c r="ON22" s="12"/>
      <c r="OO22" s="12"/>
      <c r="OP22" s="12"/>
      <c r="OQ22" s="12"/>
      <c r="OR22" s="12"/>
      <c r="OS22" s="12"/>
      <c r="OT22" s="12"/>
      <c r="OU22" s="12"/>
      <c r="OV22" s="12"/>
      <c r="OW22" s="12"/>
      <c r="OX22" s="12"/>
      <c r="OY22" s="12"/>
      <c r="OZ22" s="12"/>
      <c r="PA22" s="12"/>
      <c r="PB22" s="12"/>
      <c r="PC22" s="12"/>
      <c r="PD22" s="12"/>
      <c r="PE22" s="12"/>
      <c r="PF22" s="12"/>
      <c r="PG22" s="12"/>
      <c r="PH22" s="12"/>
      <c r="PI22" s="12"/>
      <c r="PJ22" s="12"/>
      <c r="PK22" s="12"/>
      <c r="PL22" s="12"/>
      <c r="PM22" s="12"/>
      <c r="PN22" s="12"/>
      <c r="PO22" s="12"/>
      <c r="PP22" s="12"/>
      <c r="PQ22" s="12"/>
      <c r="PR22" s="12"/>
      <c r="PS22" s="12"/>
      <c r="PT22" s="12"/>
      <c r="PU22" s="12"/>
      <c r="PV22" s="12"/>
      <c r="PW22" s="12"/>
      <c r="PX22" s="12"/>
      <c r="PY22" s="12"/>
      <c r="PZ22" s="12"/>
      <c r="QA22" s="12"/>
      <c r="QB22" s="12"/>
      <c r="QC22" s="12"/>
      <c r="QD22" s="12"/>
      <c r="QE22" s="12"/>
      <c r="QF22" s="12"/>
      <c r="QG22" s="12"/>
      <c r="QH22" s="12"/>
      <c r="QI22" s="12"/>
      <c r="QJ22" s="12"/>
      <c r="QK22" s="12"/>
      <c r="QL22" s="12"/>
      <c r="QM22" s="12"/>
      <c r="QN22" s="12"/>
      <c r="QO22" s="12"/>
      <c r="QP22" s="12"/>
      <c r="QQ22" s="12"/>
      <c r="QR22" s="12"/>
      <c r="QS22" s="12"/>
      <c r="QT22" s="12"/>
      <c r="QU22" s="12"/>
      <c r="QV22" s="12"/>
      <c r="QW22" s="12"/>
      <c r="QX22" s="12"/>
      <c r="QY22" s="12"/>
      <c r="QZ22" s="12"/>
      <c r="RA22" s="12"/>
      <c r="RB22" s="12"/>
      <c r="RC22" s="12"/>
      <c r="RD22" s="12"/>
      <c r="RE22" s="12"/>
      <c r="RF22" s="12"/>
      <c r="RG22" s="12"/>
      <c r="RH22" s="12"/>
      <c r="RI22" s="12"/>
      <c r="RJ22" s="12"/>
      <c r="RK22" s="12"/>
      <c r="RL22" s="12"/>
      <c r="RM22" s="12"/>
      <c r="RN22" s="12"/>
      <c r="RO22" s="12"/>
      <c r="RP22" s="12"/>
      <c r="RQ22" s="12"/>
      <c r="RR22" s="12"/>
      <c r="RS22" s="12"/>
      <c r="RT22" s="12"/>
      <c r="RU22" s="12"/>
      <c r="RV22" s="12"/>
      <c r="RW22" s="12"/>
      <c r="RX22" s="12"/>
      <c r="RY22" s="12"/>
      <c r="RZ22" s="12"/>
      <c r="SA22" s="12"/>
      <c r="SB22" s="12"/>
      <c r="SC22" s="12"/>
      <c r="SD22" s="12"/>
      <c r="SE22" s="12"/>
      <c r="SF22" s="12"/>
      <c r="SG22" s="12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</row>
    <row r="23" spans="1:532" x14ac:dyDescent="0.2">
      <c r="A23" s="10" t="s">
        <v>22</v>
      </c>
      <c r="B23" s="12">
        <v>15.23</v>
      </c>
      <c r="C23" s="11">
        <v>0.22769633571761222</v>
      </c>
      <c r="D23" s="11">
        <v>0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12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12"/>
      <c r="JX23" s="12"/>
      <c r="JY23" s="12"/>
      <c r="JZ23" s="12"/>
      <c r="KA23" s="12"/>
      <c r="KB23" s="12"/>
      <c r="KC23" s="12"/>
      <c r="KD23" s="12"/>
      <c r="KE23" s="12"/>
      <c r="KF23" s="12"/>
      <c r="KG23" s="12"/>
      <c r="KH23" s="12"/>
      <c r="KI23" s="12"/>
      <c r="KJ23" s="12"/>
      <c r="KK23" s="12"/>
      <c r="KL23" s="12"/>
      <c r="KM23" s="12"/>
      <c r="KN23" s="12"/>
      <c r="KO23" s="12"/>
      <c r="KP23" s="12"/>
      <c r="KQ23" s="12"/>
      <c r="KR23" s="12"/>
      <c r="KS23" s="12"/>
      <c r="KT23" s="12"/>
      <c r="KU23" s="12"/>
      <c r="KV23" s="12"/>
      <c r="KW23" s="12"/>
      <c r="KX23" s="12"/>
      <c r="KY23" s="12"/>
      <c r="KZ23" s="12"/>
      <c r="LA23" s="12"/>
      <c r="LB23" s="12"/>
      <c r="LC23" s="12"/>
      <c r="LD23" s="12"/>
      <c r="LE23" s="12"/>
      <c r="LF23" s="12"/>
      <c r="LG23" s="12"/>
      <c r="LH23" s="12"/>
      <c r="LI23" s="12"/>
      <c r="LJ23" s="12"/>
      <c r="LK23" s="12"/>
      <c r="LL23" s="12"/>
      <c r="LM23" s="12"/>
      <c r="LN23" s="12"/>
      <c r="LO23" s="12"/>
      <c r="LP23" s="12"/>
      <c r="LQ23" s="12"/>
      <c r="LR23" s="12"/>
      <c r="LS23" s="12"/>
      <c r="LT23" s="12"/>
      <c r="LU23" s="12"/>
      <c r="LV23" s="12"/>
      <c r="LW23" s="12"/>
      <c r="LX23" s="12"/>
      <c r="LY23" s="12"/>
      <c r="LZ23" s="12"/>
      <c r="MA23" s="12"/>
      <c r="MB23" s="12"/>
      <c r="MC23" s="12"/>
      <c r="MD23" s="12"/>
      <c r="ME23" s="12"/>
      <c r="MF23" s="12"/>
      <c r="MG23" s="12"/>
      <c r="MH23" s="12"/>
      <c r="MI23" s="12"/>
      <c r="MJ23" s="12"/>
      <c r="MK23" s="12"/>
      <c r="ML23" s="12"/>
      <c r="MM23" s="12"/>
      <c r="MN23" s="12"/>
      <c r="MO23" s="12"/>
      <c r="MP23" s="12"/>
      <c r="MQ23" s="12"/>
      <c r="MR23" s="12"/>
      <c r="MS23" s="12"/>
      <c r="MT23" s="12"/>
      <c r="MU23" s="12"/>
      <c r="MV23" s="12"/>
      <c r="MW23" s="12"/>
      <c r="MX23" s="12"/>
      <c r="MY23" s="12"/>
      <c r="MZ23" s="12"/>
      <c r="NA23" s="12"/>
      <c r="NB23" s="12"/>
      <c r="NC23" s="12"/>
      <c r="ND23" s="12"/>
      <c r="NE23" s="12"/>
      <c r="NF23" s="12"/>
      <c r="NG23" s="12"/>
      <c r="NH23" s="12"/>
      <c r="NI23" s="12"/>
      <c r="NJ23" s="12"/>
      <c r="NK23" s="12"/>
      <c r="NL23" s="12"/>
      <c r="NM23" s="12"/>
      <c r="NN23" s="12"/>
      <c r="NO23" s="12"/>
      <c r="NP23" s="12"/>
      <c r="NQ23" s="12"/>
      <c r="NR23" s="12"/>
      <c r="NS23" s="12"/>
      <c r="NT23" s="12"/>
      <c r="NU23" s="12"/>
      <c r="NV23" s="12"/>
      <c r="NW23" s="12"/>
      <c r="NX23" s="12"/>
      <c r="NY23" s="12"/>
      <c r="NZ23" s="12"/>
      <c r="OA23" s="12"/>
      <c r="OB23" s="12"/>
      <c r="OC23" s="12"/>
      <c r="OD23" s="12"/>
      <c r="OE23" s="12"/>
      <c r="OF23" s="12"/>
      <c r="OG23" s="12"/>
      <c r="OH23" s="12"/>
      <c r="OI23" s="12"/>
      <c r="OJ23" s="12"/>
      <c r="OK23" s="12"/>
      <c r="OL23" s="12"/>
      <c r="OM23" s="12"/>
      <c r="ON23" s="12"/>
      <c r="OO23" s="12"/>
      <c r="OP23" s="12"/>
      <c r="OQ23" s="12"/>
      <c r="OR23" s="12"/>
      <c r="OS23" s="12"/>
      <c r="OT23" s="12"/>
      <c r="OU23" s="12"/>
      <c r="OV23" s="12"/>
      <c r="OW23" s="12"/>
      <c r="OX23" s="12"/>
      <c r="OY23" s="12"/>
      <c r="OZ23" s="12"/>
      <c r="PA23" s="12"/>
      <c r="PB23" s="12"/>
      <c r="PC23" s="12"/>
      <c r="PD23" s="12"/>
      <c r="PE23" s="12"/>
      <c r="PF23" s="12"/>
      <c r="PG23" s="12"/>
      <c r="PH23" s="12"/>
      <c r="PI23" s="12"/>
      <c r="PJ23" s="12"/>
      <c r="PK23" s="12"/>
      <c r="PL23" s="12"/>
      <c r="PM23" s="12"/>
      <c r="PN23" s="12"/>
      <c r="PO23" s="12"/>
      <c r="PP23" s="12"/>
      <c r="PQ23" s="12"/>
      <c r="PR23" s="12"/>
      <c r="PS23" s="12"/>
      <c r="PT23" s="12"/>
      <c r="PU23" s="12"/>
      <c r="PV23" s="12"/>
      <c r="PW23" s="12"/>
      <c r="PX23" s="12"/>
      <c r="PY23" s="12"/>
      <c r="PZ23" s="12"/>
      <c r="QA23" s="12"/>
      <c r="QB23" s="12"/>
      <c r="QC23" s="12"/>
      <c r="QD23" s="12"/>
      <c r="QE23" s="12"/>
      <c r="QF23" s="12"/>
      <c r="QG23" s="12"/>
      <c r="QH23" s="12"/>
      <c r="QI23" s="12"/>
      <c r="QJ23" s="12"/>
      <c r="QK23" s="12"/>
      <c r="QL23" s="12"/>
      <c r="QM23" s="12"/>
      <c r="QN23" s="12"/>
      <c r="QO23" s="12"/>
      <c r="QP23" s="12"/>
      <c r="QQ23" s="12"/>
      <c r="QR23" s="12"/>
      <c r="QS23" s="12"/>
      <c r="QT23" s="12"/>
      <c r="QU23" s="12"/>
      <c r="QV23" s="12"/>
      <c r="QW23" s="12"/>
      <c r="QX23" s="12"/>
      <c r="QY23" s="12"/>
      <c r="QZ23" s="12"/>
      <c r="RA23" s="12"/>
      <c r="RB23" s="12"/>
      <c r="RC23" s="12"/>
      <c r="RD23" s="12"/>
      <c r="RE23" s="12"/>
      <c r="RF23" s="12"/>
      <c r="RG23" s="12"/>
      <c r="RH23" s="12"/>
      <c r="RI23" s="12"/>
      <c r="RJ23" s="12"/>
      <c r="RK23" s="12"/>
      <c r="RL23" s="12"/>
      <c r="RM23" s="12"/>
      <c r="RN23" s="12"/>
      <c r="RO23" s="12"/>
      <c r="RP23" s="12"/>
      <c r="RQ23" s="12"/>
      <c r="RR23" s="12"/>
      <c r="RS23" s="12"/>
      <c r="RT23" s="12"/>
      <c r="RU23" s="12"/>
      <c r="RV23" s="12"/>
      <c r="RW23" s="12"/>
      <c r="RX23" s="12"/>
      <c r="RY23" s="12"/>
      <c r="RZ23" s="12"/>
      <c r="SA23" s="12"/>
      <c r="SB23" s="12"/>
      <c r="SC23" s="12"/>
      <c r="SD23" s="12"/>
      <c r="SE23" s="12"/>
      <c r="SF23" s="12"/>
      <c r="SG23" s="12"/>
      <c r="SH23" s="11"/>
      <c r="SI23" s="11"/>
      <c r="SJ23" s="11"/>
      <c r="SK23" s="11"/>
      <c r="SL23" s="11"/>
      <c r="SM23" s="11"/>
      <c r="SN23" s="11"/>
      <c r="SO23" s="11"/>
      <c r="SP23" s="11"/>
      <c r="SQ23" s="11"/>
      <c r="SR23" s="11"/>
      <c r="SS23" s="11"/>
      <c r="ST23" s="11"/>
      <c r="SU23" s="11"/>
      <c r="SV23" s="11"/>
      <c r="SW23" s="11"/>
      <c r="SX23" s="11"/>
      <c r="SY23" s="11"/>
      <c r="SZ23" s="11"/>
      <c r="TA23" s="11"/>
      <c r="TB23" s="11"/>
      <c r="TC23" s="11"/>
      <c r="TD23" s="11"/>
      <c r="TE23" s="11"/>
      <c r="TF23" s="11"/>
      <c r="TG23" s="11"/>
      <c r="TH23" s="11"/>
      <c r="TI23" s="11"/>
      <c r="TJ23" s="11"/>
      <c r="TK23" s="11"/>
      <c r="TL23" s="11"/>
    </row>
    <row r="24" spans="1:532" x14ac:dyDescent="0.2">
      <c r="A24" s="10" t="s">
        <v>23</v>
      </c>
      <c r="B24" s="12">
        <v>13.55</v>
      </c>
      <c r="C24" s="11">
        <v>0</v>
      </c>
      <c r="D24" s="11">
        <v>1.4354768990892943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12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12"/>
      <c r="JX24" s="12"/>
      <c r="JY24" s="12"/>
      <c r="JZ24" s="12"/>
      <c r="KA24" s="12"/>
      <c r="KB24" s="12"/>
      <c r="KC24" s="12"/>
      <c r="KD24" s="12"/>
      <c r="KE24" s="12"/>
      <c r="KF24" s="12"/>
      <c r="KG24" s="12"/>
      <c r="KH24" s="12"/>
      <c r="KI24" s="12"/>
      <c r="KJ24" s="12"/>
      <c r="KK24" s="12"/>
      <c r="KL24" s="12"/>
      <c r="KM24" s="12"/>
      <c r="KN24" s="12"/>
      <c r="KO24" s="12"/>
      <c r="KP24" s="12"/>
      <c r="KQ24" s="12"/>
      <c r="KR24" s="12"/>
      <c r="KS24" s="12"/>
      <c r="KT24" s="12"/>
      <c r="KU24" s="12"/>
      <c r="KV24" s="12"/>
      <c r="KW24" s="12"/>
      <c r="KX24" s="12"/>
      <c r="KY24" s="12"/>
      <c r="KZ24" s="12"/>
      <c r="LA24" s="12"/>
      <c r="LB24" s="12"/>
      <c r="LC24" s="12"/>
      <c r="LD24" s="12"/>
      <c r="LE24" s="12"/>
      <c r="LF24" s="12"/>
      <c r="LG24" s="12"/>
      <c r="LH24" s="12"/>
      <c r="LI24" s="12"/>
      <c r="LJ24" s="12"/>
      <c r="LK24" s="12"/>
      <c r="LL24" s="12"/>
      <c r="LM24" s="12"/>
      <c r="LN24" s="12"/>
      <c r="LO24" s="12"/>
      <c r="LP24" s="12"/>
      <c r="LQ24" s="12"/>
      <c r="LR24" s="12"/>
      <c r="LS24" s="12"/>
      <c r="LT24" s="12"/>
      <c r="LU24" s="12"/>
      <c r="LV24" s="12"/>
      <c r="LW24" s="12"/>
      <c r="LX24" s="12"/>
      <c r="LY24" s="12"/>
      <c r="LZ24" s="12"/>
      <c r="MA24" s="12"/>
      <c r="MB24" s="12"/>
      <c r="MC24" s="12"/>
      <c r="MD24" s="12"/>
      <c r="ME24" s="12"/>
      <c r="MF24" s="12"/>
      <c r="MG24" s="12"/>
      <c r="MH24" s="12"/>
      <c r="MI24" s="12"/>
      <c r="MJ24" s="12"/>
      <c r="MK24" s="12"/>
      <c r="ML24" s="12"/>
      <c r="MM24" s="12"/>
      <c r="MN24" s="12"/>
      <c r="MO24" s="12"/>
      <c r="MP24" s="12"/>
      <c r="MQ24" s="12"/>
      <c r="MR24" s="12"/>
      <c r="MS24" s="12"/>
      <c r="MT24" s="12"/>
      <c r="MU24" s="12"/>
      <c r="MV24" s="12"/>
      <c r="MW24" s="12"/>
      <c r="MX24" s="12"/>
      <c r="MY24" s="12"/>
      <c r="MZ24" s="12"/>
      <c r="NA24" s="12"/>
      <c r="NB24" s="12"/>
      <c r="NC24" s="12"/>
      <c r="ND24" s="12"/>
      <c r="NE24" s="12"/>
      <c r="NF24" s="12"/>
      <c r="NG24" s="12"/>
      <c r="NH24" s="12"/>
      <c r="NI24" s="12"/>
      <c r="NJ24" s="12"/>
      <c r="NK24" s="12"/>
      <c r="NL24" s="12"/>
      <c r="NM24" s="12"/>
      <c r="NN24" s="12"/>
      <c r="NO24" s="12"/>
      <c r="NP24" s="12"/>
      <c r="NQ24" s="12"/>
      <c r="NR24" s="12"/>
      <c r="NS24" s="12"/>
      <c r="NT24" s="12"/>
      <c r="NU24" s="12"/>
      <c r="NV24" s="12"/>
      <c r="NW24" s="12"/>
      <c r="NX24" s="12"/>
      <c r="NY24" s="12"/>
      <c r="NZ24" s="12"/>
      <c r="OA24" s="12"/>
      <c r="OB24" s="12"/>
      <c r="OC24" s="12"/>
      <c r="OD24" s="12"/>
      <c r="OE24" s="12"/>
      <c r="OF24" s="12"/>
      <c r="OG24" s="12"/>
      <c r="OH24" s="12"/>
      <c r="OI24" s="12"/>
      <c r="OJ24" s="12"/>
      <c r="OK24" s="12"/>
      <c r="OL24" s="12"/>
      <c r="OM24" s="12"/>
      <c r="ON24" s="12"/>
      <c r="OO24" s="12"/>
      <c r="OP24" s="12"/>
      <c r="OQ24" s="12"/>
      <c r="OR24" s="12"/>
      <c r="OS24" s="12"/>
      <c r="OT24" s="12"/>
      <c r="OU24" s="12"/>
      <c r="OV24" s="12"/>
      <c r="OW24" s="12"/>
      <c r="OX24" s="12"/>
      <c r="OY24" s="12"/>
      <c r="OZ24" s="12"/>
      <c r="PA24" s="12"/>
      <c r="PB24" s="12"/>
      <c r="PC24" s="12"/>
      <c r="PD24" s="12"/>
      <c r="PE24" s="12"/>
      <c r="PF24" s="12"/>
      <c r="PG24" s="12"/>
      <c r="PH24" s="12"/>
      <c r="PI24" s="12"/>
      <c r="PJ24" s="12"/>
      <c r="PK24" s="12"/>
      <c r="PL24" s="12"/>
      <c r="PM24" s="12"/>
      <c r="PN24" s="12"/>
      <c r="PO24" s="12"/>
      <c r="PP24" s="12"/>
      <c r="PQ24" s="12"/>
      <c r="PR24" s="12"/>
      <c r="PS24" s="12"/>
      <c r="PT24" s="12"/>
      <c r="PU24" s="12"/>
      <c r="PV24" s="12"/>
      <c r="PW24" s="12"/>
      <c r="PX24" s="12"/>
      <c r="PY24" s="12"/>
      <c r="PZ24" s="12"/>
      <c r="QA24" s="12"/>
      <c r="QB24" s="12"/>
      <c r="QC24" s="12"/>
      <c r="QD24" s="12"/>
      <c r="QE24" s="12"/>
      <c r="QF24" s="12"/>
      <c r="QG24" s="12"/>
      <c r="QH24" s="12"/>
      <c r="QI24" s="12"/>
      <c r="QJ24" s="12"/>
      <c r="QK24" s="12"/>
      <c r="QL24" s="12"/>
      <c r="QM24" s="12"/>
      <c r="QN24" s="12"/>
      <c r="QO24" s="12"/>
      <c r="QP24" s="12"/>
      <c r="QQ24" s="12"/>
      <c r="QR24" s="12"/>
      <c r="QS24" s="12"/>
      <c r="QT24" s="12"/>
      <c r="QU24" s="12"/>
      <c r="QV24" s="12"/>
      <c r="QW24" s="12"/>
      <c r="QX24" s="12"/>
      <c r="QY24" s="12"/>
      <c r="QZ24" s="12"/>
      <c r="RA24" s="12"/>
      <c r="RB24" s="12"/>
      <c r="RC24" s="12"/>
      <c r="RD24" s="12"/>
      <c r="RE24" s="12"/>
      <c r="RF24" s="12"/>
      <c r="RG24" s="12"/>
      <c r="RH24" s="12"/>
      <c r="RI24" s="12"/>
      <c r="RJ24" s="12"/>
      <c r="RK24" s="12"/>
      <c r="RL24" s="12"/>
      <c r="RM24" s="12"/>
      <c r="RN24" s="12"/>
      <c r="RO24" s="12"/>
      <c r="RP24" s="12"/>
      <c r="RQ24" s="12"/>
      <c r="RR24" s="12"/>
      <c r="RS24" s="12"/>
      <c r="RT24" s="12"/>
      <c r="RU24" s="12"/>
      <c r="RV24" s="12"/>
      <c r="RW24" s="12"/>
      <c r="RX24" s="12"/>
      <c r="RY24" s="12"/>
      <c r="RZ24" s="12"/>
      <c r="SA24" s="12"/>
      <c r="SB24" s="12"/>
      <c r="SC24" s="12"/>
      <c r="SD24" s="12"/>
      <c r="SE24" s="12"/>
      <c r="SF24" s="12"/>
      <c r="SG24" s="12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</row>
    <row r="25" spans="1:532" x14ac:dyDescent="0.2">
      <c r="A25" s="10" t="s">
        <v>24</v>
      </c>
      <c r="B25" s="12">
        <v>13.84</v>
      </c>
      <c r="C25" s="11">
        <v>0</v>
      </c>
      <c r="D25" s="11">
        <v>1.1483815192714353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2"/>
      <c r="LU25" s="12"/>
      <c r="LV25" s="12"/>
      <c r="LW25" s="12"/>
      <c r="LX25" s="12"/>
      <c r="LY25" s="12"/>
      <c r="LZ25" s="12"/>
      <c r="MA25" s="12"/>
      <c r="MB25" s="12"/>
      <c r="MC25" s="12"/>
      <c r="MD25" s="12"/>
      <c r="ME25" s="12"/>
      <c r="MF25" s="12"/>
      <c r="MG25" s="12"/>
      <c r="MH25" s="12"/>
      <c r="MI25" s="12"/>
      <c r="MJ25" s="12"/>
      <c r="MK25" s="12"/>
      <c r="ML25" s="12"/>
      <c r="MM25" s="12"/>
      <c r="MN25" s="12"/>
      <c r="MO25" s="12"/>
      <c r="MP25" s="12"/>
      <c r="MQ25" s="12"/>
      <c r="MR25" s="12"/>
      <c r="MS25" s="12"/>
      <c r="MT25" s="12"/>
      <c r="MU25" s="12"/>
      <c r="MV25" s="12"/>
      <c r="MW25" s="12"/>
      <c r="MX25" s="12"/>
      <c r="MY25" s="12"/>
      <c r="MZ25" s="12"/>
      <c r="NA25" s="12"/>
      <c r="NB25" s="12"/>
      <c r="NC25" s="12"/>
      <c r="ND25" s="12"/>
      <c r="NE25" s="12"/>
      <c r="NF25" s="12"/>
      <c r="NG25" s="12"/>
      <c r="NH25" s="12"/>
      <c r="NI25" s="12"/>
      <c r="NJ25" s="12"/>
      <c r="NK25" s="12"/>
      <c r="NL25" s="12"/>
      <c r="NM25" s="12"/>
      <c r="NN25" s="12"/>
      <c r="NO25" s="12"/>
      <c r="NP25" s="12"/>
      <c r="NQ25" s="12"/>
      <c r="NR25" s="12"/>
      <c r="NS25" s="12"/>
      <c r="NT25" s="12"/>
      <c r="NU25" s="12"/>
      <c r="NV25" s="12"/>
      <c r="NW25" s="12"/>
      <c r="NX25" s="12"/>
      <c r="NY25" s="12"/>
      <c r="NZ25" s="12"/>
      <c r="OA25" s="12"/>
      <c r="OB25" s="12"/>
      <c r="OC25" s="12"/>
      <c r="OD25" s="12"/>
      <c r="OE25" s="12"/>
      <c r="OF25" s="12"/>
      <c r="OG25" s="12"/>
      <c r="OH25" s="12"/>
      <c r="OI25" s="12"/>
      <c r="OJ25" s="12"/>
      <c r="OK25" s="12"/>
      <c r="OL25" s="12"/>
      <c r="OM25" s="12"/>
      <c r="ON25" s="12"/>
      <c r="OO25" s="12"/>
      <c r="OP25" s="12"/>
      <c r="OQ25" s="12"/>
      <c r="OR25" s="12"/>
      <c r="OS25" s="12"/>
      <c r="OT25" s="12"/>
      <c r="OU25" s="12"/>
      <c r="OV25" s="12"/>
      <c r="OW25" s="12"/>
      <c r="OX25" s="12"/>
      <c r="OY25" s="12"/>
      <c r="OZ25" s="12"/>
      <c r="PA25" s="12"/>
      <c r="PB25" s="12"/>
      <c r="PC25" s="12"/>
      <c r="PD25" s="12"/>
      <c r="PE25" s="12"/>
      <c r="PF25" s="12"/>
      <c r="PG25" s="12"/>
      <c r="PH25" s="12"/>
      <c r="PI25" s="12"/>
      <c r="PJ25" s="12"/>
      <c r="PK25" s="12"/>
      <c r="PL25" s="12"/>
      <c r="PM25" s="12"/>
      <c r="PN25" s="12"/>
      <c r="PO25" s="12"/>
      <c r="PP25" s="12"/>
      <c r="PQ25" s="12"/>
      <c r="PR25" s="12"/>
      <c r="PS25" s="12"/>
      <c r="PT25" s="12"/>
      <c r="PU25" s="12"/>
      <c r="PV25" s="12"/>
      <c r="PW25" s="12"/>
      <c r="PX25" s="12"/>
      <c r="PY25" s="12"/>
      <c r="PZ25" s="12"/>
      <c r="QA25" s="12"/>
      <c r="QB25" s="12"/>
      <c r="QC25" s="12"/>
      <c r="QD25" s="12"/>
      <c r="QE25" s="12"/>
      <c r="QF25" s="12"/>
      <c r="QG25" s="12"/>
      <c r="QH25" s="12"/>
      <c r="QI25" s="12"/>
      <c r="QJ25" s="12"/>
      <c r="QK25" s="12"/>
      <c r="QL25" s="12"/>
      <c r="QM25" s="12"/>
      <c r="QN25" s="12"/>
      <c r="QO25" s="12"/>
      <c r="QP25" s="12"/>
      <c r="QQ25" s="12"/>
      <c r="QR25" s="12"/>
      <c r="QS25" s="12"/>
      <c r="QT25" s="12"/>
      <c r="QU25" s="12"/>
      <c r="QV25" s="12"/>
      <c r="QW25" s="12"/>
      <c r="QX25" s="12"/>
      <c r="QY25" s="12"/>
      <c r="QZ25" s="12"/>
      <c r="RA25" s="12"/>
      <c r="RB25" s="12"/>
      <c r="RC25" s="12"/>
      <c r="RD25" s="12"/>
      <c r="RE25" s="12"/>
      <c r="RF25" s="12"/>
      <c r="RG25" s="12"/>
      <c r="RH25" s="12"/>
      <c r="RI25" s="12"/>
      <c r="RJ25" s="12"/>
      <c r="RK25" s="12"/>
      <c r="RL25" s="12"/>
      <c r="RM25" s="12"/>
      <c r="RN25" s="12"/>
      <c r="RO25" s="12"/>
      <c r="RP25" s="12"/>
      <c r="RQ25" s="12"/>
      <c r="RR25" s="12"/>
      <c r="RS25" s="12"/>
      <c r="RT25" s="12"/>
      <c r="RU25" s="12"/>
      <c r="RV25" s="12"/>
      <c r="RW25" s="12"/>
      <c r="RX25" s="12"/>
      <c r="RY25" s="12"/>
      <c r="RZ25" s="12"/>
      <c r="SA25" s="12"/>
      <c r="SB25" s="12"/>
      <c r="SC25" s="12"/>
      <c r="SD25" s="12"/>
      <c r="SE25" s="12"/>
      <c r="SF25" s="12"/>
      <c r="SG25" s="12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</row>
    <row r="26" spans="1:532" x14ac:dyDescent="0.2">
      <c r="A26" s="10" t="s">
        <v>25</v>
      </c>
      <c r="B26" s="12">
        <v>13.79</v>
      </c>
      <c r="C26" s="11">
        <v>0</v>
      </c>
      <c r="D26" s="11">
        <v>1.1978807226883077</v>
      </c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2"/>
      <c r="LU26" s="12"/>
      <c r="LV26" s="12"/>
      <c r="LW26" s="12"/>
      <c r="LX26" s="12"/>
      <c r="LY26" s="12"/>
      <c r="LZ26" s="12"/>
      <c r="MA26" s="12"/>
      <c r="MB26" s="12"/>
      <c r="MC26" s="12"/>
      <c r="MD26" s="12"/>
      <c r="ME26" s="12"/>
      <c r="MF26" s="12"/>
      <c r="MG26" s="12"/>
      <c r="MH26" s="12"/>
      <c r="MI26" s="12"/>
      <c r="MJ26" s="12"/>
      <c r="MK26" s="12"/>
      <c r="ML26" s="12"/>
      <c r="MM26" s="12"/>
      <c r="MN26" s="12"/>
      <c r="MO26" s="12"/>
      <c r="MP26" s="12"/>
      <c r="MQ26" s="12"/>
      <c r="MR26" s="12"/>
      <c r="MS26" s="12"/>
      <c r="MT26" s="12"/>
      <c r="MU26" s="12"/>
      <c r="MV26" s="12"/>
      <c r="MW26" s="12"/>
      <c r="MX26" s="12"/>
      <c r="MY26" s="12"/>
      <c r="MZ26" s="12"/>
      <c r="NA26" s="12"/>
      <c r="NB26" s="12"/>
      <c r="NC26" s="12"/>
      <c r="ND26" s="12"/>
      <c r="NE26" s="12"/>
      <c r="NF26" s="12"/>
      <c r="NG26" s="12"/>
      <c r="NH26" s="12"/>
      <c r="NI26" s="12"/>
      <c r="NJ26" s="12"/>
      <c r="NK26" s="12"/>
      <c r="NL26" s="12"/>
      <c r="NM26" s="12"/>
      <c r="NN26" s="12"/>
      <c r="NO26" s="12"/>
      <c r="NP26" s="12"/>
      <c r="NQ26" s="12"/>
      <c r="NR26" s="12"/>
      <c r="NS26" s="12"/>
      <c r="NT26" s="12"/>
      <c r="NU26" s="12"/>
      <c r="NV26" s="12"/>
      <c r="NW26" s="12"/>
      <c r="NX26" s="12"/>
      <c r="NY26" s="12"/>
      <c r="NZ26" s="12"/>
      <c r="OA26" s="12"/>
      <c r="OB26" s="12"/>
      <c r="OC26" s="12"/>
      <c r="OD26" s="12"/>
      <c r="OE26" s="12"/>
      <c r="OF26" s="12"/>
      <c r="OG26" s="12"/>
      <c r="OH26" s="12"/>
      <c r="OI26" s="12"/>
      <c r="OJ26" s="12"/>
      <c r="OK26" s="12"/>
      <c r="OL26" s="12"/>
      <c r="OM26" s="12"/>
      <c r="ON26" s="12"/>
      <c r="OO26" s="12"/>
      <c r="OP26" s="12"/>
      <c r="OQ26" s="12"/>
      <c r="OR26" s="12"/>
      <c r="OS26" s="12"/>
      <c r="OT26" s="12"/>
      <c r="OU26" s="12"/>
      <c r="OV26" s="12"/>
      <c r="OW26" s="12"/>
      <c r="OX26" s="12"/>
      <c r="OY26" s="12"/>
      <c r="OZ26" s="12"/>
      <c r="PA26" s="12"/>
      <c r="PB26" s="12"/>
      <c r="PC26" s="12"/>
      <c r="PD26" s="12"/>
      <c r="PE26" s="12"/>
      <c r="PF26" s="12"/>
      <c r="PG26" s="12"/>
      <c r="PH26" s="12"/>
      <c r="PI26" s="12"/>
      <c r="PJ26" s="12"/>
      <c r="PK26" s="12"/>
      <c r="PL26" s="12"/>
      <c r="PM26" s="12"/>
      <c r="PN26" s="12"/>
      <c r="PO26" s="12"/>
      <c r="PP26" s="12"/>
      <c r="PQ26" s="12"/>
      <c r="PR26" s="12"/>
      <c r="PS26" s="12"/>
      <c r="PT26" s="12"/>
      <c r="PU26" s="12"/>
      <c r="PV26" s="12"/>
      <c r="PW26" s="12"/>
      <c r="PX26" s="12"/>
      <c r="PY26" s="12"/>
      <c r="PZ26" s="12"/>
      <c r="QA26" s="12"/>
      <c r="QB26" s="12"/>
      <c r="QC26" s="12"/>
      <c r="QD26" s="12"/>
      <c r="QE26" s="12"/>
      <c r="QF26" s="12"/>
      <c r="QG26" s="12"/>
      <c r="QH26" s="12"/>
      <c r="QI26" s="12"/>
      <c r="QJ26" s="12"/>
      <c r="QK26" s="12"/>
      <c r="QL26" s="12"/>
      <c r="QM26" s="12"/>
      <c r="QN26" s="12"/>
      <c r="QO26" s="12"/>
      <c r="QP26" s="12"/>
      <c r="QQ26" s="12"/>
      <c r="QR26" s="12"/>
      <c r="QS26" s="12"/>
      <c r="QT26" s="12"/>
      <c r="QU26" s="12"/>
      <c r="QV26" s="12"/>
      <c r="QW26" s="12"/>
      <c r="QX26" s="12"/>
      <c r="QY26" s="12"/>
      <c r="QZ26" s="12"/>
      <c r="RA26" s="12"/>
      <c r="RB26" s="12"/>
      <c r="RC26" s="12"/>
      <c r="RD26" s="12"/>
      <c r="RE26" s="12"/>
      <c r="RF26" s="12"/>
      <c r="RG26" s="12"/>
      <c r="RH26" s="12"/>
      <c r="RI26" s="12"/>
      <c r="RJ26" s="12"/>
      <c r="RK26" s="12"/>
      <c r="RL26" s="12"/>
      <c r="RM26" s="12"/>
      <c r="RN26" s="12"/>
      <c r="RO26" s="12"/>
      <c r="RP26" s="12"/>
      <c r="RQ26" s="12"/>
      <c r="RR26" s="12"/>
      <c r="RS26" s="12"/>
      <c r="RT26" s="12"/>
      <c r="RU26" s="12"/>
      <c r="RV26" s="12"/>
      <c r="RW26" s="12"/>
      <c r="RX26" s="12"/>
      <c r="RY26" s="12"/>
      <c r="RZ26" s="12"/>
      <c r="SA26" s="12"/>
      <c r="SB26" s="12"/>
      <c r="SC26" s="12"/>
      <c r="SD26" s="12"/>
      <c r="SE26" s="12"/>
      <c r="SF26" s="12"/>
      <c r="SG26" s="12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</row>
    <row r="27" spans="1:532" x14ac:dyDescent="0.2">
      <c r="A27" s="10" t="s">
        <v>26</v>
      </c>
      <c r="B27" s="12">
        <v>14.64</v>
      </c>
      <c r="C27" s="11">
        <v>0</v>
      </c>
      <c r="D27" s="11">
        <v>0.35639426460147994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2"/>
      <c r="LU27" s="12"/>
      <c r="LV27" s="12"/>
      <c r="LW27" s="12"/>
      <c r="LX27" s="12"/>
      <c r="LY27" s="12"/>
      <c r="LZ27" s="12"/>
      <c r="MA27" s="12"/>
      <c r="MB27" s="12"/>
      <c r="MC27" s="12"/>
      <c r="MD27" s="12"/>
      <c r="ME27" s="12"/>
      <c r="MF27" s="12"/>
      <c r="MG27" s="12"/>
      <c r="MH27" s="12"/>
      <c r="MI27" s="12"/>
      <c r="MJ27" s="12"/>
      <c r="MK27" s="12"/>
      <c r="ML27" s="12"/>
      <c r="MM27" s="12"/>
      <c r="MN27" s="12"/>
      <c r="MO27" s="12"/>
      <c r="MP27" s="12"/>
      <c r="MQ27" s="12"/>
      <c r="MR27" s="12"/>
      <c r="MS27" s="12"/>
      <c r="MT27" s="12"/>
      <c r="MU27" s="12"/>
      <c r="MV27" s="12"/>
      <c r="MW27" s="12"/>
      <c r="MX27" s="12"/>
      <c r="MY27" s="12"/>
      <c r="MZ27" s="12"/>
      <c r="NA27" s="12"/>
      <c r="NB27" s="12"/>
      <c r="NC27" s="12"/>
      <c r="ND27" s="12"/>
      <c r="NE27" s="12"/>
      <c r="NF27" s="12"/>
      <c r="NG27" s="12"/>
      <c r="NH27" s="12"/>
      <c r="NI27" s="12"/>
      <c r="NJ27" s="12"/>
      <c r="NK27" s="12"/>
      <c r="NL27" s="12"/>
      <c r="NM27" s="12"/>
      <c r="NN27" s="12"/>
      <c r="NO27" s="12"/>
      <c r="NP27" s="12"/>
      <c r="NQ27" s="12"/>
      <c r="NR27" s="12"/>
      <c r="NS27" s="12"/>
      <c r="NT27" s="12"/>
      <c r="NU27" s="12"/>
      <c r="NV27" s="12"/>
      <c r="NW27" s="12"/>
      <c r="NX27" s="12"/>
      <c r="NY27" s="12"/>
      <c r="NZ27" s="12"/>
      <c r="OA27" s="12"/>
      <c r="OB27" s="12"/>
      <c r="OC27" s="12"/>
      <c r="OD27" s="12"/>
      <c r="OE27" s="12"/>
      <c r="OF27" s="12"/>
      <c r="OG27" s="12"/>
      <c r="OH27" s="12"/>
      <c r="OI27" s="12"/>
      <c r="OJ27" s="12"/>
      <c r="OK27" s="12"/>
      <c r="OL27" s="12"/>
      <c r="OM27" s="12"/>
      <c r="ON27" s="12"/>
      <c r="OO27" s="12"/>
      <c r="OP27" s="12"/>
      <c r="OQ27" s="12"/>
      <c r="OR27" s="12"/>
      <c r="OS27" s="12"/>
      <c r="OT27" s="12"/>
      <c r="OU27" s="12"/>
      <c r="OV27" s="12"/>
      <c r="OW27" s="12"/>
      <c r="OX27" s="12"/>
      <c r="OY27" s="12"/>
      <c r="OZ27" s="12"/>
      <c r="PA27" s="12"/>
      <c r="PB27" s="12"/>
      <c r="PC27" s="12"/>
      <c r="PD27" s="12"/>
      <c r="PE27" s="12"/>
      <c r="PF27" s="12"/>
      <c r="PG27" s="12"/>
      <c r="PH27" s="12"/>
      <c r="PI27" s="12"/>
      <c r="PJ27" s="12"/>
      <c r="PK27" s="12"/>
      <c r="PL27" s="12"/>
      <c r="PM27" s="12"/>
      <c r="PN27" s="12"/>
      <c r="PO27" s="12"/>
      <c r="PP27" s="12"/>
      <c r="PQ27" s="12"/>
      <c r="PR27" s="12"/>
      <c r="PS27" s="12"/>
      <c r="PT27" s="12"/>
      <c r="PU27" s="12"/>
      <c r="PV27" s="12"/>
      <c r="PW27" s="12"/>
      <c r="PX27" s="12"/>
      <c r="PY27" s="12"/>
      <c r="PZ27" s="12"/>
      <c r="QA27" s="12"/>
      <c r="QB27" s="12"/>
      <c r="QC27" s="12"/>
      <c r="QD27" s="12"/>
      <c r="QE27" s="12"/>
      <c r="QF27" s="12"/>
      <c r="QG27" s="12"/>
      <c r="QH27" s="12"/>
      <c r="QI27" s="12"/>
      <c r="QJ27" s="12"/>
      <c r="QK27" s="12"/>
      <c r="QL27" s="12"/>
      <c r="QM27" s="12"/>
      <c r="QN27" s="12"/>
      <c r="QO27" s="12"/>
      <c r="QP27" s="12"/>
      <c r="QQ27" s="12"/>
      <c r="QR27" s="12"/>
      <c r="QS27" s="12"/>
      <c r="QT27" s="12"/>
      <c r="QU27" s="12"/>
      <c r="QV27" s="12"/>
      <c r="QW27" s="12"/>
      <c r="QX27" s="12"/>
      <c r="QY27" s="12"/>
      <c r="QZ27" s="12"/>
      <c r="RA27" s="12"/>
      <c r="RB27" s="12"/>
      <c r="RC27" s="12"/>
      <c r="RD27" s="12"/>
      <c r="RE27" s="12"/>
      <c r="RF27" s="12"/>
      <c r="RG27" s="12"/>
      <c r="RH27" s="12"/>
      <c r="RI27" s="12"/>
      <c r="RJ27" s="12"/>
      <c r="RK27" s="12"/>
      <c r="RL27" s="12"/>
      <c r="RM27" s="12"/>
      <c r="RN27" s="12"/>
      <c r="RO27" s="12"/>
      <c r="RP27" s="12"/>
      <c r="RQ27" s="12"/>
      <c r="RR27" s="12"/>
      <c r="RS27" s="12"/>
      <c r="RT27" s="12"/>
      <c r="RU27" s="12"/>
      <c r="RV27" s="12"/>
      <c r="RW27" s="12"/>
      <c r="RX27" s="12"/>
      <c r="RY27" s="12"/>
      <c r="RZ27" s="12"/>
      <c r="SA27" s="12"/>
      <c r="SB27" s="12"/>
      <c r="SC27" s="12"/>
      <c r="SD27" s="12"/>
      <c r="SE27" s="12"/>
      <c r="SF27" s="12"/>
      <c r="SG27" s="12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</row>
    <row r="28" spans="1:532" x14ac:dyDescent="0.2">
      <c r="A28" s="10" t="s">
        <v>27</v>
      </c>
      <c r="B28" s="12">
        <v>13.81</v>
      </c>
      <c r="C28" s="11">
        <v>0</v>
      </c>
      <c r="D28" s="11">
        <v>1.1780810413215588</v>
      </c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2"/>
      <c r="LU28" s="12"/>
      <c r="LV28" s="12"/>
      <c r="LW28" s="12"/>
      <c r="LX28" s="12"/>
      <c r="LY28" s="12"/>
      <c r="LZ28" s="12"/>
      <c r="MA28" s="12"/>
      <c r="MB28" s="12"/>
      <c r="MC28" s="12"/>
      <c r="MD28" s="12"/>
      <c r="ME28" s="12"/>
      <c r="MF28" s="12"/>
      <c r="MG28" s="12"/>
      <c r="MH28" s="12"/>
      <c r="MI28" s="12"/>
      <c r="MJ28" s="12"/>
      <c r="MK28" s="12"/>
      <c r="ML28" s="12"/>
      <c r="MM28" s="12"/>
      <c r="MN28" s="12"/>
      <c r="MO28" s="12"/>
      <c r="MP28" s="12"/>
      <c r="MQ28" s="12"/>
      <c r="MR28" s="12"/>
      <c r="MS28" s="12"/>
      <c r="MT28" s="12"/>
      <c r="MU28" s="12"/>
      <c r="MV28" s="12"/>
      <c r="MW28" s="12"/>
      <c r="MX28" s="12"/>
      <c r="MY28" s="12"/>
      <c r="MZ28" s="12"/>
      <c r="NA28" s="12"/>
      <c r="NB28" s="12"/>
      <c r="NC28" s="12"/>
      <c r="ND28" s="12"/>
      <c r="NE28" s="12"/>
      <c r="NF28" s="12"/>
      <c r="NG28" s="12"/>
      <c r="NH28" s="12"/>
      <c r="NI28" s="12"/>
      <c r="NJ28" s="12"/>
      <c r="NK28" s="12"/>
      <c r="NL28" s="12"/>
      <c r="NM28" s="12"/>
      <c r="NN28" s="12"/>
      <c r="NO28" s="12"/>
      <c r="NP28" s="12"/>
      <c r="NQ28" s="12"/>
      <c r="NR28" s="12"/>
      <c r="NS28" s="12"/>
      <c r="NT28" s="12"/>
      <c r="NU28" s="12"/>
      <c r="NV28" s="12"/>
      <c r="NW28" s="12"/>
      <c r="NX28" s="12"/>
      <c r="NY28" s="12"/>
      <c r="NZ28" s="12"/>
      <c r="OA28" s="12"/>
      <c r="OB28" s="12"/>
      <c r="OC28" s="12"/>
      <c r="OD28" s="12"/>
      <c r="OE28" s="12"/>
      <c r="OF28" s="12"/>
      <c r="OG28" s="12"/>
      <c r="OH28" s="12"/>
      <c r="OI28" s="12"/>
      <c r="OJ28" s="12"/>
      <c r="OK28" s="12"/>
      <c r="OL28" s="12"/>
      <c r="OM28" s="12"/>
      <c r="ON28" s="12"/>
      <c r="OO28" s="12"/>
      <c r="OP28" s="12"/>
      <c r="OQ28" s="12"/>
      <c r="OR28" s="12"/>
      <c r="OS28" s="12"/>
      <c r="OT28" s="12"/>
      <c r="OU28" s="12"/>
      <c r="OV28" s="12"/>
      <c r="OW28" s="12"/>
      <c r="OX28" s="12"/>
      <c r="OY28" s="12"/>
      <c r="OZ28" s="12"/>
      <c r="PA28" s="12"/>
      <c r="PB28" s="12"/>
      <c r="PC28" s="12"/>
      <c r="PD28" s="12"/>
      <c r="PE28" s="12"/>
      <c r="PF28" s="12"/>
      <c r="PG28" s="12"/>
      <c r="PH28" s="12"/>
      <c r="PI28" s="12"/>
      <c r="PJ28" s="12"/>
      <c r="PK28" s="12"/>
      <c r="PL28" s="12"/>
      <c r="PM28" s="12"/>
      <c r="PN28" s="12"/>
      <c r="PO28" s="12"/>
      <c r="PP28" s="12"/>
      <c r="PQ28" s="12"/>
      <c r="PR28" s="12"/>
      <c r="PS28" s="12"/>
      <c r="PT28" s="12"/>
      <c r="PU28" s="12"/>
      <c r="PV28" s="12"/>
      <c r="PW28" s="12"/>
      <c r="PX28" s="12"/>
      <c r="PY28" s="12"/>
      <c r="PZ28" s="12"/>
      <c r="QA28" s="12"/>
      <c r="QB28" s="12"/>
      <c r="QC28" s="12"/>
      <c r="QD28" s="12"/>
      <c r="QE28" s="12"/>
      <c r="QF28" s="12"/>
      <c r="QG28" s="12"/>
      <c r="QH28" s="12"/>
      <c r="QI28" s="12"/>
      <c r="QJ28" s="12"/>
      <c r="QK28" s="12"/>
      <c r="QL28" s="12"/>
      <c r="QM28" s="12"/>
      <c r="QN28" s="12"/>
      <c r="QO28" s="12"/>
      <c r="QP28" s="12"/>
      <c r="QQ28" s="12"/>
      <c r="QR28" s="12"/>
      <c r="QS28" s="12"/>
      <c r="QT28" s="12"/>
      <c r="QU28" s="12"/>
      <c r="QV28" s="12"/>
      <c r="QW28" s="12"/>
      <c r="QX28" s="12"/>
      <c r="QY28" s="12"/>
      <c r="QZ28" s="12"/>
      <c r="RA28" s="12"/>
      <c r="RB28" s="12"/>
      <c r="RC28" s="12"/>
      <c r="RD28" s="12"/>
      <c r="RE28" s="12"/>
      <c r="RF28" s="12"/>
      <c r="RG28" s="12"/>
      <c r="RH28" s="12"/>
      <c r="RI28" s="12"/>
      <c r="RJ28" s="12"/>
      <c r="RK28" s="12"/>
      <c r="RL28" s="12"/>
      <c r="RM28" s="12"/>
      <c r="RN28" s="12"/>
      <c r="RO28" s="12"/>
      <c r="RP28" s="12"/>
      <c r="RQ28" s="12"/>
      <c r="RR28" s="12"/>
      <c r="RS28" s="12"/>
      <c r="RT28" s="12"/>
      <c r="RU28" s="12"/>
      <c r="RV28" s="12"/>
      <c r="RW28" s="12"/>
      <c r="RX28" s="12"/>
      <c r="RY28" s="12"/>
      <c r="RZ28" s="12"/>
      <c r="SA28" s="12"/>
      <c r="SB28" s="12"/>
      <c r="SC28" s="12"/>
      <c r="SD28" s="12"/>
      <c r="SE28" s="12"/>
      <c r="SF28" s="12"/>
      <c r="SG28" s="12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</row>
    <row r="29" spans="1:532" x14ac:dyDescent="0.2">
      <c r="A29" s="10" t="s">
        <v>28</v>
      </c>
      <c r="B29" s="12">
        <v>14.28</v>
      </c>
      <c r="C29" s="11">
        <v>0</v>
      </c>
      <c r="D29" s="11">
        <v>0.71278852920295988</v>
      </c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2"/>
      <c r="LU29" s="12"/>
      <c r="LV29" s="12"/>
      <c r="LW29" s="12"/>
      <c r="LX29" s="12"/>
      <c r="LY29" s="12"/>
      <c r="LZ29" s="12"/>
      <c r="MA29" s="12"/>
      <c r="MB29" s="12"/>
      <c r="MC29" s="12"/>
      <c r="MD29" s="12"/>
      <c r="ME29" s="12"/>
      <c r="MF29" s="12"/>
      <c r="MG29" s="12"/>
      <c r="MH29" s="12"/>
      <c r="MI29" s="12"/>
      <c r="MJ29" s="12"/>
      <c r="MK29" s="12"/>
      <c r="ML29" s="12"/>
      <c r="MM29" s="12"/>
      <c r="MN29" s="12"/>
      <c r="MO29" s="12"/>
      <c r="MP29" s="12"/>
      <c r="MQ29" s="12"/>
      <c r="MR29" s="12"/>
      <c r="MS29" s="12"/>
      <c r="MT29" s="12"/>
      <c r="MU29" s="12"/>
      <c r="MV29" s="12"/>
      <c r="MW29" s="12"/>
      <c r="MX29" s="12"/>
      <c r="MY29" s="12"/>
      <c r="MZ29" s="12"/>
      <c r="NA29" s="12"/>
      <c r="NB29" s="12"/>
      <c r="NC29" s="12"/>
      <c r="ND29" s="12"/>
      <c r="NE29" s="12"/>
      <c r="NF29" s="12"/>
      <c r="NG29" s="12"/>
      <c r="NH29" s="12"/>
      <c r="NI29" s="12"/>
      <c r="NJ29" s="12"/>
      <c r="NK29" s="12"/>
      <c r="NL29" s="12"/>
      <c r="NM29" s="12"/>
      <c r="NN29" s="12"/>
      <c r="NO29" s="12"/>
      <c r="NP29" s="12"/>
      <c r="NQ29" s="12"/>
      <c r="NR29" s="12"/>
      <c r="NS29" s="12"/>
      <c r="NT29" s="12"/>
      <c r="NU29" s="12"/>
      <c r="NV29" s="12"/>
      <c r="NW29" s="12"/>
      <c r="NX29" s="12"/>
      <c r="NY29" s="12"/>
      <c r="NZ29" s="12"/>
      <c r="OA29" s="12"/>
      <c r="OB29" s="12"/>
      <c r="OC29" s="12"/>
      <c r="OD29" s="12"/>
      <c r="OE29" s="12"/>
      <c r="OF29" s="12"/>
      <c r="OG29" s="12"/>
      <c r="OH29" s="12"/>
      <c r="OI29" s="12"/>
      <c r="OJ29" s="12"/>
      <c r="OK29" s="12"/>
      <c r="OL29" s="12"/>
      <c r="OM29" s="12"/>
      <c r="ON29" s="12"/>
      <c r="OO29" s="12"/>
      <c r="OP29" s="12"/>
      <c r="OQ29" s="12"/>
      <c r="OR29" s="12"/>
      <c r="OS29" s="12"/>
      <c r="OT29" s="12"/>
      <c r="OU29" s="12"/>
      <c r="OV29" s="12"/>
      <c r="OW29" s="12"/>
      <c r="OX29" s="12"/>
      <c r="OY29" s="12"/>
      <c r="OZ29" s="12"/>
      <c r="PA29" s="12"/>
      <c r="PB29" s="12"/>
      <c r="PC29" s="12"/>
      <c r="PD29" s="12"/>
      <c r="PE29" s="12"/>
      <c r="PF29" s="12"/>
      <c r="PG29" s="12"/>
      <c r="PH29" s="12"/>
      <c r="PI29" s="12"/>
      <c r="PJ29" s="12"/>
      <c r="PK29" s="12"/>
      <c r="PL29" s="12"/>
      <c r="PM29" s="12"/>
      <c r="PN29" s="12"/>
      <c r="PO29" s="12"/>
      <c r="PP29" s="12"/>
      <c r="PQ29" s="12"/>
      <c r="PR29" s="12"/>
      <c r="PS29" s="12"/>
      <c r="PT29" s="12"/>
      <c r="PU29" s="12"/>
      <c r="PV29" s="12"/>
      <c r="PW29" s="12"/>
      <c r="PX29" s="12"/>
      <c r="PY29" s="12"/>
      <c r="PZ29" s="12"/>
      <c r="QA29" s="12"/>
      <c r="QB29" s="12"/>
      <c r="QC29" s="12"/>
      <c r="QD29" s="12"/>
      <c r="QE29" s="12"/>
      <c r="QF29" s="12"/>
      <c r="QG29" s="12"/>
      <c r="QH29" s="12"/>
      <c r="QI29" s="12"/>
      <c r="QJ29" s="12"/>
      <c r="QK29" s="12"/>
      <c r="QL29" s="12"/>
      <c r="QM29" s="12"/>
      <c r="QN29" s="12"/>
      <c r="QO29" s="12"/>
      <c r="QP29" s="12"/>
      <c r="QQ29" s="12"/>
      <c r="QR29" s="12"/>
      <c r="QS29" s="12"/>
      <c r="QT29" s="12"/>
      <c r="QU29" s="12"/>
      <c r="QV29" s="12"/>
      <c r="QW29" s="12"/>
      <c r="QX29" s="12"/>
      <c r="QY29" s="12"/>
      <c r="QZ29" s="12"/>
      <c r="RA29" s="12"/>
      <c r="RB29" s="12"/>
      <c r="RC29" s="12"/>
      <c r="RD29" s="12"/>
      <c r="RE29" s="12"/>
      <c r="RF29" s="12"/>
      <c r="RG29" s="12"/>
      <c r="RH29" s="12"/>
      <c r="RI29" s="12"/>
      <c r="RJ29" s="12"/>
      <c r="RK29" s="12"/>
      <c r="RL29" s="12"/>
      <c r="RM29" s="12"/>
      <c r="RN29" s="12"/>
      <c r="RO29" s="12"/>
      <c r="RP29" s="12"/>
      <c r="RQ29" s="12"/>
      <c r="RR29" s="12"/>
      <c r="RS29" s="12"/>
      <c r="RT29" s="12"/>
      <c r="RU29" s="12"/>
      <c r="RV29" s="12"/>
      <c r="RW29" s="12"/>
      <c r="RX29" s="12"/>
      <c r="RY29" s="12"/>
      <c r="RZ29" s="12"/>
      <c r="SA29" s="12"/>
      <c r="SB29" s="12"/>
      <c r="SC29" s="12"/>
      <c r="SD29" s="12"/>
      <c r="SE29" s="12"/>
      <c r="SF29" s="12"/>
      <c r="SG29" s="12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</row>
    <row r="30" spans="1:532" x14ac:dyDescent="0.2">
      <c r="A30" s="10" t="s">
        <v>29</v>
      </c>
      <c r="B30" s="12">
        <v>14.01</v>
      </c>
      <c r="C30" s="11">
        <v>0</v>
      </c>
      <c r="D30" s="11">
        <v>0.98008422765406988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2"/>
      <c r="LU30" s="12"/>
      <c r="LV30" s="12"/>
      <c r="LW30" s="12"/>
      <c r="LX30" s="12"/>
      <c r="LY30" s="12"/>
      <c r="LZ30" s="12"/>
      <c r="MA30" s="12"/>
      <c r="MB30" s="12"/>
      <c r="MC30" s="12"/>
      <c r="MD30" s="12"/>
      <c r="ME30" s="12"/>
      <c r="MF30" s="12"/>
      <c r="MG30" s="12"/>
      <c r="MH30" s="12"/>
      <c r="MI30" s="12"/>
      <c r="MJ30" s="12"/>
      <c r="MK30" s="12"/>
      <c r="ML30" s="12"/>
      <c r="MM30" s="12"/>
      <c r="MN30" s="12"/>
      <c r="MO30" s="12"/>
      <c r="MP30" s="12"/>
      <c r="MQ30" s="12"/>
      <c r="MR30" s="12"/>
      <c r="MS30" s="12"/>
      <c r="MT30" s="12"/>
      <c r="MU30" s="12"/>
      <c r="MV30" s="12"/>
      <c r="MW30" s="12"/>
      <c r="MX30" s="12"/>
      <c r="MY30" s="12"/>
      <c r="MZ30" s="12"/>
      <c r="NA30" s="12"/>
      <c r="NB30" s="12"/>
      <c r="NC30" s="12"/>
      <c r="ND30" s="12"/>
      <c r="NE30" s="12"/>
      <c r="NF30" s="12"/>
      <c r="NG30" s="12"/>
      <c r="NH30" s="12"/>
      <c r="NI30" s="12"/>
      <c r="NJ30" s="12"/>
      <c r="NK30" s="12"/>
      <c r="NL30" s="12"/>
      <c r="NM30" s="12"/>
      <c r="NN30" s="12"/>
      <c r="NO30" s="12"/>
      <c r="NP30" s="12"/>
      <c r="NQ30" s="12"/>
      <c r="NR30" s="12"/>
      <c r="NS30" s="12"/>
      <c r="NT30" s="12"/>
      <c r="NU30" s="12"/>
      <c r="NV30" s="12"/>
      <c r="NW30" s="12"/>
      <c r="NX30" s="12"/>
      <c r="NY30" s="12"/>
      <c r="NZ30" s="12"/>
      <c r="OA30" s="12"/>
      <c r="OB30" s="12"/>
      <c r="OC30" s="12"/>
      <c r="OD30" s="12"/>
      <c r="OE30" s="12"/>
      <c r="OF30" s="12"/>
      <c r="OG30" s="12"/>
      <c r="OH30" s="12"/>
      <c r="OI30" s="12"/>
      <c r="OJ30" s="12"/>
      <c r="OK30" s="12"/>
      <c r="OL30" s="12"/>
      <c r="OM30" s="12"/>
      <c r="ON30" s="12"/>
      <c r="OO30" s="12"/>
      <c r="OP30" s="12"/>
      <c r="OQ30" s="12"/>
      <c r="OR30" s="12"/>
      <c r="OS30" s="12"/>
      <c r="OT30" s="12"/>
      <c r="OU30" s="12"/>
      <c r="OV30" s="12"/>
      <c r="OW30" s="12"/>
      <c r="OX30" s="12"/>
      <c r="OY30" s="12"/>
      <c r="OZ30" s="12"/>
      <c r="PA30" s="12"/>
      <c r="PB30" s="12"/>
      <c r="PC30" s="12"/>
      <c r="PD30" s="12"/>
      <c r="PE30" s="12"/>
      <c r="PF30" s="12"/>
      <c r="PG30" s="12"/>
      <c r="PH30" s="12"/>
      <c r="PI30" s="12"/>
      <c r="PJ30" s="12"/>
      <c r="PK30" s="12"/>
      <c r="PL30" s="12"/>
      <c r="PM30" s="12"/>
      <c r="PN30" s="12"/>
      <c r="PO30" s="12"/>
      <c r="PP30" s="12"/>
      <c r="PQ30" s="12"/>
      <c r="PR30" s="12"/>
      <c r="PS30" s="12"/>
      <c r="PT30" s="12"/>
      <c r="PU30" s="12"/>
      <c r="PV30" s="12"/>
      <c r="PW30" s="12"/>
      <c r="PX30" s="12"/>
      <c r="PY30" s="12"/>
      <c r="PZ30" s="12"/>
      <c r="QA30" s="12"/>
      <c r="QB30" s="12"/>
      <c r="QC30" s="12"/>
      <c r="QD30" s="12"/>
      <c r="QE30" s="12"/>
      <c r="QF30" s="12"/>
      <c r="QG30" s="12"/>
      <c r="QH30" s="12"/>
      <c r="QI30" s="12"/>
      <c r="QJ30" s="12"/>
      <c r="QK30" s="12"/>
      <c r="QL30" s="12"/>
      <c r="QM30" s="12"/>
      <c r="QN30" s="12"/>
      <c r="QO30" s="12"/>
      <c r="QP30" s="12"/>
      <c r="QQ30" s="12"/>
      <c r="QR30" s="12"/>
      <c r="QS30" s="12"/>
      <c r="QT30" s="12"/>
      <c r="QU30" s="12"/>
      <c r="QV30" s="12"/>
      <c r="QW30" s="12"/>
      <c r="QX30" s="12"/>
      <c r="QY30" s="12"/>
      <c r="QZ30" s="12"/>
      <c r="RA30" s="12"/>
      <c r="RB30" s="12"/>
      <c r="RC30" s="12"/>
      <c r="RD30" s="12"/>
      <c r="RE30" s="12"/>
      <c r="RF30" s="12"/>
      <c r="RG30" s="12"/>
      <c r="RH30" s="12"/>
      <c r="RI30" s="12"/>
      <c r="RJ30" s="12"/>
      <c r="RK30" s="12"/>
      <c r="RL30" s="12"/>
      <c r="RM30" s="12"/>
      <c r="RN30" s="12"/>
      <c r="RO30" s="12"/>
      <c r="RP30" s="12"/>
      <c r="RQ30" s="12"/>
      <c r="RR30" s="12"/>
      <c r="RS30" s="12"/>
      <c r="RT30" s="12"/>
      <c r="RU30" s="12"/>
      <c r="RV30" s="12"/>
      <c r="RW30" s="12"/>
      <c r="RX30" s="12"/>
      <c r="RY30" s="12"/>
      <c r="RZ30" s="12"/>
      <c r="SA30" s="12"/>
      <c r="SB30" s="12"/>
      <c r="SC30" s="12"/>
      <c r="SD30" s="12"/>
      <c r="SE30" s="12"/>
      <c r="SF30" s="12"/>
      <c r="SG30" s="12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</row>
    <row r="31" spans="1:532" x14ac:dyDescent="0.2">
      <c r="A31" s="10" t="s">
        <v>30</v>
      </c>
      <c r="B31" s="12">
        <v>12.98</v>
      </c>
      <c r="C31" s="11">
        <v>0</v>
      </c>
      <c r="D31" s="11">
        <v>1.9997678180416376</v>
      </c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2"/>
      <c r="LU31" s="12"/>
      <c r="LV31" s="12"/>
      <c r="LW31" s="12"/>
      <c r="LX31" s="12"/>
      <c r="LY31" s="12"/>
      <c r="LZ31" s="12"/>
      <c r="MA31" s="12"/>
      <c r="MB31" s="12"/>
      <c r="MC31" s="12"/>
      <c r="MD31" s="12"/>
      <c r="ME31" s="12"/>
      <c r="MF31" s="12"/>
      <c r="MG31" s="12"/>
      <c r="MH31" s="12"/>
      <c r="MI31" s="12"/>
      <c r="MJ31" s="12"/>
      <c r="MK31" s="12"/>
      <c r="ML31" s="12"/>
      <c r="MM31" s="12"/>
      <c r="MN31" s="12"/>
      <c r="MO31" s="12"/>
      <c r="MP31" s="12"/>
      <c r="MQ31" s="12"/>
      <c r="MR31" s="12"/>
      <c r="MS31" s="12"/>
      <c r="MT31" s="12"/>
      <c r="MU31" s="12"/>
      <c r="MV31" s="12"/>
      <c r="MW31" s="12"/>
      <c r="MX31" s="12"/>
      <c r="MY31" s="12"/>
      <c r="MZ31" s="12"/>
      <c r="NA31" s="12"/>
      <c r="NB31" s="12"/>
      <c r="NC31" s="12"/>
      <c r="ND31" s="12"/>
      <c r="NE31" s="12"/>
      <c r="NF31" s="12"/>
      <c r="NG31" s="12"/>
      <c r="NH31" s="12"/>
      <c r="NI31" s="12"/>
      <c r="NJ31" s="12"/>
      <c r="NK31" s="12"/>
      <c r="NL31" s="12"/>
      <c r="NM31" s="12"/>
      <c r="NN31" s="12"/>
      <c r="NO31" s="12"/>
      <c r="NP31" s="12"/>
      <c r="NQ31" s="12"/>
      <c r="NR31" s="12"/>
      <c r="NS31" s="12"/>
      <c r="NT31" s="12"/>
      <c r="NU31" s="12"/>
      <c r="NV31" s="12"/>
      <c r="NW31" s="12"/>
      <c r="NX31" s="12"/>
      <c r="NY31" s="12"/>
      <c r="NZ31" s="12"/>
      <c r="OA31" s="12"/>
      <c r="OB31" s="12"/>
      <c r="OC31" s="12"/>
      <c r="OD31" s="12"/>
      <c r="OE31" s="12"/>
      <c r="OF31" s="12"/>
      <c r="OG31" s="12"/>
      <c r="OH31" s="12"/>
      <c r="OI31" s="12"/>
      <c r="OJ31" s="12"/>
      <c r="OK31" s="12"/>
      <c r="OL31" s="12"/>
      <c r="OM31" s="12"/>
      <c r="ON31" s="12"/>
      <c r="OO31" s="12"/>
      <c r="OP31" s="12"/>
      <c r="OQ31" s="12"/>
      <c r="OR31" s="12"/>
      <c r="OS31" s="12"/>
      <c r="OT31" s="12"/>
      <c r="OU31" s="12"/>
      <c r="OV31" s="12"/>
      <c r="OW31" s="12"/>
      <c r="OX31" s="12"/>
      <c r="OY31" s="12"/>
      <c r="OZ31" s="12"/>
      <c r="PA31" s="12"/>
      <c r="PB31" s="12"/>
      <c r="PC31" s="12"/>
      <c r="PD31" s="12"/>
      <c r="PE31" s="12"/>
      <c r="PF31" s="12"/>
      <c r="PG31" s="12"/>
      <c r="PH31" s="12"/>
      <c r="PI31" s="12"/>
      <c r="PJ31" s="12"/>
      <c r="PK31" s="12"/>
      <c r="PL31" s="12"/>
      <c r="PM31" s="12"/>
      <c r="PN31" s="12"/>
      <c r="PO31" s="12"/>
      <c r="PP31" s="12"/>
      <c r="PQ31" s="12"/>
      <c r="PR31" s="12"/>
      <c r="PS31" s="12"/>
      <c r="PT31" s="12"/>
      <c r="PU31" s="12"/>
      <c r="PV31" s="12"/>
      <c r="PW31" s="12"/>
      <c r="PX31" s="12"/>
      <c r="PY31" s="12"/>
      <c r="PZ31" s="12"/>
      <c r="QA31" s="12"/>
      <c r="QB31" s="12"/>
      <c r="QC31" s="12"/>
      <c r="QD31" s="12"/>
      <c r="QE31" s="12"/>
      <c r="QF31" s="12"/>
      <c r="QG31" s="12"/>
      <c r="QH31" s="12"/>
      <c r="QI31" s="12"/>
      <c r="QJ31" s="12"/>
      <c r="QK31" s="12"/>
      <c r="QL31" s="12"/>
      <c r="QM31" s="12"/>
      <c r="QN31" s="12"/>
      <c r="QO31" s="12"/>
      <c r="QP31" s="12"/>
      <c r="QQ31" s="12"/>
      <c r="QR31" s="12"/>
      <c r="QS31" s="12"/>
      <c r="QT31" s="12"/>
      <c r="QU31" s="12"/>
      <c r="QV31" s="12"/>
      <c r="QW31" s="12"/>
      <c r="QX31" s="12"/>
      <c r="QY31" s="12"/>
      <c r="QZ31" s="12"/>
      <c r="RA31" s="12"/>
      <c r="RB31" s="12"/>
      <c r="RC31" s="12"/>
      <c r="RD31" s="12"/>
      <c r="RE31" s="12"/>
      <c r="RF31" s="12"/>
      <c r="RG31" s="12"/>
      <c r="RH31" s="12"/>
      <c r="RI31" s="12"/>
      <c r="RJ31" s="12"/>
      <c r="RK31" s="12"/>
      <c r="RL31" s="12"/>
      <c r="RM31" s="12"/>
      <c r="RN31" s="12"/>
      <c r="RO31" s="12"/>
      <c r="RP31" s="12"/>
      <c r="RQ31" s="12"/>
      <c r="RR31" s="12"/>
      <c r="RS31" s="12"/>
      <c r="RT31" s="12"/>
      <c r="RU31" s="12"/>
      <c r="RV31" s="12"/>
      <c r="RW31" s="12"/>
      <c r="RX31" s="12"/>
      <c r="RY31" s="12"/>
      <c r="RZ31" s="12"/>
      <c r="SA31" s="12"/>
      <c r="SB31" s="12"/>
      <c r="SC31" s="12"/>
      <c r="SD31" s="12"/>
      <c r="SE31" s="12"/>
      <c r="SF31" s="12"/>
      <c r="SG31" s="12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</row>
    <row r="32" spans="1:532" x14ac:dyDescent="0.2">
      <c r="A32" s="10" t="s">
        <v>31</v>
      </c>
      <c r="B32" s="12">
        <v>15.23</v>
      </c>
      <c r="C32" s="11">
        <v>0.22769633571761222</v>
      </c>
      <c r="D32" s="11">
        <v>0</v>
      </c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2"/>
      <c r="LU32" s="12"/>
      <c r="LV32" s="12"/>
      <c r="LW32" s="12"/>
      <c r="LX32" s="12"/>
      <c r="LY32" s="12"/>
      <c r="LZ32" s="12"/>
      <c r="MA32" s="12"/>
      <c r="MB32" s="12"/>
      <c r="MC32" s="12"/>
      <c r="MD32" s="12"/>
      <c r="ME32" s="12"/>
      <c r="MF32" s="12"/>
      <c r="MG32" s="12"/>
      <c r="MH32" s="12"/>
      <c r="MI32" s="12"/>
      <c r="MJ32" s="12"/>
      <c r="MK32" s="12"/>
      <c r="ML32" s="12"/>
      <c r="MM32" s="12"/>
      <c r="MN32" s="12"/>
      <c r="MO32" s="12"/>
      <c r="MP32" s="12"/>
      <c r="MQ32" s="12"/>
      <c r="MR32" s="12"/>
      <c r="MS32" s="12"/>
      <c r="MT32" s="12"/>
      <c r="MU32" s="12"/>
      <c r="MV32" s="12"/>
      <c r="MW32" s="12"/>
      <c r="MX32" s="12"/>
      <c r="MY32" s="12"/>
      <c r="MZ32" s="12"/>
      <c r="NA32" s="12"/>
      <c r="NB32" s="12"/>
      <c r="NC32" s="12"/>
      <c r="ND32" s="12"/>
      <c r="NE32" s="12"/>
      <c r="NF32" s="12"/>
      <c r="NG32" s="12"/>
      <c r="NH32" s="12"/>
      <c r="NI32" s="12"/>
      <c r="NJ32" s="12"/>
      <c r="NK32" s="12"/>
      <c r="NL32" s="12"/>
      <c r="NM32" s="12"/>
      <c r="NN32" s="12"/>
      <c r="NO32" s="12"/>
      <c r="NP32" s="12"/>
      <c r="NQ32" s="12"/>
      <c r="NR32" s="12"/>
      <c r="NS32" s="12"/>
      <c r="NT32" s="12"/>
      <c r="NU32" s="12"/>
      <c r="NV32" s="12"/>
      <c r="NW32" s="12"/>
      <c r="NX32" s="12"/>
      <c r="NY32" s="12"/>
      <c r="NZ32" s="12"/>
      <c r="OA32" s="12"/>
      <c r="OB32" s="12"/>
      <c r="OC32" s="12"/>
      <c r="OD32" s="12"/>
      <c r="OE32" s="12"/>
      <c r="OF32" s="12"/>
      <c r="OG32" s="12"/>
      <c r="OH32" s="12"/>
      <c r="OI32" s="12"/>
      <c r="OJ32" s="12"/>
      <c r="OK32" s="12"/>
      <c r="OL32" s="12"/>
      <c r="OM32" s="12"/>
      <c r="ON32" s="12"/>
      <c r="OO32" s="12"/>
      <c r="OP32" s="12"/>
      <c r="OQ32" s="12"/>
      <c r="OR32" s="12"/>
      <c r="OS32" s="12"/>
      <c r="OT32" s="12"/>
      <c r="OU32" s="12"/>
      <c r="OV32" s="12"/>
      <c r="OW32" s="12"/>
      <c r="OX32" s="12"/>
      <c r="OY32" s="12"/>
      <c r="OZ32" s="12"/>
      <c r="PA32" s="12"/>
      <c r="PB32" s="12"/>
      <c r="PC32" s="12"/>
      <c r="PD32" s="12"/>
      <c r="PE32" s="12"/>
      <c r="PF32" s="12"/>
      <c r="PG32" s="12"/>
      <c r="PH32" s="12"/>
      <c r="PI32" s="12"/>
      <c r="PJ32" s="12"/>
      <c r="PK32" s="12"/>
      <c r="PL32" s="12"/>
      <c r="PM32" s="12"/>
      <c r="PN32" s="12"/>
      <c r="PO32" s="12"/>
      <c r="PP32" s="12"/>
      <c r="PQ32" s="12"/>
      <c r="PR32" s="12"/>
      <c r="PS32" s="12"/>
      <c r="PT32" s="12"/>
      <c r="PU32" s="12"/>
      <c r="PV32" s="12"/>
      <c r="PW32" s="12"/>
      <c r="PX32" s="12"/>
      <c r="PY32" s="12"/>
      <c r="PZ32" s="12"/>
      <c r="QA32" s="12"/>
      <c r="QB32" s="12"/>
      <c r="QC32" s="12"/>
      <c r="QD32" s="12"/>
      <c r="QE32" s="12"/>
      <c r="QF32" s="12"/>
      <c r="QG32" s="12"/>
      <c r="QH32" s="12"/>
      <c r="QI32" s="12"/>
      <c r="QJ32" s="12"/>
      <c r="QK32" s="12"/>
      <c r="QL32" s="12"/>
      <c r="QM32" s="12"/>
      <c r="QN32" s="12"/>
      <c r="QO32" s="12"/>
      <c r="QP32" s="12"/>
      <c r="QQ32" s="12"/>
      <c r="QR32" s="12"/>
      <c r="QS32" s="12"/>
      <c r="QT32" s="12"/>
      <c r="QU32" s="12"/>
      <c r="QV32" s="12"/>
      <c r="QW32" s="12"/>
      <c r="QX32" s="12"/>
      <c r="QY32" s="12"/>
      <c r="QZ32" s="12"/>
      <c r="RA32" s="12"/>
      <c r="RB32" s="12"/>
      <c r="RC32" s="12"/>
      <c r="RD32" s="12"/>
      <c r="RE32" s="12"/>
      <c r="RF32" s="12"/>
      <c r="RG32" s="12"/>
      <c r="RH32" s="12"/>
      <c r="RI32" s="12"/>
      <c r="RJ32" s="12"/>
      <c r="RK32" s="12"/>
      <c r="RL32" s="12"/>
      <c r="RM32" s="12"/>
      <c r="RN32" s="12"/>
      <c r="RO32" s="12"/>
      <c r="RP32" s="12"/>
      <c r="RQ32" s="12"/>
      <c r="RR32" s="12"/>
      <c r="RS32" s="12"/>
      <c r="RT32" s="12"/>
      <c r="RU32" s="12"/>
      <c r="RV32" s="12"/>
      <c r="RW32" s="12"/>
      <c r="RX32" s="12"/>
      <c r="RY32" s="12"/>
      <c r="RZ32" s="12"/>
      <c r="SA32" s="12"/>
      <c r="SB32" s="12"/>
      <c r="SC32" s="12"/>
      <c r="SD32" s="12"/>
      <c r="SE32" s="12"/>
      <c r="SF32" s="12"/>
      <c r="SG32" s="12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</row>
    <row r="33" spans="1:532" x14ac:dyDescent="0.2">
      <c r="A33" s="10" t="s">
        <v>32</v>
      </c>
      <c r="B33" s="12">
        <v>14.31</v>
      </c>
      <c r="C33" s="11">
        <v>0</v>
      </c>
      <c r="D33" s="11">
        <v>0.68308900715283649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2"/>
      <c r="LU33" s="12"/>
      <c r="LV33" s="12"/>
      <c r="LW33" s="12"/>
      <c r="LX33" s="12"/>
      <c r="LY33" s="12"/>
      <c r="LZ33" s="12"/>
      <c r="MA33" s="12"/>
      <c r="MB33" s="12"/>
      <c r="MC33" s="12"/>
      <c r="MD33" s="12"/>
      <c r="ME33" s="12"/>
      <c r="MF33" s="12"/>
      <c r="MG33" s="12"/>
      <c r="MH33" s="12"/>
      <c r="MI33" s="12"/>
      <c r="MJ33" s="12"/>
      <c r="MK33" s="12"/>
      <c r="ML33" s="12"/>
      <c r="MM33" s="12"/>
      <c r="MN33" s="12"/>
      <c r="MO33" s="12"/>
      <c r="MP33" s="12"/>
      <c r="MQ33" s="12"/>
      <c r="MR33" s="12"/>
      <c r="MS33" s="12"/>
      <c r="MT33" s="12"/>
      <c r="MU33" s="12"/>
      <c r="MV33" s="12"/>
      <c r="MW33" s="12"/>
      <c r="MX33" s="12"/>
      <c r="MY33" s="12"/>
      <c r="MZ33" s="12"/>
      <c r="NA33" s="12"/>
      <c r="NB33" s="12"/>
      <c r="NC33" s="12"/>
      <c r="ND33" s="12"/>
      <c r="NE33" s="12"/>
      <c r="NF33" s="12"/>
      <c r="NG33" s="12"/>
      <c r="NH33" s="12"/>
      <c r="NI33" s="12"/>
      <c r="NJ33" s="12"/>
      <c r="NK33" s="12"/>
      <c r="NL33" s="12"/>
      <c r="NM33" s="12"/>
      <c r="NN33" s="12"/>
      <c r="NO33" s="12"/>
      <c r="NP33" s="12"/>
      <c r="NQ33" s="12"/>
      <c r="NR33" s="12"/>
      <c r="NS33" s="12"/>
      <c r="NT33" s="12"/>
      <c r="NU33" s="12"/>
      <c r="NV33" s="12"/>
      <c r="NW33" s="12"/>
      <c r="NX33" s="12"/>
      <c r="NY33" s="12"/>
      <c r="NZ33" s="12"/>
      <c r="OA33" s="12"/>
      <c r="OB33" s="12"/>
      <c r="OC33" s="12"/>
      <c r="OD33" s="12"/>
      <c r="OE33" s="12"/>
      <c r="OF33" s="12"/>
      <c r="OG33" s="12"/>
      <c r="OH33" s="12"/>
      <c r="OI33" s="12"/>
      <c r="OJ33" s="12"/>
      <c r="OK33" s="12"/>
      <c r="OL33" s="12"/>
      <c r="OM33" s="12"/>
      <c r="ON33" s="12"/>
      <c r="OO33" s="12"/>
      <c r="OP33" s="12"/>
      <c r="OQ33" s="12"/>
      <c r="OR33" s="12"/>
      <c r="OS33" s="12"/>
      <c r="OT33" s="12"/>
      <c r="OU33" s="12"/>
      <c r="OV33" s="12"/>
      <c r="OW33" s="12"/>
      <c r="OX33" s="12"/>
      <c r="OY33" s="12"/>
      <c r="OZ33" s="12"/>
      <c r="PA33" s="12"/>
      <c r="PB33" s="12"/>
      <c r="PC33" s="12"/>
      <c r="PD33" s="12"/>
      <c r="PE33" s="12"/>
      <c r="PF33" s="12"/>
      <c r="PG33" s="12"/>
      <c r="PH33" s="12"/>
      <c r="PI33" s="12"/>
      <c r="PJ33" s="12"/>
      <c r="PK33" s="12"/>
      <c r="PL33" s="12"/>
      <c r="PM33" s="12"/>
      <c r="PN33" s="12"/>
      <c r="PO33" s="12"/>
      <c r="PP33" s="12"/>
      <c r="PQ33" s="12"/>
      <c r="PR33" s="12"/>
      <c r="PS33" s="12"/>
      <c r="PT33" s="12"/>
      <c r="PU33" s="12"/>
      <c r="PV33" s="12"/>
      <c r="PW33" s="12"/>
      <c r="PX33" s="12"/>
      <c r="PY33" s="12"/>
      <c r="PZ33" s="12"/>
      <c r="QA33" s="12"/>
      <c r="QB33" s="12"/>
      <c r="QC33" s="12"/>
      <c r="QD33" s="12"/>
      <c r="QE33" s="12"/>
      <c r="QF33" s="12"/>
      <c r="QG33" s="12"/>
      <c r="QH33" s="12"/>
      <c r="QI33" s="12"/>
      <c r="QJ33" s="12"/>
      <c r="QK33" s="12"/>
      <c r="QL33" s="12"/>
      <c r="QM33" s="12"/>
      <c r="QN33" s="12"/>
      <c r="QO33" s="12"/>
      <c r="QP33" s="12"/>
      <c r="QQ33" s="12"/>
      <c r="QR33" s="12"/>
      <c r="QS33" s="12"/>
      <c r="QT33" s="12"/>
      <c r="QU33" s="12"/>
      <c r="QV33" s="12"/>
      <c r="QW33" s="12"/>
      <c r="QX33" s="12"/>
      <c r="QY33" s="12"/>
      <c r="QZ33" s="12"/>
      <c r="RA33" s="12"/>
      <c r="RB33" s="12"/>
      <c r="RC33" s="12"/>
      <c r="RD33" s="12"/>
      <c r="RE33" s="12"/>
      <c r="RF33" s="12"/>
      <c r="RG33" s="12"/>
      <c r="RH33" s="12"/>
      <c r="RI33" s="12"/>
      <c r="RJ33" s="12"/>
      <c r="RK33" s="12"/>
      <c r="RL33" s="12"/>
      <c r="RM33" s="12"/>
      <c r="RN33" s="12"/>
      <c r="RO33" s="12"/>
      <c r="RP33" s="12"/>
      <c r="RQ33" s="12"/>
      <c r="RR33" s="12"/>
      <c r="RS33" s="12"/>
      <c r="RT33" s="12"/>
      <c r="RU33" s="12"/>
      <c r="RV33" s="12"/>
      <c r="RW33" s="12"/>
      <c r="RX33" s="12"/>
      <c r="RY33" s="12"/>
      <c r="RZ33" s="12"/>
      <c r="SA33" s="12"/>
      <c r="SB33" s="12"/>
      <c r="SC33" s="12"/>
      <c r="SD33" s="12"/>
      <c r="SE33" s="12"/>
      <c r="SF33" s="12"/>
      <c r="SG33" s="12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</row>
    <row r="34" spans="1:532" x14ac:dyDescent="0.2">
      <c r="A34" s="10" t="s">
        <v>33</v>
      </c>
      <c r="B34" s="12">
        <v>13.05</v>
      </c>
      <c r="C34" s="11">
        <v>0</v>
      </c>
      <c r="D34" s="11">
        <v>1.9304689332580165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2"/>
      <c r="LU34" s="12"/>
      <c r="LV34" s="12"/>
      <c r="LW34" s="12"/>
      <c r="LX34" s="12"/>
      <c r="LY34" s="12"/>
      <c r="LZ34" s="12"/>
      <c r="MA34" s="12"/>
      <c r="MB34" s="12"/>
      <c r="MC34" s="12"/>
      <c r="MD34" s="12"/>
      <c r="ME34" s="12"/>
      <c r="MF34" s="12"/>
      <c r="MG34" s="12"/>
      <c r="MH34" s="12"/>
      <c r="MI34" s="12"/>
      <c r="MJ34" s="12"/>
      <c r="MK34" s="12"/>
      <c r="ML34" s="12"/>
      <c r="MM34" s="12"/>
      <c r="MN34" s="12"/>
      <c r="MO34" s="12"/>
      <c r="MP34" s="12"/>
      <c r="MQ34" s="12"/>
      <c r="MR34" s="12"/>
      <c r="MS34" s="12"/>
      <c r="MT34" s="12"/>
      <c r="MU34" s="12"/>
      <c r="MV34" s="12"/>
      <c r="MW34" s="12"/>
      <c r="MX34" s="12"/>
      <c r="MY34" s="12"/>
      <c r="MZ34" s="12"/>
      <c r="NA34" s="12"/>
      <c r="NB34" s="12"/>
      <c r="NC34" s="12"/>
      <c r="ND34" s="12"/>
      <c r="NE34" s="12"/>
      <c r="NF34" s="12"/>
      <c r="NG34" s="12"/>
      <c r="NH34" s="12"/>
      <c r="NI34" s="12"/>
      <c r="NJ34" s="12"/>
      <c r="NK34" s="12"/>
      <c r="NL34" s="12"/>
      <c r="NM34" s="12"/>
      <c r="NN34" s="12"/>
      <c r="NO34" s="12"/>
      <c r="NP34" s="12"/>
      <c r="NQ34" s="12"/>
      <c r="NR34" s="12"/>
      <c r="NS34" s="12"/>
      <c r="NT34" s="12"/>
      <c r="NU34" s="12"/>
      <c r="NV34" s="12"/>
      <c r="NW34" s="12"/>
      <c r="NX34" s="12"/>
      <c r="NY34" s="12"/>
      <c r="NZ34" s="12"/>
      <c r="OA34" s="12"/>
      <c r="OB34" s="12"/>
      <c r="OC34" s="12"/>
      <c r="OD34" s="12"/>
      <c r="OE34" s="12"/>
      <c r="OF34" s="12"/>
      <c r="OG34" s="12"/>
      <c r="OH34" s="12"/>
      <c r="OI34" s="12"/>
      <c r="OJ34" s="12"/>
      <c r="OK34" s="12"/>
      <c r="OL34" s="12"/>
      <c r="OM34" s="12"/>
      <c r="ON34" s="12"/>
      <c r="OO34" s="12"/>
      <c r="OP34" s="12"/>
      <c r="OQ34" s="12"/>
      <c r="OR34" s="12"/>
      <c r="OS34" s="12"/>
      <c r="OT34" s="12"/>
      <c r="OU34" s="12"/>
      <c r="OV34" s="12"/>
      <c r="OW34" s="12"/>
      <c r="OX34" s="12"/>
      <c r="OY34" s="12"/>
      <c r="OZ34" s="12"/>
      <c r="PA34" s="12"/>
      <c r="PB34" s="12"/>
      <c r="PC34" s="12"/>
      <c r="PD34" s="12"/>
      <c r="PE34" s="12"/>
      <c r="PF34" s="12"/>
      <c r="PG34" s="12"/>
      <c r="PH34" s="12"/>
      <c r="PI34" s="12"/>
      <c r="PJ34" s="12"/>
      <c r="PK34" s="12"/>
      <c r="PL34" s="12"/>
      <c r="PM34" s="12"/>
      <c r="PN34" s="12"/>
      <c r="PO34" s="12"/>
      <c r="PP34" s="12"/>
      <c r="PQ34" s="12"/>
      <c r="PR34" s="12"/>
      <c r="PS34" s="12"/>
      <c r="PT34" s="12"/>
      <c r="PU34" s="12"/>
      <c r="PV34" s="12"/>
      <c r="PW34" s="12"/>
      <c r="PX34" s="12"/>
      <c r="PY34" s="12"/>
      <c r="PZ34" s="12"/>
      <c r="QA34" s="12"/>
      <c r="QB34" s="12"/>
      <c r="QC34" s="12"/>
      <c r="QD34" s="12"/>
      <c r="QE34" s="12"/>
      <c r="QF34" s="12"/>
      <c r="QG34" s="12"/>
      <c r="QH34" s="12"/>
      <c r="QI34" s="12"/>
      <c r="QJ34" s="12"/>
      <c r="QK34" s="12"/>
      <c r="QL34" s="12"/>
      <c r="QM34" s="12"/>
      <c r="QN34" s="12"/>
      <c r="QO34" s="12"/>
      <c r="QP34" s="12"/>
      <c r="QQ34" s="12"/>
      <c r="QR34" s="12"/>
      <c r="QS34" s="12"/>
      <c r="QT34" s="12"/>
      <c r="QU34" s="12"/>
      <c r="QV34" s="12"/>
      <c r="QW34" s="12"/>
      <c r="QX34" s="12"/>
      <c r="QY34" s="12"/>
      <c r="QZ34" s="12"/>
      <c r="RA34" s="12"/>
      <c r="RB34" s="12"/>
      <c r="RC34" s="12"/>
      <c r="RD34" s="12"/>
      <c r="RE34" s="12"/>
      <c r="RF34" s="12"/>
      <c r="RG34" s="12"/>
      <c r="RH34" s="12"/>
      <c r="RI34" s="12"/>
      <c r="RJ34" s="12"/>
      <c r="RK34" s="12"/>
      <c r="RL34" s="12"/>
      <c r="RM34" s="12"/>
      <c r="RN34" s="12"/>
      <c r="RO34" s="12"/>
      <c r="RP34" s="12"/>
      <c r="RQ34" s="12"/>
      <c r="RR34" s="12"/>
      <c r="RS34" s="12"/>
      <c r="RT34" s="12"/>
      <c r="RU34" s="12"/>
      <c r="RV34" s="12"/>
      <c r="RW34" s="12"/>
      <c r="RX34" s="12"/>
      <c r="RY34" s="12"/>
      <c r="RZ34" s="12"/>
      <c r="SA34" s="12"/>
      <c r="SB34" s="12"/>
      <c r="SC34" s="12"/>
      <c r="SD34" s="12"/>
      <c r="SE34" s="12"/>
      <c r="SF34" s="12"/>
      <c r="SG34" s="12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</row>
    <row r="35" spans="1:532" x14ac:dyDescent="0.2">
      <c r="A35" s="10" t="s">
        <v>34</v>
      </c>
      <c r="B35" s="12">
        <v>14.07</v>
      </c>
      <c r="C35" s="11">
        <v>0</v>
      </c>
      <c r="D35" s="11">
        <v>0.92068518355382334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12"/>
      <c r="IP35" s="12"/>
      <c r="IQ35" s="12"/>
      <c r="IR35" s="12"/>
      <c r="IS35" s="12"/>
      <c r="IT35" s="12"/>
      <c r="IU35" s="12"/>
      <c r="IV35" s="12"/>
      <c r="IW35" s="12"/>
      <c r="IX35" s="12"/>
      <c r="IY35" s="12"/>
      <c r="IZ35" s="12"/>
      <c r="JA35" s="12"/>
      <c r="JB35" s="12"/>
      <c r="JC35" s="12"/>
      <c r="JD35" s="12"/>
      <c r="JE35" s="12"/>
      <c r="JF35" s="12"/>
      <c r="JG35" s="12"/>
      <c r="JH35" s="12"/>
      <c r="JI35" s="12"/>
      <c r="JJ35" s="12"/>
      <c r="JK35" s="12"/>
      <c r="JL35" s="12"/>
      <c r="JM35" s="12"/>
      <c r="JN35" s="12"/>
      <c r="JO35" s="12"/>
      <c r="JP35" s="12"/>
      <c r="JQ35" s="12"/>
      <c r="JR35" s="12"/>
      <c r="JS35" s="12"/>
      <c r="JT35" s="12"/>
      <c r="JU35" s="12"/>
      <c r="JV35" s="12"/>
      <c r="JW35" s="12"/>
      <c r="JX35" s="12"/>
      <c r="JY35" s="12"/>
      <c r="JZ35" s="12"/>
      <c r="KA35" s="12"/>
      <c r="KB35" s="12"/>
      <c r="KC35" s="12"/>
      <c r="KD35" s="12"/>
      <c r="KE35" s="12"/>
      <c r="KF35" s="12"/>
      <c r="KG35" s="12"/>
      <c r="KH35" s="12"/>
      <c r="KI35" s="12"/>
      <c r="KJ35" s="12"/>
      <c r="KK35" s="12"/>
      <c r="KL35" s="12"/>
      <c r="KM35" s="12"/>
      <c r="KN35" s="12"/>
      <c r="KO35" s="12"/>
      <c r="KP35" s="12"/>
      <c r="KQ35" s="12"/>
      <c r="KR35" s="12"/>
      <c r="KS35" s="12"/>
      <c r="KT35" s="12"/>
      <c r="KU35" s="12"/>
      <c r="KV35" s="12"/>
      <c r="KW35" s="12"/>
      <c r="KX35" s="12"/>
      <c r="KY35" s="12"/>
      <c r="KZ35" s="12"/>
      <c r="LA35" s="12"/>
      <c r="LB35" s="12"/>
      <c r="LC35" s="12"/>
      <c r="LD35" s="12"/>
      <c r="LE35" s="12"/>
      <c r="LF35" s="12"/>
      <c r="LG35" s="12"/>
      <c r="LH35" s="12"/>
      <c r="LI35" s="12"/>
      <c r="LJ35" s="12"/>
      <c r="LK35" s="12"/>
      <c r="LL35" s="12"/>
      <c r="LM35" s="12"/>
      <c r="LN35" s="12"/>
      <c r="LO35" s="12"/>
      <c r="LP35" s="12"/>
      <c r="LQ35" s="12"/>
      <c r="LR35" s="12"/>
      <c r="LS35" s="12"/>
      <c r="LT35" s="12"/>
      <c r="LU35" s="12"/>
      <c r="LV35" s="12"/>
      <c r="LW35" s="12"/>
      <c r="LX35" s="12"/>
      <c r="LY35" s="12"/>
      <c r="LZ35" s="12"/>
      <c r="MA35" s="12"/>
      <c r="MB35" s="12"/>
      <c r="MC35" s="12"/>
      <c r="MD35" s="12"/>
      <c r="ME35" s="12"/>
      <c r="MF35" s="12"/>
      <c r="MG35" s="12"/>
      <c r="MH35" s="12"/>
      <c r="MI35" s="12"/>
      <c r="MJ35" s="12"/>
      <c r="MK35" s="12"/>
      <c r="ML35" s="12"/>
      <c r="MM35" s="12"/>
      <c r="MN35" s="12"/>
      <c r="MO35" s="12"/>
      <c r="MP35" s="12"/>
      <c r="MQ35" s="12"/>
      <c r="MR35" s="12"/>
      <c r="MS35" s="12"/>
      <c r="MT35" s="12"/>
      <c r="MU35" s="12"/>
      <c r="MV35" s="12"/>
      <c r="MW35" s="12"/>
      <c r="MX35" s="12"/>
      <c r="MY35" s="12"/>
      <c r="MZ35" s="12"/>
      <c r="NA35" s="12"/>
      <c r="NB35" s="12"/>
      <c r="NC35" s="12"/>
      <c r="ND35" s="12"/>
      <c r="NE35" s="12"/>
      <c r="NF35" s="12"/>
      <c r="NG35" s="12"/>
      <c r="NH35" s="12"/>
      <c r="NI35" s="12"/>
      <c r="NJ35" s="12"/>
      <c r="NK35" s="12"/>
      <c r="NL35" s="12"/>
      <c r="NM35" s="12"/>
      <c r="NN35" s="12"/>
      <c r="NO35" s="12"/>
      <c r="NP35" s="12"/>
      <c r="NQ35" s="12"/>
      <c r="NR35" s="12"/>
      <c r="NS35" s="12"/>
      <c r="NT35" s="12"/>
      <c r="NU35" s="12"/>
      <c r="NV35" s="12"/>
      <c r="NW35" s="12"/>
      <c r="NX35" s="12"/>
      <c r="NY35" s="12"/>
      <c r="NZ35" s="12"/>
      <c r="OA35" s="12"/>
      <c r="OB35" s="12"/>
      <c r="OC35" s="12"/>
      <c r="OD35" s="12"/>
      <c r="OE35" s="12"/>
      <c r="OF35" s="12"/>
      <c r="OG35" s="12"/>
      <c r="OH35" s="12"/>
      <c r="OI35" s="12"/>
      <c r="OJ35" s="12"/>
      <c r="OK35" s="12"/>
      <c r="OL35" s="12"/>
      <c r="OM35" s="12"/>
      <c r="ON35" s="12"/>
      <c r="OO35" s="12"/>
      <c r="OP35" s="12"/>
      <c r="OQ35" s="12"/>
      <c r="OR35" s="12"/>
      <c r="OS35" s="12"/>
      <c r="OT35" s="12"/>
      <c r="OU35" s="12"/>
      <c r="OV35" s="12"/>
      <c r="OW35" s="12"/>
      <c r="OX35" s="12"/>
      <c r="OY35" s="12"/>
      <c r="OZ35" s="12"/>
      <c r="PA35" s="12"/>
      <c r="PB35" s="12"/>
      <c r="PC35" s="12"/>
      <c r="PD35" s="12"/>
      <c r="PE35" s="12"/>
      <c r="PF35" s="12"/>
      <c r="PG35" s="12"/>
      <c r="PH35" s="12"/>
      <c r="PI35" s="12"/>
      <c r="PJ35" s="12"/>
      <c r="PK35" s="12"/>
      <c r="PL35" s="12"/>
      <c r="PM35" s="12"/>
      <c r="PN35" s="12"/>
      <c r="PO35" s="12"/>
      <c r="PP35" s="12"/>
      <c r="PQ35" s="12"/>
      <c r="PR35" s="12"/>
      <c r="PS35" s="12"/>
      <c r="PT35" s="12"/>
      <c r="PU35" s="12"/>
      <c r="PV35" s="12"/>
      <c r="PW35" s="12"/>
      <c r="PX35" s="12"/>
      <c r="PY35" s="12"/>
      <c r="PZ35" s="12"/>
      <c r="QA35" s="12"/>
      <c r="QB35" s="12"/>
      <c r="QC35" s="12"/>
      <c r="QD35" s="12"/>
      <c r="QE35" s="12"/>
      <c r="QF35" s="12"/>
      <c r="QG35" s="12"/>
      <c r="QH35" s="12"/>
      <c r="QI35" s="12"/>
      <c r="QJ35" s="12"/>
      <c r="QK35" s="12"/>
      <c r="QL35" s="12"/>
      <c r="QM35" s="12"/>
      <c r="QN35" s="12"/>
      <c r="QO35" s="12"/>
      <c r="QP35" s="12"/>
      <c r="QQ35" s="12"/>
      <c r="QR35" s="12"/>
      <c r="QS35" s="12"/>
      <c r="QT35" s="12"/>
      <c r="QU35" s="12"/>
      <c r="QV35" s="12"/>
      <c r="QW35" s="12"/>
      <c r="QX35" s="12"/>
      <c r="QY35" s="12"/>
      <c r="QZ35" s="12"/>
      <c r="RA35" s="12"/>
      <c r="RB35" s="12"/>
      <c r="RC35" s="12"/>
      <c r="RD35" s="12"/>
      <c r="RE35" s="12"/>
      <c r="RF35" s="12"/>
      <c r="RG35" s="12"/>
      <c r="RH35" s="12"/>
      <c r="RI35" s="12"/>
      <c r="RJ35" s="12"/>
      <c r="RK35" s="12"/>
      <c r="RL35" s="12"/>
      <c r="RM35" s="12"/>
      <c r="RN35" s="12"/>
      <c r="RO35" s="12"/>
      <c r="RP35" s="12"/>
      <c r="RQ35" s="12"/>
      <c r="RR35" s="12"/>
      <c r="RS35" s="12"/>
      <c r="RT35" s="12"/>
      <c r="RU35" s="12"/>
      <c r="RV35" s="12"/>
      <c r="RW35" s="12"/>
      <c r="RX35" s="12"/>
      <c r="RY35" s="12"/>
      <c r="RZ35" s="12"/>
      <c r="SA35" s="12"/>
      <c r="SB35" s="12"/>
      <c r="SC35" s="12"/>
      <c r="SD35" s="12"/>
      <c r="SE35" s="12"/>
      <c r="SF35" s="12"/>
      <c r="SG35" s="12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</row>
    <row r="36" spans="1:532" x14ac:dyDescent="0.2">
      <c r="A36" s="10" t="s">
        <v>35</v>
      </c>
      <c r="B36" s="12">
        <v>14.62</v>
      </c>
      <c r="C36" s="11">
        <v>0</v>
      </c>
      <c r="D36" s="11">
        <v>0.37619394596822886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12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12"/>
      <c r="JX36" s="12"/>
      <c r="JY36" s="12"/>
      <c r="JZ36" s="12"/>
      <c r="KA36" s="12"/>
      <c r="KB36" s="12"/>
      <c r="KC36" s="12"/>
      <c r="KD36" s="12"/>
      <c r="KE36" s="12"/>
      <c r="KF36" s="12"/>
      <c r="KG36" s="12"/>
      <c r="KH36" s="12"/>
      <c r="KI36" s="12"/>
      <c r="KJ36" s="12"/>
      <c r="KK36" s="12"/>
      <c r="KL36" s="12"/>
      <c r="KM36" s="12"/>
      <c r="KN36" s="12"/>
      <c r="KO36" s="12"/>
      <c r="KP36" s="12"/>
      <c r="KQ36" s="12"/>
      <c r="KR36" s="12"/>
      <c r="KS36" s="12"/>
      <c r="KT36" s="12"/>
      <c r="KU36" s="12"/>
      <c r="KV36" s="12"/>
      <c r="KW36" s="12"/>
      <c r="KX36" s="12"/>
      <c r="KY36" s="12"/>
      <c r="KZ36" s="12"/>
      <c r="LA36" s="12"/>
      <c r="LB36" s="12"/>
      <c r="LC36" s="12"/>
      <c r="LD36" s="12"/>
      <c r="LE36" s="12"/>
      <c r="LF36" s="12"/>
      <c r="LG36" s="12"/>
      <c r="LH36" s="12"/>
      <c r="LI36" s="12"/>
      <c r="LJ36" s="12"/>
      <c r="LK36" s="12"/>
      <c r="LL36" s="12"/>
      <c r="LM36" s="12"/>
      <c r="LN36" s="12"/>
      <c r="LO36" s="12"/>
      <c r="LP36" s="12"/>
      <c r="LQ36" s="12"/>
      <c r="LR36" s="12"/>
      <c r="LS36" s="12"/>
      <c r="LT36" s="12"/>
      <c r="LU36" s="12"/>
      <c r="LV36" s="12"/>
      <c r="LW36" s="12"/>
      <c r="LX36" s="12"/>
      <c r="LY36" s="12"/>
      <c r="LZ36" s="12"/>
      <c r="MA36" s="12"/>
      <c r="MB36" s="12"/>
      <c r="MC36" s="12"/>
      <c r="MD36" s="12"/>
      <c r="ME36" s="12"/>
      <c r="MF36" s="12"/>
      <c r="MG36" s="12"/>
      <c r="MH36" s="12"/>
      <c r="MI36" s="12"/>
      <c r="MJ36" s="12"/>
      <c r="MK36" s="12"/>
      <c r="ML36" s="12"/>
      <c r="MM36" s="12"/>
      <c r="MN36" s="12"/>
      <c r="MO36" s="12"/>
      <c r="MP36" s="12"/>
      <c r="MQ36" s="12"/>
      <c r="MR36" s="12"/>
      <c r="MS36" s="12"/>
      <c r="MT36" s="12"/>
      <c r="MU36" s="12"/>
      <c r="MV36" s="12"/>
      <c r="MW36" s="12"/>
      <c r="MX36" s="12"/>
      <c r="MY36" s="12"/>
      <c r="MZ36" s="12"/>
      <c r="NA36" s="12"/>
      <c r="NB36" s="12"/>
      <c r="NC36" s="12"/>
      <c r="ND36" s="12"/>
      <c r="NE36" s="12"/>
      <c r="NF36" s="12"/>
      <c r="NG36" s="12"/>
      <c r="NH36" s="12"/>
      <c r="NI36" s="12"/>
      <c r="NJ36" s="12"/>
      <c r="NK36" s="12"/>
      <c r="NL36" s="12"/>
      <c r="NM36" s="12"/>
      <c r="NN36" s="12"/>
      <c r="NO36" s="12"/>
      <c r="NP36" s="12"/>
      <c r="NQ36" s="12"/>
      <c r="NR36" s="12"/>
      <c r="NS36" s="12"/>
      <c r="NT36" s="12"/>
      <c r="NU36" s="12"/>
      <c r="NV36" s="12"/>
      <c r="NW36" s="12"/>
      <c r="NX36" s="12"/>
      <c r="NY36" s="12"/>
      <c r="NZ36" s="12"/>
      <c r="OA36" s="12"/>
      <c r="OB36" s="12"/>
      <c r="OC36" s="12"/>
      <c r="OD36" s="12"/>
      <c r="OE36" s="12"/>
      <c r="OF36" s="12"/>
      <c r="OG36" s="12"/>
      <c r="OH36" s="12"/>
      <c r="OI36" s="12"/>
      <c r="OJ36" s="12"/>
      <c r="OK36" s="12"/>
      <c r="OL36" s="12"/>
      <c r="OM36" s="12"/>
      <c r="ON36" s="12"/>
      <c r="OO36" s="12"/>
      <c r="OP36" s="12"/>
      <c r="OQ36" s="12"/>
      <c r="OR36" s="12"/>
      <c r="OS36" s="12"/>
      <c r="OT36" s="12"/>
      <c r="OU36" s="12"/>
      <c r="OV36" s="12"/>
      <c r="OW36" s="12"/>
      <c r="OX36" s="12"/>
      <c r="OY36" s="12"/>
      <c r="OZ36" s="12"/>
      <c r="PA36" s="12"/>
      <c r="PB36" s="12"/>
      <c r="PC36" s="12"/>
      <c r="PD36" s="12"/>
      <c r="PE36" s="12"/>
      <c r="PF36" s="12"/>
      <c r="PG36" s="12"/>
      <c r="PH36" s="12"/>
      <c r="PI36" s="12"/>
      <c r="PJ36" s="12"/>
      <c r="PK36" s="12"/>
      <c r="PL36" s="12"/>
      <c r="PM36" s="12"/>
      <c r="PN36" s="12"/>
      <c r="PO36" s="12"/>
      <c r="PP36" s="12"/>
      <c r="PQ36" s="12"/>
      <c r="PR36" s="12"/>
      <c r="PS36" s="12"/>
      <c r="PT36" s="12"/>
      <c r="PU36" s="12"/>
      <c r="PV36" s="12"/>
      <c r="PW36" s="12"/>
      <c r="PX36" s="12"/>
      <c r="PY36" s="12"/>
      <c r="PZ36" s="12"/>
      <c r="QA36" s="12"/>
      <c r="QB36" s="12"/>
      <c r="QC36" s="12"/>
      <c r="QD36" s="12"/>
      <c r="QE36" s="12"/>
      <c r="QF36" s="12"/>
      <c r="QG36" s="12"/>
      <c r="QH36" s="12"/>
      <c r="QI36" s="12"/>
      <c r="QJ36" s="12"/>
      <c r="QK36" s="12"/>
      <c r="QL36" s="12"/>
      <c r="QM36" s="12"/>
      <c r="QN36" s="12"/>
      <c r="QO36" s="12"/>
      <c r="QP36" s="12"/>
      <c r="QQ36" s="12"/>
      <c r="QR36" s="12"/>
      <c r="QS36" s="12"/>
      <c r="QT36" s="12"/>
      <c r="QU36" s="12"/>
      <c r="QV36" s="12"/>
      <c r="QW36" s="12"/>
      <c r="QX36" s="12"/>
      <c r="QY36" s="12"/>
      <c r="QZ36" s="12"/>
      <c r="RA36" s="12"/>
      <c r="RB36" s="12"/>
      <c r="RC36" s="12"/>
      <c r="RD36" s="12"/>
      <c r="RE36" s="12"/>
      <c r="RF36" s="12"/>
      <c r="RG36" s="12"/>
      <c r="RH36" s="12"/>
      <c r="RI36" s="12"/>
      <c r="RJ36" s="12"/>
      <c r="RK36" s="12"/>
      <c r="RL36" s="12"/>
      <c r="RM36" s="12"/>
      <c r="RN36" s="12"/>
      <c r="RO36" s="12"/>
      <c r="RP36" s="12"/>
      <c r="RQ36" s="12"/>
      <c r="RR36" s="12"/>
      <c r="RS36" s="12"/>
      <c r="RT36" s="12"/>
      <c r="RU36" s="12"/>
      <c r="RV36" s="12"/>
      <c r="RW36" s="12"/>
      <c r="RX36" s="12"/>
      <c r="RY36" s="12"/>
      <c r="RZ36" s="12"/>
      <c r="SA36" s="12"/>
      <c r="SB36" s="12"/>
      <c r="SC36" s="12"/>
      <c r="SD36" s="12"/>
      <c r="SE36" s="12"/>
      <c r="SF36" s="12"/>
      <c r="SG36" s="12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</row>
    <row r="37" spans="1:532" x14ac:dyDescent="0.2">
      <c r="A37" s="10" t="s">
        <v>36</v>
      </c>
      <c r="B37" s="12">
        <v>14.1</v>
      </c>
      <c r="C37" s="11">
        <v>0</v>
      </c>
      <c r="D37" s="11">
        <v>0.89098566150369995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2"/>
      <c r="LU37" s="12"/>
      <c r="LV37" s="12"/>
      <c r="LW37" s="12"/>
      <c r="LX37" s="12"/>
      <c r="LY37" s="12"/>
      <c r="LZ37" s="12"/>
      <c r="MA37" s="12"/>
      <c r="MB37" s="12"/>
      <c r="MC37" s="12"/>
      <c r="MD37" s="12"/>
      <c r="ME37" s="12"/>
      <c r="MF37" s="12"/>
      <c r="MG37" s="12"/>
      <c r="MH37" s="12"/>
      <c r="MI37" s="12"/>
      <c r="MJ37" s="12"/>
      <c r="MK37" s="12"/>
      <c r="ML37" s="12"/>
      <c r="MM37" s="12"/>
      <c r="MN37" s="12"/>
      <c r="MO37" s="12"/>
      <c r="MP37" s="12"/>
      <c r="MQ37" s="12"/>
      <c r="MR37" s="12"/>
      <c r="MS37" s="12"/>
      <c r="MT37" s="12"/>
      <c r="MU37" s="12"/>
      <c r="MV37" s="12"/>
      <c r="MW37" s="12"/>
      <c r="MX37" s="12"/>
      <c r="MY37" s="12"/>
      <c r="MZ37" s="12"/>
      <c r="NA37" s="12"/>
      <c r="NB37" s="12"/>
      <c r="NC37" s="12"/>
      <c r="ND37" s="12"/>
      <c r="NE37" s="12"/>
      <c r="NF37" s="12"/>
      <c r="NG37" s="12"/>
      <c r="NH37" s="12"/>
      <c r="NI37" s="12"/>
      <c r="NJ37" s="12"/>
      <c r="NK37" s="12"/>
      <c r="NL37" s="12"/>
      <c r="NM37" s="12"/>
      <c r="NN37" s="12"/>
      <c r="NO37" s="12"/>
      <c r="NP37" s="12"/>
      <c r="NQ37" s="12"/>
      <c r="NR37" s="12"/>
      <c r="NS37" s="12"/>
      <c r="NT37" s="12"/>
      <c r="NU37" s="12"/>
      <c r="NV37" s="12"/>
      <c r="NW37" s="12"/>
      <c r="NX37" s="12"/>
      <c r="NY37" s="12"/>
      <c r="NZ37" s="12"/>
      <c r="OA37" s="12"/>
      <c r="OB37" s="12"/>
      <c r="OC37" s="12"/>
      <c r="OD37" s="12"/>
      <c r="OE37" s="12"/>
      <c r="OF37" s="12"/>
      <c r="OG37" s="12"/>
      <c r="OH37" s="12"/>
      <c r="OI37" s="12"/>
      <c r="OJ37" s="12"/>
      <c r="OK37" s="12"/>
      <c r="OL37" s="12"/>
      <c r="OM37" s="12"/>
      <c r="ON37" s="12"/>
      <c r="OO37" s="12"/>
      <c r="OP37" s="12"/>
      <c r="OQ37" s="12"/>
      <c r="OR37" s="12"/>
      <c r="OS37" s="12"/>
      <c r="OT37" s="12"/>
      <c r="OU37" s="12"/>
      <c r="OV37" s="12"/>
      <c r="OW37" s="12"/>
      <c r="OX37" s="12"/>
      <c r="OY37" s="12"/>
      <c r="OZ37" s="12"/>
      <c r="PA37" s="12"/>
      <c r="PB37" s="12"/>
      <c r="PC37" s="12"/>
      <c r="PD37" s="12"/>
      <c r="PE37" s="12"/>
      <c r="PF37" s="12"/>
      <c r="PG37" s="12"/>
      <c r="PH37" s="12"/>
      <c r="PI37" s="12"/>
      <c r="PJ37" s="12"/>
      <c r="PK37" s="12"/>
      <c r="PL37" s="12"/>
      <c r="PM37" s="12"/>
      <c r="PN37" s="12"/>
      <c r="PO37" s="12"/>
      <c r="PP37" s="12"/>
      <c r="PQ37" s="12"/>
      <c r="PR37" s="12"/>
      <c r="PS37" s="12"/>
      <c r="PT37" s="12"/>
      <c r="PU37" s="12"/>
      <c r="PV37" s="12"/>
      <c r="PW37" s="12"/>
      <c r="PX37" s="12"/>
      <c r="PY37" s="12"/>
      <c r="PZ37" s="12"/>
      <c r="QA37" s="12"/>
      <c r="QB37" s="12"/>
      <c r="QC37" s="12"/>
      <c r="QD37" s="12"/>
      <c r="QE37" s="12"/>
      <c r="QF37" s="12"/>
      <c r="QG37" s="12"/>
      <c r="QH37" s="12"/>
      <c r="QI37" s="12"/>
      <c r="QJ37" s="12"/>
      <c r="QK37" s="12"/>
      <c r="QL37" s="12"/>
      <c r="QM37" s="12"/>
      <c r="QN37" s="12"/>
      <c r="QO37" s="12"/>
      <c r="QP37" s="12"/>
      <c r="QQ37" s="12"/>
      <c r="QR37" s="12"/>
      <c r="QS37" s="12"/>
      <c r="QT37" s="12"/>
      <c r="QU37" s="12"/>
      <c r="QV37" s="12"/>
      <c r="QW37" s="12"/>
      <c r="QX37" s="12"/>
      <c r="QY37" s="12"/>
      <c r="QZ37" s="12"/>
      <c r="RA37" s="12"/>
      <c r="RB37" s="12"/>
      <c r="RC37" s="12"/>
      <c r="RD37" s="12"/>
      <c r="RE37" s="12"/>
      <c r="RF37" s="12"/>
      <c r="RG37" s="12"/>
      <c r="RH37" s="12"/>
      <c r="RI37" s="12"/>
      <c r="RJ37" s="12"/>
      <c r="RK37" s="12"/>
      <c r="RL37" s="12"/>
      <c r="RM37" s="12"/>
      <c r="RN37" s="12"/>
      <c r="RO37" s="12"/>
      <c r="RP37" s="12"/>
      <c r="RQ37" s="12"/>
      <c r="RR37" s="12"/>
      <c r="RS37" s="12"/>
      <c r="RT37" s="12"/>
      <c r="RU37" s="12"/>
      <c r="RV37" s="12"/>
      <c r="RW37" s="12"/>
      <c r="RX37" s="12"/>
      <c r="RY37" s="12"/>
      <c r="RZ37" s="12"/>
      <c r="SA37" s="12"/>
      <c r="SB37" s="12"/>
      <c r="SC37" s="12"/>
      <c r="SD37" s="12"/>
      <c r="SE37" s="12"/>
      <c r="SF37" s="12"/>
      <c r="SG37" s="12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</row>
    <row r="38" spans="1:532" x14ac:dyDescent="0.2">
      <c r="A38" s="10" t="s">
        <v>37</v>
      </c>
      <c r="B38" s="12">
        <v>13.5</v>
      </c>
      <c r="C38" s="11">
        <v>0</v>
      </c>
      <c r="D38" s="11">
        <v>1.4849761025061665</v>
      </c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2"/>
      <c r="LU38" s="12"/>
      <c r="LV38" s="12"/>
      <c r="LW38" s="12"/>
      <c r="LX38" s="12"/>
      <c r="LY38" s="12"/>
      <c r="LZ38" s="12"/>
      <c r="MA38" s="12"/>
      <c r="MB38" s="12"/>
      <c r="MC38" s="12"/>
      <c r="MD38" s="12"/>
      <c r="ME38" s="12"/>
      <c r="MF38" s="12"/>
      <c r="MG38" s="12"/>
      <c r="MH38" s="12"/>
      <c r="MI38" s="12"/>
      <c r="MJ38" s="12"/>
      <c r="MK38" s="12"/>
      <c r="ML38" s="12"/>
      <c r="MM38" s="12"/>
      <c r="MN38" s="12"/>
      <c r="MO38" s="12"/>
      <c r="MP38" s="12"/>
      <c r="MQ38" s="12"/>
      <c r="MR38" s="12"/>
      <c r="MS38" s="12"/>
      <c r="MT38" s="12"/>
      <c r="MU38" s="12"/>
      <c r="MV38" s="12"/>
      <c r="MW38" s="12"/>
      <c r="MX38" s="12"/>
      <c r="MY38" s="12"/>
      <c r="MZ38" s="12"/>
      <c r="NA38" s="12"/>
      <c r="NB38" s="12"/>
      <c r="NC38" s="12"/>
      <c r="ND38" s="12"/>
      <c r="NE38" s="12"/>
      <c r="NF38" s="12"/>
      <c r="NG38" s="12"/>
      <c r="NH38" s="12"/>
      <c r="NI38" s="12"/>
      <c r="NJ38" s="12"/>
      <c r="NK38" s="12"/>
      <c r="NL38" s="12"/>
      <c r="NM38" s="12"/>
      <c r="NN38" s="12"/>
      <c r="NO38" s="12"/>
      <c r="NP38" s="12"/>
      <c r="NQ38" s="12"/>
      <c r="NR38" s="12"/>
      <c r="NS38" s="12"/>
      <c r="NT38" s="12"/>
      <c r="NU38" s="12"/>
      <c r="NV38" s="12"/>
      <c r="NW38" s="12"/>
      <c r="NX38" s="12"/>
      <c r="NY38" s="12"/>
      <c r="NZ38" s="12"/>
      <c r="OA38" s="12"/>
      <c r="OB38" s="12"/>
      <c r="OC38" s="12"/>
      <c r="OD38" s="12"/>
      <c r="OE38" s="12"/>
      <c r="OF38" s="12"/>
      <c r="OG38" s="12"/>
      <c r="OH38" s="12"/>
      <c r="OI38" s="12"/>
      <c r="OJ38" s="12"/>
      <c r="OK38" s="12"/>
      <c r="OL38" s="12"/>
      <c r="OM38" s="12"/>
      <c r="ON38" s="12"/>
      <c r="OO38" s="12"/>
      <c r="OP38" s="12"/>
      <c r="OQ38" s="12"/>
      <c r="OR38" s="12"/>
      <c r="OS38" s="12"/>
      <c r="OT38" s="12"/>
      <c r="OU38" s="12"/>
      <c r="OV38" s="12"/>
      <c r="OW38" s="12"/>
      <c r="OX38" s="12"/>
      <c r="OY38" s="12"/>
      <c r="OZ38" s="12"/>
      <c r="PA38" s="12"/>
      <c r="PB38" s="12"/>
      <c r="PC38" s="12"/>
      <c r="PD38" s="12"/>
      <c r="PE38" s="12"/>
      <c r="PF38" s="12"/>
      <c r="PG38" s="12"/>
      <c r="PH38" s="12"/>
      <c r="PI38" s="12"/>
      <c r="PJ38" s="12"/>
      <c r="PK38" s="12"/>
      <c r="PL38" s="12"/>
      <c r="PM38" s="12"/>
      <c r="PN38" s="12"/>
      <c r="PO38" s="12"/>
      <c r="PP38" s="12"/>
      <c r="PQ38" s="12"/>
      <c r="PR38" s="12"/>
      <c r="PS38" s="12"/>
      <c r="PT38" s="12"/>
      <c r="PU38" s="12"/>
      <c r="PV38" s="12"/>
      <c r="PW38" s="12"/>
      <c r="PX38" s="12"/>
      <c r="PY38" s="12"/>
      <c r="PZ38" s="12"/>
      <c r="QA38" s="12"/>
      <c r="QB38" s="12"/>
      <c r="QC38" s="12"/>
      <c r="QD38" s="12"/>
      <c r="QE38" s="12"/>
      <c r="QF38" s="12"/>
      <c r="QG38" s="12"/>
      <c r="QH38" s="12"/>
      <c r="QI38" s="12"/>
      <c r="QJ38" s="12"/>
      <c r="QK38" s="12"/>
      <c r="QL38" s="12"/>
      <c r="QM38" s="12"/>
      <c r="QN38" s="12"/>
      <c r="QO38" s="12"/>
      <c r="QP38" s="12"/>
      <c r="QQ38" s="12"/>
      <c r="QR38" s="12"/>
      <c r="QS38" s="12"/>
      <c r="QT38" s="12"/>
      <c r="QU38" s="12"/>
      <c r="QV38" s="12"/>
      <c r="QW38" s="12"/>
      <c r="QX38" s="12"/>
      <c r="QY38" s="12"/>
      <c r="QZ38" s="12"/>
      <c r="RA38" s="12"/>
      <c r="RB38" s="12"/>
      <c r="RC38" s="12"/>
      <c r="RD38" s="12"/>
      <c r="RE38" s="12"/>
      <c r="RF38" s="12"/>
      <c r="RG38" s="12"/>
      <c r="RH38" s="12"/>
      <c r="RI38" s="12"/>
      <c r="RJ38" s="12"/>
      <c r="RK38" s="12"/>
      <c r="RL38" s="12"/>
      <c r="RM38" s="12"/>
      <c r="RN38" s="12"/>
      <c r="RO38" s="12"/>
      <c r="RP38" s="12"/>
      <c r="RQ38" s="12"/>
      <c r="RR38" s="12"/>
      <c r="RS38" s="12"/>
      <c r="RT38" s="12"/>
      <c r="RU38" s="12"/>
      <c r="RV38" s="12"/>
      <c r="RW38" s="12"/>
      <c r="RX38" s="12"/>
      <c r="RY38" s="12"/>
      <c r="RZ38" s="12"/>
      <c r="SA38" s="12"/>
      <c r="SB38" s="12"/>
      <c r="SC38" s="12"/>
      <c r="SD38" s="12"/>
      <c r="SE38" s="12"/>
      <c r="SF38" s="12"/>
      <c r="SG38" s="12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</row>
    <row r="39" spans="1:532" x14ac:dyDescent="0.2">
      <c r="A39" s="10" t="s">
        <v>38</v>
      </c>
      <c r="B39" s="12">
        <v>14.05</v>
      </c>
      <c r="C39" s="11">
        <v>0</v>
      </c>
      <c r="D39" s="11">
        <v>0.94048486492057204</v>
      </c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2"/>
      <c r="LU39" s="12"/>
      <c r="LV39" s="12"/>
      <c r="LW39" s="12"/>
      <c r="LX39" s="12"/>
      <c r="LY39" s="12"/>
      <c r="LZ39" s="12"/>
      <c r="MA39" s="12"/>
      <c r="MB39" s="12"/>
      <c r="MC39" s="12"/>
      <c r="MD39" s="12"/>
      <c r="ME39" s="12"/>
      <c r="MF39" s="12"/>
      <c r="MG39" s="12"/>
      <c r="MH39" s="12"/>
      <c r="MI39" s="12"/>
      <c r="MJ39" s="12"/>
      <c r="MK39" s="12"/>
      <c r="ML39" s="12"/>
      <c r="MM39" s="12"/>
      <c r="MN39" s="12"/>
      <c r="MO39" s="12"/>
      <c r="MP39" s="12"/>
      <c r="MQ39" s="12"/>
      <c r="MR39" s="12"/>
      <c r="MS39" s="12"/>
      <c r="MT39" s="12"/>
      <c r="MU39" s="12"/>
      <c r="MV39" s="12"/>
      <c r="MW39" s="12"/>
      <c r="MX39" s="12"/>
      <c r="MY39" s="12"/>
      <c r="MZ39" s="12"/>
      <c r="NA39" s="12"/>
      <c r="NB39" s="12"/>
      <c r="NC39" s="12"/>
      <c r="ND39" s="12"/>
      <c r="NE39" s="12"/>
      <c r="NF39" s="12"/>
      <c r="NG39" s="12"/>
      <c r="NH39" s="12"/>
      <c r="NI39" s="12"/>
      <c r="NJ39" s="12"/>
      <c r="NK39" s="12"/>
      <c r="NL39" s="12"/>
      <c r="NM39" s="12"/>
      <c r="NN39" s="12"/>
      <c r="NO39" s="12"/>
      <c r="NP39" s="12"/>
      <c r="NQ39" s="12"/>
      <c r="NR39" s="12"/>
      <c r="NS39" s="12"/>
      <c r="NT39" s="12"/>
      <c r="NU39" s="12"/>
      <c r="NV39" s="12"/>
      <c r="NW39" s="12"/>
      <c r="NX39" s="12"/>
      <c r="NY39" s="12"/>
      <c r="NZ39" s="12"/>
      <c r="OA39" s="12"/>
      <c r="OB39" s="12"/>
      <c r="OC39" s="12"/>
      <c r="OD39" s="12"/>
      <c r="OE39" s="12"/>
      <c r="OF39" s="12"/>
      <c r="OG39" s="12"/>
      <c r="OH39" s="12"/>
      <c r="OI39" s="12"/>
      <c r="OJ39" s="12"/>
      <c r="OK39" s="12"/>
      <c r="OL39" s="12"/>
      <c r="OM39" s="12"/>
      <c r="ON39" s="12"/>
      <c r="OO39" s="12"/>
      <c r="OP39" s="12"/>
      <c r="OQ39" s="12"/>
      <c r="OR39" s="12"/>
      <c r="OS39" s="12"/>
      <c r="OT39" s="12"/>
      <c r="OU39" s="12"/>
      <c r="OV39" s="12"/>
      <c r="OW39" s="12"/>
      <c r="OX39" s="12"/>
      <c r="OY39" s="12"/>
      <c r="OZ39" s="12"/>
      <c r="PA39" s="12"/>
      <c r="PB39" s="12"/>
      <c r="PC39" s="12"/>
      <c r="PD39" s="12"/>
      <c r="PE39" s="12"/>
      <c r="PF39" s="12"/>
      <c r="PG39" s="12"/>
      <c r="PH39" s="12"/>
      <c r="PI39" s="12"/>
      <c r="PJ39" s="12"/>
      <c r="PK39" s="12"/>
      <c r="PL39" s="12"/>
      <c r="PM39" s="12"/>
      <c r="PN39" s="12"/>
      <c r="PO39" s="12"/>
      <c r="PP39" s="12"/>
      <c r="PQ39" s="12"/>
      <c r="PR39" s="12"/>
      <c r="PS39" s="12"/>
      <c r="PT39" s="12"/>
      <c r="PU39" s="12"/>
      <c r="PV39" s="12"/>
      <c r="PW39" s="12"/>
      <c r="PX39" s="12"/>
      <c r="PY39" s="12"/>
      <c r="PZ39" s="12"/>
      <c r="QA39" s="12"/>
      <c r="QB39" s="12"/>
      <c r="QC39" s="12"/>
      <c r="QD39" s="12"/>
      <c r="QE39" s="12"/>
      <c r="QF39" s="12"/>
      <c r="QG39" s="12"/>
      <c r="QH39" s="12"/>
      <c r="QI39" s="12"/>
      <c r="QJ39" s="12"/>
      <c r="QK39" s="12"/>
      <c r="QL39" s="12"/>
      <c r="QM39" s="12"/>
      <c r="QN39" s="12"/>
      <c r="QO39" s="12"/>
      <c r="QP39" s="12"/>
      <c r="QQ39" s="12"/>
      <c r="QR39" s="12"/>
      <c r="QS39" s="12"/>
      <c r="QT39" s="12"/>
      <c r="QU39" s="12"/>
      <c r="QV39" s="12"/>
      <c r="QW39" s="12"/>
      <c r="QX39" s="12"/>
      <c r="QY39" s="12"/>
      <c r="QZ39" s="12"/>
      <c r="RA39" s="12"/>
      <c r="RB39" s="12"/>
      <c r="RC39" s="12"/>
      <c r="RD39" s="12"/>
      <c r="RE39" s="12"/>
      <c r="RF39" s="12"/>
      <c r="RG39" s="12"/>
      <c r="RH39" s="12"/>
      <c r="RI39" s="12"/>
      <c r="RJ39" s="12"/>
      <c r="RK39" s="12"/>
      <c r="RL39" s="12"/>
      <c r="RM39" s="12"/>
      <c r="RN39" s="12"/>
      <c r="RO39" s="12"/>
      <c r="RP39" s="12"/>
      <c r="RQ39" s="12"/>
      <c r="RR39" s="12"/>
      <c r="RS39" s="12"/>
      <c r="RT39" s="12"/>
      <c r="RU39" s="12"/>
      <c r="RV39" s="12"/>
      <c r="RW39" s="12"/>
      <c r="RX39" s="12"/>
      <c r="RY39" s="12"/>
      <c r="RZ39" s="12"/>
      <c r="SA39" s="12"/>
      <c r="SB39" s="12"/>
      <c r="SC39" s="12"/>
      <c r="SD39" s="12"/>
      <c r="SE39" s="12"/>
      <c r="SF39" s="12"/>
      <c r="SG39" s="12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</row>
    <row r="40" spans="1:532" x14ac:dyDescent="0.2">
      <c r="A40" s="10" t="s">
        <v>39</v>
      </c>
      <c r="B40" s="12">
        <v>13.71</v>
      </c>
      <c r="C40" s="11">
        <v>0</v>
      </c>
      <c r="D40" s="11">
        <v>1.2770794481553032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2"/>
      <c r="LU40" s="12"/>
      <c r="LV40" s="12"/>
      <c r="LW40" s="12"/>
      <c r="LX40" s="12"/>
      <c r="LY40" s="12"/>
      <c r="LZ40" s="12"/>
      <c r="MA40" s="12"/>
      <c r="MB40" s="12"/>
      <c r="MC40" s="12"/>
      <c r="MD40" s="12"/>
      <c r="ME40" s="12"/>
      <c r="MF40" s="12"/>
      <c r="MG40" s="12"/>
      <c r="MH40" s="12"/>
      <c r="MI40" s="12"/>
      <c r="MJ40" s="12"/>
      <c r="MK40" s="12"/>
      <c r="ML40" s="12"/>
      <c r="MM40" s="12"/>
      <c r="MN40" s="12"/>
      <c r="MO40" s="12"/>
      <c r="MP40" s="12"/>
      <c r="MQ40" s="12"/>
      <c r="MR40" s="12"/>
      <c r="MS40" s="12"/>
      <c r="MT40" s="12"/>
      <c r="MU40" s="12"/>
      <c r="MV40" s="12"/>
      <c r="MW40" s="12"/>
      <c r="MX40" s="12"/>
      <c r="MY40" s="12"/>
      <c r="MZ40" s="12"/>
      <c r="NA40" s="12"/>
      <c r="NB40" s="12"/>
      <c r="NC40" s="12"/>
      <c r="ND40" s="12"/>
      <c r="NE40" s="12"/>
      <c r="NF40" s="12"/>
      <c r="NG40" s="12"/>
      <c r="NH40" s="12"/>
      <c r="NI40" s="12"/>
      <c r="NJ40" s="12"/>
      <c r="NK40" s="12"/>
      <c r="NL40" s="12"/>
      <c r="NM40" s="12"/>
      <c r="NN40" s="12"/>
      <c r="NO40" s="12"/>
      <c r="NP40" s="12"/>
      <c r="NQ40" s="12"/>
      <c r="NR40" s="12"/>
      <c r="NS40" s="12"/>
      <c r="NT40" s="12"/>
      <c r="NU40" s="12"/>
      <c r="NV40" s="12"/>
      <c r="NW40" s="12"/>
      <c r="NX40" s="12"/>
      <c r="NY40" s="12"/>
      <c r="NZ40" s="12"/>
      <c r="OA40" s="12"/>
      <c r="OB40" s="12"/>
      <c r="OC40" s="12"/>
      <c r="OD40" s="12"/>
      <c r="OE40" s="12"/>
      <c r="OF40" s="12"/>
      <c r="OG40" s="12"/>
      <c r="OH40" s="12"/>
      <c r="OI40" s="12"/>
      <c r="OJ40" s="12"/>
      <c r="OK40" s="12"/>
      <c r="OL40" s="12"/>
      <c r="OM40" s="12"/>
      <c r="ON40" s="12"/>
      <c r="OO40" s="12"/>
      <c r="OP40" s="12"/>
      <c r="OQ40" s="12"/>
      <c r="OR40" s="12"/>
      <c r="OS40" s="12"/>
      <c r="OT40" s="12"/>
      <c r="OU40" s="12"/>
      <c r="OV40" s="12"/>
      <c r="OW40" s="12"/>
      <c r="OX40" s="12"/>
      <c r="OY40" s="12"/>
      <c r="OZ40" s="12"/>
      <c r="PA40" s="12"/>
      <c r="PB40" s="12"/>
      <c r="PC40" s="12"/>
      <c r="PD40" s="12"/>
      <c r="PE40" s="12"/>
      <c r="PF40" s="12"/>
      <c r="PG40" s="12"/>
      <c r="PH40" s="12"/>
      <c r="PI40" s="12"/>
      <c r="PJ40" s="12"/>
      <c r="PK40" s="12"/>
      <c r="PL40" s="12"/>
      <c r="PM40" s="12"/>
      <c r="PN40" s="12"/>
      <c r="PO40" s="12"/>
      <c r="PP40" s="12"/>
      <c r="PQ40" s="12"/>
      <c r="PR40" s="12"/>
      <c r="PS40" s="12"/>
      <c r="PT40" s="12"/>
      <c r="PU40" s="12"/>
      <c r="PV40" s="12"/>
      <c r="PW40" s="12"/>
      <c r="PX40" s="12"/>
      <c r="PY40" s="12"/>
      <c r="PZ40" s="12"/>
      <c r="QA40" s="12"/>
      <c r="QB40" s="12"/>
      <c r="QC40" s="12"/>
      <c r="QD40" s="12"/>
      <c r="QE40" s="12"/>
      <c r="QF40" s="12"/>
      <c r="QG40" s="12"/>
      <c r="QH40" s="12"/>
      <c r="QI40" s="12"/>
      <c r="QJ40" s="12"/>
      <c r="QK40" s="12"/>
      <c r="QL40" s="12"/>
      <c r="QM40" s="12"/>
      <c r="QN40" s="12"/>
      <c r="QO40" s="12"/>
      <c r="QP40" s="12"/>
      <c r="QQ40" s="12"/>
      <c r="QR40" s="12"/>
      <c r="QS40" s="12"/>
      <c r="QT40" s="12"/>
      <c r="QU40" s="12"/>
      <c r="QV40" s="12"/>
      <c r="QW40" s="12"/>
      <c r="QX40" s="12"/>
      <c r="QY40" s="12"/>
      <c r="QZ40" s="12"/>
      <c r="RA40" s="12"/>
      <c r="RB40" s="12"/>
      <c r="RC40" s="12"/>
      <c r="RD40" s="12"/>
      <c r="RE40" s="12"/>
      <c r="RF40" s="12"/>
      <c r="RG40" s="12"/>
      <c r="RH40" s="12"/>
      <c r="RI40" s="12"/>
      <c r="RJ40" s="12"/>
      <c r="RK40" s="12"/>
      <c r="RL40" s="12"/>
      <c r="RM40" s="12"/>
      <c r="RN40" s="12"/>
      <c r="RO40" s="12"/>
      <c r="RP40" s="12"/>
      <c r="RQ40" s="12"/>
      <c r="RR40" s="12"/>
      <c r="RS40" s="12"/>
      <c r="RT40" s="12"/>
      <c r="RU40" s="12"/>
      <c r="RV40" s="12"/>
      <c r="RW40" s="12"/>
      <c r="RX40" s="12"/>
      <c r="RY40" s="12"/>
      <c r="RZ40" s="12"/>
      <c r="SA40" s="12"/>
      <c r="SB40" s="12"/>
      <c r="SC40" s="12"/>
      <c r="SD40" s="12"/>
      <c r="SE40" s="12"/>
      <c r="SF40" s="12"/>
      <c r="SG40" s="12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</row>
    <row r="41" spans="1:532" x14ac:dyDescent="0.2">
      <c r="A41" s="10" t="s">
        <v>40</v>
      </c>
      <c r="B41" s="12">
        <v>12.03</v>
      </c>
      <c r="C41" s="11">
        <v>0</v>
      </c>
      <c r="D41" s="11">
        <v>2.94025268296221</v>
      </c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/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/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/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/>
      <c r="LR41" s="12"/>
      <c r="LS41" s="12"/>
      <c r="LT41" s="12"/>
      <c r="LU41" s="12"/>
      <c r="LV41" s="12"/>
      <c r="LW41" s="12"/>
      <c r="LX41" s="12"/>
      <c r="LY41" s="12"/>
      <c r="LZ41" s="12"/>
      <c r="MA41" s="12"/>
      <c r="MB41" s="12"/>
      <c r="MC41" s="12"/>
      <c r="MD41" s="12"/>
      <c r="ME41" s="12"/>
      <c r="MF41" s="12"/>
      <c r="MG41" s="12"/>
      <c r="MH41" s="12"/>
      <c r="MI41" s="12"/>
      <c r="MJ41" s="12"/>
      <c r="MK41" s="12"/>
      <c r="ML41" s="12"/>
      <c r="MM41" s="12"/>
      <c r="MN41" s="12"/>
      <c r="MO41" s="12"/>
      <c r="MP41" s="12"/>
      <c r="MQ41" s="12"/>
      <c r="MR41" s="12"/>
      <c r="MS41" s="12"/>
      <c r="MT41" s="12"/>
      <c r="MU41" s="12"/>
      <c r="MV41" s="12"/>
      <c r="MW41" s="12"/>
      <c r="MX41" s="12"/>
      <c r="MY41" s="12"/>
      <c r="MZ41" s="12"/>
      <c r="NA41" s="12"/>
      <c r="NB41" s="12"/>
      <c r="NC41" s="12"/>
      <c r="ND41" s="12"/>
      <c r="NE41" s="12"/>
      <c r="NF41" s="12"/>
      <c r="NG41" s="12"/>
      <c r="NH41" s="12"/>
      <c r="NI41" s="12"/>
      <c r="NJ41" s="12"/>
      <c r="NK41" s="12"/>
      <c r="NL41" s="12"/>
      <c r="NM41" s="12"/>
      <c r="NN41" s="12"/>
      <c r="NO41" s="12"/>
      <c r="NP41" s="12"/>
      <c r="NQ41" s="12"/>
      <c r="NR41" s="12"/>
      <c r="NS41" s="12"/>
      <c r="NT41" s="12"/>
      <c r="NU41" s="12"/>
      <c r="NV41" s="12"/>
      <c r="NW41" s="12"/>
      <c r="NX41" s="12"/>
      <c r="NY41" s="12"/>
      <c r="NZ41" s="12"/>
      <c r="OA41" s="12"/>
      <c r="OB41" s="12"/>
      <c r="OC41" s="12"/>
      <c r="OD41" s="12"/>
      <c r="OE41" s="12"/>
      <c r="OF41" s="12"/>
      <c r="OG41" s="12"/>
      <c r="OH41" s="12"/>
      <c r="OI41" s="12"/>
      <c r="OJ41" s="12"/>
      <c r="OK41" s="12"/>
      <c r="OL41" s="12"/>
      <c r="OM41" s="12"/>
      <c r="ON41" s="12"/>
      <c r="OO41" s="12"/>
      <c r="OP41" s="12"/>
      <c r="OQ41" s="12"/>
      <c r="OR41" s="12"/>
      <c r="OS41" s="12"/>
      <c r="OT41" s="12"/>
      <c r="OU41" s="12"/>
      <c r="OV41" s="12"/>
      <c r="OW41" s="12"/>
      <c r="OX41" s="12"/>
      <c r="OY41" s="12"/>
      <c r="OZ41" s="12"/>
      <c r="PA41" s="12"/>
      <c r="PB41" s="12"/>
      <c r="PC41" s="12"/>
      <c r="PD41" s="12"/>
      <c r="PE41" s="12"/>
      <c r="PF41" s="12"/>
      <c r="PG41" s="12"/>
      <c r="PH41" s="12"/>
      <c r="PI41" s="12"/>
      <c r="PJ41" s="12"/>
      <c r="PK41" s="12"/>
      <c r="PL41" s="12"/>
      <c r="PM41" s="12"/>
      <c r="PN41" s="12"/>
      <c r="PO41" s="12"/>
      <c r="PP41" s="12"/>
      <c r="PQ41" s="12"/>
      <c r="PR41" s="12"/>
      <c r="PS41" s="12"/>
      <c r="PT41" s="12"/>
      <c r="PU41" s="12"/>
      <c r="PV41" s="12"/>
      <c r="PW41" s="12"/>
      <c r="PX41" s="12"/>
      <c r="PY41" s="12"/>
      <c r="PZ41" s="12"/>
      <c r="QA41" s="12"/>
      <c r="QB41" s="12"/>
      <c r="QC41" s="12"/>
      <c r="QD41" s="12"/>
      <c r="QE41" s="12"/>
      <c r="QF41" s="12"/>
      <c r="QG41" s="12"/>
      <c r="QH41" s="12"/>
      <c r="QI41" s="12"/>
      <c r="QJ41" s="12"/>
      <c r="QK41" s="12"/>
      <c r="QL41" s="12"/>
      <c r="QM41" s="12"/>
      <c r="QN41" s="12"/>
      <c r="QO41" s="12"/>
      <c r="QP41" s="12"/>
      <c r="QQ41" s="12"/>
      <c r="QR41" s="12"/>
      <c r="QS41" s="12"/>
      <c r="QT41" s="12"/>
      <c r="QU41" s="12"/>
      <c r="QV41" s="12"/>
      <c r="QW41" s="12"/>
      <c r="QX41" s="12"/>
      <c r="QY41" s="12"/>
      <c r="QZ41" s="12"/>
      <c r="RA41" s="12"/>
      <c r="RB41" s="12"/>
      <c r="RC41" s="12"/>
      <c r="RD41" s="12"/>
      <c r="RE41" s="12"/>
      <c r="RF41" s="12"/>
      <c r="RG41" s="12"/>
      <c r="RH41" s="12"/>
      <c r="RI41" s="12"/>
      <c r="RJ41" s="12"/>
      <c r="RK41" s="12"/>
      <c r="RL41" s="12"/>
      <c r="RM41" s="12"/>
      <c r="RN41" s="12"/>
      <c r="RO41" s="12"/>
      <c r="RP41" s="12"/>
      <c r="RQ41" s="12"/>
      <c r="RR41" s="12"/>
      <c r="RS41" s="12"/>
      <c r="RT41" s="12"/>
      <c r="RU41" s="12"/>
      <c r="RV41" s="12"/>
      <c r="RW41" s="12"/>
      <c r="RX41" s="12"/>
      <c r="RY41" s="12"/>
      <c r="RZ41" s="12"/>
      <c r="SA41" s="12"/>
      <c r="SB41" s="12"/>
      <c r="SC41" s="12"/>
      <c r="SD41" s="12"/>
      <c r="SE41" s="12"/>
      <c r="SF41" s="12"/>
      <c r="SG41" s="12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</row>
    <row r="42" spans="1:532" x14ac:dyDescent="0.2">
      <c r="A42" s="10" t="s">
        <v>41</v>
      </c>
      <c r="B42" s="12">
        <v>16.309999999999999</v>
      </c>
      <c r="C42" s="11">
        <v>1.2968791295220521</v>
      </c>
      <c r="D42" s="11">
        <v>0</v>
      </c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2"/>
      <c r="LU42" s="12"/>
      <c r="LV42" s="12"/>
      <c r="LW42" s="12"/>
      <c r="LX42" s="12"/>
      <c r="LY42" s="12"/>
      <c r="LZ42" s="12"/>
      <c r="MA42" s="12"/>
      <c r="MB42" s="12"/>
      <c r="MC42" s="12"/>
      <c r="MD42" s="12"/>
      <c r="ME42" s="12"/>
      <c r="MF42" s="12"/>
      <c r="MG42" s="12"/>
      <c r="MH42" s="12"/>
      <c r="MI42" s="12"/>
      <c r="MJ42" s="12"/>
      <c r="MK42" s="12"/>
      <c r="ML42" s="12"/>
      <c r="MM42" s="12"/>
      <c r="MN42" s="12"/>
      <c r="MO42" s="12"/>
      <c r="MP42" s="12"/>
      <c r="MQ42" s="12"/>
      <c r="MR42" s="12"/>
      <c r="MS42" s="12"/>
      <c r="MT42" s="12"/>
      <c r="MU42" s="12"/>
      <c r="MV42" s="12"/>
      <c r="MW42" s="12"/>
      <c r="MX42" s="12"/>
      <c r="MY42" s="12"/>
      <c r="MZ42" s="12"/>
      <c r="NA42" s="12"/>
      <c r="NB42" s="12"/>
      <c r="NC42" s="12"/>
      <c r="ND42" s="12"/>
      <c r="NE42" s="12"/>
      <c r="NF42" s="12"/>
      <c r="NG42" s="12"/>
      <c r="NH42" s="12"/>
      <c r="NI42" s="12"/>
      <c r="NJ42" s="12"/>
      <c r="NK42" s="12"/>
      <c r="NL42" s="12"/>
      <c r="NM42" s="12"/>
      <c r="NN42" s="12"/>
      <c r="NO42" s="12"/>
      <c r="NP42" s="12"/>
      <c r="NQ42" s="12"/>
      <c r="NR42" s="12"/>
      <c r="NS42" s="12"/>
      <c r="NT42" s="12"/>
      <c r="NU42" s="12"/>
      <c r="NV42" s="12"/>
      <c r="NW42" s="12"/>
      <c r="NX42" s="12"/>
      <c r="NY42" s="12"/>
      <c r="NZ42" s="12"/>
      <c r="OA42" s="12"/>
      <c r="OB42" s="12"/>
      <c r="OC42" s="12"/>
      <c r="OD42" s="12"/>
      <c r="OE42" s="12"/>
      <c r="OF42" s="12"/>
      <c r="OG42" s="12"/>
      <c r="OH42" s="12"/>
      <c r="OI42" s="12"/>
      <c r="OJ42" s="12"/>
      <c r="OK42" s="12"/>
      <c r="OL42" s="12"/>
      <c r="OM42" s="12"/>
      <c r="ON42" s="12"/>
      <c r="OO42" s="12"/>
      <c r="OP42" s="12"/>
      <c r="OQ42" s="12"/>
      <c r="OR42" s="12"/>
      <c r="OS42" s="12"/>
      <c r="OT42" s="12"/>
      <c r="OU42" s="12"/>
      <c r="OV42" s="12"/>
      <c r="OW42" s="12"/>
      <c r="OX42" s="12"/>
      <c r="OY42" s="12"/>
      <c r="OZ42" s="12"/>
      <c r="PA42" s="12"/>
      <c r="PB42" s="12"/>
      <c r="PC42" s="12"/>
      <c r="PD42" s="12"/>
      <c r="PE42" s="12"/>
      <c r="PF42" s="12"/>
      <c r="PG42" s="12"/>
      <c r="PH42" s="12"/>
      <c r="PI42" s="12"/>
      <c r="PJ42" s="12"/>
      <c r="PK42" s="12"/>
      <c r="PL42" s="12"/>
      <c r="PM42" s="12"/>
      <c r="PN42" s="12"/>
      <c r="PO42" s="12"/>
      <c r="PP42" s="12"/>
      <c r="PQ42" s="12"/>
      <c r="PR42" s="12"/>
      <c r="PS42" s="12"/>
      <c r="PT42" s="12"/>
      <c r="PU42" s="12"/>
      <c r="PV42" s="12"/>
      <c r="PW42" s="12"/>
      <c r="PX42" s="12"/>
      <c r="PY42" s="12"/>
      <c r="PZ42" s="12"/>
      <c r="QA42" s="12"/>
      <c r="QB42" s="12"/>
      <c r="QC42" s="12"/>
      <c r="QD42" s="12"/>
      <c r="QE42" s="12"/>
      <c r="QF42" s="12"/>
      <c r="QG42" s="12"/>
      <c r="QH42" s="12"/>
      <c r="QI42" s="12"/>
      <c r="QJ42" s="12"/>
      <c r="QK42" s="12"/>
      <c r="QL42" s="12"/>
      <c r="QM42" s="12"/>
      <c r="QN42" s="12"/>
      <c r="QO42" s="12"/>
      <c r="QP42" s="12"/>
      <c r="QQ42" s="12"/>
      <c r="QR42" s="12"/>
      <c r="QS42" s="12"/>
      <c r="QT42" s="12"/>
      <c r="QU42" s="12"/>
      <c r="QV42" s="12"/>
      <c r="QW42" s="12"/>
      <c r="QX42" s="12"/>
      <c r="QY42" s="12"/>
      <c r="QZ42" s="12"/>
      <c r="RA42" s="12"/>
      <c r="RB42" s="12"/>
      <c r="RC42" s="12"/>
      <c r="RD42" s="12"/>
      <c r="RE42" s="12"/>
      <c r="RF42" s="12"/>
      <c r="RG42" s="12"/>
      <c r="RH42" s="12"/>
      <c r="RI42" s="12"/>
      <c r="RJ42" s="12"/>
      <c r="RK42" s="12"/>
      <c r="RL42" s="12"/>
      <c r="RM42" s="12"/>
      <c r="RN42" s="12"/>
      <c r="RO42" s="12"/>
      <c r="RP42" s="12"/>
      <c r="RQ42" s="12"/>
      <c r="RR42" s="12"/>
      <c r="RS42" s="12"/>
      <c r="RT42" s="12"/>
      <c r="RU42" s="12"/>
      <c r="RV42" s="12"/>
      <c r="RW42" s="12"/>
      <c r="RX42" s="12"/>
      <c r="RY42" s="12"/>
      <c r="RZ42" s="12"/>
      <c r="SA42" s="12"/>
      <c r="SB42" s="12"/>
      <c r="SC42" s="12"/>
      <c r="SD42" s="12"/>
      <c r="SE42" s="12"/>
      <c r="SF42" s="12"/>
      <c r="SG42" s="12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</row>
    <row r="43" spans="1:532" x14ac:dyDescent="0.2">
      <c r="A43" s="10" t="s">
        <v>42</v>
      </c>
      <c r="B43" s="12">
        <v>13.06</v>
      </c>
      <c r="C43" s="11">
        <v>0</v>
      </c>
      <c r="D43" s="11">
        <v>1.9205690925746419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/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/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/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/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/>
      <c r="LT43" s="12"/>
      <c r="LU43" s="12"/>
      <c r="LV43" s="12"/>
      <c r="LW43" s="12"/>
      <c r="LX43" s="12"/>
      <c r="LY43" s="12"/>
      <c r="LZ43" s="12"/>
      <c r="MA43" s="12"/>
      <c r="MB43" s="12"/>
      <c r="MC43" s="12"/>
      <c r="MD43" s="12"/>
      <c r="ME43" s="12"/>
      <c r="MF43" s="12"/>
      <c r="MG43" s="12"/>
      <c r="MH43" s="12"/>
      <c r="MI43" s="12"/>
      <c r="MJ43" s="12"/>
      <c r="MK43" s="12"/>
      <c r="ML43" s="12"/>
      <c r="MM43" s="12"/>
      <c r="MN43" s="12"/>
      <c r="MO43" s="12"/>
      <c r="MP43" s="12"/>
      <c r="MQ43" s="12"/>
      <c r="MR43" s="12"/>
      <c r="MS43" s="12"/>
      <c r="MT43" s="12"/>
      <c r="MU43" s="12"/>
      <c r="MV43" s="12"/>
      <c r="MW43" s="12"/>
      <c r="MX43" s="12"/>
      <c r="MY43" s="12"/>
      <c r="MZ43" s="12"/>
      <c r="NA43" s="12"/>
      <c r="NB43" s="12"/>
      <c r="NC43" s="12"/>
      <c r="ND43" s="12"/>
      <c r="NE43" s="12"/>
      <c r="NF43" s="12"/>
      <c r="NG43" s="12"/>
      <c r="NH43" s="12"/>
      <c r="NI43" s="12"/>
      <c r="NJ43" s="12"/>
      <c r="NK43" s="12"/>
      <c r="NL43" s="12"/>
      <c r="NM43" s="12"/>
      <c r="NN43" s="12"/>
      <c r="NO43" s="12"/>
      <c r="NP43" s="12"/>
      <c r="NQ43" s="12"/>
      <c r="NR43" s="12"/>
      <c r="NS43" s="12"/>
      <c r="NT43" s="12"/>
      <c r="NU43" s="12"/>
      <c r="NV43" s="12"/>
      <c r="NW43" s="12"/>
      <c r="NX43" s="12"/>
      <c r="NY43" s="12"/>
      <c r="NZ43" s="12"/>
      <c r="OA43" s="12"/>
      <c r="OB43" s="12"/>
      <c r="OC43" s="12"/>
      <c r="OD43" s="12"/>
      <c r="OE43" s="12"/>
      <c r="OF43" s="12"/>
      <c r="OG43" s="12"/>
      <c r="OH43" s="12"/>
      <c r="OI43" s="12"/>
      <c r="OJ43" s="12"/>
      <c r="OK43" s="12"/>
      <c r="OL43" s="12"/>
      <c r="OM43" s="12"/>
      <c r="ON43" s="12"/>
      <c r="OO43" s="12"/>
      <c r="OP43" s="12"/>
      <c r="OQ43" s="12"/>
      <c r="OR43" s="12"/>
      <c r="OS43" s="12"/>
      <c r="OT43" s="12"/>
      <c r="OU43" s="12"/>
      <c r="OV43" s="12"/>
      <c r="OW43" s="12"/>
      <c r="OX43" s="12"/>
      <c r="OY43" s="12"/>
      <c r="OZ43" s="12"/>
      <c r="PA43" s="12"/>
      <c r="PB43" s="12"/>
      <c r="PC43" s="12"/>
      <c r="PD43" s="12"/>
      <c r="PE43" s="12"/>
      <c r="PF43" s="12"/>
      <c r="PG43" s="12"/>
      <c r="PH43" s="12"/>
      <c r="PI43" s="12"/>
      <c r="PJ43" s="12"/>
      <c r="PK43" s="12"/>
      <c r="PL43" s="12"/>
      <c r="PM43" s="12"/>
      <c r="PN43" s="12"/>
      <c r="PO43" s="12"/>
      <c r="PP43" s="12"/>
      <c r="PQ43" s="12"/>
      <c r="PR43" s="12"/>
      <c r="PS43" s="12"/>
      <c r="PT43" s="12"/>
      <c r="PU43" s="12"/>
      <c r="PV43" s="12"/>
      <c r="PW43" s="12"/>
      <c r="PX43" s="12"/>
      <c r="PY43" s="12"/>
      <c r="PZ43" s="12"/>
      <c r="QA43" s="12"/>
      <c r="QB43" s="12"/>
      <c r="QC43" s="12"/>
      <c r="QD43" s="12"/>
      <c r="QE43" s="12"/>
      <c r="QF43" s="12"/>
      <c r="QG43" s="12"/>
      <c r="QH43" s="12"/>
      <c r="QI43" s="12"/>
      <c r="QJ43" s="12"/>
      <c r="QK43" s="12"/>
      <c r="QL43" s="12"/>
      <c r="QM43" s="12"/>
      <c r="QN43" s="12"/>
      <c r="QO43" s="12"/>
      <c r="QP43" s="12"/>
      <c r="QQ43" s="12"/>
      <c r="QR43" s="12"/>
      <c r="QS43" s="12"/>
      <c r="QT43" s="12"/>
      <c r="QU43" s="12"/>
      <c r="QV43" s="12"/>
      <c r="QW43" s="12"/>
      <c r="QX43" s="12"/>
      <c r="QY43" s="12"/>
      <c r="QZ43" s="12"/>
      <c r="RA43" s="12"/>
      <c r="RB43" s="12"/>
      <c r="RC43" s="12"/>
      <c r="RD43" s="12"/>
      <c r="RE43" s="12"/>
      <c r="RF43" s="12"/>
      <c r="RG43" s="12"/>
      <c r="RH43" s="12"/>
      <c r="RI43" s="12"/>
      <c r="RJ43" s="12"/>
      <c r="RK43" s="12"/>
      <c r="RL43" s="12"/>
      <c r="RM43" s="12"/>
      <c r="RN43" s="12"/>
      <c r="RO43" s="12"/>
      <c r="RP43" s="12"/>
      <c r="RQ43" s="12"/>
      <c r="RR43" s="12"/>
      <c r="RS43" s="12"/>
      <c r="RT43" s="12"/>
      <c r="RU43" s="12"/>
      <c r="RV43" s="12"/>
      <c r="RW43" s="12"/>
      <c r="RX43" s="12"/>
      <c r="RY43" s="12"/>
      <c r="RZ43" s="12"/>
      <c r="SA43" s="12"/>
      <c r="SB43" s="12"/>
      <c r="SC43" s="12"/>
      <c r="SD43" s="12"/>
      <c r="SE43" s="12"/>
      <c r="SF43" s="12"/>
      <c r="SG43" s="12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</row>
    <row r="44" spans="1:532" x14ac:dyDescent="0.2">
      <c r="A44" s="10" t="s">
        <v>43</v>
      </c>
      <c r="B44" s="12">
        <v>14.51</v>
      </c>
      <c r="C44" s="11">
        <v>0</v>
      </c>
      <c r="D44" s="11">
        <v>0.48509219348534771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2"/>
      <c r="LU44" s="12"/>
      <c r="LV44" s="12"/>
      <c r="LW44" s="12"/>
      <c r="LX44" s="12"/>
      <c r="LY44" s="12"/>
      <c r="LZ44" s="12"/>
      <c r="MA44" s="12"/>
      <c r="MB44" s="12"/>
      <c r="MC44" s="12"/>
      <c r="MD44" s="12"/>
      <c r="ME44" s="12"/>
      <c r="MF44" s="12"/>
      <c r="MG44" s="12"/>
      <c r="MH44" s="12"/>
      <c r="MI44" s="12"/>
      <c r="MJ44" s="12"/>
      <c r="MK44" s="12"/>
      <c r="ML44" s="12"/>
      <c r="MM44" s="12"/>
      <c r="MN44" s="12"/>
      <c r="MO44" s="12"/>
      <c r="MP44" s="12"/>
      <c r="MQ44" s="12"/>
      <c r="MR44" s="12"/>
      <c r="MS44" s="12"/>
      <c r="MT44" s="12"/>
      <c r="MU44" s="12"/>
      <c r="MV44" s="12"/>
      <c r="MW44" s="12"/>
      <c r="MX44" s="12"/>
      <c r="MY44" s="12"/>
      <c r="MZ44" s="12"/>
      <c r="NA44" s="12"/>
      <c r="NB44" s="12"/>
      <c r="NC44" s="12"/>
      <c r="ND44" s="12"/>
      <c r="NE44" s="12"/>
      <c r="NF44" s="12"/>
      <c r="NG44" s="12"/>
      <c r="NH44" s="12"/>
      <c r="NI44" s="12"/>
      <c r="NJ44" s="12"/>
      <c r="NK44" s="12"/>
      <c r="NL44" s="12"/>
      <c r="NM44" s="12"/>
      <c r="NN44" s="12"/>
      <c r="NO44" s="12"/>
      <c r="NP44" s="12"/>
      <c r="NQ44" s="12"/>
      <c r="NR44" s="12"/>
      <c r="NS44" s="12"/>
      <c r="NT44" s="12"/>
      <c r="NU44" s="12"/>
      <c r="NV44" s="12"/>
      <c r="NW44" s="12"/>
      <c r="NX44" s="12"/>
      <c r="NY44" s="12"/>
      <c r="NZ44" s="12"/>
      <c r="OA44" s="12"/>
      <c r="OB44" s="12"/>
      <c r="OC44" s="12"/>
      <c r="OD44" s="12"/>
      <c r="OE44" s="12"/>
      <c r="OF44" s="12"/>
      <c r="OG44" s="12"/>
      <c r="OH44" s="12"/>
      <c r="OI44" s="12"/>
      <c r="OJ44" s="12"/>
      <c r="OK44" s="12"/>
      <c r="OL44" s="12"/>
      <c r="OM44" s="12"/>
      <c r="ON44" s="12"/>
      <c r="OO44" s="12"/>
      <c r="OP44" s="12"/>
      <c r="OQ44" s="12"/>
      <c r="OR44" s="12"/>
      <c r="OS44" s="12"/>
      <c r="OT44" s="12"/>
      <c r="OU44" s="12"/>
      <c r="OV44" s="12"/>
      <c r="OW44" s="12"/>
      <c r="OX44" s="12"/>
      <c r="OY44" s="12"/>
      <c r="OZ44" s="12"/>
      <c r="PA44" s="12"/>
      <c r="PB44" s="12"/>
      <c r="PC44" s="12"/>
      <c r="PD44" s="12"/>
      <c r="PE44" s="12"/>
      <c r="PF44" s="12"/>
      <c r="PG44" s="12"/>
      <c r="PH44" s="12"/>
      <c r="PI44" s="12"/>
      <c r="PJ44" s="12"/>
      <c r="PK44" s="12"/>
      <c r="PL44" s="12"/>
      <c r="PM44" s="12"/>
      <c r="PN44" s="12"/>
      <c r="PO44" s="12"/>
      <c r="PP44" s="12"/>
      <c r="PQ44" s="12"/>
      <c r="PR44" s="12"/>
      <c r="PS44" s="12"/>
      <c r="PT44" s="12"/>
      <c r="PU44" s="12"/>
      <c r="PV44" s="12"/>
      <c r="PW44" s="12"/>
      <c r="PX44" s="12"/>
      <c r="PY44" s="12"/>
      <c r="PZ44" s="12"/>
      <c r="QA44" s="12"/>
      <c r="QB44" s="12"/>
      <c r="QC44" s="12"/>
      <c r="QD44" s="12"/>
      <c r="QE44" s="12"/>
      <c r="QF44" s="12"/>
      <c r="QG44" s="12"/>
      <c r="QH44" s="12"/>
      <c r="QI44" s="12"/>
      <c r="QJ44" s="12"/>
      <c r="QK44" s="12"/>
      <c r="QL44" s="12"/>
      <c r="QM44" s="12"/>
      <c r="QN44" s="12"/>
      <c r="QO44" s="12"/>
      <c r="QP44" s="12"/>
      <c r="QQ44" s="12"/>
      <c r="QR44" s="12"/>
      <c r="QS44" s="12"/>
      <c r="QT44" s="12"/>
      <c r="QU44" s="12"/>
      <c r="QV44" s="12"/>
      <c r="QW44" s="12"/>
      <c r="QX44" s="12"/>
      <c r="QY44" s="12"/>
      <c r="QZ44" s="12"/>
      <c r="RA44" s="12"/>
      <c r="RB44" s="12"/>
      <c r="RC44" s="12"/>
      <c r="RD44" s="12"/>
      <c r="RE44" s="12"/>
      <c r="RF44" s="12"/>
      <c r="RG44" s="12"/>
      <c r="RH44" s="12"/>
      <c r="RI44" s="12"/>
      <c r="RJ44" s="12"/>
      <c r="RK44" s="12"/>
      <c r="RL44" s="12"/>
      <c r="RM44" s="12"/>
      <c r="RN44" s="12"/>
      <c r="RO44" s="12"/>
      <c r="RP44" s="12"/>
      <c r="RQ44" s="12"/>
      <c r="RR44" s="12"/>
      <c r="RS44" s="12"/>
      <c r="RT44" s="12"/>
      <c r="RU44" s="12"/>
      <c r="RV44" s="12"/>
      <c r="RW44" s="12"/>
      <c r="RX44" s="12"/>
      <c r="RY44" s="12"/>
      <c r="RZ44" s="12"/>
      <c r="SA44" s="12"/>
      <c r="SB44" s="12"/>
      <c r="SC44" s="12"/>
      <c r="SD44" s="12"/>
      <c r="SE44" s="12"/>
      <c r="SF44" s="12"/>
      <c r="SG44" s="12"/>
      <c r="SH44" s="11"/>
      <c r="SI44" s="11"/>
      <c r="SJ44" s="11"/>
      <c r="SK44" s="11"/>
      <c r="SL44" s="11"/>
      <c r="SM44" s="11"/>
      <c r="SN44" s="11"/>
      <c r="SO44" s="11"/>
      <c r="SP44" s="11"/>
      <c r="SQ44" s="11"/>
      <c r="SR44" s="11"/>
      <c r="SS44" s="11"/>
      <c r="ST44" s="11"/>
      <c r="SU44" s="11"/>
      <c r="SV44" s="11"/>
      <c r="SW44" s="11"/>
      <c r="SX44" s="11"/>
      <c r="SY44" s="11"/>
      <c r="SZ44" s="11"/>
      <c r="TA44" s="11"/>
      <c r="TB44" s="11"/>
      <c r="TC44" s="11"/>
      <c r="TD44" s="11"/>
      <c r="TE44" s="11"/>
      <c r="TF44" s="11"/>
      <c r="TG44" s="11"/>
      <c r="TH44" s="11"/>
      <c r="TI44" s="11"/>
      <c r="TJ44" s="11"/>
      <c r="TK44" s="11"/>
      <c r="TL44" s="11"/>
    </row>
    <row r="45" spans="1:532" x14ac:dyDescent="0.2">
      <c r="A45" s="10" t="s">
        <v>44</v>
      </c>
      <c r="B45" s="12">
        <v>12</v>
      </c>
      <c r="C45" s="11">
        <v>0</v>
      </c>
      <c r="D45" s="11">
        <v>2.969952205012333</v>
      </c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2"/>
      <c r="LU45" s="12"/>
      <c r="LV45" s="12"/>
      <c r="LW45" s="12"/>
      <c r="LX45" s="12"/>
      <c r="LY45" s="12"/>
      <c r="LZ45" s="12"/>
      <c r="MA45" s="12"/>
      <c r="MB45" s="12"/>
      <c r="MC45" s="12"/>
      <c r="MD45" s="12"/>
      <c r="ME45" s="12"/>
      <c r="MF45" s="12"/>
      <c r="MG45" s="12"/>
      <c r="MH45" s="12"/>
      <c r="MI45" s="12"/>
      <c r="MJ45" s="12"/>
      <c r="MK45" s="12"/>
      <c r="ML45" s="12"/>
      <c r="MM45" s="12"/>
      <c r="MN45" s="12"/>
      <c r="MO45" s="12"/>
      <c r="MP45" s="12"/>
      <c r="MQ45" s="12"/>
      <c r="MR45" s="12"/>
      <c r="MS45" s="12"/>
      <c r="MT45" s="12"/>
      <c r="MU45" s="12"/>
      <c r="MV45" s="12"/>
      <c r="MW45" s="12"/>
      <c r="MX45" s="12"/>
      <c r="MY45" s="12"/>
      <c r="MZ45" s="12"/>
      <c r="NA45" s="12"/>
      <c r="NB45" s="12"/>
      <c r="NC45" s="12"/>
      <c r="ND45" s="12"/>
      <c r="NE45" s="12"/>
      <c r="NF45" s="12"/>
      <c r="NG45" s="12"/>
      <c r="NH45" s="12"/>
      <c r="NI45" s="12"/>
      <c r="NJ45" s="12"/>
      <c r="NK45" s="12"/>
      <c r="NL45" s="12"/>
      <c r="NM45" s="12"/>
      <c r="NN45" s="12"/>
      <c r="NO45" s="12"/>
      <c r="NP45" s="12"/>
      <c r="NQ45" s="12"/>
      <c r="NR45" s="12"/>
      <c r="NS45" s="12"/>
      <c r="NT45" s="12"/>
      <c r="NU45" s="12"/>
      <c r="NV45" s="12"/>
      <c r="NW45" s="12"/>
      <c r="NX45" s="12"/>
      <c r="NY45" s="12"/>
      <c r="NZ45" s="12"/>
      <c r="OA45" s="12"/>
      <c r="OB45" s="12"/>
      <c r="OC45" s="12"/>
      <c r="OD45" s="12"/>
      <c r="OE45" s="12"/>
      <c r="OF45" s="12"/>
      <c r="OG45" s="12"/>
      <c r="OH45" s="12"/>
      <c r="OI45" s="12"/>
      <c r="OJ45" s="12"/>
      <c r="OK45" s="12"/>
      <c r="OL45" s="12"/>
      <c r="OM45" s="12"/>
      <c r="ON45" s="12"/>
      <c r="OO45" s="12"/>
      <c r="OP45" s="12"/>
      <c r="OQ45" s="12"/>
      <c r="OR45" s="12"/>
      <c r="OS45" s="12"/>
      <c r="OT45" s="12"/>
      <c r="OU45" s="12"/>
      <c r="OV45" s="12"/>
      <c r="OW45" s="12"/>
      <c r="OX45" s="12"/>
      <c r="OY45" s="12"/>
      <c r="OZ45" s="12"/>
      <c r="PA45" s="12"/>
      <c r="PB45" s="12"/>
      <c r="PC45" s="12"/>
      <c r="PD45" s="12"/>
      <c r="PE45" s="12"/>
      <c r="PF45" s="12"/>
      <c r="PG45" s="12"/>
      <c r="PH45" s="12"/>
      <c r="PI45" s="12"/>
      <c r="PJ45" s="12"/>
      <c r="PK45" s="12"/>
      <c r="PL45" s="12"/>
      <c r="PM45" s="12"/>
      <c r="PN45" s="12"/>
      <c r="PO45" s="12"/>
      <c r="PP45" s="12"/>
      <c r="PQ45" s="12"/>
      <c r="PR45" s="12"/>
      <c r="PS45" s="12"/>
      <c r="PT45" s="12"/>
      <c r="PU45" s="12"/>
      <c r="PV45" s="12"/>
      <c r="PW45" s="12"/>
      <c r="PX45" s="12"/>
      <c r="PY45" s="12"/>
      <c r="PZ45" s="12"/>
      <c r="QA45" s="12"/>
      <c r="QB45" s="12"/>
      <c r="QC45" s="12"/>
      <c r="QD45" s="12"/>
      <c r="QE45" s="12"/>
      <c r="QF45" s="12"/>
      <c r="QG45" s="12"/>
      <c r="QH45" s="12"/>
      <c r="QI45" s="12"/>
      <c r="QJ45" s="12"/>
      <c r="QK45" s="12"/>
      <c r="QL45" s="12"/>
      <c r="QM45" s="12"/>
      <c r="QN45" s="12"/>
      <c r="QO45" s="12"/>
      <c r="QP45" s="12"/>
      <c r="QQ45" s="12"/>
      <c r="QR45" s="12"/>
      <c r="QS45" s="12"/>
      <c r="QT45" s="12"/>
      <c r="QU45" s="12"/>
      <c r="QV45" s="12"/>
      <c r="QW45" s="12"/>
      <c r="QX45" s="12"/>
      <c r="QY45" s="12"/>
      <c r="QZ45" s="12"/>
      <c r="RA45" s="12"/>
      <c r="RB45" s="12"/>
      <c r="RC45" s="12"/>
      <c r="RD45" s="12"/>
      <c r="RE45" s="12"/>
      <c r="RF45" s="12"/>
      <c r="RG45" s="12"/>
      <c r="RH45" s="12"/>
      <c r="RI45" s="12"/>
      <c r="RJ45" s="12"/>
      <c r="RK45" s="12"/>
      <c r="RL45" s="12"/>
      <c r="RM45" s="12"/>
      <c r="RN45" s="12"/>
      <c r="RO45" s="12"/>
      <c r="RP45" s="12"/>
      <c r="RQ45" s="12"/>
      <c r="RR45" s="12"/>
      <c r="RS45" s="12"/>
      <c r="RT45" s="12"/>
      <c r="RU45" s="12"/>
      <c r="RV45" s="12"/>
      <c r="RW45" s="12"/>
      <c r="RX45" s="12"/>
      <c r="RY45" s="12"/>
      <c r="RZ45" s="12"/>
      <c r="SA45" s="12"/>
      <c r="SB45" s="12"/>
      <c r="SC45" s="12"/>
      <c r="SD45" s="12"/>
      <c r="SE45" s="12"/>
      <c r="SF45" s="12"/>
      <c r="SG45" s="12"/>
      <c r="SH45" s="11"/>
      <c r="SI45" s="11"/>
      <c r="SJ45" s="11"/>
      <c r="SK45" s="11"/>
      <c r="SL45" s="11"/>
      <c r="SM45" s="11"/>
      <c r="SN45" s="11"/>
      <c r="SO45" s="11"/>
      <c r="SP45" s="11"/>
      <c r="SQ45" s="11"/>
      <c r="SR45" s="11"/>
      <c r="SS45" s="11"/>
      <c r="ST45" s="11"/>
      <c r="SU45" s="11"/>
      <c r="SV45" s="11"/>
      <c r="SW45" s="11"/>
      <c r="SX45" s="11"/>
      <c r="SY45" s="11"/>
      <c r="SZ45" s="11"/>
      <c r="TA45" s="11"/>
      <c r="TB45" s="11"/>
      <c r="TC45" s="11"/>
      <c r="TD45" s="11"/>
      <c r="TE45" s="11"/>
      <c r="TF45" s="11"/>
      <c r="TG45" s="11"/>
      <c r="TH45" s="11"/>
      <c r="TI45" s="11"/>
      <c r="TJ45" s="11"/>
      <c r="TK45" s="11"/>
      <c r="TL45" s="11"/>
    </row>
    <row r="46" spans="1:532" x14ac:dyDescent="0.2">
      <c r="A46" s="10" t="s">
        <v>45</v>
      </c>
      <c r="B46" s="12">
        <v>13.87</v>
      </c>
      <c r="C46" s="11">
        <v>0</v>
      </c>
      <c r="D46" s="11">
        <v>1.118681997221312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2"/>
      <c r="LU46" s="12"/>
      <c r="LV46" s="12"/>
      <c r="LW46" s="12"/>
      <c r="LX46" s="12"/>
      <c r="LY46" s="12"/>
      <c r="LZ46" s="12"/>
      <c r="MA46" s="12"/>
      <c r="MB46" s="12"/>
      <c r="MC46" s="12"/>
      <c r="MD46" s="12"/>
      <c r="ME46" s="12"/>
      <c r="MF46" s="12"/>
      <c r="MG46" s="12"/>
      <c r="MH46" s="12"/>
      <c r="MI46" s="12"/>
      <c r="MJ46" s="12"/>
      <c r="MK46" s="12"/>
      <c r="ML46" s="12"/>
      <c r="MM46" s="12"/>
      <c r="MN46" s="12"/>
      <c r="MO46" s="12"/>
      <c r="MP46" s="12"/>
      <c r="MQ46" s="12"/>
      <c r="MR46" s="12"/>
      <c r="MS46" s="12"/>
      <c r="MT46" s="12"/>
      <c r="MU46" s="12"/>
      <c r="MV46" s="12"/>
      <c r="MW46" s="12"/>
      <c r="MX46" s="12"/>
      <c r="MY46" s="12"/>
      <c r="MZ46" s="12"/>
      <c r="NA46" s="12"/>
      <c r="NB46" s="12"/>
      <c r="NC46" s="12"/>
      <c r="ND46" s="12"/>
      <c r="NE46" s="12"/>
      <c r="NF46" s="12"/>
      <c r="NG46" s="12"/>
      <c r="NH46" s="12"/>
      <c r="NI46" s="12"/>
      <c r="NJ46" s="12"/>
      <c r="NK46" s="12"/>
      <c r="NL46" s="12"/>
      <c r="NM46" s="12"/>
      <c r="NN46" s="12"/>
      <c r="NO46" s="12"/>
      <c r="NP46" s="12"/>
      <c r="NQ46" s="12"/>
      <c r="NR46" s="12"/>
      <c r="NS46" s="12"/>
      <c r="NT46" s="12"/>
      <c r="NU46" s="12"/>
      <c r="NV46" s="12"/>
      <c r="NW46" s="12"/>
      <c r="NX46" s="12"/>
      <c r="NY46" s="12"/>
      <c r="NZ46" s="12"/>
      <c r="OA46" s="12"/>
      <c r="OB46" s="12"/>
      <c r="OC46" s="12"/>
      <c r="OD46" s="12"/>
      <c r="OE46" s="12"/>
      <c r="OF46" s="12"/>
      <c r="OG46" s="12"/>
      <c r="OH46" s="12"/>
      <c r="OI46" s="12"/>
      <c r="OJ46" s="12"/>
      <c r="OK46" s="12"/>
      <c r="OL46" s="12"/>
      <c r="OM46" s="12"/>
      <c r="ON46" s="12"/>
      <c r="OO46" s="12"/>
      <c r="OP46" s="12"/>
      <c r="OQ46" s="12"/>
      <c r="OR46" s="12"/>
      <c r="OS46" s="12"/>
      <c r="OT46" s="12"/>
      <c r="OU46" s="12"/>
      <c r="OV46" s="12"/>
      <c r="OW46" s="12"/>
      <c r="OX46" s="12"/>
      <c r="OY46" s="12"/>
      <c r="OZ46" s="12"/>
      <c r="PA46" s="12"/>
      <c r="PB46" s="12"/>
      <c r="PC46" s="12"/>
      <c r="PD46" s="12"/>
      <c r="PE46" s="12"/>
      <c r="PF46" s="12"/>
      <c r="PG46" s="12"/>
      <c r="PH46" s="12"/>
      <c r="PI46" s="12"/>
      <c r="PJ46" s="12"/>
      <c r="PK46" s="12"/>
      <c r="PL46" s="12"/>
      <c r="PM46" s="12"/>
      <c r="PN46" s="12"/>
      <c r="PO46" s="12"/>
      <c r="PP46" s="12"/>
      <c r="PQ46" s="12"/>
      <c r="PR46" s="12"/>
      <c r="PS46" s="12"/>
      <c r="PT46" s="12"/>
      <c r="PU46" s="12"/>
      <c r="PV46" s="12"/>
      <c r="PW46" s="12"/>
      <c r="PX46" s="12"/>
      <c r="PY46" s="12"/>
      <c r="PZ46" s="12"/>
      <c r="QA46" s="12"/>
      <c r="QB46" s="12"/>
      <c r="QC46" s="12"/>
      <c r="QD46" s="12"/>
      <c r="QE46" s="12"/>
      <c r="QF46" s="12"/>
      <c r="QG46" s="12"/>
      <c r="QH46" s="12"/>
      <c r="QI46" s="12"/>
      <c r="QJ46" s="12"/>
      <c r="QK46" s="12"/>
      <c r="QL46" s="12"/>
      <c r="QM46" s="12"/>
      <c r="QN46" s="12"/>
      <c r="QO46" s="12"/>
      <c r="QP46" s="12"/>
      <c r="QQ46" s="12"/>
      <c r="QR46" s="12"/>
      <c r="QS46" s="12"/>
      <c r="QT46" s="12"/>
      <c r="QU46" s="12"/>
      <c r="QV46" s="12"/>
      <c r="QW46" s="12"/>
      <c r="QX46" s="12"/>
      <c r="QY46" s="12"/>
      <c r="QZ46" s="12"/>
      <c r="RA46" s="12"/>
      <c r="RB46" s="12"/>
      <c r="RC46" s="12"/>
      <c r="RD46" s="12"/>
      <c r="RE46" s="12"/>
      <c r="RF46" s="12"/>
      <c r="RG46" s="12"/>
      <c r="RH46" s="12"/>
      <c r="RI46" s="12"/>
      <c r="RJ46" s="12"/>
      <c r="RK46" s="12"/>
      <c r="RL46" s="12"/>
      <c r="RM46" s="12"/>
      <c r="RN46" s="12"/>
      <c r="RO46" s="12"/>
      <c r="RP46" s="12"/>
      <c r="RQ46" s="12"/>
      <c r="RR46" s="12"/>
      <c r="RS46" s="12"/>
      <c r="RT46" s="12"/>
      <c r="RU46" s="12"/>
      <c r="RV46" s="12"/>
      <c r="RW46" s="12"/>
      <c r="RX46" s="12"/>
      <c r="RY46" s="12"/>
      <c r="RZ46" s="12"/>
      <c r="SA46" s="12"/>
      <c r="SB46" s="12"/>
      <c r="SC46" s="12"/>
      <c r="SD46" s="12"/>
      <c r="SE46" s="12"/>
      <c r="SF46" s="12"/>
      <c r="SG46" s="12"/>
      <c r="SH46" s="11"/>
      <c r="SI46" s="11"/>
      <c r="SJ46" s="11"/>
      <c r="SK46" s="11"/>
      <c r="SL46" s="11"/>
      <c r="SM46" s="11"/>
      <c r="SN46" s="11"/>
      <c r="SO46" s="11"/>
      <c r="SP46" s="11"/>
      <c r="SQ46" s="11"/>
      <c r="SR46" s="11"/>
      <c r="SS46" s="11"/>
      <c r="ST46" s="11"/>
      <c r="SU46" s="11"/>
      <c r="SV46" s="11"/>
      <c r="SW46" s="11"/>
      <c r="SX46" s="11"/>
      <c r="SY46" s="11"/>
      <c r="SZ46" s="11"/>
      <c r="TA46" s="11"/>
      <c r="TB46" s="11"/>
      <c r="TC46" s="11"/>
      <c r="TD46" s="11"/>
      <c r="TE46" s="11"/>
      <c r="TF46" s="11"/>
      <c r="TG46" s="11"/>
      <c r="TH46" s="11"/>
      <c r="TI46" s="11"/>
      <c r="TJ46" s="11"/>
      <c r="TK46" s="11"/>
      <c r="TL46" s="11"/>
    </row>
    <row r="47" spans="1:532" x14ac:dyDescent="0.2">
      <c r="A47" s="10" t="s">
        <v>46</v>
      </c>
      <c r="B47" s="12">
        <v>14.03</v>
      </c>
      <c r="C47" s="11">
        <v>0</v>
      </c>
      <c r="D47" s="11">
        <v>0.96028454628732096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12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12"/>
      <c r="JX47" s="12"/>
      <c r="JY47" s="12"/>
      <c r="JZ47" s="12"/>
      <c r="KA47" s="12"/>
      <c r="KB47" s="12"/>
      <c r="KC47" s="12"/>
      <c r="KD47" s="12"/>
      <c r="KE47" s="12"/>
      <c r="KF47" s="12"/>
      <c r="KG47" s="12"/>
      <c r="KH47" s="12"/>
      <c r="KI47" s="12"/>
      <c r="KJ47" s="12"/>
      <c r="KK47" s="12"/>
      <c r="KL47" s="12"/>
      <c r="KM47" s="12"/>
      <c r="KN47" s="12"/>
      <c r="KO47" s="12"/>
      <c r="KP47" s="12"/>
      <c r="KQ47" s="12"/>
      <c r="KR47" s="12"/>
      <c r="KS47" s="12"/>
      <c r="KT47" s="12"/>
      <c r="KU47" s="12"/>
      <c r="KV47" s="12"/>
      <c r="KW47" s="12"/>
      <c r="KX47" s="12"/>
      <c r="KY47" s="12"/>
      <c r="KZ47" s="12"/>
      <c r="LA47" s="12"/>
      <c r="LB47" s="12"/>
      <c r="LC47" s="12"/>
      <c r="LD47" s="12"/>
      <c r="LE47" s="12"/>
      <c r="LF47" s="12"/>
      <c r="LG47" s="12"/>
      <c r="LH47" s="12"/>
      <c r="LI47" s="12"/>
      <c r="LJ47" s="12"/>
      <c r="LK47" s="12"/>
      <c r="LL47" s="12"/>
      <c r="LM47" s="12"/>
      <c r="LN47" s="12"/>
      <c r="LO47" s="12"/>
      <c r="LP47" s="12"/>
      <c r="LQ47" s="12"/>
      <c r="LR47" s="12"/>
      <c r="LS47" s="12"/>
      <c r="LT47" s="12"/>
      <c r="LU47" s="12"/>
      <c r="LV47" s="12"/>
      <c r="LW47" s="12"/>
      <c r="LX47" s="12"/>
      <c r="LY47" s="12"/>
      <c r="LZ47" s="12"/>
      <c r="MA47" s="12"/>
      <c r="MB47" s="12"/>
      <c r="MC47" s="12"/>
      <c r="MD47" s="12"/>
      <c r="ME47" s="12"/>
      <c r="MF47" s="12"/>
      <c r="MG47" s="12"/>
      <c r="MH47" s="12"/>
      <c r="MI47" s="12"/>
      <c r="MJ47" s="12"/>
      <c r="MK47" s="12"/>
      <c r="ML47" s="12"/>
      <c r="MM47" s="12"/>
      <c r="MN47" s="12"/>
      <c r="MO47" s="12"/>
      <c r="MP47" s="12"/>
      <c r="MQ47" s="12"/>
      <c r="MR47" s="12"/>
      <c r="MS47" s="12"/>
      <c r="MT47" s="12"/>
      <c r="MU47" s="12"/>
      <c r="MV47" s="12"/>
      <c r="MW47" s="12"/>
      <c r="MX47" s="12"/>
      <c r="MY47" s="12"/>
      <c r="MZ47" s="12"/>
      <c r="NA47" s="12"/>
      <c r="NB47" s="12"/>
      <c r="NC47" s="12"/>
      <c r="ND47" s="12"/>
      <c r="NE47" s="12"/>
      <c r="NF47" s="12"/>
      <c r="NG47" s="12"/>
      <c r="NH47" s="12"/>
      <c r="NI47" s="12"/>
      <c r="NJ47" s="12"/>
      <c r="NK47" s="12"/>
      <c r="NL47" s="12"/>
      <c r="NM47" s="12"/>
      <c r="NN47" s="12"/>
      <c r="NO47" s="12"/>
      <c r="NP47" s="12"/>
      <c r="NQ47" s="12"/>
      <c r="NR47" s="12"/>
      <c r="NS47" s="12"/>
      <c r="NT47" s="12"/>
      <c r="NU47" s="12"/>
      <c r="NV47" s="12"/>
      <c r="NW47" s="12"/>
      <c r="NX47" s="12"/>
      <c r="NY47" s="12"/>
      <c r="NZ47" s="12"/>
      <c r="OA47" s="12"/>
      <c r="OB47" s="12"/>
      <c r="OC47" s="12"/>
      <c r="OD47" s="12"/>
      <c r="OE47" s="12"/>
      <c r="OF47" s="12"/>
      <c r="OG47" s="12"/>
      <c r="OH47" s="12"/>
      <c r="OI47" s="12"/>
      <c r="OJ47" s="12"/>
      <c r="OK47" s="12"/>
      <c r="OL47" s="12"/>
      <c r="OM47" s="12"/>
      <c r="ON47" s="12"/>
      <c r="OO47" s="12"/>
      <c r="OP47" s="12"/>
      <c r="OQ47" s="12"/>
      <c r="OR47" s="12"/>
      <c r="OS47" s="12"/>
      <c r="OT47" s="12"/>
      <c r="OU47" s="12"/>
      <c r="OV47" s="12"/>
      <c r="OW47" s="12"/>
      <c r="OX47" s="12"/>
      <c r="OY47" s="12"/>
      <c r="OZ47" s="12"/>
      <c r="PA47" s="12"/>
      <c r="PB47" s="12"/>
      <c r="PC47" s="12"/>
      <c r="PD47" s="12"/>
      <c r="PE47" s="12"/>
      <c r="PF47" s="12"/>
      <c r="PG47" s="12"/>
      <c r="PH47" s="12"/>
      <c r="PI47" s="12"/>
      <c r="PJ47" s="12"/>
      <c r="PK47" s="12"/>
      <c r="PL47" s="12"/>
      <c r="PM47" s="12"/>
      <c r="PN47" s="12"/>
      <c r="PO47" s="12"/>
      <c r="PP47" s="12"/>
      <c r="PQ47" s="12"/>
      <c r="PR47" s="12"/>
      <c r="PS47" s="12"/>
      <c r="PT47" s="12"/>
      <c r="PU47" s="12"/>
      <c r="PV47" s="12"/>
      <c r="PW47" s="12"/>
      <c r="PX47" s="12"/>
      <c r="PY47" s="12"/>
      <c r="PZ47" s="12"/>
      <c r="QA47" s="12"/>
      <c r="QB47" s="12"/>
      <c r="QC47" s="12"/>
      <c r="QD47" s="12"/>
      <c r="QE47" s="12"/>
      <c r="QF47" s="12"/>
      <c r="QG47" s="12"/>
      <c r="QH47" s="12"/>
      <c r="QI47" s="12"/>
      <c r="QJ47" s="12"/>
      <c r="QK47" s="12"/>
      <c r="QL47" s="12"/>
      <c r="QM47" s="12"/>
      <c r="QN47" s="12"/>
      <c r="QO47" s="12"/>
      <c r="QP47" s="12"/>
      <c r="QQ47" s="12"/>
      <c r="QR47" s="12"/>
      <c r="QS47" s="12"/>
      <c r="QT47" s="12"/>
      <c r="QU47" s="12"/>
      <c r="QV47" s="12"/>
      <c r="QW47" s="12"/>
      <c r="QX47" s="12"/>
      <c r="QY47" s="12"/>
      <c r="QZ47" s="12"/>
      <c r="RA47" s="12"/>
      <c r="RB47" s="12"/>
      <c r="RC47" s="12"/>
      <c r="RD47" s="12"/>
      <c r="RE47" s="12"/>
      <c r="RF47" s="12"/>
      <c r="RG47" s="12"/>
      <c r="RH47" s="12"/>
      <c r="RI47" s="12"/>
      <c r="RJ47" s="12"/>
      <c r="RK47" s="12"/>
      <c r="RL47" s="12"/>
      <c r="RM47" s="12"/>
      <c r="RN47" s="12"/>
      <c r="RO47" s="12"/>
      <c r="RP47" s="12"/>
      <c r="RQ47" s="12"/>
      <c r="RR47" s="12"/>
      <c r="RS47" s="12"/>
      <c r="RT47" s="12"/>
      <c r="RU47" s="12"/>
      <c r="RV47" s="12"/>
      <c r="RW47" s="12"/>
      <c r="RX47" s="12"/>
      <c r="RY47" s="12"/>
      <c r="RZ47" s="12"/>
      <c r="SA47" s="12"/>
      <c r="SB47" s="12"/>
      <c r="SC47" s="12"/>
      <c r="SD47" s="12"/>
      <c r="SE47" s="12"/>
      <c r="SF47" s="12"/>
      <c r="SG47" s="12"/>
      <c r="SH47" s="11"/>
      <c r="SI47" s="11"/>
      <c r="SJ47" s="11"/>
      <c r="SK47" s="11"/>
      <c r="SL47" s="11"/>
      <c r="SM47" s="11"/>
      <c r="SN47" s="11"/>
      <c r="SO47" s="11"/>
      <c r="SP47" s="11"/>
      <c r="SQ47" s="11"/>
      <c r="SR47" s="11"/>
      <c r="SS47" s="11"/>
      <c r="ST47" s="11"/>
      <c r="SU47" s="11"/>
      <c r="SV47" s="11"/>
      <c r="SW47" s="11"/>
      <c r="SX47" s="11"/>
      <c r="SY47" s="11"/>
      <c r="SZ47" s="11"/>
      <c r="TA47" s="11"/>
      <c r="TB47" s="11"/>
      <c r="TC47" s="11"/>
      <c r="TD47" s="11"/>
      <c r="TE47" s="11"/>
      <c r="TF47" s="11"/>
      <c r="TG47" s="11"/>
      <c r="TH47" s="11"/>
      <c r="TI47" s="11"/>
      <c r="TJ47" s="11"/>
      <c r="TK47" s="11"/>
      <c r="TL47" s="11"/>
    </row>
    <row r="48" spans="1:532" x14ac:dyDescent="0.2">
      <c r="A48" s="10" t="s">
        <v>47</v>
      </c>
      <c r="B48" s="12">
        <v>15.09</v>
      </c>
      <c r="C48" s="11">
        <v>8.9098566150369984E-2</v>
      </c>
      <c r="D48" s="11">
        <v>0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12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12"/>
      <c r="JX48" s="12"/>
      <c r="JY48" s="12"/>
      <c r="JZ48" s="12"/>
      <c r="KA48" s="12"/>
      <c r="KB48" s="12"/>
      <c r="KC48" s="12"/>
      <c r="KD48" s="12"/>
      <c r="KE48" s="12"/>
      <c r="KF48" s="12"/>
      <c r="KG48" s="12"/>
      <c r="KH48" s="12"/>
      <c r="KI48" s="12"/>
      <c r="KJ48" s="12"/>
      <c r="KK48" s="12"/>
      <c r="KL48" s="12"/>
      <c r="KM48" s="12"/>
      <c r="KN48" s="12"/>
      <c r="KO48" s="12"/>
      <c r="KP48" s="12"/>
      <c r="KQ48" s="12"/>
      <c r="KR48" s="12"/>
      <c r="KS48" s="12"/>
      <c r="KT48" s="12"/>
      <c r="KU48" s="12"/>
      <c r="KV48" s="12"/>
      <c r="KW48" s="12"/>
      <c r="KX48" s="12"/>
      <c r="KY48" s="12"/>
      <c r="KZ48" s="12"/>
      <c r="LA48" s="12"/>
      <c r="LB48" s="12"/>
      <c r="LC48" s="12"/>
      <c r="LD48" s="12"/>
      <c r="LE48" s="12"/>
      <c r="LF48" s="12"/>
      <c r="LG48" s="12"/>
      <c r="LH48" s="12"/>
      <c r="LI48" s="12"/>
      <c r="LJ48" s="12"/>
      <c r="LK48" s="12"/>
      <c r="LL48" s="12"/>
      <c r="LM48" s="12"/>
      <c r="LN48" s="12"/>
      <c r="LO48" s="12"/>
      <c r="LP48" s="12"/>
      <c r="LQ48" s="12"/>
      <c r="LR48" s="12"/>
      <c r="LS48" s="12"/>
      <c r="LT48" s="12"/>
      <c r="LU48" s="12"/>
      <c r="LV48" s="12"/>
      <c r="LW48" s="12"/>
      <c r="LX48" s="12"/>
      <c r="LY48" s="12"/>
      <c r="LZ48" s="12"/>
      <c r="MA48" s="12"/>
      <c r="MB48" s="12"/>
      <c r="MC48" s="12"/>
      <c r="MD48" s="12"/>
      <c r="ME48" s="12"/>
      <c r="MF48" s="12"/>
      <c r="MG48" s="12"/>
      <c r="MH48" s="12"/>
      <c r="MI48" s="12"/>
      <c r="MJ48" s="12"/>
      <c r="MK48" s="12"/>
      <c r="ML48" s="12"/>
      <c r="MM48" s="12"/>
      <c r="MN48" s="12"/>
      <c r="MO48" s="12"/>
      <c r="MP48" s="12"/>
      <c r="MQ48" s="12"/>
      <c r="MR48" s="12"/>
      <c r="MS48" s="12"/>
      <c r="MT48" s="12"/>
      <c r="MU48" s="12"/>
      <c r="MV48" s="12"/>
      <c r="MW48" s="12"/>
      <c r="MX48" s="12"/>
      <c r="MY48" s="12"/>
      <c r="MZ48" s="12"/>
      <c r="NA48" s="12"/>
      <c r="NB48" s="12"/>
      <c r="NC48" s="12"/>
      <c r="ND48" s="12"/>
      <c r="NE48" s="12"/>
      <c r="NF48" s="12"/>
      <c r="NG48" s="12"/>
      <c r="NH48" s="12"/>
      <c r="NI48" s="12"/>
      <c r="NJ48" s="12"/>
      <c r="NK48" s="12"/>
      <c r="NL48" s="12"/>
      <c r="NM48" s="12"/>
      <c r="NN48" s="12"/>
      <c r="NO48" s="12"/>
      <c r="NP48" s="12"/>
      <c r="NQ48" s="12"/>
      <c r="NR48" s="12"/>
      <c r="NS48" s="12"/>
      <c r="NT48" s="12"/>
      <c r="NU48" s="12"/>
      <c r="NV48" s="12"/>
      <c r="NW48" s="12"/>
      <c r="NX48" s="12"/>
      <c r="NY48" s="12"/>
      <c r="NZ48" s="12"/>
      <c r="OA48" s="12"/>
      <c r="OB48" s="12"/>
      <c r="OC48" s="12"/>
      <c r="OD48" s="12"/>
      <c r="OE48" s="12"/>
      <c r="OF48" s="12"/>
      <c r="OG48" s="12"/>
      <c r="OH48" s="12"/>
      <c r="OI48" s="12"/>
      <c r="OJ48" s="12"/>
      <c r="OK48" s="12"/>
      <c r="OL48" s="12"/>
      <c r="OM48" s="12"/>
      <c r="ON48" s="12"/>
      <c r="OO48" s="12"/>
      <c r="OP48" s="12"/>
      <c r="OQ48" s="12"/>
      <c r="OR48" s="12"/>
      <c r="OS48" s="12"/>
      <c r="OT48" s="12"/>
      <c r="OU48" s="12"/>
      <c r="OV48" s="12"/>
      <c r="OW48" s="12"/>
      <c r="OX48" s="12"/>
      <c r="OY48" s="12"/>
      <c r="OZ48" s="12"/>
      <c r="PA48" s="12"/>
      <c r="PB48" s="12"/>
      <c r="PC48" s="12"/>
      <c r="PD48" s="12"/>
      <c r="PE48" s="12"/>
      <c r="PF48" s="12"/>
      <c r="PG48" s="12"/>
      <c r="PH48" s="12"/>
      <c r="PI48" s="12"/>
      <c r="PJ48" s="12"/>
      <c r="PK48" s="12"/>
      <c r="PL48" s="12"/>
      <c r="PM48" s="12"/>
      <c r="PN48" s="12"/>
      <c r="PO48" s="12"/>
      <c r="PP48" s="12"/>
      <c r="PQ48" s="12"/>
      <c r="PR48" s="12"/>
      <c r="PS48" s="12"/>
      <c r="PT48" s="12"/>
      <c r="PU48" s="12"/>
      <c r="PV48" s="12"/>
      <c r="PW48" s="12"/>
      <c r="PX48" s="12"/>
      <c r="PY48" s="12"/>
      <c r="PZ48" s="12"/>
      <c r="QA48" s="12"/>
      <c r="QB48" s="12"/>
      <c r="QC48" s="12"/>
      <c r="QD48" s="12"/>
      <c r="QE48" s="12"/>
      <c r="QF48" s="12"/>
      <c r="QG48" s="12"/>
      <c r="QH48" s="12"/>
      <c r="QI48" s="12"/>
      <c r="QJ48" s="12"/>
      <c r="QK48" s="12"/>
      <c r="QL48" s="12"/>
      <c r="QM48" s="12"/>
      <c r="QN48" s="12"/>
      <c r="QO48" s="12"/>
      <c r="QP48" s="12"/>
      <c r="QQ48" s="12"/>
      <c r="QR48" s="12"/>
      <c r="QS48" s="12"/>
      <c r="QT48" s="12"/>
      <c r="QU48" s="12"/>
      <c r="QV48" s="12"/>
      <c r="QW48" s="12"/>
      <c r="QX48" s="12"/>
      <c r="QY48" s="12"/>
      <c r="QZ48" s="12"/>
      <c r="RA48" s="12"/>
      <c r="RB48" s="12"/>
      <c r="RC48" s="12"/>
      <c r="RD48" s="12"/>
      <c r="RE48" s="12"/>
      <c r="RF48" s="12"/>
      <c r="RG48" s="12"/>
      <c r="RH48" s="12"/>
      <c r="RI48" s="12"/>
      <c r="RJ48" s="12"/>
      <c r="RK48" s="12"/>
      <c r="RL48" s="12"/>
      <c r="RM48" s="12"/>
      <c r="RN48" s="12"/>
      <c r="RO48" s="12"/>
      <c r="RP48" s="12"/>
      <c r="RQ48" s="12"/>
      <c r="RR48" s="12"/>
      <c r="RS48" s="12"/>
      <c r="RT48" s="12"/>
      <c r="RU48" s="12"/>
      <c r="RV48" s="12"/>
      <c r="RW48" s="12"/>
      <c r="RX48" s="12"/>
      <c r="RY48" s="12"/>
      <c r="RZ48" s="12"/>
      <c r="SA48" s="12"/>
      <c r="SB48" s="12"/>
      <c r="SC48" s="12"/>
      <c r="SD48" s="12"/>
      <c r="SE48" s="12"/>
      <c r="SF48" s="12"/>
      <c r="SG48" s="12"/>
      <c r="SH48" s="11"/>
      <c r="SI48" s="11"/>
      <c r="SJ48" s="11"/>
      <c r="SK48" s="11"/>
      <c r="SL48" s="11"/>
      <c r="SM48" s="11"/>
      <c r="SN48" s="11"/>
      <c r="SO48" s="11"/>
      <c r="SP48" s="11"/>
      <c r="SQ48" s="11"/>
      <c r="SR48" s="11"/>
      <c r="SS48" s="11"/>
      <c r="ST48" s="11"/>
      <c r="SU48" s="11"/>
      <c r="SV48" s="11"/>
      <c r="SW48" s="11"/>
      <c r="SX48" s="11"/>
      <c r="SY48" s="11"/>
      <c r="SZ48" s="11"/>
      <c r="TA48" s="11"/>
      <c r="TB48" s="11"/>
      <c r="TC48" s="11"/>
      <c r="TD48" s="11"/>
      <c r="TE48" s="11"/>
      <c r="TF48" s="11"/>
      <c r="TG48" s="11"/>
      <c r="TH48" s="11"/>
      <c r="TI48" s="11"/>
      <c r="TJ48" s="11"/>
      <c r="TK48" s="11"/>
      <c r="TL48" s="11"/>
    </row>
    <row r="49" spans="1:532" x14ac:dyDescent="0.2">
      <c r="A49" s="10" t="s">
        <v>48</v>
      </c>
      <c r="B49" s="12">
        <v>15.86</v>
      </c>
      <c r="C49" s="11">
        <v>0.85138629877020211</v>
      </c>
      <c r="D49" s="11">
        <v>0</v>
      </c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/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/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/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/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/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/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/>
      <c r="LL49" s="12"/>
      <c r="LM49" s="12"/>
      <c r="LN49" s="12"/>
      <c r="LO49" s="12"/>
      <c r="LP49" s="12"/>
      <c r="LQ49" s="12"/>
      <c r="LR49" s="12"/>
      <c r="LS49" s="12"/>
      <c r="LT49" s="12"/>
      <c r="LU49" s="12"/>
      <c r="LV49" s="12"/>
      <c r="LW49" s="12"/>
      <c r="LX49" s="12"/>
      <c r="LY49" s="12"/>
      <c r="LZ49" s="12"/>
      <c r="MA49" s="12"/>
      <c r="MB49" s="12"/>
      <c r="MC49" s="12"/>
      <c r="MD49" s="12"/>
      <c r="ME49" s="12"/>
      <c r="MF49" s="12"/>
      <c r="MG49" s="12"/>
      <c r="MH49" s="12"/>
      <c r="MI49" s="12"/>
      <c r="MJ49" s="12"/>
      <c r="MK49" s="12"/>
      <c r="ML49" s="12"/>
      <c r="MM49" s="12"/>
      <c r="MN49" s="12"/>
      <c r="MO49" s="12"/>
      <c r="MP49" s="12"/>
      <c r="MQ49" s="12"/>
      <c r="MR49" s="12"/>
      <c r="MS49" s="12"/>
      <c r="MT49" s="12"/>
      <c r="MU49" s="12"/>
      <c r="MV49" s="12"/>
      <c r="MW49" s="12"/>
      <c r="MX49" s="12"/>
      <c r="MY49" s="12"/>
      <c r="MZ49" s="12"/>
      <c r="NA49" s="12"/>
      <c r="NB49" s="12"/>
      <c r="NC49" s="12"/>
      <c r="ND49" s="12"/>
      <c r="NE49" s="12"/>
      <c r="NF49" s="12"/>
      <c r="NG49" s="12"/>
      <c r="NH49" s="12"/>
      <c r="NI49" s="12"/>
      <c r="NJ49" s="12"/>
      <c r="NK49" s="12"/>
      <c r="NL49" s="12"/>
      <c r="NM49" s="12"/>
      <c r="NN49" s="12"/>
      <c r="NO49" s="12"/>
      <c r="NP49" s="12"/>
      <c r="NQ49" s="12"/>
      <c r="NR49" s="12"/>
      <c r="NS49" s="12"/>
      <c r="NT49" s="12"/>
      <c r="NU49" s="12"/>
      <c r="NV49" s="12"/>
      <c r="NW49" s="12"/>
      <c r="NX49" s="12"/>
      <c r="NY49" s="12"/>
      <c r="NZ49" s="12"/>
      <c r="OA49" s="12"/>
      <c r="OB49" s="12"/>
      <c r="OC49" s="12"/>
      <c r="OD49" s="12"/>
      <c r="OE49" s="12"/>
      <c r="OF49" s="12"/>
      <c r="OG49" s="12"/>
      <c r="OH49" s="12"/>
      <c r="OI49" s="12"/>
      <c r="OJ49" s="12"/>
      <c r="OK49" s="12"/>
      <c r="OL49" s="12"/>
      <c r="OM49" s="12"/>
      <c r="ON49" s="12"/>
      <c r="OO49" s="12"/>
      <c r="OP49" s="12"/>
      <c r="OQ49" s="12"/>
      <c r="OR49" s="12"/>
      <c r="OS49" s="12"/>
      <c r="OT49" s="12"/>
      <c r="OU49" s="12"/>
      <c r="OV49" s="12"/>
      <c r="OW49" s="12"/>
      <c r="OX49" s="12"/>
      <c r="OY49" s="12"/>
      <c r="OZ49" s="12"/>
      <c r="PA49" s="12"/>
      <c r="PB49" s="12"/>
      <c r="PC49" s="12"/>
      <c r="PD49" s="12"/>
      <c r="PE49" s="12"/>
      <c r="PF49" s="12"/>
      <c r="PG49" s="12"/>
      <c r="PH49" s="12"/>
      <c r="PI49" s="12"/>
      <c r="PJ49" s="12"/>
      <c r="PK49" s="12"/>
      <c r="PL49" s="12"/>
      <c r="PM49" s="12"/>
      <c r="PN49" s="12"/>
      <c r="PO49" s="12"/>
      <c r="PP49" s="12"/>
      <c r="PQ49" s="12"/>
      <c r="PR49" s="12"/>
      <c r="PS49" s="12"/>
      <c r="PT49" s="12"/>
      <c r="PU49" s="12"/>
      <c r="PV49" s="12"/>
      <c r="PW49" s="12"/>
      <c r="PX49" s="12"/>
      <c r="PY49" s="12"/>
      <c r="PZ49" s="12"/>
      <c r="QA49" s="12"/>
      <c r="QB49" s="12"/>
      <c r="QC49" s="12"/>
      <c r="QD49" s="12"/>
      <c r="QE49" s="12"/>
      <c r="QF49" s="12"/>
      <c r="QG49" s="12"/>
      <c r="QH49" s="12"/>
      <c r="QI49" s="12"/>
      <c r="QJ49" s="12"/>
      <c r="QK49" s="12"/>
      <c r="QL49" s="12"/>
      <c r="QM49" s="12"/>
      <c r="QN49" s="12"/>
      <c r="QO49" s="12"/>
      <c r="QP49" s="12"/>
      <c r="QQ49" s="12"/>
      <c r="QR49" s="12"/>
      <c r="QS49" s="12"/>
      <c r="QT49" s="12"/>
      <c r="QU49" s="12"/>
      <c r="QV49" s="12"/>
      <c r="QW49" s="12"/>
      <c r="QX49" s="12"/>
      <c r="QY49" s="12"/>
      <c r="QZ49" s="12"/>
      <c r="RA49" s="12"/>
      <c r="RB49" s="12"/>
      <c r="RC49" s="12"/>
      <c r="RD49" s="12"/>
      <c r="RE49" s="12"/>
      <c r="RF49" s="12"/>
      <c r="RG49" s="12"/>
      <c r="RH49" s="12"/>
      <c r="RI49" s="12"/>
      <c r="RJ49" s="12"/>
      <c r="RK49" s="12"/>
      <c r="RL49" s="12"/>
      <c r="RM49" s="12"/>
      <c r="RN49" s="12"/>
      <c r="RO49" s="12"/>
      <c r="RP49" s="12"/>
      <c r="RQ49" s="12"/>
      <c r="RR49" s="12"/>
      <c r="RS49" s="12"/>
      <c r="RT49" s="12"/>
      <c r="RU49" s="12"/>
      <c r="RV49" s="12"/>
      <c r="RW49" s="12"/>
      <c r="RX49" s="12"/>
      <c r="RY49" s="12"/>
      <c r="RZ49" s="12"/>
      <c r="SA49" s="12"/>
      <c r="SB49" s="12"/>
      <c r="SC49" s="12"/>
      <c r="SD49" s="12"/>
      <c r="SE49" s="12"/>
      <c r="SF49" s="12"/>
      <c r="SG49" s="12"/>
      <c r="SH49" s="11"/>
      <c r="SI49" s="11"/>
      <c r="SJ49" s="11"/>
      <c r="SK49" s="11"/>
      <c r="SL49" s="11"/>
      <c r="SM49" s="11"/>
      <c r="SN49" s="11"/>
      <c r="SO49" s="11"/>
      <c r="SP49" s="11"/>
      <c r="SQ49" s="11"/>
      <c r="SR49" s="11"/>
      <c r="SS49" s="11"/>
      <c r="ST49" s="11"/>
      <c r="SU49" s="11"/>
      <c r="SV49" s="11"/>
      <c r="SW49" s="11"/>
      <c r="SX49" s="11"/>
      <c r="SY49" s="11"/>
      <c r="SZ49" s="11"/>
      <c r="TA49" s="11"/>
      <c r="TB49" s="11"/>
      <c r="TC49" s="11"/>
      <c r="TD49" s="11"/>
      <c r="TE49" s="11"/>
      <c r="TF49" s="11"/>
      <c r="TG49" s="11"/>
      <c r="TH49" s="11"/>
      <c r="TI49" s="11"/>
      <c r="TJ49" s="11"/>
      <c r="TK49" s="11"/>
      <c r="TL49" s="11"/>
    </row>
    <row r="50" spans="1:532" x14ac:dyDescent="0.2">
      <c r="A50" s="10" t="s">
        <v>49</v>
      </c>
      <c r="B50" s="12">
        <v>16.61</v>
      </c>
      <c r="C50" s="11">
        <v>1.5938743500232855</v>
      </c>
      <c r="D50" s="11">
        <v>0</v>
      </c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2"/>
      <c r="LU50" s="12"/>
      <c r="LV50" s="12"/>
      <c r="LW50" s="12"/>
      <c r="LX50" s="12"/>
      <c r="LY50" s="12"/>
      <c r="LZ50" s="12"/>
      <c r="MA50" s="12"/>
      <c r="MB50" s="12"/>
      <c r="MC50" s="12"/>
      <c r="MD50" s="12"/>
      <c r="ME50" s="12"/>
      <c r="MF50" s="12"/>
      <c r="MG50" s="12"/>
      <c r="MH50" s="12"/>
      <c r="MI50" s="12"/>
      <c r="MJ50" s="12"/>
      <c r="MK50" s="12"/>
      <c r="ML50" s="12"/>
      <c r="MM50" s="12"/>
      <c r="MN50" s="12"/>
      <c r="MO50" s="12"/>
      <c r="MP50" s="12"/>
      <c r="MQ50" s="12"/>
      <c r="MR50" s="12"/>
      <c r="MS50" s="12"/>
      <c r="MT50" s="12"/>
      <c r="MU50" s="12"/>
      <c r="MV50" s="12"/>
      <c r="MW50" s="12"/>
      <c r="MX50" s="12"/>
      <c r="MY50" s="12"/>
      <c r="MZ50" s="12"/>
      <c r="NA50" s="12"/>
      <c r="NB50" s="12"/>
      <c r="NC50" s="12"/>
      <c r="ND50" s="12"/>
      <c r="NE50" s="12"/>
      <c r="NF50" s="12"/>
      <c r="NG50" s="12"/>
      <c r="NH50" s="12"/>
      <c r="NI50" s="12"/>
      <c r="NJ50" s="12"/>
      <c r="NK50" s="12"/>
      <c r="NL50" s="12"/>
      <c r="NM50" s="12"/>
      <c r="NN50" s="12"/>
      <c r="NO50" s="12"/>
      <c r="NP50" s="12"/>
      <c r="NQ50" s="12"/>
      <c r="NR50" s="12"/>
      <c r="NS50" s="12"/>
      <c r="NT50" s="12"/>
      <c r="NU50" s="12"/>
      <c r="NV50" s="12"/>
      <c r="NW50" s="12"/>
      <c r="NX50" s="12"/>
      <c r="NY50" s="12"/>
      <c r="NZ50" s="12"/>
      <c r="OA50" s="12"/>
      <c r="OB50" s="12"/>
      <c r="OC50" s="12"/>
      <c r="OD50" s="12"/>
      <c r="OE50" s="12"/>
      <c r="OF50" s="12"/>
      <c r="OG50" s="12"/>
      <c r="OH50" s="12"/>
      <c r="OI50" s="12"/>
      <c r="OJ50" s="12"/>
      <c r="OK50" s="12"/>
      <c r="OL50" s="12"/>
      <c r="OM50" s="12"/>
      <c r="ON50" s="12"/>
      <c r="OO50" s="12"/>
      <c r="OP50" s="12"/>
      <c r="OQ50" s="12"/>
      <c r="OR50" s="12"/>
      <c r="OS50" s="12"/>
      <c r="OT50" s="12"/>
      <c r="OU50" s="12"/>
      <c r="OV50" s="12"/>
      <c r="OW50" s="12"/>
      <c r="OX50" s="12"/>
      <c r="OY50" s="12"/>
      <c r="OZ50" s="12"/>
      <c r="PA50" s="12"/>
      <c r="PB50" s="12"/>
      <c r="PC50" s="12"/>
      <c r="PD50" s="12"/>
      <c r="PE50" s="12"/>
      <c r="PF50" s="12"/>
      <c r="PG50" s="12"/>
      <c r="PH50" s="12"/>
      <c r="PI50" s="12"/>
      <c r="PJ50" s="12"/>
      <c r="PK50" s="12"/>
      <c r="PL50" s="12"/>
      <c r="PM50" s="12"/>
      <c r="PN50" s="12"/>
      <c r="PO50" s="12"/>
      <c r="PP50" s="12"/>
      <c r="PQ50" s="12"/>
      <c r="PR50" s="12"/>
      <c r="PS50" s="12"/>
      <c r="PT50" s="12"/>
      <c r="PU50" s="12"/>
      <c r="PV50" s="12"/>
      <c r="PW50" s="12"/>
      <c r="PX50" s="12"/>
      <c r="PY50" s="12"/>
      <c r="PZ50" s="12"/>
      <c r="QA50" s="12"/>
      <c r="QB50" s="12"/>
      <c r="QC50" s="12"/>
      <c r="QD50" s="12"/>
      <c r="QE50" s="12"/>
      <c r="QF50" s="12"/>
      <c r="QG50" s="12"/>
      <c r="QH50" s="12"/>
      <c r="QI50" s="12"/>
      <c r="QJ50" s="12"/>
      <c r="QK50" s="12"/>
      <c r="QL50" s="12"/>
      <c r="QM50" s="12"/>
      <c r="QN50" s="12"/>
      <c r="QO50" s="12"/>
      <c r="QP50" s="12"/>
      <c r="QQ50" s="12"/>
      <c r="QR50" s="12"/>
      <c r="QS50" s="12"/>
      <c r="QT50" s="12"/>
      <c r="QU50" s="12"/>
      <c r="QV50" s="12"/>
      <c r="QW50" s="12"/>
      <c r="QX50" s="12"/>
      <c r="QY50" s="12"/>
      <c r="QZ50" s="12"/>
      <c r="RA50" s="12"/>
      <c r="RB50" s="12"/>
      <c r="RC50" s="12"/>
      <c r="RD50" s="12"/>
      <c r="RE50" s="12"/>
      <c r="RF50" s="12"/>
      <c r="RG50" s="12"/>
      <c r="RH50" s="12"/>
      <c r="RI50" s="12"/>
      <c r="RJ50" s="12"/>
      <c r="RK50" s="12"/>
      <c r="RL50" s="12"/>
      <c r="RM50" s="12"/>
      <c r="RN50" s="12"/>
      <c r="RO50" s="12"/>
      <c r="RP50" s="12"/>
      <c r="RQ50" s="12"/>
      <c r="RR50" s="12"/>
      <c r="RS50" s="12"/>
      <c r="RT50" s="12"/>
      <c r="RU50" s="12"/>
      <c r="RV50" s="12"/>
      <c r="RW50" s="12"/>
      <c r="RX50" s="12"/>
      <c r="RY50" s="12"/>
      <c r="RZ50" s="12"/>
      <c r="SA50" s="12"/>
      <c r="SB50" s="12"/>
      <c r="SC50" s="12"/>
      <c r="SD50" s="12"/>
      <c r="SE50" s="12"/>
      <c r="SF50" s="12"/>
      <c r="SG50" s="12"/>
      <c r="SH50" s="11"/>
      <c r="SI50" s="11"/>
      <c r="SJ50" s="11"/>
      <c r="SK50" s="11"/>
      <c r="SL50" s="11"/>
      <c r="SM50" s="11"/>
      <c r="SN50" s="11"/>
      <c r="SO50" s="11"/>
      <c r="SP50" s="11"/>
      <c r="SQ50" s="11"/>
      <c r="SR50" s="11"/>
      <c r="SS50" s="11"/>
      <c r="ST50" s="11"/>
      <c r="SU50" s="11"/>
      <c r="SV50" s="11"/>
      <c r="SW50" s="11"/>
      <c r="SX50" s="11"/>
      <c r="SY50" s="11"/>
      <c r="SZ50" s="11"/>
      <c r="TA50" s="11"/>
      <c r="TB50" s="11"/>
      <c r="TC50" s="11"/>
      <c r="TD50" s="11"/>
      <c r="TE50" s="11"/>
      <c r="TF50" s="11"/>
      <c r="TG50" s="11"/>
      <c r="TH50" s="11"/>
      <c r="TI50" s="11"/>
      <c r="TJ50" s="11"/>
      <c r="TK50" s="11"/>
      <c r="TL50" s="11"/>
    </row>
    <row r="51" spans="1:532" x14ac:dyDescent="0.2">
      <c r="A51" s="10" t="s">
        <v>50</v>
      </c>
      <c r="B51" s="12">
        <v>14.34</v>
      </c>
      <c r="C51" s="11">
        <v>0</v>
      </c>
      <c r="D51" s="11">
        <v>0.65338948510271333</v>
      </c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2"/>
      <c r="LU51" s="12"/>
      <c r="LV51" s="12"/>
      <c r="LW51" s="12"/>
      <c r="LX51" s="12"/>
      <c r="LY51" s="12"/>
      <c r="LZ51" s="12"/>
      <c r="MA51" s="12"/>
      <c r="MB51" s="12"/>
      <c r="MC51" s="12"/>
      <c r="MD51" s="12"/>
      <c r="ME51" s="12"/>
      <c r="MF51" s="12"/>
      <c r="MG51" s="12"/>
      <c r="MH51" s="12"/>
      <c r="MI51" s="12"/>
      <c r="MJ51" s="12"/>
      <c r="MK51" s="12"/>
      <c r="ML51" s="12"/>
      <c r="MM51" s="12"/>
      <c r="MN51" s="12"/>
      <c r="MO51" s="12"/>
      <c r="MP51" s="12"/>
      <c r="MQ51" s="12"/>
      <c r="MR51" s="12"/>
      <c r="MS51" s="12"/>
      <c r="MT51" s="12"/>
      <c r="MU51" s="12"/>
      <c r="MV51" s="12"/>
      <c r="MW51" s="12"/>
      <c r="MX51" s="12"/>
      <c r="MY51" s="12"/>
      <c r="MZ51" s="12"/>
      <c r="NA51" s="12"/>
      <c r="NB51" s="12"/>
      <c r="NC51" s="12"/>
      <c r="ND51" s="12"/>
      <c r="NE51" s="12"/>
      <c r="NF51" s="12"/>
      <c r="NG51" s="12"/>
      <c r="NH51" s="12"/>
      <c r="NI51" s="12"/>
      <c r="NJ51" s="12"/>
      <c r="NK51" s="12"/>
      <c r="NL51" s="12"/>
      <c r="NM51" s="12"/>
      <c r="NN51" s="12"/>
      <c r="NO51" s="12"/>
      <c r="NP51" s="12"/>
      <c r="NQ51" s="12"/>
      <c r="NR51" s="12"/>
      <c r="NS51" s="12"/>
      <c r="NT51" s="12"/>
      <c r="NU51" s="12"/>
      <c r="NV51" s="12"/>
      <c r="NW51" s="12"/>
      <c r="NX51" s="12"/>
      <c r="NY51" s="12"/>
      <c r="NZ51" s="12"/>
      <c r="OA51" s="12"/>
      <c r="OB51" s="12"/>
      <c r="OC51" s="12"/>
      <c r="OD51" s="12"/>
      <c r="OE51" s="12"/>
      <c r="OF51" s="12"/>
      <c r="OG51" s="12"/>
      <c r="OH51" s="12"/>
      <c r="OI51" s="12"/>
      <c r="OJ51" s="12"/>
      <c r="OK51" s="12"/>
      <c r="OL51" s="12"/>
      <c r="OM51" s="12"/>
      <c r="ON51" s="12"/>
      <c r="OO51" s="12"/>
      <c r="OP51" s="12"/>
      <c r="OQ51" s="12"/>
      <c r="OR51" s="12"/>
      <c r="OS51" s="12"/>
      <c r="OT51" s="12"/>
      <c r="OU51" s="12"/>
      <c r="OV51" s="12"/>
      <c r="OW51" s="12"/>
      <c r="OX51" s="12"/>
      <c r="OY51" s="12"/>
      <c r="OZ51" s="12"/>
      <c r="PA51" s="12"/>
      <c r="PB51" s="12"/>
      <c r="PC51" s="12"/>
      <c r="PD51" s="12"/>
      <c r="PE51" s="12"/>
      <c r="PF51" s="12"/>
      <c r="PG51" s="12"/>
      <c r="PH51" s="12"/>
      <c r="PI51" s="12"/>
      <c r="PJ51" s="12"/>
      <c r="PK51" s="12"/>
      <c r="PL51" s="12"/>
      <c r="PM51" s="12"/>
      <c r="PN51" s="12"/>
      <c r="PO51" s="12"/>
      <c r="PP51" s="12"/>
      <c r="PQ51" s="12"/>
      <c r="PR51" s="12"/>
      <c r="PS51" s="12"/>
      <c r="PT51" s="12"/>
      <c r="PU51" s="12"/>
      <c r="PV51" s="12"/>
      <c r="PW51" s="12"/>
      <c r="PX51" s="12"/>
      <c r="PY51" s="12"/>
      <c r="PZ51" s="12"/>
      <c r="QA51" s="12"/>
      <c r="QB51" s="12"/>
      <c r="QC51" s="12"/>
      <c r="QD51" s="12"/>
      <c r="QE51" s="12"/>
      <c r="QF51" s="12"/>
      <c r="QG51" s="12"/>
      <c r="QH51" s="12"/>
      <c r="QI51" s="12"/>
      <c r="QJ51" s="12"/>
      <c r="QK51" s="12"/>
      <c r="QL51" s="12"/>
      <c r="QM51" s="12"/>
      <c r="QN51" s="12"/>
      <c r="QO51" s="12"/>
      <c r="QP51" s="12"/>
      <c r="QQ51" s="12"/>
      <c r="QR51" s="12"/>
      <c r="QS51" s="12"/>
      <c r="QT51" s="12"/>
      <c r="QU51" s="12"/>
      <c r="QV51" s="12"/>
      <c r="QW51" s="12"/>
      <c r="QX51" s="12"/>
      <c r="QY51" s="12"/>
      <c r="QZ51" s="12"/>
      <c r="RA51" s="12"/>
      <c r="RB51" s="12"/>
      <c r="RC51" s="12"/>
      <c r="RD51" s="12"/>
      <c r="RE51" s="12"/>
      <c r="RF51" s="12"/>
      <c r="RG51" s="12"/>
      <c r="RH51" s="12"/>
      <c r="RI51" s="12"/>
      <c r="RJ51" s="12"/>
      <c r="RK51" s="12"/>
      <c r="RL51" s="12"/>
      <c r="RM51" s="12"/>
      <c r="RN51" s="12"/>
      <c r="RO51" s="12"/>
      <c r="RP51" s="12"/>
      <c r="RQ51" s="12"/>
      <c r="RR51" s="12"/>
      <c r="RS51" s="12"/>
      <c r="RT51" s="12"/>
      <c r="RU51" s="12"/>
      <c r="RV51" s="12"/>
      <c r="RW51" s="12"/>
      <c r="RX51" s="12"/>
      <c r="RY51" s="12"/>
      <c r="RZ51" s="12"/>
      <c r="SA51" s="12"/>
      <c r="SB51" s="12"/>
      <c r="SC51" s="12"/>
      <c r="SD51" s="12"/>
      <c r="SE51" s="12"/>
      <c r="SF51" s="12"/>
      <c r="SG51" s="12"/>
      <c r="SH51" s="11"/>
      <c r="SI51" s="11"/>
      <c r="SJ51" s="11"/>
      <c r="SK51" s="11"/>
      <c r="SL51" s="11"/>
      <c r="SM51" s="11"/>
      <c r="SN51" s="11"/>
      <c r="SO51" s="11"/>
      <c r="SP51" s="11"/>
      <c r="SQ51" s="11"/>
      <c r="SR51" s="11"/>
      <c r="SS51" s="11"/>
      <c r="ST51" s="11"/>
      <c r="SU51" s="11"/>
      <c r="SV51" s="11"/>
      <c r="SW51" s="11"/>
      <c r="SX51" s="11"/>
      <c r="SY51" s="11"/>
      <c r="SZ51" s="11"/>
      <c r="TA51" s="11"/>
      <c r="TB51" s="11"/>
      <c r="TC51" s="11"/>
      <c r="TD51" s="11"/>
      <c r="TE51" s="11"/>
      <c r="TF51" s="11"/>
      <c r="TG51" s="11"/>
      <c r="TH51" s="11"/>
      <c r="TI51" s="11"/>
      <c r="TJ51" s="11"/>
      <c r="TK51" s="11"/>
      <c r="TL51" s="11"/>
    </row>
    <row r="52" spans="1:532" x14ac:dyDescent="0.2">
      <c r="A52" s="10" t="s">
        <v>51</v>
      </c>
      <c r="B52" s="12">
        <v>12.7</v>
      </c>
      <c r="C52" s="11">
        <v>0</v>
      </c>
      <c r="D52" s="11">
        <v>2.2769633571761219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2"/>
      <c r="LU52" s="12"/>
      <c r="LV52" s="12"/>
      <c r="LW52" s="12"/>
      <c r="LX52" s="12"/>
      <c r="LY52" s="12"/>
      <c r="LZ52" s="12"/>
      <c r="MA52" s="12"/>
      <c r="MB52" s="12"/>
      <c r="MC52" s="12"/>
      <c r="MD52" s="12"/>
      <c r="ME52" s="12"/>
      <c r="MF52" s="12"/>
      <c r="MG52" s="12"/>
      <c r="MH52" s="12"/>
      <c r="MI52" s="12"/>
      <c r="MJ52" s="12"/>
      <c r="MK52" s="12"/>
      <c r="ML52" s="12"/>
      <c r="MM52" s="12"/>
      <c r="MN52" s="12"/>
      <c r="MO52" s="12"/>
      <c r="MP52" s="12"/>
      <c r="MQ52" s="12"/>
      <c r="MR52" s="12"/>
      <c r="MS52" s="12"/>
      <c r="MT52" s="12"/>
      <c r="MU52" s="12"/>
      <c r="MV52" s="12"/>
      <c r="MW52" s="12"/>
      <c r="MX52" s="12"/>
      <c r="MY52" s="12"/>
      <c r="MZ52" s="12"/>
      <c r="NA52" s="12"/>
      <c r="NB52" s="12"/>
      <c r="NC52" s="12"/>
      <c r="ND52" s="12"/>
      <c r="NE52" s="12"/>
      <c r="NF52" s="12"/>
      <c r="NG52" s="12"/>
      <c r="NH52" s="12"/>
      <c r="NI52" s="12"/>
      <c r="NJ52" s="12"/>
      <c r="NK52" s="12"/>
      <c r="NL52" s="12"/>
      <c r="NM52" s="12"/>
      <c r="NN52" s="12"/>
      <c r="NO52" s="12"/>
      <c r="NP52" s="12"/>
      <c r="NQ52" s="12"/>
      <c r="NR52" s="12"/>
      <c r="NS52" s="12"/>
      <c r="NT52" s="12"/>
      <c r="NU52" s="12"/>
      <c r="NV52" s="12"/>
      <c r="NW52" s="12"/>
      <c r="NX52" s="12"/>
      <c r="NY52" s="12"/>
      <c r="NZ52" s="12"/>
      <c r="OA52" s="12"/>
      <c r="OB52" s="12"/>
      <c r="OC52" s="12"/>
      <c r="OD52" s="12"/>
      <c r="OE52" s="12"/>
      <c r="OF52" s="12"/>
      <c r="OG52" s="12"/>
      <c r="OH52" s="12"/>
      <c r="OI52" s="12"/>
      <c r="OJ52" s="12"/>
      <c r="OK52" s="12"/>
      <c r="OL52" s="12"/>
      <c r="OM52" s="12"/>
      <c r="ON52" s="12"/>
      <c r="OO52" s="12"/>
      <c r="OP52" s="12"/>
      <c r="OQ52" s="12"/>
      <c r="OR52" s="12"/>
      <c r="OS52" s="12"/>
      <c r="OT52" s="12"/>
      <c r="OU52" s="12"/>
      <c r="OV52" s="12"/>
      <c r="OW52" s="12"/>
      <c r="OX52" s="12"/>
      <c r="OY52" s="12"/>
      <c r="OZ52" s="12"/>
      <c r="PA52" s="12"/>
      <c r="PB52" s="12"/>
      <c r="PC52" s="12"/>
      <c r="PD52" s="12"/>
      <c r="PE52" s="12"/>
      <c r="PF52" s="12"/>
      <c r="PG52" s="12"/>
      <c r="PH52" s="12"/>
      <c r="PI52" s="12"/>
      <c r="PJ52" s="12"/>
      <c r="PK52" s="12"/>
      <c r="PL52" s="12"/>
      <c r="PM52" s="12"/>
      <c r="PN52" s="12"/>
      <c r="PO52" s="12"/>
      <c r="PP52" s="12"/>
      <c r="PQ52" s="12"/>
      <c r="PR52" s="12"/>
      <c r="PS52" s="12"/>
      <c r="PT52" s="12"/>
      <c r="PU52" s="12"/>
      <c r="PV52" s="12"/>
      <c r="PW52" s="12"/>
      <c r="PX52" s="12"/>
      <c r="PY52" s="12"/>
      <c r="PZ52" s="12"/>
      <c r="QA52" s="12"/>
      <c r="QB52" s="12"/>
      <c r="QC52" s="12"/>
      <c r="QD52" s="12"/>
      <c r="QE52" s="12"/>
      <c r="QF52" s="12"/>
      <c r="QG52" s="12"/>
      <c r="QH52" s="12"/>
      <c r="QI52" s="12"/>
      <c r="QJ52" s="12"/>
      <c r="QK52" s="12"/>
      <c r="QL52" s="12"/>
      <c r="QM52" s="12"/>
      <c r="QN52" s="12"/>
      <c r="QO52" s="12"/>
      <c r="QP52" s="12"/>
      <c r="QQ52" s="12"/>
      <c r="QR52" s="12"/>
      <c r="QS52" s="12"/>
      <c r="QT52" s="12"/>
      <c r="QU52" s="12"/>
      <c r="QV52" s="12"/>
      <c r="QW52" s="12"/>
      <c r="QX52" s="12"/>
      <c r="QY52" s="12"/>
      <c r="QZ52" s="12"/>
      <c r="RA52" s="12"/>
      <c r="RB52" s="12"/>
      <c r="RC52" s="12"/>
      <c r="RD52" s="12"/>
      <c r="RE52" s="12"/>
      <c r="RF52" s="12"/>
      <c r="RG52" s="12"/>
      <c r="RH52" s="12"/>
      <c r="RI52" s="12"/>
      <c r="RJ52" s="12"/>
      <c r="RK52" s="12"/>
      <c r="RL52" s="12"/>
      <c r="RM52" s="12"/>
      <c r="RN52" s="12"/>
      <c r="RO52" s="12"/>
      <c r="RP52" s="12"/>
      <c r="RQ52" s="12"/>
      <c r="RR52" s="12"/>
      <c r="RS52" s="12"/>
      <c r="RT52" s="12"/>
      <c r="RU52" s="12"/>
      <c r="RV52" s="12"/>
      <c r="RW52" s="12"/>
      <c r="RX52" s="12"/>
      <c r="RY52" s="12"/>
      <c r="RZ52" s="12"/>
      <c r="SA52" s="12"/>
      <c r="SB52" s="12"/>
      <c r="SC52" s="12"/>
      <c r="SD52" s="12"/>
      <c r="SE52" s="12"/>
      <c r="SF52" s="12"/>
      <c r="SG52" s="12"/>
      <c r="SH52" s="11"/>
      <c r="SI52" s="11"/>
      <c r="SJ52" s="11"/>
      <c r="SK52" s="11"/>
      <c r="SL52" s="11"/>
      <c r="SM52" s="11"/>
      <c r="SN52" s="11"/>
      <c r="SO52" s="11"/>
      <c r="SP52" s="11"/>
      <c r="SQ52" s="11"/>
      <c r="SR52" s="11"/>
      <c r="SS52" s="11"/>
      <c r="ST52" s="11"/>
      <c r="SU52" s="11"/>
      <c r="SV52" s="11"/>
      <c r="SW52" s="11"/>
      <c r="SX52" s="11"/>
      <c r="SY52" s="11"/>
      <c r="SZ52" s="11"/>
      <c r="TA52" s="11"/>
      <c r="TB52" s="11"/>
      <c r="TC52" s="11"/>
      <c r="TD52" s="11"/>
      <c r="TE52" s="11"/>
      <c r="TF52" s="11"/>
      <c r="TG52" s="11"/>
      <c r="TH52" s="11"/>
      <c r="TI52" s="11"/>
      <c r="TJ52" s="11"/>
      <c r="TK52" s="11"/>
      <c r="TL52" s="11"/>
    </row>
    <row r="53" spans="1:532" x14ac:dyDescent="0.2">
      <c r="A53" s="10" t="s">
        <v>52</v>
      </c>
      <c r="B53" s="12">
        <v>13.39</v>
      </c>
      <c r="C53" s="11">
        <v>0</v>
      </c>
      <c r="D53" s="11">
        <v>1.5938743500232855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/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/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/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/>
      <c r="LR53" s="12"/>
      <c r="LS53" s="12"/>
      <c r="LT53" s="12"/>
      <c r="LU53" s="12"/>
      <c r="LV53" s="12"/>
      <c r="LW53" s="12"/>
      <c r="LX53" s="12"/>
      <c r="LY53" s="12"/>
      <c r="LZ53" s="12"/>
      <c r="MA53" s="12"/>
      <c r="MB53" s="12"/>
      <c r="MC53" s="12"/>
      <c r="MD53" s="12"/>
      <c r="ME53" s="12"/>
      <c r="MF53" s="12"/>
      <c r="MG53" s="12"/>
      <c r="MH53" s="12"/>
      <c r="MI53" s="12"/>
      <c r="MJ53" s="12"/>
      <c r="MK53" s="12"/>
      <c r="ML53" s="12"/>
      <c r="MM53" s="12"/>
      <c r="MN53" s="12"/>
      <c r="MO53" s="12"/>
      <c r="MP53" s="12"/>
      <c r="MQ53" s="12"/>
      <c r="MR53" s="12"/>
      <c r="MS53" s="12"/>
      <c r="MT53" s="12"/>
      <c r="MU53" s="12"/>
      <c r="MV53" s="12"/>
      <c r="MW53" s="12"/>
      <c r="MX53" s="12"/>
      <c r="MY53" s="12"/>
      <c r="MZ53" s="12"/>
      <c r="NA53" s="12"/>
      <c r="NB53" s="12"/>
      <c r="NC53" s="12"/>
      <c r="ND53" s="12"/>
      <c r="NE53" s="12"/>
      <c r="NF53" s="12"/>
      <c r="NG53" s="12"/>
      <c r="NH53" s="12"/>
      <c r="NI53" s="12"/>
      <c r="NJ53" s="12"/>
      <c r="NK53" s="12"/>
      <c r="NL53" s="12"/>
      <c r="NM53" s="12"/>
      <c r="NN53" s="12"/>
      <c r="NO53" s="12"/>
      <c r="NP53" s="12"/>
      <c r="NQ53" s="12"/>
      <c r="NR53" s="12"/>
      <c r="NS53" s="12"/>
      <c r="NT53" s="12"/>
      <c r="NU53" s="12"/>
      <c r="NV53" s="12"/>
      <c r="NW53" s="12"/>
      <c r="NX53" s="12"/>
      <c r="NY53" s="12"/>
      <c r="NZ53" s="12"/>
      <c r="OA53" s="12"/>
      <c r="OB53" s="12"/>
      <c r="OC53" s="12"/>
      <c r="OD53" s="12"/>
      <c r="OE53" s="12"/>
      <c r="OF53" s="12"/>
      <c r="OG53" s="12"/>
      <c r="OH53" s="12"/>
      <c r="OI53" s="12"/>
      <c r="OJ53" s="12"/>
      <c r="OK53" s="12"/>
      <c r="OL53" s="12"/>
      <c r="OM53" s="12"/>
      <c r="ON53" s="12"/>
      <c r="OO53" s="12"/>
      <c r="OP53" s="12"/>
      <c r="OQ53" s="12"/>
      <c r="OR53" s="12"/>
      <c r="OS53" s="12"/>
      <c r="OT53" s="12"/>
      <c r="OU53" s="12"/>
      <c r="OV53" s="12"/>
      <c r="OW53" s="12"/>
      <c r="OX53" s="12"/>
      <c r="OY53" s="12"/>
      <c r="OZ53" s="12"/>
      <c r="PA53" s="12"/>
      <c r="PB53" s="12"/>
      <c r="PC53" s="12"/>
      <c r="PD53" s="12"/>
      <c r="PE53" s="12"/>
      <c r="PF53" s="12"/>
      <c r="PG53" s="12"/>
      <c r="PH53" s="12"/>
      <c r="PI53" s="12"/>
      <c r="PJ53" s="12"/>
      <c r="PK53" s="12"/>
      <c r="PL53" s="12"/>
      <c r="PM53" s="12"/>
      <c r="PN53" s="12"/>
      <c r="PO53" s="12"/>
      <c r="PP53" s="12"/>
      <c r="PQ53" s="12"/>
      <c r="PR53" s="12"/>
      <c r="PS53" s="12"/>
      <c r="PT53" s="12"/>
      <c r="PU53" s="12"/>
      <c r="PV53" s="12"/>
      <c r="PW53" s="12"/>
      <c r="PX53" s="12"/>
      <c r="PY53" s="12"/>
      <c r="PZ53" s="12"/>
      <c r="QA53" s="12"/>
      <c r="QB53" s="12"/>
      <c r="QC53" s="12"/>
      <c r="QD53" s="12"/>
      <c r="QE53" s="12"/>
      <c r="QF53" s="12"/>
      <c r="QG53" s="12"/>
      <c r="QH53" s="12"/>
      <c r="QI53" s="12"/>
      <c r="QJ53" s="12"/>
      <c r="QK53" s="12"/>
      <c r="QL53" s="12"/>
      <c r="QM53" s="12"/>
      <c r="QN53" s="12"/>
      <c r="QO53" s="12"/>
      <c r="QP53" s="12"/>
      <c r="QQ53" s="12"/>
      <c r="QR53" s="12"/>
      <c r="QS53" s="12"/>
      <c r="QT53" s="12"/>
      <c r="QU53" s="12"/>
      <c r="QV53" s="12"/>
      <c r="QW53" s="12"/>
      <c r="QX53" s="12"/>
      <c r="QY53" s="12"/>
      <c r="QZ53" s="12"/>
      <c r="RA53" s="12"/>
      <c r="RB53" s="12"/>
      <c r="RC53" s="12"/>
      <c r="RD53" s="12"/>
      <c r="RE53" s="12"/>
      <c r="RF53" s="12"/>
      <c r="RG53" s="12"/>
      <c r="RH53" s="12"/>
      <c r="RI53" s="12"/>
      <c r="RJ53" s="12"/>
      <c r="RK53" s="12"/>
      <c r="RL53" s="12"/>
      <c r="RM53" s="12"/>
      <c r="RN53" s="12"/>
      <c r="RO53" s="12"/>
      <c r="RP53" s="12"/>
      <c r="RQ53" s="12"/>
      <c r="RR53" s="12"/>
      <c r="RS53" s="12"/>
      <c r="RT53" s="12"/>
      <c r="RU53" s="12"/>
      <c r="RV53" s="12"/>
      <c r="RW53" s="12"/>
      <c r="RX53" s="12"/>
      <c r="RY53" s="12"/>
      <c r="RZ53" s="12"/>
      <c r="SA53" s="12"/>
      <c r="SB53" s="12"/>
      <c r="SC53" s="12"/>
      <c r="SD53" s="12"/>
      <c r="SE53" s="12"/>
      <c r="SF53" s="12"/>
      <c r="SG53" s="12"/>
      <c r="SH53" s="11"/>
      <c r="SI53" s="11"/>
      <c r="SJ53" s="11"/>
      <c r="SK53" s="11"/>
      <c r="SL53" s="11"/>
      <c r="SM53" s="11"/>
      <c r="SN53" s="11"/>
      <c r="SO53" s="11"/>
      <c r="SP53" s="11"/>
      <c r="SQ53" s="11"/>
      <c r="SR53" s="11"/>
      <c r="SS53" s="11"/>
      <c r="ST53" s="11"/>
      <c r="SU53" s="11"/>
      <c r="SV53" s="11"/>
      <c r="SW53" s="11"/>
      <c r="SX53" s="11"/>
      <c r="SY53" s="11"/>
      <c r="SZ53" s="11"/>
      <c r="TA53" s="11"/>
      <c r="TB53" s="11"/>
      <c r="TC53" s="11"/>
      <c r="TD53" s="11"/>
      <c r="TE53" s="11"/>
      <c r="TF53" s="11"/>
      <c r="TG53" s="11"/>
      <c r="TH53" s="11"/>
      <c r="TI53" s="11"/>
      <c r="TJ53" s="11"/>
      <c r="TK53" s="11"/>
      <c r="TL53" s="11"/>
    </row>
    <row r="54" spans="1:532" x14ac:dyDescent="0.2">
      <c r="A54" s="10" t="s">
        <v>53</v>
      </c>
      <c r="B54" s="12">
        <v>13.85</v>
      </c>
      <c r="C54" s="11">
        <v>0</v>
      </c>
      <c r="D54" s="11">
        <v>1.1384816785880609</v>
      </c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2"/>
      <c r="LU54" s="12"/>
      <c r="LV54" s="12"/>
      <c r="LW54" s="12"/>
      <c r="LX54" s="12"/>
      <c r="LY54" s="12"/>
      <c r="LZ54" s="12"/>
      <c r="MA54" s="12"/>
      <c r="MB54" s="12"/>
      <c r="MC54" s="12"/>
      <c r="MD54" s="12"/>
      <c r="ME54" s="12"/>
      <c r="MF54" s="12"/>
      <c r="MG54" s="12"/>
      <c r="MH54" s="12"/>
      <c r="MI54" s="12"/>
      <c r="MJ54" s="12"/>
      <c r="MK54" s="12"/>
      <c r="ML54" s="12"/>
      <c r="MM54" s="12"/>
      <c r="MN54" s="12"/>
      <c r="MO54" s="12"/>
      <c r="MP54" s="12"/>
      <c r="MQ54" s="12"/>
      <c r="MR54" s="12"/>
      <c r="MS54" s="12"/>
      <c r="MT54" s="12"/>
      <c r="MU54" s="12"/>
      <c r="MV54" s="12"/>
      <c r="MW54" s="12"/>
      <c r="MX54" s="12"/>
      <c r="MY54" s="12"/>
      <c r="MZ54" s="12"/>
      <c r="NA54" s="12"/>
      <c r="NB54" s="12"/>
      <c r="NC54" s="12"/>
      <c r="ND54" s="12"/>
      <c r="NE54" s="12"/>
      <c r="NF54" s="12"/>
      <c r="NG54" s="12"/>
      <c r="NH54" s="12"/>
      <c r="NI54" s="12"/>
      <c r="NJ54" s="12"/>
      <c r="NK54" s="12"/>
      <c r="NL54" s="12"/>
      <c r="NM54" s="12"/>
      <c r="NN54" s="12"/>
      <c r="NO54" s="12"/>
      <c r="NP54" s="12"/>
      <c r="NQ54" s="12"/>
      <c r="NR54" s="12"/>
      <c r="NS54" s="12"/>
      <c r="NT54" s="12"/>
      <c r="NU54" s="12"/>
      <c r="NV54" s="12"/>
      <c r="NW54" s="12"/>
      <c r="NX54" s="12"/>
      <c r="NY54" s="12"/>
      <c r="NZ54" s="12"/>
      <c r="OA54" s="12"/>
      <c r="OB54" s="12"/>
      <c r="OC54" s="12"/>
      <c r="OD54" s="12"/>
      <c r="OE54" s="12"/>
      <c r="OF54" s="12"/>
      <c r="OG54" s="12"/>
      <c r="OH54" s="12"/>
      <c r="OI54" s="12"/>
      <c r="OJ54" s="12"/>
      <c r="OK54" s="12"/>
      <c r="OL54" s="12"/>
      <c r="OM54" s="12"/>
      <c r="ON54" s="12"/>
      <c r="OO54" s="12"/>
      <c r="OP54" s="12"/>
      <c r="OQ54" s="12"/>
      <c r="OR54" s="12"/>
      <c r="OS54" s="12"/>
      <c r="OT54" s="12"/>
      <c r="OU54" s="12"/>
      <c r="OV54" s="12"/>
      <c r="OW54" s="12"/>
      <c r="OX54" s="12"/>
      <c r="OY54" s="12"/>
      <c r="OZ54" s="12"/>
      <c r="PA54" s="12"/>
      <c r="PB54" s="12"/>
      <c r="PC54" s="12"/>
      <c r="PD54" s="12"/>
      <c r="PE54" s="12"/>
      <c r="PF54" s="12"/>
      <c r="PG54" s="12"/>
      <c r="PH54" s="12"/>
      <c r="PI54" s="12"/>
      <c r="PJ54" s="12"/>
      <c r="PK54" s="12"/>
      <c r="PL54" s="12"/>
      <c r="PM54" s="12"/>
      <c r="PN54" s="12"/>
      <c r="PO54" s="12"/>
      <c r="PP54" s="12"/>
      <c r="PQ54" s="12"/>
      <c r="PR54" s="12"/>
      <c r="PS54" s="12"/>
      <c r="PT54" s="12"/>
      <c r="PU54" s="12"/>
      <c r="PV54" s="12"/>
      <c r="PW54" s="12"/>
      <c r="PX54" s="12"/>
      <c r="PY54" s="12"/>
      <c r="PZ54" s="12"/>
      <c r="QA54" s="12"/>
      <c r="QB54" s="12"/>
      <c r="QC54" s="12"/>
      <c r="QD54" s="12"/>
      <c r="QE54" s="12"/>
      <c r="QF54" s="12"/>
      <c r="QG54" s="12"/>
      <c r="QH54" s="12"/>
      <c r="QI54" s="12"/>
      <c r="QJ54" s="12"/>
      <c r="QK54" s="12"/>
      <c r="QL54" s="12"/>
      <c r="QM54" s="12"/>
      <c r="QN54" s="12"/>
      <c r="QO54" s="12"/>
      <c r="QP54" s="12"/>
      <c r="QQ54" s="12"/>
      <c r="QR54" s="12"/>
      <c r="QS54" s="12"/>
      <c r="QT54" s="12"/>
      <c r="QU54" s="12"/>
      <c r="QV54" s="12"/>
      <c r="QW54" s="12"/>
      <c r="QX54" s="12"/>
      <c r="QY54" s="12"/>
      <c r="QZ54" s="12"/>
      <c r="RA54" s="12"/>
      <c r="RB54" s="12"/>
      <c r="RC54" s="12"/>
      <c r="RD54" s="12"/>
      <c r="RE54" s="12"/>
      <c r="RF54" s="12"/>
      <c r="RG54" s="12"/>
      <c r="RH54" s="12"/>
      <c r="RI54" s="12"/>
      <c r="RJ54" s="12"/>
      <c r="RK54" s="12"/>
      <c r="RL54" s="12"/>
      <c r="RM54" s="12"/>
      <c r="RN54" s="12"/>
      <c r="RO54" s="12"/>
      <c r="RP54" s="12"/>
      <c r="RQ54" s="12"/>
      <c r="RR54" s="12"/>
      <c r="RS54" s="12"/>
      <c r="RT54" s="12"/>
      <c r="RU54" s="12"/>
      <c r="RV54" s="12"/>
      <c r="RW54" s="12"/>
      <c r="RX54" s="12"/>
      <c r="RY54" s="12"/>
      <c r="RZ54" s="12"/>
      <c r="SA54" s="12"/>
      <c r="SB54" s="12"/>
      <c r="SC54" s="12"/>
      <c r="SD54" s="12"/>
      <c r="SE54" s="12"/>
      <c r="SF54" s="12"/>
      <c r="SG54" s="12"/>
      <c r="SH54" s="11"/>
      <c r="SI54" s="11"/>
      <c r="SJ54" s="11"/>
      <c r="SK54" s="11"/>
      <c r="SL54" s="11"/>
      <c r="SM54" s="11"/>
      <c r="SN54" s="11"/>
      <c r="SO54" s="11"/>
      <c r="SP54" s="11"/>
      <c r="SQ54" s="11"/>
      <c r="SR54" s="11"/>
      <c r="SS54" s="11"/>
      <c r="ST54" s="11"/>
      <c r="SU54" s="11"/>
      <c r="SV54" s="11"/>
      <c r="SW54" s="11"/>
      <c r="SX54" s="11"/>
      <c r="SY54" s="11"/>
      <c r="SZ54" s="11"/>
      <c r="TA54" s="11"/>
      <c r="TB54" s="11"/>
      <c r="TC54" s="11"/>
      <c r="TD54" s="11"/>
      <c r="TE54" s="11"/>
      <c r="TF54" s="11"/>
      <c r="TG54" s="11"/>
      <c r="TH54" s="11"/>
      <c r="TI54" s="11"/>
      <c r="TJ54" s="11"/>
      <c r="TK54" s="11"/>
      <c r="TL54" s="11"/>
    </row>
    <row r="55" spans="1:532" x14ac:dyDescent="0.2">
      <c r="A55" s="10" t="s">
        <v>54</v>
      </c>
      <c r="B55" s="12">
        <v>13.31</v>
      </c>
      <c r="C55" s="11">
        <v>0</v>
      </c>
      <c r="D55" s="11">
        <v>1.6730730754902809</v>
      </c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/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/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/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/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/>
      <c r="LT55" s="12"/>
      <c r="LU55" s="12"/>
      <c r="LV55" s="12"/>
      <c r="LW55" s="12"/>
      <c r="LX55" s="12"/>
      <c r="LY55" s="12"/>
      <c r="LZ55" s="12"/>
      <c r="MA55" s="12"/>
      <c r="MB55" s="12"/>
      <c r="MC55" s="12"/>
      <c r="MD55" s="12"/>
      <c r="ME55" s="12"/>
      <c r="MF55" s="12"/>
      <c r="MG55" s="12"/>
      <c r="MH55" s="12"/>
      <c r="MI55" s="12"/>
      <c r="MJ55" s="12"/>
      <c r="MK55" s="12"/>
      <c r="ML55" s="12"/>
      <c r="MM55" s="12"/>
      <c r="MN55" s="12"/>
      <c r="MO55" s="12"/>
      <c r="MP55" s="12"/>
      <c r="MQ55" s="12"/>
      <c r="MR55" s="12"/>
      <c r="MS55" s="12"/>
      <c r="MT55" s="12"/>
      <c r="MU55" s="12"/>
      <c r="MV55" s="12"/>
      <c r="MW55" s="12"/>
      <c r="MX55" s="12"/>
      <c r="MY55" s="12"/>
      <c r="MZ55" s="12"/>
      <c r="NA55" s="12"/>
      <c r="NB55" s="12"/>
      <c r="NC55" s="12"/>
      <c r="ND55" s="12"/>
      <c r="NE55" s="12"/>
      <c r="NF55" s="12"/>
      <c r="NG55" s="12"/>
      <c r="NH55" s="12"/>
      <c r="NI55" s="12"/>
      <c r="NJ55" s="12"/>
      <c r="NK55" s="12"/>
      <c r="NL55" s="12"/>
      <c r="NM55" s="12"/>
      <c r="NN55" s="12"/>
      <c r="NO55" s="12"/>
      <c r="NP55" s="12"/>
      <c r="NQ55" s="12"/>
      <c r="NR55" s="12"/>
      <c r="NS55" s="12"/>
      <c r="NT55" s="12"/>
      <c r="NU55" s="12"/>
      <c r="NV55" s="12"/>
      <c r="NW55" s="12"/>
      <c r="NX55" s="12"/>
      <c r="NY55" s="12"/>
      <c r="NZ55" s="12"/>
      <c r="OA55" s="12"/>
      <c r="OB55" s="12"/>
      <c r="OC55" s="12"/>
      <c r="OD55" s="12"/>
      <c r="OE55" s="12"/>
      <c r="OF55" s="12"/>
      <c r="OG55" s="12"/>
      <c r="OH55" s="12"/>
      <c r="OI55" s="12"/>
      <c r="OJ55" s="12"/>
      <c r="OK55" s="12"/>
      <c r="OL55" s="12"/>
      <c r="OM55" s="12"/>
      <c r="ON55" s="12"/>
      <c r="OO55" s="12"/>
      <c r="OP55" s="12"/>
      <c r="OQ55" s="12"/>
      <c r="OR55" s="12"/>
      <c r="OS55" s="12"/>
      <c r="OT55" s="12"/>
      <c r="OU55" s="12"/>
      <c r="OV55" s="12"/>
      <c r="OW55" s="12"/>
      <c r="OX55" s="12"/>
      <c r="OY55" s="12"/>
      <c r="OZ55" s="12"/>
      <c r="PA55" s="12"/>
      <c r="PB55" s="12"/>
      <c r="PC55" s="12"/>
      <c r="PD55" s="12"/>
      <c r="PE55" s="12"/>
      <c r="PF55" s="12"/>
      <c r="PG55" s="12"/>
      <c r="PH55" s="12"/>
      <c r="PI55" s="12"/>
      <c r="PJ55" s="12"/>
      <c r="PK55" s="12"/>
      <c r="PL55" s="12"/>
      <c r="PM55" s="12"/>
      <c r="PN55" s="12"/>
      <c r="PO55" s="12"/>
      <c r="PP55" s="12"/>
      <c r="PQ55" s="12"/>
      <c r="PR55" s="12"/>
      <c r="PS55" s="12"/>
      <c r="PT55" s="12"/>
      <c r="PU55" s="12"/>
      <c r="PV55" s="12"/>
      <c r="PW55" s="12"/>
      <c r="PX55" s="12"/>
      <c r="PY55" s="12"/>
      <c r="PZ55" s="12"/>
      <c r="QA55" s="12"/>
      <c r="QB55" s="12"/>
      <c r="QC55" s="12"/>
      <c r="QD55" s="12"/>
      <c r="QE55" s="12"/>
      <c r="QF55" s="12"/>
      <c r="QG55" s="12"/>
      <c r="QH55" s="12"/>
      <c r="QI55" s="12"/>
      <c r="QJ55" s="12"/>
      <c r="QK55" s="12"/>
      <c r="QL55" s="12"/>
      <c r="QM55" s="12"/>
      <c r="QN55" s="12"/>
      <c r="QO55" s="12"/>
      <c r="QP55" s="12"/>
      <c r="QQ55" s="12"/>
      <c r="QR55" s="12"/>
      <c r="QS55" s="12"/>
      <c r="QT55" s="12"/>
      <c r="QU55" s="12"/>
      <c r="QV55" s="12"/>
      <c r="QW55" s="12"/>
      <c r="QX55" s="12"/>
      <c r="QY55" s="12"/>
      <c r="QZ55" s="12"/>
      <c r="RA55" s="12"/>
      <c r="RB55" s="12"/>
      <c r="RC55" s="12"/>
      <c r="RD55" s="12"/>
      <c r="RE55" s="12"/>
      <c r="RF55" s="12"/>
      <c r="RG55" s="12"/>
      <c r="RH55" s="12"/>
      <c r="RI55" s="12"/>
      <c r="RJ55" s="12"/>
      <c r="RK55" s="12"/>
      <c r="RL55" s="12"/>
      <c r="RM55" s="12"/>
      <c r="RN55" s="12"/>
      <c r="RO55" s="12"/>
      <c r="RP55" s="12"/>
      <c r="RQ55" s="12"/>
      <c r="RR55" s="12"/>
      <c r="RS55" s="12"/>
      <c r="RT55" s="12"/>
      <c r="RU55" s="12"/>
      <c r="RV55" s="12"/>
      <c r="RW55" s="12"/>
      <c r="RX55" s="12"/>
      <c r="RY55" s="12"/>
      <c r="RZ55" s="12"/>
      <c r="SA55" s="12"/>
      <c r="SB55" s="12"/>
      <c r="SC55" s="12"/>
      <c r="SD55" s="12"/>
      <c r="SE55" s="12"/>
      <c r="SF55" s="12"/>
      <c r="SG55" s="12"/>
      <c r="SH55" s="11"/>
      <c r="SI55" s="11"/>
      <c r="SJ55" s="11"/>
      <c r="SK55" s="11"/>
      <c r="SL55" s="11"/>
      <c r="SM55" s="11"/>
      <c r="SN55" s="11"/>
      <c r="SO55" s="11"/>
      <c r="SP55" s="11"/>
      <c r="SQ55" s="11"/>
      <c r="SR55" s="11"/>
      <c r="SS55" s="11"/>
      <c r="ST55" s="11"/>
      <c r="SU55" s="11"/>
      <c r="SV55" s="11"/>
      <c r="SW55" s="11"/>
      <c r="SX55" s="11"/>
      <c r="SY55" s="11"/>
      <c r="SZ55" s="11"/>
      <c r="TA55" s="11"/>
      <c r="TB55" s="11"/>
      <c r="TC55" s="11"/>
      <c r="TD55" s="11"/>
      <c r="TE55" s="11"/>
      <c r="TF55" s="11"/>
      <c r="TG55" s="11"/>
      <c r="TH55" s="11"/>
      <c r="TI55" s="11"/>
      <c r="TJ55" s="11"/>
      <c r="TK55" s="11"/>
      <c r="TL55" s="11"/>
    </row>
    <row r="56" spans="1:532" x14ac:dyDescent="0.2">
      <c r="A56" s="10" t="s">
        <v>55</v>
      </c>
      <c r="B56" s="12">
        <v>15.74</v>
      </c>
      <c r="C56" s="11">
        <v>0.7325882105697088</v>
      </c>
      <c r="D56" s="11">
        <v>0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/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/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/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/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/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/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/>
      <c r="LR56" s="12"/>
      <c r="LS56" s="12"/>
      <c r="LT56" s="12"/>
      <c r="LU56" s="12"/>
      <c r="LV56" s="12"/>
      <c r="LW56" s="12"/>
      <c r="LX56" s="12"/>
      <c r="LY56" s="12"/>
      <c r="LZ56" s="12"/>
      <c r="MA56" s="12"/>
      <c r="MB56" s="12"/>
      <c r="MC56" s="12"/>
      <c r="MD56" s="12"/>
      <c r="ME56" s="12"/>
      <c r="MF56" s="12"/>
      <c r="MG56" s="12"/>
      <c r="MH56" s="12"/>
      <c r="MI56" s="12"/>
      <c r="MJ56" s="12"/>
      <c r="MK56" s="12"/>
      <c r="ML56" s="12"/>
      <c r="MM56" s="12"/>
      <c r="MN56" s="12"/>
      <c r="MO56" s="12"/>
      <c r="MP56" s="12"/>
      <c r="MQ56" s="12"/>
      <c r="MR56" s="12"/>
      <c r="MS56" s="12"/>
      <c r="MT56" s="12"/>
      <c r="MU56" s="12"/>
      <c r="MV56" s="12"/>
      <c r="MW56" s="12"/>
      <c r="MX56" s="12"/>
      <c r="MY56" s="12"/>
      <c r="MZ56" s="12"/>
      <c r="NA56" s="12"/>
      <c r="NB56" s="12"/>
      <c r="NC56" s="12"/>
      <c r="ND56" s="12"/>
      <c r="NE56" s="12"/>
      <c r="NF56" s="12"/>
      <c r="NG56" s="12"/>
      <c r="NH56" s="12"/>
      <c r="NI56" s="12"/>
      <c r="NJ56" s="12"/>
      <c r="NK56" s="12"/>
      <c r="NL56" s="12"/>
      <c r="NM56" s="12"/>
      <c r="NN56" s="12"/>
      <c r="NO56" s="12"/>
      <c r="NP56" s="12"/>
      <c r="NQ56" s="12"/>
      <c r="NR56" s="12"/>
      <c r="NS56" s="12"/>
      <c r="NT56" s="12"/>
      <c r="NU56" s="12"/>
      <c r="NV56" s="12"/>
      <c r="NW56" s="12"/>
      <c r="NX56" s="12"/>
      <c r="NY56" s="12"/>
      <c r="NZ56" s="12"/>
      <c r="OA56" s="12"/>
      <c r="OB56" s="12"/>
      <c r="OC56" s="12"/>
      <c r="OD56" s="12"/>
      <c r="OE56" s="12"/>
      <c r="OF56" s="12"/>
      <c r="OG56" s="12"/>
      <c r="OH56" s="12"/>
      <c r="OI56" s="12"/>
      <c r="OJ56" s="12"/>
      <c r="OK56" s="12"/>
      <c r="OL56" s="12"/>
      <c r="OM56" s="12"/>
      <c r="ON56" s="12"/>
      <c r="OO56" s="12"/>
      <c r="OP56" s="12"/>
      <c r="OQ56" s="12"/>
      <c r="OR56" s="12"/>
      <c r="OS56" s="12"/>
      <c r="OT56" s="12"/>
      <c r="OU56" s="12"/>
      <c r="OV56" s="12"/>
      <c r="OW56" s="12"/>
      <c r="OX56" s="12"/>
      <c r="OY56" s="12"/>
      <c r="OZ56" s="12"/>
      <c r="PA56" s="12"/>
      <c r="PB56" s="12"/>
      <c r="PC56" s="12"/>
      <c r="PD56" s="12"/>
      <c r="PE56" s="12"/>
      <c r="PF56" s="12"/>
      <c r="PG56" s="12"/>
      <c r="PH56" s="12"/>
      <c r="PI56" s="12"/>
      <c r="PJ56" s="12"/>
      <c r="PK56" s="12"/>
      <c r="PL56" s="12"/>
      <c r="PM56" s="12"/>
      <c r="PN56" s="12"/>
      <c r="PO56" s="12"/>
      <c r="PP56" s="12"/>
      <c r="PQ56" s="12"/>
      <c r="PR56" s="12"/>
      <c r="PS56" s="12"/>
      <c r="PT56" s="12"/>
      <c r="PU56" s="12"/>
      <c r="PV56" s="12"/>
      <c r="PW56" s="12"/>
      <c r="PX56" s="12"/>
      <c r="PY56" s="12"/>
      <c r="PZ56" s="12"/>
      <c r="QA56" s="12"/>
      <c r="QB56" s="12"/>
      <c r="QC56" s="12"/>
      <c r="QD56" s="12"/>
      <c r="QE56" s="12"/>
      <c r="QF56" s="12"/>
      <c r="QG56" s="12"/>
      <c r="QH56" s="12"/>
      <c r="QI56" s="12"/>
      <c r="QJ56" s="12"/>
      <c r="QK56" s="12"/>
      <c r="QL56" s="12"/>
      <c r="QM56" s="12"/>
      <c r="QN56" s="12"/>
      <c r="QO56" s="12"/>
      <c r="QP56" s="12"/>
      <c r="QQ56" s="12"/>
      <c r="QR56" s="12"/>
      <c r="QS56" s="12"/>
      <c r="QT56" s="12"/>
      <c r="QU56" s="12"/>
      <c r="QV56" s="12"/>
      <c r="QW56" s="12"/>
      <c r="QX56" s="12"/>
      <c r="QY56" s="12"/>
      <c r="QZ56" s="12"/>
      <c r="RA56" s="12"/>
      <c r="RB56" s="12"/>
      <c r="RC56" s="12"/>
      <c r="RD56" s="12"/>
      <c r="RE56" s="12"/>
      <c r="RF56" s="12"/>
      <c r="RG56" s="12"/>
      <c r="RH56" s="12"/>
      <c r="RI56" s="12"/>
      <c r="RJ56" s="12"/>
      <c r="RK56" s="12"/>
      <c r="RL56" s="12"/>
      <c r="RM56" s="12"/>
      <c r="RN56" s="12"/>
      <c r="RO56" s="12"/>
      <c r="RP56" s="12"/>
      <c r="RQ56" s="12"/>
      <c r="RR56" s="12"/>
      <c r="RS56" s="12"/>
      <c r="RT56" s="12"/>
      <c r="RU56" s="12"/>
      <c r="RV56" s="12"/>
      <c r="RW56" s="12"/>
      <c r="RX56" s="12"/>
      <c r="RY56" s="12"/>
      <c r="RZ56" s="12"/>
      <c r="SA56" s="12"/>
      <c r="SB56" s="12"/>
      <c r="SC56" s="12"/>
      <c r="SD56" s="12"/>
      <c r="SE56" s="12"/>
      <c r="SF56" s="12"/>
      <c r="SG56" s="12"/>
      <c r="SH56" s="11"/>
      <c r="SI56" s="11"/>
      <c r="SJ56" s="11"/>
      <c r="SK56" s="11"/>
      <c r="SL56" s="11"/>
      <c r="SM56" s="11"/>
      <c r="SN56" s="11"/>
      <c r="SO56" s="11"/>
      <c r="SP56" s="11"/>
      <c r="SQ56" s="11"/>
      <c r="SR56" s="11"/>
      <c r="SS56" s="11"/>
      <c r="ST56" s="11"/>
      <c r="SU56" s="11"/>
      <c r="SV56" s="11"/>
      <c r="SW56" s="11"/>
      <c r="SX56" s="11"/>
      <c r="SY56" s="11"/>
      <c r="SZ56" s="11"/>
      <c r="TA56" s="11"/>
      <c r="TB56" s="11"/>
      <c r="TC56" s="11"/>
      <c r="TD56" s="11"/>
      <c r="TE56" s="11"/>
      <c r="TF56" s="11"/>
      <c r="TG56" s="11"/>
      <c r="TH56" s="11"/>
      <c r="TI56" s="11"/>
      <c r="TJ56" s="11"/>
      <c r="TK56" s="11"/>
      <c r="TL56" s="11"/>
    </row>
    <row r="57" spans="1:532" x14ac:dyDescent="0.2">
      <c r="A57" s="10" t="s">
        <v>56</v>
      </c>
      <c r="B57" s="12">
        <v>13.75</v>
      </c>
      <c r="C57" s="11">
        <v>0</v>
      </c>
      <c r="D57" s="11">
        <v>1.2374800854218053</v>
      </c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2"/>
      <c r="LU57" s="12"/>
      <c r="LV57" s="12"/>
      <c r="LW57" s="12"/>
      <c r="LX57" s="12"/>
      <c r="LY57" s="12"/>
      <c r="LZ57" s="12"/>
      <c r="MA57" s="12"/>
      <c r="MB57" s="12"/>
      <c r="MC57" s="12"/>
      <c r="MD57" s="12"/>
      <c r="ME57" s="12"/>
      <c r="MF57" s="12"/>
      <c r="MG57" s="12"/>
      <c r="MH57" s="12"/>
      <c r="MI57" s="12"/>
      <c r="MJ57" s="12"/>
      <c r="MK57" s="12"/>
      <c r="ML57" s="12"/>
      <c r="MM57" s="12"/>
      <c r="MN57" s="12"/>
      <c r="MO57" s="12"/>
      <c r="MP57" s="12"/>
      <c r="MQ57" s="12"/>
      <c r="MR57" s="12"/>
      <c r="MS57" s="12"/>
      <c r="MT57" s="12"/>
      <c r="MU57" s="12"/>
      <c r="MV57" s="12"/>
      <c r="MW57" s="12"/>
      <c r="MX57" s="12"/>
      <c r="MY57" s="12"/>
      <c r="MZ57" s="12"/>
      <c r="NA57" s="12"/>
      <c r="NB57" s="12"/>
      <c r="NC57" s="12"/>
      <c r="ND57" s="12"/>
      <c r="NE57" s="12"/>
      <c r="NF57" s="12"/>
      <c r="NG57" s="12"/>
      <c r="NH57" s="12"/>
      <c r="NI57" s="12"/>
      <c r="NJ57" s="12"/>
      <c r="NK57" s="12"/>
      <c r="NL57" s="12"/>
      <c r="NM57" s="12"/>
      <c r="NN57" s="12"/>
      <c r="NO57" s="12"/>
      <c r="NP57" s="12"/>
      <c r="NQ57" s="12"/>
      <c r="NR57" s="12"/>
      <c r="NS57" s="12"/>
      <c r="NT57" s="12"/>
      <c r="NU57" s="12"/>
      <c r="NV57" s="12"/>
      <c r="NW57" s="12"/>
      <c r="NX57" s="12"/>
      <c r="NY57" s="12"/>
      <c r="NZ57" s="12"/>
      <c r="OA57" s="12"/>
      <c r="OB57" s="12"/>
      <c r="OC57" s="12"/>
      <c r="OD57" s="12"/>
      <c r="OE57" s="12"/>
      <c r="OF57" s="12"/>
      <c r="OG57" s="12"/>
      <c r="OH57" s="12"/>
      <c r="OI57" s="12"/>
      <c r="OJ57" s="12"/>
      <c r="OK57" s="12"/>
      <c r="OL57" s="12"/>
      <c r="OM57" s="12"/>
      <c r="ON57" s="12"/>
      <c r="OO57" s="12"/>
      <c r="OP57" s="12"/>
      <c r="OQ57" s="12"/>
      <c r="OR57" s="12"/>
      <c r="OS57" s="12"/>
      <c r="OT57" s="12"/>
      <c r="OU57" s="12"/>
      <c r="OV57" s="12"/>
      <c r="OW57" s="12"/>
      <c r="OX57" s="12"/>
      <c r="OY57" s="12"/>
      <c r="OZ57" s="12"/>
      <c r="PA57" s="12"/>
      <c r="PB57" s="12"/>
      <c r="PC57" s="12"/>
      <c r="PD57" s="12"/>
      <c r="PE57" s="12"/>
      <c r="PF57" s="12"/>
      <c r="PG57" s="12"/>
      <c r="PH57" s="12"/>
      <c r="PI57" s="12"/>
      <c r="PJ57" s="12"/>
      <c r="PK57" s="12"/>
      <c r="PL57" s="12"/>
      <c r="PM57" s="12"/>
      <c r="PN57" s="12"/>
      <c r="PO57" s="12"/>
      <c r="PP57" s="12"/>
      <c r="PQ57" s="12"/>
      <c r="PR57" s="12"/>
      <c r="PS57" s="12"/>
      <c r="PT57" s="12"/>
      <c r="PU57" s="12"/>
      <c r="PV57" s="12"/>
      <c r="PW57" s="12"/>
      <c r="PX57" s="12"/>
      <c r="PY57" s="12"/>
      <c r="PZ57" s="12"/>
      <c r="QA57" s="12"/>
      <c r="QB57" s="12"/>
      <c r="QC57" s="12"/>
      <c r="QD57" s="12"/>
      <c r="QE57" s="12"/>
      <c r="QF57" s="12"/>
      <c r="QG57" s="12"/>
      <c r="QH57" s="12"/>
      <c r="QI57" s="12"/>
      <c r="QJ57" s="12"/>
      <c r="QK57" s="12"/>
      <c r="QL57" s="12"/>
      <c r="QM57" s="12"/>
      <c r="QN57" s="12"/>
      <c r="QO57" s="12"/>
      <c r="QP57" s="12"/>
      <c r="QQ57" s="12"/>
      <c r="QR57" s="12"/>
      <c r="QS57" s="12"/>
      <c r="QT57" s="12"/>
      <c r="QU57" s="12"/>
      <c r="QV57" s="12"/>
      <c r="QW57" s="12"/>
      <c r="QX57" s="12"/>
      <c r="QY57" s="12"/>
      <c r="QZ57" s="12"/>
      <c r="RA57" s="12"/>
      <c r="RB57" s="12"/>
      <c r="RC57" s="12"/>
      <c r="RD57" s="12"/>
      <c r="RE57" s="12"/>
      <c r="RF57" s="12"/>
      <c r="RG57" s="12"/>
      <c r="RH57" s="12"/>
      <c r="RI57" s="12"/>
      <c r="RJ57" s="12"/>
      <c r="RK57" s="12"/>
      <c r="RL57" s="12"/>
      <c r="RM57" s="12"/>
      <c r="RN57" s="12"/>
      <c r="RO57" s="12"/>
      <c r="RP57" s="12"/>
      <c r="RQ57" s="12"/>
      <c r="RR57" s="12"/>
      <c r="RS57" s="12"/>
      <c r="RT57" s="12"/>
      <c r="RU57" s="12"/>
      <c r="RV57" s="12"/>
      <c r="RW57" s="12"/>
      <c r="RX57" s="12"/>
      <c r="RY57" s="12"/>
      <c r="RZ57" s="12"/>
      <c r="SA57" s="12"/>
      <c r="SB57" s="12"/>
      <c r="SC57" s="12"/>
      <c r="SD57" s="12"/>
      <c r="SE57" s="12"/>
      <c r="SF57" s="12"/>
      <c r="SG57" s="12"/>
      <c r="SH57" s="11"/>
      <c r="SI57" s="11"/>
      <c r="SJ57" s="11"/>
      <c r="SK57" s="11"/>
      <c r="SL57" s="11"/>
      <c r="SM57" s="11"/>
      <c r="SN57" s="11"/>
      <c r="SO57" s="11"/>
      <c r="SP57" s="11"/>
      <c r="SQ57" s="11"/>
      <c r="SR57" s="11"/>
      <c r="SS57" s="11"/>
      <c r="ST57" s="11"/>
      <c r="SU57" s="11"/>
      <c r="SV57" s="11"/>
      <c r="SW57" s="11"/>
      <c r="SX57" s="11"/>
      <c r="SY57" s="11"/>
      <c r="SZ57" s="11"/>
      <c r="TA57" s="11"/>
      <c r="TB57" s="11"/>
      <c r="TC57" s="11"/>
      <c r="TD57" s="11"/>
      <c r="TE57" s="11"/>
      <c r="TF57" s="11"/>
      <c r="TG57" s="11"/>
      <c r="TH57" s="11"/>
      <c r="TI57" s="11"/>
      <c r="TJ57" s="11"/>
      <c r="TK57" s="11"/>
      <c r="TL57" s="11"/>
    </row>
    <row r="58" spans="1:532" x14ac:dyDescent="0.2">
      <c r="A58" s="10" t="s">
        <v>57</v>
      </c>
      <c r="B58" s="12">
        <v>13.65</v>
      </c>
      <c r="C58" s="11">
        <v>0</v>
      </c>
      <c r="D58" s="11">
        <v>1.3364784922555499</v>
      </c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/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/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/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/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/>
      <c r="LT58" s="12"/>
      <c r="LU58" s="12"/>
      <c r="LV58" s="12"/>
      <c r="LW58" s="12"/>
      <c r="LX58" s="12"/>
      <c r="LY58" s="12"/>
      <c r="LZ58" s="12"/>
      <c r="MA58" s="12"/>
      <c r="MB58" s="12"/>
      <c r="MC58" s="12"/>
      <c r="MD58" s="12"/>
      <c r="ME58" s="12"/>
      <c r="MF58" s="12"/>
      <c r="MG58" s="12"/>
      <c r="MH58" s="12"/>
      <c r="MI58" s="12"/>
      <c r="MJ58" s="12"/>
      <c r="MK58" s="12"/>
      <c r="ML58" s="12"/>
      <c r="MM58" s="12"/>
      <c r="MN58" s="12"/>
      <c r="MO58" s="12"/>
      <c r="MP58" s="12"/>
      <c r="MQ58" s="12"/>
      <c r="MR58" s="12"/>
      <c r="MS58" s="12"/>
      <c r="MT58" s="12"/>
      <c r="MU58" s="12"/>
      <c r="MV58" s="12"/>
      <c r="MW58" s="12"/>
      <c r="MX58" s="12"/>
      <c r="MY58" s="12"/>
      <c r="MZ58" s="12"/>
      <c r="NA58" s="12"/>
      <c r="NB58" s="12"/>
      <c r="NC58" s="12"/>
      <c r="ND58" s="12"/>
      <c r="NE58" s="12"/>
      <c r="NF58" s="12"/>
      <c r="NG58" s="12"/>
      <c r="NH58" s="12"/>
      <c r="NI58" s="12"/>
      <c r="NJ58" s="12"/>
      <c r="NK58" s="12"/>
      <c r="NL58" s="12"/>
      <c r="NM58" s="12"/>
      <c r="NN58" s="12"/>
      <c r="NO58" s="12"/>
      <c r="NP58" s="12"/>
      <c r="NQ58" s="12"/>
      <c r="NR58" s="12"/>
      <c r="NS58" s="12"/>
      <c r="NT58" s="12"/>
      <c r="NU58" s="12"/>
      <c r="NV58" s="12"/>
      <c r="NW58" s="12"/>
      <c r="NX58" s="12"/>
      <c r="NY58" s="12"/>
      <c r="NZ58" s="12"/>
      <c r="OA58" s="12"/>
      <c r="OB58" s="12"/>
      <c r="OC58" s="12"/>
      <c r="OD58" s="12"/>
      <c r="OE58" s="12"/>
      <c r="OF58" s="12"/>
      <c r="OG58" s="12"/>
      <c r="OH58" s="12"/>
      <c r="OI58" s="12"/>
      <c r="OJ58" s="12"/>
      <c r="OK58" s="12"/>
      <c r="OL58" s="12"/>
      <c r="OM58" s="12"/>
      <c r="ON58" s="12"/>
      <c r="OO58" s="12"/>
      <c r="OP58" s="12"/>
      <c r="OQ58" s="12"/>
      <c r="OR58" s="12"/>
      <c r="OS58" s="12"/>
      <c r="OT58" s="12"/>
      <c r="OU58" s="12"/>
      <c r="OV58" s="12"/>
      <c r="OW58" s="12"/>
      <c r="OX58" s="12"/>
      <c r="OY58" s="12"/>
      <c r="OZ58" s="12"/>
      <c r="PA58" s="12"/>
      <c r="PB58" s="12"/>
      <c r="PC58" s="12"/>
      <c r="PD58" s="12"/>
      <c r="PE58" s="12"/>
      <c r="PF58" s="12"/>
      <c r="PG58" s="12"/>
      <c r="PH58" s="12"/>
      <c r="PI58" s="12"/>
      <c r="PJ58" s="12"/>
      <c r="PK58" s="12"/>
      <c r="PL58" s="12"/>
      <c r="PM58" s="12"/>
      <c r="PN58" s="12"/>
      <c r="PO58" s="12"/>
      <c r="PP58" s="12"/>
      <c r="PQ58" s="12"/>
      <c r="PR58" s="12"/>
      <c r="PS58" s="12"/>
      <c r="PT58" s="12"/>
      <c r="PU58" s="12"/>
      <c r="PV58" s="12"/>
      <c r="PW58" s="12"/>
      <c r="PX58" s="12"/>
      <c r="PY58" s="12"/>
      <c r="PZ58" s="12"/>
      <c r="QA58" s="12"/>
      <c r="QB58" s="12"/>
      <c r="QC58" s="12"/>
      <c r="QD58" s="12"/>
      <c r="QE58" s="12"/>
      <c r="QF58" s="12"/>
      <c r="QG58" s="12"/>
      <c r="QH58" s="12"/>
      <c r="QI58" s="12"/>
      <c r="QJ58" s="12"/>
      <c r="QK58" s="12"/>
      <c r="QL58" s="12"/>
      <c r="QM58" s="12"/>
      <c r="QN58" s="12"/>
      <c r="QO58" s="12"/>
      <c r="QP58" s="12"/>
      <c r="QQ58" s="12"/>
      <c r="QR58" s="12"/>
      <c r="QS58" s="12"/>
      <c r="QT58" s="12"/>
      <c r="QU58" s="12"/>
      <c r="QV58" s="12"/>
      <c r="QW58" s="12"/>
      <c r="QX58" s="12"/>
      <c r="QY58" s="12"/>
      <c r="QZ58" s="12"/>
      <c r="RA58" s="12"/>
      <c r="RB58" s="12"/>
      <c r="RC58" s="12"/>
      <c r="RD58" s="12"/>
      <c r="RE58" s="12"/>
      <c r="RF58" s="12"/>
      <c r="RG58" s="12"/>
      <c r="RH58" s="12"/>
      <c r="RI58" s="12"/>
      <c r="RJ58" s="12"/>
      <c r="RK58" s="12"/>
      <c r="RL58" s="12"/>
      <c r="RM58" s="12"/>
      <c r="RN58" s="12"/>
      <c r="RO58" s="12"/>
      <c r="RP58" s="12"/>
      <c r="RQ58" s="12"/>
      <c r="RR58" s="12"/>
      <c r="RS58" s="12"/>
      <c r="RT58" s="12"/>
      <c r="RU58" s="12"/>
      <c r="RV58" s="12"/>
      <c r="RW58" s="12"/>
      <c r="RX58" s="12"/>
      <c r="RY58" s="12"/>
      <c r="RZ58" s="12"/>
      <c r="SA58" s="12"/>
      <c r="SB58" s="12"/>
      <c r="SC58" s="12"/>
      <c r="SD58" s="12"/>
      <c r="SE58" s="12"/>
      <c r="SF58" s="12"/>
      <c r="SG58" s="12"/>
      <c r="SH58" s="11"/>
      <c r="SI58" s="11"/>
      <c r="SJ58" s="11"/>
      <c r="SK58" s="11"/>
      <c r="SL58" s="11"/>
      <c r="SM58" s="11"/>
      <c r="SN58" s="11"/>
      <c r="SO58" s="11"/>
      <c r="SP58" s="11"/>
      <c r="SQ58" s="11"/>
      <c r="SR58" s="11"/>
      <c r="SS58" s="11"/>
      <c r="ST58" s="11"/>
      <c r="SU58" s="11"/>
      <c r="SV58" s="11"/>
      <c r="SW58" s="11"/>
      <c r="SX58" s="11"/>
      <c r="SY58" s="11"/>
      <c r="SZ58" s="11"/>
      <c r="TA58" s="11"/>
      <c r="TB58" s="11"/>
      <c r="TC58" s="11"/>
      <c r="TD58" s="11"/>
      <c r="TE58" s="11"/>
      <c r="TF58" s="11"/>
      <c r="TG58" s="11"/>
      <c r="TH58" s="11"/>
      <c r="TI58" s="11"/>
      <c r="TJ58" s="11"/>
      <c r="TK58" s="11"/>
      <c r="TL58" s="11"/>
    </row>
    <row r="59" spans="1:532" x14ac:dyDescent="0.2">
      <c r="A59" s="10" t="s">
        <v>58</v>
      </c>
      <c r="B59" s="12">
        <v>13.65</v>
      </c>
      <c r="C59" s="11">
        <v>0</v>
      </c>
      <c r="D59" s="11">
        <v>1.3364784922555499</v>
      </c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/>
      <c r="JZ59" s="12"/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/>
      <c r="KL59" s="12"/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/>
      <c r="KX59" s="12"/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/>
      <c r="LJ59" s="12"/>
      <c r="LK59" s="12"/>
      <c r="LL59" s="12"/>
      <c r="LM59" s="12"/>
      <c r="LN59" s="12"/>
      <c r="LO59" s="12"/>
      <c r="LP59" s="12"/>
      <c r="LQ59" s="12"/>
      <c r="LR59" s="12"/>
      <c r="LS59" s="12"/>
      <c r="LT59" s="12"/>
      <c r="LU59" s="12"/>
      <c r="LV59" s="12"/>
      <c r="LW59" s="12"/>
      <c r="LX59" s="12"/>
      <c r="LY59" s="12"/>
      <c r="LZ59" s="12"/>
      <c r="MA59" s="12"/>
      <c r="MB59" s="12"/>
      <c r="MC59" s="12"/>
      <c r="MD59" s="12"/>
      <c r="ME59" s="12"/>
      <c r="MF59" s="12"/>
      <c r="MG59" s="12"/>
      <c r="MH59" s="12"/>
      <c r="MI59" s="12"/>
      <c r="MJ59" s="12"/>
      <c r="MK59" s="12"/>
      <c r="ML59" s="12"/>
      <c r="MM59" s="12"/>
      <c r="MN59" s="12"/>
      <c r="MO59" s="12"/>
      <c r="MP59" s="12"/>
      <c r="MQ59" s="12"/>
      <c r="MR59" s="12"/>
      <c r="MS59" s="12"/>
      <c r="MT59" s="12"/>
      <c r="MU59" s="12"/>
      <c r="MV59" s="12"/>
      <c r="MW59" s="12"/>
      <c r="MX59" s="12"/>
      <c r="MY59" s="12"/>
      <c r="MZ59" s="12"/>
      <c r="NA59" s="12"/>
      <c r="NB59" s="12"/>
      <c r="NC59" s="12"/>
      <c r="ND59" s="12"/>
      <c r="NE59" s="12"/>
      <c r="NF59" s="12"/>
      <c r="NG59" s="12"/>
      <c r="NH59" s="12"/>
      <c r="NI59" s="12"/>
      <c r="NJ59" s="12"/>
      <c r="NK59" s="12"/>
      <c r="NL59" s="12"/>
      <c r="NM59" s="12"/>
      <c r="NN59" s="12"/>
      <c r="NO59" s="12"/>
      <c r="NP59" s="12"/>
      <c r="NQ59" s="12"/>
      <c r="NR59" s="12"/>
      <c r="NS59" s="12"/>
      <c r="NT59" s="12"/>
      <c r="NU59" s="12"/>
      <c r="NV59" s="12"/>
      <c r="NW59" s="12"/>
      <c r="NX59" s="12"/>
      <c r="NY59" s="12"/>
      <c r="NZ59" s="12"/>
      <c r="OA59" s="12"/>
      <c r="OB59" s="12"/>
      <c r="OC59" s="12"/>
      <c r="OD59" s="12"/>
      <c r="OE59" s="12"/>
      <c r="OF59" s="12"/>
      <c r="OG59" s="12"/>
      <c r="OH59" s="12"/>
      <c r="OI59" s="12"/>
      <c r="OJ59" s="12"/>
      <c r="OK59" s="12"/>
      <c r="OL59" s="12"/>
      <c r="OM59" s="12"/>
      <c r="ON59" s="12"/>
      <c r="OO59" s="12"/>
      <c r="OP59" s="12"/>
      <c r="OQ59" s="12"/>
      <c r="OR59" s="12"/>
      <c r="OS59" s="12"/>
      <c r="OT59" s="12"/>
      <c r="OU59" s="12"/>
      <c r="OV59" s="12"/>
      <c r="OW59" s="12"/>
      <c r="OX59" s="12"/>
      <c r="OY59" s="12"/>
      <c r="OZ59" s="12"/>
      <c r="PA59" s="12"/>
      <c r="PB59" s="12"/>
      <c r="PC59" s="12"/>
      <c r="PD59" s="12"/>
      <c r="PE59" s="12"/>
      <c r="PF59" s="12"/>
      <c r="PG59" s="12"/>
      <c r="PH59" s="12"/>
      <c r="PI59" s="12"/>
      <c r="PJ59" s="12"/>
      <c r="PK59" s="12"/>
      <c r="PL59" s="12"/>
      <c r="PM59" s="12"/>
      <c r="PN59" s="12"/>
      <c r="PO59" s="12"/>
      <c r="PP59" s="12"/>
      <c r="PQ59" s="12"/>
      <c r="PR59" s="12"/>
      <c r="PS59" s="12"/>
      <c r="PT59" s="12"/>
      <c r="PU59" s="12"/>
      <c r="PV59" s="12"/>
      <c r="PW59" s="12"/>
      <c r="PX59" s="12"/>
      <c r="PY59" s="12"/>
      <c r="PZ59" s="12"/>
      <c r="QA59" s="12"/>
      <c r="QB59" s="12"/>
      <c r="QC59" s="12"/>
      <c r="QD59" s="12"/>
      <c r="QE59" s="12"/>
      <c r="QF59" s="12"/>
      <c r="QG59" s="12"/>
      <c r="QH59" s="12"/>
      <c r="QI59" s="12"/>
      <c r="QJ59" s="12"/>
      <c r="QK59" s="12"/>
      <c r="QL59" s="12"/>
      <c r="QM59" s="12"/>
      <c r="QN59" s="12"/>
      <c r="QO59" s="12"/>
      <c r="QP59" s="12"/>
      <c r="QQ59" s="12"/>
      <c r="QR59" s="12"/>
      <c r="QS59" s="12"/>
      <c r="QT59" s="12"/>
      <c r="QU59" s="12"/>
      <c r="QV59" s="12"/>
      <c r="QW59" s="12"/>
      <c r="QX59" s="12"/>
      <c r="QY59" s="12"/>
      <c r="QZ59" s="12"/>
      <c r="RA59" s="12"/>
      <c r="RB59" s="12"/>
      <c r="RC59" s="12"/>
      <c r="RD59" s="12"/>
      <c r="RE59" s="12"/>
      <c r="RF59" s="12"/>
      <c r="RG59" s="12"/>
      <c r="RH59" s="12"/>
      <c r="RI59" s="12"/>
      <c r="RJ59" s="12"/>
      <c r="RK59" s="12"/>
      <c r="RL59" s="12"/>
      <c r="RM59" s="12"/>
      <c r="RN59" s="12"/>
      <c r="RO59" s="12"/>
      <c r="RP59" s="12"/>
      <c r="RQ59" s="12"/>
      <c r="RR59" s="12"/>
      <c r="RS59" s="12"/>
      <c r="RT59" s="12"/>
      <c r="RU59" s="12"/>
      <c r="RV59" s="12"/>
      <c r="RW59" s="12"/>
      <c r="RX59" s="12"/>
      <c r="RY59" s="12"/>
      <c r="RZ59" s="12"/>
      <c r="SA59" s="12"/>
      <c r="SB59" s="12"/>
      <c r="SC59" s="12"/>
      <c r="SD59" s="12"/>
      <c r="SE59" s="12"/>
      <c r="SF59" s="12"/>
      <c r="SG59" s="12"/>
      <c r="SH59" s="11"/>
      <c r="SI59" s="11"/>
      <c r="SJ59" s="11"/>
      <c r="SK59" s="11"/>
      <c r="SL59" s="11"/>
      <c r="SM59" s="11"/>
      <c r="SN59" s="11"/>
      <c r="SO59" s="11"/>
      <c r="SP59" s="11"/>
      <c r="SQ59" s="11"/>
      <c r="SR59" s="11"/>
      <c r="SS59" s="11"/>
      <c r="ST59" s="11"/>
      <c r="SU59" s="11"/>
      <c r="SV59" s="11"/>
      <c r="SW59" s="11"/>
      <c r="SX59" s="11"/>
      <c r="SY59" s="11"/>
      <c r="SZ59" s="11"/>
      <c r="TA59" s="11"/>
      <c r="TB59" s="11"/>
      <c r="TC59" s="11"/>
      <c r="TD59" s="11"/>
      <c r="TE59" s="11"/>
      <c r="TF59" s="11"/>
      <c r="TG59" s="11"/>
      <c r="TH59" s="11"/>
      <c r="TI59" s="11"/>
      <c r="TJ59" s="11"/>
      <c r="TK59" s="11"/>
      <c r="TL59" s="11"/>
    </row>
    <row r="60" spans="1:532" x14ac:dyDescent="0.2">
      <c r="A60" s="10" t="s">
        <v>59</v>
      </c>
      <c r="B60" s="12">
        <v>15.05</v>
      </c>
      <c r="C60" s="11">
        <v>4.9499203416872223E-2</v>
      </c>
      <c r="D60" s="11">
        <v>0</v>
      </c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12"/>
      <c r="KR60" s="12"/>
      <c r="KS60" s="12"/>
      <c r="KT60" s="12"/>
      <c r="KU60" s="12"/>
      <c r="KV60" s="12"/>
      <c r="KW60" s="12"/>
      <c r="KX60" s="12"/>
      <c r="KY60" s="12"/>
      <c r="KZ60" s="12"/>
      <c r="LA60" s="12"/>
      <c r="LB60" s="12"/>
      <c r="LC60" s="12"/>
      <c r="LD60" s="12"/>
      <c r="LE60" s="12"/>
      <c r="LF60" s="12"/>
      <c r="LG60" s="12"/>
      <c r="LH60" s="12"/>
      <c r="LI60" s="12"/>
      <c r="LJ60" s="12"/>
      <c r="LK60" s="12"/>
      <c r="LL60" s="12"/>
      <c r="LM60" s="12"/>
      <c r="LN60" s="12"/>
      <c r="LO60" s="12"/>
      <c r="LP60" s="12"/>
      <c r="LQ60" s="12"/>
      <c r="LR60" s="12"/>
      <c r="LS60" s="12"/>
      <c r="LT60" s="12"/>
      <c r="LU60" s="12"/>
      <c r="LV60" s="12"/>
      <c r="LW60" s="12"/>
      <c r="LX60" s="12"/>
      <c r="LY60" s="12"/>
      <c r="LZ60" s="12"/>
      <c r="MA60" s="12"/>
      <c r="MB60" s="12"/>
      <c r="MC60" s="12"/>
      <c r="MD60" s="12"/>
      <c r="ME60" s="12"/>
      <c r="MF60" s="12"/>
      <c r="MG60" s="12"/>
      <c r="MH60" s="12"/>
      <c r="MI60" s="12"/>
      <c r="MJ60" s="12"/>
      <c r="MK60" s="12"/>
      <c r="ML60" s="12"/>
      <c r="MM60" s="12"/>
      <c r="MN60" s="12"/>
      <c r="MO60" s="12"/>
      <c r="MP60" s="12"/>
      <c r="MQ60" s="12"/>
      <c r="MR60" s="12"/>
      <c r="MS60" s="12"/>
      <c r="MT60" s="12"/>
      <c r="MU60" s="12"/>
      <c r="MV60" s="12"/>
      <c r="MW60" s="12"/>
      <c r="MX60" s="12"/>
      <c r="MY60" s="12"/>
      <c r="MZ60" s="12"/>
      <c r="NA60" s="12"/>
      <c r="NB60" s="12"/>
      <c r="NC60" s="12"/>
      <c r="ND60" s="12"/>
      <c r="NE60" s="12"/>
      <c r="NF60" s="12"/>
      <c r="NG60" s="12"/>
      <c r="NH60" s="12"/>
      <c r="NI60" s="12"/>
      <c r="NJ60" s="12"/>
      <c r="NK60" s="12"/>
      <c r="NL60" s="12"/>
      <c r="NM60" s="12"/>
      <c r="NN60" s="12"/>
      <c r="NO60" s="12"/>
      <c r="NP60" s="12"/>
      <c r="NQ60" s="12"/>
      <c r="NR60" s="12"/>
      <c r="NS60" s="12"/>
      <c r="NT60" s="12"/>
      <c r="NU60" s="12"/>
      <c r="NV60" s="12"/>
      <c r="NW60" s="12"/>
      <c r="NX60" s="12"/>
      <c r="NY60" s="12"/>
      <c r="NZ60" s="12"/>
      <c r="OA60" s="12"/>
      <c r="OB60" s="12"/>
      <c r="OC60" s="12"/>
      <c r="OD60" s="12"/>
      <c r="OE60" s="12"/>
      <c r="OF60" s="12"/>
      <c r="OG60" s="12"/>
      <c r="OH60" s="12"/>
      <c r="OI60" s="12"/>
      <c r="OJ60" s="12"/>
      <c r="OK60" s="12"/>
      <c r="OL60" s="12"/>
      <c r="OM60" s="12"/>
      <c r="ON60" s="12"/>
      <c r="OO60" s="12"/>
      <c r="OP60" s="12"/>
      <c r="OQ60" s="12"/>
      <c r="OR60" s="12"/>
      <c r="OS60" s="12"/>
      <c r="OT60" s="12"/>
      <c r="OU60" s="12"/>
      <c r="OV60" s="12"/>
      <c r="OW60" s="12"/>
      <c r="OX60" s="12"/>
      <c r="OY60" s="12"/>
      <c r="OZ60" s="12"/>
      <c r="PA60" s="12"/>
      <c r="PB60" s="12"/>
      <c r="PC60" s="12"/>
      <c r="PD60" s="12"/>
      <c r="PE60" s="12"/>
      <c r="PF60" s="12"/>
      <c r="PG60" s="12"/>
      <c r="PH60" s="12"/>
      <c r="PI60" s="12"/>
      <c r="PJ60" s="12"/>
      <c r="PK60" s="12"/>
      <c r="PL60" s="12"/>
      <c r="PM60" s="12"/>
      <c r="PN60" s="12"/>
      <c r="PO60" s="12"/>
      <c r="PP60" s="12"/>
      <c r="PQ60" s="12"/>
      <c r="PR60" s="12"/>
      <c r="PS60" s="12"/>
      <c r="PT60" s="12"/>
      <c r="PU60" s="12"/>
      <c r="PV60" s="12"/>
      <c r="PW60" s="12"/>
      <c r="PX60" s="12"/>
      <c r="PY60" s="12"/>
      <c r="PZ60" s="12"/>
      <c r="QA60" s="12"/>
      <c r="QB60" s="12"/>
      <c r="QC60" s="12"/>
      <c r="QD60" s="12"/>
      <c r="QE60" s="12"/>
      <c r="QF60" s="12"/>
      <c r="QG60" s="12"/>
      <c r="QH60" s="12"/>
      <c r="QI60" s="12"/>
      <c r="QJ60" s="12"/>
      <c r="QK60" s="12"/>
      <c r="QL60" s="12"/>
      <c r="QM60" s="12"/>
      <c r="QN60" s="12"/>
      <c r="QO60" s="12"/>
      <c r="QP60" s="12"/>
      <c r="QQ60" s="12"/>
      <c r="QR60" s="12"/>
      <c r="QS60" s="12"/>
      <c r="QT60" s="12"/>
      <c r="QU60" s="12"/>
      <c r="QV60" s="12"/>
      <c r="QW60" s="12"/>
      <c r="QX60" s="12"/>
      <c r="QY60" s="12"/>
      <c r="QZ60" s="12"/>
      <c r="RA60" s="12"/>
      <c r="RB60" s="12"/>
      <c r="RC60" s="12"/>
      <c r="RD60" s="12"/>
      <c r="RE60" s="12"/>
      <c r="RF60" s="12"/>
      <c r="RG60" s="12"/>
      <c r="RH60" s="12"/>
      <c r="RI60" s="12"/>
      <c r="RJ60" s="12"/>
      <c r="RK60" s="12"/>
      <c r="RL60" s="12"/>
      <c r="RM60" s="12"/>
      <c r="RN60" s="12"/>
      <c r="RO60" s="12"/>
      <c r="RP60" s="12"/>
      <c r="RQ60" s="12"/>
      <c r="RR60" s="12"/>
      <c r="RS60" s="12"/>
      <c r="RT60" s="12"/>
      <c r="RU60" s="12"/>
      <c r="RV60" s="12"/>
      <c r="RW60" s="12"/>
      <c r="RX60" s="12"/>
      <c r="RY60" s="12"/>
      <c r="RZ60" s="12"/>
      <c r="SA60" s="12"/>
      <c r="SB60" s="12"/>
      <c r="SC60" s="12"/>
      <c r="SD60" s="12"/>
      <c r="SE60" s="12"/>
      <c r="SF60" s="12"/>
      <c r="SG60" s="12"/>
      <c r="SH60" s="11"/>
      <c r="SI60" s="11"/>
      <c r="SJ60" s="11"/>
      <c r="SK60" s="11"/>
      <c r="SL60" s="11"/>
      <c r="SM60" s="11"/>
      <c r="SN60" s="11"/>
      <c r="SO60" s="11"/>
      <c r="SP60" s="11"/>
      <c r="SQ60" s="11"/>
      <c r="SR60" s="11"/>
      <c r="SS60" s="11"/>
      <c r="ST60" s="11"/>
      <c r="SU60" s="11"/>
      <c r="SV60" s="11"/>
      <c r="SW60" s="11"/>
      <c r="SX60" s="11"/>
      <c r="SY60" s="11"/>
      <c r="SZ60" s="11"/>
      <c r="TA60" s="11"/>
      <c r="TB60" s="11"/>
      <c r="TC60" s="11"/>
      <c r="TD60" s="11"/>
      <c r="TE60" s="11"/>
      <c r="TF60" s="11"/>
      <c r="TG60" s="11"/>
      <c r="TH60" s="11"/>
      <c r="TI60" s="11"/>
      <c r="TJ60" s="11"/>
      <c r="TK60" s="11"/>
      <c r="TL60" s="11"/>
    </row>
    <row r="61" spans="1:532" x14ac:dyDescent="0.2">
      <c r="A61" s="10" t="s">
        <v>60</v>
      </c>
      <c r="B61" s="12">
        <v>14.05</v>
      </c>
      <c r="C61" s="11">
        <v>0</v>
      </c>
      <c r="D61" s="11">
        <v>0.94048486492057204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12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12"/>
      <c r="JX61" s="12"/>
      <c r="JY61" s="12"/>
      <c r="JZ61" s="12"/>
      <c r="KA61" s="12"/>
      <c r="KB61" s="12"/>
      <c r="KC61" s="12"/>
      <c r="KD61" s="12"/>
      <c r="KE61" s="12"/>
      <c r="KF61" s="12"/>
      <c r="KG61" s="12"/>
      <c r="KH61" s="12"/>
      <c r="KI61" s="12"/>
      <c r="KJ61" s="12"/>
      <c r="KK61" s="12"/>
      <c r="KL61" s="12"/>
      <c r="KM61" s="12"/>
      <c r="KN61" s="12"/>
      <c r="KO61" s="12"/>
      <c r="KP61" s="12"/>
      <c r="KQ61" s="12"/>
      <c r="KR61" s="12"/>
      <c r="KS61" s="12"/>
      <c r="KT61" s="12"/>
      <c r="KU61" s="12"/>
      <c r="KV61" s="12"/>
      <c r="KW61" s="12"/>
      <c r="KX61" s="12"/>
      <c r="KY61" s="12"/>
      <c r="KZ61" s="12"/>
      <c r="LA61" s="12"/>
      <c r="LB61" s="12"/>
      <c r="LC61" s="12"/>
      <c r="LD61" s="12"/>
      <c r="LE61" s="12"/>
      <c r="LF61" s="12"/>
      <c r="LG61" s="12"/>
      <c r="LH61" s="12"/>
      <c r="LI61" s="12"/>
      <c r="LJ61" s="12"/>
      <c r="LK61" s="12"/>
      <c r="LL61" s="12"/>
      <c r="LM61" s="12"/>
      <c r="LN61" s="12"/>
      <c r="LO61" s="12"/>
      <c r="LP61" s="12"/>
      <c r="LQ61" s="12"/>
      <c r="LR61" s="12"/>
      <c r="LS61" s="12"/>
      <c r="LT61" s="12"/>
      <c r="LU61" s="12"/>
      <c r="LV61" s="12"/>
      <c r="LW61" s="12"/>
      <c r="LX61" s="12"/>
      <c r="LY61" s="12"/>
      <c r="LZ61" s="12"/>
      <c r="MA61" s="12"/>
      <c r="MB61" s="12"/>
      <c r="MC61" s="12"/>
      <c r="MD61" s="12"/>
      <c r="ME61" s="12"/>
      <c r="MF61" s="12"/>
      <c r="MG61" s="12"/>
      <c r="MH61" s="12"/>
      <c r="MI61" s="12"/>
      <c r="MJ61" s="12"/>
      <c r="MK61" s="12"/>
      <c r="ML61" s="12"/>
      <c r="MM61" s="12"/>
      <c r="MN61" s="12"/>
      <c r="MO61" s="12"/>
      <c r="MP61" s="12"/>
      <c r="MQ61" s="12"/>
      <c r="MR61" s="12"/>
      <c r="MS61" s="12"/>
      <c r="MT61" s="12"/>
      <c r="MU61" s="12"/>
      <c r="MV61" s="12"/>
      <c r="MW61" s="12"/>
      <c r="MX61" s="12"/>
      <c r="MY61" s="12"/>
      <c r="MZ61" s="12"/>
      <c r="NA61" s="12"/>
      <c r="NB61" s="12"/>
      <c r="NC61" s="12"/>
      <c r="ND61" s="12"/>
      <c r="NE61" s="12"/>
      <c r="NF61" s="12"/>
      <c r="NG61" s="12"/>
      <c r="NH61" s="12"/>
      <c r="NI61" s="12"/>
      <c r="NJ61" s="12"/>
      <c r="NK61" s="12"/>
      <c r="NL61" s="12"/>
      <c r="NM61" s="12"/>
      <c r="NN61" s="12"/>
      <c r="NO61" s="12"/>
      <c r="NP61" s="12"/>
      <c r="NQ61" s="12"/>
      <c r="NR61" s="12"/>
      <c r="NS61" s="12"/>
      <c r="NT61" s="12"/>
      <c r="NU61" s="12"/>
      <c r="NV61" s="12"/>
      <c r="NW61" s="12"/>
      <c r="NX61" s="12"/>
      <c r="NY61" s="12"/>
      <c r="NZ61" s="12"/>
      <c r="OA61" s="12"/>
      <c r="OB61" s="12"/>
      <c r="OC61" s="12"/>
      <c r="OD61" s="12"/>
      <c r="OE61" s="12"/>
      <c r="OF61" s="12"/>
      <c r="OG61" s="12"/>
      <c r="OH61" s="12"/>
      <c r="OI61" s="12"/>
      <c r="OJ61" s="12"/>
      <c r="OK61" s="12"/>
      <c r="OL61" s="12"/>
      <c r="OM61" s="12"/>
      <c r="ON61" s="12"/>
      <c r="OO61" s="12"/>
      <c r="OP61" s="12"/>
      <c r="OQ61" s="12"/>
      <c r="OR61" s="12"/>
      <c r="OS61" s="12"/>
      <c r="OT61" s="12"/>
      <c r="OU61" s="12"/>
      <c r="OV61" s="12"/>
      <c r="OW61" s="12"/>
      <c r="OX61" s="12"/>
      <c r="OY61" s="12"/>
      <c r="OZ61" s="12"/>
      <c r="PA61" s="12"/>
      <c r="PB61" s="12"/>
      <c r="PC61" s="12"/>
      <c r="PD61" s="12"/>
      <c r="PE61" s="12"/>
      <c r="PF61" s="12"/>
      <c r="PG61" s="12"/>
      <c r="PH61" s="12"/>
      <c r="PI61" s="12"/>
      <c r="PJ61" s="12"/>
      <c r="PK61" s="12"/>
      <c r="PL61" s="12"/>
      <c r="PM61" s="12"/>
      <c r="PN61" s="12"/>
      <c r="PO61" s="12"/>
      <c r="PP61" s="12"/>
      <c r="PQ61" s="12"/>
      <c r="PR61" s="12"/>
      <c r="PS61" s="12"/>
      <c r="PT61" s="12"/>
      <c r="PU61" s="12"/>
      <c r="PV61" s="12"/>
      <c r="PW61" s="12"/>
      <c r="PX61" s="12"/>
      <c r="PY61" s="12"/>
      <c r="PZ61" s="12"/>
      <c r="QA61" s="12"/>
      <c r="QB61" s="12"/>
      <c r="QC61" s="12"/>
      <c r="QD61" s="12"/>
      <c r="QE61" s="12"/>
      <c r="QF61" s="12"/>
      <c r="QG61" s="12"/>
      <c r="QH61" s="12"/>
      <c r="QI61" s="12"/>
      <c r="QJ61" s="12"/>
      <c r="QK61" s="12"/>
      <c r="QL61" s="12"/>
      <c r="QM61" s="12"/>
      <c r="QN61" s="12"/>
      <c r="QO61" s="12"/>
      <c r="QP61" s="12"/>
      <c r="QQ61" s="12"/>
      <c r="QR61" s="12"/>
      <c r="QS61" s="12"/>
      <c r="QT61" s="12"/>
      <c r="QU61" s="12"/>
      <c r="QV61" s="12"/>
      <c r="QW61" s="12"/>
      <c r="QX61" s="12"/>
      <c r="QY61" s="12"/>
      <c r="QZ61" s="12"/>
      <c r="RA61" s="12"/>
      <c r="RB61" s="12"/>
      <c r="RC61" s="12"/>
      <c r="RD61" s="12"/>
      <c r="RE61" s="12"/>
      <c r="RF61" s="12"/>
      <c r="RG61" s="12"/>
      <c r="RH61" s="12"/>
      <c r="RI61" s="12"/>
      <c r="RJ61" s="12"/>
      <c r="RK61" s="12"/>
      <c r="RL61" s="12"/>
      <c r="RM61" s="12"/>
      <c r="RN61" s="12"/>
      <c r="RO61" s="12"/>
      <c r="RP61" s="12"/>
      <c r="RQ61" s="12"/>
      <c r="RR61" s="12"/>
      <c r="RS61" s="12"/>
      <c r="RT61" s="12"/>
      <c r="RU61" s="12"/>
      <c r="RV61" s="12"/>
      <c r="RW61" s="12"/>
      <c r="RX61" s="12"/>
      <c r="RY61" s="12"/>
      <c r="RZ61" s="12"/>
      <c r="SA61" s="12"/>
      <c r="SB61" s="12"/>
      <c r="SC61" s="12"/>
      <c r="SD61" s="12"/>
      <c r="SE61" s="12"/>
      <c r="SF61" s="12"/>
      <c r="SG61" s="12"/>
      <c r="SH61" s="11"/>
      <c r="SI61" s="11"/>
      <c r="SJ61" s="11"/>
      <c r="SK61" s="11"/>
      <c r="SL61" s="11"/>
      <c r="SM61" s="11"/>
      <c r="SN61" s="11"/>
      <c r="SO61" s="11"/>
      <c r="SP61" s="11"/>
      <c r="SQ61" s="11"/>
      <c r="SR61" s="11"/>
      <c r="SS61" s="11"/>
      <c r="ST61" s="11"/>
      <c r="SU61" s="11"/>
      <c r="SV61" s="11"/>
      <c r="SW61" s="11"/>
      <c r="SX61" s="11"/>
      <c r="SY61" s="11"/>
      <c r="SZ61" s="11"/>
      <c r="TA61" s="11"/>
      <c r="TB61" s="11"/>
      <c r="TC61" s="11"/>
      <c r="TD61" s="11"/>
      <c r="TE61" s="11"/>
      <c r="TF61" s="11"/>
      <c r="TG61" s="11"/>
      <c r="TH61" s="11"/>
      <c r="TI61" s="11"/>
      <c r="TJ61" s="11"/>
      <c r="TK61" s="11"/>
      <c r="TL61" s="11"/>
    </row>
    <row r="62" spans="1:532" x14ac:dyDescent="0.2">
      <c r="A62" s="10" t="s">
        <v>61</v>
      </c>
      <c r="B62" s="12">
        <v>13.98</v>
      </c>
      <c r="C62" s="11">
        <v>0</v>
      </c>
      <c r="D62" s="11">
        <v>1.0097837497041933</v>
      </c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12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12"/>
      <c r="JX62" s="12"/>
      <c r="JY62" s="12"/>
      <c r="JZ62" s="12"/>
      <c r="KA62" s="12"/>
      <c r="KB62" s="12"/>
      <c r="KC62" s="12"/>
      <c r="KD62" s="12"/>
      <c r="KE62" s="12"/>
      <c r="KF62" s="12"/>
      <c r="KG62" s="12"/>
      <c r="KH62" s="12"/>
      <c r="KI62" s="12"/>
      <c r="KJ62" s="12"/>
      <c r="KK62" s="12"/>
      <c r="KL62" s="12"/>
      <c r="KM62" s="12"/>
      <c r="KN62" s="12"/>
      <c r="KO62" s="12"/>
      <c r="KP62" s="12"/>
      <c r="KQ62" s="12"/>
      <c r="KR62" s="12"/>
      <c r="KS62" s="12"/>
      <c r="KT62" s="12"/>
      <c r="KU62" s="12"/>
      <c r="KV62" s="12"/>
      <c r="KW62" s="12"/>
      <c r="KX62" s="12"/>
      <c r="KY62" s="12"/>
      <c r="KZ62" s="12"/>
      <c r="LA62" s="12"/>
      <c r="LB62" s="12"/>
      <c r="LC62" s="12"/>
      <c r="LD62" s="12"/>
      <c r="LE62" s="12"/>
      <c r="LF62" s="12"/>
      <c r="LG62" s="12"/>
      <c r="LH62" s="12"/>
      <c r="LI62" s="12"/>
      <c r="LJ62" s="12"/>
      <c r="LK62" s="12"/>
      <c r="LL62" s="12"/>
      <c r="LM62" s="12"/>
      <c r="LN62" s="12"/>
      <c r="LO62" s="12"/>
      <c r="LP62" s="12"/>
      <c r="LQ62" s="12"/>
      <c r="LR62" s="12"/>
      <c r="LS62" s="12"/>
      <c r="LT62" s="12"/>
      <c r="LU62" s="12"/>
      <c r="LV62" s="12"/>
      <c r="LW62" s="12"/>
      <c r="LX62" s="12"/>
      <c r="LY62" s="12"/>
      <c r="LZ62" s="12"/>
      <c r="MA62" s="12"/>
      <c r="MB62" s="12"/>
      <c r="MC62" s="12"/>
      <c r="MD62" s="12"/>
      <c r="ME62" s="12"/>
      <c r="MF62" s="12"/>
      <c r="MG62" s="12"/>
      <c r="MH62" s="12"/>
      <c r="MI62" s="12"/>
      <c r="MJ62" s="12"/>
      <c r="MK62" s="12"/>
      <c r="ML62" s="12"/>
      <c r="MM62" s="12"/>
      <c r="MN62" s="12"/>
      <c r="MO62" s="12"/>
      <c r="MP62" s="12"/>
      <c r="MQ62" s="12"/>
      <c r="MR62" s="12"/>
      <c r="MS62" s="12"/>
      <c r="MT62" s="12"/>
      <c r="MU62" s="12"/>
      <c r="MV62" s="12"/>
      <c r="MW62" s="12"/>
      <c r="MX62" s="12"/>
      <c r="MY62" s="12"/>
      <c r="MZ62" s="12"/>
      <c r="NA62" s="12"/>
      <c r="NB62" s="12"/>
      <c r="NC62" s="12"/>
      <c r="ND62" s="12"/>
      <c r="NE62" s="12"/>
      <c r="NF62" s="12"/>
      <c r="NG62" s="12"/>
      <c r="NH62" s="12"/>
      <c r="NI62" s="12"/>
      <c r="NJ62" s="12"/>
      <c r="NK62" s="12"/>
      <c r="NL62" s="12"/>
      <c r="NM62" s="12"/>
      <c r="NN62" s="12"/>
      <c r="NO62" s="12"/>
      <c r="NP62" s="12"/>
      <c r="NQ62" s="12"/>
      <c r="NR62" s="12"/>
      <c r="NS62" s="12"/>
      <c r="NT62" s="12"/>
      <c r="NU62" s="12"/>
      <c r="NV62" s="12"/>
      <c r="NW62" s="12"/>
      <c r="NX62" s="12"/>
      <c r="NY62" s="12"/>
      <c r="NZ62" s="12"/>
      <c r="OA62" s="12"/>
      <c r="OB62" s="12"/>
      <c r="OC62" s="12"/>
      <c r="OD62" s="12"/>
      <c r="OE62" s="12"/>
      <c r="OF62" s="12"/>
      <c r="OG62" s="12"/>
      <c r="OH62" s="12"/>
      <c r="OI62" s="12"/>
      <c r="OJ62" s="12"/>
      <c r="OK62" s="12"/>
      <c r="OL62" s="12"/>
      <c r="OM62" s="12"/>
      <c r="ON62" s="12"/>
      <c r="OO62" s="12"/>
      <c r="OP62" s="12"/>
      <c r="OQ62" s="12"/>
      <c r="OR62" s="12"/>
      <c r="OS62" s="12"/>
      <c r="OT62" s="12"/>
      <c r="OU62" s="12"/>
      <c r="OV62" s="12"/>
      <c r="OW62" s="12"/>
      <c r="OX62" s="12"/>
      <c r="OY62" s="12"/>
      <c r="OZ62" s="12"/>
      <c r="PA62" s="12"/>
      <c r="PB62" s="12"/>
      <c r="PC62" s="12"/>
      <c r="PD62" s="12"/>
      <c r="PE62" s="12"/>
      <c r="PF62" s="12"/>
      <c r="PG62" s="12"/>
      <c r="PH62" s="12"/>
      <c r="PI62" s="12"/>
      <c r="PJ62" s="12"/>
      <c r="PK62" s="12"/>
      <c r="PL62" s="12"/>
      <c r="PM62" s="12"/>
      <c r="PN62" s="12"/>
      <c r="PO62" s="12"/>
      <c r="PP62" s="12"/>
      <c r="PQ62" s="12"/>
      <c r="PR62" s="12"/>
      <c r="PS62" s="12"/>
      <c r="PT62" s="12"/>
      <c r="PU62" s="12"/>
      <c r="PV62" s="12"/>
      <c r="PW62" s="12"/>
      <c r="PX62" s="12"/>
      <c r="PY62" s="12"/>
      <c r="PZ62" s="12"/>
      <c r="QA62" s="12"/>
      <c r="QB62" s="12"/>
      <c r="QC62" s="12"/>
      <c r="QD62" s="12"/>
      <c r="QE62" s="12"/>
      <c r="QF62" s="12"/>
      <c r="QG62" s="12"/>
      <c r="QH62" s="12"/>
      <c r="QI62" s="12"/>
      <c r="QJ62" s="12"/>
      <c r="QK62" s="12"/>
      <c r="QL62" s="12"/>
      <c r="QM62" s="12"/>
      <c r="QN62" s="12"/>
      <c r="QO62" s="12"/>
      <c r="QP62" s="12"/>
      <c r="QQ62" s="12"/>
      <c r="QR62" s="12"/>
      <c r="QS62" s="12"/>
      <c r="QT62" s="12"/>
      <c r="QU62" s="12"/>
      <c r="QV62" s="12"/>
      <c r="QW62" s="12"/>
      <c r="QX62" s="12"/>
      <c r="QY62" s="12"/>
      <c r="QZ62" s="12"/>
      <c r="RA62" s="12"/>
      <c r="RB62" s="12"/>
      <c r="RC62" s="12"/>
      <c r="RD62" s="12"/>
      <c r="RE62" s="12"/>
      <c r="RF62" s="12"/>
      <c r="RG62" s="12"/>
      <c r="RH62" s="12"/>
      <c r="RI62" s="12"/>
      <c r="RJ62" s="12"/>
      <c r="RK62" s="12"/>
      <c r="RL62" s="12"/>
      <c r="RM62" s="12"/>
      <c r="RN62" s="12"/>
      <c r="RO62" s="12"/>
      <c r="RP62" s="12"/>
      <c r="RQ62" s="12"/>
      <c r="RR62" s="12"/>
      <c r="RS62" s="12"/>
      <c r="RT62" s="12"/>
      <c r="RU62" s="12"/>
      <c r="RV62" s="12"/>
      <c r="RW62" s="12"/>
      <c r="RX62" s="12"/>
      <c r="RY62" s="12"/>
      <c r="RZ62" s="12"/>
      <c r="SA62" s="12"/>
      <c r="SB62" s="12"/>
      <c r="SC62" s="12"/>
      <c r="SD62" s="12"/>
      <c r="SE62" s="12"/>
      <c r="SF62" s="12"/>
      <c r="SG62" s="12"/>
      <c r="SH62" s="11"/>
      <c r="SI62" s="11"/>
      <c r="SJ62" s="11"/>
      <c r="SK62" s="11"/>
      <c r="SL62" s="11"/>
      <c r="SM62" s="11"/>
      <c r="SN62" s="11"/>
      <c r="SO62" s="11"/>
      <c r="SP62" s="11"/>
      <c r="SQ62" s="11"/>
      <c r="SR62" s="11"/>
      <c r="SS62" s="11"/>
      <c r="ST62" s="11"/>
      <c r="SU62" s="11"/>
      <c r="SV62" s="11"/>
      <c r="SW62" s="11"/>
      <c r="SX62" s="11"/>
      <c r="SY62" s="11"/>
      <c r="SZ62" s="11"/>
      <c r="TA62" s="11"/>
      <c r="TB62" s="11"/>
      <c r="TC62" s="11"/>
      <c r="TD62" s="11"/>
      <c r="TE62" s="11"/>
      <c r="TF62" s="11"/>
      <c r="TG62" s="11"/>
      <c r="TH62" s="11"/>
      <c r="TI62" s="11"/>
      <c r="TJ62" s="11"/>
      <c r="TK62" s="11"/>
      <c r="TL62" s="11"/>
    </row>
    <row r="63" spans="1:532" x14ac:dyDescent="0.2">
      <c r="A63" s="10" t="s">
        <v>62</v>
      </c>
      <c r="B63" s="12">
        <v>15.02</v>
      </c>
      <c r="C63" s="11">
        <v>1.9799681366748888E-2</v>
      </c>
      <c r="D63" s="11">
        <v>0</v>
      </c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2"/>
      <c r="LU63" s="12"/>
      <c r="LV63" s="12"/>
      <c r="LW63" s="12"/>
      <c r="LX63" s="12"/>
      <c r="LY63" s="12"/>
      <c r="LZ63" s="12"/>
      <c r="MA63" s="12"/>
      <c r="MB63" s="12"/>
      <c r="MC63" s="12"/>
      <c r="MD63" s="12"/>
      <c r="ME63" s="12"/>
      <c r="MF63" s="12"/>
      <c r="MG63" s="12"/>
      <c r="MH63" s="12"/>
      <c r="MI63" s="12"/>
      <c r="MJ63" s="12"/>
      <c r="MK63" s="12"/>
      <c r="ML63" s="12"/>
      <c r="MM63" s="12"/>
      <c r="MN63" s="12"/>
      <c r="MO63" s="12"/>
      <c r="MP63" s="12"/>
      <c r="MQ63" s="12"/>
      <c r="MR63" s="12"/>
      <c r="MS63" s="12"/>
      <c r="MT63" s="12"/>
      <c r="MU63" s="12"/>
      <c r="MV63" s="12"/>
      <c r="MW63" s="12"/>
      <c r="MX63" s="12"/>
      <c r="MY63" s="12"/>
      <c r="MZ63" s="12"/>
      <c r="NA63" s="12"/>
      <c r="NB63" s="12"/>
      <c r="NC63" s="12"/>
      <c r="ND63" s="12"/>
      <c r="NE63" s="12"/>
      <c r="NF63" s="12"/>
      <c r="NG63" s="12"/>
      <c r="NH63" s="12"/>
      <c r="NI63" s="12"/>
      <c r="NJ63" s="12"/>
      <c r="NK63" s="12"/>
      <c r="NL63" s="12"/>
      <c r="NM63" s="12"/>
      <c r="NN63" s="12"/>
      <c r="NO63" s="12"/>
      <c r="NP63" s="12"/>
      <c r="NQ63" s="12"/>
      <c r="NR63" s="12"/>
      <c r="NS63" s="12"/>
      <c r="NT63" s="12"/>
      <c r="NU63" s="12"/>
      <c r="NV63" s="12"/>
      <c r="NW63" s="12"/>
      <c r="NX63" s="12"/>
      <c r="NY63" s="12"/>
      <c r="NZ63" s="12"/>
      <c r="OA63" s="12"/>
      <c r="OB63" s="12"/>
      <c r="OC63" s="12"/>
      <c r="OD63" s="12"/>
      <c r="OE63" s="12"/>
      <c r="OF63" s="12"/>
      <c r="OG63" s="12"/>
      <c r="OH63" s="12"/>
      <c r="OI63" s="12"/>
      <c r="OJ63" s="12"/>
      <c r="OK63" s="12"/>
      <c r="OL63" s="12"/>
      <c r="OM63" s="12"/>
      <c r="ON63" s="12"/>
      <c r="OO63" s="12"/>
      <c r="OP63" s="12"/>
      <c r="OQ63" s="12"/>
      <c r="OR63" s="12"/>
      <c r="OS63" s="12"/>
      <c r="OT63" s="12"/>
      <c r="OU63" s="12"/>
      <c r="OV63" s="12"/>
      <c r="OW63" s="12"/>
      <c r="OX63" s="12"/>
      <c r="OY63" s="12"/>
      <c r="OZ63" s="12"/>
      <c r="PA63" s="12"/>
      <c r="PB63" s="12"/>
      <c r="PC63" s="12"/>
      <c r="PD63" s="12"/>
      <c r="PE63" s="12"/>
      <c r="PF63" s="12"/>
      <c r="PG63" s="12"/>
      <c r="PH63" s="12"/>
      <c r="PI63" s="12"/>
      <c r="PJ63" s="12"/>
      <c r="PK63" s="12"/>
      <c r="PL63" s="12"/>
      <c r="PM63" s="12"/>
      <c r="PN63" s="12"/>
      <c r="PO63" s="12"/>
      <c r="PP63" s="12"/>
      <c r="PQ63" s="12"/>
      <c r="PR63" s="12"/>
      <c r="PS63" s="12"/>
      <c r="PT63" s="12"/>
      <c r="PU63" s="12"/>
      <c r="PV63" s="12"/>
      <c r="PW63" s="12"/>
      <c r="PX63" s="12"/>
      <c r="PY63" s="12"/>
      <c r="PZ63" s="12"/>
      <c r="QA63" s="12"/>
      <c r="QB63" s="12"/>
      <c r="QC63" s="12"/>
      <c r="QD63" s="12"/>
      <c r="QE63" s="12"/>
      <c r="QF63" s="12"/>
      <c r="QG63" s="12"/>
      <c r="QH63" s="12"/>
      <c r="QI63" s="12"/>
      <c r="QJ63" s="12"/>
      <c r="QK63" s="12"/>
      <c r="QL63" s="12"/>
      <c r="QM63" s="12"/>
      <c r="QN63" s="12"/>
      <c r="QO63" s="12"/>
      <c r="QP63" s="12"/>
      <c r="QQ63" s="12"/>
      <c r="QR63" s="12"/>
      <c r="QS63" s="12"/>
      <c r="QT63" s="12"/>
      <c r="QU63" s="12"/>
      <c r="QV63" s="12"/>
      <c r="QW63" s="12"/>
      <c r="QX63" s="12"/>
      <c r="QY63" s="12"/>
      <c r="QZ63" s="12"/>
      <c r="RA63" s="12"/>
      <c r="RB63" s="12"/>
      <c r="RC63" s="12"/>
      <c r="RD63" s="12"/>
      <c r="RE63" s="12"/>
      <c r="RF63" s="12"/>
      <c r="RG63" s="12"/>
      <c r="RH63" s="12"/>
      <c r="RI63" s="12"/>
      <c r="RJ63" s="12"/>
      <c r="RK63" s="12"/>
      <c r="RL63" s="12"/>
      <c r="RM63" s="12"/>
      <c r="RN63" s="12"/>
      <c r="RO63" s="12"/>
      <c r="RP63" s="12"/>
      <c r="RQ63" s="12"/>
      <c r="RR63" s="12"/>
      <c r="RS63" s="12"/>
      <c r="RT63" s="12"/>
      <c r="RU63" s="12"/>
      <c r="RV63" s="12"/>
      <c r="RW63" s="12"/>
      <c r="RX63" s="12"/>
      <c r="RY63" s="12"/>
      <c r="RZ63" s="12"/>
      <c r="SA63" s="12"/>
      <c r="SB63" s="12"/>
      <c r="SC63" s="12"/>
      <c r="SD63" s="12"/>
      <c r="SE63" s="12"/>
      <c r="SF63" s="12"/>
      <c r="SG63" s="12"/>
      <c r="SH63" s="11"/>
      <c r="SI63" s="11"/>
      <c r="SJ63" s="11"/>
      <c r="SK63" s="11"/>
      <c r="SL63" s="11"/>
      <c r="SM63" s="11"/>
      <c r="SN63" s="11"/>
      <c r="SO63" s="11"/>
      <c r="SP63" s="11"/>
      <c r="SQ63" s="11"/>
      <c r="SR63" s="11"/>
      <c r="SS63" s="11"/>
      <c r="ST63" s="11"/>
      <c r="SU63" s="11"/>
      <c r="SV63" s="11"/>
      <c r="SW63" s="11"/>
      <c r="SX63" s="11"/>
      <c r="SY63" s="11"/>
      <c r="SZ63" s="11"/>
      <c r="TA63" s="11"/>
      <c r="TB63" s="11"/>
      <c r="TC63" s="11"/>
      <c r="TD63" s="11"/>
      <c r="TE63" s="11"/>
      <c r="TF63" s="11"/>
      <c r="TG63" s="11"/>
      <c r="TH63" s="11"/>
      <c r="TI63" s="11"/>
      <c r="TJ63" s="11"/>
      <c r="TK63" s="11"/>
      <c r="TL63" s="11"/>
    </row>
    <row r="64" spans="1:532" x14ac:dyDescent="0.2">
      <c r="A64" s="10" t="s">
        <v>63</v>
      </c>
      <c r="B64" s="12">
        <v>14.28</v>
      </c>
      <c r="C64" s="11">
        <v>0</v>
      </c>
      <c r="D64" s="11">
        <v>0.71278852920295988</v>
      </c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2"/>
      <c r="LU64" s="12"/>
      <c r="LV64" s="12"/>
      <c r="LW64" s="12"/>
      <c r="LX64" s="12"/>
      <c r="LY64" s="12"/>
      <c r="LZ64" s="12"/>
      <c r="MA64" s="12"/>
      <c r="MB64" s="12"/>
      <c r="MC64" s="12"/>
      <c r="MD64" s="12"/>
      <c r="ME64" s="12"/>
      <c r="MF64" s="12"/>
      <c r="MG64" s="12"/>
      <c r="MH64" s="12"/>
      <c r="MI64" s="12"/>
      <c r="MJ64" s="12"/>
      <c r="MK64" s="12"/>
      <c r="ML64" s="12"/>
      <c r="MM64" s="12"/>
      <c r="MN64" s="12"/>
      <c r="MO64" s="12"/>
      <c r="MP64" s="12"/>
      <c r="MQ64" s="12"/>
      <c r="MR64" s="12"/>
      <c r="MS64" s="12"/>
      <c r="MT64" s="12"/>
      <c r="MU64" s="12"/>
      <c r="MV64" s="12"/>
      <c r="MW64" s="12"/>
      <c r="MX64" s="12"/>
      <c r="MY64" s="12"/>
      <c r="MZ64" s="12"/>
      <c r="NA64" s="12"/>
      <c r="NB64" s="12"/>
      <c r="NC64" s="12"/>
      <c r="ND64" s="12"/>
      <c r="NE64" s="12"/>
      <c r="NF64" s="12"/>
      <c r="NG64" s="12"/>
      <c r="NH64" s="12"/>
      <c r="NI64" s="12"/>
      <c r="NJ64" s="12"/>
      <c r="NK64" s="12"/>
      <c r="NL64" s="12"/>
      <c r="NM64" s="12"/>
      <c r="NN64" s="12"/>
      <c r="NO64" s="12"/>
      <c r="NP64" s="12"/>
      <c r="NQ64" s="12"/>
      <c r="NR64" s="12"/>
      <c r="NS64" s="12"/>
      <c r="NT64" s="12"/>
      <c r="NU64" s="12"/>
      <c r="NV64" s="12"/>
      <c r="NW64" s="12"/>
      <c r="NX64" s="12"/>
      <c r="NY64" s="12"/>
      <c r="NZ64" s="12"/>
      <c r="OA64" s="12"/>
      <c r="OB64" s="12"/>
      <c r="OC64" s="12"/>
      <c r="OD64" s="12"/>
      <c r="OE64" s="12"/>
      <c r="OF64" s="12"/>
      <c r="OG64" s="12"/>
      <c r="OH64" s="12"/>
      <c r="OI64" s="12"/>
      <c r="OJ64" s="12"/>
      <c r="OK64" s="12"/>
      <c r="OL64" s="12"/>
      <c r="OM64" s="12"/>
      <c r="ON64" s="12"/>
      <c r="OO64" s="12"/>
      <c r="OP64" s="12"/>
      <c r="OQ64" s="12"/>
      <c r="OR64" s="12"/>
      <c r="OS64" s="12"/>
      <c r="OT64" s="12"/>
      <c r="OU64" s="12"/>
      <c r="OV64" s="12"/>
      <c r="OW64" s="12"/>
      <c r="OX64" s="12"/>
      <c r="OY64" s="12"/>
      <c r="OZ64" s="12"/>
      <c r="PA64" s="12"/>
      <c r="PB64" s="12"/>
      <c r="PC64" s="12"/>
      <c r="PD64" s="12"/>
      <c r="PE64" s="12"/>
      <c r="PF64" s="12"/>
      <c r="PG64" s="12"/>
      <c r="PH64" s="12"/>
      <c r="PI64" s="12"/>
      <c r="PJ64" s="12"/>
      <c r="PK64" s="12"/>
      <c r="PL64" s="12"/>
      <c r="PM64" s="12"/>
      <c r="PN64" s="12"/>
      <c r="PO64" s="12"/>
      <c r="PP64" s="12"/>
      <c r="PQ64" s="12"/>
      <c r="PR64" s="12"/>
      <c r="PS64" s="12"/>
      <c r="PT64" s="12"/>
      <c r="PU64" s="12"/>
      <c r="PV64" s="12"/>
      <c r="PW64" s="12"/>
      <c r="PX64" s="12"/>
      <c r="PY64" s="12"/>
      <c r="PZ64" s="12"/>
      <c r="QA64" s="12"/>
      <c r="QB64" s="12"/>
      <c r="QC64" s="12"/>
      <c r="QD64" s="12"/>
      <c r="QE64" s="12"/>
      <c r="QF64" s="12"/>
      <c r="QG64" s="12"/>
      <c r="QH64" s="12"/>
      <c r="QI64" s="12"/>
      <c r="QJ64" s="12"/>
      <c r="QK64" s="12"/>
      <c r="QL64" s="12"/>
      <c r="QM64" s="12"/>
      <c r="QN64" s="12"/>
      <c r="QO64" s="12"/>
      <c r="QP64" s="12"/>
      <c r="QQ64" s="12"/>
      <c r="QR64" s="12"/>
      <c r="QS64" s="12"/>
      <c r="QT64" s="12"/>
      <c r="QU64" s="12"/>
      <c r="QV64" s="12"/>
      <c r="QW64" s="12"/>
      <c r="QX64" s="12"/>
      <c r="QY64" s="12"/>
      <c r="QZ64" s="12"/>
      <c r="RA64" s="12"/>
      <c r="RB64" s="12"/>
      <c r="RC64" s="12"/>
      <c r="RD64" s="12"/>
      <c r="RE64" s="12"/>
      <c r="RF64" s="12"/>
      <c r="RG64" s="12"/>
      <c r="RH64" s="12"/>
      <c r="RI64" s="12"/>
      <c r="RJ64" s="12"/>
      <c r="RK64" s="12"/>
      <c r="RL64" s="12"/>
      <c r="RM64" s="12"/>
      <c r="RN64" s="12"/>
      <c r="RO64" s="12"/>
      <c r="RP64" s="12"/>
      <c r="RQ64" s="12"/>
      <c r="RR64" s="12"/>
      <c r="RS64" s="12"/>
      <c r="RT64" s="12"/>
      <c r="RU64" s="12"/>
      <c r="RV64" s="12"/>
      <c r="RW64" s="12"/>
      <c r="RX64" s="12"/>
      <c r="RY64" s="12"/>
      <c r="RZ64" s="12"/>
      <c r="SA64" s="12"/>
      <c r="SB64" s="12"/>
      <c r="SC64" s="12"/>
      <c r="SD64" s="12"/>
      <c r="SE64" s="12"/>
      <c r="SF64" s="12"/>
      <c r="SG64" s="12"/>
      <c r="SH64" s="11"/>
      <c r="SI64" s="11"/>
      <c r="SJ64" s="11"/>
      <c r="SK64" s="11"/>
      <c r="SL64" s="11"/>
      <c r="SM64" s="11"/>
      <c r="SN64" s="11"/>
      <c r="SO64" s="11"/>
      <c r="SP64" s="11"/>
      <c r="SQ64" s="11"/>
      <c r="SR64" s="11"/>
      <c r="SS64" s="11"/>
      <c r="ST64" s="11"/>
      <c r="SU64" s="11"/>
      <c r="SV64" s="11"/>
      <c r="SW64" s="11"/>
      <c r="SX64" s="11"/>
      <c r="SY64" s="11"/>
      <c r="SZ64" s="11"/>
      <c r="TA64" s="11"/>
      <c r="TB64" s="11"/>
      <c r="TC64" s="11"/>
      <c r="TD64" s="11"/>
      <c r="TE64" s="11"/>
      <c r="TF64" s="11"/>
      <c r="TG64" s="11"/>
      <c r="TH64" s="11"/>
      <c r="TI64" s="11"/>
      <c r="TJ64" s="11"/>
      <c r="TK64" s="11"/>
      <c r="TL64" s="11"/>
    </row>
    <row r="65" spans="1:532" x14ac:dyDescent="0.2">
      <c r="A65" s="10" t="s">
        <v>64</v>
      </c>
      <c r="B65" s="12">
        <v>15.48</v>
      </c>
      <c r="C65" s="11">
        <v>0.47519235280197325</v>
      </c>
      <c r="D65" s="11">
        <v>0</v>
      </c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/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/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/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/>
      <c r="LR65" s="12"/>
      <c r="LS65" s="12"/>
      <c r="LT65" s="12"/>
      <c r="LU65" s="12"/>
      <c r="LV65" s="12"/>
      <c r="LW65" s="12"/>
      <c r="LX65" s="12"/>
      <c r="LY65" s="12"/>
      <c r="LZ65" s="12"/>
      <c r="MA65" s="12"/>
      <c r="MB65" s="12"/>
      <c r="MC65" s="12"/>
      <c r="MD65" s="12"/>
      <c r="ME65" s="12"/>
      <c r="MF65" s="12"/>
      <c r="MG65" s="12"/>
      <c r="MH65" s="12"/>
      <c r="MI65" s="12"/>
      <c r="MJ65" s="12"/>
      <c r="MK65" s="12"/>
      <c r="ML65" s="12"/>
      <c r="MM65" s="12"/>
      <c r="MN65" s="12"/>
      <c r="MO65" s="12"/>
      <c r="MP65" s="12"/>
      <c r="MQ65" s="12"/>
      <c r="MR65" s="12"/>
      <c r="MS65" s="12"/>
      <c r="MT65" s="12"/>
      <c r="MU65" s="12"/>
      <c r="MV65" s="12"/>
      <c r="MW65" s="12"/>
      <c r="MX65" s="12"/>
      <c r="MY65" s="12"/>
      <c r="MZ65" s="12"/>
      <c r="NA65" s="12"/>
      <c r="NB65" s="12"/>
      <c r="NC65" s="12"/>
      <c r="ND65" s="12"/>
      <c r="NE65" s="12"/>
      <c r="NF65" s="12"/>
      <c r="NG65" s="12"/>
      <c r="NH65" s="12"/>
      <c r="NI65" s="12"/>
      <c r="NJ65" s="12"/>
      <c r="NK65" s="12"/>
      <c r="NL65" s="12"/>
      <c r="NM65" s="12"/>
      <c r="NN65" s="12"/>
      <c r="NO65" s="12"/>
      <c r="NP65" s="12"/>
      <c r="NQ65" s="12"/>
      <c r="NR65" s="12"/>
      <c r="NS65" s="12"/>
      <c r="NT65" s="12"/>
      <c r="NU65" s="12"/>
      <c r="NV65" s="12"/>
      <c r="NW65" s="12"/>
      <c r="NX65" s="12"/>
      <c r="NY65" s="12"/>
      <c r="NZ65" s="12"/>
      <c r="OA65" s="12"/>
      <c r="OB65" s="12"/>
      <c r="OC65" s="12"/>
      <c r="OD65" s="12"/>
      <c r="OE65" s="12"/>
      <c r="OF65" s="12"/>
      <c r="OG65" s="12"/>
      <c r="OH65" s="12"/>
      <c r="OI65" s="12"/>
      <c r="OJ65" s="12"/>
      <c r="OK65" s="12"/>
      <c r="OL65" s="12"/>
      <c r="OM65" s="12"/>
      <c r="ON65" s="12"/>
      <c r="OO65" s="12"/>
      <c r="OP65" s="12"/>
      <c r="OQ65" s="12"/>
      <c r="OR65" s="12"/>
      <c r="OS65" s="12"/>
      <c r="OT65" s="12"/>
      <c r="OU65" s="12"/>
      <c r="OV65" s="12"/>
      <c r="OW65" s="12"/>
      <c r="OX65" s="12"/>
      <c r="OY65" s="12"/>
      <c r="OZ65" s="12"/>
      <c r="PA65" s="12"/>
      <c r="PB65" s="12"/>
      <c r="PC65" s="12"/>
      <c r="PD65" s="12"/>
      <c r="PE65" s="12"/>
      <c r="PF65" s="12"/>
      <c r="PG65" s="12"/>
      <c r="PH65" s="12"/>
      <c r="PI65" s="12"/>
      <c r="PJ65" s="12"/>
      <c r="PK65" s="12"/>
      <c r="PL65" s="12"/>
      <c r="PM65" s="12"/>
      <c r="PN65" s="12"/>
      <c r="PO65" s="12"/>
      <c r="PP65" s="12"/>
      <c r="PQ65" s="12"/>
      <c r="PR65" s="12"/>
      <c r="PS65" s="12"/>
      <c r="PT65" s="12"/>
      <c r="PU65" s="12"/>
      <c r="PV65" s="12"/>
      <c r="PW65" s="12"/>
      <c r="PX65" s="12"/>
      <c r="PY65" s="12"/>
      <c r="PZ65" s="12"/>
      <c r="QA65" s="12"/>
      <c r="QB65" s="12"/>
      <c r="QC65" s="12"/>
      <c r="QD65" s="12"/>
      <c r="QE65" s="12"/>
      <c r="QF65" s="12"/>
      <c r="QG65" s="12"/>
      <c r="QH65" s="12"/>
      <c r="QI65" s="12"/>
      <c r="QJ65" s="12"/>
      <c r="QK65" s="12"/>
      <c r="QL65" s="12"/>
      <c r="QM65" s="12"/>
      <c r="QN65" s="12"/>
      <c r="QO65" s="12"/>
      <c r="QP65" s="12"/>
      <c r="QQ65" s="12"/>
      <c r="QR65" s="12"/>
      <c r="QS65" s="12"/>
      <c r="QT65" s="12"/>
      <c r="QU65" s="12"/>
      <c r="QV65" s="12"/>
      <c r="QW65" s="12"/>
      <c r="QX65" s="12"/>
      <c r="QY65" s="12"/>
      <c r="QZ65" s="12"/>
      <c r="RA65" s="12"/>
      <c r="RB65" s="12"/>
      <c r="RC65" s="12"/>
      <c r="RD65" s="12"/>
      <c r="RE65" s="12"/>
      <c r="RF65" s="12"/>
      <c r="RG65" s="12"/>
      <c r="RH65" s="12"/>
      <c r="RI65" s="12"/>
      <c r="RJ65" s="12"/>
      <c r="RK65" s="12"/>
      <c r="RL65" s="12"/>
      <c r="RM65" s="12"/>
      <c r="RN65" s="12"/>
      <c r="RO65" s="12"/>
      <c r="RP65" s="12"/>
      <c r="RQ65" s="12"/>
      <c r="RR65" s="12"/>
      <c r="RS65" s="12"/>
      <c r="RT65" s="12"/>
      <c r="RU65" s="12"/>
      <c r="RV65" s="12"/>
      <c r="RW65" s="12"/>
      <c r="RX65" s="12"/>
      <c r="RY65" s="12"/>
      <c r="RZ65" s="12"/>
      <c r="SA65" s="12"/>
      <c r="SB65" s="12"/>
      <c r="SC65" s="12"/>
      <c r="SD65" s="12"/>
      <c r="SE65" s="12"/>
      <c r="SF65" s="12"/>
      <c r="SG65" s="12"/>
      <c r="SH65" s="11"/>
      <c r="SI65" s="11"/>
      <c r="SJ65" s="11"/>
      <c r="SK65" s="11"/>
      <c r="SL65" s="11"/>
      <c r="SM65" s="11"/>
      <c r="SN65" s="11"/>
      <c r="SO65" s="11"/>
      <c r="SP65" s="11"/>
      <c r="SQ65" s="11"/>
      <c r="SR65" s="11"/>
      <c r="SS65" s="11"/>
      <c r="ST65" s="11"/>
      <c r="SU65" s="11"/>
      <c r="SV65" s="11"/>
      <c r="SW65" s="11"/>
      <c r="SX65" s="11"/>
      <c r="SY65" s="11"/>
      <c r="SZ65" s="11"/>
      <c r="TA65" s="11"/>
      <c r="TB65" s="11"/>
      <c r="TC65" s="11"/>
      <c r="TD65" s="11"/>
      <c r="TE65" s="11"/>
      <c r="TF65" s="11"/>
      <c r="TG65" s="11"/>
      <c r="TH65" s="11"/>
      <c r="TI65" s="11"/>
      <c r="TJ65" s="11"/>
      <c r="TK65" s="11"/>
      <c r="TL65" s="11"/>
    </row>
    <row r="66" spans="1:532" x14ac:dyDescent="0.2">
      <c r="A66" s="10" t="s">
        <v>65</v>
      </c>
      <c r="B66" s="12">
        <v>14.54</v>
      </c>
      <c r="C66" s="11">
        <v>0</v>
      </c>
      <c r="D66" s="11">
        <v>0.45539267143522444</v>
      </c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2"/>
      <c r="LU66" s="12"/>
      <c r="LV66" s="12"/>
      <c r="LW66" s="12"/>
      <c r="LX66" s="12"/>
      <c r="LY66" s="12"/>
      <c r="LZ66" s="12"/>
      <c r="MA66" s="12"/>
      <c r="MB66" s="12"/>
      <c r="MC66" s="12"/>
      <c r="MD66" s="12"/>
      <c r="ME66" s="12"/>
      <c r="MF66" s="12"/>
      <c r="MG66" s="12"/>
      <c r="MH66" s="12"/>
      <c r="MI66" s="12"/>
      <c r="MJ66" s="12"/>
      <c r="MK66" s="12"/>
      <c r="ML66" s="12"/>
      <c r="MM66" s="12"/>
      <c r="MN66" s="12"/>
      <c r="MO66" s="12"/>
      <c r="MP66" s="12"/>
      <c r="MQ66" s="12"/>
      <c r="MR66" s="12"/>
      <c r="MS66" s="12"/>
      <c r="MT66" s="12"/>
      <c r="MU66" s="12"/>
      <c r="MV66" s="12"/>
      <c r="MW66" s="12"/>
      <c r="MX66" s="12"/>
      <c r="MY66" s="12"/>
      <c r="MZ66" s="12"/>
      <c r="NA66" s="12"/>
      <c r="NB66" s="12"/>
      <c r="NC66" s="12"/>
      <c r="ND66" s="12"/>
      <c r="NE66" s="12"/>
      <c r="NF66" s="12"/>
      <c r="NG66" s="12"/>
      <c r="NH66" s="12"/>
      <c r="NI66" s="12"/>
      <c r="NJ66" s="12"/>
      <c r="NK66" s="12"/>
      <c r="NL66" s="12"/>
      <c r="NM66" s="12"/>
      <c r="NN66" s="12"/>
      <c r="NO66" s="12"/>
      <c r="NP66" s="12"/>
      <c r="NQ66" s="12"/>
      <c r="NR66" s="12"/>
      <c r="NS66" s="12"/>
      <c r="NT66" s="12"/>
      <c r="NU66" s="12"/>
      <c r="NV66" s="12"/>
      <c r="NW66" s="12"/>
      <c r="NX66" s="12"/>
      <c r="NY66" s="12"/>
      <c r="NZ66" s="12"/>
      <c r="OA66" s="12"/>
      <c r="OB66" s="12"/>
      <c r="OC66" s="12"/>
      <c r="OD66" s="12"/>
      <c r="OE66" s="12"/>
      <c r="OF66" s="12"/>
      <c r="OG66" s="12"/>
      <c r="OH66" s="12"/>
      <c r="OI66" s="12"/>
      <c r="OJ66" s="12"/>
      <c r="OK66" s="12"/>
      <c r="OL66" s="12"/>
      <c r="OM66" s="12"/>
      <c r="ON66" s="12"/>
      <c r="OO66" s="12"/>
      <c r="OP66" s="12"/>
      <c r="OQ66" s="12"/>
      <c r="OR66" s="12"/>
      <c r="OS66" s="12"/>
      <c r="OT66" s="12"/>
      <c r="OU66" s="12"/>
      <c r="OV66" s="12"/>
      <c r="OW66" s="12"/>
      <c r="OX66" s="12"/>
      <c r="OY66" s="12"/>
      <c r="OZ66" s="12"/>
      <c r="PA66" s="12"/>
      <c r="PB66" s="12"/>
      <c r="PC66" s="12"/>
      <c r="PD66" s="12"/>
      <c r="PE66" s="12"/>
      <c r="PF66" s="12"/>
      <c r="PG66" s="12"/>
      <c r="PH66" s="12"/>
      <c r="PI66" s="12"/>
      <c r="PJ66" s="12"/>
      <c r="PK66" s="12"/>
      <c r="PL66" s="12"/>
      <c r="PM66" s="12"/>
      <c r="PN66" s="12"/>
      <c r="PO66" s="12"/>
      <c r="PP66" s="12"/>
      <c r="PQ66" s="12"/>
      <c r="PR66" s="12"/>
      <c r="PS66" s="12"/>
      <c r="PT66" s="12"/>
      <c r="PU66" s="12"/>
      <c r="PV66" s="12"/>
      <c r="PW66" s="12"/>
      <c r="PX66" s="12"/>
      <c r="PY66" s="12"/>
      <c r="PZ66" s="12"/>
      <c r="QA66" s="12"/>
      <c r="QB66" s="12"/>
      <c r="QC66" s="12"/>
      <c r="QD66" s="12"/>
      <c r="QE66" s="12"/>
      <c r="QF66" s="12"/>
      <c r="QG66" s="12"/>
      <c r="QH66" s="12"/>
      <c r="QI66" s="12"/>
      <c r="QJ66" s="12"/>
      <c r="QK66" s="12"/>
      <c r="QL66" s="12"/>
      <c r="QM66" s="12"/>
      <c r="QN66" s="12"/>
      <c r="QO66" s="12"/>
      <c r="QP66" s="12"/>
      <c r="QQ66" s="12"/>
      <c r="QR66" s="12"/>
      <c r="QS66" s="12"/>
      <c r="QT66" s="12"/>
      <c r="QU66" s="12"/>
      <c r="QV66" s="12"/>
      <c r="QW66" s="12"/>
      <c r="QX66" s="12"/>
      <c r="QY66" s="12"/>
      <c r="QZ66" s="12"/>
      <c r="RA66" s="12"/>
      <c r="RB66" s="12"/>
      <c r="RC66" s="12"/>
      <c r="RD66" s="12"/>
      <c r="RE66" s="12"/>
      <c r="RF66" s="12"/>
      <c r="RG66" s="12"/>
      <c r="RH66" s="12"/>
      <c r="RI66" s="12"/>
      <c r="RJ66" s="12"/>
      <c r="RK66" s="12"/>
      <c r="RL66" s="12"/>
      <c r="RM66" s="12"/>
      <c r="RN66" s="12"/>
      <c r="RO66" s="12"/>
      <c r="RP66" s="12"/>
      <c r="RQ66" s="12"/>
      <c r="RR66" s="12"/>
      <c r="RS66" s="12"/>
      <c r="RT66" s="12"/>
      <c r="RU66" s="12"/>
      <c r="RV66" s="12"/>
      <c r="RW66" s="12"/>
      <c r="RX66" s="12"/>
      <c r="RY66" s="12"/>
      <c r="RZ66" s="12"/>
      <c r="SA66" s="12"/>
      <c r="SB66" s="12"/>
      <c r="SC66" s="12"/>
      <c r="SD66" s="12"/>
      <c r="SE66" s="12"/>
      <c r="SF66" s="12"/>
      <c r="SG66" s="12"/>
      <c r="SH66" s="11"/>
      <c r="SI66" s="11"/>
      <c r="SJ66" s="11"/>
      <c r="SK66" s="11"/>
      <c r="SL66" s="11"/>
      <c r="SM66" s="11"/>
      <c r="SN66" s="11"/>
      <c r="SO66" s="11"/>
      <c r="SP66" s="11"/>
      <c r="SQ66" s="11"/>
      <c r="SR66" s="11"/>
      <c r="SS66" s="11"/>
      <c r="ST66" s="11"/>
      <c r="SU66" s="11"/>
      <c r="SV66" s="11"/>
      <c r="SW66" s="11"/>
      <c r="SX66" s="11"/>
      <c r="SY66" s="11"/>
      <c r="SZ66" s="11"/>
      <c r="TA66" s="11"/>
      <c r="TB66" s="11"/>
      <c r="TC66" s="11"/>
      <c r="TD66" s="11"/>
      <c r="TE66" s="11"/>
      <c r="TF66" s="11"/>
      <c r="TG66" s="11"/>
      <c r="TH66" s="11"/>
      <c r="TI66" s="11"/>
      <c r="TJ66" s="11"/>
      <c r="TK66" s="11"/>
      <c r="TL66" s="11"/>
    </row>
    <row r="67" spans="1:532" x14ac:dyDescent="0.2">
      <c r="A67" s="10" t="s">
        <v>66</v>
      </c>
      <c r="B67" s="12">
        <v>14.02</v>
      </c>
      <c r="C67" s="11">
        <v>0</v>
      </c>
      <c r="D67" s="11">
        <v>0.97018438697069542</v>
      </c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/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/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/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/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/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/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/>
      <c r="LT67" s="12"/>
      <c r="LU67" s="12"/>
      <c r="LV67" s="12"/>
      <c r="LW67" s="12"/>
      <c r="LX67" s="12"/>
      <c r="LY67" s="12"/>
      <c r="LZ67" s="12"/>
      <c r="MA67" s="12"/>
      <c r="MB67" s="12"/>
      <c r="MC67" s="12"/>
      <c r="MD67" s="12"/>
      <c r="ME67" s="12"/>
      <c r="MF67" s="12"/>
      <c r="MG67" s="12"/>
      <c r="MH67" s="12"/>
      <c r="MI67" s="12"/>
      <c r="MJ67" s="12"/>
      <c r="MK67" s="12"/>
      <c r="ML67" s="12"/>
      <c r="MM67" s="12"/>
      <c r="MN67" s="12"/>
      <c r="MO67" s="12"/>
      <c r="MP67" s="12"/>
      <c r="MQ67" s="12"/>
      <c r="MR67" s="12"/>
      <c r="MS67" s="12"/>
      <c r="MT67" s="12"/>
      <c r="MU67" s="12"/>
      <c r="MV67" s="12"/>
      <c r="MW67" s="12"/>
      <c r="MX67" s="12"/>
      <c r="MY67" s="12"/>
      <c r="MZ67" s="12"/>
      <c r="NA67" s="12"/>
      <c r="NB67" s="12"/>
      <c r="NC67" s="12"/>
      <c r="ND67" s="12"/>
      <c r="NE67" s="12"/>
      <c r="NF67" s="12"/>
      <c r="NG67" s="12"/>
      <c r="NH67" s="12"/>
      <c r="NI67" s="12"/>
      <c r="NJ67" s="12"/>
      <c r="NK67" s="12"/>
      <c r="NL67" s="12"/>
      <c r="NM67" s="12"/>
      <c r="NN67" s="12"/>
      <c r="NO67" s="12"/>
      <c r="NP67" s="12"/>
      <c r="NQ67" s="12"/>
      <c r="NR67" s="12"/>
      <c r="NS67" s="12"/>
      <c r="NT67" s="12"/>
      <c r="NU67" s="12"/>
      <c r="NV67" s="12"/>
      <c r="NW67" s="12"/>
      <c r="NX67" s="12"/>
      <c r="NY67" s="12"/>
      <c r="NZ67" s="12"/>
      <c r="OA67" s="12"/>
      <c r="OB67" s="12"/>
      <c r="OC67" s="12"/>
      <c r="OD67" s="12"/>
      <c r="OE67" s="12"/>
      <c r="OF67" s="12"/>
      <c r="OG67" s="12"/>
      <c r="OH67" s="12"/>
      <c r="OI67" s="12"/>
      <c r="OJ67" s="12"/>
      <c r="OK67" s="12"/>
      <c r="OL67" s="12"/>
      <c r="OM67" s="12"/>
      <c r="ON67" s="12"/>
      <c r="OO67" s="12"/>
      <c r="OP67" s="12"/>
      <c r="OQ67" s="12"/>
      <c r="OR67" s="12"/>
      <c r="OS67" s="12"/>
      <c r="OT67" s="12"/>
      <c r="OU67" s="12"/>
      <c r="OV67" s="12"/>
      <c r="OW67" s="12"/>
      <c r="OX67" s="12"/>
      <c r="OY67" s="12"/>
      <c r="OZ67" s="12"/>
      <c r="PA67" s="12"/>
      <c r="PB67" s="12"/>
      <c r="PC67" s="12"/>
      <c r="PD67" s="12"/>
      <c r="PE67" s="12"/>
      <c r="PF67" s="12"/>
      <c r="PG67" s="12"/>
      <c r="PH67" s="12"/>
      <c r="PI67" s="12"/>
      <c r="PJ67" s="12"/>
      <c r="PK67" s="12"/>
      <c r="PL67" s="12"/>
      <c r="PM67" s="12"/>
      <c r="PN67" s="12"/>
      <c r="PO67" s="12"/>
      <c r="PP67" s="12"/>
      <c r="PQ67" s="12"/>
      <c r="PR67" s="12"/>
      <c r="PS67" s="12"/>
      <c r="PT67" s="12"/>
      <c r="PU67" s="12"/>
      <c r="PV67" s="12"/>
      <c r="PW67" s="12"/>
      <c r="PX67" s="12"/>
      <c r="PY67" s="12"/>
      <c r="PZ67" s="12"/>
      <c r="QA67" s="12"/>
      <c r="QB67" s="12"/>
      <c r="QC67" s="12"/>
      <c r="QD67" s="12"/>
      <c r="QE67" s="12"/>
      <c r="QF67" s="12"/>
      <c r="QG67" s="12"/>
      <c r="QH67" s="12"/>
      <c r="QI67" s="12"/>
      <c r="QJ67" s="12"/>
      <c r="QK67" s="12"/>
      <c r="QL67" s="12"/>
      <c r="QM67" s="12"/>
      <c r="QN67" s="12"/>
      <c r="QO67" s="12"/>
      <c r="QP67" s="12"/>
      <c r="QQ67" s="12"/>
      <c r="QR67" s="12"/>
      <c r="QS67" s="12"/>
      <c r="QT67" s="12"/>
      <c r="QU67" s="12"/>
      <c r="QV67" s="12"/>
      <c r="QW67" s="12"/>
      <c r="QX67" s="12"/>
      <c r="QY67" s="12"/>
      <c r="QZ67" s="12"/>
      <c r="RA67" s="12"/>
      <c r="RB67" s="12"/>
      <c r="RC67" s="12"/>
      <c r="RD67" s="12"/>
      <c r="RE67" s="12"/>
      <c r="RF67" s="12"/>
      <c r="RG67" s="12"/>
      <c r="RH67" s="12"/>
      <c r="RI67" s="12"/>
      <c r="RJ67" s="12"/>
      <c r="RK67" s="12"/>
      <c r="RL67" s="12"/>
      <c r="RM67" s="12"/>
      <c r="RN67" s="12"/>
      <c r="RO67" s="12"/>
      <c r="RP67" s="12"/>
      <c r="RQ67" s="12"/>
      <c r="RR67" s="12"/>
      <c r="RS67" s="12"/>
      <c r="RT67" s="12"/>
      <c r="RU67" s="12"/>
      <c r="RV67" s="12"/>
      <c r="RW67" s="12"/>
      <c r="RX67" s="12"/>
      <c r="RY67" s="12"/>
      <c r="RZ67" s="12"/>
      <c r="SA67" s="12"/>
      <c r="SB67" s="12"/>
      <c r="SC67" s="12"/>
      <c r="SD67" s="12"/>
      <c r="SE67" s="12"/>
      <c r="SF67" s="12"/>
      <c r="SG67" s="12"/>
      <c r="SH67" s="11"/>
      <c r="SI67" s="11"/>
      <c r="SJ67" s="11"/>
      <c r="SK67" s="11"/>
      <c r="SL67" s="11"/>
      <c r="SM67" s="11"/>
      <c r="SN67" s="11"/>
      <c r="SO67" s="11"/>
      <c r="SP67" s="11"/>
      <c r="SQ67" s="11"/>
      <c r="SR67" s="11"/>
      <c r="SS67" s="11"/>
      <c r="ST67" s="11"/>
      <c r="SU67" s="11"/>
      <c r="SV67" s="11"/>
      <c r="SW67" s="11"/>
      <c r="SX67" s="11"/>
      <c r="SY67" s="11"/>
      <c r="SZ67" s="11"/>
      <c r="TA67" s="11"/>
      <c r="TB67" s="11"/>
      <c r="TC67" s="11"/>
      <c r="TD67" s="11"/>
      <c r="TE67" s="11"/>
      <c r="TF67" s="11"/>
      <c r="TG67" s="11"/>
      <c r="TH67" s="11"/>
      <c r="TI67" s="11"/>
      <c r="TJ67" s="11"/>
      <c r="TK67" s="11"/>
      <c r="TL67" s="11"/>
    </row>
    <row r="68" spans="1:532" x14ac:dyDescent="0.2">
      <c r="A68" s="10" t="s">
        <v>67</v>
      </c>
      <c r="B68" s="12">
        <v>14.32</v>
      </c>
      <c r="C68" s="11">
        <v>0</v>
      </c>
      <c r="D68" s="11">
        <v>0.67318916646946225</v>
      </c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/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/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/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/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/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/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/>
      <c r="LR68" s="12"/>
      <c r="LS68" s="12"/>
      <c r="LT68" s="12"/>
      <c r="LU68" s="12"/>
      <c r="LV68" s="12"/>
      <c r="LW68" s="12"/>
      <c r="LX68" s="12"/>
      <c r="LY68" s="12"/>
      <c r="LZ68" s="12"/>
      <c r="MA68" s="12"/>
      <c r="MB68" s="12"/>
      <c r="MC68" s="12"/>
      <c r="MD68" s="12"/>
      <c r="ME68" s="12"/>
      <c r="MF68" s="12"/>
      <c r="MG68" s="12"/>
      <c r="MH68" s="12"/>
      <c r="MI68" s="12"/>
      <c r="MJ68" s="12"/>
      <c r="MK68" s="12"/>
      <c r="ML68" s="12"/>
      <c r="MM68" s="12"/>
      <c r="MN68" s="12"/>
      <c r="MO68" s="12"/>
      <c r="MP68" s="12"/>
      <c r="MQ68" s="12"/>
      <c r="MR68" s="12"/>
      <c r="MS68" s="12"/>
      <c r="MT68" s="12"/>
      <c r="MU68" s="12"/>
      <c r="MV68" s="12"/>
      <c r="MW68" s="12"/>
      <c r="MX68" s="12"/>
      <c r="MY68" s="12"/>
      <c r="MZ68" s="12"/>
      <c r="NA68" s="12"/>
      <c r="NB68" s="12"/>
      <c r="NC68" s="12"/>
      <c r="ND68" s="12"/>
      <c r="NE68" s="12"/>
      <c r="NF68" s="12"/>
      <c r="NG68" s="12"/>
      <c r="NH68" s="12"/>
      <c r="NI68" s="12"/>
      <c r="NJ68" s="12"/>
      <c r="NK68" s="12"/>
      <c r="NL68" s="12"/>
      <c r="NM68" s="12"/>
      <c r="NN68" s="12"/>
      <c r="NO68" s="12"/>
      <c r="NP68" s="12"/>
      <c r="NQ68" s="12"/>
      <c r="NR68" s="12"/>
      <c r="NS68" s="12"/>
      <c r="NT68" s="12"/>
      <c r="NU68" s="12"/>
      <c r="NV68" s="12"/>
      <c r="NW68" s="12"/>
      <c r="NX68" s="12"/>
      <c r="NY68" s="12"/>
      <c r="NZ68" s="12"/>
      <c r="OA68" s="12"/>
      <c r="OB68" s="12"/>
      <c r="OC68" s="12"/>
      <c r="OD68" s="12"/>
      <c r="OE68" s="12"/>
      <c r="OF68" s="12"/>
      <c r="OG68" s="12"/>
      <c r="OH68" s="12"/>
      <c r="OI68" s="12"/>
      <c r="OJ68" s="12"/>
      <c r="OK68" s="12"/>
      <c r="OL68" s="12"/>
      <c r="OM68" s="12"/>
      <c r="ON68" s="12"/>
      <c r="OO68" s="12"/>
      <c r="OP68" s="12"/>
      <c r="OQ68" s="12"/>
      <c r="OR68" s="12"/>
      <c r="OS68" s="12"/>
      <c r="OT68" s="12"/>
      <c r="OU68" s="12"/>
      <c r="OV68" s="12"/>
      <c r="OW68" s="12"/>
      <c r="OX68" s="12"/>
      <c r="OY68" s="12"/>
      <c r="OZ68" s="12"/>
      <c r="PA68" s="12"/>
      <c r="PB68" s="12"/>
      <c r="PC68" s="12"/>
      <c r="PD68" s="12"/>
      <c r="PE68" s="12"/>
      <c r="PF68" s="12"/>
      <c r="PG68" s="12"/>
      <c r="PH68" s="12"/>
      <c r="PI68" s="12"/>
      <c r="PJ68" s="12"/>
      <c r="PK68" s="12"/>
      <c r="PL68" s="12"/>
      <c r="PM68" s="12"/>
      <c r="PN68" s="12"/>
      <c r="PO68" s="12"/>
      <c r="PP68" s="12"/>
      <c r="PQ68" s="12"/>
      <c r="PR68" s="12"/>
      <c r="PS68" s="12"/>
      <c r="PT68" s="12"/>
      <c r="PU68" s="12"/>
      <c r="PV68" s="12"/>
      <c r="PW68" s="12"/>
      <c r="PX68" s="12"/>
      <c r="PY68" s="12"/>
      <c r="PZ68" s="12"/>
      <c r="QA68" s="12"/>
      <c r="QB68" s="12"/>
      <c r="QC68" s="12"/>
      <c r="QD68" s="12"/>
      <c r="QE68" s="12"/>
      <c r="QF68" s="12"/>
      <c r="QG68" s="12"/>
      <c r="QH68" s="12"/>
      <c r="QI68" s="12"/>
      <c r="QJ68" s="12"/>
      <c r="QK68" s="12"/>
      <c r="QL68" s="12"/>
      <c r="QM68" s="12"/>
      <c r="QN68" s="12"/>
      <c r="QO68" s="12"/>
      <c r="QP68" s="12"/>
      <c r="QQ68" s="12"/>
      <c r="QR68" s="12"/>
      <c r="QS68" s="12"/>
      <c r="QT68" s="12"/>
      <c r="QU68" s="12"/>
      <c r="QV68" s="12"/>
      <c r="QW68" s="12"/>
      <c r="QX68" s="12"/>
      <c r="QY68" s="12"/>
      <c r="QZ68" s="12"/>
      <c r="RA68" s="12"/>
      <c r="RB68" s="12"/>
      <c r="RC68" s="12"/>
      <c r="RD68" s="12"/>
      <c r="RE68" s="12"/>
      <c r="RF68" s="12"/>
      <c r="RG68" s="12"/>
      <c r="RH68" s="12"/>
      <c r="RI68" s="12"/>
      <c r="RJ68" s="12"/>
      <c r="RK68" s="12"/>
      <c r="RL68" s="12"/>
      <c r="RM68" s="12"/>
      <c r="RN68" s="12"/>
      <c r="RO68" s="12"/>
      <c r="RP68" s="12"/>
      <c r="RQ68" s="12"/>
      <c r="RR68" s="12"/>
      <c r="RS68" s="12"/>
      <c r="RT68" s="12"/>
      <c r="RU68" s="12"/>
      <c r="RV68" s="12"/>
      <c r="RW68" s="12"/>
      <c r="RX68" s="12"/>
      <c r="RY68" s="12"/>
      <c r="RZ68" s="12"/>
      <c r="SA68" s="12"/>
      <c r="SB68" s="12"/>
      <c r="SC68" s="12"/>
      <c r="SD68" s="12"/>
      <c r="SE68" s="12"/>
      <c r="SF68" s="12"/>
      <c r="SG68" s="12"/>
      <c r="SH68" s="11"/>
      <c r="SI68" s="11"/>
      <c r="SJ68" s="11"/>
      <c r="SK68" s="11"/>
      <c r="SL68" s="11"/>
      <c r="SM68" s="11"/>
      <c r="SN68" s="11"/>
      <c r="SO68" s="11"/>
      <c r="SP68" s="11"/>
      <c r="SQ68" s="11"/>
      <c r="SR68" s="11"/>
      <c r="SS68" s="11"/>
      <c r="ST68" s="11"/>
      <c r="SU68" s="11"/>
      <c r="SV68" s="11"/>
      <c r="SW68" s="11"/>
      <c r="SX68" s="11"/>
      <c r="SY68" s="11"/>
      <c r="SZ68" s="11"/>
      <c r="TA68" s="11"/>
      <c r="TB68" s="11"/>
      <c r="TC68" s="11"/>
      <c r="TD68" s="11"/>
      <c r="TE68" s="11"/>
      <c r="TF68" s="11"/>
      <c r="TG68" s="11"/>
      <c r="TH68" s="11"/>
      <c r="TI68" s="11"/>
      <c r="TJ68" s="11"/>
      <c r="TK68" s="11"/>
      <c r="TL68" s="11"/>
    </row>
    <row r="69" spans="1:532" x14ac:dyDescent="0.2">
      <c r="A69" s="10" t="s">
        <v>68</v>
      </c>
      <c r="B69" s="12">
        <v>13.86</v>
      </c>
      <c r="C69" s="11">
        <v>0</v>
      </c>
      <c r="D69" s="11">
        <v>1.1285818379046864</v>
      </c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2"/>
      <c r="LU69" s="12"/>
      <c r="LV69" s="12"/>
      <c r="LW69" s="12"/>
      <c r="LX69" s="12"/>
      <c r="LY69" s="12"/>
      <c r="LZ69" s="12"/>
      <c r="MA69" s="12"/>
      <c r="MB69" s="12"/>
      <c r="MC69" s="12"/>
      <c r="MD69" s="12"/>
      <c r="ME69" s="12"/>
      <c r="MF69" s="12"/>
      <c r="MG69" s="12"/>
      <c r="MH69" s="12"/>
      <c r="MI69" s="12"/>
      <c r="MJ69" s="12"/>
      <c r="MK69" s="12"/>
      <c r="ML69" s="12"/>
      <c r="MM69" s="12"/>
      <c r="MN69" s="12"/>
      <c r="MO69" s="12"/>
      <c r="MP69" s="12"/>
      <c r="MQ69" s="12"/>
      <c r="MR69" s="12"/>
      <c r="MS69" s="12"/>
      <c r="MT69" s="12"/>
      <c r="MU69" s="12"/>
      <c r="MV69" s="12"/>
      <c r="MW69" s="12"/>
      <c r="MX69" s="12"/>
      <c r="MY69" s="12"/>
      <c r="MZ69" s="12"/>
      <c r="NA69" s="12"/>
      <c r="NB69" s="12"/>
      <c r="NC69" s="12"/>
      <c r="ND69" s="12"/>
      <c r="NE69" s="12"/>
      <c r="NF69" s="12"/>
      <c r="NG69" s="12"/>
      <c r="NH69" s="12"/>
      <c r="NI69" s="12"/>
      <c r="NJ69" s="12"/>
      <c r="NK69" s="12"/>
      <c r="NL69" s="12"/>
      <c r="NM69" s="12"/>
      <c r="NN69" s="12"/>
      <c r="NO69" s="12"/>
      <c r="NP69" s="12"/>
      <c r="NQ69" s="12"/>
      <c r="NR69" s="12"/>
      <c r="NS69" s="12"/>
      <c r="NT69" s="12"/>
      <c r="NU69" s="12"/>
      <c r="NV69" s="12"/>
      <c r="NW69" s="12"/>
      <c r="NX69" s="12"/>
      <c r="NY69" s="12"/>
      <c r="NZ69" s="12"/>
      <c r="OA69" s="12"/>
      <c r="OB69" s="12"/>
      <c r="OC69" s="12"/>
      <c r="OD69" s="12"/>
      <c r="OE69" s="12"/>
      <c r="OF69" s="12"/>
      <c r="OG69" s="12"/>
      <c r="OH69" s="12"/>
      <c r="OI69" s="12"/>
      <c r="OJ69" s="12"/>
      <c r="OK69" s="12"/>
      <c r="OL69" s="12"/>
      <c r="OM69" s="12"/>
      <c r="ON69" s="12"/>
      <c r="OO69" s="12"/>
      <c r="OP69" s="12"/>
      <c r="OQ69" s="12"/>
      <c r="OR69" s="12"/>
      <c r="OS69" s="12"/>
      <c r="OT69" s="12"/>
      <c r="OU69" s="12"/>
      <c r="OV69" s="12"/>
      <c r="OW69" s="12"/>
      <c r="OX69" s="12"/>
      <c r="OY69" s="12"/>
      <c r="OZ69" s="12"/>
      <c r="PA69" s="12"/>
      <c r="PB69" s="12"/>
      <c r="PC69" s="12"/>
      <c r="PD69" s="12"/>
      <c r="PE69" s="12"/>
      <c r="PF69" s="12"/>
      <c r="PG69" s="12"/>
      <c r="PH69" s="12"/>
      <c r="PI69" s="12"/>
      <c r="PJ69" s="12"/>
      <c r="PK69" s="12"/>
      <c r="PL69" s="12"/>
      <c r="PM69" s="12"/>
      <c r="PN69" s="12"/>
      <c r="PO69" s="12"/>
      <c r="PP69" s="12"/>
      <c r="PQ69" s="12"/>
      <c r="PR69" s="12"/>
      <c r="PS69" s="12"/>
      <c r="PT69" s="12"/>
      <c r="PU69" s="12"/>
      <c r="PV69" s="12"/>
      <c r="PW69" s="12"/>
      <c r="PX69" s="12"/>
      <c r="PY69" s="12"/>
      <c r="PZ69" s="12"/>
      <c r="QA69" s="12"/>
      <c r="QB69" s="12"/>
      <c r="QC69" s="12"/>
      <c r="QD69" s="12"/>
      <c r="QE69" s="12"/>
      <c r="QF69" s="12"/>
      <c r="QG69" s="12"/>
      <c r="QH69" s="12"/>
      <c r="QI69" s="12"/>
      <c r="QJ69" s="12"/>
      <c r="QK69" s="12"/>
      <c r="QL69" s="12"/>
      <c r="QM69" s="12"/>
      <c r="QN69" s="12"/>
      <c r="QO69" s="12"/>
      <c r="QP69" s="12"/>
      <c r="QQ69" s="12"/>
      <c r="QR69" s="12"/>
      <c r="QS69" s="12"/>
      <c r="QT69" s="12"/>
      <c r="QU69" s="12"/>
      <c r="QV69" s="12"/>
      <c r="QW69" s="12"/>
      <c r="QX69" s="12"/>
      <c r="QY69" s="12"/>
      <c r="QZ69" s="12"/>
      <c r="RA69" s="12"/>
      <c r="RB69" s="12"/>
      <c r="RC69" s="12"/>
      <c r="RD69" s="12"/>
      <c r="RE69" s="12"/>
      <c r="RF69" s="12"/>
      <c r="RG69" s="12"/>
      <c r="RH69" s="12"/>
      <c r="RI69" s="12"/>
      <c r="RJ69" s="12"/>
      <c r="RK69" s="12"/>
      <c r="RL69" s="12"/>
      <c r="RM69" s="12"/>
      <c r="RN69" s="12"/>
      <c r="RO69" s="12"/>
      <c r="RP69" s="12"/>
      <c r="RQ69" s="12"/>
      <c r="RR69" s="12"/>
      <c r="RS69" s="12"/>
      <c r="RT69" s="12"/>
      <c r="RU69" s="12"/>
      <c r="RV69" s="12"/>
      <c r="RW69" s="12"/>
      <c r="RX69" s="12"/>
      <c r="RY69" s="12"/>
      <c r="RZ69" s="12"/>
      <c r="SA69" s="12"/>
      <c r="SB69" s="12"/>
      <c r="SC69" s="12"/>
      <c r="SD69" s="12"/>
      <c r="SE69" s="12"/>
      <c r="SF69" s="12"/>
      <c r="SG69" s="12"/>
      <c r="SH69" s="11"/>
      <c r="SI69" s="11"/>
      <c r="SJ69" s="11"/>
      <c r="SK69" s="11"/>
      <c r="SL69" s="11"/>
      <c r="SM69" s="11"/>
      <c r="SN69" s="11"/>
      <c r="SO69" s="11"/>
      <c r="SP69" s="11"/>
      <c r="SQ69" s="11"/>
      <c r="SR69" s="11"/>
      <c r="SS69" s="11"/>
      <c r="ST69" s="11"/>
      <c r="SU69" s="11"/>
      <c r="SV69" s="11"/>
      <c r="SW69" s="11"/>
      <c r="SX69" s="11"/>
      <c r="SY69" s="11"/>
      <c r="SZ69" s="11"/>
      <c r="TA69" s="11"/>
      <c r="TB69" s="11"/>
      <c r="TC69" s="11"/>
      <c r="TD69" s="11"/>
      <c r="TE69" s="11"/>
      <c r="TF69" s="11"/>
      <c r="TG69" s="11"/>
      <c r="TH69" s="11"/>
      <c r="TI69" s="11"/>
      <c r="TJ69" s="11"/>
      <c r="TK69" s="11"/>
      <c r="TL69" s="11"/>
    </row>
    <row r="70" spans="1:532" x14ac:dyDescent="0.2">
      <c r="A70" s="10" t="s">
        <v>69</v>
      </c>
      <c r="B70" s="12">
        <v>16.309999999999999</v>
      </c>
      <c r="C70" s="11">
        <v>1.2968791295220521</v>
      </c>
      <c r="D70" s="11">
        <v>0</v>
      </c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/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/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/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/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/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/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/>
      <c r="LT70" s="12"/>
      <c r="LU70" s="12"/>
      <c r="LV70" s="12"/>
      <c r="LW70" s="12"/>
      <c r="LX70" s="12"/>
      <c r="LY70" s="12"/>
      <c r="LZ70" s="12"/>
      <c r="MA70" s="12"/>
      <c r="MB70" s="12"/>
      <c r="MC70" s="12"/>
      <c r="MD70" s="12"/>
      <c r="ME70" s="12"/>
      <c r="MF70" s="12"/>
      <c r="MG70" s="12"/>
      <c r="MH70" s="12"/>
      <c r="MI70" s="12"/>
      <c r="MJ70" s="12"/>
      <c r="MK70" s="12"/>
      <c r="ML70" s="12"/>
      <c r="MM70" s="12"/>
      <c r="MN70" s="12"/>
      <c r="MO70" s="12"/>
      <c r="MP70" s="12"/>
      <c r="MQ70" s="12"/>
      <c r="MR70" s="12"/>
      <c r="MS70" s="12"/>
      <c r="MT70" s="12"/>
      <c r="MU70" s="12"/>
      <c r="MV70" s="12"/>
      <c r="MW70" s="12"/>
      <c r="MX70" s="12"/>
      <c r="MY70" s="12"/>
      <c r="MZ70" s="12"/>
      <c r="NA70" s="12"/>
      <c r="NB70" s="12"/>
      <c r="NC70" s="12"/>
      <c r="ND70" s="12"/>
      <c r="NE70" s="12"/>
      <c r="NF70" s="12"/>
      <c r="NG70" s="12"/>
      <c r="NH70" s="12"/>
      <c r="NI70" s="12"/>
      <c r="NJ70" s="12"/>
      <c r="NK70" s="12"/>
      <c r="NL70" s="12"/>
      <c r="NM70" s="12"/>
      <c r="NN70" s="12"/>
      <c r="NO70" s="12"/>
      <c r="NP70" s="12"/>
      <c r="NQ70" s="12"/>
      <c r="NR70" s="12"/>
      <c r="NS70" s="12"/>
      <c r="NT70" s="12"/>
      <c r="NU70" s="12"/>
      <c r="NV70" s="12"/>
      <c r="NW70" s="12"/>
      <c r="NX70" s="12"/>
      <c r="NY70" s="12"/>
      <c r="NZ70" s="12"/>
      <c r="OA70" s="12"/>
      <c r="OB70" s="12"/>
      <c r="OC70" s="12"/>
      <c r="OD70" s="12"/>
      <c r="OE70" s="12"/>
      <c r="OF70" s="12"/>
      <c r="OG70" s="12"/>
      <c r="OH70" s="12"/>
      <c r="OI70" s="12"/>
      <c r="OJ70" s="12"/>
      <c r="OK70" s="12"/>
      <c r="OL70" s="12"/>
      <c r="OM70" s="12"/>
      <c r="ON70" s="12"/>
      <c r="OO70" s="12"/>
      <c r="OP70" s="12"/>
      <c r="OQ70" s="12"/>
      <c r="OR70" s="12"/>
      <c r="OS70" s="12"/>
      <c r="OT70" s="12"/>
      <c r="OU70" s="12"/>
      <c r="OV70" s="12"/>
      <c r="OW70" s="12"/>
      <c r="OX70" s="12"/>
      <c r="OY70" s="12"/>
      <c r="OZ70" s="12"/>
      <c r="PA70" s="12"/>
      <c r="PB70" s="12"/>
      <c r="PC70" s="12"/>
      <c r="PD70" s="12"/>
      <c r="PE70" s="12"/>
      <c r="PF70" s="12"/>
      <c r="PG70" s="12"/>
      <c r="PH70" s="12"/>
      <c r="PI70" s="12"/>
      <c r="PJ70" s="12"/>
      <c r="PK70" s="12"/>
      <c r="PL70" s="12"/>
      <c r="PM70" s="12"/>
      <c r="PN70" s="12"/>
      <c r="PO70" s="12"/>
      <c r="PP70" s="12"/>
      <c r="PQ70" s="12"/>
      <c r="PR70" s="12"/>
      <c r="PS70" s="12"/>
      <c r="PT70" s="12"/>
      <c r="PU70" s="12"/>
      <c r="PV70" s="12"/>
      <c r="PW70" s="12"/>
      <c r="PX70" s="12"/>
      <c r="PY70" s="12"/>
      <c r="PZ70" s="12"/>
      <c r="QA70" s="12"/>
      <c r="QB70" s="12"/>
      <c r="QC70" s="12"/>
      <c r="QD70" s="12"/>
      <c r="QE70" s="12"/>
      <c r="QF70" s="12"/>
      <c r="QG70" s="12"/>
      <c r="QH70" s="12"/>
      <c r="QI70" s="12"/>
      <c r="QJ70" s="12"/>
      <c r="QK70" s="12"/>
      <c r="QL70" s="12"/>
      <c r="QM70" s="12"/>
      <c r="QN70" s="12"/>
      <c r="QO70" s="12"/>
      <c r="QP70" s="12"/>
      <c r="QQ70" s="12"/>
      <c r="QR70" s="12"/>
      <c r="QS70" s="12"/>
      <c r="QT70" s="12"/>
      <c r="QU70" s="12"/>
      <c r="QV70" s="12"/>
      <c r="QW70" s="12"/>
      <c r="QX70" s="12"/>
      <c r="QY70" s="12"/>
      <c r="QZ70" s="12"/>
      <c r="RA70" s="12"/>
      <c r="RB70" s="12"/>
      <c r="RC70" s="12"/>
      <c r="RD70" s="12"/>
      <c r="RE70" s="12"/>
      <c r="RF70" s="12"/>
      <c r="RG70" s="12"/>
      <c r="RH70" s="12"/>
      <c r="RI70" s="12"/>
      <c r="RJ70" s="12"/>
      <c r="RK70" s="12"/>
      <c r="RL70" s="12"/>
      <c r="RM70" s="12"/>
      <c r="RN70" s="12"/>
      <c r="RO70" s="12"/>
      <c r="RP70" s="12"/>
      <c r="RQ70" s="12"/>
      <c r="RR70" s="12"/>
      <c r="RS70" s="12"/>
      <c r="RT70" s="12"/>
      <c r="RU70" s="12"/>
      <c r="RV70" s="12"/>
      <c r="RW70" s="12"/>
      <c r="RX70" s="12"/>
      <c r="RY70" s="12"/>
      <c r="RZ70" s="12"/>
      <c r="SA70" s="12"/>
      <c r="SB70" s="12"/>
      <c r="SC70" s="12"/>
      <c r="SD70" s="12"/>
      <c r="SE70" s="12"/>
      <c r="SF70" s="12"/>
      <c r="SG70" s="12"/>
      <c r="SH70" s="11"/>
      <c r="SI70" s="11"/>
      <c r="SJ70" s="11"/>
      <c r="SK70" s="11"/>
      <c r="SL70" s="11"/>
      <c r="SM70" s="11"/>
      <c r="SN70" s="11"/>
      <c r="SO70" s="11"/>
      <c r="SP70" s="11"/>
      <c r="SQ70" s="11"/>
      <c r="SR70" s="11"/>
      <c r="SS70" s="11"/>
      <c r="ST70" s="11"/>
      <c r="SU70" s="11"/>
      <c r="SV70" s="11"/>
      <c r="SW70" s="11"/>
      <c r="SX70" s="11"/>
      <c r="SY70" s="11"/>
      <c r="SZ70" s="11"/>
      <c r="TA70" s="11"/>
      <c r="TB70" s="11"/>
      <c r="TC70" s="11"/>
      <c r="TD70" s="11"/>
      <c r="TE70" s="11"/>
      <c r="TF70" s="11"/>
      <c r="TG70" s="11"/>
      <c r="TH70" s="11"/>
      <c r="TI70" s="11"/>
      <c r="TJ70" s="11"/>
      <c r="TK70" s="11"/>
      <c r="TL70" s="11"/>
    </row>
    <row r="71" spans="1:532" x14ac:dyDescent="0.2">
      <c r="A71" s="10" t="s">
        <v>70</v>
      </c>
      <c r="B71" s="12">
        <v>13.06</v>
      </c>
      <c r="C71" s="11">
        <v>0</v>
      </c>
      <c r="D71" s="11">
        <v>1.9205690925746419</v>
      </c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/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/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/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/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/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/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/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2"/>
      <c r="LU71" s="12"/>
      <c r="LV71" s="12"/>
      <c r="LW71" s="12"/>
      <c r="LX71" s="12"/>
      <c r="LY71" s="12"/>
      <c r="LZ71" s="12"/>
      <c r="MA71" s="12"/>
      <c r="MB71" s="12"/>
      <c r="MC71" s="12"/>
      <c r="MD71" s="12"/>
      <c r="ME71" s="12"/>
      <c r="MF71" s="12"/>
      <c r="MG71" s="12"/>
      <c r="MH71" s="12"/>
      <c r="MI71" s="12"/>
      <c r="MJ71" s="12"/>
      <c r="MK71" s="12"/>
      <c r="ML71" s="12"/>
      <c r="MM71" s="12"/>
      <c r="MN71" s="12"/>
      <c r="MO71" s="12"/>
      <c r="MP71" s="12"/>
      <c r="MQ71" s="12"/>
      <c r="MR71" s="12"/>
      <c r="MS71" s="12"/>
      <c r="MT71" s="12"/>
      <c r="MU71" s="12"/>
      <c r="MV71" s="12"/>
      <c r="MW71" s="12"/>
      <c r="MX71" s="12"/>
      <c r="MY71" s="12"/>
      <c r="MZ71" s="12"/>
      <c r="NA71" s="12"/>
      <c r="NB71" s="12"/>
      <c r="NC71" s="12"/>
      <c r="ND71" s="12"/>
      <c r="NE71" s="12"/>
      <c r="NF71" s="12"/>
      <c r="NG71" s="12"/>
      <c r="NH71" s="12"/>
      <c r="NI71" s="12"/>
      <c r="NJ71" s="12"/>
      <c r="NK71" s="12"/>
      <c r="NL71" s="12"/>
      <c r="NM71" s="12"/>
      <c r="NN71" s="12"/>
      <c r="NO71" s="12"/>
      <c r="NP71" s="12"/>
      <c r="NQ71" s="12"/>
      <c r="NR71" s="12"/>
      <c r="NS71" s="12"/>
      <c r="NT71" s="12"/>
      <c r="NU71" s="12"/>
      <c r="NV71" s="12"/>
      <c r="NW71" s="12"/>
      <c r="NX71" s="12"/>
      <c r="NY71" s="12"/>
      <c r="NZ71" s="12"/>
      <c r="OA71" s="12"/>
      <c r="OB71" s="12"/>
      <c r="OC71" s="12"/>
      <c r="OD71" s="12"/>
      <c r="OE71" s="12"/>
      <c r="OF71" s="12"/>
      <c r="OG71" s="12"/>
      <c r="OH71" s="12"/>
      <c r="OI71" s="12"/>
      <c r="OJ71" s="12"/>
      <c r="OK71" s="12"/>
      <c r="OL71" s="12"/>
      <c r="OM71" s="12"/>
      <c r="ON71" s="12"/>
      <c r="OO71" s="12"/>
      <c r="OP71" s="12"/>
      <c r="OQ71" s="12"/>
      <c r="OR71" s="12"/>
      <c r="OS71" s="12"/>
      <c r="OT71" s="12"/>
      <c r="OU71" s="12"/>
      <c r="OV71" s="12"/>
      <c r="OW71" s="12"/>
      <c r="OX71" s="12"/>
      <c r="OY71" s="12"/>
      <c r="OZ71" s="12"/>
      <c r="PA71" s="12"/>
      <c r="PB71" s="12"/>
      <c r="PC71" s="12"/>
      <c r="PD71" s="12"/>
      <c r="PE71" s="12"/>
      <c r="PF71" s="12"/>
      <c r="PG71" s="12"/>
      <c r="PH71" s="12"/>
      <c r="PI71" s="12"/>
      <c r="PJ71" s="12"/>
      <c r="PK71" s="12"/>
      <c r="PL71" s="12"/>
      <c r="PM71" s="12"/>
      <c r="PN71" s="12"/>
      <c r="PO71" s="12"/>
      <c r="PP71" s="12"/>
      <c r="PQ71" s="12"/>
      <c r="PR71" s="12"/>
      <c r="PS71" s="12"/>
      <c r="PT71" s="12"/>
      <c r="PU71" s="12"/>
      <c r="PV71" s="12"/>
      <c r="PW71" s="12"/>
      <c r="PX71" s="12"/>
      <c r="PY71" s="12"/>
      <c r="PZ71" s="12"/>
      <c r="QA71" s="12"/>
      <c r="QB71" s="12"/>
      <c r="QC71" s="12"/>
      <c r="QD71" s="12"/>
      <c r="QE71" s="12"/>
      <c r="QF71" s="12"/>
      <c r="QG71" s="12"/>
      <c r="QH71" s="12"/>
      <c r="QI71" s="12"/>
      <c r="QJ71" s="12"/>
      <c r="QK71" s="12"/>
      <c r="QL71" s="12"/>
      <c r="QM71" s="12"/>
      <c r="QN71" s="12"/>
      <c r="QO71" s="12"/>
      <c r="QP71" s="12"/>
      <c r="QQ71" s="12"/>
      <c r="QR71" s="12"/>
      <c r="QS71" s="12"/>
      <c r="QT71" s="12"/>
      <c r="QU71" s="12"/>
      <c r="QV71" s="12"/>
      <c r="QW71" s="12"/>
      <c r="QX71" s="12"/>
      <c r="QY71" s="12"/>
      <c r="QZ71" s="12"/>
      <c r="RA71" s="12"/>
      <c r="RB71" s="12"/>
      <c r="RC71" s="12"/>
      <c r="RD71" s="12"/>
      <c r="RE71" s="12"/>
      <c r="RF71" s="12"/>
      <c r="RG71" s="12"/>
      <c r="RH71" s="12"/>
      <c r="RI71" s="12"/>
      <c r="RJ71" s="12"/>
      <c r="RK71" s="12"/>
      <c r="RL71" s="12"/>
      <c r="RM71" s="12"/>
      <c r="RN71" s="12"/>
      <c r="RO71" s="12"/>
      <c r="RP71" s="12"/>
      <c r="RQ71" s="12"/>
      <c r="RR71" s="12"/>
      <c r="RS71" s="12"/>
      <c r="RT71" s="12"/>
      <c r="RU71" s="12"/>
      <c r="RV71" s="12"/>
      <c r="RW71" s="12"/>
      <c r="RX71" s="12"/>
      <c r="RY71" s="12"/>
      <c r="RZ71" s="12"/>
      <c r="SA71" s="12"/>
      <c r="SB71" s="12"/>
      <c r="SC71" s="12"/>
      <c r="SD71" s="12"/>
      <c r="SE71" s="12"/>
      <c r="SF71" s="12"/>
      <c r="SG71" s="12"/>
      <c r="SH71" s="11"/>
      <c r="SI71" s="11"/>
      <c r="SJ71" s="11"/>
      <c r="SK71" s="11"/>
      <c r="SL71" s="11"/>
      <c r="SM71" s="11"/>
      <c r="SN71" s="11"/>
      <c r="SO71" s="11"/>
      <c r="SP71" s="11"/>
      <c r="SQ71" s="11"/>
      <c r="SR71" s="11"/>
      <c r="SS71" s="11"/>
      <c r="ST71" s="11"/>
      <c r="SU71" s="11"/>
      <c r="SV71" s="11"/>
      <c r="SW71" s="11"/>
      <c r="SX71" s="11"/>
      <c r="SY71" s="11"/>
      <c r="SZ71" s="11"/>
      <c r="TA71" s="11"/>
      <c r="TB71" s="11"/>
      <c r="TC71" s="11"/>
      <c r="TD71" s="11"/>
      <c r="TE71" s="11"/>
      <c r="TF71" s="11"/>
      <c r="TG71" s="11"/>
      <c r="TH71" s="11"/>
      <c r="TI71" s="11"/>
      <c r="TJ71" s="11"/>
      <c r="TK71" s="11"/>
      <c r="TL71" s="11"/>
    </row>
    <row r="72" spans="1:532" x14ac:dyDescent="0.2">
      <c r="A72" s="10" t="s">
        <v>71</v>
      </c>
      <c r="B72" s="12">
        <v>14.38</v>
      </c>
      <c r="C72" s="11">
        <v>0</v>
      </c>
      <c r="D72" s="11">
        <v>0.61379012236921549</v>
      </c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12"/>
      <c r="IP72" s="12"/>
      <c r="IQ72" s="12"/>
      <c r="IR72" s="12"/>
      <c r="IS72" s="12"/>
      <c r="IT72" s="12"/>
      <c r="IU72" s="12"/>
      <c r="IV72" s="12"/>
      <c r="IW72" s="12"/>
      <c r="IX72" s="12"/>
      <c r="IY72" s="12"/>
      <c r="IZ72" s="12"/>
      <c r="JA72" s="12"/>
      <c r="JB72" s="12"/>
      <c r="JC72" s="12"/>
      <c r="JD72" s="12"/>
      <c r="JE72" s="12"/>
      <c r="JF72" s="12"/>
      <c r="JG72" s="12"/>
      <c r="JH72" s="12"/>
      <c r="JI72" s="12"/>
      <c r="JJ72" s="12"/>
      <c r="JK72" s="12"/>
      <c r="JL72" s="12"/>
      <c r="JM72" s="12"/>
      <c r="JN72" s="12"/>
      <c r="JO72" s="12"/>
      <c r="JP72" s="12"/>
      <c r="JQ72" s="12"/>
      <c r="JR72" s="12"/>
      <c r="JS72" s="12"/>
      <c r="JT72" s="12"/>
      <c r="JU72" s="12"/>
      <c r="JV72" s="12"/>
      <c r="JW72" s="12"/>
      <c r="JX72" s="12"/>
      <c r="JY72" s="12"/>
      <c r="JZ72" s="12"/>
      <c r="KA72" s="12"/>
      <c r="KB72" s="12"/>
      <c r="KC72" s="12"/>
      <c r="KD72" s="12"/>
      <c r="KE72" s="12"/>
      <c r="KF72" s="12"/>
      <c r="KG72" s="12"/>
      <c r="KH72" s="12"/>
      <c r="KI72" s="12"/>
      <c r="KJ72" s="12"/>
      <c r="KK72" s="12"/>
      <c r="KL72" s="12"/>
      <c r="KM72" s="12"/>
      <c r="KN72" s="12"/>
      <c r="KO72" s="12"/>
      <c r="KP72" s="12"/>
      <c r="KQ72" s="12"/>
      <c r="KR72" s="12"/>
      <c r="KS72" s="12"/>
      <c r="KT72" s="12"/>
      <c r="KU72" s="12"/>
      <c r="KV72" s="12"/>
      <c r="KW72" s="12"/>
      <c r="KX72" s="12"/>
      <c r="KY72" s="12"/>
      <c r="KZ72" s="12"/>
      <c r="LA72" s="12"/>
      <c r="LB72" s="12"/>
      <c r="LC72" s="12"/>
      <c r="LD72" s="12"/>
      <c r="LE72" s="12"/>
      <c r="LF72" s="12"/>
      <c r="LG72" s="12"/>
      <c r="LH72" s="12"/>
      <c r="LI72" s="12"/>
      <c r="LJ72" s="12"/>
      <c r="LK72" s="12"/>
      <c r="LL72" s="12"/>
      <c r="LM72" s="12"/>
      <c r="LN72" s="12"/>
      <c r="LO72" s="12"/>
      <c r="LP72" s="12"/>
      <c r="LQ72" s="12"/>
      <c r="LR72" s="12"/>
      <c r="LS72" s="12"/>
      <c r="LT72" s="12"/>
      <c r="LU72" s="12"/>
      <c r="LV72" s="12"/>
      <c r="LW72" s="12"/>
      <c r="LX72" s="12"/>
      <c r="LY72" s="12"/>
      <c r="LZ72" s="12"/>
      <c r="MA72" s="12"/>
      <c r="MB72" s="12"/>
      <c r="MC72" s="12"/>
      <c r="MD72" s="12"/>
      <c r="ME72" s="12"/>
      <c r="MF72" s="12"/>
      <c r="MG72" s="12"/>
      <c r="MH72" s="12"/>
      <c r="MI72" s="12"/>
      <c r="MJ72" s="12"/>
      <c r="MK72" s="12"/>
      <c r="ML72" s="12"/>
      <c r="MM72" s="12"/>
      <c r="MN72" s="12"/>
      <c r="MO72" s="12"/>
      <c r="MP72" s="12"/>
      <c r="MQ72" s="12"/>
      <c r="MR72" s="12"/>
      <c r="MS72" s="12"/>
      <c r="MT72" s="12"/>
      <c r="MU72" s="12"/>
      <c r="MV72" s="12"/>
      <c r="MW72" s="12"/>
      <c r="MX72" s="12"/>
      <c r="MY72" s="12"/>
      <c r="MZ72" s="12"/>
      <c r="NA72" s="12"/>
      <c r="NB72" s="12"/>
      <c r="NC72" s="12"/>
      <c r="ND72" s="12"/>
      <c r="NE72" s="12"/>
      <c r="NF72" s="12"/>
      <c r="NG72" s="12"/>
      <c r="NH72" s="12"/>
      <c r="NI72" s="12"/>
      <c r="NJ72" s="12"/>
      <c r="NK72" s="12"/>
      <c r="NL72" s="12"/>
      <c r="NM72" s="12"/>
      <c r="NN72" s="12"/>
      <c r="NO72" s="12"/>
      <c r="NP72" s="12"/>
      <c r="NQ72" s="12"/>
      <c r="NR72" s="12"/>
      <c r="NS72" s="12"/>
      <c r="NT72" s="12"/>
      <c r="NU72" s="12"/>
      <c r="NV72" s="12"/>
      <c r="NW72" s="12"/>
      <c r="NX72" s="12"/>
      <c r="NY72" s="12"/>
      <c r="NZ72" s="12"/>
      <c r="OA72" s="12"/>
      <c r="OB72" s="12"/>
      <c r="OC72" s="12"/>
      <c r="OD72" s="12"/>
      <c r="OE72" s="12"/>
      <c r="OF72" s="12"/>
      <c r="OG72" s="12"/>
      <c r="OH72" s="12"/>
      <c r="OI72" s="12"/>
      <c r="OJ72" s="12"/>
      <c r="OK72" s="12"/>
      <c r="OL72" s="12"/>
      <c r="OM72" s="12"/>
      <c r="ON72" s="12"/>
      <c r="OO72" s="12"/>
      <c r="OP72" s="12"/>
      <c r="OQ72" s="12"/>
      <c r="OR72" s="12"/>
      <c r="OS72" s="12"/>
      <c r="OT72" s="12"/>
      <c r="OU72" s="12"/>
      <c r="OV72" s="12"/>
      <c r="OW72" s="12"/>
      <c r="OX72" s="12"/>
      <c r="OY72" s="12"/>
      <c r="OZ72" s="12"/>
      <c r="PA72" s="12"/>
      <c r="PB72" s="12"/>
      <c r="PC72" s="12"/>
      <c r="PD72" s="12"/>
      <c r="PE72" s="12"/>
      <c r="PF72" s="12"/>
      <c r="PG72" s="12"/>
      <c r="PH72" s="12"/>
      <c r="PI72" s="12"/>
      <c r="PJ72" s="12"/>
      <c r="PK72" s="12"/>
      <c r="PL72" s="12"/>
      <c r="PM72" s="12"/>
      <c r="PN72" s="12"/>
      <c r="PO72" s="12"/>
      <c r="PP72" s="12"/>
      <c r="PQ72" s="12"/>
      <c r="PR72" s="12"/>
      <c r="PS72" s="12"/>
      <c r="PT72" s="12"/>
      <c r="PU72" s="12"/>
      <c r="PV72" s="12"/>
      <c r="PW72" s="12"/>
      <c r="PX72" s="12"/>
      <c r="PY72" s="12"/>
      <c r="PZ72" s="12"/>
      <c r="QA72" s="12"/>
      <c r="QB72" s="12"/>
      <c r="QC72" s="12"/>
      <c r="QD72" s="12"/>
      <c r="QE72" s="12"/>
      <c r="QF72" s="12"/>
      <c r="QG72" s="12"/>
      <c r="QH72" s="12"/>
      <c r="QI72" s="12"/>
      <c r="QJ72" s="12"/>
      <c r="QK72" s="12"/>
      <c r="QL72" s="12"/>
      <c r="QM72" s="12"/>
      <c r="QN72" s="12"/>
      <c r="QO72" s="12"/>
      <c r="QP72" s="12"/>
      <c r="QQ72" s="12"/>
      <c r="QR72" s="12"/>
      <c r="QS72" s="12"/>
      <c r="QT72" s="12"/>
      <c r="QU72" s="12"/>
      <c r="QV72" s="12"/>
      <c r="QW72" s="12"/>
      <c r="QX72" s="12"/>
      <c r="QY72" s="12"/>
      <c r="QZ72" s="12"/>
      <c r="RA72" s="12"/>
      <c r="RB72" s="12"/>
      <c r="RC72" s="12"/>
      <c r="RD72" s="12"/>
      <c r="RE72" s="12"/>
      <c r="RF72" s="12"/>
      <c r="RG72" s="12"/>
      <c r="RH72" s="12"/>
      <c r="RI72" s="12"/>
      <c r="RJ72" s="12"/>
      <c r="RK72" s="12"/>
      <c r="RL72" s="12"/>
      <c r="RM72" s="12"/>
      <c r="RN72" s="12"/>
      <c r="RO72" s="12"/>
      <c r="RP72" s="12"/>
      <c r="RQ72" s="12"/>
      <c r="RR72" s="12"/>
      <c r="RS72" s="12"/>
      <c r="RT72" s="12"/>
      <c r="RU72" s="12"/>
      <c r="RV72" s="12"/>
      <c r="RW72" s="12"/>
      <c r="RX72" s="12"/>
      <c r="RY72" s="12"/>
      <c r="RZ72" s="12"/>
      <c r="SA72" s="12"/>
      <c r="SB72" s="12"/>
      <c r="SC72" s="12"/>
      <c r="SD72" s="12"/>
      <c r="SE72" s="12"/>
      <c r="SF72" s="12"/>
      <c r="SG72" s="12"/>
      <c r="SH72" s="11"/>
      <c r="SI72" s="11"/>
      <c r="SJ72" s="11"/>
      <c r="SK72" s="11"/>
      <c r="SL72" s="11"/>
      <c r="SM72" s="11"/>
      <c r="SN72" s="11"/>
      <c r="SO72" s="11"/>
      <c r="SP72" s="11"/>
      <c r="SQ72" s="11"/>
      <c r="SR72" s="11"/>
      <c r="SS72" s="11"/>
      <c r="ST72" s="11"/>
      <c r="SU72" s="11"/>
      <c r="SV72" s="11"/>
      <c r="SW72" s="11"/>
      <c r="SX72" s="11"/>
      <c r="SY72" s="11"/>
      <c r="SZ72" s="11"/>
      <c r="TA72" s="11"/>
      <c r="TB72" s="11"/>
      <c r="TC72" s="11"/>
      <c r="TD72" s="11"/>
      <c r="TE72" s="11"/>
      <c r="TF72" s="11"/>
      <c r="TG72" s="11"/>
      <c r="TH72" s="11"/>
      <c r="TI72" s="11"/>
      <c r="TJ72" s="11"/>
      <c r="TK72" s="11"/>
      <c r="TL72" s="11"/>
    </row>
    <row r="73" spans="1:532" x14ac:dyDescent="0.2">
      <c r="A73" s="10" t="s">
        <v>72</v>
      </c>
      <c r="B73" s="12">
        <v>15.73</v>
      </c>
      <c r="C73" s="11">
        <v>0.72268836988633434</v>
      </c>
      <c r="D73" s="11">
        <v>0</v>
      </c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12"/>
      <c r="IP73" s="12"/>
      <c r="IQ73" s="12"/>
      <c r="IR73" s="12"/>
      <c r="IS73" s="12"/>
      <c r="IT73" s="12"/>
      <c r="IU73" s="12"/>
      <c r="IV73" s="12"/>
      <c r="IW73" s="12"/>
      <c r="IX73" s="12"/>
      <c r="IY73" s="12"/>
      <c r="IZ73" s="12"/>
      <c r="JA73" s="12"/>
      <c r="JB73" s="12"/>
      <c r="JC73" s="12"/>
      <c r="JD73" s="12"/>
      <c r="JE73" s="12"/>
      <c r="JF73" s="12"/>
      <c r="JG73" s="12"/>
      <c r="JH73" s="12"/>
      <c r="JI73" s="12"/>
      <c r="JJ73" s="12"/>
      <c r="JK73" s="12"/>
      <c r="JL73" s="12"/>
      <c r="JM73" s="12"/>
      <c r="JN73" s="12"/>
      <c r="JO73" s="12"/>
      <c r="JP73" s="12"/>
      <c r="JQ73" s="12"/>
      <c r="JR73" s="12"/>
      <c r="JS73" s="12"/>
      <c r="JT73" s="12"/>
      <c r="JU73" s="12"/>
      <c r="JV73" s="12"/>
      <c r="JW73" s="12"/>
      <c r="JX73" s="12"/>
      <c r="JY73" s="12"/>
      <c r="JZ73" s="12"/>
      <c r="KA73" s="12"/>
      <c r="KB73" s="12"/>
      <c r="KC73" s="12"/>
      <c r="KD73" s="12"/>
      <c r="KE73" s="12"/>
      <c r="KF73" s="12"/>
      <c r="KG73" s="12"/>
      <c r="KH73" s="12"/>
      <c r="KI73" s="12"/>
      <c r="KJ73" s="12"/>
      <c r="KK73" s="12"/>
      <c r="KL73" s="12"/>
      <c r="KM73" s="12"/>
      <c r="KN73" s="12"/>
      <c r="KO73" s="12"/>
      <c r="KP73" s="12"/>
      <c r="KQ73" s="12"/>
      <c r="KR73" s="12"/>
      <c r="KS73" s="12"/>
      <c r="KT73" s="12"/>
      <c r="KU73" s="12"/>
      <c r="KV73" s="12"/>
      <c r="KW73" s="12"/>
      <c r="KX73" s="12"/>
      <c r="KY73" s="12"/>
      <c r="KZ73" s="12"/>
      <c r="LA73" s="12"/>
      <c r="LB73" s="12"/>
      <c r="LC73" s="12"/>
      <c r="LD73" s="12"/>
      <c r="LE73" s="12"/>
      <c r="LF73" s="12"/>
      <c r="LG73" s="12"/>
      <c r="LH73" s="12"/>
      <c r="LI73" s="12"/>
      <c r="LJ73" s="12"/>
      <c r="LK73" s="12"/>
      <c r="LL73" s="12"/>
      <c r="LM73" s="12"/>
      <c r="LN73" s="12"/>
      <c r="LO73" s="12"/>
      <c r="LP73" s="12"/>
      <c r="LQ73" s="12"/>
      <c r="LR73" s="12"/>
      <c r="LS73" s="12"/>
      <c r="LT73" s="12"/>
      <c r="LU73" s="12"/>
      <c r="LV73" s="12"/>
      <c r="LW73" s="12"/>
      <c r="LX73" s="12"/>
      <c r="LY73" s="12"/>
      <c r="LZ73" s="12"/>
      <c r="MA73" s="12"/>
      <c r="MB73" s="12"/>
      <c r="MC73" s="12"/>
      <c r="MD73" s="12"/>
      <c r="ME73" s="12"/>
      <c r="MF73" s="12"/>
      <c r="MG73" s="12"/>
      <c r="MH73" s="12"/>
      <c r="MI73" s="12"/>
      <c r="MJ73" s="12"/>
      <c r="MK73" s="12"/>
      <c r="ML73" s="12"/>
      <c r="MM73" s="12"/>
      <c r="MN73" s="12"/>
      <c r="MO73" s="12"/>
      <c r="MP73" s="12"/>
      <c r="MQ73" s="12"/>
      <c r="MR73" s="12"/>
      <c r="MS73" s="12"/>
      <c r="MT73" s="12"/>
      <c r="MU73" s="12"/>
      <c r="MV73" s="12"/>
      <c r="MW73" s="12"/>
      <c r="MX73" s="12"/>
      <c r="MY73" s="12"/>
      <c r="MZ73" s="12"/>
      <c r="NA73" s="12"/>
      <c r="NB73" s="12"/>
      <c r="NC73" s="12"/>
      <c r="ND73" s="12"/>
      <c r="NE73" s="12"/>
      <c r="NF73" s="12"/>
      <c r="NG73" s="12"/>
      <c r="NH73" s="12"/>
      <c r="NI73" s="12"/>
      <c r="NJ73" s="12"/>
      <c r="NK73" s="12"/>
      <c r="NL73" s="12"/>
      <c r="NM73" s="12"/>
      <c r="NN73" s="12"/>
      <c r="NO73" s="12"/>
      <c r="NP73" s="12"/>
      <c r="NQ73" s="12"/>
      <c r="NR73" s="12"/>
      <c r="NS73" s="12"/>
      <c r="NT73" s="12"/>
      <c r="NU73" s="12"/>
      <c r="NV73" s="12"/>
      <c r="NW73" s="12"/>
      <c r="NX73" s="12"/>
      <c r="NY73" s="12"/>
      <c r="NZ73" s="12"/>
      <c r="OA73" s="12"/>
      <c r="OB73" s="12"/>
      <c r="OC73" s="12"/>
      <c r="OD73" s="12"/>
      <c r="OE73" s="12"/>
      <c r="OF73" s="12"/>
      <c r="OG73" s="12"/>
      <c r="OH73" s="12"/>
      <c r="OI73" s="12"/>
      <c r="OJ73" s="12"/>
      <c r="OK73" s="12"/>
      <c r="OL73" s="12"/>
      <c r="OM73" s="12"/>
      <c r="ON73" s="12"/>
      <c r="OO73" s="12"/>
      <c r="OP73" s="12"/>
      <c r="OQ73" s="12"/>
      <c r="OR73" s="12"/>
      <c r="OS73" s="12"/>
      <c r="OT73" s="12"/>
      <c r="OU73" s="12"/>
      <c r="OV73" s="12"/>
      <c r="OW73" s="12"/>
      <c r="OX73" s="12"/>
      <c r="OY73" s="12"/>
      <c r="OZ73" s="12"/>
      <c r="PA73" s="12"/>
      <c r="PB73" s="12"/>
      <c r="PC73" s="12"/>
      <c r="PD73" s="12"/>
      <c r="PE73" s="12"/>
      <c r="PF73" s="12"/>
      <c r="PG73" s="12"/>
      <c r="PH73" s="12"/>
      <c r="PI73" s="12"/>
      <c r="PJ73" s="12"/>
      <c r="PK73" s="12"/>
      <c r="PL73" s="12"/>
      <c r="PM73" s="12"/>
      <c r="PN73" s="12"/>
      <c r="PO73" s="12"/>
      <c r="PP73" s="12"/>
      <c r="PQ73" s="12"/>
      <c r="PR73" s="12"/>
      <c r="PS73" s="12"/>
      <c r="PT73" s="12"/>
      <c r="PU73" s="12"/>
      <c r="PV73" s="12"/>
      <c r="PW73" s="12"/>
      <c r="PX73" s="12"/>
      <c r="PY73" s="12"/>
      <c r="PZ73" s="12"/>
      <c r="QA73" s="12"/>
      <c r="QB73" s="12"/>
      <c r="QC73" s="12"/>
      <c r="QD73" s="12"/>
      <c r="QE73" s="12"/>
      <c r="QF73" s="12"/>
      <c r="QG73" s="12"/>
      <c r="QH73" s="12"/>
      <c r="QI73" s="12"/>
      <c r="QJ73" s="12"/>
      <c r="QK73" s="12"/>
      <c r="QL73" s="12"/>
      <c r="QM73" s="12"/>
      <c r="QN73" s="12"/>
      <c r="QO73" s="12"/>
      <c r="QP73" s="12"/>
      <c r="QQ73" s="12"/>
      <c r="QR73" s="12"/>
      <c r="QS73" s="12"/>
      <c r="QT73" s="12"/>
      <c r="QU73" s="12"/>
      <c r="QV73" s="12"/>
      <c r="QW73" s="12"/>
      <c r="QX73" s="12"/>
      <c r="QY73" s="12"/>
      <c r="QZ73" s="12"/>
      <c r="RA73" s="12"/>
      <c r="RB73" s="12"/>
      <c r="RC73" s="12"/>
      <c r="RD73" s="12"/>
      <c r="RE73" s="12"/>
      <c r="RF73" s="12"/>
      <c r="RG73" s="12"/>
      <c r="RH73" s="12"/>
      <c r="RI73" s="12"/>
      <c r="RJ73" s="12"/>
      <c r="RK73" s="12"/>
      <c r="RL73" s="12"/>
      <c r="RM73" s="12"/>
      <c r="RN73" s="12"/>
      <c r="RO73" s="12"/>
      <c r="RP73" s="12"/>
      <c r="RQ73" s="12"/>
      <c r="RR73" s="12"/>
      <c r="RS73" s="12"/>
      <c r="RT73" s="12"/>
      <c r="RU73" s="12"/>
      <c r="RV73" s="12"/>
      <c r="RW73" s="12"/>
      <c r="RX73" s="12"/>
      <c r="RY73" s="12"/>
      <c r="RZ73" s="12"/>
      <c r="SA73" s="12"/>
      <c r="SB73" s="12"/>
      <c r="SC73" s="12"/>
      <c r="SD73" s="12"/>
      <c r="SE73" s="12"/>
      <c r="SF73" s="12"/>
      <c r="SG73" s="12"/>
      <c r="SH73" s="11"/>
      <c r="SI73" s="11"/>
      <c r="SJ73" s="11"/>
      <c r="SK73" s="11"/>
      <c r="SL73" s="11"/>
      <c r="SM73" s="11"/>
      <c r="SN73" s="11"/>
      <c r="SO73" s="11"/>
      <c r="SP73" s="11"/>
      <c r="SQ73" s="11"/>
      <c r="SR73" s="11"/>
      <c r="SS73" s="11"/>
      <c r="ST73" s="11"/>
      <c r="SU73" s="11"/>
      <c r="SV73" s="11"/>
      <c r="SW73" s="11"/>
      <c r="SX73" s="11"/>
      <c r="SY73" s="11"/>
      <c r="SZ73" s="11"/>
      <c r="TA73" s="11"/>
      <c r="TB73" s="11"/>
      <c r="TC73" s="11"/>
      <c r="TD73" s="11"/>
      <c r="TE73" s="11"/>
      <c r="TF73" s="11"/>
      <c r="TG73" s="11"/>
      <c r="TH73" s="11"/>
      <c r="TI73" s="11"/>
      <c r="TJ73" s="11"/>
      <c r="TK73" s="11"/>
      <c r="TL73" s="11"/>
    </row>
    <row r="74" spans="1:532" x14ac:dyDescent="0.2">
      <c r="A74" s="10" t="s">
        <v>73</v>
      </c>
      <c r="B74" s="12">
        <v>13.12</v>
      </c>
      <c r="C74" s="11">
        <v>0</v>
      </c>
      <c r="D74" s="11">
        <v>1.8611700484743952</v>
      </c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12"/>
      <c r="IP74" s="12"/>
      <c r="IQ74" s="12"/>
      <c r="IR74" s="12"/>
      <c r="IS74" s="12"/>
      <c r="IT74" s="12"/>
      <c r="IU74" s="12"/>
      <c r="IV74" s="12"/>
      <c r="IW74" s="12"/>
      <c r="IX74" s="12"/>
      <c r="IY74" s="12"/>
      <c r="IZ74" s="12"/>
      <c r="JA74" s="12"/>
      <c r="JB74" s="12"/>
      <c r="JC74" s="12"/>
      <c r="JD74" s="12"/>
      <c r="JE74" s="12"/>
      <c r="JF74" s="12"/>
      <c r="JG74" s="12"/>
      <c r="JH74" s="12"/>
      <c r="JI74" s="12"/>
      <c r="JJ74" s="12"/>
      <c r="JK74" s="12"/>
      <c r="JL74" s="12"/>
      <c r="JM74" s="12"/>
      <c r="JN74" s="12"/>
      <c r="JO74" s="12"/>
      <c r="JP74" s="12"/>
      <c r="JQ74" s="12"/>
      <c r="JR74" s="12"/>
      <c r="JS74" s="12"/>
      <c r="JT74" s="12"/>
      <c r="JU74" s="12"/>
      <c r="JV74" s="12"/>
      <c r="JW74" s="12"/>
      <c r="JX74" s="12"/>
      <c r="JY74" s="12"/>
      <c r="JZ74" s="12"/>
      <c r="KA74" s="12"/>
      <c r="KB74" s="12"/>
      <c r="KC74" s="12"/>
      <c r="KD74" s="12"/>
      <c r="KE74" s="12"/>
      <c r="KF74" s="12"/>
      <c r="KG74" s="12"/>
      <c r="KH74" s="12"/>
      <c r="KI74" s="12"/>
      <c r="KJ74" s="12"/>
      <c r="KK74" s="12"/>
      <c r="KL74" s="12"/>
      <c r="KM74" s="12"/>
      <c r="KN74" s="12"/>
      <c r="KO74" s="12"/>
      <c r="KP74" s="12"/>
      <c r="KQ74" s="12"/>
      <c r="KR74" s="12"/>
      <c r="KS74" s="12"/>
      <c r="KT74" s="12"/>
      <c r="KU74" s="12"/>
      <c r="KV74" s="12"/>
      <c r="KW74" s="12"/>
      <c r="KX74" s="12"/>
      <c r="KY74" s="12"/>
      <c r="KZ74" s="12"/>
      <c r="LA74" s="12"/>
      <c r="LB74" s="12"/>
      <c r="LC74" s="12"/>
      <c r="LD74" s="12"/>
      <c r="LE74" s="12"/>
      <c r="LF74" s="12"/>
      <c r="LG74" s="12"/>
      <c r="LH74" s="12"/>
      <c r="LI74" s="12"/>
      <c r="LJ74" s="12"/>
      <c r="LK74" s="12"/>
      <c r="LL74" s="12"/>
      <c r="LM74" s="12"/>
      <c r="LN74" s="12"/>
      <c r="LO74" s="12"/>
      <c r="LP74" s="12"/>
      <c r="LQ74" s="12"/>
      <c r="LR74" s="12"/>
      <c r="LS74" s="12"/>
      <c r="LT74" s="12"/>
      <c r="LU74" s="12"/>
      <c r="LV74" s="12"/>
      <c r="LW74" s="12"/>
      <c r="LX74" s="12"/>
      <c r="LY74" s="12"/>
      <c r="LZ74" s="12"/>
      <c r="MA74" s="12"/>
      <c r="MB74" s="12"/>
      <c r="MC74" s="12"/>
      <c r="MD74" s="12"/>
      <c r="ME74" s="12"/>
      <c r="MF74" s="12"/>
      <c r="MG74" s="12"/>
      <c r="MH74" s="12"/>
      <c r="MI74" s="12"/>
      <c r="MJ74" s="12"/>
      <c r="MK74" s="12"/>
      <c r="ML74" s="12"/>
      <c r="MM74" s="12"/>
      <c r="MN74" s="12"/>
      <c r="MO74" s="12"/>
      <c r="MP74" s="12"/>
      <c r="MQ74" s="12"/>
      <c r="MR74" s="12"/>
      <c r="MS74" s="12"/>
      <c r="MT74" s="12"/>
      <c r="MU74" s="12"/>
      <c r="MV74" s="12"/>
      <c r="MW74" s="12"/>
      <c r="MX74" s="12"/>
      <c r="MY74" s="12"/>
      <c r="MZ74" s="12"/>
      <c r="NA74" s="12"/>
      <c r="NB74" s="12"/>
      <c r="NC74" s="12"/>
      <c r="ND74" s="12"/>
      <c r="NE74" s="12"/>
      <c r="NF74" s="12"/>
      <c r="NG74" s="12"/>
      <c r="NH74" s="12"/>
      <c r="NI74" s="12"/>
      <c r="NJ74" s="12"/>
      <c r="NK74" s="12"/>
      <c r="NL74" s="12"/>
      <c r="NM74" s="12"/>
      <c r="NN74" s="12"/>
      <c r="NO74" s="12"/>
      <c r="NP74" s="12"/>
      <c r="NQ74" s="12"/>
      <c r="NR74" s="12"/>
      <c r="NS74" s="12"/>
      <c r="NT74" s="12"/>
      <c r="NU74" s="12"/>
      <c r="NV74" s="12"/>
      <c r="NW74" s="12"/>
      <c r="NX74" s="12"/>
      <c r="NY74" s="12"/>
      <c r="NZ74" s="12"/>
      <c r="OA74" s="12"/>
      <c r="OB74" s="12"/>
      <c r="OC74" s="12"/>
      <c r="OD74" s="12"/>
      <c r="OE74" s="12"/>
      <c r="OF74" s="12"/>
      <c r="OG74" s="12"/>
      <c r="OH74" s="12"/>
      <c r="OI74" s="12"/>
      <c r="OJ74" s="12"/>
      <c r="OK74" s="12"/>
      <c r="OL74" s="12"/>
      <c r="OM74" s="12"/>
      <c r="ON74" s="12"/>
      <c r="OO74" s="12"/>
      <c r="OP74" s="12"/>
      <c r="OQ74" s="12"/>
      <c r="OR74" s="12"/>
      <c r="OS74" s="12"/>
      <c r="OT74" s="12"/>
      <c r="OU74" s="12"/>
      <c r="OV74" s="12"/>
      <c r="OW74" s="12"/>
      <c r="OX74" s="12"/>
      <c r="OY74" s="12"/>
      <c r="OZ74" s="12"/>
      <c r="PA74" s="12"/>
      <c r="PB74" s="12"/>
      <c r="PC74" s="12"/>
      <c r="PD74" s="12"/>
      <c r="PE74" s="12"/>
      <c r="PF74" s="12"/>
      <c r="PG74" s="12"/>
      <c r="PH74" s="12"/>
      <c r="PI74" s="12"/>
      <c r="PJ74" s="12"/>
      <c r="PK74" s="12"/>
      <c r="PL74" s="12"/>
      <c r="PM74" s="12"/>
      <c r="PN74" s="12"/>
      <c r="PO74" s="12"/>
      <c r="PP74" s="12"/>
      <c r="PQ74" s="12"/>
      <c r="PR74" s="12"/>
      <c r="PS74" s="12"/>
      <c r="PT74" s="12"/>
      <c r="PU74" s="12"/>
      <c r="PV74" s="12"/>
      <c r="PW74" s="12"/>
      <c r="PX74" s="12"/>
      <c r="PY74" s="12"/>
      <c r="PZ74" s="12"/>
      <c r="QA74" s="12"/>
      <c r="QB74" s="12"/>
      <c r="QC74" s="12"/>
      <c r="QD74" s="12"/>
      <c r="QE74" s="12"/>
      <c r="QF74" s="12"/>
      <c r="QG74" s="12"/>
      <c r="QH74" s="12"/>
      <c r="QI74" s="12"/>
      <c r="QJ74" s="12"/>
      <c r="QK74" s="12"/>
      <c r="QL74" s="12"/>
      <c r="QM74" s="12"/>
      <c r="QN74" s="12"/>
      <c r="QO74" s="12"/>
      <c r="QP74" s="12"/>
      <c r="QQ74" s="12"/>
      <c r="QR74" s="12"/>
      <c r="QS74" s="12"/>
      <c r="QT74" s="12"/>
      <c r="QU74" s="12"/>
      <c r="QV74" s="12"/>
      <c r="QW74" s="12"/>
      <c r="QX74" s="12"/>
      <c r="QY74" s="12"/>
      <c r="QZ74" s="12"/>
      <c r="RA74" s="12"/>
      <c r="RB74" s="12"/>
      <c r="RC74" s="12"/>
      <c r="RD74" s="12"/>
      <c r="RE74" s="12"/>
      <c r="RF74" s="12"/>
      <c r="RG74" s="12"/>
      <c r="RH74" s="12"/>
      <c r="RI74" s="12"/>
      <c r="RJ74" s="12"/>
      <c r="RK74" s="12"/>
      <c r="RL74" s="12"/>
      <c r="RM74" s="12"/>
      <c r="RN74" s="12"/>
      <c r="RO74" s="12"/>
      <c r="RP74" s="12"/>
      <c r="RQ74" s="12"/>
      <c r="RR74" s="12"/>
      <c r="RS74" s="12"/>
      <c r="RT74" s="12"/>
      <c r="RU74" s="12"/>
      <c r="RV74" s="12"/>
      <c r="RW74" s="12"/>
      <c r="RX74" s="12"/>
      <c r="RY74" s="12"/>
      <c r="RZ74" s="12"/>
      <c r="SA74" s="12"/>
      <c r="SB74" s="12"/>
      <c r="SC74" s="12"/>
      <c r="SD74" s="12"/>
      <c r="SE74" s="12"/>
      <c r="SF74" s="12"/>
      <c r="SG74" s="12"/>
      <c r="SH74" s="11"/>
      <c r="SI74" s="11"/>
      <c r="SJ74" s="11"/>
      <c r="SK74" s="11"/>
      <c r="SL74" s="11"/>
      <c r="SM74" s="11"/>
      <c r="SN74" s="11"/>
      <c r="SO74" s="11"/>
      <c r="SP74" s="11"/>
      <c r="SQ74" s="11"/>
      <c r="SR74" s="11"/>
      <c r="SS74" s="11"/>
      <c r="ST74" s="11"/>
      <c r="SU74" s="11"/>
      <c r="SV74" s="11"/>
      <c r="SW74" s="11"/>
      <c r="SX74" s="11"/>
      <c r="SY74" s="11"/>
      <c r="SZ74" s="11"/>
      <c r="TA74" s="11"/>
      <c r="TB74" s="11"/>
      <c r="TC74" s="11"/>
      <c r="TD74" s="11"/>
      <c r="TE74" s="11"/>
      <c r="TF74" s="11"/>
      <c r="TG74" s="11"/>
      <c r="TH74" s="11"/>
      <c r="TI74" s="11"/>
      <c r="TJ74" s="11"/>
      <c r="TK74" s="11"/>
      <c r="TL74" s="11"/>
    </row>
    <row r="75" spans="1:532" x14ac:dyDescent="0.2">
      <c r="A75" s="10" t="s">
        <v>74</v>
      </c>
      <c r="B75" s="12">
        <v>12.62</v>
      </c>
      <c r="C75" s="11">
        <v>0</v>
      </c>
      <c r="D75" s="11">
        <v>2.3561620826431176</v>
      </c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2"/>
      <c r="LU75" s="12"/>
      <c r="LV75" s="12"/>
      <c r="LW75" s="12"/>
      <c r="LX75" s="12"/>
      <c r="LY75" s="12"/>
      <c r="LZ75" s="12"/>
      <c r="MA75" s="12"/>
      <c r="MB75" s="12"/>
      <c r="MC75" s="12"/>
      <c r="MD75" s="12"/>
      <c r="ME75" s="12"/>
      <c r="MF75" s="12"/>
      <c r="MG75" s="12"/>
      <c r="MH75" s="12"/>
      <c r="MI75" s="12"/>
      <c r="MJ75" s="12"/>
      <c r="MK75" s="12"/>
      <c r="ML75" s="12"/>
      <c r="MM75" s="12"/>
      <c r="MN75" s="12"/>
      <c r="MO75" s="12"/>
      <c r="MP75" s="12"/>
      <c r="MQ75" s="12"/>
      <c r="MR75" s="12"/>
      <c r="MS75" s="12"/>
      <c r="MT75" s="12"/>
      <c r="MU75" s="12"/>
      <c r="MV75" s="12"/>
      <c r="MW75" s="12"/>
      <c r="MX75" s="12"/>
      <c r="MY75" s="12"/>
      <c r="MZ75" s="12"/>
      <c r="NA75" s="12"/>
      <c r="NB75" s="12"/>
      <c r="NC75" s="12"/>
      <c r="ND75" s="12"/>
      <c r="NE75" s="12"/>
      <c r="NF75" s="12"/>
      <c r="NG75" s="12"/>
      <c r="NH75" s="12"/>
      <c r="NI75" s="12"/>
      <c r="NJ75" s="12"/>
      <c r="NK75" s="12"/>
      <c r="NL75" s="12"/>
      <c r="NM75" s="12"/>
      <c r="NN75" s="12"/>
      <c r="NO75" s="12"/>
      <c r="NP75" s="12"/>
      <c r="NQ75" s="12"/>
      <c r="NR75" s="12"/>
      <c r="NS75" s="12"/>
      <c r="NT75" s="12"/>
      <c r="NU75" s="12"/>
      <c r="NV75" s="12"/>
      <c r="NW75" s="12"/>
      <c r="NX75" s="12"/>
      <c r="NY75" s="12"/>
      <c r="NZ75" s="12"/>
      <c r="OA75" s="12"/>
      <c r="OB75" s="12"/>
      <c r="OC75" s="12"/>
      <c r="OD75" s="12"/>
      <c r="OE75" s="12"/>
      <c r="OF75" s="12"/>
      <c r="OG75" s="12"/>
      <c r="OH75" s="12"/>
      <c r="OI75" s="12"/>
      <c r="OJ75" s="12"/>
      <c r="OK75" s="12"/>
      <c r="OL75" s="12"/>
      <c r="OM75" s="12"/>
      <c r="ON75" s="12"/>
      <c r="OO75" s="12"/>
      <c r="OP75" s="12"/>
      <c r="OQ75" s="12"/>
      <c r="OR75" s="12"/>
      <c r="OS75" s="12"/>
      <c r="OT75" s="12"/>
      <c r="OU75" s="12"/>
      <c r="OV75" s="12"/>
      <c r="OW75" s="12"/>
      <c r="OX75" s="12"/>
      <c r="OY75" s="12"/>
      <c r="OZ75" s="12"/>
      <c r="PA75" s="12"/>
      <c r="PB75" s="12"/>
      <c r="PC75" s="12"/>
      <c r="PD75" s="12"/>
      <c r="PE75" s="12"/>
      <c r="PF75" s="12"/>
      <c r="PG75" s="12"/>
      <c r="PH75" s="12"/>
      <c r="PI75" s="12"/>
      <c r="PJ75" s="12"/>
      <c r="PK75" s="12"/>
      <c r="PL75" s="12"/>
      <c r="PM75" s="12"/>
      <c r="PN75" s="12"/>
      <c r="PO75" s="12"/>
      <c r="PP75" s="12"/>
      <c r="PQ75" s="12"/>
      <c r="PR75" s="12"/>
      <c r="PS75" s="12"/>
      <c r="PT75" s="12"/>
      <c r="PU75" s="12"/>
      <c r="PV75" s="12"/>
      <c r="PW75" s="12"/>
      <c r="PX75" s="12"/>
      <c r="PY75" s="12"/>
      <c r="PZ75" s="12"/>
      <c r="QA75" s="12"/>
      <c r="QB75" s="12"/>
      <c r="QC75" s="12"/>
      <c r="QD75" s="12"/>
      <c r="QE75" s="12"/>
      <c r="QF75" s="12"/>
      <c r="QG75" s="12"/>
      <c r="QH75" s="12"/>
      <c r="QI75" s="12"/>
      <c r="QJ75" s="12"/>
      <c r="QK75" s="12"/>
      <c r="QL75" s="12"/>
      <c r="QM75" s="12"/>
      <c r="QN75" s="12"/>
      <c r="QO75" s="12"/>
      <c r="QP75" s="12"/>
      <c r="QQ75" s="12"/>
      <c r="QR75" s="12"/>
      <c r="QS75" s="12"/>
      <c r="QT75" s="12"/>
      <c r="QU75" s="12"/>
      <c r="QV75" s="12"/>
      <c r="QW75" s="12"/>
      <c r="QX75" s="12"/>
      <c r="QY75" s="12"/>
      <c r="QZ75" s="12"/>
      <c r="RA75" s="12"/>
      <c r="RB75" s="12"/>
      <c r="RC75" s="12"/>
      <c r="RD75" s="12"/>
      <c r="RE75" s="12"/>
      <c r="RF75" s="12"/>
      <c r="RG75" s="12"/>
      <c r="RH75" s="12"/>
      <c r="RI75" s="12"/>
      <c r="RJ75" s="12"/>
      <c r="RK75" s="12"/>
      <c r="RL75" s="12"/>
      <c r="RM75" s="12"/>
      <c r="RN75" s="12"/>
      <c r="RO75" s="12"/>
      <c r="RP75" s="12"/>
      <c r="RQ75" s="12"/>
      <c r="RR75" s="12"/>
      <c r="RS75" s="12"/>
      <c r="RT75" s="12"/>
      <c r="RU75" s="12"/>
      <c r="RV75" s="12"/>
      <c r="RW75" s="12"/>
      <c r="RX75" s="12"/>
      <c r="RY75" s="12"/>
      <c r="RZ75" s="12"/>
      <c r="SA75" s="12"/>
      <c r="SB75" s="12"/>
      <c r="SC75" s="12"/>
      <c r="SD75" s="12"/>
      <c r="SE75" s="12"/>
      <c r="SF75" s="12"/>
      <c r="SG75" s="12"/>
      <c r="SH75" s="11"/>
      <c r="SI75" s="11"/>
      <c r="SJ75" s="11"/>
      <c r="SK75" s="11"/>
      <c r="SL75" s="11"/>
      <c r="SM75" s="11"/>
      <c r="SN75" s="11"/>
      <c r="SO75" s="11"/>
      <c r="SP75" s="11"/>
      <c r="SQ75" s="11"/>
      <c r="SR75" s="11"/>
      <c r="SS75" s="11"/>
      <c r="ST75" s="11"/>
      <c r="SU75" s="11"/>
      <c r="SV75" s="11"/>
      <c r="SW75" s="11"/>
      <c r="SX75" s="11"/>
      <c r="SY75" s="11"/>
      <c r="SZ75" s="11"/>
      <c r="TA75" s="11"/>
      <c r="TB75" s="11"/>
      <c r="TC75" s="11"/>
      <c r="TD75" s="11"/>
      <c r="TE75" s="11"/>
      <c r="TF75" s="11"/>
      <c r="TG75" s="11"/>
      <c r="TH75" s="11"/>
      <c r="TI75" s="11"/>
      <c r="TJ75" s="11"/>
      <c r="TK75" s="11"/>
      <c r="TL75" s="11"/>
    </row>
    <row r="76" spans="1:532" x14ac:dyDescent="0.2">
      <c r="A76" s="10" t="s">
        <v>75</v>
      </c>
      <c r="B76" s="12">
        <v>13.73</v>
      </c>
      <c r="C76" s="11">
        <v>0</v>
      </c>
      <c r="D76" s="11">
        <v>1.2572797667885542</v>
      </c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/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/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/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/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/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/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/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2"/>
      <c r="LU76" s="12"/>
      <c r="LV76" s="12"/>
      <c r="LW76" s="12"/>
      <c r="LX76" s="12"/>
      <c r="LY76" s="12"/>
      <c r="LZ76" s="12"/>
      <c r="MA76" s="12"/>
      <c r="MB76" s="12"/>
      <c r="MC76" s="12"/>
      <c r="MD76" s="12"/>
      <c r="ME76" s="12"/>
      <c r="MF76" s="12"/>
      <c r="MG76" s="12"/>
      <c r="MH76" s="12"/>
      <c r="MI76" s="12"/>
      <c r="MJ76" s="12"/>
      <c r="MK76" s="12"/>
      <c r="ML76" s="12"/>
      <c r="MM76" s="12"/>
      <c r="MN76" s="12"/>
      <c r="MO76" s="12"/>
      <c r="MP76" s="12"/>
      <c r="MQ76" s="12"/>
      <c r="MR76" s="12"/>
      <c r="MS76" s="12"/>
      <c r="MT76" s="12"/>
      <c r="MU76" s="12"/>
      <c r="MV76" s="12"/>
      <c r="MW76" s="12"/>
      <c r="MX76" s="12"/>
      <c r="MY76" s="12"/>
      <c r="MZ76" s="12"/>
      <c r="NA76" s="12"/>
      <c r="NB76" s="12"/>
      <c r="NC76" s="12"/>
      <c r="ND76" s="12"/>
      <c r="NE76" s="12"/>
      <c r="NF76" s="12"/>
      <c r="NG76" s="12"/>
      <c r="NH76" s="12"/>
      <c r="NI76" s="12"/>
      <c r="NJ76" s="12"/>
      <c r="NK76" s="12"/>
      <c r="NL76" s="12"/>
      <c r="NM76" s="12"/>
      <c r="NN76" s="12"/>
      <c r="NO76" s="12"/>
      <c r="NP76" s="12"/>
      <c r="NQ76" s="12"/>
      <c r="NR76" s="12"/>
      <c r="NS76" s="12"/>
      <c r="NT76" s="12"/>
      <c r="NU76" s="12"/>
      <c r="NV76" s="12"/>
      <c r="NW76" s="12"/>
      <c r="NX76" s="12"/>
      <c r="NY76" s="12"/>
      <c r="NZ76" s="12"/>
      <c r="OA76" s="12"/>
      <c r="OB76" s="12"/>
      <c r="OC76" s="12"/>
      <c r="OD76" s="12"/>
      <c r="OE76" s="12"/>
      <c r="OF76" s="12"/>
      <c r="OG76" s="12"/>
      <c r="OH76" s="12"/>
      <c r="OI76" s="12"/>
      <c r="OJ76" s="12"/>
      <c r="OK76" s="12"/>
      <c r="OL76" s="12"/>
      <c r="OM76" s="12"/>
      <c r="ON76" s="12"/>
      <c r="OO76" s="12"/>
      <c r="OP76" s="12"/>
      <c r="OQ76" s="12"/>
      <c r="OR76" s="12"/>
      <c r="OS76" s="12"/>
      <c r="OT76" s="12"/>
      <c r="OU76" s="12"/>
      <c r="OV76" s="12"/>
      <c r="OW76" s="12"/>
      <c r="OX76" s="12"/>
      <c r="OY76" s="12"/>
      <c r="OZ76" s="12"/>
      <c r="PA76" s="12"/>
      <c r="PB76" s="12"/>
      <c r="PC76" s="12"/>
      <c r="PD76" s="12"/>
      <c r="PE76" s="12"/>
      <c r="PF76" s="12"/>
      <c r="PG76" s="12"/>
      <c r="PH76" s="12"/>
      <c r="PI76" s="12"/>
      <c r="PJ76" s="12"/>
      <c r="PK76" s="12"/>
      <c r="PL76" s="12"/>
      <c r="PM76" s="12"/>
      <c r="PN76" s="12"/>
      <c r="PO76" s="12"/>
      <c r="PP76" s="12"/>
      <c r="PQ76" s="12"/>
      <c r="PR76" s="12"/>
      <c r="PS76" s="12"/>
      <c r="PT76" s="12"/>
      <c r="PU76" s="12"/>
      <c r="PV76" s="12"/>
      <c r="PW76" s="12"/>
      <c r="PX76" s="12"/>
      <c r="PY76" s="12"/>
      <c r="PZ76" s="12"/>
      <c r="QA76" s="12"/>
      <c r="QB76" s="12"/>
      <c r="QC76" s="12"/>
      <c r="QD76" s="12"/>
      <c r="QE76" s="12"/>
      <c r="QF76" s="12"/>
      <c r="QG76" s="12"/>
      <c r="QH76" s="12"/>
      <c r="QI76" s="12"/>
      <c r="QJ76" s="12"/>
      <c r="QK76" s="12"/>
      <c r="QL76" s="12"/>
      <c r="QM76" s="12"/>
      <c r="QN76" s="12"/>
      <c r="QO76" s="12"/>
      <c r="QP76" s="12"/>
      <c r="QQ76" s="12"/>
      <c r="QR76" s="12"/>
      <c r="QS76" s="12"/>
      <c r="QT76" s="12"/>
      <c r="QU76" s="12"/>
      <c r="QV76" s="12"/>
      <c r="QW76" s="12"/>
      <c r="QX76" s="12"/>
      <c r="QY76" s="12"/>
      <c r="QZ76" s="12"/>
      <c r="RA76" s="12"/>
      <c r="RB76" s="12"/>
      <c r="RC76" s="12"/>
      <c r="RD76" s="12"/>
      <c r="RE76" s="12"/>
      <c r="RF76" s="12"/>
      <c r="RG76" s="12"/>
      <c r="RH76" s="12"/>
      <c r="RI76" s="12"/>
      <c r="RJ76" s="12"/>
      <c r="RK76" s="12"/>
      <c r="RL76" s="12"/>
      <c r="RM76" s="12"/>
      <c r="RN76" s="12"/>
      <c r="RO76" s="12"/>
      <c r="RP76" s="12"/>
      <c r="RQ76" s="12"/>
      <c r="RR76" s="12"/>
      <c r="RS76" s="12"/>
      <c r="RT76" s="12"/>
      <c r="RU76" s="12"/>
      <c r="RV76" s="12"/>
      <c r="RW76" s="12"/>
      <c r="RX76" s="12"/>
      <c r="RY76" s="12"/>
      <c r="RZ76" s="12"/>
      <c r="SA76" s="12"/>
      <c r="SB76" s="12"/>
      <c r="SC76" s="12"/>
      <c r="SD76" s="12"/>
      <c r="SE76" s="12"/>
      <c r="SF76" s="12"/>
      <c r="SG76" s="12"/>
      <c r="SH76" s="11"/>
      <c r="SI76" s="11"/>
      <c r="SJ76" s="11"/>
      <c r="SK76" s="11"/>
      <c r="SL76" s="11"/>
      <c r="SM76" s="11"/>
      <c r="SN76" s="11"/>
      <c r="SO76" s="11"/>
      <c r="SP76" s="11"/>
      <c r="SQ76" s="11"/>
      <c r="SR76" s="11"/>
      <c r="SS76" s="11"/>
      <c r="ST76" s="11"/>
      <c r="SU76" s="11"/>
      <c r="SV76" s="11"/>
      <c r="SW76" s="11"/>
      <c r="SX76" s="11"/>
      <c r="SY76" s="11"/>
      <c r="SZ76" s="11"/>
      <c r="TA76" s="11"/>
      <c r="TB76" s="11"/>
      <c r="TC76" s="11"/>
      <c r="TD76" s="11"/>
      <c r="TE76" s="11"/>
      <c r="TF76" s="11"/>
      <c r="TG76" s="11"/>
      <c r="TH76" s="11"/>
      <c r="TI76" s="11"/>
      <c r="TJ76" s="11"/>
      <c r="TK76" s="11"/>
      <c r="TL76" s="11"/>
    </row>
    <row r="77" spans="1:532" x14ac:dyDescent="0.2">
      <c r="A77" s="10" t="s">
        <v>76</v>
      </c>
      <c r="B77" s="12">
        <v>14.37</v>
      </c>
      <c r="C77" s="11">
        <v>0</v>
      </c>
      <c r="D77" s="11">
        <v>0.62368996305258995</v>
      </c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/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/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/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/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/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/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/>
      <c r="LR77" s="12"/>
      <c r="LS77" s="12"/>
      <c r="LT77" s="12"/>
      <c r="LU77" s="12"/>
      <c r="LV77" s="12"/>
      <c r="LW77" s="12"/>
      <c r="LX77" s="12"/>
      <c r="LY77" s="12"/>
      <c r="LZ77" s="12"/>
      <c r="MA77" s="12"/>
      <c r="MB77" s="12"/>
      <c r="MC77" s="12"/>
      <c r="MD77" s="12"/>
      <c r="ME77" s="12"/>
      <c r="MF77" s="12"/>
      <c r="MG77" s="12"/>
      <c r="MH77" s="12"/>
      <c r="MI77" s="12"/>
      <c r="MJ77" s="12"/>
      <c r="MK77" s="12"/>
      <c r="ML77" s="12"/>
      <c r="MM77" s="12"/>
      <c r="MN77" s="12"/>
      <c r="MO77" s="12"/>
      <c r="MP77" s="12"/>
      <c r="MQ77" s="12"/>
      <c r="MR77" s="12"/>
      <c r="MS77" s="12"/>
      <c r="MT77" s="12"/>
      <c r="MU77" s="12"/>
      <c r="MV77" s="12"/>
      <c r="MW77" s="12"/>
      <c r="MX77" s="12"/>
      <c r="MY77" s="12"/>
      <c r="MZ77" s="12"/>
      <c r="NA77" s="12"/>
      <c r="NB77" s="12"/>
      <c r="NC77" s="12"/>
      <c r="ND77" s="12"/>
      <c r="NE77" s="12"/>
      <c r="NF77" s="12"/>
      <c r="NG77" s="12"/>
      <c r="NH77" s="12"/>
      <c r="NI77" s="12"/>
      <c r="NJ77" s="12"/>
      <c r="NK77" s="12"/>
      <c r="NL77" s="12"/>
      <c r="NM77" s="12"/>
      <c r="NN77" s="12"/>
      <c r="NO77" s="12"/>
      <c r="NP77" s="12"/>
      <c r="NQ77" s="12"/>
      <c r="NR77" s="12"/>
      <c r="NS77" s="12"/>
      <c r="NT77" s="12"/>
      <c r="NU77" s="12"/>
      <c r="NV77" s="12"/>
      <c r="NW77" s="12"/>
      <c r="NX77" s="12"/>
      <c r="NY77" s="12"/>
      <c r="NZ77" s="12"/>
      <c r="OA77" s="12"/>
      <c r="OB77" s="12"/>
      <c r="OC77" s="12"/>
      <c r="OD77" s="12"/>
      <c r="OE77" s="12"/>
      <c r="OF77" s="12"/>
      <c r="OG77" s="12"/>
      <c r="OH77" s="12"/>
      <c r="OI77" s="12"/>
      <c r="OJ77" s="12"/>
      <c r="OK77" s="12"/>
      <c r="OL77" s="12"/>
      <c r="OM77" s="12"/>
      <c r="ON77" s="12"/>
      <c r="OO77" s="12"/>
      <c r="OP77" s="12"/>
      <c r="OQ77" s="12"/>
      <c r="OR77" s="12"/>
      <c r="OS77" s="12"/>
      <c r="OT77" s="12"/>
      <c r="OU77" s="12"/>
      <c r="OV77" s="12"/>
      <c r="OW77" s="12"/>
      <c r="OX77" s="12"/>
      <c r="OY77" s="12"/>
      <c r="OZ77" s="12"/>
      <c r="PA77" s="12"/>
      <c r="PB77" s="12"/>
      <c r="PC77" s="12"/>
      <c r="PD77" s="12"/>
      <c r="PE77" s="12"/>
      <c r="PF77" s="12"/>
      <c r="PG77" s="12"/>
      <c r="PH77" s="12"/>
      <c r="PI77" s="12"/>
      <c r="PJ77" s="12"/>
      <c r="PK77" s="12"/>
      <c r="PL77" s="12"/>
      <c r="PM77" s="12"/>
      <c r="PN77" s="12"/>
      <c r="PO77" s="12"/>
      <c r="PP77" s="12"/>
      <c r="PQ77" s="12"/>
      <c r="PR77" s="12"/>
      <c r="PS77" s="12"/>
      <c r="PT77" s="12"/>
      <c r="PU77" s="12"/>
      <c r="PV77" s="12"/>
      <c r="PW77" s="12"/>
      <c r="PX77" s="12"/>
      <c r="PY77" s="12"/>
      <c r="PZ77" s="12"/>
      <c r="QA77" s="12"/>
      <c r="QB77" s="12"/>
      <c r="QC77" s="12"/>
      <c r="QD77" s="12"/>
      <c r="QE77" s="12"/>
      <c r="QF77" s="12"/>
      <c r="QG77" s="12"/>
      <c r="QH77" s="12"/>
      <c r="QI77" s="12"/>
      <c r="QJ77" s="12"/>
      <c r="QK77" s="12"/>
      <c r="QL77" s="12"/>
      <c r="QM77" s="12"/>
      <c r="QN77" s="12"/>
      <c r="QO77" s="12"/>
      <c r="QP77" s="12"/>
      <c r="QQ77" s="12"/>
      <c r="QR77" s="12"/>
      <c r="QS77" s="12"/>
      <c r="QT77" s="12"/>
      <c r="QU77" s="12"/>
      <c r="QV77" s="12"/>
      <c r="QW77" s="12"/>
      <c r="QX77" s="12"/>
      <c r="QY77" s="12"/>
      <c r="QZ77" s="12"/>
      <c r="RA77" s="12"/>
      <c r="RB77" s="12"/>
      <c r="RC77" s="12"/>
      <c r="RD77" s="12"/>
      <c r="RE77" s="12"/>
      <c r="RF77" s="12"/>
      <c r="RG77" s="12"/>
      <c r="RH77" s="12"/>
      <c r="RI77" s="12"/>
      <c r="RJ77" s="12"/>
      <c r="RK77" s="12"/>
      <c r="RL77" s="12"/>
      <c r="RM77" s="12"/>
      <c r="RN77" s="12"/>
      <c r="RO77" s="12"/>
      <c r="RP77" s="12"/>
      <c r="RQ77" s="12"/>
      <c r="RR77" s="12"/>
      <c r="RS77" s="12"/>
      <c r="RT77" s="12"/>
      <c r="RU77" s="12"/>
      <c r="RV77" s="12"/>
      <c r="RW77" s="12"/>
      <c r="RX77" s="12"/>
      <c r="RY77" s="12"/>
      <c r="RZ77" s="12"/>
      <c r="SA77" s="12"/>
      <c r="SB77" s="12"/>
      <c r="SC77" s="12"/>
      <c r="SD77" s="12"/>
      <c r="SE77" s="12"/>
      <c r="SF77" s="12"/>
      <c r="SG77" s="12"/>
      <c r="SH77" s="11"/>
      <c r="SI77" s="11"/>
      <c r="SJ77" s="11"/>
      <c r="SK77" s="11"/>
      <c r="SL77" s="11"/>
      <c r="SM77" s="11"/>
      <c r="SN77" s="11"/>
      <c r="SO77" s="11"/>
      <c r="SP77" s="11"/>
      <c r="SQ77" s="11"/>
      <c r="SR77" s="11"/>
      <c r="SS77" s="11"/>
      <c r="ST77" s="11"/>
      <c r="SU77" s="11"/>
      <c r="SV77" s="11"/>
      <c r="SW77" s="11"/>
      <c r="SX77" s="11"/>
      <c r="SY77" s="11"/>
      <c r="SZ77" s="11"/>
      <c r="TA77" s="11"/>
      <c r="TB77" s="11"/>
      <c r="TC77" s="11"/>
      <c r="TD77" s="11"/>
      <c r="TE77" s="11"/>
      <c r="TF77" s="11"/>
      <c r="TG77" s="11"/>
      <c r="TH77" s="11"/>
      <c r="TI77" s="11"/>
      <c r="TJ77" s="11"/>
      <c r="TK77" s="11"/>
      <c r="TL77" s="11"/>
    </row>
    <row r="78" spans="1:532" x14ac:dyDescent="0.2">
      <c r="A78" s="10" t="s">
        <v>77</v>
      </c>
      <c r="B78" s="12">
        <v>15</v>
      </c>
      <c r="C78" s="11">
        <v>0</v>
      </c>
      <c r="D78" s="11">
        <v>0</v>
      </c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2"/>
      <c r="LU78" s="12"/>
      <c r="LV78" s="12"/>
      <c r="LW78" s="12"/>
      <c r="LX78" s="12"/>
      <c r="LY78" s="12"/>
      <c r="LZ78" s="12"/>
      <c r="MA78" s="12"/>
      <c r="MB78" s="12"/>
      <c r="MC78" s="12"/>
      <c r="MD78" s="12"/>
      <c r="ME78" s="12"/>
      <c r="MF78" s="12"/>
      <c r="MG78" s="12"/>
      <c r="MH78" s="12"/>
      <c r="MI78" s="12"/>
      <c r="MJ78" s="12"/>
      <c r="MK78" s="12"/>
      <c r="ML78" s="12"/>
      <c r="MM78" s="12"/>
      <c r="MN78" s="12"/>
      <c r="MO78" s="12"/>
      <c r="MP78" s="12"/>
      <c r="MQ78" s="12"/>
      <c r="MR78" s="12"/>
      <c r="MS78" s="12"/>
      <c r="MT78" s="12"/>
      <c r="MU78" s="12"/>
      <c r="MV78" s="12"/>
      <c r="MW78" s="12"/>
      <c r="MX78" s="12"/>
      <c r="MY78" s="12"/>
      <c r="MZ78" s="12"/>
      <c r="NA78" s="12"/>
      <c r="NB78" s="12"/>
      <c r="NC78" s="12"/>
      <c r="ND78" s="12"/>
      <c r="NE78" s="12"/>
      <c r="NF78" s="12"/>
      <c r="NG78" s="12"/>
      <c r="NH78" s="12"/>
      <c r="NI78" s="12"/>
      <c r="NJ78" s="12"/>
      <c r="NK78" s="12"/>
      <c r="NL78" s="12"/>
      <c r="NM78" s="12"/>
      <c r="NN78" s="12"/>
      <c r="NO78" s="12"/>
      <c r="NP78" s="12"/>
      <c r="NQ78" s="12"/>
      <c r="NR78" s="12"/>
      <c r="NS78" s="12"/>
      <c r="NT78" s="12"/>
      <c r="NU78" s="12"/>
      <c r="NV78" s="12"/>
      <c r="NW78" s="12"/>
      <c r="NX78" s="12"/>
      <c r="NY78" s="12"/>
      <c r="NZ78" s="12"/>
      <c r="OA78" s="12"/>
      <c r="OB78" s="12"/>
      <c r="OC78" s="12"/>
      <c r="OD78" s="12"/>
      <c r="OE78" s="12"/>
      <c r="OF78" s="12"/>
      <c r="OG78" s="12"/>
      <c r="OH78" s="12"/>
      <c r="OI78" s="12"/>
      <c r="OJ78" s="12"/>
      <c r="OK78" s="12"/>
      <c r="OL78" s="12"/>
      <c r="OM78" s="12"/>
      <c r="ON78" s="12"/>
      <c r="OO78" s="12"/>
      <c r="OP78" s="12"/>
      <c r="OQ78" s="12"/>
      <c r="OR78" s="12"/>
      <c r="OS78" s="12"/>
      <c r="OT78" s="12"/>
      <c r="OU78" s="12"/>
      <c r="OV78" s="12"/>
      <c r="OW78" s="12"/>
      <c r="OX78" s="12"/>
      <c r="OY78" s="12"/>
      <c r="OZ78" s="12"/>
      <c r="PA78" s="12"/>
      <c r="PB78" s="12"/>
      <c r="PC78" s="12"/>
      <c r="PD78" s="12"/>
      <c r="PE78" s="12"/>
      <c r="PF78" s="12"/>
      <c r="PG78" s="12"/>
      <c r="PH78" s="12"/>
      <c r="PI78" s="12"/>
      <c r="PJ78" s="12"/>
      <c r="PK78" s="12"/>
      <c r="PL78" s="12"/>
      <c r="PM78" s="12"/>
      <c r="PN78" s="12"/>
      <c r="PO78" s="12"/>
      <c r="PP78" s="12"/>
      <c r="PQ78" s="12"/>
      <c r="PR78" s="12"/>
      <c r="PS78" s="12"/>
      <c r="PT78" s="12"/>
      <c r="PU78" s="12"/>
      <c r="PV78" s="12"/>
      <c r="PW78" s="12"/>
      <c r="PX78" s="12"/>
      <c r="PY78" s="12"/>
      <c r="PZ78" s="12"/>
      <c r="QA78" s="12"/>
      <c r="QB78" s="12"/>
      <c r="QC78" s="12"/>
      <c r="QD78" s="12"/>
      <c r="QE78" s="12"/>
      <c r="QF78" s="12"/>
      <c r="QG78" s="12"/>
      <c r="QH78" s="12"/>
      <c r="QI78" s="12"/>
      <c r="QJ78" s="12"/>
      <c r="QK78" s="12"/>
      <c r="QL78" s="12"/>
      <c r="QM78" s="12"/>
      <c r="QN78" s="12"/>
      <c r="QO78" s="12"/>
      <c r="QP78" s="12"/>
      <c r="QQ78" s="12"/>
      <c r="QR78" s="12"/>
      <c r="QS78" s="12"/>
      <c r="QT78" s="12"/>
      <c r="QU78" s="12"/>
      <c r="QV78" s="12"/>
      <c r="QW78" s="12"/>
      <c r="QX78" s="12"/>
      <c r="QY78" s="12"/>
      <c r="QZ78" s="12"/>
      <c r="RA78" s="12"/>
      <c r="RB78" s="12"/>
      <c r="RC78" s="12"/>
      <c r="RD78" s="12"/>
      <c r="RE78" s="12"/>
      <c r="RF78" s="12"/>
      <c r="RG78" s="12"/>
      <c r="RH78" s="12"/>
      <c r="RI78" s="12"/>
      <c r="RJ78" s="12"/>
      <c r="RK78" s="12"/>
      <c r="RL78" s="12"/>
      <c r="RM78" s="12"/>
      <c r="RN78" s="12"/>
      <c r="RO78" s="12"/>
      <c r="RP78" s="12"/>
      <c r="RQ78" s="12"/>
      <c r="RR78" s="12"/>
      <c r="RS78" s="12"/>
      <c r="RT78" s="12"/>
      <c r="RU78" s="12"/>
      <c r="RV78" s="12"/>
      <c r="RW78" s="12"/>
      <c r="RX78" s="12"/>
      <c r="RY78" s="12"/>
      <c r="RZ78" s="12"/>
      <c r="SA78" s="12"/>
      <c r="SB78" s="12"/>
      <c r="SC78" s="12"/>
      <c r="SD78" s="12"/>
      <c r="SE78" s="12"/>
      <c r="SF78" s="12"/>
      <c r="SG78" s="12"/>
      <c r="SH78" s="11"/>
      <c r="SI78" s="11"/>
      <c r="SJ78" s="11"/>
      <c r="SK78" s="11"/>
      <c r="SL78" s="11"/>
      <c r="SM78" s="11"/>
      <c r="SN78" s="11"/>
      <c r="SO78" s="11"/>
      <c r="SP78" s="11"/>
      <c r="SQ78" s="11"/>
      <c r="SR78" s="11"/>
      <c r="SS78" s="11"/>
      <c r="ST78" s="11"/>
      <c r="SU78" s="11"/>
      <c r="SV78" s="11"/>
      <c r="SW78" s="11"/>
      <c r="SX78" s="11"/>
      <c r="SY78" s="11"/>
      <c r="SZ78" s="11"/>
      <c r="TA78" s="11"/>
      <c r="TB78" s="11"/>
      <c r="TC78" s="11"/>
      <c r="TD78" s="11"/>
      <c r="TE78" s="11"/>
      <c r="TF78" s="11"/>
      <c r="TG78" s="11"/>
      <c r="TH78" s="11"/>
      <c r="TI78" s="11"/>
      <c r="TJ78" s="11"/>
      <c r="TK78" s="11"/>
      <c r="TL78" s="11"/>
    </row>
    <row r="79" spans="1:532" x14ac:dyDescent="0.2">
      <c r="A79" s="10" t="s">
        <v>78</v>
      </c>
      <c r="B79" s="12">
        <v>13.36</v>
      </c>
      <c r="C79" s="11">
        <v>0</v>
      </c>
      <c r="D79" s="11">
        <v>1.6235738720734085</v>
      </c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/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/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/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/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/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/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/>
      <c r="LT79" s="12"/>
      <c r="LU79" s="12"/>
      <c r="LV79" s="12"/>
      <c r="LW79" s="12"/>
      <c r="LX79" s="12"/>
      <c r="LY79" s="12"/>
      <c r="LZ79" s="12"/>
      <c r="MA79" s="12"/>
      <c r="MB79" s="12"/>
      <c r="MC79" s="12"/>
      <c r="MD79" s="12"/>
      <c r="ME79" s="12"/>
      <c r="MF79" s="12"/>
      <c r="MG79" s="12"/>
      <c r="MH79" s="12"/>
      <c r="MI79" s="12"/>
      <c r="MJ79" s="12"/>
      <c r="MK79" s="12"/>
      <c r="ML79" s="12"/>
      <c r="MM79" s="12"/>
      <c r="MN79" s="12"/>
      <c r="MO79" s="12"/>
      <c r="MP79" s="12"/>
      <c r="MQ79" s="12"/>
      <c r="MR79" s="12"/>
      <c r="MS79" s="12"/>
      <c r="MT79" s="12"/>
      <c r="MU79" s="12"/>
      <c r="MV79" s="12"/>
      <c r="MW79" s="12"/>
      <c r="MX79" s="12"/>
      <c r="MY79" s="12"/>
      <c r="MZ79" s="12"/>
      <c r="NA79" s="12"/>
      <c r="NB79" s="12"/>
      <c r="NC79" s="12"/>
      <c r="ND79" s="12"/>
      <c r="NE79" s="12"/>
      <c r="NF79" s="12"/>
      <c r="NG79" s="12"/>
      <c r="NH79" s="12"/>
      <c r="NI79" s="12"/>
      <c r="NJ79" s="12"/>
      <c r="NK79" s="12"/>
      <c r="NL79" s="12"/>
      <c r="NM79" s="12"/>
      <c r="NN79" s="12"/>
      <c r="NO79" s="12"/>
      <c r="NP79" s="12"/>
      <c r="NQ79" s="12"/>
      <c r="NR79" s="12"/>
      <c r="NS79" s="12"/>
      <c r="NT79" s="12"/>
      <c r="NU79" s="12"/>
      <c r="NV79" s="12"/>
      <c r="NW79" s="12"/>
      <c r="NX79" s="12"/>
      <c r="NY79" s="12"/>
      <c r="NZ79" s="12"/>
      <c r="OA79" s="12"/>
      <c r="OB79" s="12"/>
      <c r="OC79" s="12"/>
      <c r="OD79" s="12"/>
      <c r="OE79" s="12"/>
      <c r="OF79" s="12"/>
      <c r="OG79" s="12"/>
      <c r="OH79" s="12"/>
      <c r="OI79" s="12"/>
      <c r="OJ79" s="12"/>
      <c r="OK79" s="12"/>
      <c r="OL79" s="12"/>
      <c r="OM79" s="12"/>
      <c r="ON79" s="12"/>
      <c r="OO79" s="12"/>
      <c r="OP79" s="12"/>
      <c r="OQ79" s="12"/>
      <c r="OR79" s="12"/>
      <c r="OS79" s="12"/>
      <c r="OT79" s="12"/>
      <c r="OU79" s="12"/>
      <c r="OV79" s="12"/>
      <c r="OW79" s="12"/>
      <c r="OX79" s="12"/>
      <c r="OY79" s="12"/>
      <c r="OZ79" s="12"/>
      <c r="PA79" s="12"/>
      <c r="PB79" s="12"/>
      <c r="PC79" s="12"/>
      <c r="PD79" s="12"/>
      <c r="PE79" s="12"/>
      <c r="PF79" s="12"/>
      <c r="PG79" s="12"/>
      <c r="PH79" s="12"/>
      <c r="PI79" s="12"/>
      <c r="PJ79" s="12"/>
      <c r="PK79" s="12"/>
      <c r="PL79" s="12"/>
      <c r="PM79" s="12"/>
      <c r="PN79" s="12"/>
      <c r="PO79" s="12"/>
      <c r="PP79" s="12"/>
      <c r="PQ79" s="12"/>
      <c r="PR79" s="12"/>
      <c r="PS79" s="12"/>
      <c r="PT79" s="12"/>
      <c r="PU79" s="12"/>
      <c r="PV79" s="12"/>
      <c r="PW79" s="12"/>
      <c r="PX79" s="12"/>
      <c r="PY79" s="12"/>
      <c r="PZ79" s="12"/>
      <c r="QA79" s="12"/>
      <c r="QB79" s="12"/>
      <c r="QC79" s="12"/>
      <c r="QD79" s="12"/>
      <c r="QE79" s="12"/>
      <c r="QF79" s="12"/>
      <c r="QG79" s="12"/>
      <c r="QH79" s="12"/>
      <c r="QI79" s="12"/>
      <c r="QJ79" s="12"/>
      <c r="QK79" s="12"/>
      <c r="QL79" s="12"/>
      <c r="QM79" s="12"/>
      <c r="QN79" s="12"/>
      <c r="QO79" s="12"/>
      <c r="QP79" s="12"/>
      <c r="QQ79" s="12"/>
      <c r="QR79" s="12"/>
      <c r="QS79" s="12"/>
      <c r="QT79" s="12"/>
      <c r="QU79" s="12"/>
      <c r="QV79" s="12"/>
      <c r="QW79" s="12"/>
      <c r="QX79" s="12"/>
      <c r="QY79" s="12"/>
      <c r="QZ79" s="12"/>
      <c r="RA79" s="12"/>
      <c r="RB79" s="12"/>
      <c r="RC79" s="12"/>
      <c r="RD79" s="12"/>
      <c r="RE79" s="12"/>
      <c r="RF79" s="12"/>
      <c r="RG79" s="12"/>
      <c r="RH79" s="12"/>
      <c r="RI79" s="12"/>
      <c r="RJ79" s="12"/>
      <c r="RK79" s="12"/>
      <c r="RL79" s="12"/>
      <c r="RM79" s="12"/>
      <c r="RN79" s="12"/>
      <c r="RO79" s="12"/>
      <c r="RP79" s="12"/>
      <c r="RQ79" s="12"/>
      <c r="RR79" s="12"/>
      <c r="RS79" s="12"/>
      <c r="RT79" s="12"/>
      <c r="RU79" s="12"/>
      <c r="RV79" s="12"/>
      <c r="RW79" s="12"/>
      <c r="RX79" s="12"/>
      <c r="RY79" s="12"/>
      <c r="RZ79" s="12"/>
      <c r="SA79" s="12"/>
      <c r="SB79" s="12"/>
      <c r="SC79" s="12"/>
      <c r="SD79" s="12"/>
      <c r="SE79" s="12"/>
      <c r="SF79" s="12"/>
      <c r="SG79" s="12"/>
      <c r="SH79" s="11"/>
      <c r="SI79" s="11"/>
      <c r="SJ79" s="11"/>
      <c r="SK79" s="11"/>
      <c r="SL79" s="11"/>
      <c r="SM79" s="11"/>
      <c r="SN79" s="11"/>
      <c r="SO79" s="11"/>
      <c r="SP79" s="11"/>
      <c r="SQ79" s="11"/>
      <c r="SR79" s="11"/>
      <c r="SS79" s="11"/>
      <c r="ST79" s="11"/>
      <c r="SU79" s="11"/>
      <c r="SV79" s="11"/>
      <c r="SW79" s="11"/>
      <c r="SX79" s="11"/>
      <c r="SY79" s="11"/>
      <c r="SZ79" s="11"/>
      <c r="TA79" s="11"/>
      <c r="TB79" s="11"/>
      <c r="TC79" s="11"/>
      <c r="TD79" s="11"/>
      <c r="TE79" s="11"/>
      <c r="TF79" s="11"/>
      <c r="TG79" s="11"/>
      <c r="TH79" s="11"/>
      <c r="TI79" s="11"/>
      <c r="TJ79" s="11"/>
      <c r="TK79" s="11"/>
      <c r="TL79" s="11"/>
    </row>
    <row r="80" spans="1:532" x14ac:dyDescent="0.2">
      <c r="A80" s="10" t="s">
        <v>79</v>
      </c>
      <c r="B80" s="12">
        <v>14.88</v>
      </c>
      <c r="C80" s="11">
        <v>0</v>
      </c>
      <c r="D80" s="11">
        <v>0.11879808820049331</v>
      </c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/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/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/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/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/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/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/>
      <c r="LR80" s="12"/>
      <c r="LS80" s="12"/>
      <c r="LT80" s="12"/>
      <c r="LU80" s="12"/>
      <c r="LV80" s="12"/>
      <c r="LW80" s="12"/>
      <c r="LX80" s="12"/>
      <c r="LY80" s="12"/>
      <c r="LZ80" s="12"/>
      <c r="MA80" s="12"/>
      <c r="MB80" s="12"/>
      <c r="MC80" s="12"/>
      <c r="MD80" s="12"/>
      <c r="ME80" s="12"/>
      <c r="MF80" s="12"/>
      <c r="MG80" s="12"/>
      <c r="MH80" s="12"/>
      <c r="MI80" s="12"/>
      <c r="MJ80" s="12"/>
      <c r="MK80" s="12"/>
      <c r="ML80" s="12"/>
      <c r="MM80" s="12"/>
      <c r="MN80" s="12"/>
      <c r="MO80" s="12"/>
      <c r="MP80" s="12"/>
      <c r="MQ80" s="12"/>
      <c r="MR80" s="12"/>
      <c r="MS80" s="12"/>
      <c r="MT80" s="12"/>
      <c r="MU80" s="12"/>
      <c r="MV80" s="12"/>
      <c r="MW80" s="12"/>
      <c r="MX80" s="12"/>
      <c r="MY80" s="12"/>
      <c r="MZ80" s="12"/>
      <c r="NA80" s="12"/>
      <c r="NB80" s="12"/>
      <c r="NC80" s="12"/>
      <c r="ND80" s="12"/>
      <c r="NE80" s="12"/>
      <c r="NF80" s="12"/>
      <c r="NG80" s="12"/>
      <c r="NH80" s="12"/>
      <c r="NI80" s="12"/>
      <c r="NJ80" s="12"/>
      <c r="NK80" s="12"/>
      <c r="NL80" s="12"/>
      <c r="NM80" s="12"/>
      <c r="NN80" s="12"/>
      <c r="NO80" s="12"/>
      <c r="NP80" s="12"/>
      <c r="NQ80" s="12"/>
      <c r="NR80" s="12"/>
      <c r="NS80" s="12"/>
      <c r="NT80" s="12"/>
      <c r="NU80" s="12"/>
      <c r="NV80" s="12"/>
      <c r="NW80" s="12"/>
      <c r="NX80" s="12"/>
      <c r="NY80" s="12"/>
      <c r="NZ80" s="12"/>
      <c r="OA80" s="12"/>
      <c r="OB80" s="12"/>
      <c r="OC80" s="12"/>
      <c r="OD80" s="12"/>
      <c r="OE80" s="12"/>
      <c r="OF80" s="12"/>
      <c r="OG80" s="12"/>
      <c r="OH80" s="12"/>
      <c r="OI80" s="12"/>
      <c r="OJ80" s="12"/>
      <c r="OK80" s="12"/>
      <c r="OL80" s="12"/>
      <c r="OM80" s="12"/>
      <c r="ON80" s="12"/>
      <c r="OO80" s="12"/>
      <c r="OP80" s="12"/>
      <c r="OQ80" s="12"/>
      <c r="OR80" s="12"/>
      <c r="OS80" s="12"/>
      <c r="OT80" s="12"/>
      <c r="OU80" s="12"/>
      <c r="OV80" s="12"/>
      <c r="OW80" s="12"/>
      <c r="OX80" s="12"/>
      <c r="OY80" s="12"/>
      <c r="OZ80" s="12"/>
      <c r="PA80" s="12"/>
      <c r="PB80" s="12"/>
      <c r="PC80" s="12"/>
      <c r="PD80" s="12"/>
      <c r="PE80" s="12"/>
      <c r="PF80" s="12"/>
      <c r="PG80" s="12"/>
      <c r="PH80" s="12"/>
      <c r="PI80" s="12"/>
      <c r="PJ80" s="12"/>
      <c r="PK80" s="12"/>
      <c r="PL80" s="12"/>
      <c r="PM80" s="12"/>
      <c r="PN80" s="12"/>
      <c r="PO80" s="12"/>
      <c r="PP80" s="12"/>
      <c r="PQ80" s="12"/>
      <c r="PR80" s="12"/>
      <c r="PS80" s="12"/>
      <c r="PT80" s="12"/>
      <c r="PU80" s="12"/>
      <c r="PV80" s="12"/>
      <c r="PW80" s="12"/>
      <c r="PX80" s="12"/>
      <c r="PY80" s="12"/>
      <c r="PZ80" s="12"/>
      <c r="QA80" s="12"/>
      <c r="QB80" s="12"/>
      <c r="QC80" s="12"/>
      <c r="QD80" s="12"/>
      <c r="QE80" s="12"/>
      <c r="QF80" s="12"/>
      <c r="QG80" s="12"/>
      <c r="QH80" s="12"/>
      <c r="QI80" s="12"/>
      <c r="QJ80" s="12"/>
      <c r="QK80" s="12"/>
      <c r="QL80" s="12"/>
      <c r="QM80" s="12"/>
      <c r="QN80" s="12"/>
      <c r="QO80" s="12"/>
      <c r="QP80" s="12"/>
      <c r="QQ80" s="12"/>
      <c r="QR80" s="12"/>
      <c r="QS80" s="12"/>
      <c r="QT80" s="12"/>
      <c r="QU80" s="12"/>
      <c r="QV80" s="12"/>
      <c r="QW80" s="12"/>
      <c r="QX80" s="12"/>
      <c r="QY80" s="12"/>
      <c r="QZ80" s="12"/>
      <c r="RA80" s="12"/>
      <c r="RB80" s="12"/>
      <c r="RC80" s="12"/>
      <c r="RD80" s="12"/>
      <c r="RE80" s="12"/>
      <c r="RF80" s="12"/>
      <c r="RG80" s="12"/>
      <c r="RH80" s="12"/>
      <c r="RI80" s="12"/>
      <c r="RJ80" s="12"/>
      <c r="RK80" s="12"/>
      <c r="RL80" s="12"/>
      <c r="RM80" s="12"/>
      <c r="RN80" s="12"/>
      <c r="RO80" s="12"/>
      <c r="RP80" s="12"/>
      <c r="RQ80" s="12"/>
      <c r="RR80" s="12"/>
      <c r="RS80" s="12"/>
      <c r="RT80" s="12"/>
      <c r="RU80" s="12"/>
      <c r="RV80" s="12"/>
      <c r="RW80" s="12"/>
      <c r="RX80" s="12"/>
      <c r="RY80" s="12"/>
      <c r="RZ80" s="12"/>
      <c r="SA80" s="12"/>
      <c r="SB80" s="12"/>
      <c r="SC80" s="12"/>
      <c r="SD80" s="12"/>
      <c r="SE80" s="12"/>
      <c r="SF80" s="12"/>
      <c r="SG80" s="12"/>
      <c r="SH80" s="11"/>
      <c r="SI80" s="11"/>
      <c r="SJ80" s="11"/>
      <c r="SK80" s="11"/>
      <c r="SL80" s="11"/>
      <c r="SM80" s="11"/>
      <c r="SN80" s="11"/>
      <c r="SO80" s="11"/>
      <c r="SP80" s="11"/>
      <c r="SQ80" s="11"/>
      <c r="SR80" s="11"/>
      <c r="SS80" s="11"/>
      <c r="ST80" s="11"/>
      <c r="SU80" s="11"/>
      <c r="SV80" s="11"/>
      <c r="SW80" s="11"/>
      <c r="SX80" s="11"/>
      <c r="SY80" s="11"/>
      <c r="SZ80" s="11"/>
      <c r="TA80" s="11"/>
      <c r="TB80" s="11"/>
      <c r="TC80" s="11"/>
      <c r="TD80" s="11"/>
      <c r="TE80" s="11"/>
      <c r="TF80" s="11"/>
      <c r="TG80" s="11"/>
      <c r="TH80" s="11"/>
      <c r="TI80" s="11"/>
      <c r="TJ80" s="11"/>
      <c r="TK80" s="11"/>
      <c r="TL80" s="11"/>
    </row>
    <row r="81" spans="1:532" x14ac:dyDescent="0.2">
      <c r="A81" s="10" t="s">
        <v>80</v>
      </c>
      <c r="B81" s="12">
        <v>14.01</v>
      </c>
      <c r="C81" s="11">
        <v>0</v>
      </c>
      <c r="D81" s="11">
        <v>0.98008422765406988</v>
      </c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2"/>
      <c r="LU81" s="12"/>
      <c r="LV81" s="12"/>
      <c r="LW81" s="12"/>
      <c r="LX81" s="12"/>
      <c r="LY81" s="12"/>
      <c r="LZ81" s="12"/>
      <c r="MA81" s="12"/>
      <c r="MB81" s="12"/>
      <c r="MC81" s="12"/>
      <c r="MD81" s="12"/>
      <c r="ME81" s="12"/>
      <c r="MF81" s="12"/>
      <c r="MG81" s="12"/>
      <c r="MH81" s="12"/>
      <c r="MI81" s="12"/>
      <c r="MJ81" s="12"/>
      <c r="MK81" s="12"/>
      <c r="ML81" s="12"/>
      <c r="MM81" s="12"/>
      <c r="MN81" s="12"/>
      <c r="MO81" s="12"/>
      <c r="MP81" s="12"/>
      <c r="MQ81" s="12"/>
      <c r="MR81" s="12"/>
      <c r="MS81" s="12"/>
      <c r="MT81" s="12"/>
      <c r="MU81" s="12"/>
      <c r="MV81" s="12"/>
      <c r="MW81" s="12"/>
      <c r="MX81" s="12"/>
      <c r="MY81" s="12"/>
      <c r="MZ81" s="12"/>
      <c r="NA81" s="12"/>
      <c r="NB81" s="12"/>
      <c r="NC81" s="12"/>
      <c r="ND81" s="12"/>
      <c r="NE81" s="12"/>
      <c r="NF81" s="12"/>
      <c r="NG81" s="12"/>
      <c r="NH81" s="12"/>
      <c r="NI81" s="12"/>
      <c r="NJ81" s="12"/>
      <c r="NK81" s="12"/>
      <c r="NL81" s="12"/>
      <c r="NM81" s="12"/>
      <c r="NN81" s="12"/>
      <c r="NO81" s="12"/>
      <c r="NP81" s="12"/>
      <c r="NQ81" s="12"/>
      <c r="NR81" s="12"/>
      <c r="NS81" s="12"/>
      <c r="NT81" s="12"/>
      <c r="NU81" s="12"/>
      <c r="NV81" s="12"/>
      <c r="NW81" s="12"/>
      <c r="NX81" s="12"/>
      <c r="NY81" s="12"/>
      <c r="NZ81" s="12"/>
      <c r="OA81" s="12"/>
      <c r="OB81" s="12"/>
      <c r="OC81" s="12"/>
      <c r="OD81" s="12"/>
      <c r="OE81" s="12"/>
      <c r="OF81" s="12"/>
      <c r="OG81" s="12"/>
      <c r="OH81" s="12"/>
      <c r="OI81" s="12"/>
      <c r="OJ81" s="12"/>
      <c r="OK81" s="12"/>
      <c r="OL81" s="12"/>
      <c r="OM81" s="12"/>
      <c r="ON81" s="12"/>
      <c r="OO81" s="12"/>
      <c r="OP81" s="12"/>
      <c r="OQ81" s="12"/>
      <c r="OR81" s="12"/>
      <c r="OS81" s="12"/>
      <c r="OT81" s="12"/>
      <c r="OU81" s="12"/>
      <c r="OV81" s="12"/>
      <c r="OW81" s="12"/>
      <c r="OX81" s="12"/>
      <c r="OY81" s="12"/>
      <c r="OZ81" s="12"/>
      <c r="PA81" s="12"/>
      <c r="PB81" s="12"/>
      <c r="PC81" s="12"/>
      <c r="PD81" s="12"/>
      <c r="PE81" s="12"/>
      <c r="PF81" s="12"/>
      <c r="PG81" s="12"/>
      <c r="PH81" s="12"/>
      <c r="PI81" s="12"/>
      <c r="PJ81" s="12"/>
      <c r="PK81" s="12"/>
      <c r="PL81" s="12"/>
      <c r="PM81" s="12"/>
      <c r="PN81" s="12"/>
      <c r="PO81" s="12"/>
      <c r="PP81" s="12"/>
      <c r="PQ81" s="12"/>
      <c r="PR81" s="12"/>
      <c r="PS81" s="12"/>
      <c r="PT81" s="12"/>
      <c r="PU81" s="12"/>
      <c r="PV81" s="12"/>
      <c r="PW81" s="12"/>
      <c r="PX81" s="12"/>
      <c r="PY81" s="12"/>
      <c r="PZ81" s="12"/>
      <c r="QA81" s="12"/>
      <c r="QB81" s="12"/>
      <c r="QC81" s="12"/>
      <c r="QD81" s="12"/>
      <c r="QE81" s="12"/>
      <c r="QF81" s="12"/>
      <c r="QG81" s="12"/>
      <c r="QH81" s="12"/>
      <c r="QI81" s="12"/>
      <c r="QJ81" s="12"/>
      <c r="QK81" s="12"/>
      <c r="QL81" s="12"/>
      <c r="QM81" s="12"/>
      <c r="QN81" s="12"/>
      <c r="QO81" s="12"/>
      <c r="QP81" s="12"/>
      <c r="QQ81" s="12"/>
      <c r="QR81" s="12"/>
      <c r="QS81" s="12"/>
      <c r="QT81" s="12"/>
      <c r="QU81" s="12"/>
      <c r="QV81" s="12"/>
      <c r="QW81" s="12"/>
      <c r="QX81" s="12"/>
      <c r="QY81" s="12"/>
      <c r="QZ81" s="12"/>
      <c r="RA81" s="12"/>
      <c r="RB81" s="12"/>
      <c r="RC81" s="12"/>
      <c r="RD81" s="12"/>
      <c r="RE81" s="12"/>
      <c r="RF81" s="12"/>
      <c r="RG81" s="12"/>
      <c r="RH81" s="12"/>
      <c r="RI81" s="12"/>
      <c r="RJ81" s="12"/>
      <c r="RK81" s="12"/>
      <c r="RL81" s="12"/>
      <c r="RM81" s="12"/>
      <c r="RN81" s="12"/>
      <c r="RO81" s="12"/>
      <c r="RP81" s="12"/>
      <c r="RQ81" s="12"/>
      <c r="RR81" s="12"/>
      <c r="RS81" s="12"/>
      <c r="RT81" s="12"/>
      <c r="RU81" s="12"/>
      <c r="RV81" s="12"/>
      <c r="RW81" s="12"/>
      <c r="RX81" s="12"/>
      <c r="RY81" s="12"/>
      <c r="RZ81" s="12"/>
      <c r="SA81" s="12"/>
      <c r="SB81" s="12"/>
      <c r="SC81" s="12"/>
      <c r="SD81" s="12"/>
      <c r="SE81" s="12"/>
      <c r="SF81" s="12"/>
      <c r="SG81" s="12"/>
      <c r="SH81" s="11"/>
      <c r="SI81" s="11"/>
      <c r="SJ81" s="11"/>
      <c r="SK81" s="11"/>
      <c r="SL81" s="11"/>
      <c r="SM81" s="11"/>
      <c r="SN81" s="11"/>
      <c r="SO81" s="11"/>
      <c r="SP81" s="11"/>
      <c r="SQ81" s="11"/>
      <c r="SR81" s="11"/>
      <c r="SS81" s="11"/>
      <c r="ST81" s="11"/>
      <c r="SU81" s="11"/>
      <c r="SV81" s="11"/>
      <c r="SW81" s="11"/>
      <c r="SX81" s="11"/>
      <c r="SY81" s="11"/>
      <c r="SZ81" s="11"/>
      <c r="TA81" s="11"/>
      <c r="TB81" s="11"/>
      <c r="TC81" s="11"/>
      <c r="TD81" s="11"/>
      <c r="TE81" s="11"/>
      <c r="TF81" s="11"/>
      <c r="TG81" s="11"/>
      <c r="TH81" s="11"/>
      <c r="TI81" s="11"/>
      <c r="TJ81" s="11"/>
      <c r="TK81" s="11"/>
      <c r="TL81" s="11"/>
    </row>
    <row r="82" spans="1:532" x14ac:dyDescent="0.2">
      <c r="A82" s="10" t="s">
        <v>81</v>
      </c>
      <c r="B82" s="12">
        <v>13.02</v>
      </c>
      <c r="C82" s="11">
        <v>0</v>
      </c>
      <c r="D82" s="11">
        <v>1.9601684553081398</v>
      </c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/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/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/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/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/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/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/>
      <c r="LT82" s="12"/>
      <c r="LU82" s="12"/>
      <c r="LV82" s="12"/>
      <c r="LW82" s="12"/>
      <c r="LX82" s="12"/>
      <c r="LY82" s="12"/>
      <c r="LZ82" s="12"/>
      <c r="MA82" s="12"/>
      <c r="MB82" s="12"/>
      <c r="MC82" s="12"/>
      <c r="MD82" s="12"/>
      <c r="ME82" s="12"/>
      <c r="MF82" s="12"/>
      <c r="MG82" s="12"/>
      <c r="MH82" s="12"/>
      <c r="MI82" s="12"/>
      <c r="MJ82" s="12"/>
      <c r="MK82" s="12"/>
      <c r="ML82" s="12"/>
      <c r="MM82" s="12"/>
      <c r="MN82" s="12"/>
      <c r="MO82" s="12"/>
      <c r="MP82" s="12"/>
      <c r="MQ82" s="12"/>
      <c r="MR82" s="12"/>
      <c r="MS82" s="12"/>
      <c r="MT82" s="12"/>
      <c r="MU82" s="12"/>
      <c r="MV82" s="12"/>
      <c r="MW82" s="12"/>
      <c r="MX82" s="12"/>
      <c r="MY82" s="12"/>
      <c r="MZ82" s="12"/>
      <c r="NA82" s="12"/>
      <c r="NB82" s="12"/>
      <c r="NC82" s="12"/>
      <c r="ND82" s="12"/>
      <c r="NE82" s="12"/>
      <c r="NF82" s="12"/>
      <c r="NG82" s="12"/>
      <c r="NH82" s="12"/>
      <c r="NI82" s="12"/>
      <c r="NJ82" s="12"/>
      <c r="NK82" s="12"/>
      <c r="NL82" s="12"/>
      <c r="NM82" s="12"/>
      <c r="NN82" s="12"/>
      <c r="NO82" s="12"/>
      <c r="NP82" s="12"/>
      <c r="NQ82" s="12"/>
      <c r="NR82" s="12"/>
      <c r="NS82" s="12"/>
      <c r="NT82" s="12"/>
      <c r="NU82" s="12"/>
      <c r="NV82" s="12"/>
      <c r="NW82" s="12"/>
      <c r="NX82" s="12"/>
      <c r="NY82" s="12"/>
      <c r="NZ82" s="12"/>
      <c r="OA82" s="12"/>
      <c r="OB82" s="12"/>
      <c r="OC82" s="12"/>
      <c r="OD82" s="12"/>
      <c r="OE82" s="12"/>
      <c r="OF82" s="12"/>
      <c r="OG82" s="12"/>
      <c r="OH82" s="12"/>
      <c r="OI82" s="12"/>
      <c r="OJ82" s="12"/>
      <c r="OK82" s="12"/>
      <c r="OL82" s="12"/>
      <c r="OM82" s="12"/>
      <c r="ON82" s="12"/>
      <c r="OO82" s="12"/>
      <c r="OP82" s="12"/>
      <c r="OQ82" s="12"/>
      <c r="OR82" s="12"/>
      <c r="OS82" s="12"/>
      <c r="OT82" s="12"/>
      <c r="OU82" s="12"/>
      <c r="OV82" s="12"/>
      <c r="OW82" s="12"/>
      <c r="OX82" s="12"/>
      <c r="OY82" s="12"/>
      <c r="OZ82" s="12"/>
      <c r="PA82" s="12"/>
      <c r="PB82" s="12"/>
      <c r="PC82" s="12"/>
      <c r="PD82" s="12"/>
      <c r="PE82" s="12"/>
      <c r="PF82" s="12"/>
      <c r="PG82" s="12"/>
      <c r="PH82" s="12"/>
      <c r="PI82" s="12"/>
      <c r="PJ82" s="12"/>
      <c r="PK82" s="12"/>
      <c r="PL82" s="12"/>
      <c r="PM82" s="12"/>
      <c r="PN82" s="12"/>
      <c r="PO82" s="12"/>
      <c r="PP82" s="12"/>
      <c r="PQ82" s="12"/>
      <c r="PR82" s="12"/>
      <c r="PS82" s="12"/>
      <c r="PT82" s="12"/>
      <c r="PU82" s="12"/>
      <c r="PV82" s="12"/>
      <c r="PW82" s="12"/>
      <c r="PX82" s="12"/>
      <c r="PY82" s="12"/>
      <c r="PZ82" s="12"/>
      <c r="QA82" s="12"/>
      <c r="QB82" s="12"/>
      <c r="QC82" s="12"/>
      <c r="QD82" s="12"/>
      <c r="QE82" s="12"/>
      <c r="QF82" s="12"/>
      <c r="QG82" s="12"/>
      <c r="QH82" s="12"/>
      <c r="QI82" s="12"/>
      <c r="QJ82" s="12"/>
      <c r="QK82" s="12"/>
      <c r="QL82" s="12"/>
      <c r="QM82" s="12"/>
      <c r="QN82" s="12"/>
      <c r="QO82" s="12"/>
      <c r="QP82" s="12"/>
      <c r="QQ82" s="12"/>
      <c r="QR82" s="12"/>
      <c r="QS82" s="12"/>
      <c r="QT82" s="12"/>
      <c r="QU82" s="12"/>
      <c r="QV82" s="12"/>
      <c r="QW82" s="12"/>
      <c r="QX82" s="12"/>
      <c r="QY82" s="12"/>
      <c r="QZ82" s="12"/>
      <c r="RA82" s="12"/>
      <c r="RB82" s="12"/>
      <c r="RC82" s="12"/>
      <c r="RD82" s="12"/>
      <c r="RE82" s="12"/>
      <c r="RF82" s="12"/>
      <c r="RG82" s="12"/>
      <c r="RH82" s="12"/>
      <c r="RI82" s="12"/>
      <c r="RJ82" s="12"/>
      <c r="RK82" s="12"/>
      <c r="RL82" s="12"/>
      <c r="RM82" s="12"/>
      <c r="RN82" s="12"/>
      <c r="RO82" s="12"/>
      <c r="RP82" s="12"/>
      <c r="RQ82" s="12"/>
      <c r="RR82" s="12"/>
      <c r="RS82" s="12"/>
      <c r="RT82" s="12"/>
      <c r="RU82" s="12"/>
      <c r="RV82" s="12"/>
      <c r="RW82" s="12"/>
      <c r="RX82" s="12"/>
      <c r="RY82" s="12"/>
      <c r="RZ82" s="12"/>
      <c r="SA82" s="12"/>
      <c r="SB82" s="12"/>
      <c r="SC82" s="12"/>
      <c r="SD82" s="12"/>
      <c r="SE82" s="12"/>
      <c r="SF82" s="12"/>
      <c r="SG82" s="12"/>
      <c r="SH82" s="11"/>
      <c r="SI82" s="11"/>
      <c r="SJ82" s="11"/>
      <c r="SK82" s="11"/>
      <c r="SL82" s="11"/>
      <c r="SM82" s="11"/>
      <c r="SN82" s="11"/>
      <c r="SO82" s="11"/>
      <c r="SP82" s="11"/>
      <c r="SQ82" s="11"/>
      <c r="SR82" s="11"/>
      <c r="SS82" s="11"/>
      <c r="ST82" s="11"/>
      <c r="SU82" s="11"/>
      <c r="SV82" s="11"/>
      <c r="SW82" s="11"/>
      <c r="SX82" s="11"/>
      <c r="SY82" s="11"/>
      <c r="SZ82" s="11"/>
      <c r="TA82" s="11"/>
      <c r="TB82" s="11"/>
      <c r="TC82" s="11"/>
      <c r="TD82" s="11"/>
      <c r="TE82" s="11"/>
      <c r="TF82" s="11"/>
      <c r="TG82" s="11"/>
      <c r="TH82" s="11"/>
      <c r="TI82" s="11"/>
      <c r="TJ82" s="11"/>
      <c r="TK82" s="11"/>
      <c r="TL82" s="11"/>
    </row>
    <row r="83" spans="1:532" x14ac:dyDescent="0.2">
      <c r="A83" s="10" t="s">
        <v>82</v>
      </c>
      <c r="B83" s="12">
        <v>15.42</v>
      </c>
      <c r="C83" s="11">
        <v>0.41579330870172659</v>
      </c>
      <c r="D83" s="11">
        <v>0</v>
      </c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12"/>
      <c r="IP83" s="12"/>
      <c r="IQ83" s="12"/>
      <c r="IR83" s="12"/>
      <c r="IS83" s="12"/>
      <c r="IT83" s="12"/>
      <c r="IU83" s="12"/>
      <c r="IV83" s="12"/>
      <c r="IW83" s="12"/>
      <c r="IX83" s="12"/>
      <c r="IY83" s="12"/>
      <c r="IZ83" s="12"/>
      <c r="JA83" s="12"/>
      <c r="JB83" s="12"/>
      <c r="JC83" s="12"/>
      <c r="JD83" s="12"/>
      <c r="JE83" s="12"/>
      <c r="JF83" s="12"/>
      <c r="JG83" s="12"/>
      <c r="JH83" s="12"/>
      <c r="JI83" s="12"/>
      <c r="JJ83" s="12"/>
      <c r="JK83" s="12"/>
      <c r="JL83" s="12"/>
      <c r="JM83" s="12"/>
      <c r="JN83" s="12"/>
      <c r="JO83" s="12"/>
      <c r="JP83" s="12"/>
      <c r="JQ83" s="12"/>
      <c r="JR83" s="12"/>
      <c r="JS83" s="12"/>
      <c r="JT83" s="12"/>
      <c r="JU83" s="12"/>
      <c r="JV83" s="12"/>
      <c r="JW83" s="12"/>
      <c r="JX83" s="12"/>
      <c r="JY83" s="12"/>
      <c r="JZ83" s="12"/>
      <c r="KA83" s="12"/>
      <c r="KB83" s="12"/>
      <c r="KC83" s="12"/>
      <c r="KD83" s="12"/>
      <c r="KE83" s="12"/>
      <c r="KF83" s="12"/>
      <c r="KG83" s="12"/>
      <c r="KH83" s="12"/>
      <c r="KI83" s="12"/>
      <c r="KJ83" s="12"/>
      <c r="KK83" s="12"/>
      <c r="KL83" s="12"/>
      <c r="KM83" s="12"/>
      <c r="KN83" s="12"/>
      <c r="KO83" s="12"/>
      <c r="KP83" s="12"/>
      <c r="KQ83" s="12"/>
      <c r="KR83" s="12"/>
      <c r="KS83" s="12"/>
      <c r="KT83" s="12"/>
      <c r="KU83" s="12"/>
      <c r="KV83" s="12"/>
      <c r="KW83" s="12"/>
      <c r="KX83" s="12"/>
      <c r="KY83" s="12"/>
      <c r="KZ83" s="12"/>
      <c r="LA83" s="12"/>
      <c r="LB83" s="12"/>
      <c r="LC83" s="12"/>
      <c r="LD83" s="12"/>
      <c r="LE83" s="12"/>
      <c r="LF83" s="12"/>
      <c r="LG83" s="12"/>
      <c r="LH83" s="12"/>
      <c r="LI83" s="12"/>
      <c r="LJ83" s="12"/>
      <c r="LK83" s="12"/>
      <c r="LL83" s="12"/>
      <c r="LM83" s="12"/>
      <c r="LN83" s="12"/>
      <c r="LO83" s="12"/>
      <c r="LP83" s="12"/>
      <c r="LQ83" s="12"/>
      <c r="LR83" s="12"/>
      <c r="LS83" s="12"/>
      <c r="LT83" s="12"/>
      <c r="LU83" s="12"/>
      <c r="LV83" s="12"/>
      <c r="LW83" s="12"/>
      <c r="LX83" s="12"/>
      <c r="LY83" s="12"/>
      <c r="LZ83" s="12"/>
      <c r="MA83" s="12"/>
      <c r="MB83" s="12"/>
      <c r="MC83" s="12"/>
      <c r="MD83" s="12"/>
      <c r="ME83" s="12"/>
      <c r="MF83" s="12"/>
      <c r="MG83" s="12"/>
      <c r="MH83" s="12"/>
      <c r="MI83" s="12"/>
      <c r="MJ83" s="12"/>
      <c r="MK83" s="12"/>
      <c r="ML83" s="12"/>
      <c r="MM83" s="12"/>
      <c r="MN83" s="12"/>
      <c r="MO83" s="12"/>
      <c r="MP83" s="12"/>
      <c r="MQ83" s="12"/>
      <c r="MR83" s="12"/>
      <c r="MS83" s="12"/>
      <c r="MT83" s="12"/>
      <c r="MU83" s="12"/>
      <c r="MV83" s="12"/>
      <c r="MW83" s="12"/>
      <c r="MX83" s="12"/>
      <c r="MY83" s="12"/>
      <c r="MZ83" s="12"/>
      <c r="NA83" s="12"/>
      <c r="NB83" s="12"/>
      <c r="NC83" s="12"/>
      <c r="ND83" s="12"/>
      <c r="NE83" s="12"/>
      <c r="NF83" s="12"/>
      <c r="NG83" s="12"/>
      <c r="NH83" s="12"/>
      <c r="NI83" s="12"/>
      <c r="NJ83" s="12"/>
      <c r="NK83" s="12"/>
      <c r="NL83" s="12"/>
      <c r="NM83" s="12"/>
      <c r="NN83" s="12"/>
      <c r="NO83" s="12"/>
      <c r="NP83" s="12"/>
      <c r="NQ83" s="12"/>
      <c r="NR83" s="12"/>
      <c r="NS83" s="12"/>
      <c r="NT83" s="12"/>
      <c r="NU83" s="12"/>
      <c r="NV83" s="12"/>
      <c r="NW83" s="12"/>
      <c r="NX83" s="12"/>
      <c r="NY83" s="12"/>
      <c r="NZ83" s="12"/>
      <c r="OA83" s="12"/>
      <c r="OB83" s="12"/>
      <c r="OC83" s="12"/>
      <c r="OD83" s="12"/>
      <c r="OE83" s="12"/>
      <c r="OF83" s="12"/>
      <c r="OG83" s="12"/>
      <c r="OH83" s="12"/>
      <c r="OI83" s="12"/>
      <c r="OJ83" s="12"/>
      <c r="OK83" s="12"/>
      <c r="OL83" s="12"/>
      <c r="OM83" s="12"/>
      <c r="ON83" s="12"/>
      <c r="OO83" s="12"/>
      <c r="OP83" s="12"/>
      <c r="OQ83" s="12"/>
      <c r="OR83" s="12"/>
      <c r="OS83" s="12"/>
      <c r="OT83" s="12"/>
      <c r="OU83" s="12"/>
      <c r="OV83" s="12"/>
      <c r="OW83" s="12"/>
      <c r="OX83" s="12"/>
      <c r="OY83" s="12"/>
      <c r="OZ83" s="12"/>
      <c r="PA83" s="12"/>
      <c r="PB83" s="12"/>
      <c r="PC83" s="12"/>
      <c r="PD83" s="12"/>
      <c r="PE83" s="12"/>
      <c r="PF83" s="12"/>
      <c r="PG83" s="12"/>
      <c r="PH83" s="12"/>
      <c r="PI83" s="12"/>
      <c r="PJ83" s="12"/>
      <c r="PK83" s="12"/>
      <c r="PL83" s="12"/>
      <c r="PM83" s="12"/>
      <c r="PN83" s="12"/>
      <c r="PO83" s="12"/>
      <c r="PP83" s="12"/>
      <c r="PQ83" s="12"/>
      <c r="PR83" s="12"/>
      <c r="PS83" s="12"/>
      <c r="PT83" s="12"/>
      <c r="PU83" s="12"/>
      <c r="PV83" s="12"/>
      <c r="PW83" s="12"/>
      <c r="PX83" s="12"/>
      <c r="PY83" s="12"/>
      <c r="PZ83" s="12"/>
      <c r="QA83" s="12"/>
      <c r="QB83" s="12"/>
      <c r="QC83" s="12"/>
      <c r="QD83" s="12"/>
      <c r="QE83" s="12"/>
      <c r="QF83" s="12"/>
      <c r="QG83" s="12"/>
      <c r="QH83" s="12"/>
      <c r="QI83" s="12"/>
      <c r="QJ83" s="12"/>
      <c r="QK83" s="12"/>
      <c r="QL83" s="12"/>
      <c r="QM83" s="12"/>
      <c r="QN83" s="12"/>
      <c r="QO83" s="12"/>
      <c r="QP83" s="12"/>
      <c r="QQ83" s="12"/>
      <c r="QR83" s="12"/>
      <c r="QS83" s="12"/>
      <c r="QT83" s="12"/>
      <c r="QU83" s="12"/>
      <c r="QV83" s="12"/>
      <c r="QW83" s="12"/>
      <c r="QX83" s="12"/>
      <c r="QY83" s="12"/>
      <c r="QZ83" s="12"/>
      <c r="RA83" s="12"/>
      <c r="RB83" s="12"/>
      <c r="RC83" s="12"/>
      <c r="RD83" s="12"/>
      <c r="RE83" s="12"/>
      <c r="RF83" s="12"/>
      <c r="RG83" s="12"/>
      <c r="RH83" s="12"/>
      <c r="RI83" s="12"/>
      <c r="RJ83" s="12"/>
      <c r="RK83" s="12"/>
      <c r="RL83" s="12"/>
      <c r="RM83" s="12"/>
      <c r="RN83" s="12"/>
      <c r="RO83" s="12"/>
      <c r="RP83" s="12"/>
      <c r="RQ83" s="12"/>
      <c r="RR83" s="12"/>
      <c r="RS83" s="12"/>
      <c r="RT83" s="12"/>
      <c r="RU83" s="12"/>
      <c r="RV83" s="12"/>
      <c r="RW83" s="12"/>
      <c r="RX83" s="12"/>
      <c r="RY83" s="12"/>
      <c r="RZ83" s="12"/>
      <c r="SA83" s="12"/>
      <c r="SB83" s="12"/>
      <c r="SC83" s="12"/>
      <c r="SD83" s="12"/>
      <c r="SE83" s="12"/>
      <c r="SF83" s="12"/>
      <c r="SG83" s="12"/>
      <c r="SH83" s="11"/>
      <c r="SI83" s="11"/>
      <c r="SJ83" s="11"/>
      <c r="SK83" s="11"/>
      <c r="SL83" s="11"/>
      <c r="SM83" s="11"/>
      <c r="SN83" s="11"/>
      <c r="SO83" s="11"/>
      <c r="SP83" s="11"/>
      <c r="SQ83" s="11"/>
      <c r="SR83" s="11"/>
      <c r="SS83" s="11"/>
      <c r="ST83" s="11"/>
      <c r="SU83" s="11"/>
      <c r="SV83" s="11"/>
      <c r="SW83" s="11"/>
      <c r="SX83" s="11"/>
      <c r="SY83" s="11"/>
      <c r="SZ83" s="11"/>
      <c r="TA83" s="11"/>
      <c r="TB83" s="11"/>
      <c r="TC83" s="11"/>
      <c r="TD83" s="11"/>
      <c r="TE83" s="11"/>
      <c r="TF83" s="11"/>
      <c r="TG83" s="11"/>
      <c r="TH83" s="11"/>
      <c r="TI83" s="11"/>
      <c r="TJ83" s="11"/>
      <c r="TK83" s="11"/>
      <c r="TL83" s="11"/>
    </row>
    <row r="84" spans="1:532" x14ac:dyDescent="0.2">
      <c r="A84" s="10" t="s">
        <v>83</v>
      </c>
      <c r="B84" s="12">
        <v>14.09</v>
      </c>
      <c r="C84" s="11">
        <v>0</v>
      </c>
      <c r="D84" s="11">
        <v>0.90088550218707442</v>
      </c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12"/>
      <c r="IP84" s="12"/>
      <c r="IQ84" s="12"/>
      <c r="IR84" s="12"/>
      <c r="IS84" s="12"/>
      <c r="IT84" s="12"/>
      <c r="IU84" s="12"/>
      <c r="IV84" s="12"/>
      <c r="IW84" s="12"/>
      <c r="IX84" s="12"/>
      <c r="IY84" s="12"/>
      <c r="IZ84" s="12"/>
      <c r="JA84" s="12"/>
      <c r="JB84" s="12"/>
      <c r="JC84" s="12"/>
      <c r="JD84" s="12"/>
      <c r="JE84" s="12"/>
      <c r="JF84" s="12"/>
      <c r="JG84" s="12"/>
      <c r="JH84" s="12"/>
      <c r="JI84" s="12"/>
      <c r="JJ84" s="12"/>
      <c r="JK84" s="12"/>
      <c r="JL84" s="12"/>
      <c r="JM84" s="12"/>
      <c r="JN84" s="12"/>
      <c r="JO84" s="12"/>
      <c r="JP84" s="12"/>
      <c r="JQ84" s="12"/>
      <c r="JR84" s="12"/>
      <c r="JS84" s="12"/>
      <c r="JT84" s="12"/>
      <c r="JU84" s="12"/>
      <c r="JV84" s="12"/>
      <c r="JW84" s="12"/>
      <c r="JX84" s="12"/>
      <c r="JY84" s="12"/>
      <c r="JZ84" s="12"/>
      <c r="KA84" s="12"/>
      <c r="KB84" s="12"/>
      <c r="KC84" s="12"/>
      <c r="KD84" s="12"/>
      <c r="KE84" s="12"/>
      <c r="KF84" s="12"/>
      <c r="KG84" s="12"/>
      <c r="KH84" s="12"/>
      <c r="KI84" s="12"/>
      <c r="KJ84" s="12"/>
      <c r="KK84" s="12"/>
      <c r="KL84" s="12"/>
      <c r="KM84" s="12"/>
      <c r="KN84" s="12"/>
      <c r="KO84" s="12"/>
      <c r="KP84" s="12"/>
      <c r="KQ84" s="12"/>
      <c r="KR84" s="12"/>
      <c r="KS84" s="12"/>
      <c r="KT84" s="12"/>
      <c r="KU84" s="12"/>
      <c r="KV84" s="12"/>
      <c r="KW84" s="12"/>
      <c r="KX84" s="12"/>
      <c r="KY84" s="12"/>
      <c r="KZ84" s="12"/>
      <c r="LA84" s="12"/>
      <c r="LB84" s="12"/>
      <c r="LC84" s="12"/>
      <c r="LD84" s="12"/>
      <c r="LE84" s="12"/>
      <c r="LF84" s="12"/>
      <c r="LG84" s="12"/>
      <c r="LH84" s="12"/>
      <c r="LI84" s="12"/>
      <c r="LJ84" s="12"/>
      <c r="LK84" s="12"/>
      <c r="LL84" s="12"/>
      <c r="LM84" s="12"/>
      <c r="LN84" s="12"/>
      <c r="LO84" s="12"/>
      <c r="LP84" s="12"/>
      <c r="LQ84" s="12"/>
      <c r="LR84" s="12"/>
      <c r="LS84" s="12"/>
      <c r="LT84" s="12"/>
      <c r="LU84" s="12"/>
      <c r="LV84" s="12"/>
      <c r="LW84" s="12"/>
      <c r="LX84" s="12"/>
      <c r="LY84" s="12"/>
      <c r="LZ84" s="12"/>
      <c r="MA84" s="12"/>
      <c r="MB84" s="12"/>
      <c r="MC84" s="12"/>
      <c r="MD84" s="12"/>
      <c r="ME84" s="12"/>
      <c r="MF84" s="12"/>
      <c r="MG84" s="12"/>
      <c r="MH84" s="12"/>
      <c r="MI84" s="12"/>
      <c r="MJ84" s="12"/>
      <c r="MK84" s="12"/>
      <c r="ML84" s="12"/>
      <c r="MM84" s="12"/>
      <c r="MN84" s="12"/>
      <c r="MO84" s="12"/>
      <c r="MP84" s="12"/>
      <c r="MQ84" s="12"/>
      <c r="MR84" s="12"/>
      <c r="MS84" s="12"/>
      <c r="MT84" s="12"/>
      <c r="MU84" s="12"/>
      <c r="MV84" s="12"/>
      <c r="MW84" s="12"/>
      <c r="MX84" s="12"/>
      <c r="MY84" s="12"/>
      <c r="MZ84" s="12"/>
      <c r="NA84" s="12"/>
      <c r="NB84" s="12"/>
      <c r="NC84" s="12"/>
      <c r="ND84" s="12"/>
      <c r="NE84" s="12"/>
      <c r="NF84" s="12"/>
      <c r="NG84" s="12"/>
      <c r="NH84" s="12"/>
      <c r="NI84" s="12"/>
      <c r="NJ84" s="12"/>
      <c r="NK84" s="12"/>
      <c r="NL84" s="12"/>
      <c r="NM84" s="12"/>
      <c r="NN84" s="12"/>
      <c r="NO84" s="12"/>
      <c r="NP84" s="12"/>
      <c r="NQ84" s="12"/>
      <c r="NR84" s="12"/>
      <c r="NS84" s="12"/>
      <c r="NT84" s="12"/>
      <c r="NU84" s="12"/>
      <c r="NV84" s="12"/>
      <c r="NW84" s="12"/>
      <c r="NX84" s="12"/>
      <c r="NY84" s="12"/>
      <c r="NZ84" s="12"/>
      <c r="OA84" s="12"/>
      <c r="OB84" s="12"/>
      <c r="OC84" s="12"/>
      <c r="OD84" s="12"/>
      <c r="OE84" s="12"/>
      <c r="OF84" s="12"/>
      <c r="OG84" s="12"/>
      <c r="OH84" s="12"/>
      <c r="OI84" s="12"/>
      <c r="OJ84" s="12"/>
      <c r="OK84" s="12"/>
      <c r="OL84" s="12"/>
      <c r="OM84" s="12"/>
      <c r="ON84" s="12"/>
      <c r="OO84" s="12"/>
      <c r="OP84" s="12"/>
      <c r="OQ84" s="12"/>
      <c r="OR84" s="12"/>
      <c r="OS84" s="12"/>
      <c r="OT84" s="12"/>
      <c r="OU84" s="12"/>
      <c r="OV84" s="12"/>
      <c r="OW84" s="12"/>
      <c r="OX84" s="12"/>
      <c r="OY84" s="12"/>
      <c r="OZ84" s="12"/>
      <c r="PA84" s="12"/>
      <c r="PB84" s="12"/>
      <c r="PC84" s="12"/>
      <c r="PD84" s="12"/>
      <c r="PE84" s="12"/>
      <c r="PF84" s="12"/>
      <c r="PG84" s="12"/>
      <c r="PH84" s="12"/>
      <c r="PI84" s="12"/>
      <c r="PJ84" s="12"/>
      <c r="PK84" s="12"/>
      <c r="PL84" s="12"/>
      <c r="PM84" s="12"/>
      <c r="PN84" s="12"/>
      <c r="PO84" s="12"/>
      <c r="PP84" s="12"/>
      <c r="PQ84" s="12"/>
      <c r="PR84" s="12"/>
      <c r="PS84" s="12"/>
      <c r="PT84" s="12"/>
      <c r="PU84" s="12"/>
      <c r="PV84" s="12"/>
      <c r="PW84" s="12"/>
      <c r="PX84" s="12"/>
      <c r="PY84" s="12"/>
      <c r="PZ84" s="12"/>
      <c r="QA84" s="12"/>
      <c r="QB84" s="12"/>
      <c r="QC84" s="12"/>
      <c r="QD84" s="12"/>
      <c r="QE84" s="12"/>
      <c r="QF84" s="12"/>
      <c r="QG84" s="12"/>
      <c r="QH84" s="12"/>
      <c r="QI84" s="12"/>
      <c r="QJ84" s="12"/>
      <c r="QK84" s="12"/>
      <c r="QL84" s="12"/>
      <c r="QM84" s="12"/>
      <c r="QN84" s="12"/>
      <c r="QO84" s="12"/>
      <c r="QP84" s="12"/>
      <c r="QQ84" s="12"/>
      <c r="QR84" s="12"/>
      <c r="QS84" s="12"/>
      <c r="QT84" s="12"/>
      <c r="QU84" s="12"/>
      <c r="QV84" s="12"/>
      <c r="QW84" s="12"/>
      <c r="QX84" s="12"/>
      <c r="QY84" s="12"/>
      <c r="QZ84" s="12"/>
      <c r="RA84" s="12"/>
      <c r="RB84" s="12"/>
      <c r="RC84" s="12"/>
      <c r="RD84" s="12"/>
      <c r="RE84" s="12"/>
      <c r="RF84" s="12"/>
      <c r="RG84" s="12"/>
      <c r="RH84" s="12"/>
      <c r="RI84" s="12"/>
      <c r="RJ84" s="12"/>
      <c r="RK84" s="12"/>
      <c r="RL84" s="12"/>
      <c r="RM84" s="12"/>
      <c r="RN84" s="12"/>
      <c r="RO84" s="12"/>
      <c r="RP84" s="12"/>
      <c r="RQ84" s="12"/>
      <c r="RR84" s="12"/>
      <c r="RS84" s="12"/>
      <c r="RT84" s="12"/>
      <c r="RU84" s="12"/>
      <c r="RV84" s="12"/>
      <c r="RW84" s="12"/>
      <c r="RX84" s="12"/>
      <c r="RY84" s="12"/>
      <c r="RZ84" s="12"/>
      <c r="SA84" s="12"/>
      <c r="SB84" s="12"/>
      <c r="SC84" s="12"/>
      <c r="SD84" s="12"/>
      <c r="SE84" s="12"/>
      <c r="SF84" s="12"/>
      <c r="SG84" s="12"/>
      <c r="SH84" s="11"/>
      <c r="SI84" s="11"/>
      <c r="SJ84" s="11"/>
      <c r="SK84" s="11"/>
      <c r="SL84" s="11"/>
      <c r="SM84" s="11"/>
      <c r="SN84" s="11"/>
      <c r="SO84" s="11"/>
      <c r="SP84" s="11"/>
      <c r="SQ84" s="11"/>
      <c r="SR84" s="11"/>
      <c r="SS84" s="11"/>
      <c r="ST84" s="11"/>
      <c r="SU84" s="11"/>
      <c r="SV84" s="11"/>
      <c r="SW84" s="11"/>
      <c r="SX84" s="11"/>
      <c r="SY84" s="11"/>
      <c r="SZ84" s="11"/>
      <c r="TA84" s="11"/>
      <c r="TB84" s="11"/>
      <c r="TC84" s="11"/>
      <c r="TD84" s="11"/>
      <c r="TE84" s="11"/>
      <c r="TF84" s="11"/>
      <c r="TG84" s="11"/>
      <c r="TH84" s="11"/>
      <c r="TI84" s="11"/>
      <c r="TJ84" s="11"/>
      <c r="TK84" s="11"/>
      <c r="TL84" s="11"/>
    </row>
    <row r="85" spans="1:532" x14ac:dyDescent="0.2">
      <c r="A85" s="10" t="s">
        <v>84</v>
      </c>
      <c r="B85" s="12">
        <v>14.17</v>
      </c>
      <c r="C85" s="11">
        <v>0</v>
      </c>
      <c r="D85" s="11">
        <v>0.82168677672007873</v>
      </c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12"/>
      <c r="IP85" s="12"/>
      <c r="IQ85" s="12"/>
      <c r="IR85" s="12"/>
      <c r="IS85" s="12"/>
      <c r="IT85" s="12"/>
      <c r="IU85" s="12"/>
      <c r="IV85" s="12"/>
      <c r="IW85" s="12"/>
      <c r="IX85" s="12"/>
      <c r="IY85" s="12"/>
      <c r="IZ85" s="12"/>
      <c r="JA85" s="12"/>
      <c r="JB85" s="12"/>
      <c r="JC85" s="12"/>
      <c r="JD85" s="12"/>
      <c r="JE85" s="12"/>
      <c r="JF85" s="12"/>
      <c r="JG85" s="12"/>
      <c r="JH85" s="12"/>
      <c r="JI85" s="12"/>
      <c r="JJ85" s="12"/>
      <c r="JK85" s="12"/>
      <c r="JL85" s="12"/>
      <c r="JM85" s="12"/>
      <c r="JN85" s="12"/>
      <c r="JO85" s="12"/>
      <c r="JP85" s="12"/>
      <c r="JQ85" s="12"/>
      <c r="JR85" s="12"/>
      <c r="JS85" s="12"/>
      <c r="JT85" s="12"/>
      <c r="JU85" s="12"/>
      <c r="JV85" s="12"/>
      <c r="JW85" s="12"/>
      <c r="JX85" s="12"/>
      <c r="JY85" s="12"/>
      <c r="JZ85" s="12"/>
      <c r="KA85" s="12"/>
      <c r="KB85" s="12"/>
      <c r="KC85" s="12"/>
      <c r="KD85" s="12"/>
      <c r="KE85" s="12"/>
      <c r="KF85" s="12"/>
      <c r="KG85" s="12"/>
      <c r="KH85" s="12"/>
      <c r="KI85" s="12"/>
      <c r="KJ85" s="12"/>
      <c r="KK85" s="12"/>
      <c r="KL85" s="12"/>
      <c r="KM85" s="12"/>
      <c r="KN85" s="12"/>
      <c r="KO85" s="12"/>
      <c r="KP85" s="12"/>
      <c r="KQ85" s="12"/>
      <c r="KR85" s="12"/>
      <c r="KS85" s="12"/>
      <c r="KT85" s="12"/>
      <c r="KU85" s="12"/>
      <c r="KV85" s="12"/>
      <c r="KW85" s="12"/>
      <c r="KX85" s="12"/>
      <c r="KY85" s="12"/>
      <c r="KZ85" s="12"/>
      <c r="LA85" s="12"/>
      <c r="LB85" s="12"/>
      <c r="LC85" s="12"/>
      <c r="LD85" s="12"/>
      <c r="LE85" s="12"/>
      <c r="LF85" s="12"/>
      <c r="LG85" s="12"/>
      <c r="LH85" s="12"/>
      <c r="LI85" s="12"/>
      <c r="LJ85" s="12"/>
      <c r="LK85" s="12"/>
      <c r="LL85" s="12"/>
      <c r="LM85" s="12"/>
      <c r="LN85" s="12"/>
      <c r="LO85" s="12"/>
      <c r="LP85" s="12"/>
      <c r="LQ85" s="12"/>
      <c r="LR85" s="12"/>
      <c r="LS85" s="12"/>
      <c r="LT85" s="12"/>
      <c r="LU85" s="12"/>
      <c r="LV85" s="12"/>
      <c r="LW85" s="12"/>
      <c r="LX85" s="12"/>
      <c r="LY85" s="12"/>
      <c r="LZ85" s="12"/>
      <c r="MA85" s="12"/>
      <c r="MB85" s="12"/>
      <c r="MC85" s="12"/>
      <c r="MD85" s="12"/>
      <c r="ME85" s="12"/>
      <c r="MF85" s="12"/>
      <c r="MG85" s="12"/>
      <c r="MH85" s="12"/>
      <c r="MI85" s="12"/>
      <c r="MJ85" s="12"/>
      <c r="MK85" s="12"/>
      <c r="ML85" s="12"/>
      <c r="MM85" s="12"/>
      <c r="MN85" s="12"/>
      <c r="MO85" s="12"/>
      <c r="MP85" s="12"/>
      <c r="MQ85" s="12"/>
      <c r="MR85" s="12"/>
      <c r="MS85" s="12"/>
      <c r="MT85" s="12"/>
      <c r="MU85" s="12"/>
      <c r="MV85" s="12"/>
      <c r="MW85" s="12"/>
      <c r="MX85" s="12"/>
      <c r="MY85" s="12"/>
      <c r="MZ85" s="12"/>
      <c r="NA85" s="12"/>
      <c r="NB85" s="12"/>
      <c r="NC85" s="12"/>
      <c r="ND85" s="12"/>
      <c r="NE85" s="12"/>
      <c r="NF85" s="12"/>
      <c r="NG85" s="12"/>
      <c r="NH85" s="12"/>
      <c r="NI85" s="12"/>
      <c r="NJ85" s="12"/>
      <c r="NK85" s="12"/>
      <c r="NL85" s="12"/>
      <c r="NM85" s="12"/>
      <c r="NN85" s="12"/>
      <c r="NO85" s="12"/>
      <c r="NP85" s="12"/>
      <c r="NQ85" s="12"/>
      <c r="NR85" s="12"/>
      <c r="NS85" s="12"/>
      <c r="NT85" s="12"/>
      <c r="NU85" s="12"/>
      <c r="NV85" s="12"/>
      <c r="NW85" s="12"/>
      <c r="NX85" s="12"/>
      <c r="NY85" s="12"/>
      <c r="NZ85" s="12"/>
      <c r="OA85" s="12"/>
      <c r="OB85" s="12"/>
      <c r="OC85" s="12"/>
      <c r="OD85" s="12"/>
      <c r="OE85" s="12"/>
      <c r="OF85" s="12"/>
      <c r="OG85" s="12"/>
      <c r="OH85" s="12"/>
      <c r="OI85" s="12"/>
      <c r="OJ85" s="12"/>
      <c r="OK85" s="12"/>
      <c r="OL85" s="12"/>
      <c r="OM85" s="12"/>
      <c r="ON85" s="12"/>
      <c r="OO85" s="12"/>
      <c r="OP85" s="12"/>
      <c r="OQ85" s="12"/>
      <c r="OR85" s="12"/>
      <c r="OS85" s="12"/>
      <c r="OT85" s="12"/>
      <c r="OU85" s="12"/>
      <c r="OV85" s="12"/>
      <c r="OW85" s="12"/>
      <c r="OX85" s="12"/>
      <c r="OY85" s="12"/>
      <c r="OZ85" s="12"/>
      <c r="PA85" s="12"/>
      <c r="PB85" s="12"/>
      <c r="PC85" s="12"/>
      <c r="PD85" s="12"/>
      <c r="PE85" s="12"/>
      <c r="PF85" s="12"/>
      <c r="PG85" s="12"/>
      <c r="PH85" s="12"/>
      <c r="PI85" s="12"/>
      <c r="PJ85" s="12"/>
      <c r="PK85" s="12"/>
      <c r="PL85" s="12"/>
      <c r="PM85" s="12"/>
      <c r="PN85" s="12"/>
      <c r="PO85" s="12"/>
      <c r="PP85" s="12"/>
      <c r="PQ85" s="12"/>
      <c r="PR85" s="12"/>
      <c r="PS85" s="12"/>
      <c r="PT85" s="12"/>
      <c r="PU85" s="12"/>
      <c r="PV85" s="12"/>
      <c r="PW85" s="12"/>
      <c r="PX85" s="12"/>
      <c r="PY85" s="12"/>
      <c r="PZ85" s="12"/>
      <c r="QA85" s="12"/>
      <c r="QB85" s="12"/>
      <c r="QC85" s="12"/>
      <c r="QD85" s="12"/>
      <c r="QE85" s="12"/>
      <c r="QF85" s="12"/>
      <c r="QG85" s="12"/>
      <c r="QH85" s="12"/>
      <c r="QI85" s="12"/>
      <c r="QJ85" s="12"/>
      <c r="QK85" s="12"/>
      <c r="QL85" s="12"/>
      <c r="QM85" s="12"/>
      <c r="QN85" s="12"/>
      <c r="QO85" s="12"/>
      <c r="QP85" s="12"/>
      <c r="QQ85" s="12"/>
      <c r="QR85" s="12"/>
      <c r="QS85" s="12"/>
      <c r="QT85" s="12"/>
      <c r="QU85" s="12"/>
      <c r="QV85" s="12"/>
      <c r="QW85" s="12"/>
      <c r="QX85" s="12"/>
      <c r="QY85" s="12"/>
      <c r="QZ85" s="12"/>
      <c r="RA85" s="12"/>
      <c r="RB85" s="12"/>
      <c r="RC85" s="12"/>
      <c r="RD85" s="12"/>
      <c r="RE85" s="12"/>
      <c r="RF85" s="12"/>
      <c r="RG85" s="12"/>
      <c r="RH85" s="12"/>
      <c r="RI85" s="12"/>
      <c r="RJ85" s="12"/>
      <c r="RK85" s="12"/>
      <c r="RL85" s="12"/>
      <c r="RM85" s="12"/>
      <c r="RN85" s="12"/>
      <c r="RO85" s="12"/>
      <c r="RP85" s="12"/>
      <c r="RQ85" s="12"/>
      <c r="RR85" s="12"/>
      <c r="RS85" s="12"/>
      <c r="RT85" s="12"/>
      <c r="RU85" s="12"/>
      <c r="RV85" s="12"/>
      <c r="RW85" s="12"/>
      <c r="RX85" s="12"/>
      <c r="RY85" s="12"/>
      <c r="RZ85" s="12"/>
      <c r="SA85" s="12"/>
      <c r="SB85" s="12"/>
      <c r="SC85" s="12"/>
      <c r="SD85" s="12"/>
      <c r="SE85" s="12"/>
      <c r="SF85" s="12"/>
      <c r="SG85" s="12"/>
      <c r="SH85" s="11"/>
      <c r="SI85" s="11"/>
      <c r="SJ85" s="11"/>
      <c r="SK85" s="11"/>
      <c r="SL85" s="11"/>
      <c r="SM85" s="11"/>
      <c r="SN85" s="11"/>
      <c r="SO85" s="11"/>
      <c r="SP85" s="11"/>
      <c r="SQ85" s="11"/>
      <c r="SR85" s="11"/>
      <c r="SS85" s="11"/>
      <c r="ST85" s="11"/>
      <c r="SU85" s="11"/>
      <c r="SV85" s="11"/>
      <c r="SW85" s="11"/>
      <c r="SX85" s="11"/>
      <c r="SY85" s="11"/>
      <c r="SZ85" s="11"/>
      <c r="TA85" s="11"/>
      <c r="TB85" s="11"/>
      <c r="TC85" s="11"/>
      <c r="TD85" s="11"/>
      <c r="TE85" s="11"/>
      <c r="TF85" s="11"/>
      <c r="TG85" s="11"/>
      <c r="TH85" s="11"/>
      <c r="TI85" s="11"/>
      <c r="TJ85" s="11"/>
      <c r="TK85" s="11"/>
      <c r="TL85" s="11"/>
    </row>
    <row r="86" spans="1:532" x14ac:dyDescent="0.2">
      <c r="A86" s="10" t="s">
        <v>85</v>
      </c>
      <c r="B86" s="12">
        <v>16.16</v>
      </c>
      <c r="C86" s="11">
        <v>1.1483815192714353</v>
      </c>
      <c r="D86" s="11">
        <v>0</v>
      </c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12"/>
      <c r="IP86" s="12"/>
      <c r="IQ86" s="12"/>
      <c r="IR86" s="12"/>
      <c r="IS86" s="12"/>
      <c r="IT86" s="12"/>
      <c r="IU86" s="12"/>
      <c r="IV86" s="12"/>
      <c r="IW86" s="12"/>
      <c r="IX86" s="12"/>
      <c r="IY86" s="12"/>
      <c r="IZ86" s="12"/>
      <c r="JA86" s="12"/>
      <c r="JB86" s="12"/>
      <c r="JC86" s="12"/>
      <c r="JD86" s="12"/>
      <c r="JE86" s="12"/>
      <c r="JF86" s="12"/>
      <c r="JG86" s="12"/>
      <c r="JH86" s="12"/>
      <c r="JI86" s="12"/>
      <c r="JJ86" s="12"/>
      <c r="JK86" s="12"/>
      <c r="JL86" s="12"/>
      <c r="JM86" s="12"/>
      <c r="JN86" s="12"/>
      <c r="JO86" s="12"/>
      <c r="JP86" s="12"/>
      <c r="JQ86" s="12"/>
      <c r="JR86" s="12"/>
      <c r="JS86" s="12"/>
      <c r="JT86" s="12"/>
      <c r="JU86" s="12"/>
      <c r="JV86" s="12"/>
      <c r="JW86" s="12"/>
      <c r="JX86" s="12"/>
      <c r="JY86" s="12"/>
      <c r="JZ86" s="12"/>
      <c r="KA86" s="12"/>
      <c r="KB86" s="12"/>
      <c r="KC86" s="12"/>
      <c r="KD86" s="12"/>
      <c r="KE86" s="12"/>
      <c r="KF86" s="12"/>
      <c r="KG86" s="12"/>
      <c r="KH86" s="12"/>
      <c r="KI86" s="12"/>
      <c r="KJ86" s="12"/>
      <c r="KK86" s="12"/>
      <c r="KL86" s="12"/>
      <c r="KM86" s="12"/>
      <c r="KN86" s="12"/>
      <c r="KO86" s="12"/>
      <c r="KP86" s="12"/>
      <c r="KQ86" s="12"/>
      <c r="KR86" s="12"/>
      <c r="KS86" s="12"/>
      <c r="KT86" s="12"/>
      <c r="KU86" s="12"/>
      <c r="KV86" s="12"/>
      <c r="KW86" s="12"/>
      <c r="KX86" s="12"/>
      <c r="KY86" s="12"/>
      <c r="KZ86" s="12"/>
      <c r="LA86" s="12"/>
      <c r="LB86" s="12"/>
      <c r="LC86" s="12"/>
      <c r="LD86" s="12"/>
      <c r="LE86" s="12"/>
      <c r="LF86" s="12"/>
      <c r="LG86" s="12"/>
      <c r="LH86" s="12"/>
      <c r="LI86" s="12"/>
      <c r="LJ86" s="12"/>
      <c r="LK86" s="12"/>
      <c r="LL86" s="12"/>
      <c r="LM86" s="12"/>
      <c r="LN86" s="12"/>
      <c r="LO86" s="12"/>
      <c r="LP86" s="12"/>
      <c r="LQ86" s="12"/>
      <c r="LR86" s="12"/>
      <c r="LS86" s="12"/>
      <c r="LT86" s="12"/>
      <c r="LU86" s="12"/>
      <c r="LV86" s="12"/>
      <c r="LW86" s="12"/>
      <c r="LX86" s="12"/>
      <c r="LY86" s="12"/>
      <c r="LZ86" s="12"/>
      <c r="MA86" s="12"/>
      <c r="MB86" s="12"/>
      <c r="MC86" s="12"/>
      <c r="MD86" s="12"/>
      <c r="ME86" s="12"/>
      <c r="MF86" s="12"/>
      <c r="MG86" s="12"/>
      <c r="MH86" s="12"/>
      <c r="MI86" s="12"/>
      <c r="MJ86" s="12"/>
      <c r="MK86" s="12"/>
      <c r="ML86" s="12"/>
      <c r="MM86" s="12"/>
      <c r="MN86" s="12"/>
      <c r="MO86" s="12"/>
      <c r="MP86" s="12"/>
      <c r="MQ86" s="12"/>
      <c r="MR86" s="12"/>
      <c r="MS86" s="12"/>
      <c r="MT86" s="12"/>
      <c r="MU86" s="12"/>
      <c r="MV86" s="12"/>
      <c r="MW86" s="12"/>
      <c r="MX86" s="12"/>
      <c r="MY86" s="12"/>
      <c r="MZ86" s="12"/>
      <c r="NA86" s="12"/>
      <c r="NB86" s="12"/>
      <c r="NC86" s="12"/>
      <c r="ND86" s="12"/>
      <c r="NE86" s="12"/>
      <c r="NF86" s="12"/>
      <c r="NG86" s="12"/>
      <c r="NH86" s="12"/>
      <c r="NI86" s="12"/>
      <c r="NJ86" s="12"/>
      <c r="NK86" s="12"/>
      <c r="NL86" s="12"/>
      <c r="NM86" s="12"/>
      <c r="NN86" s="12"/>
      <c r="NO86" s="12"/>
      <c r="NP86" s="12"/>
      <c r="NQ86" s="12"/>
      <c r="NR86" s="12"/>
      <c r="NS86" s="12"/>
      <c r="NT86" s="12"/>
      <c r="NU86" s="12"/>
      <c r="NV86" s="12"/>
      <c r="NW86" s="12"/>
      <c r="NX86" s="12"/>
      <c r="NY86" s="12"/>
      <c r="NZ86" s="12"/>
      <c r="OA86" s="12"/>
      <c r="OB86" s="12"/>
      <c r="OC86" s="12"/>
      <c r="OD86" s="12"/>
      <c r="OE86" s="12"/>
      <c r="OF86" s="12"/>
      <c r="OG86" s="12"/>
      <c r="OH86" s="12"/>
      <c r="OI86" s="12"/>
      <c r="OJ86" s="12"/>
      <c r="OK86" s="12"/>
      <c r="OL86" s="12"/>
      <c r="OM86" s="12"/>
      <c r="ON86" s="12"/>
      <c r="OO86" s="12"/>
      <c r="OP86" s="12"/>
      <c r="OQ86" s="12"/>
      <c r="OR86" s="12"/>
      <c r="OS86" s="12"/>
      <c r="OT86" s="12"/>
      <c r="OU86" s="12"/>
      <c r="OV86" s="12"/>
      <c r="OW86" s="12"/>
      <c r="OX86" s="12"/>
      <c r="OY86" s="12"/>
      <c r="OZ86" s="12"/>
      <c r="PA86" s="12"/>
      <c r="PB86" s="12"/>
      <c r="PC86" s="12"/>
      <c r="PD86" s="12"/>
      <c r="PE86" s="12"/>
      <c r="PF86" s="12"/>
      <c r="PG86" s="12"/>
      <c r="PH86" s="12"/>
      <c r="PI86" s="12"/>
      <c r="PJ86" s="12"/>
      <c r="PK86" s="12"/>
      <c r="PL86" s="12"/>
      <c r="PM86" s="12"/>
      <c r="PN86" s="12"/>
      <c r="PO86" s="12"/>
      <c r="PP86" s="12"/>
      <c r="PQ86" s="12"/>
      <c r="PR86" s="12"/>
      <c r="PS86" s="12"/>
      <c r="PT86" s="12"/>
      <c r="PU86" s="12"/>
      <c r="PV86" s="12"/>
      <c r="PW86" s="12"/>
      <c r="PX86" s="12"/>
      <c r="PY86" s="12"/>
      <c r="PZ86" s="12"/>
      <c r="QA86" s="12"/>
      <c r="QB86" s="12"/>
      <c r="QC86" s="12"/>
      <c r="QD86" s="12"/>
      <c r="QE86" s="12"/>
      <c r="QF86" s="12"/>
      <c r="QG86" s="12"/>
      <c r="QH86" s="12"/>
      <c r="QI86" s="12"/>
      <c r="QJ86" s="12"/>
      <c r="QK86" s="12"/>
      <c r="QL86" s="12"/>
      <c r="QM86" s="12"/>
      <c r="QN86" s="12"/>
      <c r="QO86" s="12"/>
      <c r="QP86" s="12"/>
      <c r="QQ86" s="12"/>
      <c r="QR86" s="12"/>
      <c r="QS86" s="12"/>
      <c r="QT86" s="12"/>
      <c r="QU86" s="12"/>
      <c r="QV86" s="12"/>
      <c r="QW86" s="12"/>
      <c r="QX86" s="12"/>
      <c r="QY86" s="12"/>
      <c r="QZ86" s="12"/>
      <c r="RA86" s="12"/>
      <c r="RB86" s="12"/>
      <c r="RC86" s="12"/>
      <c r="RD86" s="12"/>
      <c r="RE86" s="12"/>
      <c r="RF86" s="12"/>
      <c r="RG86" s="12"/>
      <c r="RH86" s="12"/>
      <c r="RI86" s="12"/>
      <c r="RJ86" s="12"/>
      <c r="RK86" s="12"/>
      <c r="RL86" s="12"/>
      <c r="RM86" s="12"/>
      <c r="RN86" s="12"/>
      <c r="RO86" s="12"/>
      <c r="RP86" s="12"/>
      <c r="RQ86" s="12"/>
      <c r="RR86" s="12"/>
      <c r="RS86" s="12"/>
      <c r="RT86" s="12"/>
      <c r="RU86" s="12"/>
      <c r="RV86" s="12"/>
      <c r="RW86" s="12"/>
      <c r="RX86" s="12"/>
      <c r="RY86" s="12"/>
      <c r="RZ86" s="12"/>
      <c r="SA86" s="12"/>
      <c r="SB86" s="12"/>
      <c r="SC86" s="12"/>
      <c r="SD86" s="12"/>
      <c r="SE86" s="12"/>
      <c r="SF86" s="12"/>
      <c r="SG86" s="12"/>
      <c r="SH86" s="11"/>
      <c r="SI86" s="11"/>
      <c r="SJ86" s="11"/>
      <c r="SK86" s="11"/>
      <c r="SL86" s="11"/>
      <c r="SM86" s="11"/>
      <c r="SN86" s="11"/>
      <c r="SO86" s="11"/>
      <c r="SP86" s="11"/>
      <c r="SQ86" s="11"/>
      <c r="SR86" s="11"/>
      <c r="SS86" s="11"/>
      <c r="ST86" s="11"/>
      <c r="SU86" s="11"/>
      <c r="SV86" s="11"/>
      <c r="SW86" s="11"/>
      <c r="SX86" s="11"/>
      <c r="SY86" s="11"/>
      <c r="SZ86" s="11"/>
      <c r="TA86" s="11"/>
      <c r="TB86" s="11"/>
      <c r="TC86" s="11"/>
      <c r="TD86" s="11"/>
      <c r="TE86" s="11"/>
      <c r="TF86" s="11"/>
      <c r="TG86" s="11"/>
      <c r="TH86" s="11"/>
      <c r="TI86" s="11"/>
      <c r="TJ86" s="11"/>
      <c r="TK86" s="11"/>
      <c r="TL86" s="11"/>
    </row>
    <row r="87" spans="1:532" x14ac:dyDescent="0.2">
      <c r="A87" s="10" t="s">
        <v>86</v>
      </c>
      <c r="B87" s="12">
        <v>13.22</v>
      </c>
      <c r="C87" s="11">
        <v>0</v>
      </c>
      <c r="D87" s="11">
        <v>1.762171641640651</v>
      </c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/>
      <c r="IU87" s="12"/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/>
      <c r="JG87" s="12"/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/>
      <c r="JS87" s="12"/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/>
      <c r="KE87" s="12"/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/>
      <c r="KQ87" s="12"/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/>
      <c r="LC87" s="12"/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/>
      <c r="LO87" s="12"/>
      <c r="LP87" s="12"/>
      <c r="LQ87" s="12"/>
      <c r="LR87" s="12"/>
      <c r="LS87" s="12"/>
      <c r="LT87" s="12"/>
      <c r="LU87" s="12"/>
      <c r="LV87" s="12"/>
      <c r="LW87" s="12"/>
      <c r="LX87" s="12"/>
      <c r="LY87" s="12"/>
      <c r="LZ87" s="12"/>
      <c r="MA87" s="12"/>
      <c r="MB87" s="12"/>
      <c r="MC87" s="12"/>
      <c r="MD87" s="12"/>
      <c r="ME87" s="12"/>
      <c r="MF87" s="12"/>
      <c r="MG87" s="12"/>
      <c r="MH87" s="12"/>
      <c r="MI87" s="12"/>
      <c r="MJ87" s="12"/>
      <c r="MK87" s="12"/>
      <c r="ML87" s="12"/>
      <c r="MM87" s="12"/>
      <c r="MN87" s="12"/>
      <c r="MO87" s="12"/>
      <c r="MP87" s="12"/>
      <c r="MQ87" s="12"/>
      <c r="MR87" s="12"/>
      <c r="MS87" s="12"/>
      <c r="MT87" s="12"/>
      <c r="MU87" s="12"/>
      <c r="MV87" s="12"/>
      <c r="MW87" s="12"/>
      <c r="MX87" s="12"/>
      <c r="MY87" s="12"/>
      <c r="MZ87" s="12"/>
      <c r="NA87" s="12"/>
      <c r="NB87" s="12"/>
      <c r="NC87" s="12"/>
      <c r="ND87" s="12"/>
      <c r="NE87" s="12"/>
      <c r="NF87" s="12"/>
      <c r="NG87" s="12"/>
      <c r="NH87" s="12"/>
      <c r="NI87" s="12"/>
      <c r="NJ87" s="12"/>
      <c r="NK87" s="12"/>
      <c r="NL87" s="12"/>
      <c r="NM87" s="12"/>
      <c r="NN87" s="12"/>
      <c r="NO87" s="12"/>
      <c r="NP87" s="12"/>
      <c r="NQ87" s="12"/>
      <c r="NR87" s="12"/>
      <c r="NS87" s="12"/>
      <c r="NT87" s="12"/>
      <c r="NU87" s="12"/>
      <c r="NV87" s="12"/>
      <c r="NW87" s="12"/>
      <c r="NX87" s="12"/>
      <c r="NY87" s="12"/>
      <c r="NZ87" s="12"/>
      <c r="OA87" s="12"/>
      <c r="OB87" s="12"/>
      <c r="OC87" s="12"/>
      <c r="OD87" s="12"/>
      <c r="OE87" s="12"/>
      <c r="OF87" s="12"/>
      <c r="OG87" s="12"/>
      <c r="OH87" s="12"/>
      <c r="OI87" s="12"/>
      <c r="OJ87" s="12"/>
      <c r="OK87" s="12"/>
      <c r="OL87" s="12"/>
      <c r="OM87" s="12"/>
      <c r="ON87" s="12"/>
      <c r="OO87" s="12"/>
      <c r="OP87" s="12"/>
      <c r="OQ87" s="12"/>
      <c r="OR87" s="12"/>
      <c r="OS87" s="12"/>
      <c r="OT87" s="12"/>
      <c r="OU87" s="12"/>
      <c r="OV87" s="12"/>
      <c r="OW87" s="12"/>
      <c r="OX87" s="12"/>
      <c r="OY87" s="12"/>
      <c r="OZ87" s="12"/>
      <c r="PA87" s="12"/>
      <c r="PB87" s="12"/>
      <c r="PC87" s="12"/>
      <c r="PD87" s="12"/>
      <c r="PE87" s="12"/>
      <c r="PF87" s="12"/>
      <c r="PG87" s="12"/>
      <c r="PH87" s="12"/>
      <c r="PI87" s="12"/>
      <c r="PJ87" s="12"/>
      <c r="PK87" s="12"/>
      <c r="PL87" s="12"/>
      <c r="PM87" s="12"/>
      <c r="PN87" s="12"/>
      <c r="PO87" s="12"/>
      <c r="PP87" s="12"/>
      <c r="PQ87" s="12"/>
      <c r="PR87" s="12"/>
      <c r="PS87" s="12"/>
      <c r="PT87" s="12"/>
      <c r="PU87" s="12"/>
      <c r="PV87" s="12"/>
      <c r="PW87" s="12"/>
      <c r="PX87" s="12"/>
      <c r="PY87" s="12"/>
      <c r="PZ87" s="12"/>
      <c r="QA87" s="12"/>
      <c r="QB87" s="12"/>
      <c r="QC87" s="12"/>
      <c r="QD87" s="12"/>
      <c r="QE87" s="12"/>
      <c r="QF87" s="12"/>
      <c r="QG87" s="12"/>
      <c r="QH87" s="12"/>
      <c r="QI87" s="12"/>
      <c r="QJ87" s="12"/>
      <c r="QK87" s="12"/>
      <c r="QL87" s="12"/>
      <c r="QM87" s="12"/>
      <c r="QN87" s="12"/>
      <c r="QO87" s="12"/>
      <c r="QP87" s="12"/>
      <c r="QQ87" s="12"/>
      <c r="QR87" s="12"/>
      <c r="QS87" s="12"/>
      <c r="QT87" s="12"/>
      <c r="QU87" s="12"/>
      <c r="QV87" s="12"/>
      <c r="QW87" s="12"/>
      <c r="QX87" s="12"/>
      <c r="QY87" s="12"/>
      <c r="QZ87" s="12"/>
      <c r="RA87" s="12"/>
      <c r="RB87" s="12"/>
      <c r="RC87" s="12"/>
      <c r="RD87" s="12"/>
      <c r="RE87" s="12"/>
      <c r="RF87" s="12"/>
      <c r="RG87" s="12"/>
      <c r="RH87" s="12"/>
      <c r="RI87" s="12"/>
      <c r="RJ87" s="12"/>
      <c r="RK87" s="12"/>
      <c r="RL87" s="12"/>
      <c r="RM87" s="12"/>
      <c r="RN87" s="12"/>
      <c r="RO87" s="12"/>
      <c r="RP87" s="12"/>
      <c r="RQ87" s="12"/>
      <c r="RR87" s="12"/>
      <c r="RS87" s="12"/>
      <c r="RT87" s="12"/>
      <c r="RU87" s="12"/>
      <c r="RV87" s="12"/>
      <c r="RW87" s="12"/>
      <c r="RX87" s="12"/>
      <c r="RY87" s="12"/>
      <c r="RZ87" s="12"/>
      <c r="SA87" s="12"/>
      <c r="SB87" s="12"/>
      <c r="SC87" s="12"/>
      <c r="SD87" s="12"/>
      <c r="SE87" s="12"/>
      <c r="SF87" s="12"/>
      <c r="SG87" s="12"/>
      <c r="SH87" s="11"/>
      <c r="SI87" s="11"/>
      <c r="SJ87" s="11"/>
      <c r="SK87" s="11"/>
      <c r="SL87" s="11"/>
      <c r="SM87" s="11"/>
      <c r="SN87" s="11"/>
      <c r="SO87" s="11"/>
      <c r="SP87" s="11"/>
      <c r="SQ87" s="11"/>
      <c r="SR87" s="11"/>
      <c r="SS87" s="11"/>
      <c r="ST87" s="11"/>
      <c r="SU87" s="11"/>
      <c r="SV87" s="11"/>
      <c r="SW87" s="11"/>
      <c r="SX87" s="11"/>
      <c r="SY87" s="11"/>
      <c r="SZ87" s="11"/>
      <c r="TA87" s="11"/>
      <c r="TB87" s="11"/>
      <c r="TC87" s="11"/>
      <c r="TD87" s="11"/>
      <c r="TE87" s="11"/>
      <c r="TF87" s="11"/>
      <c r="TG87" s="11"/>
      <c r="TH87" s="11"/>
      <c r="TI87" s="11"/>
      <c r="TJ87" s="11"/>
      <c r="TK87" s="11"/>
      <c r="TL87" s="11"/>
    </row>
    <row r="88" spans="1:532" x14ac:dyDescent="0.2">
      <c r="A88" s="10" t="s">
        <v>87</v>
      </c>
      <c r="B88" s="12">
        <v>16.21</v>
      </c>
      <c r="C88" s="11">
        <v>1.1978807226883077</v>
      </c>
      <c r="D88" s="11">
        <v>0</v>
      </c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2"/>
      <c r="LU88" s="12"/>
      <c r="LV88" s="12"/>
      <c r="LW88" s="12"/>
      <c r="LX88" s="12"/>
      <c r="LY88" s="12"/>
      <c r="LZ88" s="12"/>
      <c r="MA88" s="12"/>
      <c r="MB88" s="12"/>
      <c r="MC88" s="12"/>
      <c r="MD88" s="12"/>
      <c r="ME88" s="12"/>
      <c r="MF88" s="12"/>
      <c r="MG88" s="12"/>
      <c r="MH88" s="12"/>
      <c r="MI88" s="12"/>
      <c r="MJ88" s="12"/>
      <c r="MK88" s="12"/>
      <c r="ML88" s="12"/>
      <c r="MM88" s="12"/>
      <c r="MN88" s="12"/>
      <c r="MO88" s="12"/>
      <c r="MP88" s="12"/>
      <c r="MQ88" s="12"/>
      <c r="MR88" s="12"/>
      <c r="MS88" s="12"/>
      <c r="MT88" s="12"/>
      <c r="MU88" s="12"/>
      <c r="MV88" s="12"/>
      <c r="MW88" s="12"/>
      <c r="MX88" s="12"/>
      <c r="MY88" s="12"/>
      <c r="MZ88" s="12"/>
      <c r="NA88" s="12"/>
      <c r="NB88" s="12"/>
      <c r="NC88" s="12"/>
      <c r="ND88" s="12"/>
      <c r="NE88" s="12"/>
      <c r="NF88" s="12"/>
      <c r="NG88" s="12"/>
      <c r="NH88" s="12"/>
      <c r="NI88" s="12"/>
      <c r="NJ88" s="12"/>
      <c r="NK88" s="12"/>
      <c r="NL88" s="12"/>
      <c r="NM88" s="12"/>
      <c r="NN88" s="12"/>
      <c r="NO88" s="12"/>
      <c r="NP88" s="12"/>
      <c r="NQ88" s="12"/>
      <c r="NR88" s="12"/>
      <c r="NS88" s="12"/>
      <c r="NT88" s="12"/>
      <c r="NU88" s="12"/>
      <c r="NV88" s="12"/>
      <c r="NW88" s="12"/>
      <c r="NX88" s="12"/>
      <c r="NY88" s="12"/>
      <c r="NZ88" s="12"/>
      <c r="OA88" s="12"/>
      <c r="OB88" s="12"/>
      <c r="OC88" s="12"/>
      <c r="OD88" s="12"/>
      <c r="OE88" s="12"/>
      <c r="OF88" s="12"/>
      <c r="OG88" s="12"/>
      <c r="OH88" s="12"/>
      <c r="OI88" s="12"/>
      <c r="OJ88" s="12"/>
      <c r="OK88" s="12"/>
      <c r="OL88" s="12"/>
      <c r="OM88" s="12"/>
      <c r="ON88" s="12"/>
      <c r="OO88" s="12"/>
      <c r="OP88" s="12"/>
      <c r="OQ88" s="12"/>
      <c r="OR88" s="12"/>
      <c r="OS88" s="12"/>
      <c r="OT88" s="12"/>
      <c r="OU88" s="12"/>
      <c r="OV88" s="12"/>
      <c r="OW88" s="12"/>
      <c r="OX88" s="12"/>
      <c r="OY88" s="12"/>
      <c r="OZ88" s="12"/>
      <c r="PA88" s="12"/>
      <c r="PB88" s="12"/>
      <c r="PC88" s="12"/>
      <c r="PD88" s="12"/>
      <c r="PE88" s="12"/>
      <c r="PF88" s="12"/>
      <c r="PG88" s="12"/>
      <c r="PH88" s="12"/>
      <c r="PI88" s="12"/>
      <c r="PJ88" s="12"/>
      <c r="PK88" s="12"/>
      <c r="PL88" s="12"/>
      <c r="PM88" s="12"/>
      <c r="PN88" s="12"/>
      <c r="PO88" s="12"/>
      <c r="PP88" s="12"/>
      <c r="PQ88" s="12"/>
      <c r="PR88" s="12"/>
      <c r="PS88" s="12"/>
      <c r="PT88" s="12"/>
      <c r="PU88" s="12"/>
      <c r="PV88" s="12"/>
      <c r="PW88" s="12"/>
      <c r="PX88" s="12"/>
      <c r="PY88" s="12"/>
      <c r="PZ88" s="12"/>
      <c r="QA88" s="12"/>
      <c r="QB88" s="12"/>
      <c r="QC88" s="12"/>
      <c r="QD88" s="12"/>
      <c r="QE88" s="12"/>
      <c r="QF88" s="12"/>
      <c r="QG88" s="12"/>
      <c r="QH88" s="12"/>
      <c r="QI88" s="12"/>
      <c r="QJ88" s="12"/>
      <c r="QK88" s="12"/>
      <c r="QL88" s="12"/>
      <c r="QM88" s="12"/>
      <c r="QN88" s="12"/>
      <c r="QO88" s="12"/>
      <c r="QP88" s="12"/>
      <c r="QQ88" s="12"/>
      <c r="QR88" s="12"/>
      <c r="QS88" s="12"/>
      <c r="QT88" s="12"/>
      <c r="QU88" s="12"/>
      <c r="QV88" s="12"/>
      <c r="QW88" s="12"/>
      <c r="QX88" s="12"/>
      <c r="QY88" s="12"/>
      <c r="QZ88" s="12"/>
      <c r="RA88" s="12"/>
      <c r="RB88" s="12"/>
      <c r="RC88" s="12"/>
      <c r="RD88" s="12"/>
      <c r="RE88" s="12"/>
      <c r="RF88" s="12"/>
      <c r="RG88" s="12"/>
      <c r="RH88" s="12"/>
      <c r="RI88" s="12"/>
      <c r="RJ88" s="12"/>
      <c r="RK88" s="12"/>
      <c r="RL88" s="12"/>
      <c r="RM88" s="12"/>
      <c r="RN88" s="12"/>
      <c r="RO88" s="12"/>
      <c r="RP88" s="12"/>
      <c r="RQ88" s="12"/>
      <c r="RR88" s="12"/>
      <c r="RS88" s="12"/>
      <c r="RT88" s="12"/>
      <c r="RU88" s="12"/>
      <c r="RV88" s="12"/>
      <c r="RW88" s="12"/>
      <c r="RX88" s="12"/>
      <c r="RY88" s="12"/>
      <c r="RZ88" s="12"/>
      <c r="SA88" s="12"/>
      <c r="SB88" s="12"/>
      <c r="SC88" s="12"/>
      <c r="SD88" s="12"/>
      <c r="SE88" s="12"/>
      <c r="SF88" s="12"/>
      <c r="SG88" s="12"/>
      <c r="SH88" s="11"/>
      <c r="SI88" s="11"/>
      <c r="SJ88" s="11"/>
      <c r="SK88" s="11"/>
      <c r="SL88" s="11"/>
      <c r="SM88" s="11"/>
      <c r="SN88" s="11"/>
      <c r="SO88" s="11"/>
      <c r="SP88" s="11"/>
      <c r="SQ88" s="11"/>
      <c r="SR88" s="11"/>
      <c r="SS88" s="11"/>
      <c r="ST88" s="11"/>
      <c r="SU88" s="11"/>
      <c r="SV88" s="11"/>
      <c r="SW88" s="11"/>
      <c r="SX88" s="11"/>
      <c r="SY88" s="11"/>
      <c r="SZ88" s="11"/>
      <c r="TA88" s="11"/>
      <c r="TB88" s="11"/>
      <c r="TC88" s="11"/>
      <c r="TD88" s="11"/>
      <c r="TE88" s="11"/>
      <c r="TF88" s="11"/>
      <c r="TG88" s="11"/>
      <c r="TH88" s="11"/>
      <c r="TI88" s="11"/>
      <c r="TJ88" s="11"/>
      <c r="TK88" s="11"/>
      <c r="TL88" s="11"/>
    </row>
    <row r="89" spans="1:532" x14ac:dyDescent="0.2">
      <c r="A89" s="10" t="s">
        <v>88</v>
      </c>
      <c r="B89" s="12">
        <v>13.07</v>
      </c>
      <c r="C89" s="11">
        <v>0</v>
      </c>
      <c r="D89" s="11">
        <v>1.9106692518912676</v>
      </c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/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/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/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/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/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/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/>
      <c r="LR89" s="12"/>
      <c r="LS89" s="12"/>
      <c r="LT89" s="12"/>
      <c r="LU89" s="12"/>
      <c r="LV89" s="12"/>
      <c r="LW89" s="12"/>
      <c r="LX89" s="12"/>
      <c r="LY89" s="12"/>
      <c r="LZ89" s="12"/>
      <c r="MA89" s="12"/>
      <c r="MB89" s="12"/>
      <c r="MC89" s="12"/>
      <c r="MD89" s="12"/>
      <c r="ME89" s="12"/>
      <c r="MF89" s="12"/>
      <c r="MG89" s="12"/>
      <c r="MH89" s="12"/>
      <c r="MI89" s="12"/>
      <c r="MJ89" s="12"/>
      <c r="MK89" s="12"/>
      <c r="ML89" s="12"/>
      <c r="MM89" s="12"/>
      <c r="MN89" s="12"/>
      <c r="MO89" s="12"/>
      <c r="MP89" s="12"/>
      <c r="MQ89" s="12"/>
      <c r="MR89" s="12"/>
      <c r="MS89" s="12"/>
      <c r="MT89" s="12"/>
      <c r="MU89" s="12"/>
      <c r="MV89" s="12"/>
      <c r="MW89" s="12"/>
      <c r="MX89" s="12"/>
      <c r="MY89" s="12"/>
      <c r="MZ89" s="12"/>
      <c r="NA89" s="12"/>
      <c r="NB89" s="12"/>
      <c r="NC89" s="12"/>
      <c r="ND89" s="12"/>
      <c r="NE89" s="12"/>
      <c r="NF89" s="12"/>
      <c r="NG89" s="12"/>
      <c r="NH89" s="12"/>
      <c r="NI89" s="12"/>
      <c r="NJ89" s="12"/>
      <c r="NK89" s="12"/>
      <c r="NL89" s="12"/>
      <c r="NM89" s="12"/>
      <c r="NN89" s="12"/>
      <c r="NO89" s="12"/>
      <c r="NP89" s="12"/>
      <c r="NQ89" s="12"/>
      <c r="NR89" s="12"/>
      <c r="NS89" s="12"/>
      <c r="NT89" s="12"/>
      <c r="NU89" s="12"/>
      <c r="NV89" s="12"/>
      <c r="NW89" s="12"/>
      <c r="NX89" s="12"/>
      <c r="NY89" s="12"/>
      <c r="NZ89" s="12"/>
      <c r="OA89" s="12"/>
      <c r="OB89" s="12"/>
      <c r="OC89" s="12"/>
      <c r="OD89" s="12"/>
      <c r="OE89" s="12"/>
      <c r="OF89" s="12"/>
      <c r="OG89" s="12"/>
      <c r="OH89" s="12"/>
      <c r="OI89" s="12"/>
      <c r="OJ89" s="12"/>
      <c r="OK89" s="12"/>
      <c r="OL89" s="12"/>
      <c r="OM89" s="12"/>
      <c r="ON89" s="12"/>
      <c r="OO89" s="12"/>
      <c r="OP89" s="12"/>
      <c r="OQ89" s="12"/>
      <c r="OR89" s="12"/>
      <c r="OS89" s="12"/>
      <c r="OT89" s="12"/>
      <c r="OU89" s="12"/>
      <c r="OV89" s="12"/>
      <c r="OW89" s="12"/>
      <c r="OX89" s="12"/>
      <c r="OY89" s="12"/>
      <c r="OZ89" s="12"/>
      <c r="PA89" s="12"/>
      <c r="PB89" s="12"/>
      <c r="PC89" s="12"/>
      <c r="PD89" s="12"/>
      <c r="PE89" s="12"/>
      <c r="PF89" s="12"/>
      <c r="PG89" s="12"/>
      <c r="PH89" s="12"/>
      <c r="PI89" s="12"/>
      <c r="PJ89" s="12"/>
      <c r="PK89" s="12"/>
      <c r="PL89" s="12"/>
      <c r="PM89" s="12"/>
      <c r="PN89" s="12"/>
      <c r="PO89" s="12"/>
      <c r="PP89" s="12"/>
      <c r="PQ89" s="12"/>
      <c r="PR89" s="12"/>
      <c r="PS89" s="12"/>
      <c r="PT89" s="12"/>
      <c r="PU89" s="12"/>
      <c r="PV89" s="12"/>
      <c r="PW89" s="12"/>
      <c r="PX89" s="12"/>
      <c r="PY89" s="12"/>
      <c r="PZ89" s="12"/>
      <c r="QA89" s="12"/>
      <c r="QB89" s="12"/>
      <c r="QC89" s="12"/>
      <c r="QD89" s="12"/>
      <c r="QE89" s="12"/>
      <c r="QF89" s="12"/>
      <c r="QG89" s="12"/>
      <c r="QH89" s="12"/>
      <c r="QI89" s="12"/>
      <c r="QJ89" s="12"/>
      <c r="QK89" s="12"/>
      <c r="QL89" s="12"/>
      <c r="QM89" s="12"/>
      <c r="QN89" s="12"/>
      <c r="QO89" s="12"/>
      <c r="QP89" s="12"/>
      <c r="QQ89" s="12"/>
      <c r="QR89" s="12"/>
      <c r="QS89" s="12"/>
      <c r="QT89" s="12"/>
      <c r="QU89" s="12"/>
      <c r="QV89" s="12"/>
      <c r="QW89" s="12"/>
      <c r="QX89" s="12"/>
      <c r="QY89" s="12"/>
      <c r="QZ89" s="12"/>
      <c r="RA89" s="12"/>
      <c r="RB89" s="12"/>
      <c r="RC89" s="12"/>
      <c r="RD89" s="12"/>
      <c r="RE89" s="12"/>
      <c r="RF89" s="12"/>
      <c r="RG89" s="12"/>
      <c r="RH89" s="12"/>
      <c r="RI89" s="12"/>
      <c r="RJ89" s="12"/>
      <c r="RK89" s="12"/>
      <c r="RL89" s="12"/>
      <c r="RM89" s="12"/>
      <c r="RN89" s="12"/>
      <c r="RO89" s="12"/>
      <c r="RP89" s="12"/>
      <c r="RQ89" s="12"/>
      <c r="RR89" s="12"/>
      <c r="RS89" s="12"/>
      <c r="RT89" s="12"/>
      <c r="RU89" s="12"/>
      <c r="RV89" s="12"/>
      <c r="RW89" s="12"/>
      <c r="RX89" s="12"/>
      <c r="RY89" s="12"/>
      <c r="RZ89" s="12"/>
      <c r="SA89" s="12"/>
      <c r="SB89" s="12"/>
      <c r="SC89" s="12"/>
      <c r="SD89" s="12"/>
      <c r="SE89" s="12"/>
      <c r="SF89" s="12"/>
      <c r="SG89" s="12"/>
      <c r="SH89" s="11"/>
      <c r="SI89" s="11"/>
      <c r="SJ89" s="11"/>
      <c r="SK89" s="11"/>
      <c r="SL89" s="11"/>
      <c r="SM89" s="11"/>
      <c r="SN89" s="11"/>
      <c r="SO89" s="11"/>
      <c r="SP89" s="11"/>
      <c r="SQ89" s="11"/>
      <c r="SR89" s="11"/>
      <c r="SS89" s="11"/>
      <c r="ST89" s="11"/>
      <c r="SU89" s="11"/>
      <c r="SV89" s="11"/>
      <c r="SW89" s="11"/>
      <c r="SX89" s="11"/>
      <c r="SY89" s="11"/>
      <c r="SZ89" s="11"/>
      <c r="TA89" s="11"/>
      <c r="TB89" s="11"/>
      <c r="TC89" s="11"/>
      <c r="TD89" s="11"/>
      <c r="TE89" s="11"/>
      <c r="TF89" s="11"/>
      <c r="TG89" s="11"/>
      <c r="TH89" s="11"/>
      <c r="TI89" s="11"/>
      <c r="TJ89" s="11"/>
      <c r="TK89" s="11"/>
      <c r="TL89" s="11"/>
    </row>
    <row r="90" spans="1:532" x14ac:dyDescent="0.2">
      <c r="A90" s="10" t="s">
        <v>89</v>
      </c>
      <c r="B90" s="12">
        <v>15.04</v>
      </c>
      <c r="C90" s="11">
        <v>3.9599362733497775E-2</v>
      </c>
      <c r="D90" s="11">
        <v>0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/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/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/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/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/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/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/>
      <c r="LS90" s="12"/>
      <c r="LT90" s="12"/>
      <c r="LU90" s="12"/>
      <c r="LV90" s="12"/>
      <c r="LW90" s="12"/>
      <c r="LX90" s="12"/>
      <c r="LY90" s="12"/>
      <c r="LZ90" s="12"/>
      <c r="MA90" s="12"/>
      <c r="MB90" s="12"/>
      <c r="MC90" s="12"/>
      <c r="MD90" s="12"/>
      <c r="ME90" s="12"/>
      <c r="MF90" s="12"/>
      <c r="MG90" s="12"/>
      <c r="MH90" s="12"/>
      <c r="MI90" s="12"/>
      <c r="MJ90" s="12"/>
      <c r="MK90" s="12"/>
      <c r="ML90" s="12"/>
      <c r="MM90" s="12"/>
      <c r="MN90" s="12"/>
      <c r="MO90" s="12"/>
      <c r="MP90" s="12"/>
      <c r="MQ90" s="12"/>
      <c r="MR90" s="12"/>
      <c r="MS90" s="12"/>
      <c r="MT90" s="12"/>
      <c r="MU90" s="12"/>
      <c r="MV90" s="12"/>
      <c r="MW90" s="12"/>
      <c r="MX90" s="12"/>
      <c r="MY90" s="12"/>
      <c r="MZ90" s="12"/>
      <c r="NA90" s="12"/>
      <c r="NB90" s="12"/>
      <c r="NC90" s="12"/>
      <c r="ND90" s="12"/>
      <c r="NE90" s="12"/>
      <c r="NF90" s="12"/>
      <c r="NG90" s="12"/>
      <c r="NH90" s="12"/>
      <c r="NI90" s="12"/>
      <c r="NJ90" s="12"/>
      <c r="NK90" s="12"/>
      <c r="NL90" s="12"/>
      <c r="NM90" s="12"/>
      <c r="NN90" s="12"/>
      <c r="NO90" s="12"/>
      <c r="NP90" s="12"/>
      <c r="NQ90" s="12"/>
      <c r="NR90" s="12"/>
      <c r="NS90" s="12"/>
      <c r="NT90" s="12"/>
      <c r="NU90" s="12"/>
      <c r="NV90" s="12"/>
      <c r="NW90" s="12"/>
      <c r="NX90" s="12"/>
      <c r="NY90" s="12"/>
      <c r="NZ90" s="12"/>
      <c r="OA90" s="12"/>
      <c r="OB90" s="12"/>
      <c r="OC90" s="12"/>
      <c r="OD90" s="12"/>
      <c r="OE90" s="12"/>
      <c r="OF90" s="12"/>
      <c r="OG90" s="12"/>
      <c r="OH90" s="12"/>
      <c r="OI90" s="12"/>
      <c r="OJ90" s="12"/>
      <c r="OK90" s="12"/>
      <c r="OL90" s="12"/>
      <c r="OM90" s="12"/>
      <c r="ON90" s="12"/>
      <c r="OO90" s="12"/>
      <c r="OP90" s="12"/>
      <c r="OQ90" s="12"/>
      <c r="OR90" s="12"/>
      <c r="OS90" s="12"/>
      <c r="OT90" s="12"/>
      <c r="OU90" s="12"/>
      <c r="OV90" s="12"/>
      <c r="OW90" s="12"/>
      <c r="OX90" s="12"/>
      <c r="OY90" s="12"/>
      <c r="OZ90" s="12"/>
      <c r="PA90" s="12"/>
      <c r="PB90" s="12"/>
      <c r="PC90" s="12"/>
      <c r="PD90" s="12"/>
      <c r="PE90" s="12"/>
      <c r="PF90" s="12"/>
      <c r="PG90" s="12"/>
      <c r="PH90" s="12"/>
      <c r="PI90" s="12"/>
      <c r="PJ90" s="12"/>
      <c r="PK90" s="12"/>
      <c r="PL90" s="12"/>
      <c r="PM90" s="12"/>
      <c r="PN90" s="12"/>
      <c r="PO90" s="12"/>
      <c r="PP90" s="12"/>
      <c r="PQ90" s="12"/>
      <c r="PR90" s="12"/>
      <c r="PS90" s="12"/>
      <c r="PT90" s="12"/>
      <c r="PU90" s="12"/>
      <c r="PV90" s="12"/>
      <c r="PW90" s="12"/>
      <c r="PX90" s="12"/>
      <c r="PY90" s="12"/>
      <c r="PZ90" s="12"/>
      <c r="QA90" s="12"/>
      <c r="QB90" s="12"/>
      <c r="QC90" s="12"/>
      <c r="QD90" s="12"/>
      <c r="QE90" s="12"/>
      <c r="QF90" s="12"/>
      <c r="QG90" s="12"/>
      <c r="QH90" s="12"/>
      <c r="QI90" s="12"/>
      <c r="QJ90" s="12"/>
      <c r="QK90" s="12"/>
      <c r="QL90" s="12"/>
      <c r="QM90" s="12"/>
      <c r="QN90" s="12"/>
      <c r="QO90" s="12"/>
      <c r="QP90" s="12"/>
      <c r="QQ90" s="12"/>
      <c r="QR90" s="12"/>
      <c r="QS90" s="12"/>
      <c r="QT90" s="12"/>
      <c r="QU90" s="12"/>
      <c r="QV90" s="12"/>
      <c r="QW90" s="12"/>
      <c r="QX90" s="12"/>
      <c r="QY90" s="12"/>
      <c r="QZ90" s="12"/>
      <c r="RA90" s="12"/>
      <c r="RB90" s="12"/>
      <c r="RC90" s="12"/>
      <c r="RD90" s="12"/>
      <c r="RE90" s="12"/>
      <c r="RF90" s="12"/>
      <c r="RG90" s="12"/>
      <c r="RH90" s="12"/>
      <c r="RI90" s="12"/>
      <c r="RJ90" s="12"/>
      <c r="RK90" s="12"/>
      <c r="RL90" s="12"/>
      <c r="RM90" s="12"/>
      <c r="RN90" s="12"/>
      <c r="RO90" s="12"/>
      <c r="RP90" s="12"/>
      <c r="RQ90" s="12"/>
      <c r="RR90" s="12"/>
      <c r="RS90" s="12"/>
      <c r="RT90" s="12"/>
      <c r="RU90" s="12"/>
      <c r="RV90" s="12"/>
      <c r="RW90" s="12"/>
      <c r="RX90" s="12"/>
      <c r="RY90" s="12"/>
      <c r="RZ90" s="12"/>
      <c r="SA90" s="12"/>
      <c r="SB90" s="12"/>
      <c r="SC90" s="12"/>
      <c r="SD90" s="12"/>
      <c r="SE90" s="12"/>
      <c r="SF90" s="12"/>
      <c r="SG90" s="12"/>
      <c r="SH90" s="11"/>
      <c r="SI90" s="11"/>
      <c r="SJ90" s="11"/>
      <c r="SK90" s="11"/>
      <c r="SL90" s="11"/>
      <c r="SM90" s="11"/>
      <c r="SN90" s="11"/>
      <c r="SO90" s="11"/>
      <c r="SP90" s="11"/>
      <c r="SQ90" s="11"/>
      <c r="SR90" s="11"/>
      <c r="SS90" s="11"/>
      <c r="ST90" s="11"/>
      <c r="SU90" s="11"/>
      <c r="SV90" s="11"/>
      <c r="SW90" s="11"/>
      <c r="SX90" s="11"/>
      <c r="SY90" s="11"/>
      <c r="SZ90" s="11"/>
      <c r="TA90" s="11"/>
      <c r="TB90" s="11"/>
      <c r="TC90" s="11"/>
      <c r="TD90" s="11"/>
      <c r="TE90" s="11"/>
      <c r="TF90" s="11"/>
      <c r="TG90" s="11"/>
      <c r="TH90" s="11"/>
      <c r="TI90" s="11"/>
      <c r="TJ90" s="11"/>
      <c r="TK90" s="11"/>
      <c r="TL90" s="11"/>
    </row>
    <row r="91" spans="1:532" x14ac:dyDescent="0.2">
      <c r="A91" s="10" t="s">
        <v>90</v>
      </c>
      <c r="B91" s="12">
        <v>13.39</v>
      </c>
      <c r="C91" s="11">
        <v>0</v>
      </c>
      <c r="D91" s="11">
        <v>1.5938743500232855</v>
      </c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/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/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/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/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/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/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/>
      <c r="LT91" s="12"/>
      <c r="LU91" s="12"/>
      <c r="LV91" s="12"/>
      <c r="LW91" s="12"/>
      <c r="LX91" s="12"/>
      <c r="LY91" s="12"/>
      <c r="LZ91" s="12"/>
      <c r="MA91" s="12"/>
      <c r="MB91" s="12"/>
      <c r="MC91" s="12"/>
      <c r="MD91" s="12"/>
      <c r="ME91" s="12"/>
      <c r="MF91" s="12"/>
      <c r="MG91" s="12"/>
      <c r="MH91" s="12"/>
      <c r="MI91" s="12"/>
      <c r="MJ91" s="12"/>
      <c r="MK91" s="12"/>
      <c r="ML91" s="12"/>
      <c r="MM91" s="12"/>
      <c r="MN91" s="12"/>
      <c r="MO91" s="12"/>
      <c r="MP91" s="12"/>
      <c r="MQ91" s="12"/>
      <c r="MR91" s="12"/>
      <c r="MS91" s="12"/>
      <c r="MT91" s="12"/>
      <c r="MU91" s="12"/>
      <c r="MV91" s="12"/>
      <c r="MW91" s="12"/>
      <c r="MX91" s="12"/>
      <c r="MY91" s="12"/>
      <c r="MZ91" s="12"/>
      <c r="NA91" s="12"/>
      <c r="NB91" s="12"/>
      <c r="NC91" s="12"/>
      <c r="ND91" s="12"/>
      <c r="NE91" s="12"/>
      <c r="NF91" s="12"/>
      <c r="NG91" s="12"/>
      <c r="NH91" s="12"/>
      <c r="NI91" s="12"/>
      <c r="NJ91" s="12"/>
      <c r="NK91" s="12"/>
      <c r="NL91" s="12"/>
      <c r="NM91" s="12"/>
      <c r="NN91" s="12"/>
      <c r="NO91" s="12"/>
      <c r="NP91" s="12"/>
      <c r="NQ91" s="12"/>
      <c r="NR91" s="12"/>
      <c r="NS91" s="12"/>
      <c r="NT91" s="12"/>
      <c r="NU91" s="12"/>
      <c r="NV91" s="12"/>
      <c r="NW91" s="12"/>
      <c r="NX91" s="12"/>
      <c r="NY91" s="12"/>
      <c r="NZ91" s="12"/>
      <c r="OA91" s="12"/>
      <c r="OB91" s="12"/>
      <c r="OC91" s="12"/>
      <c r="OD91" s="12"/>
      <c r="OE91" s="12"/>
      <c r="OF91" s="12"/>
      <c r="OG91" s="12"/>
      <c r="OH91" s="12"/>
      <c r="OI91" s="12"/>
      <c r="OJ91" s="12"/>
      <c r="OK91" s="12"/>
      <c r="OL91" s="12"/>
      <c r="OM91" s="12"/>
      <c r="ON91" s="12"/>
      <c r="OO91" s="12"/>
      <c r="OP91" s="12"/>
      <c r="OQ91" s="12"/>
      <c r="OR91" s="12"/>
      <c r="OS91" s="12"/>
      <c r="OT91" s="12"/>
      <c r="OU91" s="12"/>
      <c r="OV91" s="12"/>
      <c r="OW91" s="12"/>
      <c r="OX91" s="12"/>
      <c r="OY91" s="12"/>
      <c r="OZ91" s="12"/>
      <c r="PA91" s="12"/>
      <c r="PB91" s="12"/>
      <c r="PC91" s="12"/>
      <c r="PD91" s="12"/>
      <c r="PE91" s="12"/>
      <c r="PF91" s="12"/>
      <c r="PG91" s="12"/>
      <c r="PH91" s="12"/>
      <c r="PI91" s="12"/>
      <c r="PJ91" s="12"/>
      <c r="PK91" s="12"/>
      <c r="PL91" s="12"/>
      <c r="PM91" s="12"/>
      <c r="PN91" s="12"/>
      <c r="PO91" s="12"/>
      <c r="PP91" s="12"/>
      <c r="PQ91" s="12"/>
      <c r="PR91" s="12"/>
      <c r="PS91" s="12"/>
      <c r="PT91" s="12"/>
      <c r="PU91" s="12"/>
      <c r="PV91" s="12"/>
      <c r="PW91" s="12"/>
      <c r="PX91" s="12"/>
      <c r="PY91" s="12"/>
      <c r="PZ91" s="12"/>
      <c r="QA91" s="12"/>
      <c r="QB91" s="12"/>
      <c r="QC91" s="12"/>
      <c r="QD91" s="12"/>
      <c r="QE91" s="12"/>
      <c r="QF91" s="12"/>
      <c r="QG91" s="12"/>
      <c r="QH91" s="12"/>
      <c r="QI91" s="12"/>
      <c r="QJ91" s="12"/>
      <c r="QK91" s="12"/>
      <c r="QL91" s="12"/>
      <c r="QM91" s="12"/>
      <c r="QN91" s="12"/>
      <c r="QO91" s="12"/>
      <c r="QP91" s="12"/>
      <c r="QQ91" s="12"/>
      <c r="QR91" s="12"/>
      <c r="QS91" s="12"/>
      <c r="QT91" s="12"/>
      <c r="QU91" s="12"/>
      <c r="QV91" s="12"/>
      <c r="QW91" s="12"/>
      <c r="QX91" s="12"/>
      <c r="QY91" s="12"/>
      <c r="QZ91" s="12"/>
      <c r="RA91" s="12"/>
      <c r="RB91" s="12"/>
      <c r="RC91" s="12"/>
      <c r="RD91" s="12"/>
      <c r="RE91" s="12"/>
      <c r="RF91" s="12"/>
      <c r="RG91" s="12"/>
      <c r="RH91" s="12"/>
      <c r="RI91" s="12"/>
      <c r="RJ91" s="12"/>
      <c r="RK91" s="12"/>
      <c r="RL91" s="12"/>
      <c r="RM91" s="12"/>
      <c r="RN91" s="12"/>
      <c r="RO91" s="12"/>
      <c r="RP91" s="12"/>
      <c r="RQ91" s="12"/>
      <c r="RR91" s="12"/>
      <c r="RS91" s="12"/>
      <c r="RT91" s="12"/>
      <c r="RU91" s="12"/>
      <c r="RV91" s="12"/>
      <c r="RW91" s="12"/>
      <c r="RX91" s="12"/>
      <c r="RY91" s="12"/>
      <c r="RZ91" s="12"/>
      <c r="SA91" s="12"/>
      <c r="SB91" s="12"/>
      <c r="SC91" s="12"/>
      <c r="SD91" s="12"/>
      <c r="SE91" s="12"/>
      <c r="SF91" s="12"/>
      <c r="SG91" s="12"/>
      <c r="SH91" s="11"/>
      <c r="SI91" s="11"/>
      <c r="SJ91" s="11"/>
      <c r="SK91" s="11"/>
      <c r="SL91" s="11"/>
      <c r="SM91" s="11"/>
      <c r="SN91" s="11"/>
      <c r="SO91" s="11"/>
      <c r="SP91" s="11"/>
      <c r="SQ91" s="11"/>
      <c r="SR91" s="11"/>
      <c r="SS91" s="11"/>
      <c r="ST91" s="11"/>
      <c r="SU91" s="11"/>
      <c r="SV91" s="11"/>
      <c r="SW91" s="11"/>
      <c r="SX91" s="11"/>
      <c r="SY91" s="11"/>
      <c r="SZ91" s="11"/>
      <c r="TA91" s="11"/>
      <c r="TB91" s="11"/>
      <c r="TC91" s="11"/>
      <c r="TD91" s="11"/>
      <c r="TE91" s="11"/>
      <c r="TF91" s="11"/>
      <c r="TG91" s="11"/>
      <c r="TH91" s="11"/>
      <c r="TI91" s="11"/>
      <c r="TJ91" s="11"/>
      <c r="TK91" s="11"/>
      <c r="TL91" s="11"/>
    </row>
    <row r="92" spans="1:532" x14ac:dyDescent="0.2">
      <c r="A92" s="10" t="s">
        <v>91</v>
      </c>
      <c r="B92" s="12">
        <v>14.26</v>
      </c>
      <c r="C92" s="11">
        <v>0</v>
      </c>
      <c r="D92" s="11">
        <v>0.7325882105697088</v>
      </c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/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/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/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/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/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/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/>
      <c r="LR92" s="12"/>
      <c r="LS92" s="12"/>
      <c r="LT92" s="12"/>
      <c r="LU92" s="12"/>
      <c r="LV92" s="12"/>
      <c r="LW92" s="12"/>
      <c r="LX92" s="12"/>
      <c r="LY92" s="12"/>
      <c r="LZ92" s="12"/>
      <c r="MA92" s="12"/>
      <c r="MB92" s="12"/>
      <c r="MC92" s="12"/>
      <c r="MD92" s="12"/>
      <c r="ME92" s="12"/>
      <c r="MF92" s="12"/>
      <c r="MG92" s="12"/>
      <c r="MH92" s="12"/>
      <c r="MI92" s="12"/>
      <c r="MJ92" s="12"/>
      <c r="MK92" s="12"/>
      <c r="ML92" s="12"/>
      <c r="MM92" s="12"/>
      <c r="MN92" s="12"/>
      <c r="MO92" s="12"/>
      <c r="MP92" s="12"/>
      <c r="MQ92" s="12"/>
      <c r="MR92" s="12"/>
      <c r="MS92" s="12"/>
      <c r="MT92" s="12"/>
      <c r="MU92" s="12"/>
      <c r="MV92" s="12"/>
      <c r="MW92" s="12"/>
      <c r="MX92" s="12"/>
      <c r="MY92" s="12"/>
      <c r="MZ92" s="12"/>
      <c r="NA92" s="12"/>
      <c r="NB92" s="12"/>
      <c r="NC92" s="12"/>
      <c r="ND92" s="12"/>
      <c r="NE92" s="12"/>
      <c r="NF92" s="12"/>
      <c r="NG92" s="12"/>
      <c r="NH92" s="12"/>
      <c r="NI92" s="12"/>
      <c r="NJ92" s="12"/>
      <c r="NK92" s="12"/>
      <c r="NL92" s="12"/>
      <c r="NM92" s="12"/>
      <c r="NN92" s="12"/>
      <c r="NO92" s="12"/>
      <c r="NP92" s="12"/>
      <c r="NQ92" s="12"/>
      <c r="NR92" s="12"/>
      <c r="NS92" s="12"/>
      <c r="NT92" s="12"/>
      <c r="NU92" s="12"/>
      <c r="NV92" s="12"/>
      <c r="NW92" s="12"/>
      <c r="NX92" s="12"/>
      <c r="NY92" s="12"/>
      <c r="NZ92" s="12"/>
      <c r="OA92" s="12"/>
      <c r="OB92" s="12"/>
      <c r="OC92" s="12"/>
      <c r="OD92" s="12"/>
      <c r="OE92" s="12"/>
      <c r="OF92" s="12"/>
      <c r="OG92" s="12"/>
      <c r="OH92" s="12"/>
      <c r="OI92" s="12"/>
      <c r="OJ92" s="12"/>
      <c r="OK92" s="12"/>
      <c r="OL92" s="12"/>
      <c r="OM92" s="12"/>
      <c r="ON92" s="12"/>
      <c r="OO92" s="12"/>
      <c r="OP92" s="12"/>
      <c r="OQ92" s="12"/>
      <c r="OR92" s="12"/>
      <c r="OS92" s="12"/>
      <c r="OT92" s="12"/>
      <c r="OU92" s="12"/>
      <c r="OV92" s="12"/>
      <c r="OW92" s="12"/>
      <c r="OX92" s="12"/>
      <c r="OY92" s="12"/>
      <c r="OZ92" s="12"/>
      <c r="PA92" s="12"/>
      <c r="PB92" s="12"/>
      <c r="PC92" s="12"/>
      <c r="PD92" s="12"/>
      <c r="PE92" s="12"/>
      <c r="PF92" s="12"/>
      <c r="PG92" s="12"/>
      <c r="PH92" s="12"/>
      <c r="PI92" s="12"/>
      <c r="PJ92" s="12"/>
      <c r="PK92" s="12"/>
      <c r="PL92" s="12"/>
      <c r="PM92" s="12"/>
      <c r="PN92" s="12"/>
      <c r="PO92" s="12"/>
      <c r="PP92" s="12"/>
      <c r="PQ92" s="12"/>
      <c r="PR92" s="12"/>
      <c r="PS92" s="12"/>
      <c r="PT92" s="12"/>
      <c r="PU92" s="12"/>
      <c r="PV92" s="12"/>
      <c r="PW92" s="12"/>
      <c r="PX92" s="12"/>
      <c r="PY92" s="12"/>
      <c r="PZ92" s="12"/>
      <c r="QA92" s="12"/>
      <c r="QB92" s="12"/>
      <c r="QC92" s="12"/>
      <c r="QD92" s="12"/>
      <c r="QE92" s="12"/>
      <c r="QF92" s="12"/>
      <c r="QG92" s="12"/>
      <c r="QH92" s="12"/>
      <c r="QI92" s="12"/>
      <c r="QJ92" s="12"/>
      <c r="QK92" s="12"/>
      <c r="QL92" s="12"/>
      <c r="QM92" s="12"/>
      <c r="QN92" s="12"/>
      <c r="QO92" s="12"/>
      <c r="QP92" s="12"/>
      <c r="QQ92" s="12"/>
      <c r="QR92" s="12"/>
      <c r="QS92" s="12"/>
      <c r="QT92" s="12"/>
      <c r="QU92" s="12"/>
      <c r="QV92" s="12"/>
      <c r="QW92" s="12"/>
      <c r="QX92" s="12"/>
      <c r="QY92" s="12"/>
      <c r="QZ92" s="12"/>
      <c r="RA92" s="12"/>
      <c r="RB92" s="12"/>
      <c r="RC92" s="12"/>
      <c r="RD92" s="12"/>
      <c r="RE92" s="12"/>
      <c r="RF92" s="12"/>
      <c r="RG92" s="12"/>
      <c r="RH92" s="12"/>
      <c r="RI92" s="12"/>
      <c r="RJ92" s="12"/>
      <c r="RK92" s="12"/>
      <c r="RL92" s="12"/>
      <c r="RM92" s="12"/>
      <c r="RN92" s="12"/>
      <c r="RO92" s="12"/>
      <c r="RP92" s="12"/>
      <c r="RQ92" s="12"/>
      <c r="RR92" s="12"/>
      <c r="RS92" s="12"/>
      <c r="RT92" s="12"/>
      <c r="RU92" s="12"/>
      <c r="RV92" s="12"/>
      <c r="RW92" s="12"/>
      <c r="RX92" s="12"/>
      <c r="RY92" s="12"/>
      <c r="RZ92" s="12"/>
      <c r="SA92" s="12"/>
      <c r="SB92" s="12"/>
      <c r="SC92" s="12"/>
      <c r="SD92" s="12"/>
      <c r="SE92" s="12"/>
      <c r="SF92" s="12"/>
      <c r="SG92" s="12"/>
      <c r="SH92" s="11"/>
      <c r="SI92" s="11"/>
      <c r="SJ92" s="11"/>
      <c r="SK92" s="11"/>
      <c r="SL92" s="11"/>
      <c r="SM92" s="11"/>
      <c r="SN92" s="11"/>
      <c r="SO92" s="11"/>
      <c r="SP92" s="11"/>
      <c r="SQ92" s="11"/>
      <c r="SR92" s="11"/>
      <c r="SS92" s="11"/>
      <c r="ST92" s="11"/>
      <c r="SU92" s="11"/>
      <c r="SV92" s="11"/>
      <c r="SW92" s="11"/>
      <c r="SX92" s="11"/>
      <c r="SY92" s="11"/>
      <c r="SZ92" s="11"/>
      <c r="TA92" s="11"/>
      <c r="TB92" s="11"/>
      <c r="TC92" s="11"/>
      <c r="TD92" s="11"/>
      <c r="TE92" s="11"/>
      <c r="TF92" s="11"/>
      <c r="TG92" s="11"/>
      <c r="TH92" s="11"/>
      <c r="TI92" s="11"/>
      <c r="TJ92" s="11"/>
      <c r="TK92" s="11"/>
      <c r="TL92" s="11"/>
    </row>
    <row r="93" spans="1:532" x14ac:dyDescent="0.2">
      <c r="A93" s="10" t="s">
        <v>92</v>
      </c>
      <c r="B93" s="12">
        <v>12.09</v>
      </c>
      <c r="C93" s="11">
        <v>0</v>
      </c>
      <c r="D93" s="11">
        <v>2.880853638861963</v>
      </c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2"/>
      <c r="LU93" s="12"/>
      <c r="LV93" s="12"/>
      <c r="LW93" s="12"/>
      <c r="LX93" s="12"/>
      <c r="LY93" s="12"/>
      <c r="LZ93" s="12"/>
      <c r="MA93" s="12"/>
      <c r="MB93" s="12"/>
      <c r="MC93" s="12"/>
      <c r="MD93" s="12"/>
      <c r="ME93" s="12"/>
      <c r="MF93" s="12"/>
      <c r="MG93" s="12"/>
      <c r="MH93" s="12"/>
      <c r="MI93" s="12"/>
      <c r="MJ93" s="12"/>
      <c r="MK93" s="12"/>
      <c r="ML93" s="12"/>
      <c r="MM93" s="12"/>
      <c r="MN93" s="12"/>
      <c r="MO93" s="12"/>
      <c r="MP93" s="12"/>
      <c r="MQ93" s="12"/>
      <c r="MR93" s="12"/>
      <c r="MS93" s="12"/>
      <c r="MT93" s="12"/>
      <c r="MU93" s="12"/>
      <c r="MV93" s="12"/>
      <c r="MW93" s="12"/>
      <c r="MX93" s="12"/>
      <c r="MY93" s="12"/>
      <c r="MZ93" s="12"/>
      <c r="NA93" s="12"/>
      <c r="NB93" s="12"/>
      <c r="NC93" s="12"/>
      <c r="ND93" s="12"/>
      <c r="NE93" s="12"/>
      <c r="NF93" s="12"/>
      <c r="NG93" s="12"/>
      <c r="NH93" s="12"/>
      <c r="NI93" s="12"/>
      <c r="NJ93" s="12"/>
      <c r="NK93" s="12"/>
      <c r="NL93" s="12"/>
      <c r="NM93" s="12"/>
      <c r="NN93" s="12"/>
      <c r="NO93" s="12"/>
      <c r="NP93" s="12"/>
      <c r="NQ93" s="12"/>
      <c r="NR93" s="12"/>
      <c r="NS93" s="12"/>
      <c r="NT93" s="12"/>
      <c r="NU93" s="12"/>
      <c r="NV93" s="12"/>
      <c r="NW93" s="12"/>
      <c r="NX93" s="12"/>
      <c r="NY93" s="12"/>
      <c r="NZ93" s="12"/>
      <c r="OA93" s="12"/>
      <c r="OB93" s="12"/>
      <c r="OC93" s="12"/>
      <c r="OD93" s="12"/>
      <c r="OE93" s="12"/>
      <c r="OF93" s="12"/>
      <c r="OG93" s="12"/>
      <c r="OH93" s="12"/>
      <c r="OI93" s="12"/>
      <c r="OJ93" s="12"/>
      <c r="OK93" s="12"/>
      <c r="OL93" s="12"/>
      <c r="OM93" s="12"/>
      <c r="ON93" s="12"/>
      <c r="OO93" s="12"/>
      <c r="OP93" s="12"/>
      <c r="OQ93" s="12"/>
      <c r="OR93" s="12"/>
      <c r="OS93" s="12"/>
      <c r="OT93" s="12"/>
      <c r="OU93" s="12"/>
      <c r="OV93" s="12"/>
      <c r="OW93" s="12"/>
      <c r="OX93" s="12"/>
      <c r="OY93" s="12"/>
      <c r="OZ93" s="12"/>
      <c r="PA93" s="12"/>
      <c r="PB93" s="12"/>
      <c r="PC93" s="12"/>
      <c r="PD93" s="12"/>
      <c r="PE93" s="12"/>
      <c r="PF93" s="12"/>
      <c r="PG93" s="12"/>
      <c r="PH93" s="12"/>
      <c r="PI93" s="12"/>
      <c r="PJ93" s="12"/>
      <c r="PK93" s="12"/>
      <c r="PL93" s="12"/>
      <c r="PM93" s="12"/>
      <c r="PN93" s="12"/>
      <c r="PO93" s="12"/>
      <c r="PP93" s="12"/>
      <c r="PQ93" s="12"/>
      <c r="PR93" s="12"/>
      <c r="PS93" s="12"/>
      <c r="PT93" s="12"/>
      <c r="PU93" s="12"/>
      <c r="PV93" s="12"/>
      <c r="PW93" s="12"/>
      <c r="PX93" s="12"/>
      <c r="PY93" s="12"/>
      <c r="PZ93" s="12"/>
      <c r="QA93" s="12"/>
      <c r="QB93" s="12"/>
      <c r="QC93" s="12"/>
      <c r="QD93" s="12"/>
      <c r="QE93" s="12"/>
      <c r="QF93" s="12"/>
      <c r="QG93" s="12"/>
      <c r="QH93" s="12"/>
      <c r="QI93" s="12"/>
      <c r="QJ93" s="12"/>
      <c r="QK93" s="12"/>
      <c r="QL93" s="12"/>
      <c r="QM93" s="12"/>
      <c r="QN93" s="12"/>
      <c r="QO93" s="12"/>
      <c r="QP93" s="12"/>
      <c r="QQ93" s="12"/>
      <c r="QR93" s="12"/>
      <c r="QS93" s="12"/>
      <c r="QT93" s="12"/>
      <c r="QU93" s="12"/>
      <c r="QV93" s="12"/>
      <c r="QW93" s="12"/>
      <c r="QX93" s="12"/>
      <c r="QY93" s="12"/>
      <c r="QZ93" s="12"/>
      <c r="RA93" s="12"/>
      <c r="RB93" s="12"/>
      <c r="RC93" s="12"/>
      <c r="RD93" s="12"/>
      <c r="RE93" s="12"/>
      <c r="RF93" s="12"/>
      <c r="RG93" s="12"/>
      <c r="RH93" s="12"/>
      <c r="RI93" s="12"/>
      <c r="RJ93" s="12"/>
      <c r="RK93" s="12"/>
      <c r="RL93" s="12"/>
      <c r="RM93" s="12"/>
      <c r="RN93" s="12"/>
      <c r="RO93" s="12"/>
      <c r="RP93" s="12"/>
      <c r="RQ93" s="12"/>
      <c r="RR93" s="12"/>
      <c r="RS93" s="12"/>
      <c r="RT93" s="12"/>
      <c r="RU93" s="12"/>
      <c r="RV93" s="12"/>
      <c r="RW93" s="12"/>
      <c r="RX93" s="12"/>
      <c r="RY93" s="12"/>
      <c r="RZ93" s="12"/>
      <c r="SA93" s="12"/>
      <c r="SB93" s="12"/>
      <c r="SC93" s="12"/>
      <c r="SD93" s="12"/>
      <c r="SE93" s="12"/>
      <c r="SF93" s="12"/>
      <c r="SG93" s="12"/>
      <c r="SH93" s="11"/>
      <c r="SI93" s="11"/>
      <c r="SJ93" s="11"/>
      <c r="SK93" s="11"/>
      <c r="SL93" s="11"/>
      <c r="SM93" s="11"/>
      <c r="SN93" s="11"/>
      <c r="SO93" s="11"/>
      <c r="SP93" s="11"/>
      <c r="SQ93" s="11"/>
      <c r="SR93" s="11"/>
      <c r="SS93" s="11"/>
      <c r="ST93" s="11"/>
      <c r="SU93" s="11"/>
      <c r="SV93" s="11"/>
      <c r="SW93" s="11"/>
      <c r="SX93" s="11"/>
      <c r="SY93" s="11"/>
      <c r="SZ93" s="11"/>
      <c r="TA93" s="11"/>
      <c r="TB93" s="11"/>
      <c r="TC93" s="11"/>
      <c r="TD93" s="11"/>
      <c r="TE93" s="11"/>
      <c r="TF93" s="11"/>
      <c r="TG93" s="11"/>
      <c r="TH93" s="11"/>
      <c r="TI93" s="11"/>
      <c r="TJ93" s="11"/>
      <c r="TK93" s="11"/>
      <c r="TL93" s="11"/>
    </row>
    <row r="94" spans="1:532" x14ac:dyDescent="0.2">
      <c r="A94" s="10" t="s">
        <v>93</v>
      </c>
      <c r="B94" s="12">
        <v>14.79</v>
      </c>
      <c r="C94" s="11">
        <v>0</v>
      </c>
      <c r="D94" s="11">
        <v>0.2078966543508633</v>
      </c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/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/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/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/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/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/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/>
      <c r="LT94" s="12"/>
      <c r="LU94" s="12"/>
      <c r="LV94" s="12"/>
      <c r="LW94" s="12"/>
      <c r="LX94" s="12"/>
      <c r="LY94" s="12"/>
      <c r="LZ94" s="12"/>
      <c r="MA94" s="12"/>
      <c r="MB94" s="12"/>
      <c r="MC94" s="12"/>
      <c r="MD94" s="12"/>
      <c r="ME94" s="12"/>
      <c r="MF94" s="12"/>
      <c r="MG94" s="12"/>
      <c r="MH94" s="12"/>
      <c r="MI94" s="12"/>
      <c r="MJ94" s="12"/>
      <c r="MK94" s="12"/>
      <c r="ML94" s="12"/>
      <c r="MM94" s="12"/>
      <c r="MN94" s="12"/>
      <c r="MO94" s="12"/>
      <c r="MP94" s="12"/>
      <c r="MQ94" s="12"/>
      <c r="MR94" s="12"/>
      <c r="MS94" s="12"/>
      <c r="MT94" s="12"/>
      <c r="MU94" s="12"/>
      <c r="MV94" s="12"/>
      <c r="MW94" s="12"/>
      <c r="MX94" s="12"/>
      <c r="MY94" s="12"/>
      <c r="MZ94" s="12"/>
      <c r="NA94" s="12"/>
      <c r="NB94" s="12"/>
      <c r="NC94" s="12"/>
      <c r="ND94" s="12"/>
      <c r="NE94" s="12"/>
      <c r="NF94" s="12"/>
      <c r="NG94" s="12"/>
      <c r="NH94" s="12"/>
      <c r="NI94" s="12"/>
      <c r="NJ94" s="12"/>
      <c r="NK94" s="12"/>
      <c r="NL94" s="12"/>
      <c r="NM94" s="12"/>
      <c r="NN94" s="12"/>
      <c r="NO94" s="12"/>
      <c r="NP94" s="12"/>
      <c r="NQ94" s="12"/>
      <c r="NR94" s="12"/>
      <c r="NS94" s="12"/>
      <c r="NT94" s="12"/>
      <c r="NU94" s="12"/>
      <c r="NV94" s="12"/>
      <c r="NW94" s="12"/>
      <c r="NX94" s="12"/>
      <c r="NY94" s="12"/>
      <c r="NZ94" s="12"/>
      <c r="OA94" s="12"/>
      <c r="OB94" s="12"/>
      <c r="OC94" s="12"/>
      <c r="OD94" s="12"/>
      <c r="OE94" s="12"/>
      <c r="OF94" s="12"/>
      <c r="OG94" s="12"/>
      <c r="OH94" s="12"/>
      <c r="OI94" s="12"/>
      <c r="OJ94" s="12"/>
      <c r="OK94" s="12"/>
      <c r="OL94" s="12"/>
      <c r="OM94" s="12"/>
      <c r="ON94" s="12"/>
      <c r="OO94" s="12"/>
      <c r="OP94" s="12"/>
      <c r="OQ94" s="12"/>
      <c r="OR94" s="12"/>
      <c r="OS94" s="12"/>
      <c r="OT94" s="12"/>
      <c r="OU94" s="12"/>
      <c r="OV94" s="12"/>
      <c r="OW94" s="12"/>
      <c r="OX94" s="12"/>
      <c r="OY94" s="12"/>
      <c r="OZ94" s="12"/>
      <c r="PA94" s="12"/>
      <c r="PB94" s="12"/>
      <c r="PC94" s="12"/>
      <c r="PD94" s="12"/>
      <c r="PE94" s="12"/>
      <c r="PF94" s="12"/>
      <c r="PG94" s="12"/>
      <c r="PH94" s="12"/>
      <c r="PI94" s="12"/>
      <c r="PJ94" s="12"/>
      <c r="PK94" s="12"/>
      <c r="PL94" s="12"/>
      <c r="PM94" s="12"/>
      <c r="PN94" s="12"/>
      <c r="PO94" s="12"/>
      <c r="PP94" s="12"/>
      <c r="PQ94" s="12"/>
      <c r="PR94" s="12"/>
      <c r="PS94" s="12"/>
      <c r="PT94" s="12"/>
      <c r="PU94" s="12"/>
      <c r="PV94" s="12"/>
      <c r="PW94" s="12"/>
      <c r="PX94" s="12"/>
      <c r="PY94" s="12"/>
      <c r="PZ94" s="12"/>
      <c r="QA94" s="12"/>
      <c r="QB94" s="12"/>
      <c r="QC94" s="12"/>
      <c r="QD94" s="12"/>
      <c r="QE94" s="12"/>
      <c r="QF94" s="12"/>
      <c r="QG94" s="12"/>
      <c r="QH94" s="12"/>
      <c r="QI94" s="12"/>
      <c r="QJ94" s="12"/>
      <c r="QK94" s="12"/>
      <c r="QL94" s="12"/>
      <c r="QM94" s="12"/>
      <c r="QN94" s="12"/>
      <c r="QO94" s="12"/>
      <c r="QP94" s="12"/>
      <c r="QQ94" s="12"/>
      <c r="QR94" s="12"/>
      <c r="QS94" s="12"/>
      <c r="QT94" s="12"/>
      <c r="QU94" s="12"/>
      <c r="QV94" s="12"/>
      <c r="QW94" s="12"/>
      <c r="QX94" s="12"/>
      <c r="QY94" s="12"/>
      <c r="QZ94" s="12"/>
      <c r="RA94" s="12"/>
      <c r="RB94" s="12"/>
      <c r="RC94" s="12"/>
      <c r="RD94" s="12"/>
      <c r="RE94" s="12"/>
      <c r="RF94" s="12"/>
      <c r="RG94" s="12"/>
      <c r="RH94" s="12"/>
      <c r="RI94" s="12"/>
      <c r="RJ94" s="12"/>
      <c r="RK94" s="12"/>
      <c r="RL94" s="12"/>
      <c r="RM94" s="12"/>
      <c r="RN94" s="12"/>
      <c r="RO94" s="12"/>
      <c r="RP94" s="12"/>
      <c r="RQ94" s="12"/>
      <c r="RR94" s="12"/>
      <c r="RS94" s="12"/>
      <c r="RT94" s="12"/>
      <c r="RU94" s="12"/>
      <c r="RV94" s="12"/>
      <c r="RW94" s="12"/>
      <c r="RX94" s="12"/>
      <c r="RY94" s="12"/>
      <c r="RZ94" s="12"/>
      <c r="SA94" s="12"/>
      <c r="SB94" s="12"/>
      <c r="SC94" s="12"/>
      <c r="SD94" s="12"/>
      <c r="SE94" s="12"/>
      <c r="SF94" s="12"/>
      <c r="SG94" s="12"/>
      <c r="SH94" s="11"/>
      <c r="SI94" s="11"/>
      <c r="SJ94" s="11"/>
      <c r="SK94" s="11"/>
      <c r="SL94" s="11"/>
      <c r="SM94" s="11"/>
      <c r="SN94" s="11"/>
      <c r="SO94" s="11"/>
      <c r="SP94" s="11"/>
      <c r="SQ94" s="11"/>
      <c r="SR94" s="11"/>
      <c r="SS94" s="11"/>
      <c r="ST94" s="11"/>
      <c r="SU94" s="11"/>
      <c r="SV94" s="11"/>
      <c r="SW94" s="11"/>
      <c r="SX94" s="11"/>
      <c r="SY94" s="11"/>
      <c r="SZ94" s="11"/>
      <c r="TA94" s="11"/>
      <c r="TB94" s="11"/>
      <c r="TC94" s="11"/>
      <c r="TD94" s="11"/>
      <c r="TE94" s="11"/>
      <c r="TF94" s="11"/>
      <c r="TG94" s="11"/>
      <c r="TH94" s="11"/>
      <c r="TI94" s="11"/>
      <c r="TJ94" s="11"/>
      <c r="TK94" s="11"/>
      <c r="TL94" s="11"/>
    </row>
    <row r="95" spans="1:532" x14ac:dyDescent="0.2">
      <c r="A95" s="10" t="s">
        <v>94</v>
      </c>
      <c r="B95" s="12">
        <v>15.38</v>
      </c>
      <c r="C95" s="11">
        <v>0.37619394596822886</v>
      </c>
      <c r="D95" s="11">
        <v>0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/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/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/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/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/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/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/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2"/>
      <c r="LU95" s="12"/>
      <c r="LV95" s="12"/>
      <c r="LW95" s="12"/>
      <c r="LX95" s="12"/>
      <c r="LY95" s="12"/>
      <c r="LZ95" s="12"/>
      <c r="MA95" s="12"/>
      <c r="MB95" s="12"/>
      <c r="MC95" s="12"/>
      <c r="MD95" s="12"/>
      <c r="ME95" s="12"/>
      <c r="MF95" s="12"/>
      <c r="MG95" s="12"/>
      <c r="MH95" s="12"/>
      <c r="MI95" s="12"/>
      <c r="MJ95" s="12"/>
      <c r="MK95" s="12"/>
      <c r="ML95" s="12"/>
      <c r="MM95" s="12"/>
      <c r="MN95" s="12"/>
      <c r="MO95" s="12"/>
      <c r="MP95" s="12"/>
      <c r="MQ95" s="12"/>
      <c r="MR95" s="12"/>
      <c r="MS95" s="12"/>
      <c r="MT95" s="12"/>
      <c r="MU95" s="12"/>
      <c r="MV95" s="12"/>
      <c r="MW95" s="12"/>
      <c r="MX95" s="12"/>
      <c r="MY95" s="12"/>
      <c r="MZ95" s="12"/>
      <c r="NA95" s="12"/>
      <c r="NB95" s="12"/>
      <c r="NC95" s="12"/>
      <c r="ND95" s="12"/>
      <c r="NE95" s="12"/>
      <c r="NF95" s="12"/>
      <c r="NG95" s="12"/>
      <c r="NH95" s="12"/>
      <c r="NI95" s="12"/>
      <c r="NJ95" s="12"/>
      <c r="NK95" s="12"/>
      <c r="NL95" s="12"/>
      <c r="NM95" s="12"/>
      <c r="NN95" s="12"/>
      <c r="NO95" s="12"/>
      <c r="NP95" s="12"/>
      <c r="NQ95" s="12"/>
      <c r="NR95" s="12"/>
      <c r="NS95" s="12"/>
      <c r="NT95" s="12"/>
      <c r="NU95" s="12"/>
      <c r="NV95" s="12"/>
      <c r="NW95" s="12"/>
      <c r="NX95" s="12"/>
      <c r="NY95" s="12"/>
      <c r="NZ95" s="12"/>
      <c r="OA95" s="12"/>
      <c r="OB95" s="12"/>
      <c r="OC95" s="12"/>
      <c r="OD95" s="12"/>
      <c r="OE95" s="12"/>
      <c r="OF95" s="12"/>
      <c r="OG95" s="12"/>
      <c r="OH95" s="12"/>
      <c r="OI95" s="12"/>
      <c r="OJ95" s="12"/>
      <c r="OK95" s="12"/>
      <c r="OL95" s="12"/>
      <c r="OM95" s="12"/>
      <c r="ON95" s="12"/>
      <c r="OO95" s="12"/>
      <c r="OP95" s="12"/>
      <c r="OQ95" s="12"/>
      <c r="OR95" s="12"/>
      <c r="OS95" s="12"/>
      <c r="OT95" s="12"/>
      <c r="OU95" s="12"/>
      <c r="OV95" s="12"/>
      <c r="OW95" s="12"/>
      <c r="OX95" s="12"/>
      <c r="OY95" s="12"/>
      <c r="OZ95" s="12"/>
      <c r="PA95" s="12"/>
      <c r="PB95" s="12"/>
      <c r="PC95" s="12"/>
      <c r="PD95" s="12"/>
      <c r="PE95" s="12"/>
      <c r="PF95" s="12"/>
      <c r="PG95" s="12"/>
      <c r="PH95" s="12"/>
      <c r="PI95" s="12"/>
      <c r="PJ95" s="12"/>
      <c r="PK95" s="12"/>
      <c r="PL95" s="12"/>
      <c r="PM95" s="12"/>
      <c r="PN95" s="12"/>
      <c r="PO95" s="12"/>
      <c r="PP95" s="12"/>
      <c r="PQ95" s="12"/>
      <c r="PR95" s="12"/>
      <c r="PS95" s="12"/>
      <c r="PT95" s="12"/>
      <c r="PU95" s="12"/>
      <c r="PV95" s="12"/>
      <c r="PW95" s="12"/>
      <c r="PX95" s="12"/>
      <c r="PY95" s="12"/>
      <c r="PZ95" s="12"/>
      <c r="QA95" s="12"/>
      <c r="QB95" s="12"/>
      <c r="QC95" s="12"/>
      <c r="QD95" s="12"/>
      <c r="QE95" s="12"/>
      <c r="QF95" s="12"/>
      <c r="QG95" s="12"/>
      <c r="QH95" s="12"/>
      <c r="QI95" s="12"/>
      <c r="QJ95" s="12"/>
      <c r="QK95" s="12"/>
      <c r="QL95" s="12"/>
      <c r="QM95" s="12"/>
      <c r="QN95" s="12"/>
      <c r="QO95" s="12"/>
      <c r="QP95" s="12"/>
      <c r="QQ95" s="12"/>
      <c r="QR95" s="12"/>
      <c r="QS95" s="12"/>
      <c r="QT95" s="12"/>
      <c r="QU95" s="12"/>
      <c r="QV95" s="12"/>
      <c r="QW95" s="12"/>
      <c r="QX95" s="12"/>
      <c r="QY95" s="12"/>
      <c r="QZ95" s="12"/>
      <c r="RA95" s="12"/>
      <c r="RB95" s="12"/>
      <c r="RC95" s="12"/>
      <c r="RD95" s="12"/>
      <c r="RE95" s="12"/>
      <c r="RF95" s="12"/>
      <c r="RG95" s="12"/>
      <c r="RH95" s="12"/>
      <c r="RI95" s="12"/>
      <c r="RJ95" s="12"/>
      <c r="RK95" s="12"/>
      <c r="RL95" s="12"/>
      <c r="RM95" s="12"/>
      <c r="RN95" s="12"/>
      <c r="RO95" s="12"/>
      <c r="RP95" s="12"/>
      <c r="RQ95" s="12"/>
      <c r="RR95" s="12"/>
      <c r="RS95" s="12"/>
      <c r="RT95" s="12"/>
      <c r="RU95" s="12"/>
      <c r="RV95" s="12"/>
      <c r="RW95" s="12"/>
      <c r="RX95" s="12"/>
      <c r="RY95" s="12"/>
      <c r="RZ95" s="12"/>
      <c r="SA95" s="12"/>
      <c r="SB95" s="12"/>
      <c r="SC95" s="12"/>
      <c r="SD95" s="12"/>
      <c r="SE95" s="12"/>
      <c r="SF95" s="12"/>
      <c r="SG95" s="12"/>
      <c r="SH95" s="11"/>
      <c r="SI95" s="11"/>
      <c r="SJ95" s="11"/>
      <c r="SK95" s="11"/>
      <c r="SL95" s="11"/>
      <c r="SM95" s="11"/>
      <c r="SN95" s="11"/>
      <c r="SO95" s="11"/>
      <c r="SP95" s="11"/>
      <c r="SQ95" s="11"/>
      <c r="SR95" s="11"/>
      <c r="SS95" s="11"/>
      <c r="ST95" s="11"/>
      <c r="SU95" s="11"/>
      <c r="SV95" s="11"/>
      <c r="SW95" s="11"/>
      <c r="SX95" s="11"/>
      <c r="SY95" s="11"/>
      <c r="SZ95" s="11"/>
      <c r="TA95" s="11"/>
      <c r="TB95" s="11"/>
      <c r="TC95" s="11"/>
      <c r="TD95" s="11"/>
      <c r="TE95" s="11"/>
      <c r="TF95" s="11"/>
      <c r="TG95" s="11"/>
      <c r="TH95" s="11"/>
      <c r="TI95" s="11"/>
      <c r="TJ95" s="11"/>
      <c r="TK95" s="11"/>
      <c r="TL95" s="11"/>
    </row>
    <row r="96" spans="1:532" x14ac:dyDescent="0.2">
      <c r="A96" s="10" t="s">
        <v>95</v>
      </c>
      <c r="B96" s="12">
        <v>14.9</v>
      </c>
      <c r="C96" s="11">
        <v>0</v>
      </c>
      <c r="D96" s="11">
        <v>9.8998406833744446E-2</v>
      </c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12"/>
      <c r="IP96" s="12"/>
      <c r="IQ96" s="12"/>
      <c r="IR96" s="12"/>
      <c r="IS96" s="12"/>
      <c r="IT96" s="12"/>
      <c r="IU96" s="12"/>
      <c r="IV96" s="12"/>
      <c r="IW96" s="12"/>
      <c r="IX96" s="12"/>
      <c r="IY96" s="12"/>
      <c r="IZ96" s="12"/>
      <c r="JA96" s="12"/>
      <c r="JB96" s="12"/>
      <c r="JC96" s="12"/>
      <c r="JD96" s="12"/>
      <c r="JE96" s="12"/>
      <c r="JF96" s="12"/>
      <c r="JG96" s="12"/>
      <c r="JH96" s="12"/>
      <c r="JI96" s="12"/>
      <c r="JJ96" s="12"/>
      <c r="JK96" s="12"/>
      <c r="JL96" s="12"/>
      <c r="JM96" s="12"/>
      <c r="JN96" s="12"/>
      <c r="JO96" s="12"/>
      <c r="JP96" s="12"/>
      <c r="JQ96" s="12"/>
      <c r="JR96" s="12"/>
      <c r="JS96" s="12"/>
      <c r="JT96" s="12"/>
      <c r="JU96" s="12"/>
      <c r="JV96" s="12"/>
      <c r="JW96" s="12"/>
      <c r="JX96" s="12"/>
      <c r="JY96" s="12"/>
      <c r="JZ96" s="12"/>
      <c r="KA96" s="12"/>
      <c r="KB96" s="12"/>
      <c r="KC96" s="12"/>
      <c r="KD96" s="12"/>
      <c r="KE96" s="12"/>
      <c r="KF96" s="12"/>
      <c r="KG96" s="12"/>
      <c r="KH96" s="12"/>
      <c r="KI96" s="12"/>
      <c r="KJ96" s="12"/>
      <c r="KK96" s="12"/>
      <c r="KL96" s="12"/>
      <c r="KM96" s="12"/>
      <c r="KN96" s="12"/>
      <c r="KO96" s="12"/>
      <c r="KP96" s="12"/>
      <c r="KQ96" s="12"/>
      <c r="KR96" s="12"/>
      <c r="KS96" s="12"/>
      <c r="KT96" s="12"/>
      <c r="KU96" s="12"/>
      <c r="KV96" s="12"/>
      <c r="KW96" s="12"/>
      <c r="KX96" s="12"/>
      <c r="KY96" s="12"/>
      <c r="KZ96" s="12"/>
      <c r="LA96" s="12"/>
      <c r="LB96" s="12"/>
      <c r="LC96" s="12"/>
      <c r="LD96" s="12"/>
      <c r="LE96" s="12"/>
      <c r="LF96" s="12"/>
      <c r="LG96" s="12"/>
      <c r="LH96" s="12"/>
      <c r="LI96" s="12"/>
      <c r="LJ96" s="12"/>
      <c r="LK96" s="12"/>
      <c r="LL96" s="12"/>
      <c r="LM96" s="12"/>
      <c r="LN96" s="12"/>
      <c r="LO96" s="12"/>
      <c r="LP96" s="12"/>
      <c r="LQ96" s="12"/>
      <c r="LR96" s="12"/>
      <c r="LS96" s="12"/>
      <c r="LT96" s="12"/>
      <c r="LU96" s="12"/>
      <c r="LV96" s="12"/>
      <c r="LW96" s="12"/>
      <c r="LX96" s="12"/>
      <c r="LY96" s="12"/>
      <c r="LZ96" s="12"/>
      <c r="MA96" s="12"/>
      <c r="MB96" s="12"/>
      <c r="MC96" s="12"/>
      <c r="MD96" s="12"/>
      <c r="ME96" s="12"/>
      <c r="MF96" s="12"/>
      <c r="MG96" s="12"/>
      <c r="MH96" s="12"/>
      <c r="MI96" s="12"/>
      <c r="MJ96" s="12"/>
      <c r="MK96" s="12"/>
      <c r="ML96" s="12"/>
      <c r="MM96" s="12"/>
      <c r="MN96" s="12"/>
      <c r="MO96" s="12"/>
      <c r="MP96" s="12"/>
      <c r="MQ96" s="12"/>
      <c r="MR96" s="12"/>
      <c r="MS96" s="12"/>
      <c r="MT96" s="12"/>
      <c r="MU96" s="12"/>
      <c r="MV96" s="12"/>
      <c r="MW96" s="12"/>
      <c r="MX96" s="12"/>
      <c r="MY96" s="12"/>
      <c r="MZ96" s="12"/>
      <c r="NA96" s="12"/>
      <c r="NB96" s="12"/>
      <c r="NC96" s="12"/>
      <c r="ND96" s="12"/>
      <c r="NE96" s="12"/>
      <c r="NF96" s="12"/>
      <c r="NG96" s="12"/>
      <c r="NH96" s="12"/>
      <c r="NI96" s="12"/>
      <c r="NJ96" s="12"/>
      <c r="NK96" s="12"/>
      <c r="NL96" s="12"/>
      <c r="NM96" s="12"/>
      <c r="NN96" s="12"/>
      <c r="NO96" s="12"/>
      <c r="NP96" s="12"/>
      <c r="NQ96" s="12"/>
      <c r="NR96" s="12"/>
      <c r="NS96" s="12"/>
      <c r="NT96" s="12"/>
      <c r="NU96" s="12"/>
      <c r="NV96" s="12"/>
      <c r="NW96" s="12"/>
      <c r="NX96" s="12"/>
      <c r="NY96" s="12"/>
      <c r="NZ96" s="12"/>
      <c r="OA96" s="12"/>
      <c r="OB96" s="12"/>
      <c r="OC96" s="12"/>
      <c r="OD96" s="12"/>
      <c r="OE96" s="12"/>
      <c r="OF96" s="12"/>
      <c r="OG96" s="12"/>
      <c r="OH96" s="12"/>
      <c r="OI96" s="12"/>
      <c r="OJ96" s="12"/>
      <c r="OK96" s="12"/>
      <c r="OL96" s="12"/>
      <c r="OM96" s="12"/>
      <c r="ON96" s="12"/>
      <c r="OO96" s="12"/>
      <c r="OP96" s="12"/>
      <c r="OQ96" s="12"/>
      <c r="OR96" s="12"/>
      <c r="OS96" s="12"/>
      <c r="OT96" s="12"/>
      <c r="OU96" s="12"/>
      <c r="OV96" s="12"/>
      <c r="OW96" s="12"/>
      <c r="OX96" s="12"/>
      <c r="OY96" s="12"/>
      <c r="OZ96" s="12"/>
      <c r="PA96" s="12"/>
      <c r="PB96" s="12"/>
      <c r="PC96" s="12"/>
      <c r="PD96" s="12"/>
      <c r="PE96" s="12"/>
      <c r="PF96" s="12"/>
      <c r="PG96" s="12"/>
      <c r="PH96" s="12"/>
      <c r="PI96" s="12"/>
      <c r="PJ96" s="12"/>
      <c r="PK96" s="12"/>
      <c r="PL96" s="12"/>
      <c r="PM96" s="12"/>
      <c r="PN96" s="12"/>
      <c r="PO96" s="12"/>
      <c r="PP96" s="12"/>
      <c r="PQ96" s="12"/>
      <c r="PR96" s="12"/>
      <c r="PS96" s="12"/>
      <c r="PT96" s="12"/>
      <c r="PU96" s="12"/>
      <c r="PV96" s="12"/>
      <c r="PW96" s="12"/>
      <c r="PX96" s="12"/>
      <c r="PY96" s="12"/>
      <c r="PZ96" s="12"/>
      <c r="QA96" s="12"/>
      <c r="QB96" s="12"/>
      <c r="QC96" s="12"/>
      <c r="QD96" s="12"/>
      <c r="QE96" s="12"/>
      <c r="QF96" s="12"/>
      <c r="QG96" s="12"/>
      <c r="QH96" s="12"/>
      <c r="QI96" s="12"/>
      <c r="QJ96" s="12"/>
      <c r="QK96" s="12"/>
      <c r="QL96" s="12"/>
      <c r="QM96" s="12"/>
      <c r="QN96" s="12"/>
      <c r="QO96" s="12"/>
      <c r="QP96" s="12"/>
      <c r="QQ96" s="12"/>
      <c r="QR96" s="12"/>
      <c r="QS96" s="12"/>
      <c r="QT96" s="12"/>
      <c r="QU96" s="12"/>
      <c r="QV96" s="12"/>
      <c r="QW96" s="12"/>
      <c r="QX96" s="12"/>
      <c r="QY96" s="12"/>
      <c r="QZ96" s="12"/>
      <c r="RA96" s="12"/>
      <c r="RB96" s="12"/>
      <c r="RC96" s="12"/>
      <c r="RD96" s="12"/>
      <c r="RE96" s="12"/>
      <c r="RF96" s="12"/>
      <c r="RG96" s="12"/>
      <c r="RH96" s="12"/>
      <c r="RI96" s="12"/>
      <c r="RJ96" s="12"/>
      <c r="RK96" s="12"/>
      <c r="RL96" s="12"/>
      <c r="RM96" s="12"/>
      <c r="RN96" s="12"/>
      <c r="RO96" s="12"/>
      <c r="RP96" s="12"/>
      <c r="RQ96" s="12"/>
      <c r="RR96" s="12"/>
      <c r="RS96" s="12"/>
      <c r="RT96" s="12"/>
      <c r="RU96" s="12"/>
      <c r="RV96" s="12"/>
      <c r="RW96" s="12"/>
      <c r="RX96" s="12"/>
      <c r="RY96" s="12"/>
      <c r="RZ96" s="12"/>
      <c r="SA96" s="12"/>
      <c r="SB96" s="12"/>
      <c r="SC96" s="12"/>
      <c r="SD96" s="12"/>
      <c r="SE96" s="12"/>
      <c r="SF96" s="12"/>
      <c r="SG96" s="12"/>
      <c r="SH96" s="11"/>
      <c r="SI96" s="11"/>
      <c r="SJ96" s="11"/>
      <c r="SK96" s="11"/>
      <c r="SL96" s="11"/>
      <c r="SM96" s="11"/>
      <c r="SN96" s="11"/>
      <c r="SO96" s="11"/>
      <c r="SP96" s="11"/>
      <c r="SQ96" s="11"/>
      <c r="SR96" s="11"/>
      <c r="SS96" s="11"/>
      <c r="ST96" s="11"/>
      <c r="SU96" s="11"/>
      <c r="SV96" s="11"/>
      <c r="SW96" s="11"/>
      <c r="SX96" s="11"/>
      <c r="SY96" s="11"/>
      <c r="SZ96" s="11"/>
      <c r="TA96" s="11"/>
      <c r="TB96" s="11"/>
      <c r="TC96" s="11"/>
      <c r="TD96" s="11"/>
      <c r="TE96" s="11"/>
      <c r="TF96" s="11"/>
      <c r="TG96" s="11"/>
      <c r="TH96" s="11"/>
      <c r="TI96" s="11"/>
      <c r="TJ96" s="11"/>
      <c r="TK96" s="11"/>
      <c r="TL96" s="11"/>
    </row>
    <row r="97" spans="1:532" x14ac:dyDescent="0.2">
      <c r="A97" s="10" t="s">
        <v>96</v>
      </c>
      <c r="B97" s="12">
        <v>13.76</v>
      </c>
      <c r="C97" s="11">
        <v>0</v>
      </c>
      <c r="D97" s="11">
        <v>1.227580244738431</v>
      </c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12"/>
      <c r="IP97" s="12"/>
      <c r="IQ97" s="12"/>
      <c r="IR97" s="12"/>
      <c r="IS97" s="12"/>
      <c r="IT97" s="12"/>
      <c r="IU97" s="12"/>
      <c r="IV97" s="12"/>
      <c r="IW97" s="12"/>
      <c r="IX97" s="12"/>
      <c r="IY97" s="12"/>
      <c r="IZ97" s="12"/>
      <c r="JA97" s="12"/>
      <c r="JB97" s="12"/>
      <c r="JC97" s="12"/>
      <c r="JD97" s="12"/>
      <c r="JE97" s="12"/>
      <c r="JF97" s="12"/>
      <c r="JG97" s="12"/>
      <c r="JH97" s="12"/>
      <c r="JI97" s="12"/>
      <c r="JJ97" s="12"/>
      <c r="JK97" s="12"/>
      <c r="JL97" s="12"/>
      <c r="JM97" s="12"/>
      <c r="JN97" s="12"/>
      <c r="JO97" s="12"/>
      <c r="JP97" s="12"/>
      <c r="JQ97" s="12"/>
      <c r="JR97" s="12"/>
      <c r="JS97" s="12"/>
      <c r="JT97" s="12"/>
      <c r="JU97" s="12"/>
      <c r="JV97" s="12"/>
      <c r="JW97" s="12"/>
      <c r="JX97" s="12"/>
      <c r="JY97" s="12"/>
      <c r="JZ97" s="12"/>
      <c r="KA97" s="12"/>
      <c r="KB97" s="12"/>
      <c r="KC97" s="12"/>
      <c r="KD97" s="12"/>
      <c r="KE97" s="12"/>
      <c r="KF97" s="12"/>
      <c r="KG97" s="12"/>
      <c r="KH97" s="12"/>
      <c r="KI97" s="12"/>
      <c r="KJ97" s="12"/>
      <c r="KK97" s="12"/>
      <c r="KL97" s="12"/>
      <c r="KM97" s="12"/>
      <c r="KN97" s="12"/>
      <c r="KO97" s="12"/>
      <c r="KP97" s="12"/>
      <c r="KQ97" s="12"/>
      <c r="KR97" s="12"/>
      <c r="KS97" s="12"/>
      <c r="KT97" s="12"/>
      <c r="KU97" s="12"/>
      <c r="KV97" s="12"/>
      <c r="KW97" s="12"/>
      <c r="KX97" s="12"/>
      <c r="KY97" s="12"/>
      <c r="KZ97" s="12"/>
      <c r="LA97" s="12"/>
      <c r="LB97" s="12"/>
      <c r="LC97" s="12"/>
      <c r="LD97" s="12"/>
      <c r="LE97" s="12"/>
      <c r="LF97" s="12"/>
      <c r="LG97" s="12"/>
      <c r="LH97" s="12"/>
      <c r="LI97" s="12"/>
      <c r="LJ97" s="12"/>
      <c r="LK97" s="12"/>
      <c r="LL97" s="12"/>
      <c r="LM97" s="12"/>
      <c r="LN97" s="12"/>
      <c r="LO97" s="12"/>
      <c r="LP97" s="12"/>
      <c r="LQ97" s="12"/>
      <c r="LR97" s="12"/>
      <c r="LS97" s="12"/>
      <c r="LT97" s="12"/>
      <c r="LU97" s="12"/>
      <c r="LV97" s="12"/>
      <c r="LW97" s="12"/>
      <c r="LX97" s="12"/>
      <c r="LY97" s="12"/>
      <c r="LZ97" s="12"/>
      <c r="MA97" s="12"/>
      <c r="MB97" s="12"/>
      <c r="MC97" s="12"/>
      <c r="MD97" s="12"/>
      <c r="ME97" s="12"/>
      <c r="MF97" s="12"/>
      <c r="MG97" s="12"/>
      <c r="MH97" s="12"/>
      <c r="MI97" s="12"/>
      <c r="MJ97" s="12"/>
      <c r="MK97" s="12"/>
      <c r="ML97" s="12"/>
      <c r="MM97" s="12"/>
      <c r="MN97" s="12"/>
      <c r="MO97" s="12"/>
      <c r="MP97" s="12"/>
      <c r="MQ97" s="12"/>
      <c r="MR97" s="12"/>
      <c r="MS97" s="12"/>
      <c r="MT97" s="12"/>
      <c r="MU97" s="12"/>
      <c r="MV97" s="12"/>
      <c r="MW97" s="12"/>
      <c r="MX97" s="12"/>
      <c r="MY97" s="12"/>
      <c r="MZ97" s="12"/>
      <c r="NA97" s="12"/>
      <c r="NB97" s="12"/>
      <c r="NC97" s="12"/>
      <c r="ND97" s="12"/>
      <c r="NE97" s="12"/>
      <c r="NF97" s="12"/>
      <c r="NG97" s="12"/>
      <c r="NH97" s="12"/>
      <c r="NI97" s="12"/>
      <c r="NJ97" s="12"/>
      <c r="NK97" s="12"/>
      <c r="NL97" s="12"/>
      <c r="NM97" s="12"/>
      <c r="NN97" s="12"/>
      <c r="NO97" s="12"/>
      <c r="NP97" s="12"/>
      <c r="NQ97" s="12"/>
      <c r="NR97" s="12"/>
      <c r="NS97" s="12"/>
      <c r="NT97" s="12"/>
      <c r="NU97" s="12"/>
      <c r="NV97" s="12"/>
      <c r="NW97" s="12"/>
      <c r="NX97" s="12"/>
      <c r="NY97" s="12"/>
      <c r="NZ97" s="12"/>
      <c r="OA97" s="12"/>
      <c r="OB97" s="12"/>
      <c r="OC97" s="12"/>
      <c r="OD97" s="12"/>
      <c r="OE97" s="12"/>
      <c r="OF97" s="12"/>
      <c r="OG97" s="12"/>
      <c r="OH97" s="12"/>
      <c r="OI97" s="12"/>
      <c r="OJ97" s="12"/>
      <c r="OK97" s="12"/>
      <c r="OL97" s="12"/>
      <c r="OM97" s="12"/>
      <c r="ON97" s="12"/>
      <c r="OO97" s="12"/>
      <c r="OP97" s="12"/>
      <c r="OQ97" s="12"/>
      <c r="OR97" s="12"/>
      <c r="OS97" s="12"/>
      <c r="OT97" s="12"/>
      <c r="OU97" s="12"/>
      <c r="OV97" s="12"/>
      <c r="OW97" s="12"/>
      <c r="OX97" s="12"/>
      <c r="OY97" s="12"/>
      <c r="OZ97" s="12"/>
      <c r="PA97" s="12"/>
      <c r="PB97" s="12"/>
      <c r="PC97" s="12"/>
      <c r="PD97" s="12"/>
      <c r="PE97" s="12"/>
      <c r="PF97" s="12"/>
      <c r="PG97" s="12"/>
      <c r="PH97" s="12"/>
      <c r="PI97" s="12"/>
      <c r="PJ97" s="12"/>
      <c r="PK97" s="12"/>
      <c r="PL97" s="12"/>
      <c r="PM97" s="12"/>
      <c r="PN97" s="12"/>
      <c r="PO97" s="12"/>
      <c r="PP97" s="12"/>
      <c r="PQ97" s="12"/>
      <c r="PR97" s="12"/>
      <c r="PS97" s="12"/>
      <c r="PT97" s="12"/>
      <c r="PU97" s="12"/>
      <c r="PV97" s="12"/>
      <c r="PW97" s="12"/>
      <c r="PX97" s="12"/>
      <c r="PY97" s="12"/>
      <c r="PZ97" s="12"/>
      <c r="QA97" s="12"/>
      <c r="QB97" s="12"/>
      <c r="QC97" s="12"/>
      <c r="QD97" s="12"/>
      <c r="QE97" s="12"/>
      <c r="QF97" s="12"/>
      <c r="QG97" s="12"/>
      <c r="QH97" s="12"/>
      <c r="QI97" s="12"/>
      <c r="QJ97" s="12"/>
      <c r="QK97" s="12"/>
      <c r="QL97" s="12"/>
      <c r="QM97" s="12"/>
      <c r="QN97" s="12"/>
      <c r="QO97" s="12"/>
      <c r="QP97" s="12"/>
      <c r="QQ97" s="12"/>
      <c r="QR97" s="12"/>
      <c r="QS97" s="12"/>
      <c r="QT97" s="12"/>
      <c r="QU97" s="12"/>
      <c r="QV97" s="12"/>
      <c r="QW97" s="12"/>
      <c r="QX97" s="12"/>
      <c r="QY97" s="12"/>
      <c r="QZ97" s="12"/>
      <c r="RA97" s="12"/>
      <c r="RB97" s="12"/>
      <c r="RC97" s="12"/>
      <c r="RD97" s="12"/>
      <c r="RE97" s="12"/>
      <c r="RF97" s="12"/>
      <c r="RG97" s="12"/>
      <c r="RH97" s="12"/>
      <c r="RI97" s="12"/>
      <c r="RJ97" s="12"/>
      <c r="RK97" s="12"/>
      <c r="RL97" s="12"/>
      <c r="RM97" s="12"/>
      <c r="RN97" s="12"/>
      <c r="RO97" s="12"/>
      <c r="RP97" s="12"/>
      <c r="RQ97" s="12"/>
      <c r="RR97" s="12"/>
      <c r="RS97" s="12"/>
      <c r="RT97" s="12"/>
      <c r="RU97" s="12"/>
      <c r="RV97" s="12"/>
      <c r="RW97" s="12"/>
      <c r="RX97" s="12"/>
      <c r="RY97" s="12"/>
      <c r="RZ97" s="12"/>
      <c r="SA97" s="12"/>
      <c r="SB97" s="12"/>
      <c r="SC97" s="12"/>
      <c r="SD97" s="12"/>
      <c r="SE97" s="12"/>
      <c r="SF97" s="12"/>
      <c r="SG97" s="12"/>
      <c r="SH97" s="11"/>
      <c r="SI97" s="11"/>
      <c r="SJ97" s="11"/>
      <c r="SK97" s="11"/>
      <c r="SL97" s="11"/>
      <c r="SM97" s="11"/>
      <c r="SN97" s="11"/>
      <c r="SO97" s="11"/>
      <c r="SP97" s="11"/>
      <c r="SQ97" s="11"/>
      <c r="SR97" s="11"/>
      <c r="SS97" s="11"/>
      <c r="ST97" s="11"/>
      <c r="SU97" s="11"/>
      <c r="SV97" s="11"/>
      <c r="SW97" s="11"/>
      <c r="SX97" s="11"/>
      <c r="SY97" s="11"/>
      <c r="SZ97" s="11"/>
      <c r="TA97" s="11"/>
      <c r="TB97" s="11"/>
      <c r="TC97" s="11"/>
      <c r="TD97" s="11"/>
      <c r="TE97" s="11"/>
      <c r="TF97" s="11"/>
      <c r="TG97" s="11"/>
      <c r="TH97" s="11"/>
      <c r="TI97" s="11"/>
      <c r="TJ97" s="11"/>
      <c r="TK97" s="11"/>
      <c r="TL97" s="11"/>
    </row>
    <row r="98" spans="1:532" x14ac:dyDescent="0.2">
      <c r="A98" s="10" t="s">
        <v>97</v>
      </c>
      <c r="B98" s="12">
        <v>15.49</v>
      </c>
      <c r="C98" s="11">
        <v>0.48509219348534771</v>
      </c>
      <c r="D98" s="11">
        <v>0</v>
      </c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12"/>
      <c r="IP98" s="12"/>
      <c r="IQ98" s="12"/>
      <c r="IR98" s="12"/>
      <c r="IS98" s="12"/>
      <c r="IT98" s="12"/>
      <c r="IU98" s="12"/>
      <c r="IV98" s="12"/>
      <c r="IW98" s="12"/>
      <c r="IX98" s="12"/>
      <c r="IY98" s="12"/>
      <c r="IZ98" s="12"/>
      <c r="JA98" s="12"/>
      <c r="JB98" s="12"/>
      <c r="JC98" s="12"/>
      <c r="JD98" s="12"/>
      <c r="JE98" s="12"/>
      <c r="JF98" s="12"/>
      <c r="JG98" s="12"/>
      <c r="JH98" s="12"/>
      <c r="JI98" s="12"/>
      <c r="JJ98" s="12"/>
      <c r="JK98" s="12"/>
      <c r="JL98" s="12"/>
      <c r="JM98" s="12"/>
      <c r="JN98" s="12"/>
      <c r="JO98" s="12"/>
      <c r="JP98" s="12"/>
      <c r="JQ98" s="12"/>
      <c r="JR98" s="12"/>
      <c r="JS98" s="12"/>
      <c r="JT98" s="12"/>
      <c r="JU98" s="12"/>
      <c r="JV98" s="12"/>
      <c r="JW98" s="12"/>
      <c r="JX98" s="12"/>
      <c r="JY98" s="12"/>
      <c r="JZ98" s="12"/>
      <c r="KA98" s="12"/>
      <c r="KB98" s="12"/>
      <c r="KC98" s="12"/>
      <c r="KD98" s="12"/>
      <c r="KE98" s="12"/>
      <c r="KF98" s="12"/>
      <c r="KG98" s="12"/>
      <c r="KH98" s="12"/>
      <c r="KI98" s="12"/>
      <c r="KJ98" s="12"/>
      <c r="KK98" s="12"/>
      <c r="KL98" s="12"/>
      <c r="KM98" s="12"/>
      <c r="KN98" s="12"/>
      <c r="KO98" s="12"/>
      <c r="KP98" s="12"/>
      <c r="KQ98" s="12"/>
      <c r="KR98" s="12"/>
      <c r="KS98" s="12"/>
      <c r="KT98" s="12"/>
      <c r="KU98" s="12"/>
      <c r="KV98" s="12"/>
      <c r="KW98" s="12"/>
      <c r="KX98" s="12"/>
      <c r="KY98" s="12"/>
      <c r="KZ98" s="12"/>
      <c r="LA98" s="12"/>
      <c r="LB98" s="12"/>
      <c r="LC98" s="12"/>
      <c r="LD98" s="12"/>
      <c r="LE98" s="12"/>
      <c r="LF98" s="12"/>
      <c r="LG98" s="12"/>
      <c r="LH98" s="12"/>
      <c r="LI98" s="12"/>
      <c r="LJ98" s="12"/>
      <c r="LK98" s="12"/>
      <c r="LL98" s="12"/>
      <c r="LM98" s="12"/>
      <c r="LN98" s="12"/>
      <c r="LO98" s="12"/>
      <c r="LP98" s="12"/>
      <c r="LQ98" s="12"/>
      <c r="LR98" s="12"/>
      <c r="LS98" s="12"/>
      <c r="LT98" s="12"/>
      <c r="LU98" s="12"/>
      <c r="LV98" s="12"/>
      <c r="LW98" s="12"/>
      <c r="LX98" s="12"/>
      <c r="LY98" s="12"/>
      <c r="LZ98" s="12"/>
      <c r="MA98" s="12"/>
      <c r="MB98" s="12"/>
      <c r="MC98" s="12"/>
      <c r="MD98" s="12"/>
      <c r="ME98" s="12"/>
      <c r="MF98" s="12"/>
      <c r="MG98" s="12"/>
      <c r="MH98" s="12"/>
      <c r="MI98" s="12"/>
      <c r="MJ98" s="12"/>
      <c r="MK98" s="12"/>
      <c r="ML98" s="12"/>
      <c r="MM98" s="12"/>
      <c r="MN98" s="12"/>
      <c r="MO98" s="12"/>
      <c r="MP98" s="12"/>
      <c r="MQ98" s="12"/>
      <c r="MR98" s="12"/>
      <c r="MS98" s="12"/>
      <c r="MT98" s="12"/>
      <c r="MU98" s="12"/>
      <c r="MV98" s="12"/>
      <c r="MW98" s="12"/>
      <c r="MX98" s="12"/>
      <c r="MY98" s="12"/>
      <c r="MZ98" s="12"/>
      <c r="NA98" s="12"/>
      <c r="NB98" s="12"/>
      <c r="NC98" s="12"/>
      <c r="ND98" s="12"/>
      <c r="NE98" s="12"/>
      <c r="NF98" s="12"/>
      <c r="NG98" s="12"/>
      <c r="NH98" s="12"/>
      <c r="NI98" s="12"/>
      <c r="NJ98" s="12"/>
      <c r="NK98" s="12"/>
      <c r="NL98" s="12"/>
      <c r="NM98" s="12"/>
      <c r="NN98" s="12"/>
      <c r="NO98" s="12"/>
      <c r="NP98" s="12"/>
      <c r="NQ98" s="12"/>
      <c r="NR98" s="12"/>
      <c r="NS98" s="12"/>
      <c r="NT98" s="12"/>
      <c r="NU98" s="12"/>
      <c r="NV98" s="12"/>
      <c r="NW98" s="12"/>
      <c r="NX98" s="12"/>
      <c r="NY98" s="12"/>
      <c r="NZ98" s="12"/>
      <c r="OA98" s="12"/>
      <c r="OB98" s="12"/>
      <c r="OC98" s="12"/>
      <c r="OD98" s="12"/>
      <c r="OE98" s="12"/>
      <c r="OF98" s="12"/>
      <c r="OG98" s="12"/>
      <c r="OH98" s="12"/>
      <c r="OI98" s="12"/>
      <c r="OJ98" s="12"/>
      <c r="OK98" s="12"/>
      <c r="OL98" s="12"/>
      <c r="OM98" s="12"/>
      <c r="ON98" s="12"/>
      <c r="OO98" s="12"/>
      <c r="OP98" s="12"/>
      <c r="OQ98" s="12"/>
      <c r="OR98" s="12"/>
      <c r="OS98" s="12"/>
      <c r="OT98" s="12"/>
      <c r="OU98" s="12"/>
      <c r="OV98" s="12"/>
      <c r="OW98" s="12"/>
      <c r="OX98" s="12"/>
      <c r="OY98" s="12"/>
      <c r="OZ98" s="12"/>
      <c r="PA98" s="12"/>
      <c r="PB98" s="12"/>
      <c r="PC98" s="12"/>
      <c r="PD98" s="12"/>
      <c r="PE98" s="12"/>
      <c r="PF98" s="12"/>
      <c r="PG98" s="12"/>
      <c r="PH98" s="12"/>
      <c r="PI98" s="12"/>
      <c r="PJ98" s="12"/>
      <c r="PK98" s="12"/>
      <c r="PL98" s="12"/>
      <c r="PM98" s="12"/>
      <c r="PN98" s="12"/>
      <c r="PO98" s="12"/>
      <c r="PP98" s="12"/>
      <c r="PQ98" s="12"/>
      <c r="PR98" s="12"/>
      <c r="PS98" s="12"/>
      <c r="PT98" s="12"/>
      <c r="PU98" s="12"/>
      <c r="PV98" s="12"/>
      <c r="PW98" s="12"/>
      <c r="PX98" s="12"/>
      <c r="PY98" s="12"/>
      <c r="PZ98" s="12"/>
      <c r="QA98" s="12"/>
      <c r="QB98" s="12"/>
      <c r="QC98" s="12"/>
      <c r="QD98" s="12"/>
      <c r="QE98" s="12"/>
      <c r="QF98" s="12"/>
      <c r="QG98" s="12"/>
      <c r="QH98" s="12"/>
      <c r="QI98" s="12"/>
      <c r="QJ98" s="12"/>
      <c r="QK98" s="12"/>
      <c r="QL98" s="12"/>
      <c r="QM98" s="12"/>
      <c r="QN98" s="12"/>
      <c r="QO98" s="12"/>
      <c r="QP98" s="12"/>
      <c r="QQ98" s="12"/>
      <c r="QR98" s="12"/>
      <c r="QS98" s="12"/>
      <c r="QT98" s="12"/>
      <c r="QU98" s="12"/>
      <c r="QV98" s="12"/>
      <c r="QW98" s="12"/>
      <c r="QX98" s="12"/>
      <c r="QY98" s="12"/>
      <c r="QZ98" s="12"/>
      <c r="RA98" s="12"/>
      <c r="RB98" s="12"/>
      <c r="RC98" s="12"/>
      <c r="RD98" s="12"/>
      <c r="RE98" s="12"/>
      <c r="RF98" s="12"/>
      <c r="RG98" s="12"/>
      <c r="RH98" s="12"/>
      <c r="RI98" s="12"/>
      <c r="RJ98" s="12"/>
      <c r="RK98" s="12"/>
      <c r="RL98" s="12"/>
      <c r="RM98" s="12"/>
      <c r="RN98" s="12"/>
      <c r="RO98" s="12"/>
      <c r="RP98" s="12"/>
      <c r="RQ98" s="12"/>
      <c r="RR98" s="12"/>
      <c r="RS98" s="12"/>
      <c r="RT98" s="12"/>
      <c r="RU98" s="12"/>
      <c r="RV98" s="12"/>
      <c r="RW98" s="12"/>
      <c r="RX98" s="12"/>
      <c r="RY98" s="12"/>
      <c r="RZ98" s="12"/>
      <c r="SA98" s="12"/>
      <c r="SB98" s="12"/>
      <c r="SC98" s="12"/>
      <c r="SD98" s="12"/>
      <c r="SE98" s="12"/>
      <c r="SF98" s="12"/>
      <c r="SG98" s="12"/>
      <c r="SH98" s="11"/>
      <c r="SI98" s="11"/>
      <c r="SJ98" s="11"/>
      <c r="SK98" s="11"/>
      <c r="SL98" s="11"/>
      <c r="SM98" s="11"/>
      <c r="SN98" s="11"/>
      <c r="SO98" s="11"/>
      <c r="SP98" s="11"/>
      <c r="SQ98" s="11"/>
      <c r="SR98" s="11"/>
      <c r="SS98" s="11"/>
      <c r="ST98" s="11"/>
      <c r="SU98" s="11"/>
      <c r="SV98" s="11"/>
      <c r="SW98" s="11"/>
      <c r="SX98" s="11"/>
      <c r="SY98" s="11"/>
      <c r="SZ98" s="11"/>
      <c r="TA98" s="11"/>
      <c r="TB98" s="11"/>
      <c r="TC98" s="11"/>
      <c r="TD98" s="11"/>
      <c r="TE98" s="11"/>
      <c r="TF98" s="11"/>
      <c r="TG98" s="11"/>
      <c r="TH98" s="11"/>
      <c r="TI98" s="11"/>
      <c r="TJ98" s="11"/>
      <c r="TK98" s="11"/>
      <c r="TL98" s="11"/>
    </row>
    <row r="99" spans="1:532" x14ac:dyDescent="0.2">
      <c r="A99" s="10" t="s">
        <v>98</v>
      </c>
      <c r="B99" s="12">
        <v>14.87</v>
      </c>
      <c r="C99" s="11">
        <v>0</v>
      </c>
      <c r="D99" s="11">
        <v>0.12869792888386777</v>
      </c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12"/>
      <c r="IP99" s="12"/>
      <c r="IQ99" s="12"/>
      <c r="IR99" s="12"/>
      <c r="IS99" s="12"/>
      <c r="IT99" s="12"/>
      <c r="IU99" s="12"/>
      <c r="IV99" s="12"/>
      <c r="IW99" s="12"/>
      <c r="IX99" s="12"/>
      <c r="IY99" s="12"/>
      <c r="IZ99" s="12"/>
      <c r="JA99" s="12"/>
      <c r="JB99" s="12"/>
      <c r="JC99" s="12"/>
      <c r="JD99" s="12"/>
      <c r="JE99" s="12"/>
      <c r="JF99" s="12"/>
      <c r="JG99" s="12"/>
      <c r="JH99" s="12"/>
      <c r="JI99" s="12"/>
      <c r="JJ99" s="12"/>
      <c r="JK99" s="12"/>
      <c r="JL99" s="12"/>
      <c r="JM99" s="12"/>
      <c r="JN99" s="12"/>
      <c r="JO99" s="12"/>
      <c r="JP99" s="12"/>
      <c r="JQ99" s="12"/>
      <c r="JR99" s="12"/>
      <c r="JS99" s="12"/>
      <c r="JT99" s="12"/>
      <c r="JU99" s="12"/>
      <c r="JV99" s="12"/>
      <c r="JW99" s="12"/>
      <c r="JX99" s="12"/>
      <c r="JY99" s="12"/>
      <c r="JZ99" s="12"/>
      <c r="KA99" s="12"/>
      <c r="KB99" s="12"/>
      <c r="KC99" s="12"/>
      <c r="KD99" s="12"/>
      <c r="KE99" s="12"/>
      <c r="KF99" s="12"/>
      <c r="KG99" s="12"/>
      <c r="KH99" s="12"/>
      <c r="KI99" s="12"/>
      <c r="KJ99" s="12"/>
      <c r="KK99" s="12"/>
      <c r="KL99" s="12"/>
      <c r="KM99" s="12"/>
      <c r="KN99" s="12"/>
      <c r="KO99" s="12"/>
      <c r="KP99" s="12"/>
      <c r="KQ99" s="12"/>
      <c r="KR99" s="12"/>
      <c r="KS99" s="12"/>
      <c r="KT99" s="12"/>
      <c r="KU99" s="12"/>
      <c r="KV99" s="12"/>
      <c r="KW99" s="12"/>
      <c r="KX99" s="12"/>
      <c r="KY99" s="12"/>
      <c r="KZ99" s="12"/>
      <c r="LA99" s="12"/>
      <c r="LB99" s="12"/>
      <c r="LC99" s="12"/>
      <c r="LD99" s="12"/>
      <c r="LE99" s="12"/>
      <c r="LF99" s="12"/>
      <c r="LG99" s="12"/>
      <c r="LH99" s="12"/>
      <c r="LI99" s="12"/>
      <c r="LJ99" s="12"/>
      <c r="LK99" s="12"/>
      <c r="LL99" s="12"/>
      <c r="LM99" s="12"/>
      <c r="LN99" s="12"/>
      <c r="LO99" s="12"/>
      <c r="LP99" s="12"/>
      <c r="LQ99" s="12"/>
      <c r="LR99" s="12"/>
      <c r="LS99" s="12"/>
      <c r="LT99" s="12"/>
      <c r="LU99" s="12"/>
      <c r="LV99" s="12"/>
      <c r="LW99" s="12"/>
      <c r="LX99" s="12"/>
      <c r="LY99" s="12"/>
      <c r="LZ99" s="12"/>
      <c r="MA99" s="12"/>
      <c r="MB99" s="12"/>
      <c r="MC99" s="12"/>
      <c r="MD99" s="12"/>
      <c r="ME99" s="12"/>
      <c r="MF99" s="12"/>
      <c r="MG99" s="12"/>
      <c r="MH99" s="12"/>
      <c r="MI99" s="12"/>
      <c r="MJ99" s="12"/>
      <c r="MK99" s="12"/>
      <c r="ML99" s="12"/>
      <c r="MM99" s="12"/>
      <c r="MN99" s="12"/>
      <c r="MO99" s="12"/>
      <c r="MP99" s="12"/>
      <c r="MQ99" s="12"/>
      <c r="MR99" s="12"/>
      <c r="MS99" s="12"/>
      <c r="MT99" s="12"/>
      <c r="MU99" s="12"/>
      <c r="MV99" s="12"/>
      <c r="MW99" s="12"/>
      <c r="MX99" s="12"/>
      <c r="MY99" s="12"/>
      <c r="MZ99" s="12"/>
      <c r="NA99" s="12"/>
      <c r="NB99" s="12"/>
      <c r="NC99" s="12"/>
      <c r="ND99" s="12"/>
      <c r="NE99" s="12"/>
      <c r="NF99" s="12"/>
      <c r="NG99" s="12"/>
      <c r="NH99" s="12"/>
      <c r="NI99" s="12"/>
      <c r="NJ99" s="12"/>
      <c r="NK99" s="12"/>
      <c r="NL99" s="12"/>
      <c r="NM99" s="12"/>
      <c r="NN99" s="12"/>
      <c r="NO99" s="12"/>
      <c r="NP99" s="12"/>
      <c r="NQ99" s="12"/>
      <c r="NR99" s="12"/>
      <c r="NS99" s="12"/>
      <c r="NT99" s="12"/>
      <c r="NU99" s="12"/>
      <c r="NV99" s="12"/>
      <c r="NW99" s="12"/>
      <c r="NX99" s="12"/>
      <c r="NY99" s="12"/>
      <c r="NZ99" s="12"/>
      <c r="OA99" s="12"/>
      <c r="OB99" s="12"/>
      <c r="OC99" s="12"/>
      <c r="OD99" s="12"/>
      <c r="OE99" s="12"/>
      <c r="OF99" s="12"/>
      <c r="OG99" s="12"/>
      <c r="OH99" s="12"/>
      <c r="OI99" s="12"/>
      <c r="OJ99" s="12"/>
      <c r="OK99" s="12"/>
      <c r="OL99" s="12"/>
      <c r="OM99" s="12"/>
      <c r="ON99" s="12"/>
      <c r="OO99" s="12"/>
      <c r="OP99" s="12"/>
      <c r="OQ99" s="12"/>
      <c r="OR99" s="12"/>
      <c r="OS99" s="12"/>
      <c r="OT99" s="12"/>
      <c r="OU99" s="12"/>
      <c r="OV99" s="12"/>
      <c r="OW99" s="12"/>
      <c r="OX99" s="12"/>
      <c r="OY99" s="12"/>
      <c r="OZ99" s="12"/>
      <c r="PA99" s="12"/>
      <c r="PB99" s="12"/>
      <c r="PC99" s="12"/>
      <c r="PD99" s="12"/>
      <c r="PE99" s="12"/>
      <c r="PF99" s="12"/>
      <c r="PG99" s="12"/>
      <c r="PH99" s="12"/>
      <c r="PI99" s="12"/>
      <c r="PJ99" s="12"/>
      <c r="PK99" s="12"/>
      <c r="PL99" s="12"/>
      <c r="PM99" s="12"/>
      <c r="PN99" s="12"/>
      <c r="PO99" s="12"/>
      <c r="PP99" s="12"/>
      <c r="PQ99" s="12"/>
      <c r="PR99" s="12"/>
      <c r="PS99" s="12"/>
      <c r="PT99" s="12"/>
      <c r="PU99" s="12"/>
      <c r="PV99" s="12"/>
      <c r="PW99" s="12"/>
      <c r="PX99" s="12"/>
      <c r="PY99" s="12"/>
      <c r="PZ99" s="12"/>
      <c r="QA99" s="12"/>
      <c r="QB99" s="12"/>
      <c r="QC99" s="12"/>
      <c r="QD99" s="12"/>
      <c r="QE99" s="12"/>
      <c r="QF99" s="12"/>
      <c r="QG99" s="12"/>
      <c r="QH99" s="12"/>
      <c r="QI99" s="12"/>
      <c r="QJ99" s="12"/>
      <c r="QK99" s="12"/>
      <c r="QL99" s="12"/>
      <c r="QM99" s="12"/>
      <c r="QN99" s="12"/>
      <c r="QO99" s="12"/>
      <c r="QP99" s="12"/>
      <c r="QQ99" s="12"/>
      <c r="QR99" s="12"/>
      <c r="QS99" s="12"/>
      <c r="QT99" s="12"/>
      <c r="QU99" s="12"/>
      <c r="QV99" s="12"/>
      <c r="QW99" s="12"/>
      <c r="QX99" s="12"/>
      <c r="QY99" s="12"/>
      <c r="QZ99" s="12"/>
      <c r="RA99" s="12"/>
      <c r="RB99" s="12"/>
      <c r="RC99" s="12"/>
      <c r="RD99" s="12"/>
      <c r="RE99" s="12"/>
      <c r="RF99" s="12"/>
      <c r="RG99" s="12"/>
      <c r="RH99" s="12"/>
      <c r="RI99" s="12"/>
      <c r="RJ99" s="12"/>
      <c r="RK99" s="12"/>
      <c r="RL99" s="12"/>
      <c r="RM99" s="12"/>
      <c r="RN99" s="12"/>
      <c r="RO99" s="12"/>
      <c r="RP99" s="12"/>
      <c r="RQ99" s="12"/>
      <c r="RR99" s="12"/>
      <c r="RS99" s="12"/>
      <c r="RT99" s="12"/>
      <c r="RU99" s="12"/>
      <c r="RV99" s="12"/>
      <c r="RW99" s="12"/>
      <c r="RX99" s="12"/>
      <c r="RY99" s="12"/>
      <c r="RZ99" s="12"/>
      <c r="SA99" s="12"/>
      <c r="SB99" s="12"/>
      <c r="SC99" s="12"/>
      <c r="SD99" s="12"/>
      <c r="SE99" s="12"/>
      <c r="SF99" s="12"/>
      <c r="SG99" s="12"/>
      <c r="SH99" s="11"/>
      <c r="SI99" s="11"/>
      <c r="SJ99" s="11"/>
      <c r="SK99" s="11"/>
      <c r="SL99" s="11"/>
      <c r="SM99" s="11"/>
      <c r="SN99" s="11"/>
      <c r="SO99" s="11"/>
      <c r="SP99" s="11"/>
      <c r="SQ99" s="11"/>
      <c r="SR99" s="11"/>
      <c r="SS99" s="11"/>
      <c r="ST99" s="11"/>
      <c r="SU99" s="11"/>
      <c r="SV99" s="11"/>
      <c r="SW99" s="11"/>
      <c r="SX99" s="11"/>
      <c r="SY99" s="11"/>
      <c r="SZ99" s="11"/>
      <c r="TA99" s="11"/>
      <c r="TB99" s="11"/>
      <c r="TC99" s="11"/>
      <c r="TD99" s="11"/>
      <c r="TE99" s="11"/>
      <c r="TF99" s="11"/>
      <c r="TG99" s="11"/>
      <c r="TH99" s="11"/>
      <c r="TI99" s="11"/>
      <c r="TJ99" s="11"/>
      <c r="TK99" s="11"/>
      <c r="TL99" s="11"/>
    </row>
    <row r="100" spans="1:532" x14ac:dyDescent="0.2">
      <c r="A100" s="10" t="s">
        <v>99</v>
      </c>
      <c r="B100" s="12">
        <v>13.98</v>
      </c>
      <c r="C100" s="11">
        <v>0</v>
      </c>
      <c r="D100" s="11">
        <v>1.0097837497041933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/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/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/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/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/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/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/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2"/>
      <c r="LU100" s="12"/>
      <c r="LV100" s="12"/>
      <c r="LW100" s="12"/>
      <c r="LX100" s="12"/>
      <c r="LY100" s="12"/>
      <c r="LZ100" s="12"/>
      <c r="MA100" s="12"/>
      <c r="MB100" s="12"/>
      <c r="MC100" s="12"/>
      <c r="MD100" s="12"/>
      <c r="ME100" s="12"/>
      <c r="MF100" s="12"/>
      <c r="MG100" s="12"/>
      <c r="MH100" s="12"/>
      <c r="MI100" s="12"/>
      <c r="MJ100" s="12"/>
      <c r="MK100" s="12"/>
      <c r="ML100" s="12"/>
      <c r="MM100" s="12"/>
      <c r="MN100" s="12"/>
      <c r="MO100" s="12"/>
      <c r="MP100" s="12"/>
      <c r="MQ100" s="12"/>
      <c r="MR100" s="12"/>
      <c r="MS100" s="12"/>
      <c r="MT100" s="12"/>
      <c r="MU100" s="12"/>
      <c r="MV100" s="12"/>
      <c r="MW100" s="12"/>
      <c r="MX100" s="12"/>
      <c r="MY100" s="12"/>
      <c r="MZ100" s="12"/>
      <c r="NA100" s="12"/>
      <c r="NB100" s="12"/>
      <c r="NC100" s="12"/>
      <c r="ND100" s="12"/>
      <c r="NE100" s="12"/>
      <c r="NF100" s="12"/>
      <c r="NG100" s="12"/>
      <c r="NH100" s="12"/>
      <c r="NI100" s="12"/>
      <c r="NJ100" s="12"/>
      <c r="NK100" s="12"/>
      <c r="NL100" s="12"/>
      <c r="NM100" s="12"/>
      <c r="NN100" s="12"/>
      <c r="NO100" s="12"/>
      <c r="NP100" s="12"/>
      <c r="NQ100" s="12"/>
      <c r="NR100" s="12"/>
      <c r="NS100" s="12"/>
      <c r="NT100" s="12"/>
      <c r="NU100" s="12"/>
      <c r="NV100" s="12"/>
      <c r="NW100" s="12"/>
      <c r="NX100" s="12"/>
      <c r="NY100" s="12"/>
      <c r="NZ100" s="12"/>
      <c r="OA100" s="12"/>
      <c r="OB100" s="12"/>
      <c r="OC100" s="12"/>
      <c r="OD100" s="12"/>
      <c r="OE100" s="12"/>
      <c r="OF100" s="12"/>
      <c r="OG100" s="12"/>
      <c r="OH100" s="12"/>
      <c r="OI100" s="12"/>
      <c r="OJ100" s="12"/>
      <c r="OK100" s="12"/>
      <c r="OL100" s="12"/>
      <c r="OM100" s="12"/>
      <c r="ON100" s="12"/>
      <c r="OO100" s="12"/>
      <c r="OP100" s="12"/>
      <c r="OQ100" s="12"/>
      <c r="OR100" s="12"/>
      <c r="OS100" s="12"/>
      <c r="OT100" s="12"/>
      <c r="OU100" s="12"/>
      <c r="OV100" s="12"/>
      <c r="OW100" s="12"/>
      <c r="OX100" s="12"/>
      <c r="OY100" s="12"/>
      <c r="OZ100" s="12"/>
      <c r="PA100" s="12"/>
      <c r="PB100" s="12"/>
      <c r="PC100" s="12"/>
      <c r="PD100" s="12"/>
      <c r="PE100" s="12"/>
      <c r="PF100" s="12"/>
      <c r="PG100" s="12"/>
      <c r="PH100" s="12"/>
      <c r="PI100" s="12"/>
      <c r="PJ100" s="12"/>
      <c r="PK100" s="12"/>
      <c r="PL100" s="12"/>
      <c r="PM100" s="12"/>
      <c r="PN100" s="12"/>
      <c r="PO100" s="12"/>
      <c r="PP100" s="12"/>
      <c r="PQ100" s="12"/>
      <c r="PR100" s="12"/>
      <c r="PS100" s="12"/>
      <c r="PT100" s="12"/>
      <c r="PU100" s="12"/>
      <c r="PV100" s="12"/>
      <c r="PW100" s="12"/>
      <c r="PX100" s="12"/>
      <c r="PY100" s="12"/>
      <c r="PZ100" s="12"/>
      <c r="QA100" s="12"/>
      <c r="QB100" s="12"/>
      <c r="QC100" s="12"/>
      <c r="QD100" s="12"/>
      <c r="QE100" s="12"/>
      <c r="QF100" s="12"/>
      <c r="QG100" s="12"/>
      <c r="QH100" s="12"/>
      <c r="QI100" s="12"/>
      <c r="QJ100" s="12"/>
      <c r="QK100" s="12"/>
      <c r="QL100" s="12"/>
      <c r="QM100" s="12"/>
      <c r="QN100" s="12"/>
      <c r="QO100" s="12"/>
      <c r="QP100" s="12"/>
      <c r="QQ100" s="12"/>
      <c r="QR100" s="12"/>
      <c r="QS100" s="12"/>
      <c r="QT100" s="12"/>
      <c r="QU100" s="12"/>
      <c r="QV100" s="12"/>
      <c r="QW100" s="12"/>
      <c r="QX100" s="12"/>
      <c r="QY100" s="12"/>
      <c r="QZ100" s="12"/>
      <c r="RA100" s="12"/>
      <c r="RB100" s="12"/>
      <c r="RC100" s="12"/>
      <c r="RD100" s="12"/>
      <c r="RE100" s="12"/>
      <c r="RF100" s="12"/>
      <c r="RG100" s="12"/>
      <c r="RH100" s="12"/>
      <c r="RI100" s="12"/>
      <c r="RJ100" s="12"/>
      <c r="RK100" s="12"/>
      <c r="RL100" s="12"/>
      <c r="RM100" s="12"/>
      <c r="RN100" s="12"/>
      <c r="RO100" s="12"/>
      <c r="RP100" s="12"/>
      <c r="RQ100" s="12"/>
      <c r="RR100" s="12"/>
      <c r="RS100" s="12"/>
      <c r="RT100" s="12"/>
      <c r="RU100" s="12"/>
      <c r="RV100" s="12"/>
      <c r="RW100" s="12"/>
      <c r="RX100" s="12"/>
      <c r="RY100" s="12"/>
      <c r="RZ100" s="12"/>
      <c r="SA100" s="12"/>
      <c r="SB100" s="12"/>
      <c r="SC100" s="12"/>
      <c r="SD100" s="12"/>
      <c r="SE100" s="12"/>
      <c r="SF100" s="12"/>
      <c r="SG100" s="12"/>
      <c r="SH100" s="11"/>
      <c r="SI100" s="11"/>
      <c r="SJ100" s="11"/>
      <c r="SK100" s="11"/>
      <c r="SL100" s="11"/>
      <c r="SM100" s="11"/>
      <c r="SN100" s="11"/>
      <c r="SO100" s="11"/>
      <c r="SP100" s="11"/>
      <c r="SQ100" s="11"/>
      <c r="SR100" s="11"/>
      <c r="SS100" s="11"/>
      <c r="ST100" s="11"/>
      <c r="SU100" s="11"/>
      <c r="SV100" s="11"/>
      <c r="SW100" s="11"/>
      <c r="SX100" s="11"/>
      <c r="SY100" s="11"/>
      <c r="SZ100" s="11"/>
      <c r="TA100" s="11"/>
      <c r="TB100" s="11"/>
      <c r="TC100" s="11"/>
      <c r="TD100" s="11"/>
      <c r="TE100" s="11"/>
      <c r="TF100" s="11"/>
      <c r="TG100" s="11"/>
      <c r="TH100" s="11"/>
      <c r="TI100" s="11"/>
      <c r="TJ100" s="11"/>
      <c r="TK100" s="11"/>
      <c r="TL100" s="11"/>
    </row>
    <row r="101" spans="1:532" x14ac:dyDescent="0.2">
      <c r="A101" s="10" t="s">
        <v>100</v>
      </c>
      <c r="B101" s="12">
        <v>14.35</v>
      </c>
      <c r="C101" s="11">
        <v>0</v>
      </c>
      <c r="D101" s="11">
        <v>0.64348964441933887</v>
      </c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/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/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/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/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/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/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/>
      <c r="LR101" s="12"/>
      <c r="LS101" s="12"/>
      <c r="LT101" s="12"/>
      <c r="LU101" s="12"/>
      <c r="LV101" s="12"/>
      <c r="LW101" s="12"/>
      <c r="LX101" s="12"/>
      <c r="LY101" s="12"/>
      <c r="LZ101" s="12"/>
      <c r="MA101" s="12"/>
      <c r="MB101" s="12"/>
      <c r="MC101" s="12"/>
      <c r="MD101" s="12"/>
      <c r="ME101" s="12"/>
      <c r="MF101" s="12"/>
      <c r="MG101" s="12"/>
      <c r="MH101" s="12"/>
      <c r="MI101" s="12"/>
      <c r="MJ101" s="12"/>
      <c r="MK101" s="12"/>
      <c r="ML101" s="12"/>
      <c r="MM101" s="12"/>
      <c r="MN101" s="12"/>
      <c r="MO101" s="12"/>
      <c r="MP101" s="12"/>
      <c r="MQ101" s="12"/>
      <c r="MR101" s="12"/>
      <c r="MS101" s="12"/>
      <c r="MT101" s="12"/>
      <c r="MU101" s="12"/>
      <c r="MV101" s="12"/>
      <c r="MW101" s="12"/>
      <c r="MX101" s="12"/>
      <c r="MY101" s="12"/>
      <c r="MZ101" s="12"/>
      <c r="NA101" s="12"/>
      <c r="NB101" s="12"/>
      <c r="NC101" s="12"/>
      <c r="ND101" s="12"/>
      <c r="NE101" s="12"/>
      <c r="NF101" s="12"/>
      <c r="NG101" s="12"/>
      <c r="NH101" s="12"/>
      <c r="NI101" s="12"/>
      <c r="NJ101" s="12"/>
      <c r="NK101" s="12"/>
      <c r="NL101" s="12"/>
      <c r="NM101" s="12"/>
      <c r="NN101" s="12"/>
      <c r="NO101" s="12"/>
      <c r="NP101" s="12"/>
      <c r="NQ101" s="12"/>
      <c r="NR101" s="12"/>
      <c r="NS101" s="12"/>
      <c r="NT101" s="12"/>
      <c r="NU101" s="12"/>
      <c r="NV101" s="12"/>
      <c r="NW101" s="12"/>
      <c r="NX101" s="12"/>
      <c r="NY101" s="12"/>
      <c r="NZ101" s="12"/>
      <c r="OA101" s="12"/>
      <c r="OB101" s="12"/>
      <c r="OC101" s="12"/>
      <c r="OD101" s="12"/>
      <c r="OE101" s="12"/>
      <c r="OF101" s="12"/>
      <c r="OG101" s="12"/>
      <c r="OH101" s="12"/>
      <c r="OI101" s="12"/>
      <c r="OJ101" s="12"/>
      <c r="OK101" s="12"/>
      <c r="OL101" s="12"/>
      <c r="OM101" s="12"/>
      <c r="ON101" s="12"/>
      <c r="OO101" s="12"/>
      <c r="OP101" s="12"/>
      <c r="OQ101" s="12"/>
      <c r="OR101" s="12"/>
      <c r="OS101" s="12"/>
      <c r="OT101" s="12"/>
      <c r="OU101" s="12"/>
      <c r="OV101" s="12"/>
      <c r="OW101" s="12"/>
      <c r="OX101" s="12"/>
      <c r="OY101" s="12"/>
      <c r="OZ101" s="12"/>
      <c r="PA101" s="12"/>
      <c r="PB101" s="12"/>
      <c r="PC101" s="12"/>
      <c r="PD101" s="12"/>
      <c r="PE101" s="12"/>
      <c r="PF101" s="12"/>
      <c r="PG101" s="12"/>
      <c r="PH101" s="12"/>
      <c r="PI101" s="12"/>
      <c r="PJ101" s="12"/>
      <c r="PK101" s="12"/>
      <c r="PL101" s="12"/>
      <c r="PM101" s="12"/>
      <c r="PN101" s="12"/>
      <c r="PO101" s="12"/>
      <c r="PP101" s="12"/>
      <c r="PQ101" s="12"/>
      <c r="PR101" s="12"/>
      <c r="PS101" s="12"/>
      <c r="PT101" s="12"/>
      <c r="PU101" s="12"/>
      <c r="PV101" s="12"/>
      <c r="PW101" s="12"/>
      <c r="PX101" s="12"/>
      <c r="PY101" s="12"/>
      <c r="PZ101" s="12"/>
      <c r="QA101" s="12"/>
      <c r="QB101" s="12"/>
      <c r="QC101" s="12"/>
      <c r="QD101" s="12"/>
      <c r="QE101" s="12"/>
      <c r="QF101" s="12"/>
      <c r="QG101" s="12"/>
      <c r="QH101" s="12"/>
      <c r="QI101" s="12"/>
      <c r="QJ101" s="12"/>
      <c r="QK101" s="12"/>
      <c r="QL101" s="12"/>
      <c r="QM101" s="12"/>
      <c r="QN101" s="12"/>
      <c r="QO101" s="12"/>
      <c r="QP101" s="12"/>
      <c r="QQ101" s="12"/>
      <c r="QR101" s="12"/>
      <c r="QS101" s="12"/>
      <c r="QT101" s="12"/>
      <c r="QU101" s="12"/>
      <c r="QV101" s="12"/>
      <c r="QW101" s="12"/>
      <c r="QX101" s="12"/>
      <c r="QY101" s="12"/>
      <c r="QZ101" s="12"/>
      <c r="RA101" s="12"/>
      <c r="RB101" s="12"/>
      <c r="RC101" s="12"/>
      <c r="RD101" s="12"/>
      <c r="RE101" s="12"/>
      <c r="RF101" s="12"/>
      <c r="RG101" s="12"/>
      <c r="RH101" s="12"/>
      <c r="RI101" s="12"/>
      <c r="RJ101" s="12"/>
      <c r="RK101" s="12"/>
      <c r="RL101" s="12"/>
      <c r="RM101" s="12"/>
      <c r="RN101" s="12"/>
      <c r="RO101" s="12"/>
      <c r="RP101" s="12"/>
      <c r="RQ101" s="12"/>
      <c r="RR101" s="12"/>
      <c r="RS101" s="12"/>
      <c r="RT101" s="12"/>
      <c r="RU101" s="12"/>
      <c r="RV101" s="12"/>
      <c r="RW101" s="12"/>
      <c r="RX101" s="12"/>
      <c r="RY101" s="12"/>
      <c r="RZ101" s="12"/>
      <c r="SA101" s="12"/>
      <c r="SB101" s="12"/>
      <c r="SC101" s="12"/>
      <c r="SD101" s="12"/>
      <c r="SE101" s="12"/>
      <c r="SF101" s="12"/>
      <c r="SG101" s="12"/>
      <c r="SH101" s="11"/>
      <c r="SI101" s="11"/>
      <c r="SJ101" s="11"/>
      <c r="SK101" s="11"/>
      <c r="SL101" s="11"/>
      <c r="SM101" s="11"/>
      <c r="SN101" s="11"/>
      <c r="SO101" s="11"/>
      <c r="SP101" s="11"/>
      <c r="SQ101" s="11"/>
      <c r="SR101" s="11"/>
      <c r="SS101" s="11"/>
      <c r="ST101" s="11"/>
      <c r="SU101" s="11"/>
      <c r="SV101" s="11"/>
      <c r="SW101" s="11"/>
      <c r="SX101" s="11"/>
      <c r="SY101" s="11"/>
      <c r="SZ101" s="11"/>
      <c r="TA101" s="11"/>
      <c r="TB101" s="11"/>
      <c r="TC101" s="11"/>
      <c r="TD101" s="11"/>
      <c r="TE101" s="11"/>
      <c r="TF101" s="11"/>
      <c r="TG101" s="11"/>
      <c r="TH101" s="11"/>
      <c r="TI101" s="11"/>
      <c r="TJ101" s="11"/>
      <c r="TK101" s="11"/>
      <c r="TL101" s="11"/>
    </row>
    <row r="102" spans="1:532" x14ac:dyDescent="0.2">
      <c r="A102" s="10" t="s">
        <v>101</v>
      </c>
      <c r="B102" s="12">
        <v>15.18</v>
      </c>
      <c r="C102" s="11">
        <v>0.17819713230073997</v>
      </c>
      <c r="D102" s="11">
        <v>0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/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/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/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/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/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/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/>
      <c r="LS102" s="12"/>
      <c r="LT102" s="12"/>
      <c r="LU102" s="12"/>
      <c r="LV102" s="12"/>
      <c r="LW102" s="12"/>
      <c r="LX102" s="12"/>
      <c r="LY102" s="12"/>
      <c r="LZ102" s="12"/>
      <c r="MA102" s="12"/>
      <c r="MB102" s="12"/>
      <c r="MC102" s="12"/>
      <c r="MD102" s="12"/>
      <c r="ME102" s="12"/>
      <c r="MF102" s="12"/>
      <c r="MG102" s="12"/>
      <c r="MH102" s="12"/>
      <c r="MI102" s="12"/>
      <c r="MJ102" s="12"/>
      <c r="MK102" s="12"/>
      <c r="ML102" s="12"/>
      <c r="MM102" s="12"/>
      <c r="MN102" s="12"/>
      <c r="MO102" s="12"/>
      <c r="MP102" s="12"/>
      <c r="MQ102" s="12"/>
      <c r="MR102" s="12"/>
      <c r="MS102" s="12"/>
      <c r="MT102" s="12"/>
      <c r="MU102" s="12"/>
      <c r="MV102" s="12"/>
      <c r="MW102" s="12"/>
      <c r="MX102" s="12"/>
      <c r="MY102" s="12"/>
      <c r="MZ102" s="12"/>
      <c r="NA102" s="12"/>
      <c r="NB102" s="12"/>
      <c r="NC102" s="12"/>
      <c r="ND102" s="12"/>
      <c r="NE102" s="12"/>
      <c r="NF102" s="12"/>
      <c r="NG102" s="12"/>
      <c r="NH102" s="12"/>
      <c r="NI102" s="12"/>
      <c r="NJ102" s="12"/>
      <c r="NK102" s="12"/>
      <c r="NL102" s="12"/>
      <c r="NM102" s="12"/>
      <c r="NN102" s="12"/>
      <c r="NO102" s="12"/>
      <c r="NP102" s="12"/>
      <c r="NQ102" s="12"/>
      <c r="NR102" s="12"/>
      <c r="NS102" s="12"/>
      <c r="NT102" s="12"/>
      <c r="NU102" s="12"/>
      <c r="NV102" s="12"/>
      <c r="NW102" s="12"/>
      <c r="NX102" s="12"/>
      <c r="NY102" s="12"/>
      <c r="NZ102" s="12"/>
      <c r="OA102" s="12"/>
      <c r="OB102" s="12"/>
      <c r="OC102" s="12"/>
      <c r="OD102" s="12"/>
      <c r="OE102" s="12"/>
      <c r="OF102" s="12"/>
      <c r="OG102" s="12"/>
      <c r="OH102" s="12"/>
      <c r="OI102" s="12"/>
      <c r="OJ102" s="12"/>
      <c r="OK102" s="12"/>
      <c r="OL102" s="12"/>
      <c r="OM102" s="12"/>
      <c r="ON102" s="12"/>
      <c r="OO102" s="12"/>
      <c r="OP102" s="12"/>
      <c r="OQ102" s="12"/>
      <c r="OR102" s="12"/>
      <c r="OS102" s="12"/>
      <c r="OT102" s="12"/>
      <c r="OU102" s="12"/>
      <c r="OV102" s="12"/>
      <c r="OW102" s="12"/>
      <c r="OX102" s="12"/>
      <c r="OY102" s="12"/>
      <c r="OZ102" s="12"/>
      <c r="PA102" s="12"/>
      <c r="PB102" s="12"/>
      <c r="PC102" s="12"/>
      <c r="PD102" s="12"/>
      <c r="PE102" s="12"/>
      <c r="PF102" s="12"/>
      <c r="PG102" s="12"/>
      <c r="PH102" s="12"/>
      <c r="PI102" s="12"/>
      <c r="PJ102" s="12"/>
      <c r="PK102" s="12"/>
      <c r="PL102" s="12"/>
      <c r="PM102" s="12"/>
      <c r="PN102" s="12"/>
      <c r="PO102" s="12"/>
      <c r="PP102" s="12"/>
      <c r="PQ102" s="12"/>
      <c r="PR102" s="12"/>
      <c r="PS102" s="12"/>
      <c r="PT102" s="12"/>
      <c r="PU102" s="12"/>
      <c r="PV102" s="12"/>
      <c r="PW102" s="12"/>
      <c r="PX102" s="12"/>
      <c r="PY102" s="12"/>
      <c r="PZ102" s="12"/>
      <c r="QA102" s="12"/>
      <c r="QB102" s="12"/>
      <c r="QC102" s="12"/>
      <c r="QD102" s="12"/>
      <c r="QE102" s="12"/>
      <c r="QF102" s="12"/>
      <c r="QG102" s="12"/>
      <c r="QH102" s="12"/>
      <c r="QI102" s="12"/>
      <c r="QJ102" s="12"/>
      <c r="QK102" s="12"/>
      <c r="QL102" s="12"/>
      <c r="QM102" s="12"/>
      <c r="QN102" s="12"/>
      <c r="QO102" s="12"/>
      <c r="QP102" s="12"/>
      <c r="QQ102" s="12"/>
      <c r="QR102" s="12"/>
      <c r="QS102" s="12"/>
      <c r="QT102" s="12"/>
      <c r="QU102" s="12"/>
      <c r="QV102" s="12"/>
      <c r="QW102" s="12"/>
      <c r="QX102" s="12"/>
      <c r="QY102" s="12"/>
      <c r="QZ102" s="12"/>
      <c r="RA102" s="12"/>
      <c r="RB102" s="12"/>
      <c r="RC102" s="12"/>
      <c r="RD102" s="12"/>
      <c r="RE102" s="12"/>
      <c r="RF102" s="12"/>
      <c r="RG102" s="12"/>
      <c r="RH102" s="12"/>
      <c r="RI102" s="12"/>
      <c r="RJ102" s="12"/>
      <c r="RK102" s="12"/>
      <c r="RL102" s="12"/>
      <c r="RM102" s="12"/>
      <c r="RN102" s="12"/>
      <c r="RO102" s="12"/>
      <c r="RP102" s="12"/>
      <c r="RQ102" s="12"/>
      <c r="RR102" s="12"/>
      <c r="RS102" s="12"/>
      <c r="RT102" s="12"/>
      <c r="RU102" s="12"/>
      <c r="RV102" s="12"/>
      <c r="RW102" s="12"/>
      <c r="RX102" s="12"/>
      <c r="RY102" s="12"/>
      <c r="RZ102" s="12"/>
      <c r="SA102" s="12"/>
      <c r="SB102" s="12"/>
      <c r="SC102" s="12"/>
      <c r="SD102" s="12"/>
      <c r="SE102" s="12"/>
      <c r="SF102" s="12"/>
      <c r="SG102" s="12"/>
      <c r="SH102" s="11"/>
      <c r="SI102" s="11"/>
      <c r="SJ102" s="11"/>
      <c r="SK102" s="11"/>
      <c r="SL102" s="11"/>
      <c r="SM102" s="11"/>
      <c r="SN102" s="11"/>
      <c r="SO102" s="11"/>
      <c r="SP102" s="11"/>
      <c r="SQ102" s="11"/>
      <c r="SR102" s="11"/>
      <c r="SS102" s="11"/>
      <c r="ST102" s="11"/>
      <c r="SU102" s="11"/>
      <c r="SV102" s="11"/>
      <c r="SW102" s="11"/>
      <c r="SX102" s="11"/>
      <c r="SY102" s="11"/>
      <c r="SZ102" s="11"/>
      <c r="TA102" s="11"/>
      <c r="TB102" s="11"/>
      <c r="TC102" s="11"/>
      <c r="TD102" s="11"/>
      <c r="TE102" s="11"/>
      <c r="TF102" s="11"/>
      <c r="TG102" s="11"/>
      <c r="TH102" s="11"/>
      <c r="TI102" s="11"/>
      <c r="TJ102" s="11"/>
      <c r="TK102" s="11"/>
      <c r="TL102" s="11"/>
    </row>
    <row r="103" spans="1:532" x14ac:dyDescent="0.2">
      <c r="A103" s="10" t="s">
        <v>102</v>
      </c>
      <c r="B103" s="12">
        <v>14.37</v>
      </c>
      <c r="C103" s="11">
        <v>0</v>
      </c>
      <c r="D103" s="11">
        <v>0.62368996305258995</v>
      </c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/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/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/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/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/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/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/>
      <c r="LT103" s="12"/>
      <c r="LU103" s="12"/>
      <c r="LV103" s="12"/>
      <c r="LW103" s="12"/>
      <c r="LX103" s="12"/>
      <c r="LY103" s="12"/>
      <c r="LZ103" s="12"/>
      <c r="MA103" s="12"/>
      <c r="MB103" s="12"/>
      <c r="MC103" s="12"/>
      <c r="MD103" s="12"/>
      <c r="ME103" s="12"/>
      <c r="MF103" s="12"/>
      <c r="MG103" s="12"/>
      <c r="MH103" s="12"/>
      <c r="MI103" s="12"/>
      <c r="MJ103" s="12"/>
      <c r="MK103" s="12"/>
      <c r="ML103" s="12"/>
      <c r="MM103" s="12"/>
      <c r="MN103" s="12"/>
      <c r="MO103" s="12"/>
      <c r="MP103" s="12"/>
      <c r="MQ103" s="12"/>
      <c r="MR103" s="12"/>
      <c r="MS103" s="12"/>
      <c r="MT103" s="12"/>
      <c r="MU103" s="12"/>
      <c r="MV103" s="12"/>
      <c r="MW103" s="12"/>
      <c r="MX103" s="12"/>
      <c r="MY103" s="12"/>
      <c r="MZ103" s="12"/>
      <c r="NA103" s="12"/>
      <c r="NB103" s="12"/>
      <c r="NC103" s="12"/>
      <c r="ND103" s="12"/>
      <c r="NE103" s="12"/>
      <c r="NF103" s="12"/>
      <c r="NG103" s="12"/>
      <c r="NH103" s="12"/>
      <c r="NI103" s="12"/>
      <c r="NJ103" s="12"/>
      <c r="NK103" s="12"/>
      <c r="NL103" s="12"/>
      <c r="NM103" s="12"/>
      <c r="NN103" s="12"/>
      <c r="NO103" s="12"/>
      <c r="NP103" s="12"/>
      <c r="NQ103" s="12"/>
      <c r="NR103" s="12"/>
      <c r="NS103" s="12"/>
      <c r="NT103" s="12"/>
      <c r="NU103" s="12"/>
      <c r="NV103" s="12"/>
      <c r="NW103" s="12"/>
      <c r="NX103" s="12"/>
      <c r="NY103" s="12"/>
      <c r="NZ103" s="12"/>
      <c r="OA103" s="12"/>
      <c r="OB103" s="12"/>
      <c r="OC103" s="12"/>
      <c r="OD103" s="12"/>
      <c r="OE103" s="12"/>
      <c r="OF103" s="12"/>
      <c r="OG103" s="12"/>
      <c r="OH103" s="12"/>
      <c r="OI103" s="12"/>
      <c r="OJ103" s="12"/>
      <c r="OK103" s="12"/>
      <c r="OL103" s="12"/>
      <c r="OM103" s="12"/>
      <c r="ON103" s="12"/>
      <c r="OO103" s="12"/>
      <c r="OP103" s="12"/>
      <c r="OQ103" s="12"/>
      <c r="OR103" s="12"/>
      <c r="OS103" s="12"/>
      <c r="OT103" s="12"/>
      <c r="OU103" s="12"/>
      <c r="OV103" s="12"/>
      <c r="OW103" s="12"/>
      <c r="OX103" s="12"/>
      <c r="OY103" s="12"/>
      <c r="OZ103" s="12"/>
      <c r="PA103" s="12"/>
      <c r="PB103" s="12"/>
      <c r="PC103" s="12"/>
      <c r="PD103" s="12"/>
      <c r="PE103" s="12"/>
      <c r="PF103" s="12"/>
      <c r="PG103" s="12"/>
      <c r="PH103" s="12"/>
      <c r="PI103" s="12"/>
      <c r="PJ103" s="12"/>
      <c r="PK103" s="12"/>
      <c r="PL103" s="12"/>
      <c r="PM103" s="12"/>
      <c r="PN103" s="12"/>
      <c r="PO103" s="12"/>
      <c r="PP103" s="12"/>
      <c r="PQ103" s="12"/>
      <c r="PR103" s="12"/>
      <c r="PS103" s="12"/>
      <c r="PT103" s="12"/>
      <c r="PU103" s="12"/>
      <c r="PV103" s="12"/>
      <c r="PW103" s="12"/>
      <c r="PX103" s="12"/>
      <c r="PY103" s="12"/>
      <c r="PZ103" s="12"/>
      <c r="QA103" s="12"/>
      <c r="QB103" s="12"/>
      <c r="QC103" s="12"/>
      <c r="QD103" s="12"/>
      <c r="QE103" s="12"/>
      <c r="QF103" s="12"/>
      <c r="QG103" s="12"/>
      <c r="QH103" s="12"/>
      <c r="QI103" s="12"/>
      <c r="QJ103" s="12"/>
      <c r="QK103" s="12"/>
      <c r="QL103" s="12"/>
      <c r="QM103" s="12"/>
      <c r="QN103" s="12"/>
      <c r="QO103" s="12"/>
      <c r="QP103" s="12"/>
      <c r="QQ103" s="12"/>
      <c r="QR103" s="12"/>
      <c r="QS103" s="12"/>
      <c r="QT103" s="12"/>
      <c r="QU103" s="12"/>
      <c r="QV103" s="12"/>
      <c r="QW103" s="12"/>
      <c r="QX103" s="12"/>
      <c r="QY103" s="12"/>
      <c r="QZ103" s="12"/>
      <c r="RA103" s="12"/>
      <c r="RB103" s="12"/>
      <c r="RC103" s="12"/>
      <c r="RD103" s="12"/>
      <c r="RE103" s="12"/>
      <c r="RF103" s="12"/>
      <c r="RG103" s="12"/>
      <c r="RH103" s="12"/>
      <c r="RI103" s="12"/>
      <c r="RJ103" s="12"/>
      <c r="RK103" s="12"/>
      <c r="RL103" s="12"/>
      <c r="RM103" s="12"/>
      <c r="RN103" s="12"/>
      <c r="RO103" s="12"/>
      <c r="RP103" s="12"/>
      <c r="RQ103" s="12"/>
      <c r="RR103" s="12"/>
      <c r="RS103" s="12"/>
      <c r="RT103" s="12"/>
      <c r="RU103" s="12"/>
      <c r="RV103" s="12"/>
      <c r="RW103" s="12"/>
      <c r="RX103" s="12"/>
      <c r="RY103" s="12"/>
      <c r="RZ103" s="12"/>
      <c r="SA103" s="12"/>
      <c r="SB103" s="12"/>
      <c r="SC103" s="12"/>
      <c r="SD103" s="12"/>
      <c r="SE103" s="12"/>
      <c r="SF103" s="12"/>
      <c r="SG103" s="12"/>
      <c r="SH103" s="11"/>
      <c r="SI103" s="11"/>
      <c r="SJ103" s="11"/>
      <c r="SK103" s="11"/>
      <c r="SL103" s="11"/>
      <c r="SM103" s="11"/>
      <c r="SN103" s="11"/>
      <c r="SO103" s="11"/>
      <c r="SP103" s="11"/>
      <c r="SQ103" s="11"/>
      <c r="SR103" s="11"/>
      <c r="SS103" s="11"/>
      <c r="ST103" s="11"/>
      <c r="SU103" s="11"/>
      <c r="SV103" s="11"/>
      <c r="SW103" s="11"/>
      <c r="SX103" s="11"/>
      <c r="SY103" s="11"/>
      <c r="SZ103" s="11"/>
      <c r="TA103" s="11"/>
      <c r="TB103" s="11"/>
      <c r="TC103" s="11"/>
      <c r="TD103" s="11"/>
      <c r="TE103" s="11"/>
      <c r="TF103" s="11"/>
      <c r="TG103" s="11"/>
      <c r="TH103" s="11"/>
      <c r="TI103" s="11"/>
      <c r="TJ103" s="11"/>
      <c r="TK103" s="11"/>
      <c r="TL103" s="11"/>
    </row>
    <row r="104" spans="1:532" x14ac:dyDescent="0.2">
      <c r="A104" s="10" t="s">
        <v>103</v>
      </c>
      <c r="B104" s="12">
        <v>15.53</v>
      </c>
      <c r="C104" s="11">
        <v>0.52469155621884556</v>
      </c>
      <c r="D104" s="11">
        <v>0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/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/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/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/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/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/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/>
      <c r="LR104" s="12"/>
      <c r="LS104" s="12"/>
      <c r="LT104" s="12"/>
      <c r="LU104" s="12"/>
      <c r="LV104" s="12"/>
      <c r="LW104" s="12"/>
      <c r="LX104" s="12"/>
      <c r="LY104" s="12"/>
      <c r="LZ104" s="12"/>
      <c r="MA104" s="12"/>
      <c r="MB104" s="12"/>
      <c r="MC104" s="12"/>
      <c r="MD104" s="12"/>
      <c r="ME104" s="12"/>
      <c r="MF104" s="12"/>
      <c r="MG104" s="12"/>
      <c r="MH104" s="12"/>
      <c r="MI104" s="12"/>
      <c r="MJ104" s="12"/>
      <c r="MK104" s="12"/>
      <c r="ML104" s="12"/>
      <c r="MM104" s="12"/>
      <c r="MN104" s="12"/>
      <c r="MO104" s="12"/>
      <c r="MP104" s="12"/>
      <c r="MQ104" s="12"/>
      <c r="MR104" s="12"/>
      <c r="MS104" s="12"/>
      <c r="MT104" s="12"/>
      <c r="MU104" s="12"/>
      <c r="MV104" s="12"/>
      <c r="MW104" s="12"/>
      <c r="MX104" s="12"/>
      <c r="MY104" s="12"/>
      <c r="MZ104" s="12"/>
      <c r="NA104" s="12"/>
      <c r="NB104" s="12"/>
      <c r="NC104" s="12"/>
      <c r="ND104" s="12"/>
      <c r="NE104" s="12"/>
      <c r="NF104" s="12"/>
      <c r="NG104" s="12"/>
      <c r="NH104" s="12"/>
      <c r="NI104" s="12"/>
      <c r="NJ104" s="12"/>
      <c r="NK104" s="12"/>
      <c r="NL104" s="12"/>
      <c r="NM104" s="12"/>
      <c r="NN104" s="12"/>
      <c r="NO104" s="12"/>
      <c r="NP104" s="12"/>
      <c r="NQ104" s="12"/>
      <c r="NR104" s="12"/>
      <c r="NS104" s="12"/>
      <c r="NT104" s="12"/>
      <c r="NU104" s="12"/>
      <c r="NV104" s="12"/>
      <c r="NW104" s="12"/>
      <c r="NX104" s="12"/>
      <c r="NY104" s="12"/>
      <c r="NZ104" s="12"/>
      <c r="OA104" s="12"/>
      <c r="OB104" s="12"/>
      <c r="OC104" s="12"/>
      <c r="OD104" s="12"/>
      <c r="OE104" s="12"/>
      <c r="OF104" s="12"/>
      <c r="OG104" s="12"/>
      <c r="OH104" s="12"/>
      <c r="OI104" s="12"/>
      <c r="OJ104" s="12"/>
      <c r="OK104" s="12"/>
      <c r="OL104" s="12"/>
      <c r="OM104" s="12"/>
      <c r="ON104" s="12"/>
      <c r="OO104" s="12"/>
      <c r="OP104" s="12"/>
      <c r="OQ104" s="12"/>
      <c r="OR104" s="12"/>
      <c r="OS104" s="12"/>
      <c r="OT104" s="12"/>
      <c r="OU104" s="12"/>
      <c r="OV104" s="12"/>
      <c r="OW104" s="12"/>
      <c r="OX104" s="12"/>
      <c r="OY104" s="12"/>
      <c r="OZ104" s="12"/>
      <c r="PA104" s="12"/>
      <c r="PB104" s="12"/>
      <c r="PC104" s="12"/>
      <c r="PD104" s="12"/>
      <c r="PE104" s="12"/>
      <c r="PF104" s="12"/>
      <c r="PG104" s="12"/>
      <c r="PH104" s="12"/>
      <c r="PI104" s="12"/>
      <c r="PJ104" s="12"/>
      <c r="PK104" s="12"/>
      <c r="PL104" s="12"/>
      <c r="PM104" s="12"/>
      <c r="PN104" s="12"/>
      <c r="PO104" s="12"/>
      <c r="PP104" s="12"/>
      <c r="PQ104" s="12"/>
      <c r="PR104" s="12"/>
      <c r="PS104" s="12"/>
      <c r="PT104" s="12"/>
      <c r="PU104" s="12"/>
      <c r="PV104" s="12"/>
      <c r="PW104" s="12"/>
      <c r="PX104" s="12"/>
      <c r="PY104" s="12"/>
      <c r="PZ104" s="12"/>
      <c r="QA104" s="12"/>
      <c r="QB104" s="12"/>
      <c r="QC104" s="12"/>
      <c r="QD104" s="12"/>
      <c r="QE104" s="12"/>
      <c r="QF104" s="12"/>
      <c r="QG104" s="12"/>
      <c r="QH104" s="12"/>
      <c r="QI104" s="12"/>
      <c r="QJ104" s="12"/>
      <c r="QK104" s="12"/>
      <c r="QL104" s="12"/>
      <c r="QM104" s="12"/>
      <c r="QN104" s="12"/>
      <c r="QO104" s="12"/>
      <c r="QP104" s="12"/>
      <c r="QQ104" s="12"/>
      <c r="QR104" s="12"/>
      <c r="QS104" s="12"/>
      <c r="QT104" s="12"/>
      <c r="QU104" s="12"/>
      <c r="QV104" s="12"/>
      <c r="QW104" s="12"/>
      <c r="QX104" s="12"/>
      <c r="QY104" s="12"/>
      <c r="QZ104" s="12"/>
      <c r="RA104" s="12"/>
      <c r="RB104" s="12"/>
      <c r="RC104" s="12"/>
      <c r="RD104" s="12"/>
      <c r="RE104" s="12"/>
      <c r="RF104" s="12"/>
      <c r="RG104" s="12"/>
      <c r="RH104" s="12"/>
      <c r="RI104" s="12"/>
      <c r="RJ104" s="12"/>
      <c r="RK104" s="12"/>
      <c r="RL104" s="12"/>
      <c r="RM104" s="12"/>
      <c r="RN104" s="12"/>
      <c r="RO104" s="12"/>
      <c r="RP104" s="12"/>
      <c r="RQ104" s="12"/>
      <c r="RR104" s="12"/>
      <c r="RS104" s="12"/>
      <c r="RT104" s="12"/>
      <c r="RU104" s="12"/>
      <c r="RV104" s="12"/>
      <c r="RW104" s="12"/>
      <c r="RX104" s="12"/>
      <c r="RY104" s="12"/>
      <c r="RZ104" s="12"/>
      <c r="SA104" s="12"/>
      <c r="SB104" s="12"/>
      <c r="SC104" s="12"/>
      <c r="SD104" s="12"/>
      <c r="SE104" s="12"/>
      <c r="SF104" s="12"/>
      <c r="SG104" s="12"/>
      <c r="SH104" s="11"/>
      <c r="SI104" s="11"/>
      <c r="SJ104" s="11"/>
      <c r="SK104" s="11"/>
      <c r="SL104" s="11"/>
      <c r="SM104" s="11"/>
      <c r="SN104" s="11"/>
      <c r="SO104" s="11"/>
      <c r="SP104" s="11"/>
      <c r="SQ104" s="11"/>
      <c r="SR104" s="11"/>
      <c r="SS104" s="11"/>
      <c r="ST104" s="11"/>
      <c r="SU104" s="11"/>
      <c r="SV104" s="11"/>
      <c r="SW104" s="11"/>
      <c r="SX104" s="11"/>
      <c r="SY104" s="11"/>
      <c r="SZ104" s="11"/>
      <c r="TA104" s="11"/>
      <c r="TB104" s="11"/>
      <c r="TC104" s="11"/>
      <c r="TD104" s="11"/>
      <c r="TE104" s="11"/>
      <c r="TF104" s="11"/>
      <c r="TG104" s="11"/>
      <c r="TH104" s="11"/>
      <c r="TI104" s="11"/>
      <c r="TJ104" s="11"/>
      <c r="TK104" s="11"/>
      <c r="TL104" s="11"/>
    </row>
    <row r="105" spans="1:532" x14ac:dyDescent="0.2">
      <c r="A105" s="10" t="s">
        <v>104</v>
      </c>
      <c r="B105" s="12">
        <v>13.72</v>
      </c>
      <c r="C105" s="11">
        <v>0</v>
      </c>
      <c r="D105" s="11">
        <v>1.2671796074719288</v>
      </c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/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/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/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/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/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/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/>
      <c r="LS105" s="12"/>
      <c r="LT105" s="12"/>
      <c r="LU105" s="12"/>
      <c r="LV105" s="12"/>
      <c r="LW105" s="12"/>
      <c r="LX105" s="12"/>
      <c r="LY105" s="12"/>
      <c r="LZ105" s="12"/>
      <c r="MA105" s="12"/>
      <c r="MB105" s="12"/>
      <c r="MC105" s="12"/>
      <c r="MD105" s="12"/>
      <c r="ME105" s="12"/>
      <c r="MF105" s="12"/>
      <c r="MG105" s="12"/>
      <c r="MH105" s="12"/>
      <c r="MI105" s="12"/>
      <c r="MJ105" s="12"/>
      <c r="MK105" s="12"/>
      <c r="ML105" s="12"/>
      <c r="MM105" s="12"/>
      <c r="MN105" s="12"/>
      <c r="MO105" s="12"/>
      <c r="MP105" s="12"/>
      <c r="MQ105" s="12"/>
      <c r="MR105" s="12"/>
      <c r="MS105" s="12"/>
      <c r="MT105" s="12"/>
      <c r="MU105" s="12"/>
      <c r="MV105" s="12"/>
      <c r="MW105" s="12"/>
      <c r="MX105" s="12"/>
      <c r="MY105" s="12"/>
      <c r="MZ105" s="12"/>
      <c r="NA105" s="12"/>
      <c r="NB105" s="12"/>
      <c r="NC105" s="12"/>
      <c r="ND105" s="12"/>
      <c r="NE105" s="12"/>
      <c r="NF105" s="12"/>
      <c r="NG105" s="12"/>
      <c r="NH105" s="12"/>
      <c r="NI105" s="12"/>
      <c r="NJ105" s="12"/>
      <c r="NK105" s="12"/>
      <c r="NL105" s="12"/>
      <c r="NM105" s="12"/>
      <c r="NN105" s="12"/>
      <c r="NO105" s="12"/>
      <c r="NP105" s="12"/>
      <c r="NQ105" s="12"/>
      <c r="NR105" s="12"/>
      <c r="NS105" s="12"/>
      <c r="NT105" s="12"/>
      <c r="NU105" s="12"/>
      <c r="NV105" s="12"/>
      <c r="NW105" s="12"/>
      <c r="NX105" s="12"/>
      <c r="NY105" s="12"/>
      <c r="NZ105" s="12"/>
      <c r="OA105" s="12"/>
      <c r="OB105" s="12"/>
      <c r="OC105" s="12"/>
      <c r="OD105" s="12"/>
      <c r="OE105" s="12"/>
      <c r="OF105" s="12"/>
      <c r="OG105" s="12"/>
      <c r="OH105" s="12"/>
      <c r="OI105" s="12"/>
      <c r="OJ105" s="12"/>
      <c r="OK105" s="12"/>
      <c r="OL105" s="12"/>
      <c r="OM105" s="12"/>
      <c r="ON105" s="12"/>
      <c r="OO105" s="12"/>
      <c r="OP105" s="12"/>
      <c r="OQ105" s="12"/>
      <c r="OR105" s="12"/>
      <c r="OS105" s="12"/>
      <c r="OT105" s="12"/>
      <c r="OU105" s="12"/>
      <c r="OV105" s="12"/>
      <c r="OW105" s="12"/>
      <c r="OX105" s="12"/>
      <c r="OY105" s="12"/>
      <c r="OZ105" s="12"/>
      <c r="PA105" s="12"/>
      <c r="PB105" s="12"/>
      <c r="PC105" s="12"/>
      <c r="PD105" s="12"/>
      <c r="PE105" s="12"/>
      <c r="PF105" s="12"/>
      <c r="PG105" s="12"/>
      <c r="PH105" s="12"/>
      <c r="PI105" s="12"/>
      <c r="PJ105" s="12"/>
      <c r="PK105" s="12"/>
      <c r="PL105" s="12"/>
      <c r="PM105" s="12"/>
      <c r="PN105" s="12"/>
      <c r="PO105" s="12"/>
      <c r="PP105" s="12"/>
      <c r="PQ105" s="12"/>
      <c r="PR105" s="12"/>
      <c r="PS105" s="12"/>
      <c r="PT105" s="12"/>
      <c r="PU105" s="12"/>
      <c r="PV105" s="12"/>
      <c r="PW105" s="12"/>
      <c r="PX105" s="12"/>
      <c r="PY105" s="12"/>
      <c r="PZ105" s="12"/>
      <c r="QA105" s="12"/>
      <c r="QB105" s="12"/>
      <c r="QC105" s="12"/>
      <c r="QD105" s="12"/>
      <c r="QE105" s="12"/>
      <c r="QF105" s="12"/>
      <c r="QG105" s="12"/>
      <c r="QH105" s="12"/>
      <c r="QI105" s="12"/>
      <c r="QJ105" s="12"/>
      <c r="QK105" s="12"/>
      <c r="QL105" s="12"/>
      <c r="QM105" s="12"/>
      <c r="QN105" s="12"/>
      <c r="QO105" s="12"/>
      <c r="QP105" s="12"/>
      <c r="QQ105" s="12"/>
      <c r="QR105" s="12"/>
      <c r="QS105" s="12"/>
      <c r="QT105" s="12"/>
      <c r="QU105" s="12"/>
      <c r="QV105" s="12"/>
      <c r="QW105" s="12"/>
      <c r="QX105" s="12"/>
      <c r="QY105" s="12"/>
      <c r="QZ105" s="12"/>
      <c r="RA105" s="12"/>
      <c r="RB105" s="12"/>
      <c r="RC105" s="12"/>
      <c r="RD105" s="12"/>
      <c r="RE105" s="12"/>
      <c r="RF105" s="12"/>
      <c r="RG105" s="12"/>
      <c r="RH105" s="12"/>
      <c r="RI105" s="12"/>
      <c r="RJ105" s="12"/>
      <c r="RK105" s="12"/>
      <c r="RL105" s="12"/>
      <c r="RM105" s="12"/>
      <c r="RN105" s="12"/>
      <c r="RO105" s="12"/>
      <c r="RP105" s="12"/>
      <c r="RQ105" s="12"/>
      <c r="RR105" s="12"/>
      <c r="RS105" s="12"/>
      <c r="RT105" s="12"/>
      <c r="RU105" s="12"/>
      <c r="RV105" s="12"/>
      <c r="RW105" s="12"/>
      <c r="RX105" s="12"/>
      <c r="RY105" s="12"/>
      <c r="RZ105" s="12"/>
      <c r="SA105" s="12"/>
      <c r="SB105" s="12"/>
      <c r="SC105" s="12"/>
      <c r="SD105" s="12"/>
      <c r="SE105" s="12"/>
      <c r="SF105" s="12"/>
      <c r="SG105" s="12"/>
      <c r="SH105" s="11"/>
      <c r="SI105" s="11"/>
      <c r="SJ105" s="11"/>
      <c r="SK105" s="11"/>
      <c r="SL105" s="11"/>
      <c r="SM105" s="11"/>
      <c r="SN105" s="11"/>
      <c r="SO105" s="11"/>
      <c r="SP105" s="11"/>
      <c r="SQ105" s="11"/>
      <c r="SR105" s="11"/>
      <c r="SS105" s="11"/>
      <c r="ST105" s="11"/>
      <c r="SU105" s="11"/>
      <c r="SV105" s="11"/>
      <c r="SW105" s="11"/>
      <c r="SX105" s="11"/>
      <c r="SY105" s="11"/>
      <c r="SZ105" s="11"/>
      <c r="TA105" s="11"/>
      <c r="TB105" s="11"/>
      <c r="TC105" s="11"/>
      <c r="TD105" s="11"/>
      <c r="TE105" s="11"/>
      <c r="TF105" s="11"/>
      <c r="TG105" s="11"/>
      <c r="TH105" s="11"/>
      <c r="TI105" s="11"/>
      <c r="TJ105" s="11"/>
      <c r="TK105" s="11"/>
      <c r="TL105" s="11"/>
    </row>
    <row r="106" spans="1:532" x14ac:dyDescent="0.2">
      <c r="A106" s="10" t="s">
        <v>105</v>
      </c>
      <c r="B106" s="12">
        <v>13.01</v>
      </c>
      <c r="C106" s="11">
        <v>0</v>
      </c>
      <c r="D106" s="11">
        <v>1.9700682959915143</v>
      </c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/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/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/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/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/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/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/>
      <c r="LT106" s="12"/>
      <c r="LU106" s="12"/>
      <c r="LV106" s="12"/>
      <c r="LW106" s="12"/>
      <c r="LX106" s="12"/>
      <c r="LY106" s="12"/>
      <c r="LZ106" s="12"/>
      <c r="MA106" s="12"/>
      <c r="MB106" s="12"/>
      <c r="MC106" s="12"/>
      <c r="MD106" s="12"/>
      <c r="ME106" s="12"/>
      <c r="MF106" s="12"/>
      <c r="MG106" s="12"/>
      <c r="MH106" s="12"/>
      <c r="MI106" s="12"/>
      <c r="MJ106" s="12"/>
      <c r="MK106" s="12"/>
      <c r="ML106" s="12"/>
      <c r="MM106" s="12"/>
      <c r="MN106" s="12"/>
      <c r="MO106" s="12"/>
      <c r="MP106" s="12"/>
      <c r="MQ106" s="12"/>
      <c r="MR106" s="12"/>
      <c r="MS106" s="12"/>
      <c r="MT106" s="12"/>
      <c r="MU106" s="12"/>
      <c r="MV106" s="12"/>
      <c r="MW106" s="12"/>
      <c r="MX106" s="12"/>
      <c r="MY106" s="12"/>
      <c r="MZ106" s="12"/>
      <c r="NA106" s="12"/>
      <c r="NB106" s="12"/>
      <c r="NC106" s="12"/>
      <c r="ND106" s="12"/>
      <c r="NE106" s="12"/>
      <c r="NF106" s="12"/>
      <c r="NG106" s="12"/>
      <c r="NH106" s="12"/>
      <c r="NI106" s="12"/>
      <c r="NJ106" s="12"/>
      <c r="NK106" s="12"/>
      <c r="NL106" s="12"/>
      <c r="NM106" s="12"/>
      <c r="NN106" s="12"/>
      <c r="NO106" s="12"/>
      <c r="NP106" s="12"/>
      <c r="NQ106" s="12"/>
      <c r="NR106" s="12"/>
      <c r="NS106" s="12"/>
      <c r="NT106" s="12"/>
      <c r="NU106" s="12"/>
      <c r="NV106" s="12"/>
      <c r="NW106" s="12"/>
      <c r="NX106" s="12"/>
      <c r="NY106" s="12"/>
      <c r="NZ106" s="12"/>
      <c r="OA106" s="12"/>
      <c r="OB106" s="12"/>
      <c r="OC106" s="12"/>
      <c r="OD106" s="12"/>
      <c r="OE106" s="12"/>
      <c r="OF106" s="12"/>
      <c r="OG106" s="12"/>
      <c r="OH106" s="12"/>
      <c r="OI106" s="12"/>
      <c r="OJ106" s="12"/>
      <c r="OK106" s="12"/>
      <c r="OL106" s="12"/>
      <c r="OM106" s="12"/>
      <c r="ON106" s="12"/>
      <c r="OO106" s="12"/>
      <c r="OP106" s="12"/>
      <c r="OQ106" s="12"/>
      <c r="OR106" s="12"/>
      <c r="OS106" s="12"/>
      <c r="OT106" s="12"/>
      <c r="OU106" s="12"/>
      <c r="OV106" s="12"/>
      <c r="OW106" s="12"/>
      <c r="OX106" s="12"/>
      <c r="OY106" s="12"/>
      <c r="OZ106" s="12"/>
      <c r="PA106" s="12"/>
      <c r="PB106" s="12"/>
      <c r="PC106" s="12"/>
      <c r="PD106" s="12"/>
      <c r="PE106" s="12"/>
      <c r="PF106" s="12"/>
      <c r="PG106" s="12"/>
      <c r="PH106" s="12"/>
      <c r="PI106" s="12"/>
      <c r="PJ106" s="12"/>
      <c r="PK106" s="12"/>
      <c r="PL106" s="12"/>
      <c r="PM106" s="12"/>
      <c r="PN106" s="12"/>
      <c r="PO106" s="12"/>
      <c r="PP106" s="12"/>
      <c r="PQ106" s="12"/>
      <c r="PR106" s="12"/>
      <c r="PS106" s="12"/>
      <c r="PT106" s="12"/>
      <c r="PU106" s="12"/>
      <c r="PV106" s="12"/>
      <c r="PW106" s="12"/>
      <c r="PX106" s="12"/>
      <c r="PY106" s="12"/>
      <c r="PZ106" s="12"/>
      <c r="QA106" s="12"/>
      <c r="QB106" s="12"/>
      <c r="QC106" s="12"/>
      <c r="QD106" s="12"/>
      <c r="QE106" s="12"/>
      <c r="QF106" s="12"/>
      <c r="QG106" s="12"/>
      <c r="QH106" s="12"/>
      <c r="QI106" s="12"/>
      <c r="QJ106" s="12"/>
      <c r="QK106" s="12"/>
      <c r="QL106" s="12"/>
      <c r="QM106" s="12"/>
      <c r="QN106" s="12"/>
      <c r="QO106" s="12"/>
      <c r="QP106" s="12"/>
      <c r="QQ106" s="12"/>
      <c r="QR106" s="12"/>
      <c r="QS106" s="12"/>
      <c r="QT106" s="12"/>
      <c r="QU106" s="12"/>
      <c r="QV106" s="12"/>
      <c r="QW106" s="12"/>
      <c r="QX106" s="12"/>
      <c r="QY106" s="12"/>
      <c r="QZ106" s="12"/>
      <c r="RA106" s="12"/>
      <c r="RB106" s="12"/>
      <c r="RC106" s="12"/>
      <c r="RD106" s="12"/>
      <c r="RE106" s="12"/>
      <c r="RF106" s="12"/>
      <c r="RG106" s="12"/>
      <c r="RH106" s="12"/>
      <c r="RI106" s="12"/>
      <c r="RJ106" s="12"/>
      <c r="RK106" s="12"/>
      <c r="RL106" s="12"/>
      <c r="RM106" s="12"/>
      <c r="RN106" s="12"/>
      <c r="RO106" s="12"/>
      <c r="RP106" s="12"/>
      <c r="RQ106" s="12"/>
      <c r="RR106" s="12"/>
      <c r="RS106" s="12"/>
      <c r="RT106" s="12"/>
      <c r="RU106" s="12"/>
      <c r="RV106" s="12"/>
      <c r="RW106" s="12"/>
      <c r="RX106" s="12"/>
      <c r="RY106" s="12"/>
      <c r="RZ106" s="12"/>
      <c r="SA106" s="12"/>
      <c r="SB106" s="12"/>
      <c r="SC106" s="12"/>
      <c r="SD106" s="12"/>
      <c r="SE106" s="12"/>
      <c r="SF106" s="12"/>
      <c r="SG106" s="12"/>
      <c r="SH106" s="11"/>
      <c r="SI106" s="11"/>
      <c r="SJ106" s="11"/>
      <c r="SK106" s="11"/>
      <c r="SL106" s="11"/>
      <c r="SM106" s="11"/>
      <c r="SN106" s="11"/>
      <c r="SO106" s="11"/>
      <c r="SP106" s="11"/>
      <c r="SQ106" s="11"/>
      <c r="SR106" s="11"/>
      <c r="SS106" s="11"/>
      <c r="ST106" s="11"/>
      <c r="SU106" s="11"/>
      <c r="SV106" s="11"/>
      <c r="SW106" s="11"/>
      <c r="SX106" s="11"/>
      <c r="SY106" s="11"/>
      <c r="SZ106" s="11"/>
      <c r="TA106" s="11"/>
      <c r="TB106" s="11"/>
      <c r="TC106" s="11"/>
      <c r="TD106" s="11"/>
      <c r="TE106" s="11"/>
      <c r="TF106" s="11"/>
      <c r="TG106" s="11"/>
      <c r="TH106" s="11"/>
      <c r="TI106" s="11"/>
      <c r="TJ106" s="11"/>
      <c r="TK106" s="11"/>
      <c r="TL106" s="11"/>
    </row>
    <row r="107" spans="1:532" x14ac:dyDescent="0.2">
      <c r="A107" s="10" t="s">
        <v>106</v>
      </c>
      <c r="B107" s="12">
        <v>13.66</v>
      </c>
      <c r="C107" s="11">
        <v>0</v>
      </c>
      <c r="D107" s="11">
        <v>1.3265786515721756</v>
      </c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/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/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/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/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/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/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/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2"/>
      <c r="LU107" s="12"/>
      <c r="LV107" s="12"/>
      <c r="LW107" s="12"/>
      <c r="LX107" s="12"/>
      <c r="LY107" s="12"/>
      <c r="LZ107" s="12"/>
      <c r="MA107" s="12"/>
      <c r="MB107" s="12"/>
      <c r="MC107" s="12"/>
      <c r="MD107" s="12"/>
      <c r="ME107" s="12"/>
      <c r="MF107" s="12"/>
      <c r="MG107" s="12"/>
      <c r="MH107" s="12"/>
      <c r="MI107" s="12"/>
      <c r="MJ107" s="12"/>
      <c r="MK107" s="12"/>
      <c r="ML107" s="12"/>
      <c r="MM107" s="12"/>
      <c r="MN107" s="12"/>
      <c r="MO107" s="12"/>
      <c r="MP107" s="12"/>
      <c r="MQ107" s="12"/>
      <c r="MR107" s="12"/>
      <c r="MS107" s="12"/>
      <c r="MT107" s="12"/>
      <c r="MU107" s="12"/>
      <c r="MV107" s="12"/>
      <c r="MW107" s="12"/>
      <c r="MX107" s="12"/>
      <c r="MY107" s="12"/>
      <c r="MZ107" s="12"/>
      <c r="NA107" s="12"/>
      <c r="NB107" s="12"/>
      <c r="NC107" s="12"/>
      <c r="ND107" s="12"/>
      <c r="NE107" s="12"/>
      <c r="NF107" s="12"/>
      <c r="NG107" s="12"/>
      <c r="NH107" s="12"/>
      <c r="NI107" s="12"/>
      <c r="NJ107" s="12"/>
      <c r="NK107" s="12"/>
      <c r="NL107" s="12"/>
      <c r="NM107" s="12"/>
      <c r="NN107" s="12"/>
      <c r="NO107" s="12"/>
      <c r="NP107" s="12"/>
      <c r="NQ107" s="12"/>
      <c r="NR107" s="12"/>
      <c r="NS107" s="12"/>
      <c r="NT107" s="12"/>
      <c r="NU107" s="12"/>
      <c r="NV107" s="12"/>
      <c r="NW107" s="12"/>
      <c r="NX107" s="12"/>
      <c r="NY107" s="12"/>
      <c r="NZ107" s="12"/>
      <c r="OA107" s="12"/>
      <c r="OB107" s="12"/>
      <c r="OC107" s="12"/>
      <c r="OD107" s="12"/>
      <c r="OE107" s="12"/>
      <c r="OF107" s="12"/>
      <c r="OG107" s="12"/>
      <c r="OH107" s="12"/>
      <c r="OI107" s="12"/>
      <c r="OJ107" s="12"/>
      <c r="OK107" s="12"/>
      <c r="OL107" s="12"/>
      <c r="OM107" s="12"/>
      <c r="ON107" s="12"/>
      <c r="OO107" s="12"/>
      <c r="OP107" s="12"/>
      <c r="OQ107" s="12"/>
      <c r="OR107" s="12"/>
      <c r="OS107" s="12"/>
      <c r="OT107" s="12"/>
      <c r="OU107" s="12"/>
      <c r="OV107" s="12"/>
      <c r="OW107" s="12"/>
      <c r="OX107" s="12"/>
      <c r="OY107" s="12"/>
      <c r="OZ107" s="12"/>
      <c r="PA107" s="12"/>
      <c r="PB107" s="12"/>
      <c r="PC107" s="12"/>
      <c r="PD107" s="12"/>
      <c r="PE107" s="12"/>
      <c r="PF107" s="12"/>
      <c r="PG107" s="12"/>
      <c r="PH107" s="12"/>
      <c r="PI107" s="12"/>
      <c r="PJ107" s="12"/>
      <c r="PK107" s="12"/>
      <c r="PL107" s="12"/>
      <c r="PM107" s="12"/>
      <c r="PN107" s="12"/>
      <c r="PO107" s="12"/>
      <c r="PP107" s="12"/>
      <c r="PQ107" s="12"/>
      <c r="PR107" s="12"/>
      <c r="PS107" s="12"/>
      <c r="PT107" s="12"/>
      <c r="PU107" s="12"/>
      <c r="PV107" s="12"/>
      <c r="PW107" s="12"/>
      <c r="PX107" s="12"/>
      <c r="PY107" s="12"/>
      <c r="PZ107" s="12"/>
      <c r="QA107" s="12"/>
      <c r="QB107" s="12"/>
      <c r="QC107" s="12"/>
      <c r="QD107" s="12"/>
      <c r="QE107" s="12"/>
      <c r="QF107" s="12"/>
      <c r="QG107" s="12"/>
      <c r="QH107" s="12"/>
      <c r="QI107" s="12"/>
      <c r="QJ107" s="12"/>
      <c r="QK107" s="12"/>
      <c r="QL107" s="12"/>
      <c r="QM107" s="12"/>
      <c r="QN107" s="12"/>
      <c r="QO107" s="12"/>
      <c r="QP107" s="12"/>
      <c r="QQ107" s="12"/>
      <c r="QR107" s="12"/>
      <c r="QS107" s="12"/>
      <c r="QT107" s="12"/>
      <c r="QU107" s="12"/>
      <c r="QV107" s="12"/>
      <c r="QW107" s="12"/>
      <c r="QX107" s="12"/>
      <c r="QY107" s="12"/>
      <c r="QZ107" s="12"/>
      <c r="RA107" s="12"/>
      <c r="RB107" s="12"/>
      <c r="RC107" s="12"/>
      <c r="RD107" s="12"/>
      <c r="RE107" s="12"/>
      <c r="RF107" s="12"/>
      <c r="RG107" s="12"/>
      <c r="RH107" s="12"/>
      <c r="RI107" s="12"/>
      <c r="RJ107" s="12"/>
      <c r="RK107" s="12"/>
      <c r="RL107" s="12"/>
      <c r="RM107" s="12"/>
      <c r="RN107" s="12"/>
      <c r="RO107" s="12"/>
      <c r="RP107" s="12"/>
      <c r="RQ107" s="12"/>
      <c r="RR107" s="12"/>
      <c r="RS107" s="12"/>
      <c r="RT107" s="12"/>
      <c r="RU107" s="12"/>
      <c r="RV107" s="12"/>
      <c r="RW107" s="12"/>
      <c r="RX107" s="12"/>
      <c r="RY107" s="12"/>
      <c r="RZ107" s="12"/>
      <c r="SA107" s="12"/>
      <c r="SB107" s="12"/>
      <c r="SC107" s="12"/>
      <c r="SD107" s="12"/>
      <c r="SE107" s="12"/>
      <c r="SF107" s="12"/>
      <c r="SG107" s="12"/>
      <c r="SH107" s="11"/>
      <c r="SI107" s="11"/>
      <c r="SJ107" s="11"/>
      <c r="SK107" s="11"/>
      <c r="SL107" s="11"/>
      <c r="SM107" s="11"/>
      <c r="SN107" s="11"/>
      <c r="SO107" s="11"/>
      <c r="SP107" s="11"/>
      <c r="SQ107" s="11"/>
      <c r="SR107" s="11"/>
      <c r="SS107" s="11"/>
      <c r="ST107" s="11"/>
      <c r="SU107" s="11"/>
      <c r="SV107" s="11"/>
      <c r="SW107" s="11"/>
      <c r="SX107" s="11"/>
      <c r="SY107" s="11"/>
      <c r="SZ107" s="11"/>
      <c r="TA107" s="11"/>
      <c r="TB107" s="11"/>
      <c r="TC107" s="11"/>
      <c r="TD107" s="11"/>
      <c r="TE107" s="11"/>
      <c r="TF107" s="11"/>
      <c r="TG107" s="11"/>
      <c r="TH107" s="11"/>
      <c r="TI107" s="11"/>
      <c r="TJ107" s="11"/>
      <c r="TK107" s="11"/>
      <c r="TL107" s="11"/>
    </row>
    <row r="108" spans="1:532" x14ac:dyDescent="0.2">
      <c r="A108" s="10" t="s">
        <v>107</v>
      </c>
      <c r="B108" s="12">
        <v>12.73</v>
      </c>
      <c r="C108" s="11">
        <v>0</v>
      </c>
      <c r="D108" s="11">
        <v>2.2472638351259988</v>
      </c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12"/>
      <c r="IP108" s="12"/>
      <c r="IQ108" s="12"/>
      <c r="IR108" s="12"/>
      <c r="IS108" s="12"/>
      <c r="IT108" s="12"/>
      <c r="IU108" s="12"/>
      <c r="IV108" s="12"/>
      <c r="IW108" s="12"/>
      <c r="IX108" s="12"/>
      <c r="IY108" s="12"/>
      <c r="IZ108" s="12"/>
      <c r="JA108" s="12"/>
      <c r="JB108" s="12"/>
      <c r="JC108" s="12"/>
      <c r="JD108" s="12"/>
      <c r="JE108" s="12"/>
      <c r="JF108" s="12"/>
      <c r="JG108" s="12"/>
      <c r="JH108" s="12"/>
      <c r="JI108" s="12"/>
      <c r="JJ108" s="12"/>
      <c r="JK108" s="12"/>
      <c r="JL108" s="12"/>
      <c r="JM108" s="12"/>
      <c r="JN108" s="12"/>
      <c r="JO108" s="12"/>
      <c r="JP108" s="12"/>
      <c r="JQ108" s="12"/>
      <c r="JR108" s="12"/>
      <c r="JS108" s="12"/>
      <c r="JT108" s="12"/>
      <c r="JU108" s="12"/>
      <c r="JV108" s="12"/>
      <c r="JW108" s="12"/>
      <c r="JX108" s="12"/>
      <c r="JY108" s="12"/>
      <c r="JZ108" s="12"/>
      <c r="KA108" s="12"/>
      <c r="KB108" s="12"/>
      <c r="KC108" s="12"/>
      <c r="KD108" s="12"/>
      <c r="KE108" s="12"/>
      <c r="KF108" s="12"/>
      <c r="KG108" s="12"/>
      <c r="KH108" s="12"/>
      <c r="KI108" s="12"/>
      <c r="KJ108" s="12"/>
      <c r="KK108" s="12"/>
      <c r="KL108" s="12"/>
      <c r="KM108" s="12"/>
      <c r="KN108" s="12"/>
      <c r="KO108" s="12"/>
      <c r="KP108" s="12"/>
      <c r="KQ108" s="12"/>
      <c r="KR108" s="12"/>
      <c r="KS108" s="12"/>
      <c r="KT108" s="12"/>
      <c r="KU108" s="12"/>
      <c r="KV108" s="12"/>
      <c r="KW108" s="12"/>
      <c r="KX108" s="12"/>
      <c r="KY108" s="12"/>
      <c r="KZ108" s="12"/>
      <c r="LA108" s="12"/>
      <c r="LB108" s="12"/>
      <c r="LC108" s="12"/>
      <c r="LD108" s="12"/>
      <c r="LE108" s="12"/>
      <c r="LF108" s="12"/>
      <c r="LG108" s="12"/>
      <c r="LH108" s="12"/>
      <c r="LI108" s="12"/>
      <c r="LJ108" s="12"/>
      <c r="LK108" s="12"/>
      <c r="LL108" s="12"/>
      <c r="LM108" s="12"/>
      <c r="LN108" s="12"/>
      <c r="LO108" s="12"/>
      <c r="LP108" s="12"/>
      <c r="LQ108" s="12"/>
      <c r="LR108" s="12"/>
      <c r="LS108" s="12"/>
      <c r="LT108" s="12"/>
      <c r="LU108" s="12"/>
      <c r="LV108" s="12"/>
      <c r="LW108" s="12"/>
      <c r="LX108" s="12"/>
      <c r="LY108" s="12"/>
      <c r="LZ108" s="12"/>
      <c r="MA108" s="12"/>
      <c r="MB108" s="12"/>
      <c r="MC108" s="12"/>
      <c r="MD108" s="12"/>
      <c r="ME108" s="12"/>
      <c r="MF108" s="12"/>
      <c r="MG108" s="12"/>
      <c r="MH108" s="12"/>
      <c r="MI108" s="12"/>
      <c r="MJ108" s="12"/>
      <c r="MK108" s="12"/>
      <c r="ML108" s="12"/>
      <c r="MM108" s="12"/>
      <c r="MN108" s="12"/>
      <c r="MO108" s="12"/>
      <c r="MP108" s="12"/>
      <c r="MQ108" s="12"/>
      <c r="MR108" s="12"/>
      <c r="MS108" s="12"/>
      <c r="MT108" s="12"/>
      <c r="MU108" s="12"/>
      <c r="MV108" s="12"/>
      <c r="MW108" s="12"/>
      <c r="MX108" s="12"/>
      <c r="MY108" s="12"/>
      <c r="MZ108" s="12"/>
      <c r="NA108" s="12"/>
      <c r="NB108" s="12"/>
      <c r="NC108" s="12"/>
      <c r="ND108" s="12"/>
      <c r="NE108" s="12"/>
      <c r="NF108" s="12"/>
      <c r="NG108" s="12"/>
      <c r="NH108" s="12"/>
      <c r="NI108" s="12"/>
      <c r="NJ108" s="12"/>
      <c r="NK108" s="12"/>
      <c r="NL108" s="12"/>
      <c r="NM108" s="12"/>
      <c r="NN108" s="12"/>
      <c r="NO108" s="12"/>
      <c r="NP108" s="12"/>
      <c r="NQ108" s="12"/>
      <c r="NR108" s="12"/>
      <c r="NS108" s="12"/>
      <c r="NT108" s="12"/>
      <c r="NU108" s="12"/>
      <c r="NV108" s="12"/>
      <c r="NW108" s="12"/>
      <c r="NX108" s="12"/>
      <c r="NY108" s="12"/>
      <c r="NZ108" s="12"/>
      <c r="OA108" s="12"/>
      <c r="OB108" s="12"/>
      <c r="OC108" s="12"/>
      <c r="OD108" s="12"/>
      <c r="OE108" s="12"/>
      <c r="OF108" s="12"/>
      <c r="OG108" s="12"/>
      <c r="OH108" s="12"/>
      <c r="OI108" s="12"/>
      <c r="OJ108" s="12"/>
      <c r="OK108" s="12"/>
      <c r="OL108" s="12"/>
      <c r="OM108" s="12"/>
      <c r="ON108" s="12"/>
      <c r="OO108" s="12"/>
      <c r="OP108" s="12"/>
      <c r="OQ108" s="12"/>
      <c r="OR108" s="12"/>
      <c r="OS108" s="12"/>
      <c r="OT108" s="12"/>
      <c r="OU108" s="12"/>
      <c r="OV108" s="12"/>
      <c r="OW108" s="12"/>
      <c r="OX108" s="12"/>
      <c r="OY108" s="12"/>
      <c r="OZ108" s="12"/>
      <c r="PA108" s="12"/>
      <c r="PB108" s="12"/>
      <c r="PC108" s="12"/>
      <c r="PD108" s="12"/>
      <c r="PE108" s="12"/>
      <c r="PF108" s="12"/>
      <c r="PG108" s="12"/>
      <c r="PH108" s="12"/>
      <c r="PI108" s="12"/>
      <c r="PJ108" s="12"/>
      <c r="PK108" s="12"/>
      <c r="PL108" s="12"/>
      <c r="PM108" s="12"/>
      <c r="PN108" s="12"/>
      <c r="PO108" s="12"/>
      <c r="PP108" s="12"/>
      <c r="PQ108" s="12"/>
      <c r="PR108" s="12"/>
      <c r="PS108" s="12"/>
      <c r="PT108" s="12"/>
      <c r="PU108" s="12"/>
      <c r="PV108" s="12"/>
      <c r="PW108" s="12"/>
      <c r="PX108" s="12"/>
      <c r="PY108" s="12"/>
      <c r="PZ108" s="12"/>
      <c r="QA108" s="12"/>
      <c r="QB108" s="12"/>
      <c r="QC108" s="12"/>
      <c r="QD108" s="12"/>
      <c r="QE108" s="12"/>
      <c r="QF108" s="12"/>
      <c r="QG108" s="12"/>
      <c r="QH108" s="12"/>
      <c r="QI108" s="12"/>
      <c r="QJ108" s="12"/>
      <c r="QK108" s="12"/>
      <c r="QL108" s="12"/>
      <c r="QM108" s="12"/>
      <c r="QN108" s="12"/>
      <c r="QO108" s="12"/>
      <c r="QP108" s="12"/>
      <c r="QQ108" s="12"/>
      <c r="QR108" s="12"/>
      <c r="QS108" s="12"/>
      <c r="QT108" s="12"/>
      <c r="QU108" s="12"/>
      <c r="QV108" s="12"/>
      <c r="QW108" s="12"/>
      <c r="QX108" s="12"/>
      <c r="QY108" s="12"/>
      <c r="QZ108" s="12"/>
      <c r="RA108" s="12"/>
      <c r="RB108" s="12"/>
      <c r="RC108" s="12"/>
      <c r="RD108" s="12"/>
      <c r="RE108" s="12"/>
      <c r="RF108" s="12"/>
      <c r="RG108" s="12"/>
      <c r="RH108" s="12"/>
      <c r="RI108" s="12"/>
      <c r="RJ108" s="12"/>
      <c r="RK108" s="12"/>
      <c r="RL108" s="12"/>
      <c r="RM108" s="12"/>
      <c r="RN108" s="12"/>
      <c r="RO108" s="12"/>
      <c r="RP108" s="12"/>
      <c r="RQ108" s="12"/>
      <c r="RR108" s="12"/>
      <c r="RS108" s="12"/>
      <c r="RT108" s="12"/>
      <c r="RU108" s="12"/>
      <c r="RV108" s="12"/>
      <c r="RW108" s="12"/>
      <c r="RX108" s="12"/>
      <c r="RY108" s="12"/>
      <c r="RZ108" s="12"/>
      <c r="SA108" s="12"/>
      <c r="SB108" s="12"/>
      <c r="SC108" s="12"/>
      <c r="SD108" s="12"/>
      <c r="SE108" s="12"/>
      <c r="SF108" s="12"/>
      <c r="SG108" s="12"/>
      <c r="SH108" s="11"/>
      <c r="SI108" s="11"/>
      <c r="SJ108" s="11"/>
      <c r="SK108" s="11"/>
      <c r="SL108" s="11"/>
      <c r="SM108" s="11"/>
      <c r="SN108" s="11"/>
      <c r="SO108" s="11"/>
      <c r="SP108" s="11"/>
      <c r="SQ108" s="11"/>
      <c r="SR108" s="11"/>
      <c r="SS108" s="11"/>
      <c r="ST108" s="11"/>
      <c r="SU108" s="11"/>
      <c r="SV108" s="11"/>
      <c r="SW108" s="11"/>
      <c r="SX108" s="11"/>
      <c r="SY108" s="11"/>
      <c r="SZ108" s="11"/>
      <c r="TA108" s="11"/>
      <c r="TB108" s="11"/>
      <c r="TC108" s="11"/>
      <c r="TD108" s="11"/>
      <c r="TE108" s="11"/>
      <c r="TF108" s="11"/>
      <c r="TG108" s="11"/>
      <c r="TH108" s="11"/>
      <c r="TI108" s="11"/>
      <c r="TJ108" s="11"/>
      <c r="TK108" s="11"/>
      <c r="TL108" s="11"/>
    </row>
    <row r="109" spans="1:532" x14ac:dyDescent="0.2">
      <c r="A109" s="10" t="s">
        <v>108</v>
      </c>
      <c r="B109" s="12">
        <v>12.85</v>
      </c>
      <c r="C109" s="11">
        <v>0</v>
      </c>
      <c r="D109" s="11">
        <v>2.1284657469255053</v>
      </c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12"/>
      <c r="IP109" s="12"/>
      <c r="IQ109" s="12"/>
      <c r="IR109" s="12"/>
      <c r="IS109" s="12"/>
      <c r="IT109" s="12"/>
      <c r="IU109" s="12"/>
      <c r="IV109" s="12"/>
      <c r="IW109" s="12"/>
      <c r="IX109" s="12"/>
      <c r="IY109" s="12"/>
      <c r="IZ109" s="12"/>
      <c r="JA109" s="12"/>
      <c r="JB109" s="12"/>
      <c r="JC109" s="12"/>
      <c r="JD109" s="12"/>
      <c r="JE109" s="12"/>
      <c r="JF109" s="12"/>
      <c r="JG109" s="12"/>
      <c r="JH109" s="12"/>
      <c r="JI109" s="12"/>
      <c r="JJ109" s="12"/>
      <c r="JK109" s="12"/>
      <c r="JL109" s="12"/>
      <c r="JM109" s="12"/>
      <c r="JN109" s="12"/>
      <c r="JO109" s="12"/>
      <c r="JP109" s="12"/>
      <c r="JQ109" s="12"/>
      <c r="JR109" s="12"/>
      <c r="JS109" s="12"/>
      <c r="JT109" s="12"/>
      <c r="JU109" s="12"/>
      <c r="JV109" s="12"/>
      <c r="JW109" s="12"/>
      <c r="JX109" s="12"/>
      <c r="JY109" s="12"/>
      <c r="JZ109" s="12"/>
      <c r="KA109" s="12"/>
      <c r="KB109" s="12"/>
      <c r="KC109" s="12"/>
      <c r="KD109" s="12"/>
      <c r="KE109" s="12"/>
      <c r="KF109" s="12"/>
      <c r="KG109" s="12"/>
      <c r="KH109" s="12"/>
      <c r="KI109" s="12"/>
      <c r="KJ109" s="12"/>
      <c r="KK109" s="12"/>
      <c r="KL109" s="12"/>
      <c r="KM109" s="12"/>
      <c r="KN109" s="12"/>
      <c r="KO109" s="12"/>
      <c r="KP109" s="12"/>
      <c r="KQ109" s="12"/>
      <c r="KR109" s="12"/>
      <c r="KS109" s="12"/>
      <c r="KT109" s="12"/>
      <c r="KU109" s="12"/>
      <c r="KV109" s="12"/>
      <c r="KW109" s="12"/>
      <c r="KX109" s="12"/>
      <c r="KY109" s="12"/>
      <c r="KZ109" s="12"/>
      <c r="LA109" s="12"/>
      <c r="LB109" s="12"/>
      <c r="LC109" s="12"/>
      <c r="LD109" s="12"/>
      <c r="LE109" s="12"/>
      <c r="LF109" s="12"/>
      <c r="LG109" s="12"/>
      <c r="LH109" s="12"/>
      <c r="LI109" s="12"/>
      <c r="LJ109" s="12"/>
      <c r="LK109" s="12"/>
      <c r="LL109" s="12"/>
      <c r="LM109" s="12"/>
      <c r="LN109" s="12"/>
      <c r="LO109" s="12"/>
      <c r="LP109" s="12"/>
      <c r="LQ109" s="12"/>
      <c r="LR109" s="12"/>
      <c r="LS109" s="12"/>
      <c r="LT109" s="12"/>
      <c r="LU109" s="12"/>
      <c r="LV109" s="12"/>
      <c r="LW109" s="12"/>
      <c r="LX109" s="12"/>
      <c r="LY109" s="12"/>
      <c r="LZ109" s="12"/>
      <c r="MA109" s="12"/>
      <c r="MB109" s="12"/>
      <c r="MC109" s="12"/>
      <c r="MD109" s="12"/>
      <c r="ME109" s="12"/>
      <c r="MF109" s="12"/>
      <c r="MG109" s="12"/>
      <c r="MH109" s="12"/>
      <c r="MI109" s="12"/>
      <c r="MJ109" s="12"/>
      <c r="MK109" s="12"/>
      <c r="ML109" s="12"/>
      <c r="MM109" s="12"/>
      <c r="MN109" s="12"/>
      <c r="MO109" s="12"/>
      <c r="MP109" s="12"/>
      <c r="MQ109" s="12"/>
      <c r="MR109" s="12"/>
      <c r="MS109" s="12"/>
      <c r="MT109" s="12"/>
      <c r="MU109" s="12"/>
      <c r="MV109" s="12"/>
      <c r="MW109" s="12"/>
      <c r="MX109" s="12"/>
      <c r="MY109" s="12"/>
      <c r="MZ109" s="12"/>
      <c r="NA109" s="12"/>
      <c r="NB109" s="12"/>
      <c r="NC109" s="12"/>
      <c r="ND109" s="12"/>
      <c r="NE109" s="12"/>
      <c r="NF109" s="12"/>
      <c r="NG109" s="12"/>
      <c r="NH109" s="12"/>
      <c r="NI109" s="12"/>
      <c r="NJ109" s="12"/>
      <c r="NK109" s="12"/>
      <c r="NL109" s="12"/>
      <c r="NM109" s="12"/>
      <c r="NN109" s="12"/>
      <c r="NO109" s="12"/>
      <c r="NP109" s="12"/>
      <c r="NQ109" s="12"/>
      <c r="NR109" s="12"/>
      <c r="NS109" s="12"/>
      <c r="NT109" s="12"/>
      <c r="NU109" s="12"/>
      <c r="NV109" s="12"/>
      <c r="NW109" s="12"/>
      <c r="NX109" s="12"/>
      <c r="NY109" s="12"/>
      <c r="NZ109" s="12"/>
      <c r="OA109" s="12"/>
      <c r="OB109" s="12"/>
      <c r="OC109" s="12"/>
      <c r="OD109" s="12"/>
      <c r="OE109" s="12"/>
      <c r="OF109" s="12"/>
      <c r="OG109" s="12"/>
      <c r="OH109" s="12"/>
      <c r="OI109" s="12"/>
      <c r="OJ109" s="12"/>
      <c r="OK109" s="12"/>
      <c r="OL109" s="12"/>
      <c r="OM109" s="12"/>
      <c r="ON109" s="12"/>
      <c r="OO109" s="12"/>
      <c r="OP109" s="12"/>
      <c r="OQ109" s="12"/>
      <c r="OR109" s="12"/>
      <c r="OS109" s="12"/>
      <c r="OT109" s="12"/>
      <c r="OU109" s="12"/>
      <c r="OV109" s="12"/>
      <c r="OW109" s="12"/>
      <c r="OX109" s="12"/>
      <c r="OY109" s="12"/>
      <c r="OZ109" s="12"/>
      <c r="PA109" s="12"/>
      <c r="PB109" s="12"/>
      <c r="PC109" s="12"/>
      <c r="PD109" s="12"/>
      <c r="PE109" s="12"/>
      <c r="PF109" s="12"/>
      <c r="PG109" s="12"/>
      <c r="PH109" s="12"/>
      <c r="PI109" s="12"/>
      <c r="PJ109" s="12"/>
      <c r="PK109" s="12"/>
      <c r="PL109" s="12"/>
      <c r="PM109" s="12"/>
      <c r="PN109" s="12"/>
      <c r="PO109" s="12"/>
      <c r="PP109" s="12"/>
      <c r="PQ109" s="12"/>
      <c r="PR109" s="12"/>
      <c r="PS109" s="12"/>
      <c r="PT109" s="12"/>
      <c r="PU109" s="12"/>
      <c r="PV109" s="12"/>
      <c r="PW109" s="12"/>
      <c r="PX109" s="12"/>
      <c r="PY109" s="12"/>
      <c r="PZ109" s="12"/>
      <c r="QA109" s="12"/>
      <c r="QB109" s="12"/>
      <c r="QC109" s="12"/>
      <c r="QD109" s="12"/>
      <c r="QE109" s="12"/>
      <c r="QF109" s="12"/>
      <c r="QG109" s="12"/>
      <c r="QH109" s="12"/>
      <c r="QI109" s="12"/>
      <c r="QJ109" s="12"/>
      <c r="QK109" s="12"/>
      <c r="QL109" s="12"/>
      <c r="QM109" s="12"/>
      <c r="QN109" s="12"/>
      <c r="QO109" s="12"/>
      <c r="QP109" s="12"/>
      <c r="QQ109" s="12"/>
      <c r="QR109" s="12"/>
      <c r="QS109" s="12"/>
      <c r="QT109" s="12"/>
      <c r="QU109" s="12"/>
      <c r="QV109" s="12"/>
      <c r="QW109" s="12"/>
      <c r="QX109" s="12"/>
      <c r="QY109" s="12"/>
      <c r="QZ109" s="12"/>
      <c r="RA109" s="12"/>
      <c r="RB109" s="12"/>
      <c r="RC109" s="12"/>
      <c r="RD109" s="12"/>
      <c r="RE109" s="12"/>
      <c r="RF109" s="12"/>
      <c r="RG109" s="12"/>
      <c r="RH109" s="12"/>
      <c r="RI109" s="12"/>
      <c r="RJ109" s="12"/>
      <c r="RK109" s="12"/>
      <c r="RL109" s="12"/>
      <c r="RM109" s="12"/>
      <c r="RN109" s="12"/>
      <c r="RO109" s="12"/>
      <c r="RP109" s="12"/>
      <c r="RQ109" s="12"/>
      <c r="RR109" s="12"/>
      <c r="RS109" s="12"/>
      <c r="RT109" s="12"/>
      <c r="RU109" s="12"/>
      <c r="RV109" s="12"/>
      <c r="RW109" s="12"/>
      <c r="RX109" s="12"/>
      <c r="RY109" s="12"/>
      <c r="RZ109" s="12"/>
      <c r="SA109" s="12"/>
      <c r="SB109" s="12"/>
      <c r="SC109" s="12"/>
      <c r="SD109" s="12"/>
      <c r="SE109" s="12"/>
      <c r="SF109" s="12"/>
      <c r="SG109" s="12"/>
      <c r="SH109" s="11"/>
      <c r="SI109" s="11"/>
      <c r="SJ109" s="11"/>
      <c r="SK109" s="11"/>
      <c r="SL109" s="11"/>
      <c r="SM109" s="11"/>
      <c r="SN109" s="11"/>
      <c r="SO109" s="11"/>
      <c r="SP109" s="11"/>
      <c r="SQ109" s="11"/>
      <c r="SR109" s="11"/>
      <c r="SS109" s="11"/>
      <c r="ST109" s="11"/>
      <c r="SU109" s="11"/>
      <c r="SV109" s="11"/>
      <c r="SW109" s="11"/>
      <c r="SX109" s="11"/>
      <c r="SY109" s="11"/>
      <c r="SZ109" s="11"/>
      <c r="TA109" s="11"/>
      <c r="TB109" s="11"/>
      <c r="TC109" s="11"/>
      <c r="TD109" s="11"/>
      <c r="TE109" s="11"/>
      <c r="TF109" s="11"/>
      <c r="TG109" s="11"/>
      <c r="TH109" s="11"/>
      <c r="TI109" s="11"/>
      <c r="TJ109" s="11"/>
      <c r="TK109" s="11"/>
      <c r="TL109" s="11"/>
    </row>
    <row r="110" spans="1:532" x14ac:dyDescent="0.2">
      <c r="A110" s="10" t="s">
        <v>109</v>
      </c>
      <c r="B110" s="12">
        <v>15.64</v>
      </c>
      <c r="C110" s="11">
        <v>0.63358980373596441</v>
      </c>
      <c r="D110" s="11">
        <v>0</v>
      </c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12"/>
      <c r="IP110" s="12"/>
      <c r="IQ110" s="12"/>
      <c r="IR110" s="12"/>
      <c r="IS110" s="12"/>
      <c r="IT110" s="12"/>
      <c r="IU110" s="12"/>
      <c r="IV110" s="12"/>
      <c r="IW110" s="12"/>
      <c r="IX110" s="12"/>
      <c r="IY110" s="12"/>
      <c r="IZ110" s="12"/>
      <c r="JA110" s="12"/>
      <c r="JB110" s="12"/>
      <c r="JC110" s="12"/>
      <c r="JD110" s="12"/>
      <c r="JE110" s="12"/>
      <c r="JF110" s="12"/>
      <c r="JG110" s="12"/>
      <c r="JH110" s="12"/>
      <c r="JI110" s="12"/>
      <c r="JJ110" s="12"/>
      <c r="JK110" s="12"/>
      <c r="JL110" s="12"/>
      <c r="JM110" s="12"/>
      <c r="JN110" s="12"/>
      <c r="JO110" s="12"/>
      <c r="JP110" s="12"/>
      <c r="JQ110" s="12"/>
      <c r="JR110" s="12"/>
      <c r="JS110" s="12"/>
      <c r="JT110" s="12"/>
      <c r="JU110" s="12"/>
      <c r="JV110" s="12"/>
      <c r="JW110" s="12"/>
      <c r="JX110" s="12"/>
      <c r="JY110" s="12"/>
      <c r="JZ110" s="12"/>
      <c r="KA110" s="12"/>
      <c r="KB110" s="12"/>
      <c r="KC110" s="12"/>
      <c r="KD110" s="12"/>
      <c r="KE110" s="12"/>
      <c r="KF110" s="12"/>
      <c r="KG110" s="12"/>
      <c r="KH110" s="12"/>
      <c r="KI110" s="12"/>
      <c r="KJ110" s="12"/>
      <c r="KK110" s="12"/>
      <c r="KL110" s="12"/>
      <c r="KM110" s="12"/>
      <c r="KN110" s="12"/>
      <c r="KO110" s="12"/>
      <c r="KP110" s="12"/>
      <c r="KQ110" s="12"/>
      <c r="KR110" s="12"/>
      <c r="KS110" s="12"/>
      <c r="KT110" s="12"/>
      <c r="KU110" s="12"/>
      <c r="KV110" s="12"/>
      <c r="KW110" s="12"/>
      <c r="KX110" s="12"/>
      <c r="KY110" s="12"/>
      <c r="KZ110" s="12"/>
      <c r="LA110" s="12"/>
      <c r="LB110" s="12"/>
      <c r="LC110" s="12"/>
      <c r="LD110" s="12"/>
      <c r="LE110" s="12"/>
      <c r="LF110" s="12"/>
      <c r="LG110" s="12"/>
      <c r="LH110" s="12"/>
      <c r="LI110" s="12"/>
      <c r="LJ110" s="12"/>
      <c r="LK110" s="12"/>
      <c r="LL110" s="12"/>
      <c r="LM110" s="12"/>
      <c r="LN110" s="12"/>
      <c r="LO110" s="12"/>
      <c r="LP110" s="12"/>
      <c r="LQ110" s="12"/>
      <c r="LR110" s="12"/>
      <c r="LS110" s="12"/>
      <c r="LT110" s="12"/>
      <c r="LU110" s="12"/>
      <c r="LV110" s="12"/>
      <c r="LW110" s="12"/>
      <c r="LX110" s="12"/>
      <c r="LY110" s="12"/>
      <c r="LZ110" s="12"/>
      <c r="MA110" s="12"/>
      <c r="MB110" s="12"/>
      <c r="MC110" s="12"/>
      <c r="MD110" s="12"/>
      <c r="ME110" s="12"/>
      <c r="MF110" s="12"/>
      <c r="MG110" s="12"/>
      <c r="MH110" s="12"/>
      <c r="MI110" s="12"/>
      <c r="MJ110" s="12"/>
      <c r="MK110" s="12"/>
      <c r="ML110" s="12"/>
      <c r="MM110" s="12"/>
      <c r="MN110" s="12"/>
      <c r="MO110" s="12"/>
      <c r="MP110" s="12"/>
      <c r="MQ110" s="12"/>
      <c r="MR110" s="12"/>
      <c r="MS110" s="12"/>
      <c r="MT110" s="12"/>
      <c r="MU110" s="12"/>
      <c r="MV110" s="12"/>
      <c r="MW110" s="12"/>
      <c r="MX110" s="12"/>
      <c r="MY110" s="12"/>
      <c r="MZ110" s="12"/>
      <c r="NA110" s="12"/>
      <c r="NB110" s="12"/>
      <c r="NC110" s="12"/>
      <c r="ND110" s="12"/>
      <c r="NE110" s="12"/>
      <c r="NF110" s="12"/>
      <c r="NG110" s="12"/>
      <c r="NH110" s="12"/>
      <c r="NI110" s="12"/>
      <c r="NJ110" s="12"/>
      <c r="NK110" s="12"/>
      <c r="NL110" s="12"/>
      <c r="NM110" s="12"/>
      <c r="NN110" s="12"/>
      <c r="NO110" s="12"/>
      <c r="NP110" s="12"/>
      <c r="NQ110" s="12"/>
      <c r="NR110" s="12"/>
      <c r="NS110" s="12"/>
      <c r="NT110" s="12"/>
      <c r="NU110" s="12"/>
      <c r="NV110" s="12"/>
      <c r="NW110" s="12"/>
      <c r="NX110" s="12"/>
      <c r="NY110" s="12"/>
      <c r="NZ110" s="12"/>
      <c r="OA110" s="12"/>
      <c r="OB110" s="12"/>
      <c r="OC110" s="12"/>
      <c r="OD110" s="12"/>
      <c r="OE110" s="12"/>
      <c r="OF110" s="12"/>
      <c r="OG110" s="12"/>
      <c r="OH110" s="12"/>
      <c r="OI110" s="12"/>
      <c r="OJ110" s="12"/>
      <c r="OK110" s="12"/>
      <c r="OL110" s="12"/>
      <c r="OM110" s="12"/>
      <c r="ON110" s="12"/>
      <c r="OO110" s="12"/>
      <c r="OP110" s="12"/>
      <c r="OQ110" s="12"/>
      <c r="OR110" s="12"/>
      <c r="OS110" s="12"/>
      <c r="OT110" s="12"/>
      <c r="OU110" s="12"/>
      <c r="OV110" s="12"/>
      <c r="OW110" s="12"/>
      <c r="OX110" s="12"/>
      <c r="OY110" s="12"/>
      <c r="OZ110" s="12"/>
      <c r="PA110" s="12"/>
      <c r="PB110" s="12"/>
      <c r="PC110" s="12"/>
      <c r="PD110" s="12"/>
      <c r="PE110" s="12"/>
      <c r="PF110" s="12"/>
      <c r="PG110" s="12"/>
      <c r="PH110" s="12"/>
      <c r="PI110" s="12"/>
      <c r="PJ110" s="12"/>
      <c r="PK110" s="12"/>
      <c r="PL110" s="12"/>
      <c r="PM110" s="12"/>
      <c r="PN110" s="12"/>
      <c r="PO110" s="12"/>
      <c r="PP110" s="12"/>
      <c r="PQ110" s="12"/>
      <c r="PR110" s="12"/>
      <c r="PS110" s="12"/>
      <c r="PT110" s="12"/>
      <c r="PU110" s="12"/>
      <c r="PV110" s="12"/>
      <c r="PW110" s="12"/>
      <c r="PX110" s="12"/>
      <c r="PY110" s="12"/>
      <c r="PZ110" s="12"/>
      <c r="QA110" s="12"/>
      <c r="QB110" s="12"/>
      <c r="QC110" s="12"/>
      <c r="QD110" s="12"/>
      <c r="QE110" s="12"/>
      <c r="QF110" s="12"/>
      <c r="QG110" s="12"/>
      <c r="QH110" s="12"/>
      <c r="QI110" s="12"/>
      <c r="QJ110" s="12"/>
      <c r="QK110" s="12"/>
      <c r="QL110" s="12"/>
      <c r="QM110" s="12"/>
      <c r="QN110" s="12"/>
      <c r="QO110" s="12"/>
      <c r="QP110" s="12"/>
      <c r="QQ110" s="12"/>
      <c r="QR110" s="12"/>
      <c r="QS110" s="12"/>
      <c r="QT110" s="12"/>
      <c r="QU110" s="12"/>
      <c r="QV110" s="12"/>
      <c r="QW110" s="12"/>
      <c r="QX110" s="12"/>
      <c r="QY110" s="12"/>
      <c r="QZ110" s="12"/>
      <c r="RA110" s="12"/>
      <c r="RB110" s="12"/>
      <c r="RC110" s="12"/>
      <c r="RD110" s="12"/>
      <c r="RE110" s="12"/>
      <c r="RF110" s="12"/>
      <c r="RG110" s="12"/>
      <c r="RH110" s="12"/>
      <c r="RI110" s="12"/>
      <c r="RJ110" s="12"/>
      <c r="RK110" s="12"/>
      <c r="RL110" s="12"/>
      <c r="RM110" s="12"/>
      <c r="RN110" s="12"/>
      <c r="RO110" s="12"/>
      <c r="RP110" s="12"/>
      <c r="RQ110" s="12"/>
      <c r="RR110" s="12"/>
      <c r="RS110" s="12"/>
      <c r="RT110" s="12"/>
      <c r="RU110" s="12"/>
      <c r="RV110" s="12"/>
      <c r="RW110" s="12"/>
      <c r="RX110" s="12"/>
      <c r="RY110" s="12"/>
      <c r="RZ110" s="12"/>
      <c r="SA110" s="12"/>
      <c r="SB110" s="12"/>
      <c r="SC110" s="12"/>
      <c r="SD110" s="12"/>
      <c r="SE110" s="12"/>
      <c r="SF110" s="12"/>
      <c r="SG110" s="12"/>
      <c r="SH110" s="11"/>
      <c r="SI110" s="11"/>
      <c r="SJ110" s="11"/>
      <c r="SK110" s="11"/>
      <c r="SL110" s="11"/>
      <c r="SM110" s="11"/>
      <c r="SN110" s="11"/>
      <c r="SO110" s="11"/>
      <c r="SP110" s="11"/>
      <c r="SQ110" s="11"/>
      <c r="SR110" s="11"/>
      <c r="SS110" s="11"/>
      <c r="ST110" s="11"/>
      <c r="SU110" s="11"/>
      <c r="SV110" s="11"/>
      <c r="SW110" s="11"/>
      <c r="SX110" s="11"/>
      <c r="SY110" s="11"/>
      <c r="SZ110" s="11"/>
      <c r="TA110" s="11"/>
      <c r="TB110" s="11"/>
      <c r="TC110" s="11"/>
      <c r="TD110" s="11"/>
      <c r="TE110" s="11"/>
      <c r="TF110" s="11"/>
      <c r="TG110" s="11"/>
      <c r="TH110" s="11"/>
      <c r="TI110" s="11"/>
      <c r="TJ110" s="11"/>
      <c r="TK110" s="11"/>
      <c r="TL110" s="11"/>
    </row>
    <row r="111" spans="1:532" x14ac:dyDescent="0.2">
      <c r="A111" s="10" t="s">
        <v>110</v>
      </c>
      <c r="B111" s="12">
        <v>12.01</v>
      </c>
      <c r="C111" s="11">
        <v>0</v>
      </c>
      <c r="D111" s="11">
        <v>2.9600523643289587</v>
      </c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12"/>
      <c r="IP111" s="12"/>
      <c r="IQ111" s="12"/>
      <c r="IR111" s="12"/>
      <c r="IS111" s="12"/>
      <c r="IT111" s="12"/>
      <c r="IU111" s="12"/>
      <c r="IV111" s="12"/>
      <c r="IW111" s="12"/>
      <c r="IX111" s="12"/>
      <c r="IY111" s="12"/>
      <c r="IZ111" s="12"/>
      <c r="JA111" s="12"/>
      <c r="JB111" s="12"/>
      <c r="JC111" s="12"/>
      <c r="JD111" s="12"/>
      <c r="JE111" s="12"/>
      <c r="JF111" s="12"/>
      <c r="JG111" s="12"/>
      <c r="JH111" s="12"/>
      <c r="JI111" s="12"/>
      <c r="JJ111" s="12"/>
      <c r="JK111" s="12"/>
      <c r="JL111" s="12"/>
      <c r="JM111" s="12"/>
      <c r="JN111" s="12"/>
      <c r="JO111" s="12"/>
      <c r="JP111" s="12"/>
      <c r="JQ111" s="12"/>
      <c r="JR111" s="12"/>
      <c r="JS111" s="12"/>
      <c r="JT111" s="12"/>
      <c r="JU111" s="12"/>
      <c r="JV111" s="12"/>
      <c r="JW111" s="12"/>
      <c r="JX111" s="12"/>
      <c r="JY111" s="12"/>
      <c r="JZ111" s="12"/>
      <c r="KA111" s="12"/>
      <c r="KB111" s="12"/>
      <c r="KC111" s="12"/>
      <c r="KD111" s="12"/>
      <c r="KE111" s="12"/>
      <c r="KF111" s="12"/>
      <c r="KG111" s="12"/>
      <c r="KH111" s="12"/>
      <c r="KI111" s="12"/>
      <c r="KJ111" s="12"/>
      <c r="KK111" s="12"/>
      <c r="KL111" s="12"/>
      <c r="KM111" s="12"/>
      <c r="KN111" s="12"/>
      <c r="KO111" s="12"/>
      <c r="KP111" s="12"/>
      <c r="KQ111" s="12"/>
      <c r="KR111" s="12"/>
      <c r="KS111" s="12"/>
      <c r="KT111" s="12"/>
      <c r="KU111" s="12"/>
      <c r="KV111" s="12"/>
      <c r="KW111" s="12"/>
      <c r="KX111" s="12"/>
      <c r="KY111" s="12"/>
      <c r="KZ111" s="12"/>
      <c r="LA111" s="12"/>
      <c r="LB111" s="12"/>
      <c r="LC111" s="12"/>
      <c r="LD111" s="12"/>
      <c r="LE111" s="12"/>
      <c r="LF111" s="12"/>
      <c r="LG111" s="12"/>
      <c r="LH111" s="12"/>
      <c r="LI111" s="12"/>
      <c r="LJ111" s="12"/>
      <c r="LK111" s="12"/>
      <c r="LL111" s="12"/>
      <c r="LM111" s="12"/>
      <c r="LN111" s="12"/>
      <c r="LO111" s="12"/>
      <c r="LP111" s="12"/>
      <c r="LQ111" s="12"/>
      <c r="LR111" s="12"/>
      <c r="LS111" s="12"/>
      <c r="LT111" s="12"/>
      <c r="LU111" s="12"/>
      <c r="LV111" s="12"/>
      <c r="LW111" s="12"/>
      <c r="LX111" s="12"/>
      <c r="LY111" s="12"/>
      <c r="LZ111" s="12"/>
      <c r="MA111" s="12"/>
      <c r="MB111" s="12"/>
      <c r="MC111" s="12"/>
      <c r="MD111" s="12"/>
      <c r="ME111" s="12"/>
      <c r="MF111" s="12"/>
      <c r="MG111" s="12"/>
      <c r="MH111" s="12"/>
      <c r="MI111" s="12"/>
      <c r="MJ111" s="12"/>
      <c r="MK111" s="12"/>
      <c r="ML111" s="12"/>
      <c r="MM111" s="12"/>
      <c r="MN111" s="12"/>
      <c r="MO111" s="12"/>
      <c r="MP111" s="12"/>
      <c r="MQ111" s="12"/>
      <c r="MR111" s="12"/>
      <c r="MS111" s="12"/>
      <c r="MT111" s="12"/>
      <c r="MU111" s="12"/>
      <c r="MV111" s="12"/>
      <c r="MW111" s="12"/>
      <c r="MX111" s="12"/>
      <c r="MY111" s="12"/>
      <c r="MZ111" s="12"/>
      <c r="NA111" s="12"/>
      <c r="NB111" s="12"/>
      <c r="NC111" s="12"/>
      <c r="ND111" s="12"/>
      <c r="NE111" s="12"/>
      <c r="NF111" s="12"/>
      <c r="NG111" s="12"/>
      <c r="NH111" s="12"/>
      <c r="NI111" s="12"/>
      <c r="NJ111" s="12"/>
      <c r="NK111" s="12"/>
      <c r="NL111" s="12"/>
      <c r="NM111" s="12"/>
      <c r="NN111" s="12"/>
      <c r="NO111" s="12"/>
      <c r="NP111" s="12"/>
      <c r="NQ111" s="12"/>
      <c r="NR111" s="12"/>
      <c r="NS111" s="12"/>
      <c r="NT111" s="12"/>
      <c r="NU111" s="12"/>
      <c r="NV111" s="12"/>
      <c r="NW111" s="12"/>
      <c r="NX111" s="12"/>
      <c r="NY111" s="12"/>
      <c r="NZ111" s="12"/>
      <c r="OA111" s="12"/>
      <c r="OB111" s="12"/>
      <c r="OC111" s="12"/>
      <c r="OD111" s="12"/>
      <c r="OE111" s="12"/>
      <c r="OF111" s="12"/>
      <c r="OG111" s="12"/>
      <c r="OH111" s="12"/>
      <c r="OI111" s="12"/>
      <c r="OJ111" s="12"/>
      <c r="OK111" s="12"/>
      <c r="OL111" s="12"/>
      <c r="OM111" s="12"/>
      <c r="ON111" s="12"/>
      <c r="OO111" s="12"/>
      <c r="OP111" s="12"/>
      <c r="OQ111" s="12"/>
      <c r="OR111" s="12"/>
      <c r="OS111" s="12"/>
      <c r="OT111" s="12"/>
      <c r="OU111" s="12"/>
      <c r="OV111" s="12"/>
      <c r="OW111" s="12"/>
      <c r="OX111" s="12"/>
      <c r="OY111" s="12"/>
      <c r="OZ111" s="12"/>
      <c r="PA111" s="12"/>
      <c r="PB111" s="12"/>
      <c r="PC111" s="12"/>
      <c r="PD111" s="12"/>
      <c r="PE111" s="12"/>
      <c r="PF111" s="12"/>
      <c r="PG111" s="12"/>
      <c r="PH111" s="12"/>
      <c r="PI111" s="12"/>
      <c r="PJ111" s="12"/>
      <c r="PK111" s="12"/>
      <c r="PL111" s="12"/>
      <c r="PM111" s="12"/>
      <c r="PN111" s="12"/>
      <c r="PO111" s="12"/>
      <c r="PP111" s="12"/>
      <c r="PQ111" s="12"/>
      <c r="PR111" s="12"/>
      <c r="PS111" s="12"/>
      <c r="PT111" s="12"/>
      <c r="PU111" s="12"/>
      <c r="PV111" s="12"/>
      <c r="PW111" s="12"/>
      <c r="PX111" s="12"/>
      <c r="PY111" s="12"/>
      <c r="PZ111" s="12"/>
      <c r="QA111" s="12"/>
      <c r="QB111" s="12"/>
      <c r="QC111" s="12"/>
      <c r="QD111" s="12"/>
      <c r="QE111" s="12"/>
      <c r="QF111" s="12"/>
      <c r="QG111" s="12"/>
      <c r="QH111" s="12"/>
      <c r="QI111" s="12"/>
      <c r="QJ111" s="12"/>
      <c r="QK111" s="12"/>
      <c r="QL111" s="12"/>
      <c r="QM111" s="12"/>
      <c r="QN111" s="12"/>
      <c r="QO111" s="12"/>
      <c r="QP111" s="12"/>
      <c r="QQ111" s="12"/>
      <c r="QR111" s="12"/>
      <c r="QS111" s="12"/>
      <c r="QT111" s="12"/>
      <c r="QU111" s="12"/>
      <c r="QV111" s="12"/>
      <c r="QW111" s="12"/>
      <c r="QX111" s="12"/>
      <c r="QY111" s="12"/>
      <c r="QZ111" s="12"/>
      <c r="RA111" s="12"/>
      <c r="RB111" s="12"/>
      <c r="RC111" s="12"/>
      <c r="RD111" s="12"/>
      <c r="RE111" s="12"/>
      <c r="RF111" s="12"/>
      <c r="RG111" s="12"/>
      <c r="RH111" s="12"/>
      <c r="RI111" s="12"/>
      <c r="RJ111" s="12"/>
      <c r="RK111" s="12"/>
      <c r="RL111" s="12"/>
      <c r="RM111" s="12"/>
      <c r="RN111" s="12"/>
      <c r="RO111" s="12"/>
      <c r="RP111" s="12"/>
      <c r="RQ111" s="12"/>
      <c r="RR111" s="12"/>
      <c r="RS111" s="12"/>
      <c r="RT111" s="12"/>
      <c r="RU111" s="12"/>
      <c r="RV111" s="12"/>
      <c r="RW111" s="12"/>
      <c r="RX111" s="12"/>
      <c r="RY111" s="12"/>
      <c r="RZ111" s="12"/>
      <c r="SA111" s="12"/>
      <c r="SB111" s="12"/>
      <c r="SC111" s="12"/>
      <c r="SD111" s="12"/>
      <c r="SE111" s="12"/>
      <c r="SF111" s="12"/>
      <c r="SG111" s="12"/>
      <c r="SH111" s="11"/>
      <c r="SI111" s="11"/>
      <c r="SJ111" s="11"/>
      <c r="SK111" s="11"/>
      <c r="SL111" s="11"/>
      <c r="SM111" s="11"/>
      <c r="SN111" s="11"/>
      <c r="SO111" s="11"/>
      <c r="SP111" s="11"/>
      <c r="SQ111" s="11"/>
      <c r="SR111" s="11"/>
      <c r="SS111" s="11"/>
      <c r="ST111" s="11"/>
      <c r="SU111" s="11"/>
      <c r="SV111" s="11"/>
      <c r="SW111" s="11"/>
      <c r="SX111" s="11"/>
      <c r="SY111" s="11"/>
      <c r="SZ111" s="11"/>
      <c r="TA111" s="11"/>
      <c r="TB111" s="11"/>
      <c r="TC111" s="11"/>
      <c r="TD111" s="11"/>
      <c r="TE111" s="11"/>
      <c r="TF111" s="11"/>
      <c r="TG111" s="11"/>
      <c r="TH111" s="11"/>
      <c r="TI111" s="11"/>
      <c r="TJ111" s="11"/>
      <c r="TK111" s="11"/>
      <c r="TL111" s="11"/>
    </row>
    <row r="112" spans="1:532" x14ac:dyDescent="0.2">
      <c r="A112" s="10" t="s">
        <v>111</v>
      </c>
      <c r="B112" s="12">
        <v>13.14</v>
      </c>
      <c r="C112" s="11">
        <v>0</v>
      </c>
      <c r="D112" s="11">
        <v>1.8413703671076467</v>
      </c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/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/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/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/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/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/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/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2"/>
      <c r="LU112" s="12"/>
      <c r="LV112" s="12"/>
      <c r="LW112" s="12"/>
      <c r="LX112" s="12"/>
      <c r="LY112" s="12"/>
      <c r="LZ112" s="12"/>
      <c r="MA112" s="12"/>
      <c r="MB112" s="12"/>
      <c r="MC112" s="12"/>
      <c r="MD112" s="12"/>
      <c r="ME112" s="12"/>
      <c r="MF112" s="12"/>
      <c r="MG112" s="12"/>
      <c r="MH112" s="12"/>
      <c r="MI112" s="12"/>
      <c r="MJ112" s="12"/>
      <c r="MK112" s="12"/>
      <c r="ML112" s="12"/>
      <c r="MM112" s="12"/>
      <c r="MN112" s="12"/>
      <c r="MO112" s="12"/>
      <c r="MP112" s="12"/>
      <c r="MQ112" s="12"/>
      <c r="MR112" s="12"/>
      <c r="MS112" s="12"/>
      <c r="MT112" s="12"/>
      <c r="MU112" s="12"/>
      <c r="MV112" s="12"/>
      <c r="MW112" s="12"/>
      <c r="MX112" s="12"/>
      <c r="MY112" s="12"/>
      <c r="MZ112" s="12"/>
      <c r="NA112" s="12"/>
      <c r="NB112" s="12"/>
      <c r="NC112" s="12"/>
      <c r="ND112" s="12"/>
      <c r="NE112" s="12"/>
      <c r="NF112" s="12"/>
      <c r="NG112" s="12"/>
      <c r="NH112" s="12"/>
      <c r="NI112" s="12"/>
      <c r="NJ112" s="12"/>
      <c r="NK112" s="12"/>
      <c r="NL112" s="12"/>
      <c r="NM112" s="12"/>
      <c r="NN112" s="12"/>
      <c r="NO112" s="12"/>
      <c r="NP112" s="12"/>
      <c r="NQ112" s="12"/>
      <c r="NR112" s="12"/>
      <c r="NS112" s="12"/>
      <c r="NT112" s="12"/>
      <c r="NU112" s="12"/>
      <c r="NV112" s="12"/>
      <c r="NW112" s="12"/>
      <c r="NX112" s="12"/>
      <c r="NY112" s="12"/>
      <c r="NZ112" s="12"/>
      <c r="OA112" s="12"/>
      <c r="OB112" s="12"/>
      <c r="OC112" s="12"/>
      <c r="OD112" s="12"/>
      <c r="OE112" s="12"/>
      <c r="OF112" s="12"/>
      <c r="OG112" s="12"/>
      <c r="OH112" s="12"/>
      <c r="OI112" s="12"/>
      <c r="OJ112" s="12"/>
      <c r="OK112" s="12"/>
      <c r="OL112" s="12"/>
      <c r="OM112" s="12"/>
      <c r="ON112" s="12"/>
      <c r="OO112" s="12"/>
      <c r="OP112" s="12"/>
      <c r="OQ112" s="12"/>
      <c r="OR112" s="12"/>
      <c r="OS112" s="12"/>
      <c r="OT112" s="12"/>
      <c r="OU112" s="12"/>
      <c r="OV112" s="12"/>
      <c r="OW112" s="12"/>
      <c r="OX112" s="12"/>
      <c r="OY112" s="12"/>
      <c r="OZ112" s="12"/>
      <c r="PA112" s="12"/>
      <c r="PB112" s="12"/>
      <c r="PC112" s="12"/>
      <c r="PD112" s="12"/>
      <c r="PE112" s="12"/>
      <c r="PF112" s="12"/>
      <c r="PG112" s="12"/>
      <c r="PH112" s="12"/>
      <c r="PI112" s="12"/>
      <c r="PJ112" s="12"/>
      <c r="PK112" s="12"/>
      <c r="PL112" s="12"/>
      <c r="PM112" s="12"/>
      <c r="PN112" s="12"/>
      <c r="PO112" s="12"/>
      <c r="PP112" s="12"/>
      <c r="PQ112" s="12"/>
      <c r="PR112" s="12"/>
      <c r="PS112" s="12"/>
      <c r="PT112" s="12"/>
      <c r="PU112" s="12"/>
      <c r="PV112" s="12"/>
      <c r="PW112" s="12"/>
      <c r="PX112" s="12"/>
      <c r="PY112" s="12"/>
      <c r="PZ112" s="12"/>
      <c r="QA112" s="12"/>
      <c r="QB112" s="12"/>
      <c r="QC112" s="12"/>
      <c r="QD112" s="12"/>
      <c r="QE112" s="12"/>
      <c r="QF112" s="12"/>
      <c r="QG112" s="12"/>
      <c r="QH112" s="12"/>
      <c r="QI112" s="12"/>
      <c r="QJ112" s="12"/>
      <c r="QK112" s="12"/>
      <c r="QL112" s="12"/>
      <c r="QM112" s="12"/>
      <c r="QN112" s="12"/>
      <c r="QO112" s="12"/>
      <c r="QP112" s="12"/>
      <c r="QQ112" s="12"/>
      <c r="QR112" s="12"/>
      <c r="QS112" s="12"/>
      <c r="QT112" s="12"/>
      <c r="QU112" s="12"/>
      <c r="QV112" s="12"/>
      <c r="QW112" s="12"/>
      <c r="QX112" s="12"/>
      <c r="QY112" s="12"/>
      <c r="QZ112" s="12"/>
      <c r="RA112" s="12"/>
      <c r="RB112" s="12"/>
      <c r="RC112" s="12"/>
      <c r="RD112" s="12"/>
      <c r="RE112" s="12"/>
      <c r="RF112" s="12"/>
      <c r="RG112" s="12"/>
      <c r="RH112" s="12"/>
      <c r="RI112" s="12"/>
      <c r="RJ112" s="12"/>
      <c r="RK112" s="12"/>
      <c r="RL112" s="12"/>
      <c r="RM112" s="12"/>
      <c r="RN112" s="12"/>
      <c r="RO112" s="12"/>
      <c r="RP112" s="12"/>
      <c r="RQ112" s="12"/>
      <c r="RR112" s="12"/>
      <c r="RS112" s="12"/>
      <c r="RT112" s="12"/>
      <c r="RU112" s="12"/>
      <c r="RV112" s="12"/>
      <c r="RW112" s="12"/>
      <c r="RX112" s="12"/>
      <c r="RY112" s="12"/>
      <c r="RZ112" s="12"/>
      <c r="SA112" s="12"/>
      <c r="SB112" s="12"/>
      <c r="SC112" s="12"/>
      <c r="SD112" s="12"/>
      <c r="SE112" s="12"/>
      <c r="SF112" s="12"/>
      <c r="SG112" s="12"/>
      <c r="SH112" s="11"/>
      <c r="SI112" s="11"/>
      <c r="SJ112" s="11"/>
      <c r="SK112" s="11"/>
      <c r="SL112" s="11"/>
      <c r="SM112" s="11"/>
      <c r="SN112" s="11"/>
      <c r="SO112" s="11"/>
      <c r="SP112" s="11"/>
      <c r="SQ112" s="11"/>
      <c r="SR112" s="11"/>
      <c r="SS112" s="11"/>
      <c r="ST112" s="11"/>
      <c r="SU112" s="11"/>
      <c r="SV112" s="11"/>
      <c r="SW112" s="11"/>
      <c r="SX112" s="11"/>
      <c r="SY112" s="11"/>
      <c r="SZ112" s="11"/>
      <c r="TA112" s="11"/>
      <c r="TB112" s="11"/>
      <c r="TC112" s="11"/>
      <c r="TD112" s="11"/>
      <c r="TE112" s="11"/>
      <c r="TF112" s="11"/>
      <c r="TG112" s="11"/>
      <c r="TH112" s="11"/>
      <c r="TI112" s="11"/>
      <c r="TJ112" s="11"/>
      <c r="TK112" s="11"/>
      <c r="TL112" s="11"/>
    </row>
    <row r="113" spans="1:532" x14ac:dyDescent="0.2">
      <c r="A113" s="10" t="s">
        <v>112</v>
      </c>
      <c r="B113" s="12">
        <v>15.56</v>
      </c>
      <c r="C113" s="11">
        <v>0.55439107826896894</v>
      </c>
      <c r="D113" s="11">
        <v>0</v>
      </c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/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/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/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/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/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/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/>
      <c r="LR113" s="12"/>
      <c r="LS113" s="12"/>
      <c r="LT113" s="12"/>
      <c r="LU113" s="12"/>
      <c r="LV113" s="12"/>
      <c r="LW113" s="12"/>
      <c r="LX113" s="12"/>
      <c r="LY113" s="12"/>
      <c r="LZ113" s="12"/>
      <c r="MA113" s="12"/>
      <c r="MB113" s="12"/>
      <c r="MC113" s="12"/>
      <c r="MD113" s="12"/>
      <c r="ME113" s="12"/>
      <c r="MF113" s="12"/>
      <c r="MG113" s="12"/>
      <c r="MH113" s="12"/>
      <c r="MI113" s="12"/>
      <c r="MJ113" s="12"/>
      <c r="MK113" s="12"/>
      <c r="ML113" s="12"/>
      <c r="MM113" s="12"/>
      <c r="MN113" s="12"/>
      <c r="MO113" s="12"/>
      <c r="MP113" s="12"/>
      <c r="MQ113" s="12"/>
      <c r="MR113" s="12"/>
      <c r="MS113" s="12"/>
      <c r="MT113" s="12"/>
      <c r="MU113" s="12"/>
      <c r="MV113" s="12"/>
      <c r="MW113" s="12"/>
      <c r="MX113" s="12"/>
      <c r="MY113" s="12"/>
      <c r="MZ113" s="12"/>
      <c r="NA113" s="12"/>
      <c r="NB113" s="12"/>
      <c r="NC113" s="12"/>
      <c r="ND113" s="12"/>
      <c r="NE113" s="12"/>
      <c r="NF113" s="12"/>
      <c r="NG113" s="12"/>
      <c r="NH113" s="12"/>
      <c r="NI113" s="12"/>
      <c r="NJ113" s="12"/>
      <c r="NK113" s="12"/>
      <c r="NL113" s="12"/>
      <c r="NM113" s="12"/>
      <c r="NN113" s="12"/>
      <c r="NO113" s="12"/>
      <c r="NP113" s="12"/>
      <c r="NQ113" s="12"/>
      <c r="NR113" s="12"/>
      <c r="NS113" s="12"/>
      <c r="NT113" s="12"/>
      <c r="NU113" s="12"/>
      <c r="NV113" s="12"/>
      <c r="NW113" s="12"/>
      <c r="NX113" s="12"/>
      <c r="NY113" s="12"/>
      <c r="NZ113" s="12"/>
      <c r="OA113" s="12"/>
      <c r="OB113" s="12"/>
      <c r="OC113" s="12"/>
      <c r="OD113" s="12"/>
      <c r="OE113" s="12"/>
      <c r="OF113" s="12"/>
      <c r="OG113" s="12"/>
      <c r="OH113" s="12"/>
      <c r="OI113" s="12"/>
      <c r="OJ113" s="12"/>
      <c r="OK113" s="12"/>
      <c r="OL113" s="12"/>
      <c r="OM113" s="12"/>
      <c r="ON113" s="12"/>
      <c r="OO113" s="12"/>
      <c r="OP113" s="12"/>
      <c r="OQ113" s="12"/>
      <c r="OR113" s="12"/>
      <c r="OS113" s="12"/>
      <c r="OT113" s="12"/>
      <c r="OU113" s="12"/>
      <c r="OV113" s="12"/>
      <c r="OW113" s="12"/>
      <c r="OX113" s="12"/>
      <c r="OY113" s="12"/>
      <c r="OZ113" s="12"/>
      <c r="PA113" s="12"/>
      <c r="PB113" s="12"/>
      <c r="PC113" s="12"/>
      <c r="PD113" s="12"/>
      <c r="PE113" s="12"/>
      <c r="PF113" s="12"/>
      <c r="PG113" s="12"/>
      <c r="PH113" s="12"/>
      <c r="PI113" s="12"/>
      <c r="PJ113" s="12"/>
      <c r="PK113" s="12"/>
      <c r="PL113" s="12"/>
      <c r="PM113" s="12"/>
      <c r="PN113" s="12"/>
      <c r="PO113" s="12"/>
      <c r="PP113" s="12"/>
      <c r="PQ113" s="12"/>
      <c r="PR113" s="12"/>
      <c r="PS113" s="12"/>
      <c r="PT113" s="12"/>
      <c r="PU113" s="12"/>
      <c r="PV113" s="12"/>
      <c r="PW113" s="12"/>
      <c r="PX113" s="12"/>
      <c r="PY113" s="12"/>
      <c r="PZ113" s="12"/>
      <c r="QA113" s="12"/>
      <c r="QB113" s="12"/>
      <c r="QC113" s="12"/>
      <c r="QD113" s="12"/>
      <c r="QE113" s="12"/>
      <c r="QF113" s="12"/>
      <c r="QG113" s="12"/>
      <c r="QH113" s="12"/>
      <c r="QI113" s="12"/>
      <c r="QJ113" s="12"/>
      <c r="QK113" s="12"/>
      <c r="QL113" s="12"/>
      <c r="QM113" s="12"/>
      <c r="QN113" s="12"/>
      <c r="QO113" s="12"/>
      <c r="QP113" s="12"/>
      <c r="QQ113" s="12"/>
      <c r="QR113" s="12"/>
      <c r="QS113" s="12"/>
      <c r="QT113" s="12"/>
      <c r="QU113" s="12"/>
      <c r="QV113" s="12"/>
      <c r="QW113" s="12"/>
      <c r="QX113" s="12"/>
      <c r="QY113" s="12"/>
      <c r="QZ113" s="12"/>
      <c r="RA113" s="12"/>
      <c r="RB113" s="12"/>
      <c r="RC113" s="12"/>
      <c r="RD113" s="12"/>
      <c r="RE113" s="12"/>
      <c r="RF113" s="12"/>
      <c r="RG113" s="12"/>
      <c r="RH113" s="12"/>
      <c r="RI113" s="12"/>
      <c r="RJ113" s="12"/>
      <c r="RK113" s="12"/>
      <c r="RL113" s="12"/>
      <c r="RM113" s="12"/>
      <c r="RN113" s="12"/>
      <c r="RO113" s="12"/>
      <c r="RP113" s="12"/>
      <c r="RQ113" s="12"/>
      <c r="RR113" s="12"/>
      <c r="RS113" s="12"/>
      <c r="RT113" s="12"/>
      <c r="RU113" s="12"/>
      <c r="RV113" s="12"/>
      <c r="RW113" s="12"/>
      <c r="RX113" s="12"/>
      <c r="RY113" s="12"/>
      <c r="RZ113" s="12"/>
      <c r="SA113" s="12"/>
      <c r="SB113" s="12"/>
      <c r="SC113" s="12"/>
      <c r="SD113" s="12"/>
      <c r="SE113" s="12"/>
      <c r="SF113" s="12"/>
      <c r="SG113" s="12"/>
      <c r="SH113" s="11"/>
      <c r="SI113" s="11"/>
      <c r="SJ113" s="11"/>
      <c r="SK113" s="11"/>
      <c r="SL113" s="11"/>
      <c r="SM113" s="11"/>
      <c r="SN113" s="11"/>
      <c r="SO113" s="11"/>
      <c r="SP113" s="11"/>
      <c r="SQ113" s="11"/>
      <c r="SR113" s="11"/>
      <c r="SS113" s="11"/>
      <c r="ST113" s="11"/>
      <c r="SU113" s="11"/>
      <c r="SV113" s="11"/>
      <c r="SW113" s="11"/>
      <c r="SX113" s="11"/>
      <c r="SY113" s="11"/>
      <c r="SZ113" s="11"/>
      <c r="TA113" s="11"/>
      <c r="TB113" s="11"/>
      <c r="TC113" s="11"/>
      <c r="TD113" s="11"/>
      <c r="TE113" s="11"/>
      <c r="TF113" s="11"/>
      <c r="TG113" s="11"/>
      <c r="TH113" s="11"/>
      <c r="TI113" s="11"/>
      <c r="TJ113" s="11"/>
      <c r="TK113" s="11"/>
      <c r="TL113" s="11"/>
    </row>
    <row r="114" spans="1:532" x14ac:dyDescent="0.2">
      <c r="A114" s="10" t="s">
        <v>113</v>
      </c>
      <c r="B114" s="12">
        <v>14.76</v>
      </c>
      <c r="C114" s="11">
        <v>0</v>
      </c>
      <c r="D114" s="11">
        <v>0.23759617640098663</v>
      </c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/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/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/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/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/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/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/>
      <c r="LS114" s="12"/>
      <c r="LT114" s="12"/>
      <c r="LU114" s="12"/>
      <c r="LV114" s="12"/>
      <c r="LW114" s="12"/>
      <c r="LX114" s="12"/>
      <c r="LY114" s="12"/>
      <c r="LZ114" s="12"/>
      <c r="MA114" s="12"/>
      <c r="MB114" s="12"/>
      <c r="MC114" s="12"/>
      <c r="MD114" s="12"/>
      <c r="ME114" s="12"/>
      <c r="MF114" s="12"/>
      <c r="MG114" s="12"/>
      <c r="MH114" s="12"/>
      <c r="MI114" s="12"/>
      <c r="MJ114" s="12"/>
      <c r="MK114" s="12"/>
      <c r="ML114" s="12"/>
      <c r="MM114" s="12"/>
      <c r="MN114" s="12"/>
      <c r="MO114" s="12"/>
      <c r="MP114" s="12"/>
      <c r="MQ114" s="12"/>
      <c r="MR114" s="12"/>
      <c r="MS114" s="12"/>
      <c r="MT114" s="12"/>
      <c r="MU114" s="12"/>
      <c r="MV114" s="12"/>
      <c r="MW114" s="12"/>
      <c r="MX114" s="12"/>
      <c r="MY114" s="12"/>
      <c r="MZ114" s="12"/>
      <c r="NA114" s="12"/>
      <c r="NB114" s="12"/>
      <c r="NC114" s="12"/>
      <c r="ND114" s="12"/>
      <c r="NE114" s="12"/>
      <c r="NF114" s="12"/>
      <c r="NG114" s="12"/>
      <c r="NH114" s="12"/>
      <c r="NI114" s="12"/>
      <c r="NJ114" s="12"/>
      <c r="NK114" s="12"/>
      <c r="NL114" s="12"/>
      <c r="NM114" s="12"/>
      <c r="NN114" s="12"/>
      <c r="NO114" s="12"/>
      <c r="NP114" s="12"/>
      <c r="NQ114" s="12"/>
      <c r="NR114" s="12"/>
      <c r="NS114" s="12"/>
      <c r="NT114" s="12"/>
      <c r="NU114" s="12"/>
      <c r="NV114" s="12"/>
      <c r="NW114" s="12"/>
      <c r="NX114" s="12"/>
      <c r="NY114" s="12"/>
      <c r="NZ114" s="12"/>
      <c r="OA114" s="12"/>
      <c r="OB114" s="12"/>
      <c r="OC114" s="12"/>
      <c r="OD114" s="12"/>
      <c r="OE114" s="12"/>
      <c r="OF114" s="12"/>
      <c r="OG114" s="12"/>
      <c r="OH114" s="12"/>
      <c r="OI114" s="12"/>
      <c r="OJ114" s="12"/>
      <c r="OK114" s="12"/>
      <c r="OL114" s="12"/>
      <c r="OM114" s="12"/>
      <c r="ON114" s="12"/>
      <c r="OO114" s="12"/>
      <c r="OP114" s="12"/>
      <c r="OQ114" s="12"/>
      <c r="OR114" s="12"/>
      <c r="OS114" s="12"/>
      <c r="OT114" s="12"/>
      <c r="OU114" s="12"/>
      <c r="OV114" s="12"/>
      <c r="OW114" s="12"/>
      <c r="OX114" s="12"/>
      <c r="OY114" s="12"/>
      <c r="OZ114" s="12"/>
      <c r="PA114" s="12"/>
      <c r="PB114" s="12"/>
      <c r="PC114" s="12"/>
      <c r="PD114" s="12"/>
      <c r="PE114" s="12"/>
      <c r="PF114" s="12"/>
      <c r="PG114" s="12"/>
      <c r="PH114" s="12"/>
      <c r="PI114" s="12"/>
      <c r="PJ114" s="12"/>
      <c r="PK114" s="12"/>
      <c r="PL114" s="12"/>
      <c r="PM114" s="12"/>
      <c r="PN114" s="12"/>
      <c r="PO114" s="12"/>
      <c r="PP114" s="12"/>
      <c r="PQ114" s="12"/>
      <c r="PR114" s="12"/>
      <c r="PS114" s="12"/>
      <c r="PT114" s="12"/>
      <c r="PU114" s="12"/>
      <c r="PV114" s="12"/>
      <c r="PW114" s="12"/>
      <c r="PX114" s="12"/>
      <c r="PY114" s="12"/>
      <c r="PZ114" s="12"/>
      <c r="QA114" s="12"/>
      <c r="QB114" s="12"/>
      <c r="QC114" s="12"/>
      <c r="QD114" s="12"/>
      <c r="QE114" s="12"/>
      <c r="QF114" s="12"/>
      <c r="QG114" s="12"/>
      <c r="QH114" s="12"/>
      <c r="QI114" s="12"/>
      <c r="QJ114" s="12"/>
      <c r="QK114" s="12"/>
      <c r="QL114" s="12"/>
      <c r="QM114" s="12"/>
      <c r="QN114" s="12"/>
      <c r="QO114" s="12"/>
      <c r="QP114" s="12"/>
      <c r="QQ114" s="12"/>
      <c r="QR114" s="12"/>
      <c r="QS114" s="12"/>
      <c r="QT114" s="12"/>
      <c r="QU114" s="12"/>
      <c r="QV114" s="12"/>
      <c r="QW114" s="12"/>
      <c r="QX114" s="12"/>
      <c r="QY114" s="12"/>
      <c r="QZ114" s="12"/>
      <c r="RA114" s="12"/>
      <c r="RB114" s="12"/>
      <c r="RC114" s="12"/>
      <c r="RD114" s="12"/>
      <c r="RE114" s="12"/>
      <c r="RF114" s="12"/>
      <c r="RG114" s="12"/>
      <c r="RH114" s="12"/>
      <c r="RI114" s="12"/>
      <c r="RJ114" s="12"/>
      <c r="RK114" s="12"/>
      <c r="RL114" s="12"/>
      <c r="RM114" s="12"/>
      <c r="RN114" s="12"/>
      <c r="RO114" s="12"/>
      <c r="RP114" s="12"/>
      <c r="RQ114" s="12"/>
      <c r="RR114" s="12"/>
      <c r="RS114" s="12"/>
      <c r="RT114" s="12"/>
      <c r="RU114" s="12"/>
      <c r="RV114" s="12"/>
      <c r="RW114" s="12"/>
      <c r="RX114" s="12"/>
      <c r="RY114" s="12"/>
      <c r="RZ114" s="12"/>
      <c r="SA114" s="12"/>
      <c r="SB114" s="12"/>
      <c r="SC114" s="12"/>
      <c r="SD114" s="12"/>
      <c r="SE114" s="12"/>
      <c r="SF114" s="12"/>
      <c r="SG114" s="12"/>
      <c r="SH114" s="11"/>
      <c r="SI114" s="11"/>
      <c r="SJ114" s="11"/>
      <c r="SK114" s="11"/>
      <c r="SL114" s="11"/>
      <c r="SM114" s="11"/>
      <c r="SN114" s="11"/>
      <c r="SO114" s="11"/>
      <c r="SP114" s="11"/>
      <c r="SQ114" s="11"/>
      <c r="SR114" s="11"/>
      <c r="SS114" s="11"/>
      <c r="ST114" s="11"/>
      <c r="SU114" s="11"/>
      <c r="SV114" s="11"/>
      <c r="SW114" s="11"/>
      <c r="SX114" s="11"/>
      <c r="SY114" s="11"/>
      <c r="SZ114" s="11"/>
      <c r="TA114" s="11"/>
      <c r="TB114" s="11"/>
      <c r="TC114" s="11"/>
      <c r="TD114" s="11"/>
      <c r="TE114" s="11"/>
      <c r="TF114" s="11"/>
      <c r="TG114" s="11"/>
      <c r="TH114" s="11"/>
      <c r="TI114" s="11"/>
      <c r="TJ114" s="11"/>
      <c r="TK114" s="11"/>
      <c r="TL114" s="11"/>
    </row>
    <row r="115" spans="1:532" x14ac:dyDescent="0.2">
      <c r="A115" s="10" t="s">
        <v>114</v>
      </c>
      <c r="B115" s="12">
        <v>14.28</v>
      </c>
      <c r="C115" s="11">
        <v>0</v>
      </c>
      <c r="D115" s="11">
        <v>0.72268836988633434</v>
      </c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/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/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/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/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/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/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/>
      <c r="LT115" s="12"/>
      <c r="LU115" s="12"/>
      <c r="LV115" s="12"/>
      <c r="LW115" s="12"/>
      <c r="LX115" s="12"/>
      <c r="LY115" s="12"/>
      <c r="LZ115" s="12"/>
      <c r="MA115" s="12"/>
      <c r="MB115" s="12"/>
      <c r="MC115" s="12"/>
      <c r="MD115" s="12"/>
      <c r="ME115" s="12"/>
      <c r="MF115" s="12"/>
      <c r="MG115" s="12"/>
      <c r="MH115" s="12"/>
      <c r="MI115" s="12"/>
      <c r="MJ115" s="12"/>
      <c r="MK115" s="12"/>
      <c r="ML115" s="12"/>
      <c r="MM115" s="12"/>
      <c r="MN115" s="12"/>
      <c r="MO115" s="12"/>
      <c r="MP115" s="12"/>
      <c r="MQ115" s="12"/>
      <c r="MR115" s="12"/>
      <c r="MS115" s="12"/>
      <c r="MT115" s="12"/>
      <c r="MU115" s="12"/>
      <c r="MV115" s="12"/>
      <c r="MW115" s="12"/>
      <c r="MX115" s="12"/>
      <c r="MY115" s="12"/>
      <c r="MZ115" s="12"/>
      <c r="NA115" s="12"/>
      <c r="NB115" s="12"/>
      <c r="NC115" s="12"/>
      <c r="ND115" s="12"/>
      <c r="NE115" s="12"/>
      <c r="NF115" s="12"/>
      <c r="NG115" s="12"/>
      <c r="NH115" s="12"/>
      <c r="NI115" s="12"/>
      <c r="NJ115" s="12"/>
      <c r="NK115" s="12"/>
      <c r="NL115" s="12"/>
      <c r="NM115" s="12"/>
      <c r="NN115" s="12"/>
      <c r="NO115" s="12"/>
      <c r="NP115" s="12"/>
      <c r="NQ115" s="12"/>
      <c r="NR115" s="12"/>
      <c r="NS115" s="12"/>
      <c r="NT115" s="12"/>
      <c r="NU115" s="12"/>
      <c r="NV115" s="12"/>
      <c r="NW115" s="12"/>
      <c r="NX115" s="12"/>
      <c r="NY115" s="12"/>
      <c r="NZ115" s="12"/>
      <c r="OA115" s="12"/>
      <c r="OB115" s="12"/>
      <c r="OC115" s="12"/>
      <c r="OD115" s="12"/>
      <c r="OE115" s="12"/>
      <c r="OF115" s="12"/>
      <c r="OG115" s="12"/>
      <c r="OH115" s="12"/>
      <c r="OI115" s="12"/>
      <c r="OJ115" s="12"/>
      <c r="OK115" s="12"/>
      <c r="OL115" s="12"/>
      <c r="OM115" s="12"/>
      <c r="ON115" s="12"/>
      <c r="OO115" s="12"/>
      <c r="OP115" s="12"/>
      <c r="OQ115" s="12"/>
      <c r="OR115" s="12"/>
      <c r="OS115" s="12"/>
      <c r="OT115" s="12"/>
      <c r="OU115" s="12"/>
      <c r="OV115" s="12"/>
      <c r="OW115" s="12"/>
      <c r="OX115" s="12"/>
      <c r="OY115" s="12"/>
      <c r="OZ115" s="12"/>
      <c r="PA115" s="12"/>
      <c r="PB115" s="12"/>
      <c r="PC115" s="12"/>
      <c r="PD115" s="12"/>
      <c r="PE115" s="12"/>
      <c r="PF115" s="12"/>
      <c r="PG115" s="12"/>
      <c r="PH115" s="12"/>
      <c r="PI115" s="12"/>
      <c r="PJ115" s="12"/>
      <c r="PK115" s="12"/>
      <c r="PL115" s="12"/>
      <c r="PM115" s="12"/>
      <c r="PN115" s="12"/>
      <c r="PO115" s="12"/>
      <c r="PP115" s="12"/>
      <c r="PQ115" s="12"/>
      <c r="PR115" s="12"/>
      <c r="PS115" s="12"/>
      <c r="PT115" s="12"/>
      <c r="PU115" s="12"/>
      <c r="PV115" s="12"/>
      <c r="PW115" s="12"/>
      <c r="PX115" s="12"/>
      <c r="PY115" s="12"/>
      <c r="PZ115" s="12"/>
      <c r="QA115" s="12"/>
      <c r="QB115" s="12"/>
      <c r="QC115" s="12"/>
      <c r="QD115" s="12"/>
      <c r="QE115" s="12"/>
      <c r="QF115" s="12"/>
      <c r="QG115" s="12"/>
      <c r="QH115" s="12"/>
      <c r="QI115" s="12"/>
      <c r="QJ115" s="12"/>
      <c r="QK115" s="12"/>
      <c r="QL115" s="12"/>
      <c r="QM115" s="12"/>
      <c r="QN115" s="12"/>
      <c r="QO115" s="12"/>
      <c r="QP115" s="12"/>
      <c r="QQ115" s="12"/>
      <c r="QR115" s="12"/>
      <c r="QS115" s="12"/>
      <c r="QT115" s="12"/>
      <c r="QU115" s="12"/>
      <c r="QV115" s="12"/>
      <c r="QW115" s="12"/>
      <c r="QX115" s="12"/>
      <c r="QY115" s="12"/>
      <c r="QZ115" s="12"/>
      <c r="RA115" s="12"/>
      <c r="RB115" s="12"/>
      <c r="RC115" s="12"/>
      <c r="RD115" s="12"/>
      <c r="RE115" s="12"/>
      <c r="RF115" s="12"/>
      <c r="RG115" s="12"/>
      <c r="RH115" s="12"/>
      <c r="RI115" s="12"/>
      <c r="RJ115" s="12"/>
      <c r="RK115" s="12"/>
      <c r="RL115" s="12"/>
      <c r="RM115" s="12"/>
      <c r="RN115" s="12"/>
      <c r="RO115" s="12"/>
      <c r="RP115" s="12"/>
      <c r="RQ115" s="12"/>
      <c r="RR115" s="12"/>
      <c r="RS115" s="12"/>
      <c r="RT115" s="12"/>
      <c r="RU115" s="12"/>
      <c r="RV115" s="12"/>
      <c r="RW115" s="12"/>
      <c r="RX115" s="12"/>
      <c r="RY115" s="12"/>
      <c r="RZ115" s="12"/>
      <c r="SA115" s="12"/>
      <c r="SB115" s="12"/>
      <c r="SC115" s="12"/>
      <c r="SD115" s="12"/>
      <c r="SE115" s="12"/>
      <c r="SF115" s="12"/>
      <c r="SG115" s="12"/>
      <c r="SH115" s="11"/>
      <c r="SI115" s="11"/>
      <c r="SJ115" s="11"/>
      <c r="SK115" s="11"/>
      <c r="SL115" s="11"/>
      <c r="SM115" s="11"/>
      <c r="SN115" s="11"/>
      <c r="SO115" s="11"/>
      <c r="SP115" s="11"/>
      <c r="SQ115" s="11"/>
      <c r="SR115" s="11"/>
      <c r="SS115" s="11"/>
      <c r="ST115" s="11"/>
      <c r="SU115" s="11"/>
      <c r="SV115" s="11"/>
      <c r="SW115" s="11"/>
      <c r="SX115" s="11"/>
      <c r="SY115" s="11"/>
      <c r="SZ115" s="11"/>
      <c r="TA115" s="11"/>
      <c r="TB115" s="11"/>
      <c r="TC115" s="11"/>
      <c r="TD115" s="11"/>
      <c r="TE115" s="11"/>
      <c r="TF115" s="11"/>
      <c r="TG115" s="11"/>
      <c r="TH115" s="11"/>
      <c r="TI115" s="11"/>
      <c r="TJ115" s="11"/>
      <c r="TK115" s="11"/>
      <c r="TL115" s="11"/>
    </row>
    <row r="116" spans="1:532" x14ac:dyDescent="0.2">
      <c r="A116" s="10" t="s">
        <v>115</v>
      </c>
      <c r="B116" s="12">
        <v>14.66</v>
      </c>
      <c r="C116" s="11">
        <v>0</v>
      </c>
      <c r="D116" s="11">
        <v>0.33659458323473113</v>
      </c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/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/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/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/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/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/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/>
      <c r="LR116" s="12"/>
      <c r="LS116" s="12"/>
      <c r="LT116" s="12"/>
      <c r="LU116" s="12"/>
      <c r="LV116" s="12"/>
      <c r="LW116" s="12"/>
      <c r="LX116" s="12"/>
      <c r="LY116" s="12"/>
      <c r="LZ116" s="12"/>
      <c r="MA116" s="12"/>
      <c r="MB116" s="12"/>
      <c r="MC116" s="12"/>
      <c r="MD116" s="12"/>
      <c r="ME116" s="12"/>
      <c r="MF116" s="12"/>
      <c r="MG116" s="12"/>
      <c r="MH116" s="12"/>
      <c r="MI116" s="12"/>
      <c r="MJ116" s="12"/>
      <c r="MK116" s="12"/>
      <c r="ML116" s="12"/>
      <c r="MM116" s="12"/>
      <c r="MN116" s="12"/>
      <c r="MO116" s="12"/>
      <c r="MP116" s="12"/>
      <c r="MQ116" s="12"/>
      <c r="MR116" s="12"/>
      <c r="MS116" s="12"/>
      <c r="MT116" s="12"/>
      <c r="MU116" s="12"/>
      <c r="MV116" s="12"/>
      <c r="MW116" s="12"/>
      <c r="MX116" s="12"/>
      <c r="MY116" s="12"/>
      <c r="MZ116" s="12"/>
      <c r="NA116" s="12"/>
      <c r="NB116" s="12"/>
      <c r="NC116" s="12"/>
      <c r="ND116" s="12"/>
      <c r="NE116" s="12"/>
      <c r="NF116" s="12"/>
      <c r="NG116" s="12"/>
      <c r="NH116" s="12"/>
      <c r="NI116" s="12"/>
      <c r="NJ116" s="12"/>
      <c r="NK116" s="12"/>
      <c r="NL116" s="12"/>
      <c r="NM116" s="12"/>
      <c r="NN116" s="12"/>
      <c r="NO116" s="12"/>
      <c r="NP116" s="12"/>
      <c r="NQ116" s="12"/>
      <c r="NR116" s="12"/>
      <c r="NS116" s="12"/>
      <c r="NT116" s="12"/>
      <c r="NU116" s="12"/>
      <c r="NV116" s="12"/>
      <c r="NW116" s="12"/>
      <c r="NX116" s="12"/>
      <c r="NY116" s="12"/>
      <c r="NZ116" s="12"/>
      <c r="OA116" s="12"/>
      <c r="OB116" s="12"/>
      <c r="OC116" s="12"/>
      <c r="OD116" s="12"/>
      <c r="OE116" s="12"/>
      <c r="OF116" s="12"/>
      <c r="OG116" s="12"/>
      <c r="OH116" s="12"/>
      <c r="OI116" s="12"/>
      <c r="OJ116" s="12"/>
      <c r="OK116" s="12"/>
      <c r="OL116" s="12"/>
      <c r="OM116" s="12"/>
      <c r="ON116" s="12"/>
      <c r="OO116" s="12"/>
      <c r="OP116" s="12"/>
      <c r="OQ116" s="12"/>
      <c r="OR116" s="12"/>
      <c r="OS116" s="12"/>
      <c r="OT116" s="12"/>
      <c r="OU116" s="12"/>
      <c r="OV116" s="12"/>
      <c r="OW116" s="12"/>
      <c r="OX116" s="12"/>
      <c r="OY116" s="12"/>
      <c r="OZ116" s="12"/>
      <c r="PA116" s="12"/>
      <c r="PB116" s="12"/>
      <c r="PC116" s="12"/>
      <c r="PD116" s="12"/>
      <c r="PE116" s="12"/>
      <c r="PF116" s="12"/>
      <c r="PG116" s="12"/>
      <c r="PH116" s="12"/>
      <c r="PI116" s="12"/>
      <c r="PJ116" s="12"/>
      <c r="PK116" s="12"/>
      <c r="PL116" s="12"/>
      <c r="PM116" s="12"/>
      <c r="PN116" s="12"/>
      <c r="PO116" s="12"/>
      <c r="PP116" s="12"/>
      <c r="PQ116" s="12"/>
      <c r="PR116" s="12"/>
      <c r="PS116" s="12"/>
      <c r="PT116" s="12"/>
      <c r="PU116" s="12"/>
      <c r="PV116" s="12"/>
      <c r="PW116" s="12"/>
      <c r="PX116" s="12"/>
      <c r="PY116" s="12"/>
      <c r="PZ116" s="12"/>
      <c r="QA116" s="12"/>
      <c r="QB116" s="12"/>
      <c r="QC116" s="12"/>
      <c r="QD116" s="12"/>
      <c r="QE116" s="12"/>
      <c r="QF116" s="12"/>
      <c r="QG116" s="12"/>
      <c r="QH116" s="12"/>
      <c r="QI116" s="12"/>
      <c r="QJ116" s="12"/>
      <c r="QK116" s="12"/>
      <c r="QL116" s="12"/>
      <c r="QM116" s="12"/>
      <c r="QN116" s="12"/>
      <c r="QO116" s="12"/>
      <c r="QP116" s="12"/>
      <c r="QQ116" s="12"/>
      <c r="QR116" s="12"/>
      <c r="QS116" s="12"/>
      <c r="QT116" s="12"/>
      <c r="QU116" s="12"/>
      <c r="QV116" s="12"/>
      <c r="QW116" s="12"/>
      <c r="QX116" s="12"/>
      <c r="QY116" s="12"/>
      <c r="QZ116" s="12"/>
      <c r="RA116" s="12"/>
      <c r="RB116" s="12"/>
      <c r="RC116" s="12"/>
      <c r="RD116" s="12"/>
      <c r="RE116" s="12"/>
      <c r="RF116" s="12"/>
      <c r="RG116" s="12"/>
      <c r="RH116" s="12"/>
      <c r="RI116" s="12"/>
      <c r="RJ116" s="12"/>
      <c r="RK116" s="12"/>
      <c r="RL116" s="12"/>
      <c r="RM116" s="12"/>
      <c r="RN116" s="12"/>
      <c r="RO116" s="12"/>
      <c r="RP116" s="12"/>
      <c r="RQ116" s="12"/>
      <c r="RR116" s="12"/>
      <c r="RS116" s="12"/>
      <c r="RT116" s="12"/>
      <c r="RU116" s="12"/>
      <c r="RV116" s="12"/>
      <c r="RW116" s="12"/>
      <c r="RX116" s="12"/>
      <c r="RY116" s="12"/>
      <c r="RZ116" s="12"/>
      <c r="SA116" s="12"/>
      <c r="SB116" s="12"/>
      <c r="SC116" s="12"/>
      <c r="SD116" s="12"/>
      <c r="SE116" s="12"/>
      <c r="SF116" s="12"/>
      <c r="SG116" s="12"/>
      <c r="SH116" s="11"/>
      <c r="SI116" s="11"/>
      <c r="SJ116" s="11"/>
      <c r="SK116" s="11"/>
      <c r="SL116" s="11"/>
      <c r="SM116" s="11"/>
      <c r="SN116" s="11"/>
      <c r="SO116" s="11"/>
      <c r="SP116" s="11"/>
      <c r="SQ116" s="11"/>
      <c r="SR116" s="11"/>
      <c r="SS116" s="11"/>
      <c r="ST116" s="11"/>
      <c r="SU116" s="11"/>
      <c r="SV116" s="11"/>
      <c r="SW116" s="11"/>
      <c r="SX116" s="11"/>
      <c r="SY116" s="11"/>
      <c r="SZ116" s="11"/>
      <c r="TA116" s="11"/>
      <c r="TB116" s="11"/>
      <c r="TC116" s="11"/>
      <c r="TD116" s="11"/>
      <c r="TE116" s="11"/>
      <c r="TF116" s="11"/>
      <c r="TG116" s="11"/>
      <c r="TH116" s="11"/>
      <c r="TI116" s="11"/>
      <c r="TJ116" s="11"/>
      <c r="TK116" s="11"/>
      <c r="TL116" s="11"/>
    </row>
    <row r="117" spans="1:532" x14ac:dyDescent="0.2">
      <c r="A117" s="10" t="s">
        <v>116</v>
      </c>
      <c r="B117" s="12">
        <v>14.92</v>
      </c>
      <c r="C117" s="11">
        <v>0</v>
      </c>
      <c r="D117" s="11">
        <v>7.9198725466995551E-2</v>
      </c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/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/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/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/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/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/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/>
      <c r="LS117" s="12"/>
      <c r="LT117" s="12"/>
      <c r="LU117" s="12"/>
      <c r="LV117" s="12"/>
      <c r="LW117" s="12"/>
      <c r="LX117" s="12"/>
      <c r="LY117" s="12"/>
      <c r="LZ117" s="12"/>
      <c r="MA117" s="12"/>
      <c r="MB117" s="12"/>
      <c r="MC117" s="12"/>
      <c r="MD117" s="12"/>
      <c r="ME117" s="12"/>
      <c r="MF117" s="12"/>
      <c r="MG117" s="12"/>
      <c r="MH117" s="12"/>
      <c r="MI117" s="12"/>
      <c r="MJ117" s="12"/>
      <c r="MK117" s="12"/>
      <c r="ML117" s="12"/>
      <c r="MM117" s="12"/>
      <c r="MN117" s="12"/>
      <c r="MO117" s="12"/>
      <c r="MP117" s="12"/>
      <c r="MQ117" s="12"/>
      <c r="MR117" s="12"/>
      <c r="MS117" s="12"/>
      <c r="MT117" s="12"/>
      <c r="MU117" s="12"/>
      <c r="MV117" s="12"/>
      <c r="MW117" s="12"/>
      <c r="MX117" s="12"/>
      <c r="MY117" s="12"/>
      <c r="MZ117" s="12"/>
      <c r="NA117" s="12"/>
      <c r="NB117" s="12"/>
      <c r="NC117" s="12"/>
      <c r="ND117" s="12"/>
      <c r="NE117" s="12"/>
      <c r="NF117" s="12"/>
      <c r="NG117" s="12"/>
      <c r="NH117" s="12"/>
      <c r="NI117" s="12"/>
      <c r="NJ117" s="12"/>
      <c r="NK117" s="12"/>
      <c r="NL117" s="12"/>
      <c r="NM117" s="12"/>
      <c r="NN117" s="12"/>
      <c r="NO117" s="12"/>
      <c r="NP117" s="12"/>
      <c r="NQ117" s="12"/>
      <c r="NR117" s="12"/>
      <c r="NS117" s="12"/>
      <c r="NT117" s="12"/>
      <c r="NU117" s="12"/>
      <c r="NV117" s="12"/>
      <c r="NW117" s="12"/>
      <c r="NX117" s="12"/>
      <c r="NY117" s="12"/>
      <c r="NZ117" s="12"/>
      <c r="OA117" s="12"/>
      <c r="OB117" s="12"/>
      <c r="OC117" s="12"/>
      <c r="OD117" s="12"/>
      <c r="OE117" s="12"/>
      <c r="OF117" s="12"/>
      <c r="OG117" s="12"/>
      <c r="OH117" s="12"/>
      <c r="OI117" s="12"/>
      <c r="OJ117" s="12"/>
      <c r="OK117" s="12"/>
      <c r="OL117" s="12"/>
      <c r="OM117" s="12"/>
      <c r="ON117" s="12"/>
      <c r="OO117" s="12"/>
      <c r="OP117" s="12"/>
      <c r="OQ117" s="12"/>
      <c r="OR117" s="12"/>
      <c r="OS117" s="12"/>
      <c r="OT117" s="12"/>
      <c r="OU117" s="12"/>
      <c r="OV117" s="12"/>
      <c r="OW117" s="12"/>
      <c r="OX117" s="12"/>
      <c r="OY117" s="12"/>
      <c r="OZ117" s="12"/>
      <c r="PA117" s="12"/>
      <c r="PB117" s="12"/>
      <c r="PC117" s="12"/>
      <c r="PD117" s="12"/>
      <c r="PE117" s="12"/>
      <c r="PF117" s="12"/>
      <c r="PG117" s="12"/>
      <c r="PH117" s="12"/>
      <c r="PI117" s="12"/>
      <c r="PJ117" s="12"/>
      <c r="PK117" s="12"/>
      <c r="PL117" s="12"/>
      <c r="PM117" s="12"/>
      <c r="PN117" s="12"/>
      <c r="PO117" s="12"/>
      <c r="PP117" s="12"/>
      <c r="PQ117" s="12"/>
      <c r="PR117" s="12"/>
      <c r="PS117" s="12"/>
      <c r="PT117" s="12"/>
      <c r="PU117" s="12"/>
      <c r="PV117" s="12"/>
      <c r="PW117" s="12"/>
      <c r="PX117" s="12"/>
      <c r="PY117" s="12"/>
      <c r="PZ117" s="12"/>
      <c r="QA117" s="12"/>
      <c r="QB117" s="12"/>
      <c r="QC117" s="12"/>
      <c r="QD117" s="12"/>
      <c r="QE117" s="12"/>
      <c r="QF117" s="12"/>
      <c r="QG117" s="12"/>
      <c r="QH117" s="12"/>
      <c r="QI117" s="12"/>
      <c r="QJ117" s="12"/>
      <c r="QK117" s="12"/>
      <c r="QL117" s="12"/>
      <c r="QM117" s="12"/>
      <c r="QN117" s="12"/>
      <c r="QO117" s="12"/>
      <c r="QP117" s="12"/>
      <c r="QQ117" s="12"/>
      <c r="QR117" s="12"/>
      <c r="QS117" s="12"/>
      <c r="QT117" s="12"/>
      <c r="QU117" s="12"/>
      <c r="QV117" s="12"/>
      <c r="QW117" s="12"/>
      <c r="QX117" s="12"/>
      <c r="QY117" s="12"/>
      <c r="QZ117" s="12"/>
      <c r="RA117" s="12"/>
      <c r="RB117" s="12"/>
      <c r="RC117" s="12"/>
      <c r="RD117" s="12"/>
      <c r="RE117" s="12"/>
      <c r="RF117" s="12"/>
      <c r="RG117" s="12"/>
      <c r="RH117" s="12"/>
      <c r="RI117" s="12"/>
      <c r="RJ117" s="12"/>
      <c r="RK117" s="12"/>
      <c r="RL117" s="12"/>
      <c r="RM117" s="12"/>
      <c r="RN117" s="12"/>
      <c r="RO117" s="12"/>
      <c r="RP117" s="12"/>
      <c r="RQ117" s="12"/>
      <c r="RR117" s="12"/>
      <c r="RS117" s="12"/>
      <c r="RT117" s="12"/>
      <c r="RU117" s="12"/>
      <c r="RV117" s="12"/>
      <c r="RW117" s="12"/>
      <c r="RX117" s="12"/>
      <c r="RY117" s="12"/>
      <c r="RZ117" s="12"/>
      <c r="SA117" s="12"/>
      <c r="SB117" s="12"/>
      <c r="SC117" s="12"/>
      <c r="SD117" s="12"/>
      <c r="SE117" s="12"/>
      <c r="SF117" s="12"/>
      <c r="SG117" s="12"/>
      <c r="SH117" s="11"/>
      <c r="SI117" s="11"/>
      <c r="SJ117" s="11"/>
      <c r="SK117" s="11"/>
      <c r="SL117" s="11"/>
      <c r="SM117" s="11"/>
      <c r="SN117" s="11"/>
      <c r="SO117" s="11"/>
      <c r="SP117" s="11"/>
      <c r="SQ117" s="11"/>
      <c r="SR117" s="11"/>
      <c r="SS117" s="11"/>
      <c r="ST117" s="11"/>
      <c r="SU117" s="11"/>
      <c r="SV117" s="11"/>
      <c r="SW117" s="11"/>
      <c r="SX117" s="11"/>
      <c r="SY117" s="11"/>
      <c r="SZ117" s="11"/>
      <c r="TA117" s="11"/>
      <c r="TB117" s="11"/>
      <c r="TC117" s="11"/>
      <c r="TD117" s="11"/>
      <c r="TE117" s="11"/>
      <c r="TF117" s="11"/>
      <c r="TG117" s="11"/>
      <c r="TH117" s="11"/>
      <c r="TI117" s="11"/>
      <c r="TJ117" s="11"/>
      <c r="TK117" s="11"/>
      <c r="TL117" s="11"/>
    </row>
    <row r="118" spans="1:532" x14ac:dyDescent="0.2">
      <c r="A118" s="10" t="s">
        <v>117</v>
      </c>
      <c r="B118" s="12">
        <v>16.149999999999999</v>
      </c>
      <c r="C118" s="11">
        <v>1.1384816785880609</v>
      </c>
      <c r="D118" s="11">
        <v>0</v>
      </c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/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/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/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/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/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/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/>
      <c r="LT118" s="12"/>
      <c r="LU118" s="12"/>
      <c r="LV118" s="12"/>
      <c r="LW118" s="12"/>
      <c r="LX118" s="12"/>
      <c r="LY118" s="12"/>
      <c r="LZ118" s="12"/>
      <c r="MA118" s="12"/>
      <c r="MB118" s="12"/>
      <c r="MC118" s="12"/>
      <c r="MD118" s="12"/>
      <c r="ME118" s="12"/>
      <c r="MF118" s="12"/>
      <c r="MG118" s="12"/>
      <c r="MH118" s="12"/>
      <c r="MI118" s="12"/>
      <c r="MJ118" s="12"/>
      <c r="MK118" s="12"/>
      <c r="ML118" s="12"/>
      <c r="MM118" s="12"/>
      <c r="MN118" s="12"/>
      <c r="MO118" s="12"/>
      <c r="MP118" s="12"/>
      <c r="MQ118" s="12"/>
      <c r="MR118" s="12"/>
      <c r="MS118" s="12"/>
      <c r="MT118" s="12"/>
      <c r="MU118" s="12"/>
      <c r="MV118" s="12"/>
      <c r="MW118" s="12"/>
      <c r="MX118" s="12"/>
      <c r="MY118" s="12"/>
      <c r="MZ118" s="12"/>
      <c r="NA118" s="12"/>
      <c r="NB118" s="12"/>
      <c r="NC118" s="12"/>
      <c r="ND118" s="12"/>
      <c r="NE118" s="12"/>
      <c r="NF118" s="12"/>
      <c r="NG118" s="12"/>
      <c r="NH118" s="12"/>
      <c r="NI118" s="12"/>
      <c r="NJ118" s="12"/>
      <c r="NK118" s="12"/>
      <c r="NL118" s="12"/>
      <c r="NM118" s="12"/>
      <c r="NN118" s="12"/>
      <c r="NO118" s="12"/>
      <c r="NP118" s="12"/>
      <c r="NQ118" s="12"/>
      <c r="NR118" s="12"/>
      <c r="NS118" s="12"/>
      <c r="NT118" s="12"/>
      <c r="NU118" s="12"/>
      <c r="NV118" s="12"/>
      <c r="NW118" s="12"/>
      <c r="NX118" s="12"/>
      <c r="NY118" s="12"/>
      <c r="NZ118" s="12"/>
      <c r="OA118" s="12"/>
      <c r="OB118" s="12"/>
      <c r="OC118" s="12"/>
      <c r="OD118" s="12"/>
      <c r="OE118" s="12"/>
      <c r="OF118" s="12"/>
      <c r="OG118" s="12"/>
      <c r="OH118" s="12"/>
      <c r="OI118" s="12"/>
      <c r="OJ118" s="12"/>
      <c r="OK118" s="12"/>
      <c r="OL118" s="12"/>
      <c r="OM118" s="12"/>
      <c r="ON118" s="12"/>
      <c r="OO118" s="12"/>
      <c r="OP118" s="12"/>
      <c r="OQ118" s="12"/>
      <c r="OR118" s="12"/>
      <c r="OS118" s="12"/>
      <c r="OT118" s="12"/>
      <c r="OU118" s="12"/>
      <c r="OV118" s="12"/>
      <c r="OW118" s="12"/>
      <c r="OX118" s="12"/>
      <c r="OY118" s="12"/>
      <c r="OZ118" s="12"/>
      <c r="PA118" s="12"/>
      <c r="PB118" s="12"/>
      <c r="PC118" s="12"/>
      <c r="PD118" s="12"/>
      <c r="PE118" s="12"/>
      <c r="PF118" s="12"/>
      <c r="PG118" s="12"/>
      <c r="PH118" s="12"/>
      <c r="PI118" s="12"/>
      <c r="PJ118" s="12"/>
      <c r="PK118" s="12"/>
      <c r="PL118" s="12"/>
      <c r="PM118" s="12"/>
      <c r="PN118" s="12"/>
      <c r="PO118" s="12"/>
      <c r="PP118" s="12"/>
      <c r="PQ118" s="12"/>
      <c r="PR118" s="12"/>
      <c r="PS118" s="12"/>
      <c r="PT118" s="12"/>
      <c r="PU118" s="12"/>
      <c r="PV118" s="12"/>
      <c r="PW118" s="12"/>
      <c r="PX118" s="12"/>
      <c r="PY118" s="12"/>
      <c r="PZ118" s="12"/>
      <c r="QA118" s="12"/>
      <c r="QB118" s="12"/>
      <c r="QC118" s="12"/>
      <c r="QD118" s="12"/>
      <c r="QE118" s="12"/>
      <c r="QF118" s="12"/>
      <c r="QG118" s="12"/>
      <c r="QH118" s="12"/>
      <c r="QI118" s="12"/>
      <c r="QJ118" s="12"/>
      <c r="QK118" s="12"/>
      <c r="QL118" s="12"/>
      <c r="QM118" s="12"/>
      <c r="QN118" s="12"/>
      <c r="QO118" s="12"/>
      <c r="QP118" s="12"/>
      <c r="QQ118" s="12"/>
      <c r="QR118" s="12"/>
      <c r="QS118" s="12"/>
      <c r="QT118" s="12"/>
      <c r="QU118" s="12"/>
      <c r="QV118" s="12"/>
      <c r="QW118" s="12"/>
      <c r="QX118" s="12"/>
      <c r="QY118" s="12"/>
      <c r="QZ118" s="12"/>
      <c r="RA118" s="12"/>
      <c r="RB118" s="12"/>
      <c r="RC118" s="12"/>
      <c r="RD118" s="12"/>
      <c r="RE118" s="12"/>
      <c r="RF118" s="12"/>
      <c r="RG118" s="12"/>
      <c r="RH118" s="12"/>
      <c r="RI118" s="12"/>
      <c r="RJ118" s="12"/>
      <c r="RK118" s="12"/>
      <c r="RL118" s="12"/>
      <c r="RM118" s="12"/>
      <c r="RN118" s="12"/>
      <c r="RO118" s="12"/>
      <c r="RP118" s="12"/>
      <c r="RQ118" s="12"/>
      <c r="RR118" s="12"/>
      <c r="RS118" s="12"/>
      <c r="RT118" s="12"/>
      <c r="RU118" s="12"/>
      <c r="RV118" s="12"/>
      <c r="RW118" s="12"/>
      <c r="RX118" s="12"/>
      <c r="RY118" s="12"/>
      <c r="RZ118" s="12"/>
      <c r="SA118" s="12"/>
      <c r="SB118" s="12"/>
      <c r="SC118" s="12"/>
      <c r="SD118" s="12"/>
      <c r="SE118" s="12"/>
      <c r="SF118" s="12"/>
      <c r="SG118" s="12"/>
      <c r="SH118" s="11"/>
      <c r="SI118" s="11"/>
      <c r="SJ118" s="11"/>
      <c r="SK118" s="11"/>
      <c r="SL118" s="11"/>
      <c r="SM118" s="11"/>
      <c r="SN118" s="11"/>
      <c r="SO118" s="11"/>
      <c r="SP118" s="11"/>
      <c r="SQ118" s="11"/>
      <c r="SR118" s="11"/>
      <c r="SS118" s="11"/>
      <c r="ST118" s="11"/>
      <c r="SU118" s="11"/>
      <c r="SV118" s="11"/>
      <c r="SW118" s="11"/>
      <c r="SX118" s="11"/>
      <c r="SY118" s="11"/>
      <c r="SZ118" s="11"/>
      <c r="TA118" s="11"/>
      <c r="TB118" s="11"/>
      <c r="TC118" s="11"/>
      <c r="TD118" s="11"/>
      <c r="TE118" s="11"/>
      <c r="TF118" s="11"/>
      <c r="TG118" s="11"/>
      <c r="TH118" s="11"/>
      <c r="TI118" s="11"/>
      <c r="TJ118" s="11"/>
      <c r="TK118" s="11"/>
      <c r="TL118" s="11"/>
    </row>
    <row r="119" spans="1:532" x14ac:dyDescent="0.2">
      <c r="A119" s="10" t="s">
        <v>118</v>
      </c>
      <c r="B119" s="12">
        <v>15.29</v>
      </c>
      <c r="C119" s="11">
        <v>0.28709537981785882</v>
      </c>
      <c r="D119" s="11">
        <v>0</v>
      </c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12"/>
      <c r="IP119" s="12"/>
      <c r="IQ119" s="12"/>
      <c r="IR119" s="12"/>
      <c r="IS119" s="12"/>
      <c r="IT119" s="12"/>
      <c r="IU119" s="12"/>
      <c r="IV119" s="12"/>
      <c r="IW119" s="12"/>
      <c r="IX119" s="12"/>
      <c r="IY119" s="12"/>
      <c r="IZ119" s="12"/>
      <c r="JA119" s="12"/>
      <c r="JB119" s="12"/>
      <c r="JC119" s="12"/>
      <c r="JD119" s="12"/>
      <c r="JE119" s="12"/>
      <c r="JF119" s="12"/>
      <c r="JG119" s="12"/>
      <c r="JH119" s="12"/>
      <c r="JI119" s="12"/>
      <c r="JJ119" s="12"/>
      <c r="JK119" s="12"/>
      <c r="JL119" s="12"/>
      <c r="JM119" s="12"/>
      <c r="JN119" s="12"/>
      <c r="JO119" s="12"/>
      <c r="JP119" s="12"/>
      <c r="JQ119" s="12"/>
      <c r="JR119" s="12"/>
      <c r="JS119" s="12"/>
      <c r="JT119" s="12"/>
      <c r="JU119" s="12"/>
      <c r="JV119" s="12"/>
      <c r="JW119" s="12"/>
      <c r="JX119" s="12"/>
      <c r="JY119" s="12"/>
      <c r="JZ119" s="12"/>
      <c r="KA119" s="12"/>
      <c r="KB119" s="12"/>
      <c r="KC119" s="12"/>
      <c r="KD119" s="12"/>
      <c r="KE119" s="12"/>
      <c r="KF119" s="12"/>
      <c r="KG119" s="12"/>
      <c r="KH119" s="12"/>
      <c r="KI119" s="12"/>
      <c r="KJ119" s="12"/>
      <c r="KK119" s="12"/>
      <c r="KL119" s="12"/>
      <c r="KM119" s="12"/>
      <c r="KN119" s="12"/>
      <c r="KO119" s="12"/>
      <c r="KP119" s="12"/>
      <c r="KQ119" s="12"/>
      <c r="KR119" s="12"/>
      <c r="KS119" s="12"/>
      <c r="KT119" s="12"/>
      <c r="KU119" s="12"/>
      <c r="KV119" s="12"/>
      <c r="KW119" s="12"/>
      <c r="KX119" s="12"/>
      <c r="KY119" s="12"/>
      <c r="KZ119" s="12"/>
      <c r="LA119" s="12"/>
      <c r="LB119" s="12"/>
      <c r="LC119" s="12"/>
      <c r="LD119" s="12"/>
      <c r="LE119" s="12"/>
      <c r="LF119" s="12"/>
      <c r="LG119" s="12"/>
      <c r="LH119" s="12"/>
      <c r="LI119" s="12"/>
      <c r="LJ119" s="12"/>
      <c r="LK119" s="12"/>
      <c r="LL119" s="12"/>
      <c r="LM119" s="12"/>
      <c r="LN119" s="12"/>
      <c r="LO119" s="12"/>
      <c r="LP119" s="12"/>
      <c r="LQ119" s="12"/>
      <c r="LR119" s="12"/>
      <c r="LS119" s="12"/>
      <c r="LT119" s="12"/>
      <c r="LU119" s="12"/>
      <c r="LV119" s="12"/>
      <c r="LW119" s="12"/>
      <c r="LX119" s="12"/>
      <c r="LY119" s="12"/>
      <c r="LZ119" s="12"/>
      <c r="MA119" s="12"/>
      <c r="MB119" s="12"/>
      <c r="MC119" s="12"/>
      <c r="MD119" s="12"/>
      <c r="ME119" s="12"/>
      <c r="MF119" s="12"/>
      <c r="MG119" s="12"/>
      <c r="MH119" s="12"/>
      <c r="MI119" s="12"/>
      <c r="MJ119" s="12"/>
      <c r="MK119" s="12"/>
      <c r="ML119" s="12"/>
      <c r="MM119" s="12"/>
      <c r="MN119" s="12"/>
      <c r="MO119" s="12"/>
      <c r="MP119" s="12"/>
      <c r="MQ119" s="12"/>
      <c r="MR119" s="12"/>
      <c r="MS119" s="12"/>
      <c r="MT119" s="12"/>
      <c r="MU119" s="12"/>
      <c r="MV119" s="12"/>
      <c r="MW119" s="12"/>
      <c r="MX119" s="12"/>
      <c r="MY119" s="12"/>
      <c r="MZ119" s="12"/>
      <c r="NA119" s="12"/>
      <c r="NB119" s="12"/>
      <c r="NC119" s="12"/>
      <c r="ND119" s="12"/>
      <c r="NE119" s="12"/>
      <c r="NF119" s="12"/>
      <c r="NG119" s="12"/>
      <c r="NH119" s="12"/>
      <c r="NI119" s="12"/>
      <c r="NJ119" s="12"/>
      <c r="NK119" s="12"/>
      <c r="NL119" s="12"/>
      <c r="NM119" s="12"/>
      <c r="NN119" s="12"/>
      <c r="NO119" s="12"/>
      <c r="NP119" s="12"/>
      <c r="NQ119" s="12"/>
      <c r="NR119" s="12"/>
      <c r="NS119" s="12"/>
      <c r="NT119" s="12"/>
      <c r="NU119" s="12"/>
      <c r="NV119" s="12"/>
      <c r="NW119" s="12"/>
      <c r="NX119" s="12"/>
      <c r="NY119" s="12"/>
      <c r="NZ119" s="12"/>
      <c r="OA119" s="12"/>
      <c r="OB119" s="12"/>
      <c r="OC119" s="12"/>
      <c r="OD119" s="12"/>
      <c r="OE119" s="12"/>
      <c r="OF119" s="12"/>
      <c r="OG119" s="12"/>
      <c r="OH119" s="12"/>
      <c r="OI119" s="12"/>
      <c r="OJ119" s="12"/>
      <c r="OK119" s="12"/>
      <c r="OL119" s="12"/>
      <c r="OM119" s="12"/>
      <c r="ON119" s="12"/>
      <c r="OO119" s="12"/>
      <c r="OP119" s="12"/>
      <c r="OQ119" s="12"/>
      <c r="OR119" s="12"/>
      <c r="OS119" s="12"/>
      <c r="OT119" s="12"/>
      <c r="OU119" s="12"/>
      <c r="OV119" s="12"/>
      <c r="OW119" s="12"/>
      <c r="OX119" s="12"/>
      <c r="OY119" s="12"/>
      <c r="OZ119" s="12"/>
      <c r="PA119" s="12"/>
      <c r="PB119" s="12"/>
      <c r="PC119" s="12"/>
      <c r="PD119" s="12"/>
      <c r="PE119" s="12"/>
      <c r="PF119" s="12"/>
      <c r="PG119" s="12"/>
      <c r="PH119" s="12"/>
      <c r="PI119" s="12"/>
      <c r="PJ119" s="12"/>
      <c r="PK119" s="12"/>
      <c r="PL119" s="12"/>
      <c r="PM119" s="12"/>
      <c r="PN119" s="12"/>
      <c r="PO119" s="12"/>
      <c r="PP119" s="12"/>
      <c r="PQ119" s="12"/>
      <c r="PR119" s="12"/>
      <c r="PS119" s="12"/>
      <c r="PT119" s="12"/>
      <c r="PU119" s="12"/>
      <c r="PV119" s="12"/>
      <c r="PW119" s="12"/>
      <c r="PX119" s="12"/>
      <c r="PY119" s="12"/>
      <c r="PZ119" s="12"/>
      <c r="QA119" s="12"/>
      <c r="QB119" s="12"/>
      <c r="QC119" s="12"/>
      <c r="QD119" s="12"/>
      <c r="QE119" s="12"/>
      <c r="QF119" s="12"/>
      <c r="QG119" s="12"/>
      <c r="QH119" s="12"/>
      <c r="QI119" s="12"/>
      <c r="QJ119" s="12"/>
      <c r="QK119" s="12"/>
      <c r="QL119" s="12"/>
      <c r="QM119" s="12"/>
      <c r="QN119" s="12"/>
      <c r="QO119" s="12"/>
      <c r="QP119" s="12"/>
      <c r="QQ119" s="12"/>
      <c r="QR119" s="12"/>
      <c r="QS119" s="12"/>
      <c r="QT119" s="12"/>
      <c r="QU119" s="12"/>
      <c r="QV119" s="12"/>
      <c r="QW119" s="12"/>
      <c r="QX119" s="12"/>
      <c r="QY119" s="12"/>
      <c r="QZ119" s="12"/>
      <c r="RA119" s="12"/>
      <c r="RB119" s="12"/>
      <c r="RC119" s="12"/>
      <c r="RD119" s="12"/>
      <c r="RE119" s="12"/>
      <c r="RF119" s="12"/>
      <c r="RG119" s="12"/>
      <c r="RH119" s="12"/>
      <c r="RI119" s="12"/>
      <c r="RJ119" s="12"/>
      <c r="RK119" s="12"/>
      <c r="RL119" s="12"/>
      <c r="RM119" s="12"/>
      <c r="RN119" s="12"/>
      <c r="RO119" s="12"/>
      <c r="RP119" s="12"/>
      <c r="RQ119" s="12"/>
      <c r="RR119" s="12"/>
      <c r="RS119" s="12"/>
      <c r="RT119" s="12"/>
      <c r="RU119" s="12"/>
      <c r="RV119" s="12"/>
      <c r="RW119" s="12"/>
      <c r="RX119" s="12"/>
      <c r="RY119" s="12"/>
      <c r="RZ119" s="12"/>
      <c r="SA119" s="12"/>
      <c r="SB119" s="12"/>
      <c r="SC119" s="12"/>
      <c r="SD119" s="12"/>
      <c r="SE119" s="12"/>
      <c r="SF119" s="12"/>
      <c r="SG119" s="12"/>
      <c r="SH119" s="11"/>
      <c r="SI119" s="11"/>
      <c r="SJ119" s="11"/>
      <c r="SK119" s="11"/>
      <c r="SL119" s="11"/>
      <c r="SM119" s="11"/>
      <c r="SN119" s="11"/>
      <c r="SO119" s="11"/>
      <c r="SP119" s="11"/>
      <c r="SQ119" s="11"/>
      <c r="SR119" s="11"/>
      <c r="SS119" s="11"/>
      <c r="ST119" s="11"/>
      <c r="SU119" s="11"/>
      <c r="SV119" s="11"/>
      <c r="SW119" s="11"/>
      <c r="SX119" s="11"/>
      <c r="SY119" s="11"/>
      <c r="SZ119" s="11"/>
      <c r="TA119" s="11"/>
      <c r="TB119" s="11"/>
      <c r="TC119" s="11"/>
      <c r="TD119" s="11"/>
      <c r="TE119" s="11"/>
      <c r="TF119" s="11"/>
      <c r="TG119" s="11"/>
      <c r="TH119" s="11"/>
      <c r="TI119" s="11"/>
      <c r="TJ119" s="11"/>
      <c r="TK119" s="11"/>
      <c r="TL119" s="11"/>
    </row>
    <row r="120" spans="1:532" x14ac:dyDescent="0.2">
      <c r="A120" s="10" t="s">
        <v>119</v>
      </c>
      <c r="B120" s="12">
        <v>15.17</v>
      </c>
      <c r="C120" s="11">
        <v>0.16829729161736556</v>
      </c>
      <c r="D120" s="11">
        <v>0</v>
      </c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12"/>
      <c r="IP120" s="12"/>
      <c r="IQ120" s="12"/>
      <c r="IR120" s="12"/>
      <c r="IS120" s="12"/>
      <c r="IT120" s="12"/>
      <c r="IU120" s="12"/>
      <c r="IV120" s="12"/>
      <c r="IW120" s="12"/>
      <c r="IX120" s="12"/>
      <c r="IY120" s="12"/>
      <c r="IZ120" s="12"/>
      <c r="JA120" s="12"/>
      <c r="JB120" s="12"/>
      <c r="JC120" s="12"/>
      <c r="JD120" s="12"/>
      <c r="JE120" s="12"/>
      <c r="JF120" s="12"/>
      <c r="JG120" s="12"/>
      <c r="JH120" s="12"/>
      <c r="JI120" s="12"/>
      <c r="JJ120" s="12"/>
      <c r="JK120" s="12"/>
      <c r="JL120" s="12"/>
      <c r="JM120" s="12"/>
      <c r="JN120" s="12"/>
      <c r="JO120" s="12"/>
      <c r="JP120" s="12"/>
      <c r="JQ120" s="12"/>
      <c r="JR120" s="12"/>
      <c r="JS120" s="12"/>
      <c r="JT120" s="12"/>
      <c r="JU120" s="12"/>
      <c r="JV120" s="12"/>
      <c r="JW120" s="12"/>
      <c r="JX120" s="12"/>
      <c r="JY120" s="12"/>
      <c r="JZ120" s="12"/>
      <c r="KA120" s="12"/>
      <c r="KB120" s="12"/>
      <c r="KC120" s="12"/>
      <c r="KD120" s="12"/>
      <c r="KE120" s="12"/>
      <c r="KF120" s="12"/>
      <c r="KG120" s="12"/>
      <c r="KH120" s="12"/>
      <c r="KI120" s="12"/>
      <c r="KJ120" s="12"/>
      <c r="KK120" s="12"/>
      <c r="KL120" s="12"/>
      <c r="KM120" s="12"/>
      <c r="KN120" s="12"/>
      <c r="KO120" s="12"/>
      <c r="KP120" s="12"/>
      <c r="KQ120" s="12"/>
      <c r="KR120" s="12"/>
      <c r="KS120" s="12"/>
      <c r="KT120" s="12"/>
      <c r="KU120" s="12"/>
      <c r="KV120" s="12"/>
      <c r="KW120" s="12"/>
      <c r="KX120" s="12"/>
      <c r="KY120" s="12"/>
      <c r="KZ120" s="12"/>
      <c r="LA120" s="12"/>
      <c r="LB120" s="12"/>
      <c r="LC120" s="12"/>
      <c r="LD120" s="12"/>
      <c r="LE120" s="12"/>
      <c r="LF120" s="12"/>
      <c r="LG120" s="12"/>
      <c r="LH120" s="12"/>
      <c r="LI120" s="12"/>
      <c r="LJ120" s="12"/>
      <c r="LK120" s="12"/>
      <c r="LL120" s="12"/>
      <c r="LM120" s="12"/>
      <c r="LN120" s="12"/>
      <c r="LO120" s="12"/>
      <c r="LP120" s="12"/>
      <c r="LQ120" s="12"/>
      <c r="LR120" s="12"/>
      <c r="LS120" s="12"/>
      <c r="LT120" s="12"/>
      <c r="LU120" s="12"/>
      <c r="LV120" s="12"/>
      <c r="LW120" s="12"/>
      <c r="LX120" s="12"/>
      <c r="LY120" s="12"/>
      <c r="LZ120" s="12"/>
      <c r="MA120" s="12"/>
      <c r="MB120" s="12"/>
      <c r="MC120" s="12"/>
      <c r="MD120" s="12"/>
      <c r="ME120" s="12"/>
      <c r="MF120" s="12"/>
      <c r="MG120" s="12"/>
      <c r="MH120" s="12"/>
      <c r="MI120" s="12"/>
      <c r="MJ120" s="12"/>
      <c r="MK120" s="12"/>
      <c r="ML120" s="12"/>
      <c r="MM120" s="12"/>
      <c r="MN120" s="12"/>
      <c r="MO120" s="12"/>
      <c r="MP120" s="12"/>
      <c r="MQ120" s="12"/>
      <c r="MR120" s="12"/>
      <c r="MS120" s="12"/>
      <c r="MT120" s="12"/>
      <c r="MU120" s="12"/>
      <c r="MV120" s="12"/>
      <c r="MW120" s="12"/>
      <c r="MX120" s="12"/>
      <c r="MY120" s="12"/>
      <c r="MZ120" s="12"/>
      <c r="NA120" s="12"/>
      <c r="NB120" s="12"/>
      <c r="NC120" s="12"/>
      <c r="ND120" s="12"/>
      <c r="NE120" s="12"/>
      <c r="NF120" s="12"/>
      <c r="NG120" s="12"/>
      <c r="NH120" s="12"/>
      <c r="NI120" s="12"/>
      <c r="NJ120" s="12"/>
      <c r="NK120" s="12"/>
      <c r="NL120" s="12"/>
      <c r="NM120" s="12"/>
      <c r="NN120" s="12"/>
      <c r="NO120" s="12"/>
      <c r="NP120" s="12"/>
      <c r="NQ120" s="12"/>
      <c r="NR120" s="12"/>
      <c r="NS120" s="12"/>
      <c r="NT120" s="12"/>
      <c r="NU120" s="12"/>
      <c r="NV120" s="12"/>
      <c r="NW120" s="12"/>
      <c r="NX120" s="12"/>
      <c r="NY120" s="12"/>
      <c r="NZ120" s="12"/>
      <c r="OA120" s="12"/>
      <c r="OB120" s="12"/>
      <c r="OC120" s="12"/>
      <c r="OD120" s="12"/>
      <c r="OE120" s="12"/>
      <c r="OF120" s="12"/>
      <c r="OG120" s="12"/>
      <c r="OH120" s="12"/>
      <c r="OI120" s="12"/>
      <c r="OJ120" s="12"/>
      <c r="OK120" s="12"/>
      <c r="OL120" s="12"/>
      <c r="OM120" s="12"/>
      <c r="ON120" s="12"/>
      <c r="OO120" s="12"/>
      <c r="OP120" s="12"/>
      <c r="OQ120" s="12"/>
      <c r="OR120" s="12"/>
      <c r="OS120" s="12"/>
      <c r="OT120" s="12"/>
      <c r="OU120" s="12"/>
      <c r="OV120" s="12"/>
      <c r="OW120" s="12"/>
      <c r="OX120" s="12"/>
      <c r="OY120" s="12"/>
      <c r="OZ120" s="12"/>
      <c r="PA120" s="12"/>
      <c r="PB120" s="12"/>
      <c r="PC120" s="12"/>
      <c r="PD120" s="12"/>
      <c r="PE120" s="12"/>
      <c r="PF120" s="12"/>
      <c r="PG120" s="12"/>
      <c r="PH120" s="12"/>
      <c r="PI120" s="12"/>
      <c r="PJ120" s="12"/>
      <c r="PK120" s="12"/>
      <c r="PL120" s="12"/>
      <c r="PM120" s="12"/>
      <c r="PN120" s="12"/>
      <c r="PO120" s="12"/>
      <c r="PP120" s="12"/>
      <c r="PQ120" s="12"/>
      <c r="PR120" s="12"/>
      <c r="PS120" s="12"/>
      <c r="PT120" s="12"/>
      <c r="PU120" s="12"/>
      <c r="PV120" s="12"/>
      <c r="PW120" s="12"/>
      <c r="PX120" s="12"/>
      <c r="PY120" s="12"/>
      <c r="PZ120" s="12"/>
      <c r="QA120" s="12"/>
      <c r="QB120" s="12"/>
      <c r="QC120" s="12"/>
      <c r="QD120" s="12"/>
      <c r="QE120" s="12"/>
      <c r="QF120" s="12"/>
      <c r="QG120" s="12"/>
      <c r="QH120" s="12"/>
      <c r="QI120" s="12"/>
      <c r="QJ120" s="12"/>
      <c r="QK120" s="12"/>
      <c r="QL120" s="12"/>
      <c r="QM120" s="12"/>
      <c r="QN120" s="12"/>
      <c r="QO120" s="12"/>
      <c r="QP120" s="12"/>
      <c r="QQ120" s="12"/>
      <c r="QR120" s="12"/>
      <c r="QS120" s="12"/>
      <c r="QT120" s="12"/>
      <c r="QU120" s="12"/>
      <c r="QV120" s="12"/>
      <c r="QW120" s="12"/>
      <c r="QX120" s="12"/>
      <c r="QY120" s="12"/>
      <c r="QZ120" s="12"/>
      <c r="RA120" s="12"/>
      <c r="RB120" s="12"/>
      <c r="RC120" s="12"/>
      <c r="RD120" s="12"/>
      <c r="RE120" s="12"/>
      <c r="RF120" s="12"/>
      <c r="RG120" s="12"/>
      <c r="RH120" s="12"/>
      <c r="RI120" s="12"/>
      <c r="RJ120" s="12"/>
      <c r="RK120" s="12"/>
      <c r="RL120" s="12"/>
      <c r="RM120" s="12"/>
      <c r="RN120" s="12"/>
      <c r="RO120" s="12"/>
      <c r="RP120" s="12"/>
      <c r="RQ120" s="12"/>
      <c r="RR120" s="12"/>
      <c r="RS120" s="12"/>
      <c r="RT120" s="12"/>
      <c r="RU120" s="12"/>
      <c r="RV120" s="12"/>
      <c r="RW120" s="12"/>
      <c r="RX120" s="12"/>
      <c r="RY120" s="12"/>
      <c r="RZ120" s="12"/>
      <c r="SA120" s="12"/>
      <c r="SB120" s="12"/>
      <c r="SC120" s="12"/>
      <c r="SD120" s="12"/>
      <c r="SE120" s="12"/>
      <c r="SF120" s="12"/>
      <c r="SG120" s="12"/>
      <c r="SH120" s="11"/>
      <c r="SI120" s="11"/>
      <c r="SJ120" s="11"/>
      <c r="SK120" s="11"/>
      <c r="SL120" s="11"/>
      <c r="SM120" s="11"/>
      <c r="SN120" s="11"/>
      <c r="SO120" s="11"/>
      <c r="SP120" s="11"/>
      <c r="SQ120" s="11"/>
      <c r="SR120" s="11"/>
      <c r="SS120" s="11"/>
      <c r="ST120" s="11"/>
      <c r="SU120" s="11"/>
      <c r="SV120" s="11"/>
      <c r="SW120" s="11"/>
      <c r="SX120" s="11"/>
      <c r="SY120" s="11"/>
      <c r="SZ120" s="11"/>
      <c r="TA120" s="11"/>
      <c r="TB120" s="11"/>
      <c r="TC120" s="11"/>
      <c r="TD120" s="11"/>
      <c r="TE120" s="11"/>
      <c r="TF120" s="11"/>
      <c r="TG120" s="11"/>
      <c r="TH120" s="11"/>
      <c r="TI120" s="11"/>
      <c r="TJ120" s="11"/>
      <c r="TK120" s="11"/>
      <c r="TL120" s="11"/>
    </row>
    <row r="121" spans="1:532" x14ac:dyDescent="0.2">
      <c r="A121" s="10" t="s">
        <v>120</v>
      </c>
      <c r="B121" s="12">
        <v>13.76</v>
      </c>
      <c r="C121" s="11">
        <v>0</v>
      </c>
      <c r="D121" s="11">
        <v>1.227580244738431</v>
      </c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12"/>
      <c r="IP121" s="12"/>
      <c r="IQ121" s="12"/>
      <c r="IR121" s="12"/>
      <c r="IS121" s="12"/>
      <c r="IT121" s="12"/>
      <c r="IU121" s="12"/>
      <c r="IV121" s="12"/>
      <c r="IW121" s="12"/>
      <c r="IX121" s="12"/>
      <c r="IY121" s="12"/>
      <c r="IZ121" s="12"/>
      <c r="JA121" s="12"/>
      <c r="JB121" s="12"/>
      <c r="JC121" s="12"/>
      <c r="JD121" s="12"/>
      <c r="JE121" s="12"/>
      <c r="JF121" s="12"/>
      <c r="JG121" s="12"/>
      <c r="JH121" s="12"/>
      <c r="JI121" s="12"/>
      <c r="JJ121" s="12"/>
      <c r="JK121" s="12"/>
      <c r="JL121" s="12"/>
      <c r="JM121" s="12"/>
      <c r="JN121" s="12"/>
      <c r="JO121" s="12"/>
      <c r="JP121" s="12"/>
      <c r="JQ121" s="12"/>
      <c r="JR121" s="12"/>
      <c r="JS121" s="12"/>
      <c r="JT121" s="12"/>
      <c r="JU121" s="12"/>
      <c r="JV121" s="12"/>
      <c r="JW121" s="12"/>
      <c r="JX121" s="12"/>
      <c r="JY121" s="12"/>
      <c r="JZ121" s="12"/>
      <c r="KA121" s="12"/>
      <c r="KB121" s="12"/>
      <c r="KC121" s="12"/>
      <c r="KD121" s="12"/>
      <c r="KE121" s="12"/>
      <c r="KF121" s="12"/>
      <c r="KG121" s="12"/>
      <c r="KH121" s="12"/>
      <c r="KI121" s="12"/>
      <c r="KJ121" s="12"/>
      <c r="KK121" s="12"/>
      <c r="KL121" s="12"/>
      <c r="KM121" s="12"/>
      <c r="KN121" s="12"/>
      <c r="KO121" s="12"/>
      <c r="KP121" s="12"/>
      <c r="KQ121" s="12"/>
      <c r="KR121" s="12"/>
      <c r="KS121" s="12"/>
      <c r="KT121" s="12"/>
      <c r="KU121" s="12"/>
      <c r="KV121" s="12"/>
      <c r="KW121" s="12"/>
      <c r="KX121" s="12"/>
      <c r="KY121" s="12"/>
      <c r="KZ121" s="12"/>
      <c r="LA121" s="12"/>
      <c r="LB121" s="12"/>
      <c r="LC121" s="12"/>
      <c r="LD121" s="12"/>
      <c r="LE121" s="12"/>
      <c r="LF121" s="12"/>
      <c r="LG121" s="12"/>
      <c r="LH121" s="12"/>
      <c r="LI121" s="12"/>
      <c r="LJ121" s="12"/>
      <c r="LK121" s="12"/>
      <c r="LL121" s="12"/>
      <c r="LM121" s="12"/>
      <c r="LN121" s="12"/>
      <c r="LO121" s="12"/>
      <c r="LP121" s="12"/>
      <c r="LQ121" s="12"/>
      <c r="LR121" s="12"/>
      <c r="LS121" s="12"/>
      <c r="LT121" s="12"/>
      <c r="LU121" s="12"/>
      <c r="LV121" s="12"/>
      <c r="LW121" s="12"/>
      <c r="LX121" s="12"/>
      <c r="LY121" s="12"/>
      <c r="LZ121" s="12"/>
      <c r="MA121" s="12"/>
      <c r="MB121" s="12"/>
      <c r="MC121" s="12"/>
      <c r="MD121" s="12"/>
      <c r="ME121" s="12"/>
      <c r="MF121" s="12"/>
      <c r="MG121" s="12"/>
      <c r="MH121" s="12"/>
      <c r="MI121" s="12"/>
      <c r="MJ121" s="12"/>
      <c r="MK121" s="12"/>
      <c r="ML121" s="12"/>
      <c r="MM121" s="12"/>
      <c r="MN121" s="12"/>
      <c r="MO121" s="12"/>
      <c r="MP121" s="12"/>
      <c r="MQ121" s="12"/>
      <c r="MR121" s="12"/>
      <c r="MS121" s="12"/>
      <c r="MT121" s="12"/>
      <c r="MU121" s="12"/>
      <c r="MV121" s="12"/>
      <c r="MW121" s="12"/>
      <c r="MX121" s="12"/>
      <c r="MY121" s="12"/>
      <c r="MZ121" s="12"/>
      <c r="NA121" s="12"/>
      <c r="NB121" s="12"/>
      <c r="NC121" s="12"/>
      <c r="ND121" s="12"/>
      <c r="NE121" s="12"/>
      <c r="NF121" s="12"/>
      <c r="NG121" s="12"/>
      <c r="NH121" s="12"/>
      <c r="NI121" s="12"/>
      <c r="NJ121" s="12"/>
      <c r="NK121" s="12"/>
      <c r="NL121" s="12"/>
      <c r="NM121" s="12"/>
      <c r="NN121" s="12"/>
      <c r="NO121" s="12"/>
      <c r="NP121" s="12"/>
      <c r="NQ121" s="12"/>
      <c r="NR121" s="12"/>
      <c r="NS121" s="12"/>
      <c r="NT121" s="12"/>
      <c r="NU121" s="12"/>
      <c r="NV121" s="12"/>
      <c r="NW121" s="12"/>
      <c r="NX121" s="12"/>
      <c r="NY121" s="12"/>
      <c r="NZ121" s="12"/>
      <c r="OA121" s="12"/>
      <c r="OB121" s="12"/>
      <c r="OC121" s="12"/>
      <c r="OD121" s="12"/>
      <c r="OE121" s="12"/>
      <c r="OF121" s="12"/>
      <c r="OG121" s="12"/>
      <c r="OH121" s="12"/>
      <c r="OI121" s="12"/>
      <c r="OJ121" s="12"/>
      <c r="OK121" s="12"/>
      <c r="OL121" s="12"/>
      <c r="OM121" s="12"/>
      <c r="ON121" s="12"/>
      <c r="OO121" s="12"/>
      <c r="OP121" s="12"/>
      <c r="OQ121" s="12"/>
      <c r="OR121" s="12"/>
      <c r="OS121" s="12"/>
      <c r="OT121" s="12"/>
      <c r="OU121" s="12"/>
      <c r="OV121" s="12"/>
      <c r="OW121" s="12"/>
      <c r="OX121" s="12"/>
      <c r="OY121" s="12"/>
      <c r="OZ121" s="12"/>
      <c r="PA121" s="12"/>
      <c r="PB121" s="12"/>
      <c r="PC121" s="12"/>
      <c r="PD121" s="12"/>
      <c r="PE121" s="12"/>
      <c r="PF121" s="12"/>
      <c r="PG121" s="12"/>
      <c r="PH121" s="12"/>
      <c r="PI121" s="12"/>
      <c r="PJ121" s="12"/>
      <c r="PK121" s="12"/>
      <c r="PL121" s="12"/>
      <c r="PM121" s="12"/>
      <c r="PN121" s="12"/>
      <c r="PO121" s="12"/>
      <c r="PP121" s="12"/>
      <c r="PQ121" s="12"/>
      <c r="PR121" s="12"/>
      <c r="PS121" s="12"/>
      <c r="PT121" s="12"/>
      <c r="PU121" s="12"/>
      <c r="PV121" s="12"/>
      <c r="PW121" s="12"/>
      <c r="PX121" s="12"/>
      <c r="PY121" s="12"/>
      <c r="PZ121" s="12"/>
      <c r="QA121" s="12"/>
      <c r="QB121" s="12"/>
      <c r="QC121" s="12"/>
      <c r="QD121" s="12"/>
      <c r="QE121" s="12"/>
      <c r="QF121" s="12"/>
      <c r="QG121" s="12"/>
      <c r="QH121" s="12"/>
      <c r="QI121" s="12"/>
      <c r="QJ121" s="12"/>
      <c r="QK121" s="12"/>
      <c r="QL121" s="12"/>
      <c r="QM121" s="12"/>
      <c r="QN121" s="12"/>
      <c r="QO121" s="12"/>
      <c r="QP121" s="12"/>
      <c r="QQ121" s="12"/>
      <c r="QR121" s="12"/>
      <c r="QS121" s="12"/>
      <c r="QT121" s="12"/>
      <c r="QU121" s="12"/>
      <c r="QV121" s="12"/>
      <c r="QW121" s="12"/>
      <c r="QX121" s="12"/>
      <c r="QY121" s="12"/>
      <c r="QZ121" s="12"/>
      <c r="RA121" s="12"/>
      <c r="RB121" s="12"/>
      <c r="RC121" s="12"/>
      <c r="RD121" s="12"/>
      <c r="RE121" s="12"/>
      <c r="RF121" s="12"/>
      <c r="RG121" s="12"/>
      <c r="RH121" s="12"/>
      <c r="RI121" s="12"/>
      <c r="RJ121" s="12"/>
      <c r="RK121" s="12"/>
      <c r="RL121" s="12"/>
      <c r="RM121" s="12"/>
      <c r="RN121" s="12"/>
      <c r="RO121" s="12"/>
      <c r="RP121" s="12"/>
      <c r="RQ121" s="12"/>
      <c r="RR121" s="12"/>
      <c r="RS121" s="12"/>
      <c r="RT121" s="12"/>
      <c r="RU121" s="12"/>
      <c r="RV121" s="12"/>
      <c r="RW121" s="12"/>
      <c r="RX121" s="12"/>
      <c r="RY121" s="12"/>
      <c r="RZ121" s="12"/>
      <c r="SA121" s="12"/>
      <c r="SB121" s="12"/>
      <c r="SC121" s="12"/>
      <c r="SD121" s="12"/>
      <c r="SE121" s="12"/>
      <c r="SF121" s="12"/>
      <c r="SG121" s="12"/>
      <c r="SH121" s="11"/>
      <c r="SI121" s="11"/>
      <c r="SJ121" s="11"/>
      <c r="SK121" s="11"/>
      <c r="SL121" s="11"/>
      <c r="SM121" s="11"/>
      <c r="SN121" s="11"/>
      <c r="SO121" s="11"/>
      <c r="SP121" s="11"/>
      <c r="SQ121" s="11"/>
      <c r="SR121" s="11"/>
      <c r="SS121" s="11"/>
      <c r="ST121" s="11"/>
      <c r="SU121" s="11"/>
      <c r="SV121" s="11"/>
      <c r="SW121" s="11"/>
      <c r="SX121" s="11"/>
      <c r="SY121" s="11"/>
      <c r="SZ121" s="11"/>
      <c r="TA121" s="11"/>
      <c r="TB121" s="11"/>
      <c r="TC121" s="11"/>
      <c r="TD121" s="11"/>
      <c r="TE121" s="11"/>
      <c r="TF121" s="11"/>
      <c r="TG121" s="11"/>
      <c r="TH121" s="11"/>
      <c r="TI121" s="11"/>
      <c r="TJ121" s="11"/>
      <c r="TK121" s="11"/>
      <c r="TL121" s="11"/>
    </row>
    <row r="122" spans="1:532" x14ac:dyDescent="0.2">
      <c r="A122" s="10" t="s">
        <v>121</v>
      </c>
      <c r="B122" s="12">
        <v>14.31</v>
      </c>
      <c r="C122" s="11">
        <v>0</v>
      </c>
      <c r="D122" s="11">
        <v>0.68308900715283649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12"/>
      <c r="IP122" s="12"/>
      <c r="IQ122" s="12"/>
      <c r="IR122" s="12"/>
      <c r="IS122" s="12"/>
      <c r="IT122" s="12"/>
      <c r="IU122" s="12"/>
      <c r="IV122" s="12"/>
      <c r="IW122" s="12"/>
      <c r="IX122" s="12"/>
      <c r="IY122" s="12"/>
      <c r="IZ122" s="12"/>
      <c r="JA122" s="12"/>
      <c r="JB122" s="12"/>
      <c r="JC122" s="12"/>
      <c r="JD122" s="12"/>
      <c r="JE122" s="12"/>
      <c r="JF122" s="12"/>
      <c r="JG122" s="12"/>
      <c r="JH122" s="12"/>
      <c r="JI122" s="12"/>
      <c r="JJ122" s="12"/>
      <c r="JK122" s="12"/>
      <c r="JL122" s="12"/>
      <c r="JM122" s="12"/>
      <c r="JN122" s="12"/>
      <c r="JO122" s="12"/>
      <c r="JP122" s="12"/>
      <c r="JQ122" s="12"/>
      <c r="JR122" s="12"/>
      <c r="JS122" s="12"/>
      <c r="JT122" s="12"/>
      <c r="JU122" s="12"/>
      <c r="JV122" s="12"/>
      <c r="JW122" s="12"/>
      <c r="JX122" s="12"/>
      <c r="JY122" s="12"/>
      <c r="JZ122" s="12"/>
      <c r="KA122" s="12"/>
      <c r="KB122" s="12"/>
      <c r="KC122" s="12"/>
      <c r="KD122" s="12"/>
      <c r="KE122" s="12"/>
      <c r="KF122" s="12"/>
      <c r="KG122" s="12"/>
      <c r="KH122" s="12"/>
      <c r="KI122" s="12"/>
      <c r="KJ122" s="12"/>
      <c r="KK122" s="12"/>
      <c r="KL122" s="12"/>
      <c r="KM122" s="12"/>
      <c r="KN122" s="12"/>
      <c r="KO122" s="12"/>
      <c r="KP122" s="12"/>
      <c r="KQ122" s="12"/>
      <c r="KR122" s="12"/>
      <c r="KS122" s="12"/>
      <c r="KT122" s="12"/>
      <c r="KU122" s="12"/>
      <c r="KV122" s="12"/>
      <c r="KW122" s="12"/>
      <c r="KX122" s="12"/>
      <c r="KY122" s="12"/>
      <c r="KZ122" s="12"/>
      <c r="LA122" s="12"/>
      <c r="LB122" s="12"/>
      <c r="LC122" s="12"/>
      <c r="LD122" s="12"/>
      <c r="LE122" s="12"/>
      <c r="LF122" s="12"/>
      <c r="LG122" s="12"/>
      <c r="LH122" s="12"/>
      <c r="LI122" s="12"/>
      <c r="LJ122" s="12"/>
      <c r="LK122" s="12"/>
      <c r="LL122" s="12"/>
      <c r="LM122" s="12"/>
      <c r="LN122" s="12"/>
      <c r="LO122" s="12"/>
      <c r="LP122" s="12"/>
      <c r="LQ122" s="12"/>
      <c r="LR122" s="12"/>
      <c r="LS122" s="12"/>
      <c r="LT122" s="12"/>
      <c r="LU122" s="12"/>
      <c r="LV122" s="12"/>
      <c r="LW122" s="12"/>
      <c r="LX122" s="12"/>
      <c r="LY122" s="12"/>
      <c r="LZ122" s="12"/>
      <c r="MA122" s="12"/>
      <c r="MB122" s="12"/>
      <c r="MC122" s="12"/>
      <c r="MD122" s="12"/>
      <c r="ME122" s="12"/>
      <c r="MF122" s="12"/>
      <c r="MG122" s="12"/>
      <c r="MH122" s="12"/>
      <c r="MI122" s="12"/>
      <c r="MJ122" s="12"/>
      <c r="MK122" s="12"/>
      <c r="ML122" s="12"/>
      <c r="MM122" s="12"/>
      <c r="MN122" s="12"/>
      <c r="MO122" s="12"/>
      <c r="MP122" s="12"/>
      <c r="MQ122" s="12"/>
      <c r="MR122" s="12"/>
      <c r="MS122" s="12"/>
      <c r="MT122" s="12"/>
      <c r="MU122" s="12"/>
      <c r="MV122" s="12"/>
      <c r="MW122" s="12"/>
      <c r="MX122" s="12"/>
      <c r="MY122" s="12"/>
      <c r="MZ122" s="12"/>
      <c r="NA122" s="12"/>
      <c r="NB122" s="12"/>
      <c r="NC122" s="12"/>
      <c r="ND122" s="12"/>
      <c r="NE122" s="12"/>
      <c r="NF122" s="12"/>
      <c r="NG122" s="12"/>
      <c r="NH122" s="12"/>
      <c r="NI122" s="12"/>
      <c r="NJ122" s="12"/>
      <c r="NK122" s="12"/>
      <c r="NL122" s="12"/>
      <c r="NM122" s="12"/>
      <c r="NN122" s="12"/>
      <c r="NO122" s="12"/>
      <c r="NP122" s="12"/>
      <c r="NQ122" s="12"/>
      <c r="NR122" s="12"/>
      <c r="NS122" s="12"/>
      <c r="NT122" s="12"/>
      <c r="NU122" s="12"/>
      <c r="NV122" s="12"/>
      <c r="NW122" s="12"/>
      <c r="NX122" s="12"/>
      <c r="NY122" s="12"/>
      <c r="NZ122" s="12"/>
      <c r="OA122" s="12"/>
      <c r="OB122" s="12"/>
      <c r="OC122" s="12"/>
      <c r="OD122" s="12"/>
      <c r="OE122" s="12"/>
      <c r="OF122" s="12"/>
      <c r="OG122" s="12"/>
      <c r="OH122" s="12"/>
      <c r="OI122" s="12"/>
      <c r="OJ122" s="12"/>
      <c r="OK122" s="12"/>
      <c r="OL122" s="12"/>
      <c r="OM122" s="12"/>
      <c r="ON122" s="12"/>
      <c r="OO122" s="12"/>
      <c r="OP122" s="12"/>
      <c r="OQ122" s="12"/>
      <c r="OR122" s="12"/>
      <c r="OS122" s="12"/>
      <c r="OT122" s="12"/>
      <c r="OU122" s="12"/>
      <c r="OV122" s="12"/>
      <c r="OW122" s="12"/>
      <c r="OX122" s="12"/>
      <c r="OY122" s="12"/>
      <c r="OZ122" s="12"/>
      <c r="PA122" s="12"/>
      <c r="PB122" s="12"/>
      <c r="PC122" s="12"/>
      <c r="PD122" s="12"/>
      <c r="PE122" s="12"/>
      <c r="PF122" s="12"/>
      <c r="PG122" s="12"/>
      <c r="PH122" s="12"/>
      <c r="PI122" s="12"/>
      <c r="PJ122" s="12"/>
      <c r="PK122" s="12"/>
      <c r="PL122" s="12"/>
      <c r="PM122" s="12"/>
      <c r="PN122" s="12"/>
      <c r="PO122" s="12"/>
      <c r="PP122" s="12"/>
      <c r="PQ122" s="12"/>
      <c r="PR122" s="12"/>
      <c r="PS122" s="12"/>
      <c r="PT122" s="12"/>
      <c r="PU122" s="12"/>
      <c r="PV122" s="12"/>
      <c r="PW122" s="12"/>
      <c r="PX122" s="12"/>
      <c r="PY122" s="12"/>
      <c r="PZ122" s="12"/>
      <c r="QA122" s="12"/>
      <c r="QB122" s="12"/>
      <c r="QC122" s="12"/>
      <c r="QD122" s="12"/>
      <c r="QE122" s="12"/>
      <c r="QF122" s="12"/>
      <c r="QG122" s="12"/>
      <c r="QH122" s="12"/>
      <c r="QI122" s="12"/>
      <c r="QJ122" s="12"/>
      <c r="QK122" s="12"/>
      <c r="QL122" s="12"/>
      <c r="QM122" s="12"/>
      <c r="QN122" s="12"/>
      <c r="QO122" s="12"/>
      <c r="QP122" s="12"/>
      <c r="QQ122" s="12"/>
      <c r="QR122" s="12"/>
      <c r="QS122" s="12"/>
      <c r="QT122" s="12"/>
      <c r="QU122" s="12"/>
      <c r="QV122" s="12"/>
      <c r="QW122" s="12"/>
      <c r="QX122" s="12"/>
      <c r="QY122" s="12"/>
      <c r="QZ122" s="12"/>
      <c r="RA122" s="12"/>
      <c r="RB122" s="12"/>
      <c r="RC122" s="12"/>
      <c r="RD122" s="12"/>
      <c r="RE122" s="12"/>
      <c r="RF122" s="12"/>
      <c r="RG122" s="12"/>
      <c r="RH122" s="12"/>
      <c r="RI122" s="12"/>
      <c r="RJ122" s="12"/>
      <c r="RK122" s="12"/>
      <c r="RL122" s="12"/>
      <c r="RM122" s="12"/>
      <c r="RN122" s="12"/>
      <c r="RO122" s="12"/>
      <c r="RP122" s="12"/>
      <c r="RQ122" s="12"/>
      <c r="RR122" s="12"/>
      <c r="RS122" s="12"/>
      <c r="RT122" s="12"/>
      <c r="RU122" s="12"/>
      <c r="RV122" s="12"/>
      <c r="RW122" s="12"/>
      <c r="RX122" s="12"/>
      <c r="RY122" s="12"/>
      <c r="RZ122" s="12"/>
      <c r="SA122" s="12"/>
      <c r="SB122" s="12"/>
      <c r="SC122" s="12"/>
      <c r="SD122" s="12"/>
      <c r="SE122" s="12"/>
      <c r="SF122" s="12"/>
      <c r="SG122" s="12"/>
      <c r="SH122" s="11"/>
      <c r="SI122" s="11"/>
      <c r="SJ122" s="11"/>
      <c r="SK122" s="11"/>
      <c r="SL122" s="11"/>
      <c r="SM122" s="11"/>
      <c r="SN122" s="11"/>
      <c r="SO122" s="11"/>
      <c r="SP122" s="11"/>
      <c r="SQ122" s="11"/>
      <c r="SR122" s="11"/>
      <c r="SS122" s="11"/>
      <c r="ST122" s="11"/>
      <c r="SU122" s="11"/>
      <c r="SV122" s="11"/>
      <c r="SW122" s="11"/>
      <c r="SX122" s="11"/>
      <c r="SY122" s="11"/>
      <c r="SZ122" s="11"/>
      <c r="TA122" s="11"/>
      <c r="TB122" s="11"/>
      <c r="TC122" s="11"/>
      <c r="TD122" s="11"/>
      <c r="TE122" s="11"/>
      <c r="TF122" s="11"/>
      <c r="TG122" s="11"/>
      <c r="TH122" s="11"/>
      <c r="TI122" s="11"/>
      <c r="TJ122" s="11"/>
      <c r="TK122" s="11"/>
      <c r="TL122" s="11"/>
    </row>
    <row r="123" spans="1:532" x14ac:dyDescent="0.2">
      <c r="A123" s="10" t="s">
        <v>122</v>
      </c>
      <c r="B123" s="12">
        <v>14.79</v>
      </c>
      <c r="C123" s="11">
        <v>0</v>
      </c>
      <c r="D123" s="11">
        <v>0.2078966543508633</v>
      </c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12"/>
      <c r="IP123" s="12"/>
      <c r="IQ123" s="12"/>
      <c r="IR123" s="12"/>
      <c r="IS123" s="12"/>
      <c r="IT123" s="12"/>
      <c r="IU123" s="12"/>
      <c r="IV123" s="12"/>
      <c r="IW123" s="12"/>
      <c r="IX123" s="12"/>
      <c r="IY123" s="12"/>
      <c r="IZ123" s="12"/>
      <c r="JA123" s="12"/>
      <c r="JB123" s="12"/>
      <c r="JC123" s="12"/>
      <c r="JD123" s="12"/>
      <c r="JE123" s="12"/>
      <c r="JF123" s="12"/>
      <c r="JG123" s="12"/>
      <c r="JH123" s="12"/>
      <c r="JI123" s="12"/>
      <c r="JJ123" s="12"/>
      <c r="JK123" s="12"/>
      <c r="JL123" s="12"/>
      <c r="JM123" s="12"/>
      <c r="JN123" s="12"/>
      <c r="JO123" s="12"/>
      <c r="JP123" s="12"/>
      <c r="JQ123" s="12"/>
      <c r="JR123" s="12"/>
      <c r="JS123" s="12"/>
      <c r="JT123" s="12"/>
      <c r="JU123" s="12"/>
      <c r="JV123" s="12"/>
      <c r="JW123" s="12"/>
      <c r="JX123" s="12"/>
      <c r="JY123" s="12"/>
      <c r="JZ123" s="12"/>
      <c r="KA123" s="12"/>
      <c r="KB123" s="12"/>
      <c r="KC123" s="12"/>
      <c r="KD123" s="12"/>
      <c r="KE123" s="12"/>
      <c r="KF123" s="12"/>
      <c r="KG123" s="12"/>
      <c r="KH123" s="12"/>
      <c r="KI123" s="12"/>
      <c r="KJ123" s="12"/>
      <c r="KK123" s="12"/>
      <c r="KL123" s="12"/>
      <c r="KM123" s="12"/>
      <c r="KN123" s="12"/>
      <c r="KO123" s="12"/>
      <c r="KP123" s="12"/>
      <c r="KQ123" s="12"/>
      <c r="KR123" s="12"/>
      <c r="KS123" s="12"/>
      <c r="KT123" s="12"/>
      <c r="KU123" s="12"/>
      <c r="KV123" s="12"/>
      <c r="KW123" s="12"/>
      <c r="KX123" s="12"/>
      <c r="KY123" s="12"/>
      <c r="KZ123" s="12"/>
      <c r="LA123" s="12"/>
      <c r="LB123" s="12"/>
      <c r="LC123" s="12"/>
      <c r="LD123" s="12"/>
      <c r="LE123" s="12"/>
      <c r="LF123" s="12"/>
      <c r="LG123" s="12"/>
      <c r="LH123" s="12"/>
      <c r="LI123" s="12"/>
      <c r="LJ123" s="12"/>
      <c r="LK123" s="12"/>
      <c r="LL123" s="12"/>
      <c r="LM123" s="12"/>
      <c r="LN123" s="12"/>
      <c r="LO123" s="12"/>
      <c r="LP123" s="12"/>
      <c r="LQ123" s="12"/>
      <c r="LR123" s="12"/>
      <c r="LS123" s="12"/>
      <c r="LT123" s="12"/>
      <c r="LU123" s="12"/>
      <c r="LV123" s="12"/>
      <c r="LW123" s="12"/>
      <c r="LX123" s="12"/>
      <c r="LY123" s="12"/>
      <c r="LZ123" s="12"/>
      <c r="MA123" s="12"/>
      <c r="MB123" s="12"/>
      <c r="MC123" s="12"/>
      <c r="MD123" s="12"/>
      <c r="ME123" s="12"/>
      <c r="MF123" s="12"/>
      <c r="MG123" s="12"/>
      <c r="MH123" s="12"/>
      <c r="MI123" s="12"/>
      <c r="MJ123" s="12"/>
      <c r="MK123" s="12"/>
      <c r="ML123" s="12"/>
      <c r="MM123" s="12"/>
      <c r="MN123" s="12"/>
      <c r="MO123" s="12"/>
      <c r="MP123" s="12"/>
      <c r="MQ123" s="12"/>
      <c r="MR123" s="12"/>
      <c r="MS123" s="12"/>
      <c r="MT123" s="12"/>
      <c r="MU123" s="12"/>
      <c r="MV123" s="12"/>
      <c r="MW123" s="12"/>
      <c r="MX123" s="12"/>
      <c r="MY123" s="12"/>
      <c r="MZ123" s="12"/>
      <c r="NA123" s="12"/>
      <c r="NB123" s="12"/>
      <c r="NC123" s="12"/>
      <c r="ND123" s="12"/>
      <c r="NE123" s="12"/>
      <c r="NF123" s="12"/>
      <c r="NG123" s="12"/>
      <c r="NH123" s="12"/>
      <c r="NI123" s="12"/>
      <c r="NJ123" s="12"/>
      <c r="NK123" s="12"/>
      <c r="NL123" s="12"/>
      <c r="NM123" s="12"/>
      <c r="NN123" s="12"/>
      <c r="NO123" s="12"/>
      <c r="NP123" s="12"/>
      <c r="NQ123" s="12"/>
      <c r="NR123" s="12"/>
      <c r="NS123" s="12"/>
      <c r="NT123" s="12"/>
      <c r="NU123" s="12"/>
      <c r="NV123" s="12"/>
      <c r="NW123" s="12"/>
      <c r="NX123" s="12"/>
      <c r="NY123" s="12"/>
      <c r="NZ123" s="12"/>
      <c r="OA123" s="12"/>
      <c r="OB123" s="12"/>
      <c r="OC123" s="12"/>
      <c r="OD123" s="12"/>
      <c r="OE123" s="12"/>
      <c r="OF123" s="12"/>
      <c r="OG123" s="12"/>
      <c r="OH123" s="12"/>
      <c r="OI123" s="12"/>
      <c r="OJ123" s="12"/>
      <c r="OK123" s="12"/>
      <c r="OL123" s="12"/>
      <c r="OM123" s="12"/>
      <c r="ON123" s="12"/>
      <c r="OO123" s="12"/>
      <c r="OP123" s="12"/>
      <c r="OQ123" s="12"/>
      <c r="OR123" s="12"/>
      <c r="OS123" s="12"/>
      <c r="OT123" s="12"/>
      <c r="OU123" s="12"/>
      <c r="OV123" s="12"/>
      <c r="OW123" s="12"/>
      <c r="OX123" s="12"/>
      <c r="OY123" s="12"/>
      <c r="OZ123" s="12"/>
      <c r="PA123" s="12"/>
      <c r="PB123" s="12"/>
      <c r="PC123" s="12"/>
      <c r="PD123" s="12"/>
      <c r="PE123" s="12"/>
      <c r="PF123" s="12"/>
      <c r="PG123" s="12"/>
      <c r="PH123" s="12"/>
      <c r="PI123" s="12"/>
      <c r="PJ123" s="12"/>
      <c r="PK123" s="12"/>
      <c r="PL123" s="12"/>
      <c r="PM123" s="12"/>
      <c r="PN123" s="12"/>
      <c r="PO123" s="12"/>
      <c r="PP123" s="12"/>
      <c r="PQ123" s="12"/>
      <c r="PR123" s="12"/>
      <c r="PS123" s="12"/>
      <c r="PT123" s="12"/>
      <c r="PU123" s="12"/>
      <c r="PV123" s="12"/>
      <c r="PW123" s="12"/>
      <c r="PX123" s="12"/>
      <c r="PY123" s="12"/>
      <c r="PZ123" s="12"/>
      <c r="QA123" s="12"/>
      <c r="QB123" s="12"/>
      <c r="QC123" s="12"/>
      <c r="QD123" s="12"/>
      <c r="QE123" s="12"/>
      <c r="QF123" s="12"/>
      <c r="QG123" s="12"/>
      <c r="QH123" s="12"/>
      <c r="QI123" s="12"/>
      <c r="QJ123" s="12"/>
      <c r="QK123" s="12"/>
      <c r="QL123" s="12"/>
      <c r="QM123" s="12"/>
      <c r="QN123" s="12"/>
      <c r="QO123" s="12"/>
      <c r="QP123" s="12"/>
      <c r="QQ123" s="12"/>
      <c r="QR123" s="12"/>
      <c r="QS123" s="12"/>
      <c r="QT123" s="12"/>
      <c r="QU123" s="12"/>
      <c r="QV123" s="12"/>
      <c r="QW123" s="12"/>
      <c r="QX123" s="12"/>
      <c r="QY123" s="12"/>
      <c r="QZ123" s="12"/>
      <c r="RA123" s="12"/>
      <c r="RB123" s="12"/>
      <c r="RC123" s="12"/>
      <c r="RD123" s="12"/>
      <c r="RE123" s="12"/>
      <c r="RF123" s="12"/>
      <c r="RG123" s="12"/>
      <c r="RH123" s="12"/>
      <c r="RI123" s="12"/>
      <c r="RJ123" s="12"/>
      <c r="RK123" s="12"/>
      <c r="RL123" s="12"/>
      <c r="RM123" s="12"/>
      <c r="RN123" s="12"/>
      <c r="RO123" s="12"/>
      <c r="RP123" s="12"/>
      <c r="RQ123" s="12"/>
      <c r="RR123" s="12"/>
      <c r="RS123" s="12"/>
      <c r="RT123" s="12"/>
      <c r="RU123" s="12"/>
      <c r="RV123" s="12"/>
      <c r="RW123" s="12"/>
      <c r="RX123" s="12"/>
      <c r="RY123" s="12"/>
      <c r="RZ123" s="12"/>
      <c r="SA123" s="12"/>
      <c r="SB123" s="12"/>
      <c r="SC123" s="12"/>
      <c r="SD123" s="12"/>
      <c r="SE123" s="12"/>
      <c r="SF123" s="12"/>
      <c r="SG123" s="12"/>
      <c r="SH123" s="11"/>
      <c r="SI123" s="11"/>
      <c r="SJ123" s="11"/>
      <c r="SK123" s="11"/>
      <c r="SL123" s="11"/>
      <c r="SM123" s="11"/>
      <c r="SN123" s="11"/>
      <c r="SO123" s="11"/>
      <c r="SP123" s="11"/>
      <c r="SQ123" s="11"/>
      <c r="SR123" s="11"/>
      <c r="SS123" s="11"/>
      <c r="ST123" s="11"/>
      <c r="SU123" s="11"/>
      <c r="SV123" s="11"/>
      <c r="SW123" s="11"/>
      <c r="SX123" s="11"/>
      <c r="SY123" s="11"/>
      <c r="SZ123" s="11"/>
      <c r="TA123" s="11"/>
      <c r="TB123" s="11"/>
      <c r="TC123" s="11"/>
      <c r="TD123" s="11"/>
      <c r="TE123" s="11"/>
      <c r="TF123" s="11"/>
      <c r="TG123" s="11"/>
      <c r="TH123" s="11"/>
      <c r="TI123" s="11"/>
      <c r="TJ123" s="11"/>
      <c r="TK123" s="11"/>
      <c r="TL123" s="11"/>
    </row>
    <row r="124" spans="1:532" x14ac:dyDescent="0.2">
      <c r="A124" s="10" t="s">
        <v>123</v>
      </c>
      <c r="B124" s="12">
        <v>14.62</v>
      </c>
      <c r="C124" s="11">
        <v>0</v>
      </c>
      <c r="D124" s="11">
        <v>0.37619394596822886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/>
      <c r="IP124" s="12"/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/>
      <c r="JB124" s="12"/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/>
      <c r="JN124" s="12"/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/>
      <c r="JZ124" s="12"/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/>
      <c r="KL124" s="12"/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/>
      <c r="KX124" s="12"/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/>
      <c r="LJ124" s="12"/>
      <c r="LK124" s="12"/>
      <c r="LL124" s="12"/>
      <c r="LM124" s="12"/>
      <c r="LN124" s="12"/>
      <c r="LO124" s="12"/>
      <c r="LP124" s="12"/>
      <c r="LQ124" s="12"/>
      <c r="LR124" s="12"/>
      <c r="LS124" s="12"/>
      <c r="LT124" s="12"/>
      <c r="LU124" s="12"/>
      <c r="LV124" s="12"/>
      <c r="LW124" s="12"/>
      <c r="LX124" s="12"/>
      <c r="LY124" s="12"/>
      <c r="LZ124" s="12"/>
      <c r="MA124" s="12"/>
      <c r="MB124" s="12"/>
      <c r="MC124" s="12"/>
      <c r="MD124" s="12"/>
      <c r="ME124" s="12"/>
      <c r="MF124" s="12"/>
      <c r="MG124" s="12"/>
      <c r="MH124" s="12"/>
      <c r="MI124" s="12"/>
      <c r="MJ124" s="12"/>
      <c r="MK124" s="12"/>
      <c r="ML124" s="12"/>
      <c r="MM124" s="12"/>
      <c r="MN124" s="12"/>
      <c r="MO124" s="12"/>
      <c r="MP124" s="12"/>
      <c r="MQ124" s="12"/>
      <c r="MR124" s="12"/>
      <c r="MS124" s="12"/>
      <c r="MT124" s="12"/>
      <c r="MU124" s="12"/>
      <c r="MV124" s="12"/>
      <c r="MW124" s="12"/>
      <c r="MX124" s="12"/>
      <c r="MY124" s="12"/>
      <c r="MZ124" s="12"/>
      <c r="NA124" s="12"/>
      <c r="NB124" s="12"/>
      <c r="NC124" s="12"/>
      <c r="ND124" s="12"/>
      <c r="NE124" s="12"/>
      <c r="NF124" s="12"/>
      <c r="NG124" s="12"/>
      <c r="NH124" s="12"/>
      <c r="NI124" s="12"/>
      <c r="NJ124" s="12"/>
      <c r="NK124" s="12"/>
      <c r="NL124" s="12"/>
      <c r="NM124" s="12"/>
      <c r="NN124" s="12"/>
      <c r="NO124" s="12"/>
      <c r="NP124" s="12"/>
      <c r="NQ124" s="12"/>
      <c r="NR124" s="12"/>
      <c r="NS124" s="12"/>
      <c r="NT124" s="12"/>
      <c r="NU124" s="12"/>
      <c r="NV124" s="12"/>
      <c r="NW124" s="12"/>
      <c r="NX124" s="12"/>
      <c r="NY124" s="12"/>
      <c r="NZ124" s="12"/>
      <c r="OA124" s="12"/>
      <c r="OB124" s="12"/>
      <c r="OC124" s="12"/>
      <c r="OD124" s="12"/>
      <c r="OE124" s="12"/>
      <c r="OF124" s="12"/>
      <c r="OG124" s="12"/>
      <c r="OH124" s="12"/>
      <c r="OI124" s="12"/>
      <c r="OJ124" s="12"/>
      <c r="OK124" s="12"/>
      <c r="OL124" s="12"/>
      <c r="OM124" s="12"/>
      <c r="ON124" s="12"/>
      <c r="OO124" s="12"/>
      <c r="OP124" s="12"/>
      <c r="OQ124" s="12"/>
      <c r="OR124" s="12"/>
      <c r="OS124" s="12"/>
      <c r="OT124" s="12"/>
      <c r="OU124" s="12"/>
      <c r="OV124" s="12"/>
      <c r="OW124" s="12"/>
      <c r="OX124" s="12"/>
      <c r="OY124" s="12"/>
      <c r="OZ124" s="12"/>
      <c r="PA124" s="12"/>
      <c r="PB124" s="12"/>
      <c r="PC124" s="12"/>
      <c r="PD124" s="12"/>
      <c r="PE124" s="12"/>
      <c r="PF124" s="12"/>
      <c r="PG124" s="12"/>
      <c r="PH124" s="12"/>
      <c r="PI124" s="12"/>
      <c r="PJ124" s="12"/>
      <c r="PK124" s="12"/>
      <c r="PL124" s="12"/>
      <c r="PM124" s="12"/>
      <c r="PN124" s="12"/>
      <c r="PO124" s="12"/>
      <c r="PP124" s="12"/>
      <c r="PQ124" s="12"/>
      <c r="PR124" s="12"/>
      <c r="PS124" s="12"/>
      <c r="PT124" s="12"/>
      <c r="PU124" s="12"/>
      <c r="PV124" s="12"/>
      <c r="PW124" s="12"/>
      <c r="PX124" s="12"/>
      <c r="PY124" s="12"/>
      <c r="PZ124" s="12"/>
      <c r="QA124" s="12"/>
      <c r="QB124" s="12"/>
      <c r="QC124" s="12"/>
      <c r="QD124" s="12"/>
      <c r="QE124" s="12"/>
      <c r="QF124" s="12"/>
      <c r="QG124" s="12"/>
      <c r="QH124" s="12"/>
      <c r="QI124" s="12"/>
      <c r="QJ124" s="12"/>
      <c r="QK124" s="12"/>
      <c r="QL124" s="12"/>
      <c r="QM124" s="12"/>
      <c r="QN124" s="12"/>
      <c r="QO124" s="12"/>
      <c r="QP124" s="12"/>
      <c r="QQ124" s="12"/>
      <c r="QR124" s="12"/>
      <c r="QS124" s="12"/>
      <c r="QT124" s="12"/>
      <c r="QU124" s="12"/>
      <c r="QV124" s="12"/>
      <c r="QW124" s="12"/>
      <c r="QX124" s="12"/>
      <c r="QY124" s="12"/>
      <c r="QZ124" s="12"/>
      <c r="RA124" s="12"/>
      <c r="RB124" s="12"/>
      <c r="RC124" s="12"/>
      <c r="RD124" s="12"/>
      <c r="RE124" s="12"/>
      <c r="RF124" s="12"/>
      <c r="RG124" s="12"/>
      <c r="RH124" s="12"/>
      <c r="RI124" s="12"/>
      <c r="RJ124" s="12"/>
      <c r="RK124" s="12"/>
      <c r="RL124" s="12"/>
      <c r="RM124" s="12"/>
      <c r="RN124" s="12"/>
      <c r="RO124" s="12"/>
      <c r="RP124" s="12"/>
      <c r="RQ124" s="12"/>
      <c r="RR124" s="12"/>
      <c r="RS124" s="12"/>
      <c r="RT124" s="12"/>
      <c r="RU124" s="12"/>
      <c r="RV124" s="12"/>
      <c r="RW124" s="12"/>
      <c r="RX124" s="12"/>
      <c r="RY124" s="12"/>
      <c r="RZ124" s="12"/>
      <c r="SA124" s="12"/>
      <c r="SB124" s="12"/>
      <c r="SC124" s="12"/>
      <c r="SD124" s="12"/>
      <c r="SE124" s="12"/>
      <c r="SF124" s="12"/>
      <c r="SG124" s="12"/>
      <c r="SH124" s="11"/>
      <c r="SI124" s="11"/>
      <c r="SJ124" s="11"/>
      <c r="SK124" s="11"/>
      <c r="SL124" s="11"/>
      <c r="SM124" s="11"/>
      <c r="SN124" s="11"/>
      <c r="SO124" s="11"/>
      <c r="SP124" s="11"/>
      <c r="SQ124" s="11"/>
      <c r="SR124" s="11"/>
      <c r="SS124" s="11"/>
      <c r="ST124" s="11"/>
      <c r="SU124" s="11"/>
      <c r="SV124" s="11"/>
      <c r="SW124" s="11"/>
      <c r="SX124" s="11"/>
      <c r="SY124" s="11"/>
      <c r="SZ124" s="11"/>
      <c r="TA124" s="11"/>
      <c r="TB124" s="11"/>
      <c r="TC124" s="11"/>
      <c r="TD124" s="11"/>
      <c r="TE124" s="11"/>
      <c r="TF124" s="11"/>
      <c r="TG124" s="11"/>
      <c r="TH124" s="11"/>
      <c r="TI124" s="11"/>
      <c r="TJ124" s="11"/>
      <c r="TK124" s="11"/>
      <c r="TL124" s="11"/>
    </row>
    <row r="125" spans="1:532" x14ac:dyDescent="0.2">
      <c r="A125" s="10" t="s">
        <v>124</v>
      </c>
      <c r="B125" s="12">
        <v>12.37</v>
      </c>
      <c r="C125" s="11">
        <v>0</v>
      </c>
      <c r="D125" s="11">
        <v>2.6036580997274785</v>
      </c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/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/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/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/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/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/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/>
      <c r="LR125" s="12"/>
      <c r="LS125" s="12"/>
      <c r="LT125" s="12"/>
      <c r="LU125" s="12"/>
      <c r="LV125" s="12"/>
      <c r="LW125" s="12"/>
      <c r="LX125" s="12"/>
      <c r="LY125" s="12"/>
      <c r="LZ125" s="12"/>
      <c r="MA125" s="12"/>
      <c r="MB125" s="12"/>
      <c r="MC125" s="12"/>
      <c r="MD125" s="12"/>
      <c r="ME125" s="12"/>
      <c r="MF125" s="12"/>
      <c r="MG125" s="12"/>
      <c r="MH125" s="12"/>
      <c r="MI125" s="12"/>
      <c r="MJ125" s="12"/>
      <c r="MK125" s="12"/>
      <c r="ML125" s="12"/>
      <c r="MM125" s="12"/>
      <c r="MN125" s="12"/>
      <c r="MO125" s="12"/>
      <c r="MP125" s="12"/>
      <c r="MQ125" s="12"/>
      <c r="MR125" s="12"/>
      <c r="MS125" s="12"/>
      <c r="MT125" s="12"/>
      <c r="MU125" s="12"/>
      <c r="MV125" s="12"/>
      <c r="MW125" s="12"/>
      <c r="MX125" s="12"/>
      <c r="MY125" s="12"/>
      <c r="MZ125" s="12"/>
      <c r="NA125" s="12"/>
      <c r="NB125" s="12"/>
      <c r="NC125" s="12"/>
      <c r="ND125" s="12"/>
      <c r="NE125" s="12"/>
      <c r="NF125" s="12"/>
      <c r="NG125" s="12"/>
      <c r="NH125" s="12"/>
      <c r="NI125" s="12"/>
      <c r="NJ125" s="12"/>
      <c r="NK125" s="12"/>
      <c r="NL125" s="12"/>
      <c r="NM125" s="12"/>
      <c r="NN125" s="12"/>
      <c r="NO125" s="12"/>
      <c r="NP125" s="12"/>
      <c r="NQ125" s="12"/>
      <c r="NR125" s="12"/>
      <c r="NS125" s="12"/>
      <c r="NT125" s="12"/>
      <c r="NU125" s="12"/>
      <c r="NV125" s="12"/>
      <c r="NW125" s="12"/>
      <c r="NX125" s="12"/>
      <c r="NY125" s="12"/>
      <c r="NZ125" s="12"/>
      <c r="OA125" s="12"/>
      <c r="OB125" s="12"/>
      <c r="OC125" s="12"/>
      <c r="OD125" s="12"/>
      <c r="OE125" s="12"/>
      <c r="OF125" s="12"/>
      <c r="OG125" s="12"/>
      <c r="OH125" s="12"/>
      <c r="OI125" s="12"/>
      <c r="OJ125" s="12"/>
      <c r="OK125" s="12"/>
      <c r="OL125" s="12"/>
      <c r="OM125" s="12"/>
      <c r="ON125" s="12"/>
      <c r="OO125" s="12"/>
      <c r="OP125" s="12"/>
      <c r="OQ125" s="12"/>
      <c r="OR125" s="12"/>
      <c r="OS125" s="12"/>
      <c r="OT125" s="12"/>
      <c r="OU125" s="12"/>
      <c r="OV125" s="12"/>
      <c r="OW125" s="12"/>
      <c r="OX125" s="12"/>
      <c r="OY125" s="12"/>
      <c r="OZ125" s="12"/>
      <c r="PA125" s="12"/>
      <c r="PB125" s="12"/>
      <c r="PC125" s="12"/>
      <c r="PD125" s="12"/>
      <c r="PE125" s="12"/>
      <c r="PF125" s="12"/>
      <c r="PG125" s="12"/>
      <c r="PH125" s="12"/>
      <c r="PI125" s="12"/>
      <c r="PJ125" s="12"/>
      <c r="PK125" s="12"/>
      <c r="PL125" s="12"/>
      <c r="PM125" s="12"/>
      <c r="PN125" s="12"/>
      <c r="PO125" s="12"/>
      <c r="PP125" s="12"/>
      <c r="PQ125" s="12"/>
      <c r="PR125" s="12"/>
      <c r="PS125" s="12"/>
      <c r="PT125" s="12"/>
      <c r="PU125" s="12"/>
      <c r="PV125" s="12"/>
      <c r="PW125" s="12"/>
      <c r="PX125" s="12"/>
      <c r="PY125" s="12"/>
      <c r="PZ125" s="12"/>
      <c r="QA125" s="12"/>
      <c r="QB125" s="12"/>
      <c r="QC125" s="12"/>
      <c r="QD125" s="12"/>
      <c r="QE125" s="12"/>
      <c r="QF125" s="12"/>
      <c r="QG125" s="12"/>
      <c r="QH125" s="12"/>
      <c r="QI125" s="12"/>
      <c r="QJ125" s="12"/>
      <c r="QK125" s="12"/>
      <c r="QL125" s="12"/>
      <c r="QM125" s="12"/>
      <c r="QN125" s="12"/>
      <c r="QO125" s="12"/>
      <c r="QP125" s="12"/>
      <c r="QQ125" s="12"/>
      <c r="QR125" s="12"/>
      <c r="QS125" s="12"/>
      <c r="QT125" s="12"/>
      <c r="QU125" s="12"/>
      <c r="QV125" s="12"/>
      <c r="QW125" s="12"/>
      <c r="QX125" s="12"/>
      <c r="QY125" s="12"/>
      <c r="QZ125" s="12"/>
      <c r="RA125" s="12"/>
      <c r="RB125" s="12"/>
      <c r="RC125" s="12"/>
      <c r="RD125" s="12"/>
      <c r="RE125" s="12"/>
      <c r="RF125" s="12"/>
      <c r="RG125" s="12"/>
      <c r="RH125" s="12"/>
      <c r="RI125" s="12"/>
      <c r="RJ125" s="12"/>
      <c r="RK125" s="12"/>
      <c r="RL125" s="12"/>
      <c r="RM125" s="12"/>
      <c r="RN125" s="12"/>
      <c r="RO125" s="12"/>
      <c r="RP125" s="12"/>
      <c r="RQ125" s="12"/>
      <c r="RR125" s="12"/>
      <c r="RS125" s="12"/>
      <c r="RT125" s="12"/>
      <c r="RU125" s="12"/>
      <c r="RV125" s="12"/>
      <c r="RW125" s="12"/>
      <c r="RX125" s="12"/>
      <c r="RY125" s="12"/>
      <c r="RZ125" s="12"/>
      <c r="SA125" s="12"/>
      <c r="SB125" s="12"/>
      <c r="SC125" s="12"/>
      <c r="SD125" s="12"/>
      <c r="SE125" s="12"/>
      <c r="SF125" s="12"/>
      <c r="SG125" s="12"/>
      <c r="SH125" s="11"/>
      <c r="SI125" s="11"/>
      <c r="SJ125" s="11"/>
      <c r="SK125" s="11"/>
      <c r="SL125" s="11"/>
      <c r="SM125" s="11"/>
      <c r="SN125" s="11"/>
      <c r="SO125" s="11"/>
      <c r="SP125" s="11"/>
      <c r="SQ125" s="11"/>
      <c r="SR125" s="11"/>
      <c r="SS125" s="11"/>
      <c r="ST125" s="11"/>
      <c r="SU125" s="11"/>
      <c r="SV125" s="11"/>
      <c r="SW125" s="11"/>
      <c r="SX125" s="11"/>
      <c r="SY125" s="11"/>
      <c r="SZ125" s="11"/>
      <c r="TA125" s="11"/>
      <c r="TB125" s="11"/>
      <c r="TC125" s="11"/>
      <c r="TD125" s="11"/>
      <c r="TE125" s="11"/>
      <c r="TF125" s="11"/>
      <c r="TG125" s="11"/>
      <c r="TH125" s="11"/>
      <c r="TI125" s="11"/>
      <c r="TJ125" s="11"/>
      <c r="TK125" s="11"/>
      <c r="TL125" s="11"/>
    </row>
    <row r="126" spans="1:532" x14ac:dyDescent="0.2">
      <c r="A126" s="10" t="s">
        <v>125</v>
      </c>
      <c r="B126" s="12">
        <v>13.33</v>
      </c>
      <c r="C126" s="11">
        <v>0</v>
      </c>
      <c r="D126" s="11">
        <v>1.653273394123532</v>
      </c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/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/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/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/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/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/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/>
      <c r="LS126" s="12"/>
      <c r="LT126" s="12"/>
      <c r="LU126" s="12"/>
      <c r="LV126" s="12"/>
      <c r="LW126" s="12"/>
      <c r="LX126" s="12"/>
      <c r="LY126" s="12"/>
      <c r="LZ126" s="12"/>
      <c r="MA126" s="12"/>
      <c r="MB126" s="12"/>
      <c r="MC126" s="12"/>
      <c r="MD126" s="12"/>
      <c r="ME126" s="12"/>
      <c r="MF126" s="12"/>
      <c r="MG126" s="12"/>
      <c r="MH126" s="12"/>
      <c r="MI126" s="12"/>
      <c r="MJ126" s="12"/>
      <c r="MK126" s="12"/>
      <c r="ML126" s="12"/>
      <c r="MM126" s="12"/>
      <c r="MN126" s="12"/>
      <c r="MO126" s="12"/>
      <c r="MP126" s="12"/>
      <c r="MQ126" s="12"/>
      <c r="MR126" s="12"/>
      <c r="MS126" s="12"/>
      <c r="MT126" s="12"/>
      <c r="MU126" s="12"/>
      <c r="MV126" s="12"/>
      <c r="MW126" s="12"/>
      <c r="MX126" s="12"/>
      <c r="MY126" s="12"/>
      <c r="MZ126" s="12"/>
      <c r="NA126" s="12"/>
      <c r="NB126" s="12"/>
      <c r="NC126" s="12"/>
      <c r="ND126" s="12"/>
      <c r="NE126" s="12"/>
      <c r="NF126" s="12"/>
      <c r="NG126" s="12"/>
      <c r="NH126" s="12"/>
      <c r="NI126" s="12"/>
      <c r="NJ126" s="12"/>
      <c r="NK126" s="12"/>
      <c r="NL126" s="12"/>
      <c r="NM126" s="12"/>
      <c r="NN126" s="12"/>
      <c r="NO126" s="12"/>
      <c r="NP126" s="12"/>
      <c r="NQ126" s="12"/>
      <c r="NR126" s="12"/>
      <c r="NS126" s="12"/>
      <c r="NT126" s="12"/>
      <c r="NU126" s="12"/>
      <c r="NV126" s="12"/>
      <c r="NW126" s="12"/>
      <c r="NX126" s="12"/>
      <c r="NY126" s="12"/>
      <c r="NZ126" s="12"/>
      <c r="OA126" s="12"/>
      <c r="OB126" s="12"/>
      <c r="OC126" s="12"/>
      <c r="OD126" s="12"/>
      <c r="OE126" s="12"/>
      <c r="OF126" s="12"/>
      <c r="OG126" s="12"/>
      <c r="OH126" s="12"/>
      <c r="OI126" s="12"/>
      <c r="OJ126" s="12"/>
      <c r="OK126" s="12"/>
      <c r="OL126" s="12"/>
      <c r="OM126" s="12"/>
      <c r="ON126" s="12"/>
      <c r="OO126" s="12"/>
      <c r="OP126" s="12"/>
      <c r="OQ126" s="12"/>
      <c r="OR126" s="12"/>
      <c r="OS126" s="12"/>
      <c r="OT126" s="12"/>
      <c r="OU126" s="12"/>
      <c r="OV126" s="12"/>
      <c r="OW126" s="12"/>
      <c r="OX126" s="12"/>
      <c r="OY126" s="12"/>
      <c r="OZ126" s="12"/>
      <c r="PA126" s="12"/>
      <c r="PB126" s="12"/>
      <c r="PC126" s="12"/>
      <c r="PD126" s="12"/>
      <c r="PE126" s="12"/>
      <c r="PF126" s="12"/>
      <c r="PG126" s="12"/>
      <c r="PH126" s="12"/>
      <c r="PI126" s="12"/>
      <c r="PJ126" s="12"/>
      <c r="PK126" s="12"/>
      <c r="PL126" s="12"/>
      <c r="PM126" s="12"/>
      <c r="PN126" s="12"/>
      <c r="PO126" s="12"/>
      <c r="PP126" s="12"/>
      <c r="PQ126" s="12"/>
      <c r="PR126" s="12"/>
      <c r="PS126" s="12"/>
      <c r="PT126" s="12"/>
      <c r="PU126" s="12"/>
      <c r="PV126" s="12"/>
      <c r="PW126" s="12"/>
      <c r="PX126" s="12"/>
      <c r="PY126" s="12"/>
      <c r="PZ126" s="12"/>
      <c r="QA126" s="12"/>
      <c r="QB126" s="12"/>
      <c r="QC126" s="12"/>
      <c r="QD126" s="12"/>
      <c r="QE126" s="12"/>
      <c r="QF126" s="12"/>
      <c r="QG126" s="12"/>
      <c r="QH126" s="12"/>
      <c r="QI126" s="12"/>
      <c r="QJ126" s="12"/>
      <c r="QK126" s="12"/>
      <c r="QL126" s="12"/>
      <c r="QM126" s="12"/>
      <c r="QN126" s="12"/>
      <c r="QO126" s="12"/>
      <c r="QP126" s="12"/>
      <c r="QQ126" s="12"/>
      <c r="QR126" s="12"/>
      <c r="QS126" s="12"/>
      <c r="QT126" s="12"/>
      <c r="QU126" s="12"/>
      <c r="QV126" s="12"/>
      <c r="QW126" s="12"/>
      <c r="QX126" s="12"/>
      <c r="QY126" s="12"/>
      <c r="QZ126" s="12"/>
      <c r="RA126" s="12"/>
      <c r="RB126" s="12"/>
      <c r="RC126" s="12"/>
      <c r="RD126" s="12"/>
      <c r="RE126" s="12"/>
      <c r="RF126" s="12"/>
      <c r="RG126" s="12"/>
      <c r="RH126" s="12"/>
      <c r="RI126" s="12"/>
      <c r="RJ126" s="12"/>
      <c r="RK126" s="12"/>
      <c r="RL126" s="12"/>
      <c r="RM126" s="12"/>
      <c r="RN126" s="12"/>
      <c r="RO126" s="12"/>
      <c r="RP126" s="12"/>
      <c r="RQ126" s="12"/>
      <c r="RR126" s="12"/>
      <c r="RS126" s="12"/>
      <c r="RT126" s="12"/>
      <c r="RU126" s="12"/>
      <c r="RV126" s="12"/>
      <c r="RW126" s="12"/>
      <c r="RX126" s="12"/>
      <c r="RY126" s="12"/>
      <c r="RZ126" s="12"/>
      <c r="SA126" s="12"/>
      <c r="SB126" s="12"/>
      <c r="SC126" s="12"/>
      <c r="SD126" s="12"/>
      <c r="SE126" s="12"/>
      <c r="SF126" s="12"/>
      <c r="SG126" s="12"/>
      <c r="SH126" s="11"/>
      <c r="SI126" s="11"/>
      <c r="SJ126" s="11"/>
      <c r="SK126" s="11"/>
      <c r="SL126" s="11"/>
      <c r="SM126" s="11"/>
      <c r="SN126" s="11"/>
      <c r="SO126" s="11"/>
      <c r="SP126" s="11"/>
      <c r="SQ126" s="11"/>
      <c r="SR126" s="11"/>
      <c r="SS126" s="11"/>
      <c r="ST126" s="11"/>
      <c r="SU126" s="11"/>
      <c r="SV126" s="11"/>
      <c r="SW126" s="11"/>
      <c r="SX126" s="11"/>
      <c r="SY126" s="11"/>
      <c r="SZ126" s="11"/>
      <c r="TA126" s="11"/>
      <c r="TB126" s="11"/>
      <c r="TC126" s="11"/>
      <c r="TD126" s="11"/>
      <c r="TE126" s="11"/>
      <c r="TF126" s="11"/>
      <c r="TG126" s="11"/>
      <c r="TH126" s="11"/>
      <c r="TI126" s="11"/>
      <c r="TJ126" s="11"/>
      <c r="TK126" s="11"/>
      <c r="TL126" s="11"/>
    </row>
    <row r="127" spans="1:532" x14ac:dyDescent="0.2">
      <c r="A127" s="10" t="s">
        <v>126</v>
      </c>
      <c r="B127" s="12">
        <v>13.39</v>
      </c>
      <c r="C127" s="11">
        <v>0</v>
      </c>
      <c r="D127" s="11">
        <v>1.5938743500232855</v>
      </c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/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/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/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/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/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/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/>
      <c r="LT127" s="12"/>
      <c r="LU127" s="12"/>
      <c r="LV127" s="12"/>
      <c r="LW127" s="12"/>
      <c r="LX127" s="12"/>
      <c r="LY127" s="12"/>
      <c r="LZ127" s="12"/>
      <c r="MA127" s="12"/>
      <c r="MB127" s="12"/>
      <c r="MC127" s="12"/>
      <c r="MD127" s="12"/>
      <c r="ME127" s="12"/>
      <c r="MF127" s="12"/>
      <c r="MG127" s="12"/>
      <c r="MH127" s="12"/>
      <c r="MI127" s="12"/>
      <c r="MJ127" s="12"/>
      <c r="MK127" s="12"/>
      <c r="ML127" s="12"/>
      <c r="MM127" s="12"/>
      <c r="MN127" s="12"/>
      <c r="MO127" s="12"/>
      <c r="MP127" s="12"/>
      <c r="MQ127" s="12"/>
      <c r="MR127" s="12"/>
      <c r="MS127" s="12"/>
      <c r="MT127" s="12"/>
      <c r="MU127" s="12"/>
      <c r="MV127" s="12"/>
      <c r="MW127" s="12"/>
      <c r="MX127" s="12"/>
      <c r="MY127" s="12"/>
      <c r="MZ127" s="12"/>
      <c r="NA127" s="12"/>
      <c r="NB127" s="12"/>
      <c r="NC127" s="12"/>
      <c r="ND127" s="12"/>
      <c r="NE127" s="12"/>
      <c r="NF127" s="12"/>
      <c r="NG127" s="12"/>
      <c r="NH127" s="12"/>
      <c r="NI127" s="12"/>
      <c r="NJ127" s="12"/>
      <c r="NK127" s="12"/>
      <c r="NL127" s="12"/>
      <c r="NM127" s="12"/>
      <c r="NN127" s="12"/>
      <c r="NO127" s="12"/>
      <c r="NP127" s="12"/>
      <c r="NQ127" s="12"/>
      <c r="NR127" s="12"/>
      <c r="NS127" s="12"/>
      <c r="NT127" s="12"/>
      <c r="NU127" s="12"/>
      <c r="NV127" s="12"/>
      <c r="NW127" s="12"/>
      <c r="NX127" s="12"/>
      <c r="NY127" s="12"/>
      <c r="NZ127" s="12"/>
      <c r="OA127" s="12"/>
      <c r="OB127" s="12"/>
      <c r="OC127" s="12"/>
      <c r="OD127" s="12"/>
      <c r="OE127" s="12"/>
      <c r="OF127" s="12"/>
      <c r="OG127" s="12"/>
      <c r="OH127" s="12"/>
      <c r="OI127" s="12"/>
      <c r="OJ127" s="12"/>
      <c r="OK127" s="12"/>
      <c r="OL127" s="12"/>
      <c r="OM127" s="12"/>
      <c r="ON127" s="12"/>
      <c r="OO127" s="12"/>
      <c r="OP127" s="12"/>
      <c r="OQ127" s="12"/>
      <c r="OR127" s="12"/>
      <c r="OS127" s="12"/>
      <c r="OT127" s="12"/>
      <c r="OU127" s="12"/>
      <c r="OV127" s="12"/>
      <c r="OW127" s="12"/>
      <c r="OX127" s="12"/>
      <c r="OY127" s="12"/>
      <c r="OZ127" s="12"/>
      <c r="PA127" s="12"/>
      <c r="PB127" s="12"/>
      <c r="PC127" s="12"/>
      <c r="PD127" s="12"/>
      <c r="PE127" s="12"/>
      <c r="PF127" s="12"/>
      <c r="PG127" s="12"/>
      <c r="PH127" s="12"/>
      <c r="PI127" s="12"/>
      <c r="PJ127" s="12"/>
      <c r="PK127" s="12"/>
      <c r="PL127" s="12"/>
      <c r="PM127" s="12"/>
      <c r="PN127" s="12"/>
      <c r="PO127" s="12"/>
      <c r="PP127" s="12"/>
      <c r="PQ127" s="12"/>
      <c r="PR127" s="12"/>
      <c r="PS127" s="12"/>
      <c r="PT127" s="12"/>
      <c r="PU127" s="12"/>
      <c r="PV127" s="12"/>
      <c r="PW127" s="12"/>
      <c r="PX127" s="12"/>
      <c r="PY127" s="12"/>
      <c r="PZ127" s="12"/>
      <c r="QA127" s="12"/>
      <c r="QB127" s="12"/>
      <c r="QC127" s="12"/>
      <c r="QD127" s="12"/>
      <c r="QE127" s="12"/>
      <c r="QF127" s="12"/>
      <c r="QG127" s="12"/>
      <c r="QH127" s="12"/>
      <c r="QI127" s="12"/>
      <c r="QJ127" s="12"/>
      <c r="QK127" s="12"/>
      <c r="QL127" s="12"/>
      <c r="QM127" s="12"/>
      <c r="QN127" s="12"/>
      <c r="QO127" s="12"/>
      <c r="QP127" s="12"/>
      <c r="QQ127" s="12"/>
      <c r="QR127" s="12"/>
      <c r="QS127" s="12"/>
      <c r="QT127" s="12"/>
      <c r="QU127" s="12"/>
      <c r="QV127" s="12"/>
      <c r="QW127" s="12"/>
      <c r="QX127" s="12"/>
      <c r="QY127" s="12"/>
      <c r="QZ127" s="12"/>
      <c r="RA127" s="12"/>
      <c r="RB127" s="12"/>
      <c r="RC127" s="12"/>
      <c r="RD127" s="12"/>
      <c r="RE127" s="12"/>
      <c r="RF127" s="12"/>
      <c r="RG127" s="12"/>
      <c r="RH127" s="12"/>
      <c r="RI127" s="12"/>
      <c r="RJ127" s="12"/>
      <c r="RK127" s="12"/>
      <c r="RL127" s="12"/>
      <c r="RM127" s="12"/>
      <c r="RN127" s="12"/>
      <c r="RO127" s="12"/>
      <c r="RP127" s="12"/>
      <c r="RQ127" s="12"/>
      <c r="RR127" s="12"/>
      <c r="RS127" s="12"/>
      <c r="RT127" s="12"/>
      <c r="RU127" s="12"/>
      <c r="RV127" s="12"/>
      <c r="RW127" s="12"/>
      <c r="RX127" s="12"/>
      <c r="RY127" s="12"/>
      <c r="RZ127" s="12"/>
      <c r="SA127" s="12"/>
      <c r="SB127" s="12"/>
      <c r="SC127" s="12"/>
      <c r="SD127" s="12"/>
      <c r="SE127" s="12"/>
      <c r="SF127" s="12"/>
      <c r="SG127" s="12"/>
      <c r="SH127" s="11"/>
      <c r="SI127" s="11"/>
      <c r="SJ127" s="11"/>
      <c r="SK127" s="11"/>
      <c r="SL127" s="11"/>
      <c r="SM127" s="11"/>
      <c r="SN127" s="11"/>
      <c r="SO127" s="11"/>
      <c r="SP127" s="11"/>
      <c r="SQ127" s="11"/>
      <c r="SR127" s="11"/>
      <c r="SS127" s="11"/>
      <c r="ST127" s="11"/>
      <c r="SU127" s="11"/>
      <c r="SV127" s="11"/>
      <c r="SW127" s="11"/>
      <c r="SX127" s="11"/>
      <c r="SY127" s="11"/>
      <c r="SZ127" s="11"/>
      <c r="TA127" s="11"/>
      <c r="TB127" s="11"/>
      <c r="TC127" s="11"/>
      <c r="TD127" s="11"/>
      <c r="TE127" s="11"/>
      <c r="TF127" s="11"/>
      <c r="TG127" s="11"/>
      <c r="TH127" s="11"/>
      <c r="TI127" s="11"/>
      <c r="TJ127" s="11"/>
      <c r="TK127" s="11"/>
      <c r="TL127" s="11"/>
    </row>
    <row r="128" spans="1:532" x14ac:dyDescent="0.2">
      <c r="A128" s="10" t="s">
        <v>127</v>
      </c>
      <c r="B128" s="12">
        <v>14.74</v>
      </c>
      <c r="C128" s="11">
        <v>0</v>
      </c>
      <c r="D128" s="11">
        <v>0.25739585776773555</v>
      </c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/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/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/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/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/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/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/>
      <c r="LR128" s="12"/>
      <c r="LS128" s="12"/>
      <c r="LT128" s="12"/>
      <c r="LU128" s="12"/>
      <c r="LV128" s="12"/>
      <c r="LW128" s="12"/>
      <c r="LX128" s="12"/>
      <c r="LY128" s="12"/>
      <c r="LZ128" s="12"/>
      <c r="MA128" s="12"/>
      <c r="MB128" s="12"/>
      <c r="MC128" s="12"/>
      <c r="MD128" s="12"/>
      <c r="ME128" s="12"/>
      <c r="MF128" s="12"/>
      <c r="MG128" s="12"/>
      <c r="MH128" s="12"/>
      <c r="MI128" s="12"/>
      <c r="MJ128" s="12"/>
      <c r="MK128" s="12"/>
      <c r="ML128" s="12"/>
      <c r="MM128" s="12"/>
      <c r="MN128" s="12"/>
      <c r="MO128" s="12"/>
      <c r="MP128" s="12"/>
      <c r="MQ128" s="12"/>
      <c r="MR128" s="12"/>
      <c r="MS128" s="12"/>
      <c r="MT128" s="12"/>
      <c r="MU128" s="12"/>
      <c r="MV128" s="12"/>
      <c r="MW128" s="12"/>
      <c r="MX128" s="12"/>
      <c r="MY128" s="12"/>
      <c r="MZ128" s="12"/>
      <c r="NA128" s="12"/>
      <c r="NB128" s="12"/>
      <c r="NC128" s="12"/>
      <c r="ND128" s="12"/>
      <c r="NE128" s="12"/>
      <c r="NF128" s="12"/>
      <c r="NG128" s="12"/>
      <c r="NH128" s="12"/>
      <c r="NI128" s="12"/>
      <c r="NJ128" s="12"/>
      <c r="NK128" s="12"/>
      <c r="NL128" s="12"/>
      <c r="NM128" s="12"/>
      <c r="NN128" s="12"/>
      <c r="NO128" s="12"/>
      <c r="NP128" s="12"/>
      <c r="NQ128" s="12"/>
      <c r="NR128" s="12"/>
      <c r="NS128" s="12"/>
      <c r="NT128" s="12"/>
      <c r="NU128" s="12"/>
      <c r="NV128" s="12"/>
      <c r="NW128" s="12"/>
      <c r="NX128" s="12"/>
      <c r="NY128" s="12"/>
      <c r="NZ128" s="12"/>
      <c r="OA128" s="12"/>
      <c r="OB128" s="12"/>
      <c r="OC128" s="12"/>
      <c r="OD128" s="12"/>
      <c r="OE128" s="12"/>
      <c r="OF128" s="12"/>
      <c r="OG128" s="12"/>
      <c r="OH128" s="12"/>
      <c r="OI128" s="12"/>
      <c r="OJ128" s="12"/>
      <c r="OK128" s="12"/>
      <c r="OL128" s="12"/>
      <c r="OM128" s="12"/>
      <c r="ON128" s="12"/>
      <c r="OO128" s="12"/>
      <c r="OP128" s="12"/>
      <c r="OQ128" s="12"/>
      <c r="OR128" s="12"/>
      <c r="OS128" s="12"/>
      <c r="OT128" s="12"/>
      <c r="OU128" s="12"/>
      <c r="OV128" s="12"/>
      <c r="OW128" s="12"/>
      <c r="OX128" s="12"/>
      <c r="OY128" s="12"/>
      <c r="OZ128" s="12"/>
      <c r="PA128" s="12"/>
      <c r="PB128" s="12"/>
      <c r="PC128" s="12"/>
      <c r="PD128" s="12"/>
      <c r="PE128" s="12"/>
      <c r="PF128" s="12"/>
      <c r="PG128" s="12"/>
      <c r="PH128" s="12"/>
      <c r="PI128" s="12"/>
      <c r="PJ128" s="12"/>
      <c r="PK128" s="12"/>
      <c r="PL128" s="12"/>
      <c r="PM128" s="12"/>
      <c r="PN128" s="12"/>
      <c r="PO128" s="12"/>
      <c r="PP128" s="12"/>
      <c r="PQ128" s="12"/>
      <c r="PR128" s="12"/>
      <c r="PS128" s="12"/>
      <c r="PT128" s="12"/>
      <c r="PU128" s="12"/>
      <c r="PV128" s="12"/>
      <c r="PW128" s="12"/>
      <c r="PX128" s="12"/>
      <c r="PY128" s="12"/>
      <c r="PZ128" s="12"/>
      <c r="QA128" s="12"/>
      <c r="QB128" s="12"/>
      <c r="QC128" s="12"/>
      <c r="QD128" s="12"/>
      <c r="QE128" s="12"/>
      <c r="QF128" s="12"/>
      <c r="QG128" s="12"/>
      <c r="QH128" s="12"/>
      <c r="QI128" s="12"/>
      <c r="QJ128" s="12"/>
      <c r="QK128" s="12"/>
      <c r="QL128" s="12"/>
      <c r="QM128" s="12"/>
      <c r="QN128" s="12"/>
      <c r="QO128" s="12"/>
      <c r="QP128" s="12"/>
      <c r="QQ128" s="12"/>
      <c r="QR128" s="12"/>
      <c r="QS128" s="12"/>
      <c r="QT128" s="12"/>
      <c r="QU128" s="12"/>
      <c r="QV128" s="12"/>
      <c r="QW128" s="12"/>
      <c r="QX128" s="12"/>
      <c r="QY128" s="12"/>
      <c r="QZ128" s="12"/>
      <c r="RA128" s="12"/>
      <c r="RB128" s="12"/>
      <c r="RC128" s="12"/>
      <c r="RD128" s="12"/>
      <c r="RE128" s="12"/>
      <c r="RF128" s="12"/>
      <c r="RG128" s="12"/>
      <c r="RH128" s="12"/>
      <c r="RI128" s="12"/>
      <c r="RJ128" s="12"/>
      <c r="RK128" s="12"/>
      <c r="RL128" s="12"/>
      <c r="RM128" s="12"/>
      <c r="RN128" s="12"/>
      <c r="RO128" s="12"/>
      <c r="RP128" s="12"/>
      <c r="RQ128" s="12"/>
      <c r="RR128" s="12"/>
      <c r="RS128" s="12"/>
      <c r="RT128" s="12"/>
      <c r="RU128" s="12"/>
      <c r="RV128" s="12"/>
      <c r="RW128" s="12"/>
      <c r="RX128" s="12"/>
      <c r="RY128" s="12"/>
      <c r="RZ128" s="12"/>
      <c r="SA128" s="12"/>
      <c r="SB128" s="12"/>
      <c r="SC128" s="12"/>
      <c r="SD128" s="12"/>
      <c r="SE128" s="12"/>
      <c r="SF128" s="12"/>
      <c r="SG128" s="12"/>
      <c r="SH128" s="11"/>
      <c r="SI128" s="11"/>
      <c r="SJ128" s="11"/>
      <c r="SK128" s="11"/>
      <c r="SL128" s="11"/>
      <c r="SM128" s="11"/>
      <c r="SN128" s="11"/>
      <c r="SO128" s="11"/>
      <c r="SP128" s="11"/>
      <c r="SQ128" s="11"/>
      <c r="SR128" s="11"/>
      <c r="SS128" s="11"/>
      <c r="ST128" s="11"/>
      <c r="SU128" s="11"/>
      <c r="SV128" s="11"/>
      <c r="SW128" s="11"/>
      <c r="SX128" s="11"/>
      <c r="SY128" s="11"/>
      <c r="SZ128" s="11"/>
      <c r="TA128" s="11"/>
      <c r="TB128" s="11"/>
      <c r="TC128" s="11"/>
      <c r="TD128" s="11"/>
      <c r="TE128" s="11"/>
      <c r="TF128" s="11"/>
      <c r="TG128" s="11"/>
      <c r="TH128" s="11"/>
      <c r="TI128" s="11"/>
      <c r="TJ128" s="11"/>
      <c r="TK128" s="11"/>
      <c r="TL128" s="11"/>
    </row>
    <row r="129" spans="1:532" x14ac:dyDescent="0.2">
      <c r="A129" s="10" t="s">
        <v>128</v>
      </c>
      <c r="B129" s="12">
        <v>16.97</v>
      </c>
      <c r="C129" s="11">
        <v>1.9502686146247654</v>
      </c>
      <c r="D129" s="11">
        <v>0</v>
      </c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/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/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/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/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/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/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/>
      <c r="LS129" s="12"/>
      <c r="LT129" s="12"/>
      <c r="LU129" s="12"/>
      <c r="LV129" s="12"/>
      <c r="LW129" s="12"/>
      <c r="LX129" s="12"/>
      <c r="LY129" s="12"/>
      <c r="LZ129" s="12"/>
      <c r="MA129" s="12"/>
      <c r="MB129" s="12"/>
      <c r="MC129" s="12"/>
      <c r="MD129" s="12"/>
      <c r="ME129" s="12"/>
      <c r="MF129" s="12"/>
      <c r="MG129" s="12"/>
      <c r="MH129" s="12"/>
      <c r="MI129" s="12"/>
      <c r="MJ129" s="12"/>
      <c r="MK129" s="12"/>
      <c r="ML129" s="12"/>
      <c r="MM129" s="12"/>
      <c r="MN129" s="12"/>
      <c r="MO129" s="12"/>
      <c r="MP129" s="12"/>
      <c r="MQ129" s="12"/>
      <c r="MR129" s="12"/>
      <c r="MS129" s="12"/>
      <c r="MT129" s="12"/>
      <c r="MU129" s="12"/>
      <c r="MV129" s="12"/>
      <c r="MW129" s="12"/>
      <c r="MX129" s="12"/>
      <c r="MY129" s="12"/>
      <c r="MZ129" s="12"/>
      <c r="NA129" s="12"/>
      <c r="NB129" s="12"/>
      <c r="NC129" s="12"/>
      <c r="ND129" s="12"/>
      <c r="NE129" s="12"/>
      <c r="NF129" s="12"/>
      <c r="NG129" s="12"/>
      <c r="NH129" s="12"/>
      <c r="NI129" s="12"/>
      <c r="NJ129" s="12"/>
      <c r="NK129" s="12"/>
      <c r="NL129" s="12"/>
      <c r="NM129" s="12"/>
      <c r="NN129" s="12"/>
      <c r="NO129" s="12"/>
      <c r="NP129" s="12"/>
      <c r="NQ129" s="12"/>
      <c r="NR129" s="12"/>
      <c r="NS129" s="12"/>
      <c r="NT129" s="12"/>
      <c r="NU129" s="12"/>
      <c r="NV129" s="12"/>
      <c r="NW129" s="12"/>
      <c r="NX129" s="12"/>
      <c r="NY129" s="12"/>
      <c r="NZ129" s="12"/>
      <c r="OA129" s="12"/>
      <c r="OB129" s="12"/>
      <c r="OC129" s="12"/>
      <c r="OD129" s="12"/>
      <c r="OE129" s="12"/>
      <c r="OF129" s="12"/>
      <c r="OG129" s="12"/>
      <c r="OH129" s="12"/>
      <c r="OI129" s="12"/>
      <c r="OJ129" s="12"/>
      <c r="OK129" s="12"/>
      <c r="OL129" s="12"/>
      <c r="OM129" s="12"/>
      <c r="ON129" s="12"/>
      <c r="OO129" s="12"/>
      <c r="OP129" s="12"/>
      <c r="OQ129" s="12"/>
      <c r="OR129" s="12"/>
      <c r="OS129" s="12"/>
      <c r="OT129" s="12"/>
      <c r="OU129" s="12"/>
      <c r="OV129" s="12"/>
      <c r="OW129" s="12"/>
      <c r="OX129" s="12"/>
      <c r="OY129" s="12"/>
      <c r="OZ129" s="12"/>
      <c r="PA129" s="12"/>
      <c r="PB129" s="12"/>
      <c r="PC129" s="12"/>
      <c r="PD129" s="12"/>
      <c r="PE129" s="12"/>
      <c r="PF129" s="12"/>
      <c r="PG129" s="12"/>
      <c r="PH129" s="12"/>
      <c r="PI129" s="12"/>
      <c r="PJ129" s="12"/>
      <c r="PK129" s="12"/>
      <c r="PL129" s="12"/>
      <c r="PM129" s="12"/>
      <c r="PN129" s="12"/>
      <c r="PO129" s="12"/>
      <c r="PP129" s="12"/>
      <c r="PQ129" s="12"/>
      <c r="PR129" s="12"/>
      <c r="PS129" s="12"/>
      <c r="PT129" s="12"/>
      <c r="PU129" s="12"/>
      <c r="PV129" s="12"/>
      <c r="PW129" s="12"/>
      <c r="PX129" s="12"/>
      <c r="PY129" s="12"/>
      <c r="PZ129" s="12"/>
      <c r="QA129" s="12"/>
      <c r="QB129" s="12"/>
      <c r="QC129" s="12"/>
      <c r="QD129" s="12"/>
      <c r="QE129" s="12"/>
      <c r="QF129" s="12"/>
      <c r="QG129" s="12"/>
      <c r="QH129" s="12"/>
      <c r="QI129" s="12"/>
      <c r="QJ129" s="12"/>
      <c r="QK129" s="12"/>
      <c r="QL129" s="12"/>
      <c r="QM129" s="12"/>
      <c r="QN129" s="12"/>
      <c r="QO129" s="12"/>
      <c r="QP129" s="12"/>
      <c r="QQ129" s="12"/>
      <c r="QR129" s="12"/>
      <c r="QS129" s="12"/>
      <c r="QT129" s="12"/>
      <c r="QU129" s="12"/>
      <c r="QV129" s="12"/>
      <c r="QW129" s="12"/>
      <c r="QX129" s="12"/>
      <c r="QY129" s="12"/>
      <c r="QZ129" s="12"/>
      <c r="RA129" s="12"/>
      <c r="RB129" s="12"/>
      <c r="RC129" s="12"/>
      <c r="RD129" s="12"/>
      <c r="RE129" s="12"/>
      <c r="RF129" s="12"/>
      <c r="RG129" s="12"/>
      <c r="RH129" s="12"/>
      <c r="RI129" s="12"/>
      <c r="RJ129" s="12"/>
      <c r="RK129" s="12"/>
      <c r="RL129" s="12"/>
      <c r="RM129" s="12"/>
      <c r="RN129" s="12"/>
      <c r="RO129" s="12"/>
      <c r="RP129" s="12"/>
      <c r="RQ129" s="12"/>
      <c r="RR129" s="12"/>
      <c r="RS129" s="12"/>
      <c r="RT129" s="12"/>
      <c r="RU129" s="12"/>
      <c r="RV129" s="12"/>
      <c r="RW129" s="12"/>
      <c r="RX129" s="12"/>
      <c r="RY129" s="12"/>
      <c r="RZ129" s="12"/>
      <c r="SA129" s="12"/>
      <c r="SB129" s="12"/>
      <c r="SC129" s="12"/>
      <c r="SD129" s="12"/>
      <c r="SE129" s="12"/>
      <c r="SF129" s="12"/>
      <c r="SG129" s="12"/>
      <c r="SH129" s="11"/>
      <c r="SI129" s="11"/>
      <c r="SJ129" s="11"/>
      <c r="SK129" s="11"/>
      <c r="SL129" s="11"/>
      <c r="SM129" s="11"/>
      <c r="SN129" s="11"/>
      <c r="SO129" s="11"/>
      <c r="SP129" s="11"/>
      <c r="SQ129" s="11"/>
      <c r="SR129" s="11"/>
      <c r="SS129" s="11"/>
      <c r="ST129" s="11"/>
      <c r="SU129" s="11"/>
      <c r="SV129" s="11"/>
      <c r="SW129" s="11"/>
      <c r="SX129" s="11"/>
      <c r="SY129" s="11"/>
      <c r="SZ129" s="11"/>
      <c r="TA129" s="11"/>
      <c r="TB129" s="11"/>
      <c r="TC129" s="11"/>
      <c r="TD129" s="11"/>
      <c r="TE129" s="11"/>
      <c r="TF129" s="11"/>
      <c r="TG129" s="11"/>
      <c r="TH129" s="11"/>
      <c r="TI129" s="11"/>
      <c r="TJ129" s="11"/>
      <c r="TK129" s="11"/>
      <c r="TL129" s="11"/>
    </row>
    <row r="130" spans="1:532" x14ac:dyDescent="0.2">
      <c r="A130" s="10" t="s">
        <v>129</v>
      </c>
      <c r="B130" s="12">
        <v>15.48</v>
      </c>
      <c r="C130" s="11">
        <v>0.47519235280197325</v>
      </c>
      <c r="D130" s="11">
        <v>0</v>
      </c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/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/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/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/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/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/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/>
      <c r="LT130" s="12"/>
      <c r="LU130" s="12"/>
      <c r="LV130" s="12"/>
      <c r="LW130" s="12"/>
      <c r="LX130" s="12"/>
      <c r="LY130" s="12"/>
      <c r="LZ130" s="12"/>
      <c r="MA130" s="12"/>
      <c r="MB130" s="12"/>
      <c r="MC130" s="12"/>
      <c r="MD130" s="12"/>
      <c r="ME130" s="12"/>
      <c r="MF130" s="12"/>
      <c r="MG130" s="12"/>
      <c r="MH130" s="12"/>
      <c r="MI130" s="12"/>
      <c r="MJ130" s="12"/>
      <c r="MK130" s="12"/>
      <c r="ML130" s="12"/>
      <c r="MM130" s="12"/>
      <c r="MN130" s="12"/>
      <c r="MO130" s="12"/>
      <c r="MP130" s="12"/>
      <c r="MQ130" s="12"/>
      <c r="MR130" s="12"/>
      <c r="MS130" s="12"/>
      <c r="MT130" s="12"/>
      <c r="MU130" s="12"/>
      <c r="MV130" s="12"/>
      <c r="MW130" s="12"/>
      <c r="MX130" s="12"/>
      <c r="MY130" s="12"/>
      <c r="MZ130" s="12"/>
      <c r="NA130" s="12"/>
      <c r="NB130" s="12"/>
      <c r="NC130" s="12"/>
      <c r="ND130" s="12"/>
      <c r="NE130" s="12"/>
      <c r="NF130" s="12"/>
      <c r="NG130" s="12"/>
      <c r="NH130" s="12"/>
      <c r="NI130" s="12"/>
      <c r="NJ130" s="12"/>
      <c r="NK130" s="12"/>
      <c r="NL130" s="12"/>
      <c r="NM130" s="12"/>
      <c r="NN130" s="12"/>
      <c r="NO130" s="12"/>
      <c r="NP130" s="12"/>
      <c r="NQ130" s="12"/>
      <c r="NR130" s="12"/>
      <c r="NS130" s="12"/>
      <c r="NT130" s="12"/>
      <c r="NU130" s="12"/>
      <c r="NV130" s="12"/>
      <c r="NW130" s="12"/>
      <c r="NX130" s="12"/>
      <c r="NY130" s="12"/>
      <c r="NZ130" s="12"/>
      <c r="OA130" s="12"/>
      <c r="OB130" s="12"/>
      <c r="OC130" s="12"/>
      <c r="OD130" s="12"/>
      <c r="OE130" s="12"/>
      <c r="OF130" s="12"/>
      <c r="OG130" s="12"/>
      <c r="OH130" s="12"/>
      <c r="OI130" s="12"/>
      <c r="OJ130" s="12"/>
      <c r="OK130" s="12"/>
      <c r="OL130" s="12"/>
      <c r="OM130" s="12"/>
      <c r="ON130" s="12"/>
      <c r="OO130" s="12"/>
      <c r="OP130" s="12"/>
      <c r="OQ130" s="12"/>
      <c r="OR130" s="12"/>
      <c r="OS130" s="12"/>
      <c r="OT130" s="12"/>
      <c r="OU130" s="12"/>
      <c r="OV130" s="12"/>
      <c r="OW130" s="12"/>
      <c r="OX130" s="12"/>
      <c r="OY130" s="12"/>
      <c r="OZ130" s="12"/>
      <c r="PA130" s="12"/>
      <c r="PB130" s="12"/>
      <c r="PC130" s="12"/>
      <c r="PD130" s="12"/>
      <c r="PE130" s="12"/>
      <c r="PF130" s="12"/>
      <c r="PG130" s="12"/>
      <c r="PH130" s="12"/>
      <c r="PI130" s="12"/>
      <c r="PJ130" s="12"/>
      <c r="PK130" s="12"/>
      <c r="PL130" s="12"/>
      <c r="PM130" s="12"/>
      <c r="PN130" s="12"/>
      <c r="PO130" s="12"/>
      <c r="PP130" s="12"/>
      <c r="PQ130" s="12"/>
      <c r="PR130" s="12"/>
      <c r="PS130" s="12"/>
      <c r="PT130" s="12"/>
      <c r="PU130" s="12"/>
      <c r="PV130" s="12"/>
      <c r="PW130" s="12"/>
      <c r="PX130" s="12"/>
      <c r="PY130" s="12"/>
      <c r="PZ130" s="12"/>
      <c r="QA130" s="12"/>
      <c r="QB130" s="12"/>
      <c r="QC130" s="12"/>
      <c r="QD130" s="12"/>
      <c r="QE130" s="12"/>
      <c r="QF130" s="12"/>
      <c r="QG130" s="12"/>
      <c r="QH130" s="12"/>
      <c r="QI130" s="12"/>
      <c r="QJ130" s="12"/>
      <c r="QK130" s="12"/>
      <c r="QL130" s="12"/>
      <c r="QM130" s="12"/>
      <c r="QN130" s="12"/>
      <c r="QO130" s="12"/>
      <c r="QP130" s="12"/>
      <c r="QQ130" s="12"/>
      <c r="QR130" s="12"/>
      <c r="QS130" s="12"/>
      <c r="QT130" s="12"/>
      <c r="QU130" s="12"/>
      <c r="QV130" s="12"/>
      <c r="QW130" s="12"/>
      <c r="QX130" s="12"/>
      <c r="QY130" s="12"/>
      <c r="QZ130" s="12"/>
      <c r="RA130" s="12"/>
      <c r="RB130" s="12"/>
      <c r="RC130" s="12"/>
      <c r="RD130" s="12"/>
      <c r="RE130" s="12"/>
      <c r="RF130" s="12"/>
      <c r="RG130" s="12"/>
      <c r="RH130" s="12"/>
      <c r="RI130" s="12"/>
      <c r="RJ130" s="12"/>
      <c r="RK130" s="12"/>
      <c r="RL130" s="12"/>
      <c r="RM130" s="12"/>
      <c r="RN130" s="12"/>
      <c r="RO130" s="12"/>
      <c r="RP130" s="12"/>
      <c r="RQ130" s="12"/>
      <c r="RR130" s="12"/>
      <c r="RS130" s="12"/>
      <c r="RT130" s="12"/>
      <c r="RU130" s="12"/>
      <c r="RV130" s="12"/>
      <c r="RW130" s="12"/>
      <c r="RX130" s="12"/>
      <c r="RY130" s="12"/>
      <c r="RZ130" s="12"/>
      <c r="SA130" s="12"/>
      <c r="SB130" s="12"/>
      <c r="SC130" s="12"/>
      <c r="SD130" s="12"/>
      <c r="SE130" s="12"/>
      <c r="SF130" s="12"/>
      <c r="SG130" s="12"/>
      <c r="SH130" s="11"/>
      <c r="SI130" s="11"/>
      <c r="SJ130" s="11"/>
      <c r="SK130" s="11"/>
      <c r="SL130" s="11"/>
      <c r="SM130" s="11"/>
      <c r="SN130" s="11"/>
      <c r="SO130" s="11"/>
      <c r="SP130" s="11"/>
      <c r="SQ130" s="11"/>
      <c r="SR130" s="11"/>
      <c r="SS130" s="11"/>
      <c r="ST130" s="11"/>
      <c r="SU130" s="11"/>
      <c r="SV130" s="11"/>
      <c r="SW130" s="11"/>
      <c r="SX130" s="11"/>
      <c r="SY130" s="11"/>
      <c r="SZ130" s="11"/>
      <c r="TA130" s="11"/>
      <c r="TB130" s="11"/>
      <c r="TC130" s="11"/>
      <c r="TD130" s="11"/>
      <c r="TE130" s="11"/>
      <c r="TF130" s="11"/>
      <c r="TG130" s="11"/>
      <c r="TH130" s="11"/>
      <c r="TI130" s="11"/>
      <c r="TJ130" s="11"/>
      <c r="TK130" s="11"/>
      <c r="TL130" s="11"/>
    </row>
    <row r="131" spans="1:532" x14ac:dyDescent="0.2">
      <c r="A131" s="10" t="s">
        <v>130</v>
      </c>
      <c r="B131" s="12">
        <v>12.1</v>
      </c>
      <c r="C131" s="11">
        <v>0</v>
      </c>
      <c r="D131" s="11">
        <v>2.8709537981785886</v>
      </c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/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/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/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/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/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/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/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2"/>
      <c r="LU131" s="12"/>
      <c r="LV131" s="12"/>
      <c r="LW131" s="12"/>
      <c r="LX131" s="12"/>
      <c r="LY131" s="12"/>
      <c r="LZ131" s="12"/>
      <c r="MA131" s="12"/>
      <c r="MB131" s="12"/>
      <c r="MC131" s="12"/>
      <c r="MD131" s="12"/>
      <c r="ME131" s="12"/>
      <c r="MF131" s="12"/>
      <c r="MG131" s="12"/>
      <c r="MH131" s="12"/>
      <c r="MI131" s="12"/>
      <c r="MJ131" s="12"/>
      <c r="MK131" s="12"/>
      <c r="ML131" s="12"/>
      <c r="MM131" s="12"/>
      <c r="MN131" s="12"/>
      <c r="MO131" s="12"/>
      <c r="MP131" s="12"/>
      <c r="MQ131" s="12"/>
      <c r="MR131" s="12"/>
      <c r="MS131" s="12"/>
      <c r="MT131" s="12"/>
      <c r="MU131" s="12"/>
      <c r="MV131" s="12"/>
      <c r="MW131" s="12"/>
      <c r="MX131" s="12"/>
      <c r="MY131" s="12"/>
      <c r="MZ131" s="12"/>
      <c r="NA131" s="12"/>
      <c r="NB131" s="12"/>
      <c r="NC131" s="12"/>
      <c r="ND131" s="12"/>
      <c r="NE131" s="12"/>
      <c r="NF131" s="12"/>
      <c r="NG131" s="12"/>
      <c r="NH131" s="12"/>
      <c r="NI131" s="12"/>
      <c r="NJ131" s="12"/>
      <c r="NK131" s="12"/>
      <c r="NL131" s="12"/>
      <c r="NM131" s="12"/>
      <c r="NN131" s="12"/>
      <c r="NO131" s="12"/>
      <c r="NP131" s="12"/>
      <c r="NQ131" s="12"/>
      <c r="NR131" s="12"/>
      <c r="NS131" s="12"/>
      <c r="NT131" s="12"/>
      <c r="NU131" s="12"/>
      <c r="NV131" s="12"/>
      <c r="NW131" s="12"/>
      <c r="NX131" s="12"/>
      <c r="NY131" s="12"/>
      <c r="NZ131" s="12"/>
      <c r="OA131" s="12"/>
      <c r="OB131" s="12"/>
      <c r="OC131" s="12"/>
      <c r="OD131" s="12"/>
      <c r="OE131" s="12"/>
      <c r="OF131" s="12"/>
      <c r="OG131" s="12"/>
      <c r="OH131" s="12"/>
      <c r="OI131" s="12"/>
      <c r="OJ131" s="12"/>
      <c r="OK131" s="12"/>
      <c r="OL131" s="12"/>
      <c r="OM131" s="12"/>
      <c r="ON131" s="12"/>
      <c r="OO131" s="12"/>
      <c r="OP131" s="12"/>
      <c r="OQ131" s="12"/>
      <c r="OR131" s="12"/>
      <c r="OS131" s="12"/>
      <c r="OT131" s="12"/>
      <c r="OU131" s="12"/>
      <c r="OV131" s="12"/>
      <c r="OW131" s="12"/>
      <c r="OX131" s="12"/>
      <c r="OY131" s="12"/>
      <c r="OZ131" s="12"/>
      <c r="PA131" s="12"/>
      <c r="PB131" s="12"/>
      <c r="PC131" s="12"/>
      <c r="PD131" s="12"/>
      <c r="PE131" s="12"/>
      <c r="PF131" s="12"/>
      <c r="PG131" s="12"/>
      <c r="PH131" s="12"/>
      <c r="PI131" s="12"/>
      <c r="PJ131" s="12"/>
      <c r="PK131" s="12"/>
      <c r="PL131" s="12"/>
      <c r="PM131" s="12"/>
      <c r="PN131" s="12"/>
      <c r="PO131" s="12"/>
      <c r="PP131" s="12"/>
      <c r="PQ131" s="12"/>
      <c r="PR131" s="12"/>
      <c r="PS131" s="12"/>
      <c r="PT131" s="12"/>
      <c r="PU131" s="12"/>
      <c r="PV131" s="12"/>
      <c r="PW131" s="12"/>
      <c r="PX131" s="12"/>
      <c r="PY131" s="12"/>
      <c r="PZ131" s="12"/>
      <c r="QA131" s="12"/>
      <c r="QB131" s="12"/>
      <c r="QC131" s="12"/>
      <c r="QD131" s="12"/>
      <c r="QE131" s="12"/>
      <c r="QF131" s="12"/>
      <c r="QG131" s="12"/>
      <c r="QH131" s="12"/>
      <c r="QI131" s="12"/>
      <c r="QJ131" s="12"/>
      <c r="QK131" s="12"/>
      <c r="QL131" s="12"/>
      <c r="QM131" s="12"/>
      <c r="QN131" s="12"/>
      <c r="QO131" s="12"/>
      <c r="QP131" s="12"/>
      <c r="QQ131" s="12"/>
      <c r="QR131" s="12"/>
      <c r="QS131" s="12"/>
      <c r="QT131" s="12"/>
      <c r="QU131" s="12"/>
      <c r="QV131" s="12"/>
      <c r="QW131" s="12"/>
      <c r="QX131" s="12"/>
      <c r="QY131" s="12"/>
      <c r="QZ131" s="12"/>
      <c r="RA131" s="12"/>
      <c r="RB131" s="12"/>
      <c r="RC131" s="12"/>
      <c r="RD131" s="12"/>
      <c r="RE131" s="12"/>
      <c r="RF131" s="12"/>
      <c r="RG131" s="12"/>
      <c r="RH131" s="12"/>
      <c r="RI131" s="12"/>
      <c r="RJ131" s="12"/>
      <c r="RK131" s="12"/>
      <c r="RL131" s="12"/>
      <c r="RM131" s="12"/>
      <c r="RN131" s="12"/>
      <c r="RO131" s="12"/>
      <c r="RP131" s="12"/>
      <c r="RQ131" s="12"/>
      <c r="RR131" s="12"/>
      <c r="RS131" s="12"/>
      <c r="RT131" s="12"/>
      <c r="RU131" s="12"/>
      <c r="RV131" s="12"/>
      <c r="RW131" s="12"/>
      <c r="RX131" s="12"/>
      <c r="RY131" s="12"/>
      <c r="RZ131" s="12"/>
      <c r="SA131" s="12"/>
      <c r="SB131" s="12"/>
      <c r="SC131" s="12"/>
      <c r="SD131" s="12"/>
      <c r="SE131" s="12"/>
      <c r="SF131" s="12"/>
      <c r="SG131" s="12"/>
      <c r="SH131" s="11"/>
      <c r="SI131" s="11"/>
      <c r="SJ131" s="11"/>
      <c r="SK131" s="11"/>
      <c r="SL131" s="11"/>
      <c r="SM131" s="11"/>
      <c r="SN131" s="11"/>
      <c r="SO131" s="11"/>
      <c r="SP131" s="11"/>
      <c r="SQ131" s="11"/>
      <c r="SR131" s="11"/>
      <c r="SS131" s="11"/>
      <c r="ST131" s="11"/>
      <c r="SU131" s="11"/>
      <c r="SV131" s="11"/>
      <c r="SW131" s="11"/>
      <c r="SX131" s="11"/>
      <c r="SY131" s="11"/>
      <c r="SZ131" s="11"/>
      <c r="TA131" s="11"/>
      <c r="TB131" s="11"/>
      <c r="TC131" s="11"/>
      <c r="TD131" s="11"/>
      <c r="TE131" s="11"/>
      <c r="TF131" s="11"/>
      <c r="TG131" s="11"/>
      <c r="TH131" s="11"/>
      <c r="TI131" s="11"/>
      <c r="TJ131" s="11"/>
      <c r="TK131" s="11"/>
      <c r="TL131" s="11"/>
    </row>
    <row r="132" spans="1:532" x14ac:dyDescent="0.2">
      <c r="A132" s="10" t="s">
        <v>131</v>
      </c>
      <c r="B132" s="12">
        <v>15.21</v>
      </c>
      <c r="C132" s="11">
        <v>0.2078966543508633</v>
      </c>
      <c r="D132" s="11">
        <v>0</v>
      </c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12"/>
      <c r="IP132" s="12"/>
      <c r="IQ132" s="12"/>
      <c r="IR132" s="12"/>
      <c r="IS132" s="12"/>
      <c r="IT132" s="12"/>
      <c r="IU132" s="12"/>
      <c r="IV132" s="12"/>
      <c r="IW132" s="12"/>
      <c r="IX132" s="12"/>
      <c r="IY132" s="12"/>
      <c r="IZ132" s="12"/>
      <c r="JA132" s="12"/>
      <c r="JB132" s="12"/>
      <c r="JC132" s="12"/>
      <c r="JD132" s="12"/>
      <c r="JE132" s="12"/>
      <c r="JF132" s="12"/>
      <c r="JG132" s="12"/>
      <c r="JH132" s="12"/>
      <c r="JI132" s="12"/>
      <c r="JJ132" s="12"/>
      <c r="JK132" s="12"/>
      <c r="JL132" s="12"/>
      <c r="JM132" s="12"/>
      <c r="JN132" s="12"/>
      <c r="JO132" s="12"/>
      <c r="JP132" s="12"/>
      <c r="JQ132" s="12"/>
      <c r="JR132" s="12"/>
      <c r="JS132" s="12"/>
      <c r="JT132" s="12"/>
      <c r="JU132" s="12"/>
      <c r="JV132" s="12"/>
      <c r="JW132" s="12"/>
      <c r="JX132" s="12"/>
      <c r="JY132" s="12"/>
      <c r="JZ132" s="12"/>
      <c r="KA132" s="12"/>
      <c r="KB132" s="12"/>
      <c r="KC132" s="12"/>
      <c r="KD132" s="12"/>
      <c r="KE132" s="12"/>
      <c r="KF132" s="12"/>
      <c r="KG132" s="12"/>
      <c r="KH132" s="12"/>
      <c r="KI132" s="12"/>
      <c r="KJ132" s="12"/>
      <c r="KK132" s="12"/>
      <c r="KL132" s="12"/>
      <c r="KM132" s="12"/>
      <c r="KN132" s="12"/>
      <c r="KO132" s="12"/>
      <c r="KP132" s="12"/>
      <c r="KQ132" s="12"/>
      <c r="KR132" s="12"/>
      <c r="KS132" s="12"/>
      <c r="KT132" s="12"/>
      <c r="KU132" s="12"/>
      <c r="KV132" s="12"/>
      <c r="KW132" s="12"/>
      <c r="KX132" s="12"/>
      <c r="KY132" s="12"/>
      <c r="KZ132" s="12"/>
      <c r="LA132" s="12"/>
      <c r="LB132" s="12"/>
      <c r="LC132" s="12"/>
      <c r="LD132" s="12"/>
      <c r="LE132" s="12"/>
      <c r="LF132" s="12"/>
      <c r="LG132" s="12"/>
      <c r="LH132" s="12"/>
      <c r="LI132" s="12"/>
      <c r="LJ132" s="12"/>
      <c r="LK132" s="12"/>
      <c r="LL132" s="12"/>
      <c r="LM132" s="12"/>
      <c r="LN132" s="12"/>
      <c r="LO132" s="12"/>
      <c r="LP132" s="12"/>
      <c r="LQ132" s="12"/>
      <c r="LR132" s="12"/>
      <c r="LS132" s="12"/>
      <c r="LT132" s="12"/>
      <c r="LU132" s="12"/>
      <c r="LV132" s="12"/>
      <c r="LW132" s="12"/>
      <c r="LX132" s="12"/>
      <c r="LY132" s="12"/>
      <c r="LZ132" s="12"/>
      <c r="MA132" s="12"/>
      <c r="MB132" s="12"/>
      <c r="MC132" s="12"/>
      <c r="MD132" s="12"/>
      <c r="ME132" s="12"/>
      <c r="MF132" s="12"/>
      <c r="MG132" s="12"/>
      <c r="MH132" s="12"/>
      <c r="MI132" s="12"/>
      <c r="MJ132" s="12"/>
      <c r="MK132" s="12"/>
      <c r="ML132" s="12"/>
      <c r="MM132" s="12"/>
      <c r="MN132" s="12"/>
      <c r="MO132" s="12"/>
      <c r="MP132" s="12"/>
      <c r="MQ132" s="12"/>
      <c r="MR132" s="12"/>
      <c r="MS132" s="12"/>
      <c r="MT132" s="12"/>
      <c r="MU132" s="12"/>
      <c r="MV132" s="12"/>
      <c r="MW132" s="12"/>
      <c r="MX132" s="12"/>
      <c r="MY132" s="12"/>
      <c r="MZ132" s="12"/>
      <c r="NA132" s="12"/>
      <c r="NB132" s="12"/>
      <c r="NC132" s="12"/>
      <c r="ND132" s="12"/>
      <c r="NE132" s="12"/>
      <c r="NF132" s="12"/>
      <c r="NG132" s="12"/>
      <c r="NH132" s="12"/>
      <c r="NI132" s="12"/>
      <c r="NJ132" s="12"/>
      <c r="NK132" s="12"/>
      <c r="NL132" s="12"/>
      <c r="NM132" s="12"/>
      <c r="NN132" s="12"/>
      <c r="NO132" s="12"/>
      <c r="NP132" s="12"/>
      <c r="NQ132" s="12"/>
      <c r="NR132" s="12"/>
      <c r="NS132" s="12"/>
      <c r="NT132" s="12"/>
      <c r="NU132" s="12"/>
      <c r="NV132" s="12"/>
      <c r="NW132" s="12"/>
      <c r="NX132" s="12"/>
      <c r="NY132" s="12"/>
      <c r="NZ132" s="12"/>
      <c r="OA132" s="12"/>
      <c r="OB132" s="12"/>
      <c r="OC132" s="12"/>
      <c r="OD132" s="12"/>
      <c r="OE132" s="12"/>
      <c r="OF132" s="12"/>
      <c r="OG132" s="12"/>
      <c r="OH132" s="12"/>
      <c r="OI132" s="12"/>
      <c r="OJ132" s="12"/>
      <c r="OK132" s="12"/>
      <c r="OL132" s="12"/>
      <c r="OM132" s="12"/>
      <c r="ON132" s="12"/>
      <c r="OO132" s="12"/>
      <c r="OP132" s="12"/>
      <c r="OQ132" s="12"/>
      <c r="OR132" s="12"/>
      <c r="OS132" s="12"/>
      <c r="OT132" s="12"/>
      <c r="OU132" s="12"/>
      <c r="OV132" s="12"/>
      <c r="OW132" s="12"/>
      <c r="OX132" s="12"/>
      <c r="OY132" s="12"/>
      <c r="OZ132" s="12"/>
      <c r="PA132" s="12"/>
      <c r="PB132" s="12"/>
      <c r="PC132" s="12"/>
      <c r="PD132" s="12"/>
      <c r="PE132" s="12"/>
      <c r="PF132" s="12"/>
      <c r="PG132" s="12"/>
      <c r="PH132" s="12"/>
      <c r="PI132" s="12"/>
      <c r="PJ132" s="12"/>
      <c r="PK132" s="12"/>
      <c r="PL132" s="12"/>
      <c r="PM132" s="12"/>
      <c r="PN132" s="12"/>
      <c r="PO132" s="12"/>
      <c r="PP132" s="12"/>
      <c r="PQ132" s="12"/>
      <c r="PR132" s="12"/>
      <c r="PS132" s="12"/>
      <c r="PT132" s="12"/>
      <c r="PU132" s="12"/>
      <c r="PV132" s="12"/>
      <c r="PW132" s="12"/>
      <c r="PX132" s="12"/>
      <c r="PY132" s="12"/>
      <c r="PZ132" s="12"/>
      <c r="QA132" s="12"/>
      <c r="QB132" s="12"/>
      <c r="QC132" s="12"/>
      <c r="QD132" s="12"/>
      <c r="QE132" s="12"/>
      <c r="QF132" s="12"/>
      <c r="QG132" s="12"/>
      <c r="QH132" s="12"/>
      <c r="QI132" s="12"/>
      <c r="QJ132" s="12"/>
      <c r="QK132" s="12"/>
      <c r="QL132" s="12"/>
      <c r="QM132" s="12"/>
      <c r="QN132" s="12"/>
      <c r="QO132" s="12"/>
      <c r="QP132" s="12"/>
      <c r="QQ132" s="12"/>
      <c r="QR132" s="12"/>
      <c r="QS132" s="12"/>
      <c r="QT132" s="12"/>
      <c r="QU132" s="12"/>
      <c r="QV132" s="12"/>
      <c r="QW132" s="12"/>
      <c r="QX132" s="12"/>
      <c r="QY132" s="12"/>
      <c r="QZ132" s="12"/>
      <c r="RA132" s="12"/>
      <c r="RB132" s="12"/>
      <c r="RC132" s="12"/>
      <c r="RD132" s="12"/>
      <c r="RE132" s="12"/>
      <c r="RF132" s="12"/>
      <c r="RG132" s="12"/>
      <c r="RH132" s="12"/>
      <c r="RI132" s="12"/>
      <c r="RJ132" s="12"/>
      <c r="RK132" s="12"/>
      <c r="RL132" s="12"/>
      <c r="RM132" s="12"/>
      <c r="RN132" s="12"/>
      <c r="RO132" s="12"/>
      <c r="RP132" s="12"/>
      <c r="RQ132" s="12"/>
      <c r="RR132" s="12"/>
      <c r="RS132" s="12"/>
      <c r="RT132" s="12"/>
      <c r="RU132" s="12"/>
      <c r="RV132" s="12"/>
      <c r="RW132" s="12"/>
      <c r="RX132" s="12"/>
      <c r="RY132" s="12"/>
      <c r="RZ132" s="12"/>
      <c r="SA132" s="12"/>
      <c r="SB132" s="12"/>
      <c r="SC132" s="12"/>
      <c r="SD132" s="12"/>
      <c r="SE132" s="12"/>
      <c r="SF132" s="12"/>
      <c r="SG132" s="12"/>
      <c r="SH132" s="11"/>
      <c r="SI132" s="11"/>
      <c r="SJ132" s="11"/>
      <c r="SK132" s="11"/>
      <c r="SL132" s="11"/>
      <c r="SM132" s="11"/>
      <c r="SN132" s="11"/>
      <c r="SO132" s="11"/>
      <c r="SP132" s="11"/>
      <c r="SQ132" s="11"/>
      <c r="SR132" s="11"/>
      <c r="SS132" s="11"/>
      <c r="ST132" s="11"/>
      <c r="SU132" s="11"/>
      <c r="SV132" s="11"/>
      <c r="SW132" s="11"/>
      <c r="SX132" s="11"/>
      <c r="SY132" s="11"/>
      <c r="SZ132" s="11"/>
      <c r="TA132" s="11"/>
      <c r="TB132" s="11"/>
      <c r="TC132" s="11"/>
      <c r="TD132" s="11"/>
      <c r="TE132" s="11"/>
      <c r="TF132" s="11"/>
      <c r="TG132" s="11"/>
      <c r="TH132" s="11"/>
      <c r="TI132" s="11"/>
      <c r="TJ132" s="11"/>
      <c r="TK132" s="11"/>
      <c r="TL132" s="11"/>
    </row>
    <row r="133" spans="1:532" x14ac:dyDescent="0.2">
      <c r="A133" s="10" t="s">
        <v>132</v>
      </c>
      <c r="B133" s="12">
        <v>14.39</v>
      </c>
      <c r="C133" s="11">
        <v>0</v>
      </c>
      <c r="D133" s="11">
        <v>0.60389028168584102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12"/>
      <c r="IP133" s="12"/>
      <c r="IQ133" s="12"/>
      <c r="IR133" s="12"/>
      <c r="IS133" s="12"/>
      <c r="IT133" s="12"/>
      <c r="IU133" s="12"/>
      <c r="IV133" s="12"/>
      <c r="IW133" s="12"/>
      <c r="IX133" s="12"/>
      <c r="IY133" s="12"/>
      <c r="IZ133" s="12"/>
      <c r="JA133" s="12"/>
      <c r="JB133" s="12"/>
      <c r="JC133" s="12"/>
      <c r="JD133" s="12"/>
      <c r="JE133" s="12"/>
      <c r="JF133" s="12"/>
      <c r="JG133" s="12"/>
      <c r="JH133" s="12"/>
      <c r="JI133" s="12"/>
      <c r="JJ133" s="12"/>
      <c r="JK133" s="12"/>
      <c r="JL133" s="12"/>
      <c r="JM133" s="12"/>
      <c r="JN133" s="12"/>
      <c r="JO133" s="12"/>
      <c r="JP133" s="12"/>
      <c r="JQ133" s="12"/>
      <c r="JR133" s="12"/>
      <c r="JS133" s="12"/>
      <c r="JT133" s="12"/>
      <c r="JU133" s="12"/>
      <c r="JV133" s="12"/>
      <c r="JW133" s="12"/>
      <c r="JX133" s="12"/>
      <c r="JY133" s="12"/>
      <c r="JZ133" s="12"/>
      <c r="KA133" s="12"/>
      <c r="KB133" s="12"/>
      <c r="KC133" s="12"/>
      <c r="KD133" s="12"/>
      <c r="KE133" s="12"/>
      <c r="KF133" s="12"/>
      <c r="KG133" s="12"/>
      <c r="KH133" s="12"/>
      <c r="KI133" s="12"/>
      <c r="KJ133" s="12"/>
      <c r="KK133" s="12"/>
      <c r="KL133" s="12"/>
      <c r="KM133" s="12"/>
      <c r="KN133" s="12"/>
      <c r="KO133" s="12"/>
      <c r="KP133" s="12"/>
      <c r="KQ133" s="12"/>
      <c r="KR133" s="12"/>
      <c r="KS133" s="12"/>
      <c r="KT133" s="12"/>
      <c r="KU133" s="12"/>
      <c r="KV133" s="12"/>
      <c r="KW133" s="12"/>
      <c r="KX133" s="12"/>
      <c r="KY133" s="12"/>
      <c r="KZ133" s="12"/>
      <c r="LA133" s="12"/>
      <c r="LB133" s="12"/>
      <c r="LC133" s="12"/>
      <c r="LD133" s="12"/>
      <c r="LE133" s="12"/>
      <c r="LF133" s="12"/>
      <c r="LG133" s="12"/>
      <c r="LH133" s="12"/>
      <c r="LI133" s="12"/>
      <c r="LJ133" s="12"/>
      <c r="LK133" s="12"/>
      <c r="LL133" s="12"/>
      <c r="LM133" s="12"/>
      <c r="LN133" s="12"/>
      <c r="LO133" s="12"/>
      <c r="LP133" s="12"/>
      <c r="LQ133" s="12"/>
      <c r="LR133" s="12"/>
      <c r="LS133" s="12"/>
      <c r="LT133" s="12"/>
      <c r="LU133" s="12"/>
      <c r="LV133" s="12"/>
      <c r="LW133" s="12"/>
      <c r="LX133" s="12"/>
      <c r="LY133" s="12"/>
      <c r="LZ133" s="12"/>
      <c r="MA133" s="12"/>
      <c r="MB133" s="12"/>
      <c r="MC133" s="12"/>
      <c r="MD133" s="12"/>
      <c r="ME133" s="12"/>
      <c r="MF133" s="12"/>
      <c r="MG133" s="12"/>
      <c r="MH133" s="12"/>
      <c r="MI133" s="12"/>
      <c r="MJ133" s="12"/>
      <c r="MK133" s="12"/>
      <c r="ML133" s="12"/>
      <c r="MM133" s="12"/>
      <c r="MN133" s="12"/>
      <c r="MO133" s="12"/>
      <c r="MP133" s="12"/>
      <c r="MQ133" s="12"/>
      <c r="MR133" s="12"/>
      <c r="MS133" s="12"/>
      <c r="MT133" s="12"/>
      <c r="MU133" s="12"/>
      <c r="MV133" s="12"/>
      <c r="MW133" s="12"/>
      <c r="MX133" s="12"/>
      <c r="MY133" s="12"/>
      <c r="MZ133" s="12"/>
      <c r="NA133" s="12"/>
      <c r="NB133" s="12"/>
      <c r="NC133" s="12"/>
      <c r="ND133" s="12"/>
      <c r="NE133" s="12"/>
      <c r="NF133" s="12"/>
      <c r="NG133" s="12"/>
      <c r="NH133" s="12"/>
      <c r="NI133" s="12"/>
      <c r="NJ133" s="12"/>
      <c r="NK133" s="12"/>
      <c r="NL133" s="12"/>
      <c r="NM133" s="12"/>
      <c r="NN133" s="12"/>
      <c r="NO133" s="12"/>
      <c r="NP133" s="12"/>
      <c r="NQ133" s="12"/>
      <c r="NR133" s="12"/>
      <c r="NS133" s="12"/>
      <c r="NT133" s="12"/>
      <c r="NU133" s="12"/>
      <c r="NV133" s="12"/>
      <c r="NW133" s="12"/>
      <c r="NX133" s="12"/>
      <c r="NY133" s="12"/>
      <c r="NZ133" s="12"/>
      <c r="OA133" s="12"/>
      <c r="OB133" s="12"/>
      <c r="OC133" s="12"/>
      <c r="OD133" s="12"/>
      <c r="OE133" s="12"/>
      <c r="OF133" s="12"/>
      <c r="OG133" s="12"/>
      <c r="OH133" s="12"/>
      <c r="OI133" s="12"/>
      <c r="OJ133" s="12"/>
      <c r="OK133" s="12"/>
      <c r="OL133" s="12"/>
      <c r="OM133" s="12"/>
      <c r="ON133" s="12"/>
      <c r="OO133" s="12"/>
      <c r="OP133" s="12"/>
      <c r="OQ133" s="12"/>
      <c r="OR133" s="12"/>
      <c r="OS133" s="12"/>
      <c r="OT133" s="12"/>
      <c r="OU133" s="12"/>
      <c r="OV133" s="12"/>
      <c r="OW133" s="12"/>
      <c r="OX133" s="12"/>
      <c r="OY133" s="12"/>
      <c r="OZ133" s="12"/>
      <c r="PA133" s="12"/>
      <c r="PB133" s="12"/>
      <c r="PC133" s="12"/>
      <c r="PD133" s="12"/>
      <c r="PE133" s="12"/>
      <c r="PF133" s="12"/>
      <c r="PG133" s="12"/>
      <c r="PH133" s="12"/>
      <c r="PI133" s="12"/>
      <c r="PJ133" s="12"/>
      <c r="PK133" s="12"/>
      <c r="PL133" s="12"/>
      <c r="PM133" s="12"/>
      <c r="PN133" s="12"/>
      <c r="PO133" s="12"/>
      <c r="PP133" s="12"/>
      <c r="PQ133" s="12"/>
      <c r="PR133" s="12"/>
      <c r="PS133" s="12"/>
      <c r="PT133" s="12"/>
      <c r="PU133" s="12"/>
      <c r="PV133" s="12"/>
      <c r="PW133" s="12"/>
      <c r="PX133" s="12"/>
      <c r="PY133" s="12"/>
      <c r="PZ133" s="12"/>
      <c r="QA133" s="12"/>
      <c r="QB133" s="12"/>
      <c r="QC133" s="12"/>
      <c r="QD133" s="12"/>
      <c r="QE133" s="12"/>
      <c r="QF133" s="12"/>
      <c r="QG133" s="12"/>
      <c r="QH133" s="12"/>
      <c r="QI133" s="12"/>
      <c r="QJ133" s="12"/>
      <c r="QK133" s="12"/>
      <c r="QL133" s="12"/>
      <c r="QM133" s="12"/>
      <c r="QN133" s="12"/>
      <c r="QO133" s="12"/>
      <c r="QP133" s="12"/>
      <c r="QQ133" s="12"/>
      <c r="QR133" s="12"/>
      <c r="QS133" s="12"/>
      <c r="QT133" s="12"/>
      <c r="QU133" s="12"/>
      <c r="QV133" s="12"/>
      <c r="QW133" s="12"/>
      <c r="QX133" s="12"/>
      <c r="QY133" s="12"/>
      <c r="QZ133" s="12"/>
      <c r="RA133" s="12"/>
      <c r="RB133" s="12"/>
      <c r="RC133" s="12"/>
      <c r="RD133" s="12"/>
      <c r="RE133" s="12"/>
      <c r="RF133" s="12"/>
      <c r="RG133" s="12"/>
      <c r="RH133" s="12"/>
      <c r="RI133" s="12"/>
      <c r="RJ133" s="12"/>
      <c r="RK133" s="12"/>
      <c r="RL133" s="12"/>
      <c r="RM133" s="12"/>
      <c r="RN133" s="12"/>
      <c r="RO133" s="12"/>
      <c r="RP133" s="12"/>
      <c r="RQ133" s="12"/>
      <c r="RR133" s="12"/>
      <c r="RS133" s="12"/>
      <c r="RT133" s="12"/>
      <c r="RU133" s="12"/>
      <c r="RV133" s="12"/>
      <c r="RW133" s="12"/>
      <c r="RX133" s="12"/>
      <c r="RY133" s="12"/>
      <c r="RZ133" s="12"/>
      <c r="SA133" s="12"/>
      <c r="SB133" s="12"/>
      <c r="SC133" s="12"/>
      <c r="SD133" s="12"/>
      <c r="SE133" s="12"/>
      <c r="SF133" s="12"/>
      <c r="SG133" s="12"/>
      <c r="SH133" s="11"/>
      <c r="SI133" s="11"/>
      <c r="SJ133" s="11"/>
      <c r="SK133" s="11"/>
      <c r="SL133" s="11"/>
      <c r="SM133" s="11"/>
      <c r="SN133" s="11"/>
      <c r="SO133" s="11"/>
      <c r="SP133" s="11"/>
      <c r="SQ133" s="11"/>
      <c r="SR133" s="11"/>
      <c r="SS133" s="11"/>
      <c r="ST133" s="11"/>
      <c r="SU133" s="11"/>
      <c r="SV133" s="11"/>
      <c r="SW133" s="11"/>
      <c r="SX133" s="11"/>
      <c r="SY133" s="11"/>
      <c r="SZ133" s="11"/>
      <c r="TA133" s="11"/>
      <c r="TB133" s="11"/>
      <c r="TC133" s="11"/>
      <c r="TD133" s="11"/>
      <c r="TE133" s="11"/>
      <c r="TF133" s="11"/>
      <c r="TG133" s="11"/>
      <c r="TH133" s="11"/>
      <c r="TI133" s="11"/>
      <c r="TJ133" s="11"/>
      <c r="TK133" s="11"/>
      <c r="TL133" s="11"/>
    </row>
    <row r="134" spans="1:532" x14ac:dyDescent="0.2">
      <c r="A134" s="10" t="s">
        <v>133</v>
      </c>
      <c r="B134" s="12">
        <v>14.8</v>
      </c>
      <c r="C134" s="11">
        <v>0</v>
      </c>
      <c r="D134" s="11">
        <v>0.19799681366748889</v>
      </c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12"/>
      <c r="IP134" s="12"/>
      <c r="IQ134" s="12"/>
      <c r="IR134" s="12"/>
      <c r="IS134" s="12"/>
      <c r="IT134" s="12"/>
      <c r="IU134" s="12"/>
      <c r="IV134" s="12"/>
      <c r="IW134" s="12"/>
      <c r="IX134" s="12"/>
      <c r="IY134" s="12"/>
      <c r="IZ134" s="12"/>
      <c r="JA134" s="12"/>
      <c r="JB134" s="12"/>
      <c r="JC134" s="12"/>
      <c r="JD134" s="12"/>
      <c r="JE134" s="12"/>
      <c r="JF134" s="12"/>
      <c r="JG134" s="12"/>
      <c r="JH134" s="12"/>
      <c r="JI134" s="12"/>
      <c r="JJ134" s="12"/>
      <c r="JK134" s="12"/>
      <c r="JL134" s="12"/>
      <c r="JM134" s="12"/>
      <c r="JN134" s="12"/>
      <c r="JO134" s="12"/>
      <c r="JP134" s="12"/>
      <c r="JQ134" s="12"/>
      <c r="JR134" s="12"/>
      <c r="JS134" s="12"/>
      <c r="JT134" s="12"/>
      <c r="JU134" s="12"/>
      <c r="JV134" s="12"/>
      <c r="JW134" s="12"/>
      <c r="JX134" s="12"/>
      <c r="JY134" s="12"/>
      <c r="JZ134" s="12"/>
      <c r="KA134" s="12"/>
      <c r="KB134" s="12"/>
      <c r="KC134" s="12"/>
      <c r="KD134" s="12"/>
      <c r="KE134" s="12"/>
      <c r="KF134" s="12"/>
      <c r="KG134" s="12"/>
      <c r="KH134" s="12"/>
      <c r="KI134" s="12"/>
      <c r="KJ134" s="12"/>
      <c r="KK134" s="12"/>
      <c r="KL134" s="12"/>
      <c r="KM134" s="12"/>
      <c r="KN134" s="12"/>
      <c r="KO134" s="12"/>
      <c r="KP134" s="12"/>
      <c r="KQ134" s="12"/>
      <c r="KR134" s="12"/>
      <c r="KS134" s="12"/>
      <c r="KT134" s="12"/>
      <c r="KU134" s="12"/>
      <c r="KV134" s="12"/>
      <c r="KW134" s="12"/>
      <c r="KX134" s="12"/>
      <c r="KY134" s="12"/>
      <c r="KZ134" s="12"/>
      <c r="LA134" s="12"/>
      <c r="LB134" s="12"/>
      <c r="LC134" s="12"/>
      <c r="LD134" s="12"/>
      <c r="LE134" s="12"/>
      <c r="LF134" s="12"/>
      <c r="LG134" s="12"/>
      <c r="LH134" s="12"/>
      <c r="LI134" s="12"/>
      <c r="LJ134" s="12"/>
      <c r="LK134" s="12"/>
      <c r="LL134" s="12"/>
      <c r="LM134" s="12"/>
      <c r="LN134" s="12"/>
      <c r="LO134" s="12"/>
      <c r="LP134" s="12"/>
      <c r="LQ134" s="12"/>
      <c r="LR134" s="12"/>
      <c r="LS134" s="12"/>
      <c r="LT134" s="12"/>
      <c r="LU134" s="12"/>
      <c r="LV134" s="12"/>
      <c r="LW134" s="12"/>
      <c r="LX134" s="12"/>
      <c r="LY134" s="12"/>
      <c r="LZ134" s="12"/>
      <c r="MA134" s="12"/>
      <c r="MB134" s="12"/>
      <c r="MC134" s="12"/>
      <c r="MD134" s="12"/>
      <c r="ME134" s="12"/>
      <c r="MF134" s="12"/>
      <c r="MG134" s="12"/>
      <c r="MH134" s="12"/>
      <c r="MI134" s="12"/>
      <c r="MJ134" s="12"/>
      <c r="MK134" s="12"/>
      <c r="ML134" s="12"/>
      <c r="MM134" s="12"/>
      <c r="MN134" s="12"/>
      <c r="MO134" s="12"/>
      <c r="MP134" s="12"/>
      <c r="MQ134" s="12"/>
      <c r="MR134" s="12"/>
      <c r="MS134" s="12"/>
      <c r="MT134" s="12"/>
      <c r="MU134" s="12"/>
      <c r="MV134" s="12"/>
      <c r="MW134" s="12"/>
      <c r="MX134" s="12"/>
      <c r="MY134" s="12"/>
      <c r="MZ134" s="12"/>
      <c r="NA134" s="12"/>
      <c r="NB134" s="12"/>
      <c r="NC134" s="12"/>
      <c r="ND134" s="12"/>
      <c r="NE134" s="12"/>
      <c r="NF134" s="12"/>
      <c r="NG134" s="12"/>
      <c r="NH134" s="12"/>
      <c r="NI134" s="12"/>
      <c r="NJ134" s="12"/>
      <c r="NK134" s="12"/>
      <c r="NL134" s="12"/>
      <c r="NM134" s="12"/>
      <c r="NN134" s="12"/>
      <c r="NO134" s="12"/>
      <c r="NP134" s="12"/>
      <c r="NQ134" s="12"/>
      <c r="NR134" s="12"/>
      <c r="NS134" s="12"/>
      <c r="NT134" s="12"/>
      <c r="NU134" s="12"/>
      <c r="NV134" s="12"/>
      <c r="NW134" s="12"/>
      <c r="NX134" s="12"/>
      <c r="NY134" s="12"/>
      <c r="NZ134" s="12"/>
      <c r="OA134" s="12"/>
      <c r="OB134" s="12"/>
      <c r="OC134" s="12"/>
      <c r="OD134" s="12"/>
      <c r="OE134" s="12"/>
      <c r="OF134" s="12"/>
      <c r="OG134" s="12"/>
      <c r="OH134" s="12"/>
      <c r="OI134" s="12"/>
      <c r="OJ134" s="12"/>
      <c r="OK134" s="12"/>
      <c r="OL134" s="12"/>
      <c r="OM134" s="12"/>
      <c r="ON134" s="12"/>
      <c r="OO134" s="12"/>
      <c r="OP134" s="12"/>
      <c r="OQ134" s="12"/>
      <c r="OR134" s="12"/>
      <c r="OS134" s="12"/>
      <c r="OT134" s="12"/>
      <c r="OU134" s="12"/>
      <c r="OV134" s="12"/>
      <c r="OW134" s="12"/>
      <c r="OX134" s="12"/>
      <c r="OY134" s="12"/>
      <c r="OZ134" s="12"/>
      <c r="PA134" s="12"/>
      <c r="PB134" s="12"/>
      <c r="PC134" s="12"/>
      <c r="PD134" s="12"/>
      <c r="PE134" s="12"/>
      <c r="PF134" s="12"/>
      <c r="PG134" s="12"/>
      <c r="PH134" s="12"/>
      <c r="PI134" s="12"/>
      <c r="PJ134" s="12"/>
      <c r="PK134" s="12"/>
      <c r="PL134" s="12"/>
      <c r="PM134" s="12"/>
      <c r="PN134" s="12"/>
      <c r="PO134" s="12"/>
      <c r="PP134" s="12"/>
      <c r="PQ134" s="12"/>
      <c r="PR134" s="12"/>
      <c r="PS134" s="12"/>
      <c r="PT134" s="12"/>
      <c r="PU134" s="12"/>
      <c r="PV134" s="12"/>
      <c r="PW134" s="12"/>
      <c r="PX134" s="12"/>
      <c r="PY134" s="12"/>
      <c r="PZ134" s="12"/>
      <c r="QA134" s="12"/>
      <c r="QB134" s="12"/>
      <c r="QC134" s="12"/>
      <c r="QD134" s="12"/>
      <c r="QE134" s="12"/>
      <c r="QF134" s="12"/>
      <c r="QG134" s="12"/>
      <c r="QH134" s="12"/>
      <c r="QI134" s="12"/>
      <c r="QJ134" s="12"/>
      <c r="QK134" s="12"/>
      <c r="QL134" s="12"/>
      <c r="QM134" s="12"/>
      <c r="QN134" s="12"/>
      <c r="QO134" s="12"/>
      <c r="QP134" s="12"/>
      <c r="QQ134" s="12"/>
      <c r="QR134" s="12"/>
      <c r="QS134" s="12"/>
      <c r="QT134" s="12"/>
      <c r="QU134" s="12"/>
      <c r="QV134" s="12"/>
      <c r="QW134" s="12"/>
      <c r="QX134" s="12"/>
      <c r="QY134" s="12"/>
      <c r="QZ134" s="12"/>
      <c r="RA134" s="12"/>
      <c r="RB134" s="12"/>
      <c r="RC134" s="12"/>
      <c r="RD134" s="12"/>
      <c r="RE134" s="12"/>
      <c r="RF134" s="12"/>
      <c r="RG134" s="12"/>
      <c r="RH134" s="12"/>
      <c r="RI134" s="12"/>
      <c r="RJ134" s="12"/>
      <c r="RK134" s="12"/>
      <c r="RL134" s="12"/>
      <c r="RM134" s="12"/>
      <c r="RN134" s="12"/>
      <c r="RO134" s="12"/>
      <c r="RP134" s="12"/>
      <c r="RQ134" s="12"/>
      <c r="RR134" s="12"/>
      <c r="RS134" s="12"/>
      <c r="RT134" s="12"/>
      <c r="RU134" s="12"/>
      <c r="RV134" s="12"/>
      <c r="RW134" s="12"/>
      <c r="RX134" s="12"/>
      <c r="RY134" s="12"/>
      <c r="RZ134" s="12"/>
      <c r="SA134" s="12"/>
      <c r="SB134" s="12"/>
      <c r="SC134" s="12"/>
      <c r="SD134" s="12"/>
      <c r="SE134" s="12"/>
      <c r="SF134" s="12"/>
      <c r="SG134" s="12"/>
      <c r="SH134" s="11"/>
      <c r="SI134" s="11"/>
      <c r="SJ134" s="11"/>
      <c r="SK134" s="11"/>
      <c r="SL134" s="11"/>
      <c r="SM134" s="11"/>
      <c r="SN134" s="11"/>
      <c r="SO134" s="11"/>
      <c r="SP134" s="11"/>
      <c r="SQ134" s="11"/>
      <c r="SR134" s="11"/>
      <c r="SS134" s="11"/>
      <c r="ST134" s="11"/>
      <c r="SU134" s="11"/>
      <c r="SV134" s="11"/>
      <c r="SW134" s="11"/>
      <c r="SX134" s="11"/>
      <c r="SY134" s="11"/>
      <c r="SZ134" s="11"/>
      <c r="TA134" s="11"/>
      <c r="TB134" s="11"/>
      <c r="TC134" s="11"/>
      <c r="TD134" s="11"/>
      <c r="TE134" s="11"/>
      <c r="TF134" s="11"/>
      <c r="TG134" s="11"/>
      <c r="TH134" s="11"/>
      <c r="TI134" s="11"/>
      <c r="TJ134" s="11"/>
      <c r="TK134" s="11"/>
      <c r="TL134" s="11"/>
    </row>
    <row r="135" spans="1:532" x14ac:dyDescent="0.2">
      <c r="A135" s="10" t="s">
        <v>134</v>
      </c>
      <c r="B135" s="12">
        <v>16.5</v>
      </c>
      <c r="C135" s="11">
        <v>1.4849761025061665</v>
      </c>
      <c r="D135" s="11">
        <v>0</v>
      </c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12"/>
      <c r="IP135" s="12"/>
      <c r="IQ135" s="12"/>
      <c r="IR135" s="12"/>
      <c r="IS135" s="12"/>
      <c r="IT135" s="12"/>
      <c r="IU135" s="12"/>
      <c r="IV135" s="12"/>
      <c r="IW135" s="12"/>
      <c r="IX135" s="12"/>
      <c r="IY135" s="12"/>
      <c r="IZ135" s="12"/>
      <c r="JA135" s="12"/>
      <c r="JB135" s="12"/>
      <c r="JC135" s="12"/>
      <c r="JD135" s="12"/>
      <c r="JE135" s="12"/>
      <c r="JF135" s="12"/>
      <c r="JG135" s="12"/>
      <c r="JH135" s="12"/>
      <c r="JI135" s="12"/>
      <c r="JJ135" s="12"/>
      <c r="JK135" s="12"/>
      <c r="JL135" s="12"/>
      <c r="JM135" s="12"/>
      <c r="JN135" s="12"/>
      <c r="JO135" s="12"/>
      <c r="JP135" s="12"/>
      <c r="JQ135" s="12"/>
      <c r="JR135" s="12"/>
      <c r="JS135" s="12"/>
      <c r="JT135" s="12"/>
      <c r="JU135" s="12"/>
      <c r="JV135" s="12"/>
      <c r="JW135" s="12"/>
      <c r="JX135" s="12"/>
      <c r="JY135" s="12"/>
      <c r="JZ135" s="12"/>
      <c r="KA135" s="12"/>
      <c r="KB135" s="12"/>
      <c r="KC135" s="12"/>
      <c r="KD135" s="12"/>
      <c r="KE135" s="12"/>
      <c r="KF135" s="12"/>
      <c r="KG135" s="12"/>
      <c r="KH135" s="12"/>
      <c r="KI135" s="12"/>
      <c r="KJ135" s="12"/>
      <c r="KK135" s="12"/>
      <c r="KL135" s="12"/>
      <c r="KM135" s="12"/>
      <c r="KN135" s="12"/>
      <c r="KO135" s="12"/>
      <c r="KP135" s="12"/>
      <c r="KQ135" s="12"/>
      <c r="KR135" s="12"/>
      <c r="KS135" s="12"/>
      <c r="KT135" s="12"/>
      <c r="KU135" s="12"/>
      <c r="KV135" s="12"/>
      <c r="KW135" s="12"/>
      <c r="KX135" s="12"/>
      <c r="KY135" s="12"/>
      <c r="KZ135" s="12"/>
      <c r="LA135" s="12"/>
      <c r="LB135" s="12"/>
      <c r="LC135" s="12"/>
      <c r="LD135" s="12"/>
      <c r="LE135" s="12"/>
      <c r="LF135" s="12"/>
      <c r="LG135" s="12"/>
      <c r="LH135" s="12"/>
      <c r="LI135" s="12"/>
      <c r="LJ135" s="12"/>
      <c r="LK135" s="12"/>
      <c r="LL135" s="12"/>
      <c r="LM135" s="12"/>
      <c r="LN135" s="12"/>
      <c r="LO135" s="12"/>
      <c r="LP135" s="12"/>
      <c r="LQ135" s="12"/>
      <c r="LR135" s="12"/>
      <c r="LS135" s="12"/>
      <c r="LT135" s="12"/>
      <c r="LU135" s="12"/>
      <c r="LV135" s="12"/>
      <c r="LW135" s="12"/>
      <c r="LX135" s="12"/>
      <c r="LY135" s="12"/>
      <c r="LZ135" s="12"/>
      <c r="MA135" s="12"/>
      <c r="MB135" s="12"/>
      <c r="MC135" s="12"/>
      <c r="MD135" s="12"/>
      <c r="ME135" s="12"/>
      <c r="MF135" s="12"/>
      <c r="MG135" s="12"/>
      <c r="MH135" s="12"/>
      <c r="MI135" s="12"/>
      <c r="MJ135" s="12"/>
      <c r="MK135" s="12"/>
      <c r="ML135" s="12"/>
      <c r="MM135" s="12"/>
      <c r="MN135" s="12"/>
      <c r="MO135" s="12"/>
      <c r="MP135" s="12"/>
      <c r="MQ135" s="12"/>
      <c r="MR135" s="12"/>
      <c r="MS135" s="12"/>
      <c r="MT135" s="12"/>
      <c r="MU135" s="12"/>
      <c r="MV135" s="12"/>
      <c r="MW135" s="12"/>
      <c r="MX135" s="12"/>
      <c r="MY135" s="12"/>
      <c r="MZ135" s="12"/>
      <c r="NA135" s="12"/>
      <c r="NB135" s="12"/>
      <c r="NC135" s="12"/>
      <c r="ND135" s="12"/>
      <c r="NE135" s="12"/>
      <c r="NF135" s="12"/>
      <c r="NG135" s="12"/>
      <c r="NH135" s="12"/>
      <c r="NI135" s="12"/>
      <c r="NJ135" s="12"/>
      <c r="NK135" s="12"/>
      <c r="NL135" s="12"/>
      <c r="NM135" s="12"/>
      <c r="NN135" s="12"/>
      <c r="NO135" s="12"/>
      <c r="NP135" s="12"/>
      <c r="NQ135" s="12"/>
      <c r="NR135" s="12"/>
      <c r="NS135" s="12"/>
      <c r="NT135" s="12"/>
      <c r="NU135" s="12"/>
      <c r="NV135" s="12"/>
      <c r="NW135" s="12"/>
      <c r="NX135" s="12"/>
      <c r="NY135" s="12"/>
      <c r="NZ135" s="12"/>
      <c r="OA135" s="12"/>
      <c r="OB135" s="12"/>
      <c r="OC135" s="12"/>
      <c r="OD135" s="12"/>
      <c r="OE135" s="12"/>
      <c r="OF135" s="12"/>
      <c r="OG135" s="12"/>
      <c r="OH135" s="12"/>
      <c r="OI135" s="12"/>
      <c r="OJ135" s="12"/>
      <c r="OK135" s="12"/>
      <c r="OL135" s="12"/>
      <c r="OM135" s="12"/>
      <c r="ON135" s="12"/>
      <c r="OO135" s="12"/>
      <c r="OP135" s="12"/>
      <c r="OQ135" s="12"/>
      <c r="OR135" s="12"/>
      <c r="OS135" s="12"/>
      <c r="OT135" s="12"/>
      <c r="OU135" s="12"/>
      <c r="OV135" s="12"/>
      <c r="OW135" s="12"/>
      <c r="OX135" s="12"/>
      <c r="OY135" s="12"/>
      <c r="OZ135" s="12"/>
      <c r="PA135" s="12"/>
      <c r="PB135" s="12"/>
      <c r="PC135" s="12"/>
      <c r="PD135" s="12"/>
      <c r="PE135" s="12"/>
      <c r="PF135" s="12"/>
      <c r="PG135" s="12"/>
      <c r="PH135" s="12"/>
      <c r="PI135" s="12"/>
      <c r="PJ135" s="12"/>
      <c r="PK135" s="12"/>
      <c r="PL135" s="12"/>
      <c r="PM135" s="12"/>
      <c r="PN135" s="12"/>
      <c r="PO135" s="12"/>
      <c r="PP135" s="12"/>
      <c r="PQ135" s="12"/>
      <c r="PR135" s="12"/>
      <c r="PS135" s="12"/>
      <c r="PT135" s="12"/>
      <c r="PU135" s="12"/>
      <c r="PV135" s="12"/>
      <c r="PW135" s="12"/>
      <c r="PX135" s="12"/>
      <c r="PY135" s="12"/>
      <c r="PZ135" s="12"/>
      <c r="QA135" s="12"/>
      <c r="QB135" s="12"/>
      <c r="QC135" s="12"/>
      <c r="QD135" s="12"/>
      <c r="QE135" s="12"/>
      <c r="QF135" s="12"/>
      <c r="QG135" s="12"/>
      <c r="QH135" s="12"/>
      <c r="QI135" s="12"/>
      <c r="QJ135" s="12"/>
      <c r="QK135" s="12"/>
      <c r="QL135" s="12"/>
      <c r="QM135" s="12"/>
      <c r="QN135" s="12"/>
      <c r="QO135" s="12"/>
      <c r="QP135" s="12"/>
      <c r="QQ135" s="12"/>
      <c r="QR135" s="12"/>
      <c r="QS135" s="12"/>
      <c r="QT135" s="12"/>
      <c r="QU135" s="12"/>
      <c r="QV135" s="12"/>
      <c r="QW135" s="12"/>
      <c r="QX135" s="12"/>
      <c r="QY135" s="12"/>
      <c r="QZ135" s="12"/>
      <c r="RA135" s="12"/>
      <c r="RB135" s="12"/>
      <c r="RC135" s="12"/>
      <c r="RD135" s="12"/>
      <c r="RE135" s="12"/>
      <c r="RF135" s="12"/>
      <c r="RG135" s="12"/>
      <c r="RH135" s="12"/>
      <c r="RI135" s="12"/>
      <c r="RJ135" s="12"/>
      <c r="RK135" s="12"/>
      <c r="RL135" s="12"/>
      <c r="RM135" s="12"/>
      <c r="RN135" s="12"/>
      <c r="RO135" s="12"/>
      <c r="RP135" s="12"/>
      <c r="RQ135" s="12"/>
      <c r="RR135" s="12"/>
      <c r="RS135" s="12"/>
      <c r="RT135" s="12"/>
      <c r="RU135" s="12"/>
      <c r="RV135" s="12"/>
      <c r="RW135" s="12"/>
      <c r="RX135" s="12"/>
      <c r="RY135" s="12"/>
      <c r="RZ135" s="12"/>
      <c r="SA135" s="12"/>
      <c r="SB135" s="12"/>
      <c r="SC135" s="12"/>
      <c r="SD135" s="12"/>
      <c r="SE135" s="12"/>
      <c r="SF135" s="12"/>
      <c r="SG135" s="12"/>
      <c r="SH135" s="11"/>
      <c r="SI135" s="11"/>
      <c r="SJ135" s="11"/>
      <c r="SK135" s="11"/>
      <c r="SL135" s="11"/>
      <c r="SM135" s="11"/>
      <c r="SN135" s="11"/>
      <c r="SO135" s="11"/>
      <c r="SP135" s="11"/>
      <c r="SQ135" s="11"/>
      <c r="SR135" s="11"/>
      <c r="SS135" s="11"/>
      <c r="ST135" s="11"/>
      <c r="SU135" s="11"/>
      <c r="SV135" s="11"/>
      <c r="SW135" s="11"/>
      <c r="SX135" s="11"/>
      <c r="SY135" s="11"/>
      <c r="SZ135" s="11"/>
      <c r="TA135" s="11"/>
      <c r="TB135" s="11"/>
      <c r="TC135" s="11"/>
      <c r="TD135" s="11"/>
      <c r="TE135" s="11"/>
      <c r="TF135" s="11"/>
      <c r="TG135" s="11"/>
      <c r="TH135" s="11"/>
      <c r="TI135" s="11"/>
      <c r="TJ135" s="11"/>
      <c r="TK135" s="11"/>
      <c r="TL135" s="11"/>
    </row>
    <row r="136" spans="1:532" x14ac:dyDescent="0.2">
      <c r="A136" s="10" t="s">
        <v>135</v>
      </c>
      <c r="B136" s="12">
        <v>15.01</v>
      </c>
      <c r="C136" s="11">
        <v>9.8998406833744439E-3</v>
      </c>
      <c r="D136" s="11">
        <v>0</v>
      </c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12"/>
      <c r="IP136" s="12"/>
      <c r="IQ136" s="12"/>
      <c r="IR136" s="12"/>
      <c r="IS136" s="12"/>
      <c r="IT136" s="12"/>
      <c r="IU136" s="12"/>
      <c r="IV136" s="12"/>
      <c r="IW136" s="12"/>
      <c r="IX136" s="12"/>
      <c r="IY136" s="12"/>
      <c r="IZ136" s="12"/>
      <c r="JA136" s="12"/>
      <c r="JB136" s="12"/>
      <c r="JC136" s="12"/>
      <c r="JD136" s="12"/>
      <c r="JE136" s="12"/>
      <c r="JF136" s="12"/>
      <c r="JG136" s="12"/>
      <c r="JH136" s="12"/>
      <c r="JI136" s="12"/>
      <c r="JJ136" s="12"/>
      <c r="JK136" s="12"/>
      <c r="JL136" s="12"/>
      <c r="JM136" s="12"/>
      <c r="JN136" s="12"/>
      <c r="JO136" s="12"/>
      <c r="JP136" s="12"/>
      <c r="JQ136" s="12"/>
      <c r="JR136" s="12"/>
      <c r="JS136" s="12"/>
      <c r="JT136" s="12"/>
      <c r="JU136" s="12"/>
      <c r="JV136" s="12"/>
      <c r="JW136" s="12"/>
      <c r="JX136" s="12"/>
      <c r="JY136" s="12"/>
      <c r="JZ136" s="12"/>
      <c r="KA136" s="12"/>
      <c r="KB136" s="12"/>
      <c r="KC136" s="12"/>
      <c r="KD136" s="12"/>
      <c r="KE136" s="12"/>
      <c r="KF136" s="12"/>
      <c r="KG136" s="12"/>
      <c r="KH136" s="12"/>
      <c r="KI136" s="12"/>
      <c r="KJ136" s="12"/>
      <c r="KK136" s="12"/>
      <c r="KL136" s="12"/>
      <c r="KM136" s="12"/>
      <c r="KN136" s="12"/>
      <c r="KO136" s="12"/>
      <c r="KP136" s="12"/>
      <c r="KQ136" s="12"/>
      <c r="KR136" s="12"/>
      <c r="KS136" s="12"/>
      <c r="KT136" s="12"/>
      <c r="KU136" s="12"/>
      <c r="KV136" s="12"/>
      <c r="KW136" s="12"/>
      <c r="KX136" s="12"/>
      <c r="KY136" s="12"/>
      <c r="KZ136" s="12"/>
      <c r="LA136" s="12"/>
      <c r="LB136" s="12"/>
      <c r="LC136" s="12"/>
      <c r="LD136" s="12"/>
      <c r="LE136" s="12"/>
      <c r="LF136" s="12"/>
      <c r="LG136" s="12"/>
      <c r="LH136" s="12"/>
      <c r="LI136" s="12"/>
      <c r="LJ136" s="12"/>
      <c r="LK136" s="12"/>
      <c r="LL136" s="12"/>
      <c r="LM136" s="12"/>
      <c r="LN136" s="12"/>
      <c r="LO136" s="12"/>
      <c r="LP136" s="12"/>
      <c r="LQ136" s="12"/>
      <c r="LR136" s="12"/>
      <c r="LS136" s="12"/>
      <c r="LT136" s="12"/>
      <c r="LU136" s="12"/>
      <c r="LV136" s="12"/>
      <c r="LW136" s="12"/>
      <c r="LX136" s="12"/>
      <c r="LY136" s="12"/>
      <c r="LZ136" s="12"/>
      <c r="MA136" s="12"/>
      <c r="MB136" s="12"/>
      <c r="MC136" s="12"/>
      <c r="MD136" s="12"/>
      <c r="ME136" s="12"/>
      <c r="MF136" s="12"/>
      <c r="MG136" s="12"/>
      <c r="MH136" s="12"/>
      <c r="MI136" s="12"/>
      <c r="MJ136" s="12"/>
      <c r="MK136" s="12"/>
      <c r="ML136" s="12"/>
      <c r="MM136" s="12"/>
      <c r="MN136" s="12"/>
      <c r="MO136" s="12"/>
      <c r="MP136" s="12"/>
      <c r="MQ136" s="12"/>
      <c r="MR136" s="12"/>
      <c r="MS136" s="12"/>
      <c r="MT136" s="12"/>
      <c r="MU136" s="12"/>
      <c r="MV136" s="12"/>
      <c r="MW136" s="12"/>
      <c r="MX136" s="12"/>
      <c r="MY136" s="12"/>
      <c r="MZ136" s="12"/>
      <c r="NA136" s="12"/>
      <c r="NB136" s="12"/>
      <c r="NC136" s="12"/>
      <c r="ND136" s="12"/>
      <c r="NE136" s="12"/>
      <c r="NF136" s="12"/>
      <c r="NG136" s="12"/>
      <c r="NH136" s="12"/>
      <c r="NI136" s="12"/>
      <c r="NJ136" s="12"/>
      <c r="NK136" s="12"/>
      <c r="NL136" s="12"/>
      <c r="NM136" s="12"/>
      <c r="NN136" s="12"/>
      <c r="NO136" s="12"/>
      <c r="NP136" s="12"/>
      <c r="NQ136" s="12"/>
      <c r="NR136" s="12"/>
      <c r="NS136" s="12"/>
      <c r="NT136" s="12"/>
      <c r="NU136" s="12"/>
      <c r="NV136" s="12"/>
      <c r="NW136" s="12"/>
      <c r="NX136" s="12"/>
      <c r="NY136" s="12"/>
      <c r="NZ136" s="12"/>
      <c r="OA136" s="12"/>
      <c r="OB136" s="12"/>
      <c r="OC136" s="12"/>
      <c r="OD136" s="12"/>
      <c r="OE136" s="12"/>
      <c r="OF136" s="12"/>
      <c r="OG136" s="12"/>
      <c r="OH136" s="12"/>
      <c r="OI136" s="12"/>
      <c r="OJ136" s="12"/>
      <c r="OK136" s="12"/>
      <c r="OL136" s="12"/>
      <c r="OM136" s="12"/>
      <c r="ON136" s="12"/>
      <c r="OO136" s="12"/>
      <c r="OP136" s="12"/>
      <c r="OQ136" s="12"/>
      <c r="OR136" s="12"/>
      <c r="OS136" s="12"/>
      <c r="OT136" s="12"/>
      <c r="OU136" s="12"/>
      <c r="OV136" s="12"/>
      <c r="OW136" s="12"/>
      <c r="OX136" s="12"/>
      <c r="OY136" s="12"/>
      <c r="OZ136" s="12"/>
      <c r="PA136" s="12"/>
      <c r="PB136" s="12"/>
      <c r="PC136" s="12"/>
      <c r="PD136" s="12"/>
      <c r="PE136" s="12"/>
      <c r="PF136" s="12"/>
      <c r="PG136" s="12"/>
      <c r="PH136" s="12"/>
      <c r="PI136" s="12"/>
      <c r="PJ136" s="12"/>
      <c r="PK136" s="12"/>
      <c r="PL136" s="12"/>
      <c r="PM136" s="12"/>
      <c r="PN136" s="12"/>
      <c r="PO136" s="12"/>
      <c r="PP136" s="12"/>
      <c r="PQ136" s="12"/>
      <c r="PR136" s="12"/>
      <c r="PS136" s="12"/>
      <c r="PT136" s="12"/>
      <c r="PU136" s="12"/>
      <c r="PV136" s="12"/>
      <c r="PW136" s="12"/>
      <c r="PX136" s="12"/>
      <c r="PY136" s="12"/>
      <c r="PZ136" s="12"/>
      <c r="QA136" s="12"/>
      <c r="QB136" s="12"/>
      <c r="QC136" s="12"/>
      <c r="QD136" s="12"/>
      <c r="QE136" s="12"/>
      <c r="QF136" s="12"/>
      <c r="QG136" s="12"/>
      <c r="QH136" s="12"/>
      <c r="QI136" s="12"/>
      <c r="QJ136" s="12"/>
      <c r="QK136" s="12"/>
      <c r="QL136" s="12"/>
      <c r="QM136" s="12"/>
      <c r="QN136" s="12"/>
      <c r="QO136" s="12"/>
      <c r="QP136" s="12"/>
      <c r="QQ136" s="12"/>
      <c r="QR136" s="12"/>
      <c r="QS136" s="12"/>
      <c r="QT136" s="12"/>
      <c r="QU136" s="12"/>
      <c r="QV136" s="12"/>
      <c r="QW136" s="12"/>
      <c r="QX136" s="12"/>
      <c r="QY136" s="12"/>
      <c r="QZ136" s="12"/>
      <c r="RA136" s="12"/>
      <c r="RB136" s="12"/>
      <c r="RC136" s="12"/>
      <c r="RD136" s="12"/>
      <c r="RE136" s="12"/>
      <c r="RF136" s="12"/>
      <c r="RG136" s="12"/>
      <c r="RH136" s="12"/>
      <c r="RI136" s="12"/>
      <c r="RJ136" s="12"/>
      <c r="RK136" s="12"/>
      <c r="RL136" s="12"/>
      <c r="RM136" s="12"/>
      <c r="RN136" s="12"/>
      <c r="RO136" s="12"/>
      <c r="RP136" s="12"/>
      <c r="RQ136" s="12"/>
      <c r="RR136" s="12"/>
      <c r="RS136" s="12"/>
      <c r="RT136" s="12"/>
      <c r="RU136" s="12"/>
      <c r="RV136" s="12"/>
      <c r="RW136" s="12"/>
      <c r="RX136" s="12"/>
      <c r="RY136" s="12"/>
      <c r="RZ136" s="12"/>
      <c r="SA136" s="12"/>
      <c r="SB136" s="12"/>
      <c r="SC136" s="12"/>
      <c r="SD136" s="12"/>
      <c r="SE136" s="12"/>
      <c r="SF136" s="12"/>
      <c r="SG136" s="12"/>
      <c r="SH136" s="11"/>
      <c r="SI136" s="11"/>
      <c r="SJ136" s="11"/>
      <c r="SK136" s="11"/>
      <c r="SL136" s="11"/>
      <c r="SM136" s="11"/>
      <c r="SN136" s="11"/>
      <c r="SO136" s="11"/>
      <c r="SP136" s="11"/>
      <c r="SQ136" s="11"/>
      <c r="SR136" s="11"/>
      <c r="SS136" s="11"/>
      <c r="ST136" s="11"/>
      <c r="SU136" s="11"/>
      <c r="SV136" s="11"/>
      <c r="SW136" s="11"/>
      <c r="SX136" s="11"/>
      <c r="SY136" s="11"/>
      <c r="SZ136" s="11"/>
      <c r="TA136" s="11"/>
      <c r="TB136" s="11"/>
      <c r="TC136" s="11"/>
      <c r="TD136" s="11"/>
      <c r="TE136" s="11"/>
      <c r="TF136" s="11"/>
      <c r="TG136" s="11"/>
      <c r="TH136" s="11"/>
      <c r="TI136" s="11"/>
      <c r="TJ136" s="11"/>
      <c r="TK136" s="11"/>
      <c r="TL136" s="11"/>
    </row>
    <row r="137" spans="1:532" x14ac:dyDescent="0.2">
      <c r="A137" s="10" t="s">
        <v>136</v>
      </c>
      <c r="B137" s="12">
        <v>13.02</v>
      </c>
      <c r="C137" s="11">
        <v>0</v>
      </c>
      <c r="D137" s="11">
        <v>1.9601684553081398</v>
      </c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/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/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/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/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/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/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/>
      <c r="LR137" s="12"/>
      <c r="LS137" s="12"/>
      <c r="LT137" s="12"/>
      <c r="LU137" s="12"/>
      <c r="LV137" s="12"/>
      <c r="LW137" s="12"/>
      <c r="LX137" s="12"/>
      <c r="LY137" s="12"/>
      <c r="LZ137" s="12"/>
      <c r="MA137" s="12"/>
      <c r="MB137" s="12"/>
      <c r="MC137" s="12"/>
      <c r="MD137" s="12"/>
      <c r="ME137" s="12"/>
      <c r="MF137" s="12"/>
      <c r="MG137" s="12"/>
      <c r="MH137" s="12"/>
      <c r="MI137" s="12"/>
      <c r="MJ137" s="12"/>
      <c r="MK137" s="12"/>
      <c r="ML137" s="12"/>
      <c r="MM137" s="12"/>
      <c r="MN137" s="12"/>
      <c r="MO137" s="12"/>
      <c r="MP137" s="12"/>
      <c r="MQ137" s="12"/>
      <c r="MR137" s="12"/>
      <c r="MS137" s="12"/>
      <c r="MT137" s="12"/>
      <c r="MU137" s="12"/>
      <c r="MV137" s="12"/>
      <c r="MW137" s="12"/>
      <c r="MX137" s="12"/>
      <c r="MY137" s="12"/>
      <c r="MZ137" s="12"/>
      <c r="NA137" s="12"/>
      <c r="NB137" s="12"/>
      <c r="NC137" s="12"/>
      <c r="ND137" s="12"/>
      <c r="NE137" s="12"/>
      <c r="NF137" s="12"/>
      <c r="NG137" s="12"/>
      <c r="NH137" s="12"/>
      <c r="NI137" s="12"/>
      <c r="NJ137" s="12"/>
      <c r="NK137" s="12"/>
      <c r="NL137" s="12"/>
      <c r="NM137" s="12"/>
      <c r="NN137" s="12"/>
      <c r="NO137" s="12"/>
      <c r="NP137" s="12"/>
      <c r="NQ137" s="12"/>
      <c r="NR137" s="12"/>
      <c r="NS137" s="12"/>
      <c r="NT137" s="12"/>
      <c r="NU137" s="12"/>
      <c r="NV137" s="12"/>
      <c r="NW137" s="12"/>
      <c r="NX137" s="12"/>
      <c r="NY137" s="12"/>
      <c r="NZ137" s="12"/>
      <c r="OA137" s="12"/>
      <c r="OB137" s="12"/>
      <c r="OC137" s="12"/>
      <c r="OD137" s="12"/>
      <c r="OE137" s="12"/>
      <c r="OF137" s="12"/>
      <c r="OG137" s="12"/>
      <c r="OH137" s="12"/>
      <c r="OI137" s="12"/>
      <c r="OJ137" s="12"/>
      <c r="OK137" s="12"/>
      <c r="OL137" s="12"/>
      <c r="OM137" s="12"/>
      <c r="ON137" s="12"/>
      <c r="OO137" s="12"/>
      <c r="OP137" s="12"/>
      <c r="OQ137" s="12"/>
      <c r="OR137" s="12"/>
      <c r="OS137" s="12"/>
      <c r="OT137" s="12"/>
      <c r="OU137" s="12"/>
      <c r="OV137" s="12"/>
      <c r="OW137" s="12"/>
      <c r="OX137" s="12"/>
      <c r="OY137" s="12"/>
      <c r="OZ137" s="12"/>
      <c r="PA137" s="12"/>
      <c r="PB137" s="12"/>
      <c r="PC137" s="12"/>
      <c r="PD137" s="12"/>
      <c r="PE137" s="12"/>
      <c r="PF137" s="12"/>
      <c r="PG137" s="12"/>
      <c r="PH137" s="12"/>
      <c r="PI137" s="12"/>
      <c r="PJ137" s="12"/>
      <c r="PK137" s="12"/>
      <c r="PL137" s="12"/>
      <c r="PM137" s="12"/>
      <c r="PN137" s="12"/>
      <c r="PO137" s="12"/>
      <c r="PP137" s="12"/>
      <c r="PQ137" s="12"/>
      <c r="PR137" s="12"/>
      <c r="PS137" s="12"/>
      <c r="PT137" s="12"/>
      <c r="PU137" s="12"/>
      <c r="PV137" s="12"/>
      <c r="PW137" s="12"/>
      <c r="PX137" s="12"/>
      <c r="PY137" s="12"/>
      <c r="PZ137" s="12"/>
      <c r="QA137" s="12"/>
      <c r="QB137" s="12"/>
      <c r="QC137" s="12"/>
      <c r="QD137" s="12"/>
      <c r="QE137" s="12"/>
      <c r="QF137" s="12"/>
      <c r="QG137" s="12"/>
      <c r="QH137" s="12"/>
      <c r="QI137" s="12"/>
      <c r="QJ137" s="12"/>
      <c r="QK137" s="12"/>
      <c r="QL137" s="12"/>
      <c r="QM137" s="12"/>
      <c r="QN137" s="12"/>
      <c r="QO137" s="12"/>
      <c r="QP137" s="12"/>
      <c r="QQ137" s="12"/>
      <c r="QR137" s="12"/>
      <c r="QS137" s="12"/>
      <c r="QT137" s="12"/>
      <c r="QU137" s="12"/>
      <c r="QV137" s="12"/>
      <c r="QW137" s="12"/>
      <c r="QX137" s="12"/>
      <c r="QY137" s="12"/>
      <c r="QZ137" s="12"/>
      <c r="RA137" s="12"/>
      <c r="RB137" s="12"/>
      <c r="RC137" s="12"/>
      <c r="RD137" s="12"/>
      <c r="RE137" s="12"/>
      <c r="RF137" s="12"/>
      <c r="RG137" s="12"/>
      <c r="RH137" s="12"/>
      <c r="RI137" s="12"/>
      <c r="RJ137" s="12"/>
      <c r="RK137" s="12"/>
      <c r="RL137" s="12"/>
      <c r="RM137" s="12"/>
      <c r="RN137" s="12"/>
      <c r="RO137" s="12"/>
      <c r="RP137" s="12"/>
      <c r="RQ137" s="12"/>
      <c r="RR137" s="12"/>
      <c r="RS137" s="12"/>
      <c r="RT137" s="12"/>
      <c r="RU137" s="12"/>
      <c r="RV137" s="12"/>
      <c r="RW137" s="12"/>
      <c r="RX137" s="12"/>
      <c r="RY137" s="12"/>
      <c r="RZ137" s="12"/>
      <c r="SA137" s="12"/>
      <c r="SB137" s="12"/>
      <c r="SC137" s="12"/>
      <c r="SD137" s="12"/>
      <c r="SE137" s="12"/>
      <c r="SF137" s="12"/>
      <c r="SG137" s="12"/>
      <c r="SH137" s="11"/>
      <c r="SI137" s="11"/>
      <c r="SJ137" s="11"/>
      <c r="SK137" s="11"/>
      <c r="SL137" s="11"/>
      <c r="SM137" s="11"/>
      <c r="SN137" s="11"/>
      <c r="SO137" s="11"/>
      <c r="SP137" s="11"/>
      <c r="SQ137" s="11"/>
      <c r="SR137" s="11"/>
      <c r="SS137" s="11"/>
      <c r="ST137" s="11"/>
      <c r="SU137" s="11"/>
      <c r="SV137" s="11"/>
      <c r="SW137" s="11"/>
      <c r="SX137" s="11"/>
      <c r="SY137" s="11"/>
      <c r="SZ137" s="11"/>
      <c r="TA137" s="11"/>
      <c r="TB137" s="11"/>
      <c r="TC137" s="11"/>
      <c r="TD137" s="11"/>
      <c r="TE137" s="11"/>
      <c r="TF137" s="11"/>
      <c r="TG137" s="11"/>
      <c r="TH137" s="11"/>
      <c r="TI137" s="11"/>
      <c r="TJ137" s="11"/>
      <c r="TK137" s="11"/>
      <c r="TL137" s="11"/>
    </row>
    <row r="138" spans="1:532" x14ac:dyDescent="0.2">
      <c r="A138" s="10" t="s">
        <v>137</v>
      </c>
      <c r="B138" s="12">
        <v>14.36</v>
      </c>
      <c r="C138" s="11">
        <v>0</v>
      </c>
      <c r="D138" s="11">
        <v>0.63358980373596441</v>
      </c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/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/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/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/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/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/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/>
      <c r="LS138" s="12"/>
      <c r="LT138" s="12"/>
      <c r="LU138" s="12"/>
      <c r="LV138" s="12"/>
      <c r="LW138" s="12"/>
      <c r="LX138" s="12"/>
      <c r="LY138" s="12"/>
      <c r="LZ138" s="12"/>
      <c r="MA138" s="12"/>
      <c r="MB138" s="12"/>
      <c r="MC138" s="12"/>
      <c r="MD138" s="12"/>
      <c r="ME138" s="12"/>
      <c r="MF138" s="12"/>
      <c r="MG138" s="12"/>
      <c r="MH138" s="12"/>
      <c r="MI138" s="12"/>
      <c r="MJ138" s="12"/>
      <c r="MK138" s="12"/>
      <c r="ML138" s="12"/>
      <c r="MM138" s="12"/>
      <c r="MN138" s="12"/>
      <c r="MO138" s="12"/>
      <c r="MP138" s="12"/>
      <c r="MQ138" s="12"/>
      <c r="MR138" s="12"/>
      <c r="MS138" s="12"/>
      <c r="MT138" s="12"/>
      <c r="MU138" s="12"/>
      <c r="MV138" s="12"/>
      <c r="MW138" s="12"/>
      <c r="MX138" s="12"/>
      <c r="MY138" s="12"/>
      <c r="MZ138" s="12"/>
      <c r="NA138" s="12"/>
      <c r="NB138" s="12"/>
      <c r="NC138" s="12"/>
      <c r="ND138" s="12"/>
      <c r="NE138" s="12"/>
      <c r="NF138" s="12"/>
      <c r="NG138" s="12"/>
      <c r="NH138" s="12"/>
      <c r="NI138" s="12"/>
      <c r="NJ138" s="12"/>
      <c r="NK138" s="12"/>
      <c r="NL138" s="12"/>
      <c r="NM138" s="12"/>
      <c r="NN138" s="12"/>
      <c r="NO138" s="12"/>
      <c r="NP138" s="12"/>
      <c r="NQ138" s="12"/>
      <c r="NR138" s="12"/>
      <c r="NS138" s="12"/>
      <c r="NT138" s="12"/>
      <c r="NU138" s="12"/>
      <c r="NV138" s="12"/>
      <c r="NW138" s="12"/>
      <c r="NX138" s="12"/>
      <c r="NY138" s="12"/>
      <c r="NZ138" s="12"/>
      <c r="OA138" s="12"/>
      <c r="OB138" s="12"/>
      <c r="OC138" s="12"/>
      <c r="OD138" s="12"/>
      <c r="OE138" s="12"/>
      <c r="OF138" s="12"/>
      <c r="OG138" s="12"/>
      <c r="OH138" s="12"/>
      <c r="OI138" s="12"/>
      <c r="OJ138" s="12"/>
      <c r="OK138" s="12"/>
      <c r="OL138" s="12"/>
      <c r="OM138" s="12"/>
      <c r="ON138" s="12"/>
      <c r="OO138" s="12"/>
      <c r="OP138" s="12"/>
      <c r="OQ138" s="12"/>
      <c r="OR138" s="12"/>
      <c r="OS138" s="12"/>
      <c r="OT138" s="12"/>
      <c r="OU138" s="12"/>
      <c r="OV138" s="12"/>
      <c r="OW138" s="12"/>
      <c r="OX138" s="12"/>
      <c r="OY138" s="12"/>
      <c r="OZ138" s="12"/>
      <c r="PA138" s="12"/>
      <c r="PB138" s="12"/>
      <c r="PC138" s="12"/>
      <c r="PD138" s="12"/>
      <c r="PE138" s="12"/>
      <c r="PF138" s="12"/>
      <c r="PG138" s="12"/>
      <c r="PH138" s="12"/>
      <c r="PI138" s="12"/>
      <c r="PJ138" s="12"/>
      <c r="PK138" s="12"/>
      <c r="PL138" s="12"/>
      <c r="PM138" s="12"/>
      <c r="PN138" s="12"/>
      <c r="PO138" s="12"/>
      <c r="PP138" s="12"/>
      <c r="PQ138" s="12"/>
      <c r="PR138" s="12"/>
      <c r="PS138" s="12"/>
      <c r="PT138" s="12"/>
      <c r="PU138" s="12"/>
      <c r="PV138" s="12"/>
      <c r="PW138" s="12"/>
      <c r="PX138" s="12"/>
      <c r="PY138" s="12"/>
      <c r="PZ138" s="12"/>
      <c r="QA138" s="12"/>
      <c r="QB138" s="12"/>
      <c r="QC138" s="12"/>
      <c r="QD138" s="12"/>
      <c r="QE138" s="12"/>
      <c r="QF138" s="12"/>
      <c r="QG138" s="12"/>
      <c r="QH138" s="12"/>
      <c r="QI138" s="12"/>
      <c r="QJ138" s="12"/>
      <c r="QK138" s="12"/>
      <c r="QL138" s="12"/>
      <c r="QM138" s="12"/>
      <c r="QN138" s="12"/>
      <c r="QO138" s="12"/>
      <c r="QP138" s="12"/>
      <c r="QQ138" s="12"/>
      <c r="QR138" s="12"/>
      <c r="QS138" s="12"/>
      <c r="QT138" s="12"/>
      <c r="QU138" s="12"/>
      <c r="QV138" s="12"/>
      <c r="QW138" s="12"/>
      <c r="QX138" s="12"/>
      <c r="QY138" s="12"/>
      <c r="QZ138" s="12"/>
      <c r="RA138" s="12"/>
      <c r="RB138" s="12"/>
      <c r="RC138" s="12"/>
      <c r="RD138" s="12"/>
      <c r="RE138" s="12"/>
      <c r="RF138" s="12"/>
      <c r="RG138" s="12"/>
      <c r="RH138" s="12"/>
      <c r="RI138" s="12"/>
      <c r="RJ138" s="12"/>
      <c r="RK138" s="12"/>
      <c r="RL138" s="12"/>
      <c r="RM138" s="12"/>
      <c r="RN138" s="12"/>
      <c r="RO138" s="12"/>
      <c r="RP138" s="12"/>
      <c r="RQ138" s="12"/>
      <c r="RR138" s="12"/>
      <c r="RS138" s="12"/>
      <c r="RT138" s="12"/>
      <c r="RU138" s="12"/>
      <c r="RV138" s="12"/>
      <c r="RW138" s="12"/>
      <c r="RX138" s="12"/>
      <c r="RY138" s="12"/>
      <c r="RZ138" s="12"/>
      <c r="SA138" s="12"/>
      <c r="SB138" s="12"/>
      <c r="SC138" s="12"/>
      <c r="SD138" s="12"/>
      <c r="SE138" s="12"/>
      <c r="SF138" s="12"/>
      <c r="SG138" s="12"/>
      <c r="SH138" s="11"/>
      <c r="SI138" s="11"/>
      <c r="SJ138" s="11"/>
      <c r="SK138" s="11"/>
      <c r="SL138" s="11"/>
      <c r="SM138" s="11"/>
      <c r="SN138" s="11"/>
      <c r="SO138" s="11"/>
      <c r="SP138" s="11"/>
      <c r="SQ138" s="11"/>
      <c r="SR138" s="11"/>
      <c r="SS138" s="11"/>
      <c r="ST138" s="11"/>
      <c r="SU138" s="11"/>
      <c r="SV138" s="11"/>
      <c r="SW138" s="11"/>
      <c r="SX138" s="11"/>
      <c r="SY138" s="11"/>
      <c r="SZ138" s="11"/>
      <c r="TA138" s="11"/>
      <c r="TB138" s="11"/>
      <c r="TC138" s="11"/>
      <c r="TD138" s="11"/>
      <c r="TE138" s="11"/>
      <c r="TF138" s="11"/>
      <c r="TG138" s="11"/>
      <c r="TH138" s="11"/>
      <c r="TI138" s="11"/>
      <c r="TJ138" s="11"/>
      <c r="TK138" s="11"/>
      <c r="TL138" s="11"/>
    </row>
    <row r="139" spans="1:532" x14ac:dyDescent="0.2">
      <c r="A139" s="10" t="s">
        <v>138</v>
      </c>
      <c r="B139" s="12">
        <v>13.61</v>
      </c>
      <c r="C139" s="11">
        <v>0</v>
      </c>
      <c r="D139" s="11">
        <v>1.3760778549890476</v>
      </c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/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/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/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/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/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/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/>
      <c r="LT139" s="12"/>
      <c r="LU139" s="12"/>
      <c r="LV139" s="12"/>
      <c r="LW139" s="12"/>
      <c r="LX139" s="12"/>
      <c r="LY139" s="12"/>
      <c r="LZ139" s="12"/>
      <c r="MA139" s="12"/>
      <c r="MB139" s="12"/>
      <c r="MC139" s="12"/>
      <c r="MD139" s="12"/>
      <c r="ME139" s="12"/>
      <c r="MF139" s="12"/>
      <c r="MG139" s="12"/>
      <c r="MH139" s="12"/>
      <c r="MI139" s="12"/>
      <c r="MJ139" s="12"/>
      <c r="MK139" s="12"/>
      <c r="ML139" s="12"/>
      <c r="MM139" s="12"/>
      <c r="MN139" s="12"/>
      <c r="MO139" s="12"/>
      <c r="MP139" s="12"/>
      <c r="MQ139" s="12"/>
      <c r="MR139" s="12"/>
      <c r="MS139" s="12"/>
      <c r="MT139" s="12"/>
      <c r="MU139" s="12"/>
      <c r="MV139" s="12"/>
      <c r="MW139" s="12"/>
      <c r="MX139" s="12"/>
      <c r="MY139" s="12"/>
      <c r="MZ139" s="12"/>
      <c r="NA139" s="12"/>
      <c r="NB139" s="12"/>
      <c r="NC139" s="12"/>
      <c r="ND139" s="12"/>
      <c r="NE139" s="12"/>
      <c r="NF139" s="12"/>
      <c r="NG139" s="12"/>
      <c r="NH139" s="12"/>
      <c r="NI139" s="12"/>
      <c r="NJ139" s="12"/>
      <c r="NK139" s="12"/>
      <c r="NL139" s="12"/>
      <c r="NM139" s="12"/>
      <c r="NN139" s="12"/>
      <c r="NO139" s="12"/>
      <c r="NP139" s="12"/>
      <c r="NQ139" s="12"/>
      <c r="NR139" s="12"/>
      <c r="NS139" s="12"/>
      <c r="NT139" s="12"/>
      <c r="NU139" s="12"/>
      <c r="NV139" s="12"/>
      <c r="NW139" s="12"/>
      <c r="NX139" s="12"/>
      <c r="NY139" s="12"/>
      <c r="NZ139" s="12"/>
      <c r="OA139" s="12"/>
      <c r="OB139" s="12"/>
      <c r="OC139" s="12"/>
      <c r="OD139" s="12"/>
      <c r="OE139" s="12"/>
      <c r="OF139" s="12"/>
      <c r="OG139" s="12"/>
      <c r="OH139" s="12"/>
      <c r="OI139" s="12"/>
      <c r="OJ139" s="12"/>
      <c r="OK139" s="12"/>
      <c r="OL139" s="12"/>
      <c r="OM139" s="12"/>
      <c r="ON139" s="12"/>
      <c r="OO139" s="12"/>
      <c r="OP139" s="12"/>
      <c r="OQ139" s="12"/>
      <c r="OR139" s="12"/>
      <c r="OS139" s="12"/>
      <c r="OT139" s="12"/>
      <c r="OU139" s="12"/>
      <c r="OV139" s="12"/>
      <c r="OW139" s="12"/>
      <c r="OX139" s="12"/>
      <c r="OY139" s="12"/>
      <c r="OZ139" s="12"/>
      <c r="PA139" s="12"/>
      <c r="PB139" s="12"/>
      <c r="PC139" s="12"/>
      <c r="PD139" s="12"/>
      <c r="PE139" s="12"/>
      <c r="PF139" s="12"/>
      <c r="PG139" s="12"/>
      <c r="PH139" s="12"/>
      <c r="PI139" s="12"/>
      <c r="PJ139" s="12"/>
      <c r="PK139" s="12"/>
      <c r="PL139" s="12"/>
      <c r="PM139" s="12"/>
      <c r="PN139" s="12"/>
      <c r="PO139" s="12"/>
      <c r="PP139" s="12"/>
      <c r="PQ139" s="12"/>
      <c r="PR139" s="12"/>
      <c r="PS139" s="12"/>
      <c r="PT139" s="12"/>
      <c r="PU139" s="12"/>
      <c r="PV139" s="12"/>
      <c r="PW139" s="12"/>
      <c r="PX139" s="12"/>
      <c r="PY139" s="12"/>
      <c r="PZ139" s="12"/>
      <c r="QA139" s="12"/>
      <c r="QB139" s="12"/>
      <c r="QC139" s="12"/>
      <c r="QD139" s="12"/>
      <c r="QE139" s="12"/>
      <c r="QF139" s="12"/>
      <c r="QG139" s="12"/>
      <c r="QH139" s="12"/>
      <c r="QI139" s="12"/>
      <c r="QJ139" s="12"/>
      <c r="QK139" s="12"/>
      <c r="QL139" s="12"/>
      <c r="QM139" s="12"/>
      <c r="QN139" s="12"/>
      <c r="QO139" s="12"/>
      <c r="QP139" s="12"/>
      <c r="QQ139" s="12"/>
      <c r="QR139" s="12"/>
      <c r="QS139" s="12"/>
      <c r="QT139" s="12"/>
      <c r="QU139" s="12"/>
      <c r="QV139" s="12"/>
      <c r="QW139" s="12"/>
      <c r="QX139" s="12"/>
      <c r="QY139" s="12"/>
      <c r="QZ139" s="12"/>
      <c r="RA139" s="12"/>
      <c r="RB139" s="12"/>
      <c r="RC139" s="12"/>
      <c r="RD139" s="12"/>
      <c r="RE139" s="12"/>
      <c r="RF139" s="12"/>
      <c r="RG139" s="12"/>
      <c r="RH139" s="12"/>
      <c r="RI139" s="12"/>
      <c r="RJ139" s="12"/>
      <c r="RK139" s="12"/>
      <c r="RL139" s="12"/>
      <c r="RM139" s="12"/>
      <c r="RN139" s="12"/>
      <c r="RO139" s="12"/>
      <c r="RP139" s="12"/>
      <c r="RQ139" s="12"/>
      <c r="RR139" s="12"/>
      <c r="RS139" s="12"/>
      <c r="RT139" s="12"/>
      <c r="RU139" s="12"/>
      <c r="RV139" s="12"/>
      <c r="RW139" s="12"/>
      <c r="RX139" s="12"/>
      <c r="RY139" s="12"/>
      <c r="RZ139" s="12"/>
      <c r="SA139" s="12"/>
      <c r="SB139" s="12"/>
      <c r="SC139" s="12"/>
      <c r="SD139" s="12"/>
      <c r="SE139" s="12"/>
      <c r="SF139" s="12"/>
      <c r="SG139" s="12"/>
      <c r="SH139" s="11"/>
      <c r="SI139" s="11"/>
      <c r="SJ139" s="11"/>
      <c r="SK139" s="11"/>
      <c r="SL139" s="11"/>
      <c r="SM139" s="11"/>
      <c r="SN139" s="11"/>
      <c r="SO139" s="11"/>
      <c r="SP139" s="11"/>
      <c r="SQ139" s="11"/>
      <c r="SR139" s="11"/>
      <c r="SS139" s="11"/>
      <c r="ST139" s="11"/>
      <c r="SU139" s="11"/>
      <c r="SV139" s="11"/>
      <c r="SW139" s="11"/>
      <c r="SX139" s="11"/>
      <c r="SY139" s="11"/>
      <c r="SZ139" s="11"/>
      <c r="TA139" s="11"/>
      <c r="TB139" s="11"/>
      <c r="TC139" s="11"/>
      <c r="TD139" s="11"/>
      <c r="TE139" s="11"/>
      <c r="TF139" s="11"/>
      <c r="TG139" s="11"/>
      <c r="TH139" s="11"/>
      <c r="TI139" s="11"/>
      <c r="TJ139" s="11"/>
      <c r="TK139" s="11"/>
      <c r="TL139" s="11"/>
    </row>
    <row r="140" spans="1:532" x14ac:dyDescent="0.2">
      <c r="A140" s="10" t="s">
        <v>139</v>
      </c>
      <c r="B140" s="12">
        <v>15.17</v>
      </c>
      <c r="C140" s="11">
        <v>0.16829729161736556</v>
      </c>
      <c r="D140" s="11">
        <v>0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/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/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/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/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/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/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/>
      <c r="LR140" s="12"/>
      <c r="LS140" s="12"/>
      <c r="LT140" s="12"/>
      <c r="LU140" s="12"/>
      <c r="LV140" s="12"/>
      <c r="LW140" s="12"/>
      <c r="LX140" s="12"/>
      <c r="LY140" s="12"/>
      <c r="LZ140" s="12"/>
      <c r="MA140" s="12"/>
      <c r="MB140" s="12"/>
      <c r="MC140" s="12"/>
      <c r="MD140" s="12"/>
      <c r="ME140" s="12"/>
      <c r="MF140" s="12"/>
      <c r="MG140" s="12"/>
      <c r="MH140" s="12"/>
      <c r="MI140" s="12"/>
      <c r="MJ140" s="12"/>
      <c r="MK140" s="12"/>
      <c r="ML140" s="12"/>
      <c r="MM140" s="12"/>
      <c r="MN140" s="12"/>
      <c r="MO140" s="12"/>
      <c r="MP140" s="12"/>
      <c r="MQ140" s="12"/>
      <c r="MR140" s="12"/>
      <c r="MS140" s="12"/>
      <c r="MT140" s="12"/>
      <c r="MU140" s="12"/>
      <c r="MV140" s="12"/>
      <c r="MW140" s="12"/>
      <c r="MX140" s="12"/>
      <c r="MY140" s="12"/>
      <c r="MZ140" s="12"/>
      <c r="NA140" s="12"/>
      <c r="NB140" s="12"/>
      <c r="NC140" s="12"/>
      <c r="ND140" s="12"/>
      <c r="NE140" s="12"/>
      <c r="NF140" s="12"/>
      <c r="NG140" s="12"/>
      <c r="NH140" s="12"/>
      <c r="NI140" s="12"/>
      <c r="NJ140" s="12"/>
      <c r="NK140" s="12"/>
      <c r="NL140" s="12"/>
      <c r="NM140" s="12"/>
      <c r="NN140" s="12"/>
      <c r="NO140" s="12"/>
      <c r="NP140" s="12"/>
      <c r="NQ140" s="12"/>
      <c r="NR140" s="12"/>
      <c r="NS140" s="12"/>
      <c r="NT140" s="12"/>
      <c r="NU140" s="12"/>
      <c r="NV140" s="12"/>
      <c r="NW140" s="12"/>
      <c r="NX140" s="12"/>
      <c r="NY140" s="12"/>
      <c r="NZ140" s="12"/>
      <c r="OA140" s="12"/>
      <c r="OB140" s="12"/>
      <c r="OC140" s="12"/>
      <c r="OD140" s="12"/>
      <c r="OE140" s="12"/>
      <c r="OF140" s="12"/>
      <c r="OG140" s="12"/>
      <c r="OH140" s="12"/>
      <c r="OI140" s="12"/>
      <c r="OJ140" s="12"/>
      <c r="OK140" s="12"/>
      <c r="OL140" s="12"/>
      <c r="OM140" s="12"/>
      <c r="ON140" s="12"/>
      <c r="OO140" s="12"/>
      <c r="OP140" s="12"/>
      <c r="OQ140" s="12"/>
      <c r="OR140" s="12"/>
      <c r="OS140" s="12"/>
      <c r="OT140" s="12"/>
      <c r="OU140" s="12"/>
      <c r="OV140" s="12"/>
      <c r="OW140" s="12"/>
      <c r="OX140" s="12"/>
      <c r="OY140" s="12"/>
      <c r="OZ140" s="12"/>
      <c r="PA140" s="12"/>
      <c r="PB140" s="12"/>
      <c r="PC140" s="12"/>
      <c r="PD140" s="12"/>
      <c r="PE140" s="12"/>
      <c r="PF140" s="12"/>
      <c r="PG140" s="12"/>
      <c r="PH140" s="12"/>
      <c r="PI140" s="12"/>
      <c r="PJ140" s="12"/>
      <c r="PK140" s="12"/>
      <c r="PL140" s="12"/>
      <c r="PM140" s="12"/>
      <c r="PN140" s="12"/>
      <c r="PO140" s="12"/>
      <c r="PP140" s="12"/>
      <c r="PQ140" s="12"/>
      <c r="PR140" s="12"/>
      <c r="PS140" s="12"/>
      <c r="PT140" s="12"/>
      <c r="PU140" s="12"/>
      <c r="PV140" s="12"/>
      <c r="PW140" s="12"/>
      <c r="PX140" s="12"/>
      <c r="PY140" s="12"/>
      <c r="PZ140" s="12"/>
      <c r="QA140" s="12"/>
      <c r="QB140" s="12"/>
      <c r="QC140" s="12"/>
      <c r="QD140" s="12"/>
      <c r="QE140" s="12"/>
      <c r="QF140" s="12"/>
      <c r="QG140" s="12"/>
      <c r="QH140" s="12"/>
      <c r="QI140" s="12"/>
      <c r="QJ140" s="12"/>
      <c r="QK140" s="12"/>
      <c r="QL140" s="12"/>
      <c r="QM140" s="12"/>
      <c r="QN140" s="12"/>
      <c r="QO140" s="12"/>
      <c r="QP140" s="12"/>
      <c r="QQ140" s="12"/>
      <c r="QR140" s="12"/>
      <c r="QS140" s="12"/>
      <c r="QT140" s="12"/>
      <c r="QU140" s="12"/>
      <c r="QV140" s="12"/>
      <c r="QW140" s="12"/>
      <c r="QX140" s="12"/>
      <c r="QY140" s="12"/>
      <c r="QZ140" s="12"/>
      <c r="RA140" s="12"/>
      <c r="RB140" s="12"/>
      <c r="RC140" s="12"/>
      <c r="RD140" s="12"/>
      <c r="RE140" s="12"/>
      <c r="RF140" s="12"/>
      <c r="RG140" s="12"/>
      <c r="RH140" s="12"/>
      <c r="RI140" s="12"/>
      <c r="RJ140" s="12"/>
      <c r="RK140" s="12"/>
      <c r="RL140" s="12"/>
      <c r="RM140" s="12"/>
      <c r="RN140" s="12"/>
      <c r="RO140" s="12"/>
      <c r="RP140" s="12"/>
      <c r="RQ140" s="12"/>
      <c r="RR140" s="12"/>
      <c r="RS140" s="12"/>
      <c r="RT140" s="12"/>
      <c r="RU140" s="12"/>
      <c r="RV140" s="12"/>
      <c r="RW140" s="12"/>
      <c r="RX140" s="12"/>
      <c r="RY140" s="12"/>
      <c r="RZ140" s="12"/>
      <c r="SA140" s="12"/>
      <c r="SB140" s="12"/>
      <c r="SC140" s="12"/>
      <c r="SD140" s="12"/>
      <c r="SE140" s="12"/>
      <c r="SF140" s="12"/>
      <c r="SG140" s="12"/>
      <c r="SH140" s="11"/>
      <c r="SI140" s="11"/>
      <c r="SJ140" s="11"/>
      <c r="SK140" s="11"/>
      <c r="SL140" s="11"/>
      <c r="SM140" s="11"/>
      <c r="SN140" s="11"/>
      <c r="SO140" s="11"/>
      <c r="SP140" s="11"/>
      <c r="SQ140" s="11"/>
      <c r="SR140" s="11"/>
      <c r="SS140" s="11"/>
      <c r="ST140" s="11"/>
      <c r="SU140" s="11"/>
      <c r="SV140" s="11"/>
      <c r="SW140" s="11"/>
      <c r="SX140" s="11"/>
      <c r="SY140" s="11"/>
      <c r="SZ140" s="11"/>
      <c r="TA140" s="11"/>
      <c r="TB140" s="11"/>
      <c r="TC140" s="11"/>
      <c r="TD140" s="11"/>
      <c r="TE140" s="11"/>
      <c r="TF140" s="11"/>
      <c r="TG140" s="11"/>
      <c r="TH140" s="11"/>
      <c r="TI140" s="11"/>
      <c r="TJ140" s="11"/>
      <c r="TK140" s="11"/>
      <c r="TL140" s="11"/>
    </row>
    <row r="141" spans="1:532" x14ac:dyDescent="0.2">
      <c r="A141" s="10" t="s">
        <v>140</v>
      </c>
      <c r="B141" s="12">
        <v>14.31</v>
      </c>
      <c r="C141" s="11">
        <v>0</v>
      </c>
      <c r="D141" s="11">
        <v>0.69298884783621095</v>
      </c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/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/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/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/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/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/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/>
      <c r="LS141" s="12"/>
      <c r="LT141" s="12"/>
      <c r="LU141" s="12"/>
      <c r="LV141" s="12"/>
      <c r="LW141" s="12"/>
      <c r="LX141" s="12"/>
      <c r="LY141" s="12"/>
      <c r="LZ141" s="12"/>
      <c r="MA141" s="12"/>
      <c r="MB141" s="12"/>
      <c r="MC141" s="12"/>
      <c r="MD141" s="12"/>
      <c r="ME141" s="12"/>
      <c r="MF141" s="12"/>
      <c r="MG141" s="12"/>
      <c r="MH141" s="12"/>
      <c r="MI141" s="12"/>
      <c r="MJ141" s="12"/>
      <c r="MK141" s="12"/>
      <c r="ML141" s="12"/>
      <c r="MM141" s="12"/>
      <c r="MN141" s="12"/>
      <c r="MO141" s="12"/>
      <c r="MP141" s="12"/>
      <c r="MQ141" s="12"/>
      <c r="MR141" s="12"/>
      <c r="MS141" s="12"/>
      <c r="MT141" s="12"/>
      <c r="MU141" s="12"/>
      <c r="MV141" s="12"/>
      <c r="MW141" s="12"/>
      <c r="MX141" s="12"/>
      <c r="MY141" s="12"/>
      <c r="MZ141" s="12"/>
      <c r="NA141" s="12"/>
      <c r="NB141" s="12"/>
      <c r="NC141" s="12"/>
      <c r="ND141" s="12"/>
      <c r="NE141" s="12"/>
      <c r="NF141" s="12"/>
      <c r="NG141" s="12"/>
      <c r="NH141" s="12"/>
      <c r="NI141" s="12"/>
      <c r="NJ141" s="12"/>
      <c r="NK141" s="12"/>
      <c r="NL141" s="12"/>
      <c r="NM141" s="12"/>
      <c r="NN141" s="12"/>
      <c r="NO141" s="12"/>
      <c r="NP141" s="12"/>
      <c r="NQ141" s="12"/>
      <c r="NR141" s="12"/>
      <c r="NS141" s="12"/>
      <c r="NT141" s="12"/>
      <c r="NU141" s="12"/>
      <c r="NV141" s="12"/>
      <c r="NW141" s="12"/>
      <c r="NX141" s="12"/>
      <c r="NY141" s="12"/>
      <c r="NZ141" s="12"/>
      <c r="OA141" s="12"/>
      <c r="OB141" s="12"/>
      <c r="OC141" s="12"/>
      <c r="OD141" s="12"/>
      <c r="OE141" s="12"/>
      <c r="OF141" s="12"/>
      <c r="OG141" s="12"/>
      <c r="OH141" s="12"/>
      <c r="OI141" s="12"/>
      <c r="OJ141" s="12"/>
      <c r="OK141" s="12"/>
      <c r="OL141" s="12"/>
      <c r="OM141" s="12"/>
      <c r="ON141" s="12"/>
      <c r="OO141" s="12"/>
      <c r="OP141" s="12"/>
      <c r="OQ141" s="12"/>
      <c r="OR141" s="12"/>
      <c r="OS141" s="12"/>
      <c r="OT141" s="12"/>
      <c r="OU141" s="12"/>
      <c r="OV141" s="12"/>
      <c r="OW141" s="12"/>
      <c r="OX141" s="12"/>
      <c r="OY141" s="12"/>
      <c r="OZ141" s="12"/>
      <c r="PA141" s="12"/>
      <c r="PB141" s="12"/>
      <c r="PC141" s="12"/>
      <c r="PD141" s="12"/>
      <c r="PE141" s="12"/>
      <c r="PF141" s="12"/>
      <c r="PG141" s="12"/>
      <c r="PH141" s="12"/>
      <c r="PI141" s="12"/>
      <c r="PJ141" s="12"/>
      <c r="PK141" s="12"/>
      <c r="PL141" s="12"/>
      <c r="PM141" s="12"/>
      <c r="PN141" s="12"/>
      <c r="PO141" s="12"/>
      <c r="PP141" s="12"/>
      <c r="PQ141" s="12"/>
      <c r="PR141" s="12"/>
      <c r="PS141" s="12"/>
      <c r="PT141" s="12"/>
      <c r="PU141" s="12"/>
      <c r="PV141" s="12"/>
      <c r="PW141" s="12"/>
      <c r="PX141" s="12"/>
      <c r="PY141" s="12"/>
      <c r="PZ141" s="12"/>
      <c r="QA141" s="12"/>
      <c r="QB141" s="12"/>
      <c r="QC141" s="12"/>
      <c r="QD141" s="12"/>
      <c r="QE141" s="12"/>
      <c r="QF141" s="12"/>
      <c r="QG141" s="12"/>
      <c r="QH141" s="12"/>
      <c r="QI141" s="12"/>
      <c r="QJ141" s="12"/>
      <c r="QK141" s="12"/>
      <c r="QL141" s="12"/>
      <c r="QM141" s="12"/>
      <c r="QN141" s="12"/>
      <c r="QO141" s="12"/>
      <c r="QP141" s="12"/>
      <c r="QQ141" s="12"/>
      <c r="QR141" s="12"/>
      <c r="QS141" s="12"/>
      <c r="QT141" s="12"/>
      <c r="QU141" s="12"/>
      <c r="QV141" s="12"/>
      <c r="QW141" s="12"/>
      <c r="QX141" s="12"/>
      <c r="QY141" s="12"/>
      <c r="QZ141" s="12"/>
      <c r="RA141" s="12"/>
      <c r="RB141" s="12"/>
      <c r="RC141" s="12"/>
      <c r="RD141" s="12"/>
      <c r="RE141" s="12"/>
      <c r="RF141" s="12"/>
      <c r="RG141" s="12"/>
      <c r="RH141" s="12"/>
      <c r="RI141" s="12"/>
      <c r="RJ141" s="12"/>
      <c r="RK141" s="12"/>
      <c r="RL141" s="12"/>
      <c r="RM141" s="12"/>
      <c r="RN141" s="12"/>
      <c r="RO141" s="12"/>
      <c r="RP141" s="12"/>
      <c r="RQ141" s="12"/>
      <c r="RR141" s="12"/>
      <c r="RS141" s="12"/>
      <c r="RT141" s="12"/>
      <c r="RU141" s="12"/>
      <c r="RV141" s="12"/>
      <c r="RW141" s="12"/>
      <c r="RX141" s="12"/>
      <c r="RY141" s="12"/>
      <c r="RZ141" s="12"/>
      <c r="SA141" s="12"/>
      <c r="SB141" s="12"/>
      <c r="SC141" s="12"/>
      <c r="SD141" s="12"/>
      <c r="SE141" s="12"/>
      <c r="SF141" s="12"/>
      <c r="SG141" s="12"/>
      <c r="SH141" s="11"/>
      <c r="SI141" s="11"/>
      <c r="SJ141" s="11"/>
      <c r="SK141" s="11"/>
      <c r="SL141" s="11"/>
      <c r="SM141" s="11"/>
      <c r="SN141" s="11"/>
      <c r="SO141" s="11"/>
      <c r="SP141" s="11"/>
      <c r="SQ141" s="11"/>
      <c r="SR141" s="11"/>
      <c r="SS141" s="11"/>
      <c r="ST141" s="11"/>
      <c r="SU141" s="11"/>
      <c r="SV141" s="11"/>
      <c r="SW141" s="11"/>
      <c r="SX141" s="11"/>
      <c r="SY141" s="11"/>
      <c r="SZ141" s="11"/>
      <c r="TA141" s="11"/>
      <c r="TB141" s="11"/>
      <c r="TC141" s="11"/>
      <c r="TD141" s="11"/>
      <c r="TE141" s="11"/>
      <c r="TF141" s="11"/>
      <c r="TG141" s="11"/>
      <c r="TH141" s="11"/>
      <c r="TI141" s="11"/>
      <c r="TJ141" s="11"/>
      <c r="TK141" s="11"/>
      <c r="TL141" s="11"/>
    </row>
    <row r="142" spans="1:532" x14ac:dyDescent="0.2">
      <c r="A142" s="10" t="s">
        <v>141</v>
      </c>
      <c r="B142" s="12">
        <v>13.21</v>
      </c>
      <c r="C142" s="11">
        <v>0</v>
      </c>
      <c r="D142" s="11">
        <v>1.7720714823240253</v>
      </c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/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/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/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/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/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/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/>
      <c r="LT142" s="12"/>
      <c r="LU142" s="12"/>
      <c r="LV142" s="12"/>
      <c r="LW142" s="12"/>
      <c r="LX142" s="12"/>
      <c r="LY142" s="12"/>
      <c r="LZ142" s="12"/>
      <c r="MA142" s="12"/>
      <c r="MB142" s="12"/>
      <c r="MC142" s="12"/>
      <c r="MD142" s="12"/>
      <c r="ME142" s="12"/>
      <c r="MF142" s="12"/>
      <c r="MG142" s="12"/>
      <c r="MH142" s="12"/>
      <c r="MI142" s="12"/>
      <c r="MJ142" s="12"/>
      <c r="MK142" s="12"/>
      <c r="ML142" s="12"/>
      <c r="MM142" s="12"/>
      <c r="MN142" s="12"/>
      <c r="MO142" s="12"/>
      <c r="MP142" s="12"/>
      <c r="MQ142" s="12"/>
      <c r="MR142" s="12"/>
      <c r="MS142" s="12"/>
      <c r="MT142" s="12"/>
      <c r="MU142" s="12"/>
      <c r="MV142" s="12"/>
      <c r="MW142" s="12"/>
      <c r="MX142" s="12"/>
      <c r="MY142" s="12"/>
      <c r="MZ142" s="12"/>
      <c r="NA142" s="12"/>
      <c r="NB142" s="12"/>
      <c r="NC142" s="12"/>
      <c r="ND142" s="12"/>
      <c r="NE142" s="12"/>
      <c r="NF142" s="12"/>
      <c r="NG142" s="12"/>
      <c r="NH142" s="12"/>
      <c r="NI142" s="12"/>
      <c r="NJ142" s="12"/>
      <c r="NK142" s="12"/>
      <c r="NL142" s="12"/>
      <c r="NM142" s="12"/>
      <c r="NN142" s="12"/>
      <c r="NO142" s="12"/>
      <c r="NP142" s="12"/>
      <c r="NQ142" s="12"/>
      <c r="NR142" s="12"/>
      <c r="NS142" s="12"/>
      <c r="NT142" s="12"/>
      <c r="NU142" s="12"/>
      <c r="NV142" s="12"/>
      <c r="NW142" s="12"/>
      <c r="NX142" s="12"/>
      <c r="NY142" s="12"/>
      <c r="NZ142" s="12"/>
      <c r="OA142" s="12"/>
      <c r="OB142" s="12"/>
      <c r="OC142" s="12"/>
      <c r="OD142" s="12"/>
      <c r="OE142" s="12"/>
      <c r="OF142" s="12"/>
      <c r="OG142" s="12"/>
      <c r="OH142" s="12"/>
      <c r="OI142" s="12"/>
      <c r="OJ142" s="12"/>
      <c r="OK142" s="12"/>
      <c r="OL142" s="12"/>
      <c r="OM142" s="12"/>
      <c r="ON142" s="12"/>
      <c r="OO142" s="12"/>
      <c r="OP142" s="12"/>
      <c r="OQ142" s="12"/>
      <c r="OR142" s="12"/>
      <c r="OS142" s="12"/>
      <c r="OT142" s="12"/>
      <c r="OU142" s="12"/>
      <c r="OV142" s="12"/>
      <c r="OW142" s="12"/>
      <c r="OX142" s="12"/>
      <c r="OY142" s="12"/>
      <c r="OZ142" s="12"/>
      <c r="PA142" s="12"/>
      <c r="PB142" s="12"/>
      <c r="PC142" s="12"/>
      <c r="PD142" s="12"/>
      <c r="PE142" s="12"/>
      <c r="PF142" s="12"/>
      <c r="PG142" s="12"/>
      <c r="PH142" s="12"/>
      <c r="PI142" s="12"/>
      <c r="PJ142" s="12"/>
      <c r="PK142" s="12"/>
      <c r="PL142" s="12"/>
      <c r="PM142" s="12"/>
      <c r="PN142" s="12"/>
      <c r="PO142" s="12"/>
      <c r="PP142" s="12"/>
      <c r="PQ142" s="12"/>
      <c r="PR142" s="12"/>
      <c r="PS142" s="12"/>
      <c r="PT142" s="12"/>
      <c r="PU142" s="12"/>
      <c r="PV142" s="12"/>
      <c r="PW142" s="12"/>
      <c r="PX142" s="12"/>
      <c r="PY142" s="12"/>
      <c r="PZ142" s="12"/>
      <c r="QA142" s="12"/>
      <c r="QB142" s="12"/>
      <c r="QC142" s="12"/>
      <c r="QD142" s="12"/>
      <c r="QE142" s="12"/>
      <c r="QF142" s="12"/>
      <c r="QG142" s="12"/>
      <c r="QH142" s="12"/>
      <c r="QI142" s="12"/>
      <c r="QJ142" s="12"/>
      <c r="QK142" s="12"/>
      <c r="QL142" s="12"/>
      <c r="QM142" s="12"/>
      <c r="QN142" s="12"/>
      <c r="QO142" s="12"/>
      <c r="QP142" s="12"/>
      <c r="QQ142" s="12"/>
      <c r="QR142" s="12"/>
      <c r="QS142" s="12"/>
      <c r="QT142" s="12"/>
      <c r="QU142" s="12"/>
      <c r="QV142" s="12"/>
      <c r="QW142" s="12"/>
      <c r="QX142" s="12"/>
      <c r="QY142" s="12"/>
      <c r="QZ142" s="12"/>
      <c r="RA142" s="12"/>
      <c r="RB142" s="12"/>
      <c r="RC142" s="12"/>
      <c r="RD142" s="12"/>
      <c r="RE142" s="12"/>
      <c r="RF142" s="12"/>
      <c r="RG142" s="12"/>
      <c r="RH142" s="12"/>
      <c r="RI142" s="12"/>
      <c r="RJ142" s="12"/>
      <c r="RK142" s="12"/>
      <c r="RL142" s="12"/>
      <c r="RM142" s="12"/>
      <c r="RN142" s="12"/>
      <c r="RO142" s="12"/>
      <c r="RP142" s="12"/>
      <c r="RQ142" s="12"/>
      <c r="RR142" s="12"/>
      <c r="RS142" s="12"/>
      <c r="RT142" s="12"/>
      <c r="RU142" s="12"/>
      <c r="RV142" s="12"/>
      <c r="RW142" s="12"/>
      <c r="RX142" s="12"/>
      <c r="RY142" s="12"/>
      <c r="RZ142" s="12"/>
      <c r="SA142" s="12"/>
      <c r="SB142" s="12"/>
      <c r="SC142" s="12"/>
      <c r="SD142" s="12"/>
      <c r="SE142" s="12"/>
      <c r="SF142" s="12"/>
      <c r="SG142" s="12"/>
      <c r="SH142" s="11"/>
      <c r="SI142" s="11"/>
      <c r="SJ142" s="11"/>
      <c r="SK142" s="11"/>
      <c r="SL142" s="11"/>
      <c r="SM142" s="11"/>
      <c r="SN142" s="11"/>
      <c r="SO142" s="11"/>
      <c r="SP142" s="11"/>
      <c r="SQ142" s="11"/>
      <c r="SR142" s="11"/>
      <c r="SS142" s="11"/>
      <c r="ST142" s="11"/>
      <c r="SU142" s="11"/>
      <c r="SV142" s="11"/>
      <c r="SW142" s="11"/>
      <c r="SX142" s="11"/>
      <c r="SY142" s="11"/>
      <c r="SZ142" s="11"/>
      <c r="TA142" s="11"/>
      <c r="TB142" s="11"/>
      <c r="TC142" s="11"/>
      <c r="TD142" s="11"/>
      <c r="TE142" s="11"/>
      <c r="TF142" s="11"/>
      <c r="TG142" s="11"/>
      <c r="TH142" s="11"/>
      <c r="TI142" s="11"/>
      <c r="TJ142" s="11"/>
      <c r="TK142" s="11"/>
      <c r="TL142" s="11"/>
    </row>
    <row r="143" spans="1:532" x14ac:dyDescent="0.2">
      <c r="A143" s="10" t="s">
        <v>142</v>
      </c>
      <c r="B143" s="12">
        <v>13.26</v>
      </c>
      <c r="C143" s="11">
        <v>0</v>
      </c>
      <c r="D143" s="11">
        <v>1.7225722789071531</v>
      </c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12"/>
      <c r="IP143" s="12"/>
      <c r="IQ143" s="12"/>
      <c r="IR143" s="12"/>
      <c r="IS143" s="12"/>
      <c r="IT143" s="12"/>
      <c r="IU143" s="12"/>
      <c r="IV143" s="12"/>
      <c r="IW143" s="12"/>
      <c r="IX143" s="12"/>
      <c r="IY143" s="12"/>
      <c r="IZ143" s="12"/>
      <c r="JA143" s="12"/>
      <c r="JB143" s="12"/>
      <c r="JC143" s="12"/>
      <c r="JD143" s="12"/>
      <c r="JE143" s="12"/>
      <c r="JF143" s="12"/>
      <c r="JG143" s="12"/>
      <c r="JH143" s="12"/>
      <c r="JI143" s="12"/>
      <c r="JJ143" s="12"/>
      <c r="JK143" s="12"/>
      <c r="JL143" s="12"/>
      <c r="JM143" s="12"/>
      <c r="JN143" s="12"/>
      <c r="JO143" s="12"/>
      <c r="JP143" s="12"/>
      <c r="JQ143" s="12"/>
      <c r="JR143" s="12"/>
      <c r="JS143" s="12"/>
      <c r="JT143" s="12"/>
      <c r="JU143" s="12"/>
      <c r="JV143" s="12"/>
      <c r="JW143" s="12"/>
      <c r="JX143" s="12"/>
      <c r="JY143" s="12"/>
      <c r="JZ143" s="12"/>
      <c r="KA143" s="12"/>
      <c r="KB143" s="12"/>
      <c r="KC143" s="12"/>
      <c r="KD143" s="12"/>
      <c r="KE143" s="12"/>
      <c r="KF143" s="12"/>
      <c r="KG143" s="12"/>
      <c r="KH143" s="12"/>
      <c r="KI143" s="12"/>
      <c r="KJ143" s="12"/>
      <c r="KK143" s="12"/>
      <c r="KL143" s="12"/>
      <c r="KM143" s="12"/>
      <c r="KN143" s="12"/>
      <c r="KO143" s="12"/>
      <c r="KP143" s="12"/>
      <c r="KQ143" s="12"/>
      <c r="KR143" s="12"/>
      <c r="KS143" s="12"/>
      <c r="KT143" s="12"/>
      <c r="KU143" s="12"/>
      <c r="KV143" s="12"/>
      <c r="KW143" s="12"/>
      <c r="KX143" s="12"/>
      <c r="KY143" s="12"/>
      <c r="KZ143" s="12"/>
      <c r="LA143" s="12"/>
      <c r="LB143" s="12"/>
      <c r="LC143" s="12"/>
      <c r="LD143" s="12"/>
      <c r="LE143" s="12"/>
      <c r="LF143" s="12"/>
      <c r="LG143" s="12"/>
      <c r="LH143" s="12"/>
      <c r="LI143" s="12"/>
      <c r="LJ143" s="12"/>
      <c r="LK143" s="12"/>
      <c r="LL143" s="12"/>
      <c r="LM143" s="12"/>
      <c r="LN143" s="12"/>
      <c r="LO143" s="12"/>
      <c r="LP143" s="12"/>
      <c r="LQ143" s="12"/>
      <c r="LR143" s="12"/>
      <c r="LS143" s="12"/>
      <c r="LT143" s="12"/>
      <c r="LU143" s="12"/>
      <c r="LV143" s="12"/>
      <c r="LW143" s="12"/>
      <c r="LX143" s="12"/>
      <c r="LY143" s="12"/>
      <c r="LZ143" s="12"/>
      <c r="MA143" s="12"/>
      <c r="MB143" s="12"/>
      <c r="MC143" s="12"/>
      <c r="MD143" s="12"/>
      <c r="ME143" s="12"/>
      <c r="MF143" s="12"/>
      <c r="MG143" s="12"/>
      <c r="MH143" s="12"/>
      <c r="MI143" s="12"/>
      <c r="MJ143" s="12"/>
      <c r="MK143" s="12"/>
      <c r="ML143" s="12"/>
      <c r="MM143" s="12"/>
      <c r="MN143" s="12"/>
      <c r="MO143" s="12"/>
      <c r="MP143" s="12"/>
      <c r="MQ143" s="12"/>
      <c r="MR143" s="12"/>
      <c r="MS143" s="12"/>
      <c r="MT143" s="12"/>
      <c r="MU143" s="12"/>
      <c r="MV143" s="12"/>
      <c r="MW143" s="12"/>
      <c r="MX143" s="12"/>
      <c r="MY143" s="12"/>
      <c r="MZ143" s="12"/>
      <c r="NA143" s="12"/>
      <c r="NB143" s="12"/>
      <c r="NC143" s="12"/>
      <c r="ND143" s="12"/>
      <c r="NE143" s="12"/>
      <c r="NF143" s="12"/>
      <c r="NG143" s="12"/>
      <c r="NH143" s="12"/>
      <c r="NI143" s="12"/>
      <c r="NJ143" s="12"/>
      <c r="NK143" s="12"/>
      <c r="NL143" s="12"/>
      <c r="NM143" s="12"/>
      <c r="NN143" s="12"/>
      <c r="NO143" s="12"/>
      <c r="NP143" s="12"/>
      <c r="NQ143" s="12"/>
      <c r="NR143" s="12"/>
      <c r="NS143" s="12"/>
      <c r="NT143" s="12"/>
      <c r="NU143" s="12"/>
      <c r="NV143" s="12"/>
      <c r="NW143" s="12"/>
      <c r="NX143" s="12"/>
      <c r="NY143" s="12"/>
      <c r="NZ143" s="12"/>
      <c r="OA143" s="12"/>
      <c r="OB143" s="12"/>
      <c r="OC143" s="12"/>
      <c r="OD143" s="12"/>
      <c r="OE143" s="12"/>
      <c r="OF143" s="12"/>
      <c r="OG143" s="12"/>
      <c r="OH143" s="12"/>
      <c r="OI143" s="12"/>
      <c r="OJ143" s="12"/>
      <c r="OK143" s="12"/>
      <c r="OL143" s="12"/>
      <c r="OM143" s="12"/>
      <c r="ON143" s="12"/>
      <c r="OO143" s="12"/>
      <c r="OP143" s="12"/>
      <c r="OQ143" s="12"/>
      <c r="OR143" s="12"/>
      <c r="OS143" s="12"/>
      <c r="OT143" s="12"/>
      <c r="OU143" s="12"/>
      <c r="OV143" s="12"/>
      <c r="OW143" s="12"/>
      <c r="OX143" s="12"/>
      <c r="OY143" s="12"/>
      <c r="OZ143" s="12"/>
      <c r="PA143" s="12"/>
      <c r="PB143" s="12"/>
      <c r="PC143" s="12"/>
      <c r="PD143" s="12"/>
      <c r="PE143" s="12"/>
      <c r="PF143" s="12"/>
      <c r="PG143" s="12"/>
      <c r="PH143" s="12"/>
      <c r="PI143" s="12"/>
      <c r="PJ143" s="12"/>
      <c r="PK143" s="12"/>
      <c r="PL143" s="12"/>
      <c r="PM143" s="12"/>
      <c r="PN143" s="12"/>
      <c r="PO143" s="12"/>
      <c r="PP143" s="12"/>
      <c r="PQ143" s="12"/>
      <c r="PR143" s="12"/>
      <c r="PS143" s="12"/>
      <c r="PT143" s="12"/>
      <c r="PU143" s="12"/>
      <c r="PV143" s="12"/>
      <c r="PW143" s="12"/>
      <c r="PX143" s="12"/>
      <c r="PY143" s="12"/>
      <c r="PZ143" s="12"/>
      <c r="QA143" s="12"/>
      <c r="QB143" s="12"/>
      <c r="QC143" s="12"/>
      <c r="QD143" s="12"/>
      <c r="QE143" s="12"/>
      <c r="QF143" s="12"/>
      <c r="QG143" s="12"/>
      <c r="QH143" s="12"/>
      <c r="QI143" s="12"/>
      <c r="QJ143" s="12"/>
      <c r="QK143" s="12"/>
      <c r="QL143" s="12"/>
      <c r="QM143" s="12"/>
      <c r="QN143" s="12"/>
      <c r="QO143" s="12"/>
      <c r="QP143" s="12"/>
      <c r="QQ143" s="12"/>
      <c r="QR143" s="12"/>
      <c r="QS143" s="12"/>
      <c r="QT143" s="12"/>
      <c r="QU143" s="12"/>
      <c r="QV143" s="12"/>
      <c r="QW143" s="12"/>
      <c r="QX143" s="12"/>
      <c r="QY143" s="12"/>
      <c r="QZ143" s="12"/>
      <c r="RA143" s="12"/>
      <c r="RB143" s="12"/>
      <c r="RC143" s="12"/>
      <c r="RD143" s="12"/>
      <c r="RE143" s="12"/>
      <c r="RF143" s="12"/>
      <c r="RG143" s="12"/>
      <c r="RH143" s="12"/>
      <c r="RI143" s="12"/>
      <c r="RJ143" s="12"/>
      <c r="RK143" s="12"/>
      <c r="RL143" s="12"/>
      <c r="RM143" s="12"/>
      <c r="RN143" s="12"/>
      <c r="RO143" s="12"/>
      <c r="RP143" s="12"/>
      <c r="RQ143" s="12"/>
      <c r="RR143" s="12"/>
      <c r="RS143" s="12"/>
      <c r="RT143" s="12"/>
      <c r="RU143" s="12"/>
      <c r="RV143" s="12"/>
      <c r="RW143" s="12"/>
      <c r="RX143" s="12"/>
      <c r="RY143" s="12"/>
      <c r="RZ143" s="12"/>
      <c r="SA143" s="12"/>
      <c r="SB143" s="12"/>
      <c r="SC143" s="12"/>
      <c r="SD143" s="12"/>
      <c r="SE143" s="12"/>
      <c r="SF143" s="12"/>
      <c r="SG143" s="12"/>
      <c r="SH143" s="11"/>
      <c r="SI143" s="11"/>
      <c r="SJ143" s="11"/>
      <c r="SK143" s="11"/>
      <c r="SL143" s="11"/>
      <c r="SM143" s="11"/>
      <c r="SN143" s="11"/>
      <c r="SO143" s="11"/>
      <c r="SP143" s="11"/>
      <c r="SQ143" s="11"/>
      <c r="SR143" s="11"/>
      <c r="SS143" s="11"/>
      <c r="ST143" s="11"/>
      <c r="SU143" s="11"/>
      <c r="SV143" s="11"/>
      <c r="SW143" s="11"/>
      <c r="SX143" s="11"/>
      <c r="SY143" s="11"/>
      <c r="SZ143" s="11"/>
      <c r="TA143" s="11"/>
      <c r="TB143" s="11"/>
      <c r="TC143" s="11"/>
      <c r="TD143" s="11"/>
      <c r="TE143" s="11"/>
      <c r="TF143" s="11"/>
      <c r="TG143" s="11"/>
      <c r="TH143" s="11"/>
      <c r="TI143" s="11"/>
      <c r="TJ143" s="11"/>
      <c r="TK143" s="11"/>
      <c r="TL143" s="11"/>
    </row>
    <row r="144" spans="1:532" x14ac:dyDescent="0.2">
      <c r="A144" s="10" t="s">
        <v>143</v>
      </c>
      <c r="B144" s="12">
        <v>14.48</v>
      </c>
      <c r="C144" s="11">
        <v>0</v>
      </c>
      <c r="D144" s="11">
        <v>0.51479171553547109</v>
      </c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12"/>
      <c r="IP144" s="12"/>
      <c r="IQ144" s="12"/>
      <c r="IR144" s="12"/>
      <c r="IS144" s="12"/>
      <c r="IT144" s="12"/>
      <c r="IU144" s="12"/>
      <c r="IV144" s="12"/>
      <c r="IW144" s="12"/>
      <c r="IX144" s="12"/>
      <c r="IY144" s="12"/>
      <c r="IZ144" s="12"/>
      <c r="JA144" s="12"/>
      <c r="JB144" s="12"/>
      <c r="JC144" s="12"/>
      <c r="JD144" s="12"/>
      <c r="JE144" s="12"/>
      <c r="JF144" s="12"/>
      <c r="JG144" s="12"/>
      <c r="JH144" s="12"/>
      <c r="JI144" s="12"/>
      <c r="JJ144" s="12"/>
      <c r="JK144" s="12"/>
      <c r="JL144" s="12"/>
      <c r="JM144" s="12"/>
      <c r="JN144" s="12"/>
      <c r="JO144" s="12"/>
      <c r="JP144" s="12"/>
      <c r="JQ144" s="12"/>
      <c r="JR144" s="12"/>
      <c r="JS144" s="12"/>
      <c r="JT144" s="12"/>
      <c r="JU144" s="12"/>
      <c r="JV144" s="12"/>
      <c r="JW144" s="12"/>
      <c r="JX144" s="12"/>
      <c r="JY144" s="12"/>
      <c r="JZ144" s="12"/>
      <c r="KA144" s="12"/>
      <c r="KB144" s="12"/>
      <c r="KC144" s="12"/>
      <c r="KD144" s="12"/>
      <c r="KE144" s="12"/>
      <c r="KF144" s="12"/>
      <c r="KG144" s="12"/>
      <c r="KH144" s="12"/>
      <c r="KI144" s="12"/>
      <c r="KJ144" s="12"/>
      <c r="KK144" s="12"/>
      <c r="KL144" s="12"/>
      <c r="KM144" s="12"/>
      <c r="KN144" s="12"/>
      <c r="KO144" s="12"/>
      <c r="KP144" s="12"/>
      <c r="KQ144" s="12"/>
      <c r="KR144" s="12"/>
      <c r="KS144" s="12"/>
      <c r="KT144" s="12"/>
      <c r="KU144" s="12"/>
      <c r="KV144" s="12"/>
      <c r="KW144" s="12"/>
      <c r="KX144" s="12"/>
      <c r="KY144" s="12"/>
      <c r="KZ144" s="12"/>
      <c r="LA144" s="12"/>
      <c r="LB144" s="12"/>
      <c r="LC144" s="12"/>
      <c r="LD144" s="12"/>
      <c r="LE144" s="12"/>
      <c r="LF144" s="12"/>
      <c r="LG144" s="12"/>
      <c r="LH144" s="12"/>
      <c r="LI144" s="12"/>
      <c r="LJ144" s="12"/>
      <c r="LK144" s="12"/>
      <c r="LL144" s="12"/>
      <c r="LM144" s="12"/>
      <c r="LN144" s="12"/>
      <c r="LO144" s="12"/>
      <c r="LP144" s="12"/>
      <c r="LQ144" s="12"/>
      <c r="LR144" s="12"/>
      <c r="LS144" s="12"/>
      <c r="LT144" s="12"/>
      <c r="LU144" s="12"/>
      <c r="LV144" s="12"/>
      <c r="LW144" s="12"/>
      <c r="LX144" s="12"/>
      <c r="LY144" s="12"/>
      <c r="LZ144" s="12"/>
      <c r="MA144" s="12"/>
      <c r="MB144" s="12"/>
      <c r="MC144" s="12"/>
      <c r="MD144" s="12"/>
      <c r="ME144" s="12"/>
      <c r="MF144" s="12"/>
      <c r="MG144" s="12"/>
      <c r="MH144" s="12"/>
      <c r="MI144" s="12"/>
      <c r="MJ144" s="12"/>
      <c r="MK144" s="12"/>
      <c r="ML144" s="12"/>
      <c r="MM144" s="12"/>
      <c r="MN144" s="12"/>
      <c r="MO144" s="12"/>
      <c r="MP144" s="12"/>
      <c r="MQ144" s="12"/>
      <c r="MR144" s="12"/>
      <c r="MS144" s="12"/>
      <c r="MT144" s="12"/>
      <c r="MU144" s="12"/>
      <c r="MV144" s="12"/>
      <c r="MW144" s="12"/>
      <c r="MX144" s="12"/>
      <c r="MY144" s="12"/>
      <c r="MZ144" s="12"/>
      <c r="NA144" s="12"/>
      <c r="NB144" s="12"/>
      <c r="NC144" s="12"/>
      <c r="ND144" s="12"/>
      <c r="NE144" s="12"/>
      <c r="NF144" s="12"/>
      <c r="NG144" s="12"/>
      <c r="NH144" s="12"/>
      <c r="NI144" s="12"/>
      <c r="NJ144" s="12"/>
      <c r="NK144" s="12"/>
      <c r="NL144" s="12"/>
      <c r="NM144" s="12"/>
      <c r="NN144" s="12"/>
      <c r="NO144" s="12"/>
      <c r="NP144" s="12"/>
      <c r="NQ144" s="12"/>
      <c r="NR144" s="12"/>
      <c r="NS144" s="12"/>
      <c r="NT144" s="12"/>
      <c r="NU144" s="12"/>
      <c r="NV144" s="12"/>
      <c r="NW144" s="12"/>
      <c r="NX144" s="12"/>
      <c r="NY144" s="12"/>
      <c r="NZ144" s="12"/>
      <c r="OA144" s="12"/>
      <c r="OB144" s="12"/>
      <c r="OC144" s="12"/>
      <c r="OD144" s="12"/>
      <c r="OE144" s="12"/>
      <c r="OF144" s="12"/>
      <c r="OG144" s="12"/>
      <c r="OH144" s="12"/>
      <c r="OI144" s="12"/>
      <c r="OJ144" s="12"/>
      <c r="OK144" s="12"/>
      <c r="OL144" s="12"/>
      <c r="OM144" s="12"/>
      <c r="ON144" s="12"/>
      <c r="OO144" s="12"/>
      <c r="OP144" s="12"/>
      <c r="OQ144" s="12"/>
      <c r="OR144" s="12"/>
      <c r="OS144" s="12"/>
      <c r="OT144" s="12"/>
      <c r="OU144" s="12"/>
      <c r="OV144" s="12"/>
      <c r="OW144" s="12"/>
      <c r="OX144" s="12"/>
      <c r="OY144" s="12"/>
      <c r="OZ144" s="12"/>
      <c r="PA144" s="12"/>
      <c r="PB144" s="12"/>
      <c r="PC144" s="12"/>
      <c r="PD144" s="12"/>
      <c r="PE144" s="12"/>
      <c r="PF144" s="12"/>
      <c r="PG144" s="12"/>
      <c r="PH144" s="12"/>
      <c r="PI144" s="12"/>
      <c r="PJ144" s="12"/>
      <c r="PK144" s="12"/>
      <c r="PL144" s="12"/>
      <c r="PM144" s="12"/>
      <c r="PN144" s="12"/>
      <c r="PO144" s="12"/>
      <c r="PP144" s="12"/>
      <c r="PQ144" s="12"/>
      <c r="PR144" s="12"/>
      <c r="PS144" s="12"/>
      <c r="PT144" s="12"/>
      <c r="PU144" s="12"/>
      <c r="PV144" s="12"/>
      <c r="PW144" s="12"/>
      <c r="PX144" s="12"/>
      <c r="PY144" s="12"/>
      <c r="PZ144" s="12"/>
      <c r="QA144" s="12"/>
      <c r="QB144" s="12"/>
      <c r="QC144" s="12"/>
      <c r="QD144" s="12"/>
      <c r="QE144" s="12"/>
      <c r="QF144" s="12"/>
      <c r="QG144" s="12"/>
      <c r="QH144" s="12"/>
      <c r="QI144" s="12"/>
      <c r="QJ144" s="12"/>
      <c r="QK144" s="12"/>
      <c r="QL144" s="12"/>
      <c r="QM144" s="12"/>
      <c r="QN144" s="12"/>
      <c r="QO144" s="12"/>
      <c r="QP144" s="12"/>
      <c r="QQ144" s="12"/>
      <c r="QR144" s="12"/>
      <c r="QS144" s="12"/>
      <c r="QT144" s="12"/>
      <c r="QU144" s="12"/>
      <c r="QV144" s="12"/>
      <c r="QW144" s="12"/>
      <c r="QX144" s="12"/>
      <c r="QY144" s="12"/>
      <c r="QZ144" s="12"/>
      <c r="RA144" s="12"/>
      <c r="RB144" s="12"/>
      <c r="RC144" s="12"/>
      <c r="RD144" s="12"/>
      <c r="RE144" s="12"/>
      <c r="RF144" s="12"/>
      <c r="RG144" s="12"/>
      <c r="RH144" s="12"/>
      <c r="RI144" s="12"/>
      <c r="RJ144" s="12"/>
      <c r="RK144" s="12"/>
      <c r="RL144" s="12"/>
      <c r="RM144" s="12"/>
      <c r="RN144" s="12"/>
      <c r="RO144" s="12"/>
      <c r="RP144" s="12"/>
      <c r="RQ144" s="12"/>
      <c r="RR144" s="12"/>
      <c r="RS144" s="12"/>
      <c r="RT144" s="12"/>
      <c r="RU144" s="12"/>
      <c r="RV144" s="12"/>
      <c r="RW144" s="12"/>
      <c r="RX144" s="12"/>
      <c r="RY144" s="12"/>
      <c r="RZ144" s="12"/>
      <c r="SA144" s="12"/>
      <c r="SB144" s="12"/>
      <c r="SC144" s="12"/>
      <c r="SD144" s="12"/>
      <c r="SE144" s="12"/>
      <c r="SF144" s="12"/>
      <c r="SG144" s="12"/>
      <c r="SH144" s="11"/>
      <c r="SI144" s="11"/>
      <c r="SJ144" s="11"/>
      <c r="SK144" s="11"/>
      <c r="SL144" s="11"/>
      <c r="SM144" s="11"/>
      <c r="SN144" s="11"/>
      <c r="SO144" s="11"/>
      <c r="SP144" s="11"/>
      <c r="SQ144" s="11"/>
      <c r="SR144" s="11"/>
      <c r="SS144" s="11"/>
      <c r="ST144" s="11"/>
      <c r="SU144" s="11"/>
      <c r="SV144" s="11"/>
      <c r="SW144" s="11"/>
      <c r="SX144" s="11"/>
      <c r="SY144" s="11"/>
      <c r="SZ144" s="11"/>
      <c r="TA144" s="11"/>
      <c r="TB144" s="11"/>
      <c r="TC144" s="11"/>
      <c r="TD144" s="11"/>
      <c r="TE144" s="11"/>
      <c r="TF144" s="11"/>
      <c r="TG144" s="11"/>
      <c r="TH144" s="11"/>
      <c r="TI144" s="11"/>
      <c r="TJ144" s="11"/>
      <c r="TK144" s="11"/>
      <c r="TL144" s="11"/>
    </row>
    <row r="145" spans="1:532" x14ac:dyDescent="0.2">
      <c r="A145" s="10" t="s">
        <v>144</v>
      </c>
      <c r="B145" s="12">
        <v>13.29</v>
      </c>
      <c r="C145" s="11">
        <v>0</v>
      </c>
      <c r="D145" s="11">
        <v>1.6928727568570299</v>
      </c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12"/>
      <c r="IP145" s="12"/>
      <c r="IQ145" s="12"/>
      <c r="IR145" s="12"/>
      <c r="IS145" s="12"/>
      <c r="IT145" s="12"/>
      <c r="IU145" s="12"/>
      <c r="IV145" s="12"/>
      <c r="IW145" s="12"/>
      <c r="IX145" s="12"/>
      <c r="IY145" s="12"/>
      <c r="IZ145" s="12"/>
      <c r="JA145" s="12"/>
      <c r="JB145" s="12"/>
      <c r="JC145" s="12"/>
      <c r="JD145" s="12"/>
      <c r="JE145" s="12"/>
      <c r="JF145" s="12"/>
      <c r="JG145" s="12"/>
      <c r="JH145" s="12"/>
      <c r="JI145" s="12"/>
      <c r="JJ145" s="12"/>
      <c r="JK145" s="12"/>
      <c r="JL145" s="12"/>
      <c r="JM145" s="12"/>
      <c r="JN145" s="12"/>
      <c r="JO145" s="12"/>
      <c r="JP145" s="12"/>
      <c r="JQ145" s="12"/>
      <c r="JR145" s="12"/>
      <c r="JS145" s="12"/>
      <c r="JT145" s="12"/>
      <c r="JU145" s="12"/>
      <c r="JV145" s="12"/>
      <c r="JW145" s="12"/>
      <c r="JX145" s="12"/>
      <c r="JY145" s="12"/>
      <c r="JZ145" s="12"/>
      <c r="KA145" s="12"/>
      <c r="KB145" s="12"/>
      <c r="KC145" s="12"/>
      <c r="KD145" s="12"/>
      <c r="KE145" s="12"/>
      <c r="KF145" s="12"/>
      <c r="KG145" s="12"/>
      <c r="KH145" s="12"/>
      <c r="KI145" s="12"/>
      <c r="KJ145" s="12"/>
      <c r="KK145" s="12"/>
      <c r="KL145" s="12"/>
      <c r="KM145" s="12"/>
      <c r="KN145" s="12"/>
      <c r="KO145" s="12"/>
      <c r="KP145" s="12"/>
      <c r="KQ145" s="12"/>
      <c r="KR145" s="12"/>
      <c r="KS145" s="12"/>
      <c r="KT145" s="12"/>
      <c r="KU145" s="12"/>
      <c r="KV145" s="12"/>
      <c r="KW145" s="12"/>
      <c r="KX145" s="12"/>
      <c r="KY145" s="12"/>
      <c r="KZ145" s="12"/>
      <c r="LA145" s="12"/>
      <c r="LB145" s="12"/>
      <c r="LC145" s="12"/>
      <c r="LD145" s="12"/>
      <c r="LE145" s="12"/>
      <c r="LF145" s="12"/>
      <c r="LG145" s="12"/>
      <c r="LH145" s="12"/>
      <c r="LI145" s="12"/>
      <c r="LJ145" s="12"/>
      <c r="LK145" s="12"/>
      <c r="LL145" s="12"/>
      <c r="LM145" s="12"/>
      <c r="LN145" s="12"/>
      <c r="LO145" s="12"/>
      <c r="LP145" s="12"/>
      <c r="LQ145" s="12"/>
      <c r="LR145" s="12"/>
      <c r="LS145" s="12"/>
      <c r="LT145" s="12"/>
      <c r="LU145" s="12"/>
      <c r="LV145" s="12"/>
      <c r="LW145" s="12"/>
      <c r="LX145" s="12"/>
      <c r="LY145" s="12"/>
      <c r="LZ145" s="12"/>
      <c r="MA145" s="12"/>
      <c r="MB145" s="12"/>
      <c r="MC145" s="12"/>
      <c r="MD145" s="12"/>
      <c r="ME145" s="12"/>
      <c r="MF145" s="12"/>
      <c r="MG145" s="12"/>
      <c r="MH145" s="12"/>
      <c r="MI145" s="12"/>
      <c r="MJ145" s="12"/>
      <c r="MK145" s="12"/>
      <c r="ML145" s="12"/>
      <c r="MM145" s="12"/>
      <c r="MN145" s="12"/>
      <c r="MO145" s="12"/>
      <c r="MP145" s="12"/>
      <c r="MQ145" s="12"/>
      <c r="MR145" s="12"/>
      <c r="MS145" s="12"/>
      <c r="MT145" s="12"/>
      <c r="MU145" s="12"/>
      <c r="MV145" s="12"/>
      <c r="MW145" s="12"/>
      <c r="MX145" s="12"/>
      <c r="MY145" s="12"/>
      <c r="MZ145" s="12"/>
      <c r="NA145" s="12"/>
      <c r="NB145" s="12"/>
      <c r="NC145" s="12"/>
      <c r="ND145" s="12"/>
      <c r="NE145" s="12"/>
      <c r="NF145" s="12"/>
      <c r="NG145" s="12"/>
      <c r="NH145" s="12"/>
      <c r="NI145" s="12"/>
      <c r="NJ145" s="12"/>
      <c r="NK145" s="12"/>
      <c r="NL145" s="12"/>
      <c r="NM145" s="12"/>
      <c r="NN145" s="12"/>
      <c r="NO145" s="12"/>
      <c r="NP145" s="12"/>
      <c r="NQ145" s="12"/>
      <c r="NR145" s="12"/>
      <c r="NS145" s="12"/>
      <c r="NT145" s="12"/>
      <c r="NU145" s="12"/>
      <c r="NV145" s="12"/>
      <c r="NW145" s="12"/>
      <c r="NX145" s="12"/>
      <c r="NY145" s="12"/>
      <c r="NZ145" s="12"/>
      <c r="OA145" s="12"/>
      <c r="OB145" s="12"/>
      <c r="OC145" s="12"/>
      <c r="OD145" s="12"/>
      <c r="OE145" s="12"/>
      <c r="OF145" s="12"/>
      <c r="OG145" s="12"/>
      <c r="OH145" s="12"/>
      <c r="OI145" s="12"/>
      <c r="OJ145" s="12"/>
      <c r="OK145" s="12"/>
      <c r="OL145" s="12"/>
      <c r="OM145" s="12"/>
      <c r="ON145" s="12"/>
      <c r="OO145" s="12"/>
      <c r="OP145" s="12"/>
      <c r="OQ145" s="12"/>
      <c r="OR145" s="12"/>
      <c r="OS145" s="12"/>
      <c r="OT145" s="12"/>
      <c r="OU145" s="12"/>
      <c r="OV145" s="12"/>
      <c r="OW145" s="12"/>
      <c r="OX145" s="12"/>
      <c r="OY145" s="12"/>
      <c r="OZ145" s="12"/>
      <c r="PA145" s="12"/>
      <c r="PB145" s="12"/>
      <c r="PC145" s="12"/>
      <c r="PD145" s="12"/>
      <c r="PE145" s="12"/>
      <c r="PF145" s="12"/>
      <c r="PG145" s="12"/>
      <c r="PH145" s="12"/>
      <c r="PI145" s="12"/>
      <c r="PJ145" s="12"/>
      <c r="PK145" s="12"/>
      <c r="PL145" s="12"/>
      <c r="PM145" s="12"/>
      <c r="PN145" s="12"/>
      <c r="PO145" s="12"/>
      <c r="PP145" s="12"/>
      <c r="PQ145" s="12"/>
      <c r="PR145" s="12"/>
      <c r="PS145" s="12"/>
      <c r="PT145" s="12"/>
      <c r="PU145" s="12"/>
      <c r="PV145" s="12"/>
      <c r="PW145" s="12"/>
      <c r="PX145" s="12"/>
      <c r="PY145" s="12"/>
      <c r="PZ145" s="12"/>
      <c r="QA145" s="12"/>
      <c r="QB145" s="12"/>
      <c r="QC145" s="12"/>
      <c r="QD145" s="12"/>
      <c r="QE145" s="12"/>
      <c r="QF145" s="12"/>
      <c r="QG145" s="12"/>
      <c r="QH145" s="12"/>
      <c r="QI145" s="12"/>
      <c r="QJ145" s="12"/>
      <c r="QK145" s="12"/>
      <c r="QL145" s="12"/>
      <c r="QM145" s="12"/>
      <c r="QN145" s="12"/>
      <c r="QO145" s="12"/>
      <c r="QP145" s="12"/>
      <c r="QQ145" s="12"/>
      <c r="QR145" s="12"/>
      <c r="QS145" s="12"/>
      <c r="QT145" s="12"/>
      <c r="QU145" s="12"/>
      <c r="QV145" s="12"/>
      <c r="QW145" s="12"/>
      <c r="QX145" s="12"/>
      <c r="QY145" s="12"/>
      <c r="QZ145" s="12"/>
      <c r="RA145" s="12"/>
      <c r="RB145" s="12"/>
      <c r="RC145" s="12"/>
      <c r="RD145" s="12"/>
      <c r="RE145" s="12"/>
      <c r="RF145" s="12"/>
      <c r="RG145" s="12"/>
      <c r="RH145" s="12"/>
      <c r="RI145" s="12"/>
      <c r="RJ145" s="12"/>
      <c r="RK145" s="12"/>
      <c r="RL145" s="12"/>
      <c r="RM145" s="12"/>
      <c r="RN145" s="12"/>
      <c r="RO145" s="12"/>
      <c r="RP145" s="12"/>
      <c r="RQ145" s="12"/>
      <c r="RR145" s="12"/>
      <c r="RS145" s="12"/>
      <c r="RT145" s="12"/>
      <c r="RU145" s="12"/>
      <c r="RV145" s="12"/>
      <c r="RW145" s="12"/>
      <c r="RX145" s="12"/>
      <c r="RY145" s="12"/>
      <c r="RZ145" s="12"/>
      <c r="SA145" s="12"/>
      <c r="SB145" s="12"/>
      <c r="SC145" s="12"/>
      <c r="SD145" s="12"/>
      <c r="SE145" s="12"/>
      <c r="SF145" s="12"/>
      <c r="SG145" s="12"/>
      <c r="SH145" s="11"/>
      <c r="SI145" s="11"/>
      <c r="SJ145" s="11"/>
      <c r="SK145" s="11"/>
      <c r="SL145" s="11"/>
      <c r="SM145" s="11"/>
      <c r="SN145" s="11"/>
      <c r="SO145" s="11"/>
      <c r="SP145" s="11"/>
      <c r="SQ145" s="11"/>
      <c r="SR145" s="11"/>
      <c r="SS145" s="11"/>
      <c r="ST145" s="11"/>
      <c r="SU145" s="11"/>
      <c r="SV145" s="11"/>
      <c r="SW145" s="11"/>
      <c r="SX145" s="11"/>
      <c r="SY145" s="11"/>
      <c r="SZ145" s="11"/>
      <c r="TA145" s="11"/>
      <c r="TB145" s="11"/>
      <c r="TC145" s="11"/>
      <c r="TD145" s="11"/>
      <c r="TE145" s="11"/>
      <c r="TF145" s="11"/>
      <c r="TG145" s="11"/>
      <c r="TH145" s="11"/>
      <c r="TI145" s="11"/>
      <c r="TJ145" s="11"/>
      <c r="TK145" s="11"/>
      <c r="TL145" s="11"/>
    </row>
    <row r="146" spans="1:532" x14ac:dyDescent="0.2">
      <c r="A146" s="10" t="s">
        <v>145</v>
      </c>
      <c r="B146" s="12">
        <v>13.52</v>
      </c>
      <c r="C146" s="11">
        <v>0</v>
      </c>
      <c r="D146" s="11">
        <v>1.4651764211394176</v>
      </c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12"/>
      <c r="IP146" s="12"/>
      <c r="IQ146" s="12"/>
      <c r="IR146" s="12"/>
      <c r="IS146" s="12"/>
      <c r="IT146" s="12"/>
      <c r="IU146" s="12"/>
      <c r="IV146" s="12"/>
      <c r="IW146" s="12"/>
      <c r="IX146" s="12"/>
      <c r="IY146" s="12"/>
      <c r="IZ146" s="12"/>
      <c r="JA146" s="12"/>
      <c r="JB146" s="12"/>
      <c r="JC146" s="12"/>
      <c r="JD146" s="12"/>
      <c r="JE146" s="12"/>
      <c r="JF146" s="12"/>
      <c r="JG146" s="12"/>
      <c r="JH146" s="12"/>
      <c r="JI146" s="12"/>
      <c r="JJ146" s="12"/>
      <c r="JK146" s="12"/>
      <c r="JL146" s="12"/>
      <c r="JM146" s="12"/>
      <c r="JN146" s="12"/>
      <c r="JO146" s="12"/>
      <c r="JP146" s="12"/>
      <c r="JQ146" s="12"/>
      <c r="JR146" s="12"/>
      <c r="JS146" s="12"/>
      <c r="JT146" s="12"/>
      <c r="JU146" s="12"/>
      <c r="JV146" s="12"/>
      <c r="JW146" s="12"/>
      <c r="JX146" s="12"/>
      <c r="JY146" s="12"/>
      <c r="JZ146" s="12"/>
      <c r="KA146" s="12"/>
      <c r="KB146" s="12"/>
      <c r="KC146" s="12"/>
      <c r="KD146" s="12"/>
      <c r="KE146" s="12"/>
      <c r="KF146" s="12"/>
      <c r="KG146" s="12"/>
      <c r="KH146" s="12"/>
      <c r="KI146" s="12"/>
      <c r="KJ146" s="12"/>
      <c r="KK146" s="12"/>
      <c r="KL146" s="12"/>
      <c r="KM146" s="12"/>
      <c r="KN146" s="12"/>
      <c r="KO146" s="12"/>
      <c r="KP146" s="12"/>
      <c r="KQ146" s="12"/>
      <c r="KR146" s="12"/>
      <c r="KS146" s="12"/>
      <c r="KT146" s="12"/>
      <c r="KU146" s="12"/>
      <c r="KV146" s="12"/>
      <c r="KW146" s="12"/>
      <c r="KX146" s="12"/>
      <c r="KY146" s="12"/>
      <c r="KZ146" s="12"/>
      <c r="LA146" s="12"/>
      <c r="LB146" s="12"/>
      <c r="LC146" s="12"/>
      <c r="LD146" s="12"/>
      <c r="LE146" s="12"/>
      <c r="LF146" s="12"/>
      <c r="LG146" s="12"/>
      <c r="LH146" s="12"/>
      <c r="LI146" s="12"/>
      <c r="LJ146" s="12"/>
      <c r="LK146" s="12"/>
      <c r="LL146" s="12"/>
      <c r="LM146" s="12"/>
      <c r="LN146" s="12"/>
      <c r="LO146" s="12"/>
      <c r="LP146" s="12"/>
      <c r="LQ146" s="12"/>
      <c r="LR146" s="12"/>
      <c r="LS146" s="12"/>
      <c r="LT146" s="12"/>
      <c r="LU146" s="12"/>
      <c r="LV146" s="12"/>
      <c r="LW146" s="12"/>
      <c r="LX146" s="12"/>
      <c r="LY146" s="12"/>
      <c r="LZ146" s="12"/>
      <c r="MA146" s="12"/>
      <c r="MB146" s="12"/>
      <c r="MC146" s="12"/>
      <c r="MD146" s="12"/>
      <c r="ME146" s="12"/>
      <c r="MF146" s="12"/>
      <c r="MG146" s="12"/>
      <c r="MH146" s="12"/>
      <c r="MI146" s="12"/>
      <c r="MJ146" s="12"/>
      <c r="MK146" s="12"/>
      <c r="ML146" s="12"/>
      <c r="MM146" s="12"/>
      <c r="MN146" s="12"/>
      <c r="MO146" s="12"/>
      <c r="MP146" s="12"/>
      <c r="MQ146" s="12"/>
      <c r="MR146" s="12"/>
      <c r="MS146" s="12"/>
      <c r="MT146" s="12"/>
      <c r="MU146" s="12"/>
      <c r="MV146" s="12"/>
      <c r="MW146" s="12"/>
      <c r="MX146" s="12"/>
      <c r="MY146" s="12"/>
      <c r="MZ146" s="12"/>
      <c r="NA146" s="12"/>
      <c r="NB146" s="12"/>
      <c r="NC146" s="12"/>
      <c r="ND146" s="12"/>
      <c r="NE146" s="12"/>
      <c r="NF146" s="12"/>
      <c r="NG146" s="12"/>
      <c r="NH146" s="12"/>
      <c r="NI146" s="12"/>
      <c r="NJ146" s="12"/>
      <c r="NK146" s="12"/>
      <c r="NL146" s="12"/>
      <c r="NM146" s="12"/>
      <c r="NN146" s="12"/>
      <c r="NO146" s="12"/>
      <c r="NP146" s="12"/>
      <c r="NQ146" s="12"/>
      <c r="NR146" s="12"/>
      <c r="NS146" s="12"/>
      <c r="NT146" s="12"/>
      <c r="NU146" s="12"/>
      <c r="NV146" s="12"/>
      <c r="NW146" s="12"/>
      <c r="NX146" s="12"/>
      <c r="NY146" s="12"/>
      <c r="NZ146" s="12"/>
      <c r="OA146" s="12"/>
      <c r="OB146" s="12"/>
      <c r="OC146" s="12"/>
      <c r="OD146" s="12"/>
      <c r="OE146" s="12"/>
      <c r="OF146" s="12"/>
      <c r="OG146" s="12"/>
      <c r="OH146" s="12"/>
      <c r="OI146" s="12"/>
      <c r="OJ146" s="12"/>
      <c r="OK146" s="12"/>
      <c r="OL146" s="12"/>
      <c r="OM146" s="12"/>
      <c r="ON146" s="12"/>
      <c r="OO146" s="12"/>
      <c r="OP146" s="12"/>
      <c r="OQ146" s="12"/>
      <c r="OR146" s="12"/>
      <c r="OS146" s="12"/>
      <c r="OT146" s="12"/>
      <c r="OU146" s="12"/>
      <c r="OV146" s="12"/>
      <c r="OW146" s="12"/>
      <c r="OX146" s="12"/>
      <c r="OY146" s="12"/>
      <c r="OZ146" s="12"/>
      <c r="PA146" s="12"/>
      <c r="PB146" s="12"/>
      <c r="PC146" s="12"/>
      <c r="PD146" s="12"/>
      <c r="PE146" s="12"/>
      <c r="PF146" s="12"/>
      <c r="PG146" s="12"/>
      <c r="PH146" s="12"/>
      <c r="PI146" s="12"/>
      <c r="PJ146" s="12"/>
      <c r="PK146" s="12"/>
      <c r="PL146" s="12"/>
      <c r="PM146" s="12"/>
      <c r="PN146" s="12"/>
      <c r="PO146" s="12"/>
      <c r="PP146" s="12"/>
      <c r="PQ146" s="12"/>
      <c r="PR146" s="12"/>
      <c r="PS146" s="12"/>
      <c r="PT146" s="12"/>
      <c r="PU146" s="12"/>
      <c r="PV146" s="12"/>
      <c r="PW146" s="12"/>
      <c r="PX146" s="12"/>
      <c r="PY146" s="12"/>
      <c r="PZ146" s="12"/>
      <c r="QA146" s="12"/>
      <c r="QB146" s="12"/>
      <c r="QC146" s="12"/>
      <c r="QD146" s="12"/>
      <c r="QE146" s="12"/>
      <c r="QF146" s="12"/>
      <c r="QG146" s="12"/>
      <c r="QH146" s="12"/>
      <c r="QI146" s="12"/>
      <c r="QJ146" s="12"/>
      <c r="QK146" s="12"/>
      <c r="QL146" s="12"/>
      <c r="QM146" s="12"/>
      <c r="QN146" s="12"/>
      <c r="QO146" s="12"/>
      <c r="QP146" s="12"/>
      <c r="QQ146" s="12"/>
      <c r="QR146" s="12"/>
      <c r="QS146" s="12"/>
      <c r="QT146" s="12"/>
      <c r="QU146" s="12"/>
      <c r="QV146" s="12"/>
      <c r="QW146" s="12"/>
      <c r="QX146" s="12"/>
      <c r="QY146" s="12"/>
      <c r="QZ146" s="12"/>
      <c r="RA146" s="12"/>
      <c r="RB146" s="12"/>
      <c r="RC146" s="12"/>
      <c r="RD146" s="12"/>
      <c r="RE146" s="12"/>
      <c r="RF146" s="12"/>
      <c r="RG146" s="12"/>
      <c r="RH146" s="12"/>
      <c r="RI146" s="12"/>
      <c r="RJ146" s="12"/>
      <c r="RK146" s="12"/>
      <c r="RL146" s="12"/>
      <c r="RM146" s="12"/>
      <c r="RN146" s="12"/>
      <c r="RO146" s="12"/>
      <c r="RP146" s="12"/>
      <c r="RQ146" s="12"/>
      <c r="RR146" s="12"/>
      <c r="RS146" s="12"/>
      <c r="RT146" s="12"/>
      <c r="RU146" s="12"/>
      <c r="RV146" s="12"/>
      <c r="RW146" s="12"/>
      <c r="RX146" s="12"/>
      <c r="RY146" s="12"/>
      <c r="RZ146" s="12"/>
      <c r="SA146" s="12"/>
      <c r="SB146" s="12"/>
      <c r="SC146" s="12"/>
      <c r="SD146" s="12"/>
      <c r="SE146" s="12"/>
      <c r="SF146" s="12"/>
      <c r="SG146" s="12"/>
      <c r="SH146" s="11"/>
      <c r="SI146" s="11"/>
      <c r="SJ146" s="11"/>
      <c r="SK146" s="11"/>
      <c r="SL146" s="11"/>
      <c r="SM146" s="11"/>
      <c r="SN146" s="11"/>
      <c r="SO146" s="11"/>
      <c r="SP146" s="11"/>
      <c r="SQ146" s="11"/>
      <c r="SR146" s="11"/>
      <c r="SS146" s="11"/>
      <c r="ST146" s="11"/>
      <c r="SU146" s="11"/>
      <c r="SV146" s="11"/>
      <c r="SW146" s="11"/>
      <c r="SX146" s="11"/>
      <c r="SY146" s="11"/>
      <c r="SZ146" s="11"/>
      <c r="TA146" s="11"/>
      <c r="TB146" s="11"/>
      <c r="TC146" s="11"/>
      <c r="TD146" s="11"/>
      <c r="TE146" s="11"/>
      <c r="TF146" s="11"/>
      <c r="TG146" s="11"/>
      <c r="TH146" s="11"/>
      <c r="TI146" s="11"/>
      <c r="TJ146" s="11"/>
      <c r="TK146" s="11"/>
      <c r="TL146" s="11"/>
    </row>
    <row r="147" spans="1:532" x14ac:dyDescent="0.2">
      <c r="A147" s="10" t="s">
        <v>146</v>
      </c>
      <c r="B147" s="12">
        <v>13.44</v>
      </c>
      <c r="C147" s="11">
        <v>0</v>
      </c>
      <c r="D147" s="11">
        <v>1.5443751466064133</v>
      </c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12"/>
      <c r="IP147" s="12"/>
      <c r="IQ147" s="12"/>
      <c r="IR147" s="12"/>
      <c r="IS147" s="12"/>
      <c r="IT147" s="12"/>
      <c r="IU147" s="12"/>
      <c r="IV147" s="12"/>
      <c r="IW147" s="12"/>
      <c r="IX147" s="12"/>
      <c r="IY147" s="12"/>
      <c r="IZ147" s="12"/>
      <c r="JA147" s="12"/>
      <c r="JB147" s="12"/>
      <c r="JC147" s="12"/>
      <c r="JD147" s="12"/>
      <c r="JE147" s="12"/>
      <c r="JF147" s="12"/>
      <c r="JG147" s="12"/>
      <c r="JH147" s="12"/>
      <c r="JI147" s="12"/>
      <c r="JJ147" s="12"/>
      <c r="JK147" s="12"/>
      <c r="JL147" s="12"/>
      <c r="JM147" s="12"/>
      <c r="JN147" s="12"/>
      <c r="JO147" s="12"/>
      <c r="JP147" s="12"/>
      <c r="JQ147" s="12"/>
      <c r="JR147" s="12"/>
      <c r="JS147" s="12"/>
      <c r="JT147" s="12"/>
      <c r="JU147" s="12"/>
      <c r="JV147" s="12"/>
      <c r="JW147" s="12"/>
      <c r="JX147" s="12"/>
      <c r="JY147" s="12"/>
      <c r="JZ147" s="12"/>
      <c r="KA147" s="12"/>
      <c r="KB147" s="12"/>
      <c r="KC147" s="12"/>
      <c r="KD147" s="12"/>
      <c r="KE147" s="12"/>
      <c r="KF147" s="12"/>
      <c r="KG147" s="12"/>
      <c r="KH147" s="12"/>
      <c r="KI147" s="12"/>
      <c r="KJ147" s="12"/>
      <c r="KK147" s="12"/>
      <c r="KL147" s="12"/>
      <c r="KM147" s="12"/>
      <c r="KN147" s="12"/>
      <c r="KO147" s="12"/>
      <c r="KP147" s="12"/>
      <c r="KQ147" s="12"/>
      <c r="KR147" s="12"/>
      <c r="KS147" s="12"/>
      <c r="KT147" s="12"/>
      <c r="KU147" s="12"/>
      <c r="KV147" s="12"/>
      <c r="KW147" s="12"/>
      <c r="KX147" s="12"/>
      <c r="KY147" s="12"/>
      <c r="KZ147" s="12"/>
      <c r="LA147" s="12"/>
      <c r="LB147" s="12"/>
      <c r="LC147" s="12"/>
      <c r="LD147" s="12"/>
      <c r="LE147" s="12"/>
      <c r="LF147" s="12"/>
      <c r="LG147" s="12"/>
      <c r="LH147" s="12"/>
      <c r="LI147" s="12"/>
      <c r="LJ147" s="12"/>
      <c r="LK147" s="12"/>
      <c r="LL147" s="12"/>
      <c r="LM147" s="12"/>
      <c r="LN147" s="12"/>
      <c r="LO147" s="12"/>
      <c r="LP147" s="12"/>
      <c r="LQ147" s="12"/>
      <c r="LR147" s="12"/>
      <c r="LS147" s="12"/>
      <c r="LT147" s="12"/>
      <c r="LU147" s="12"/>
      <c r="LV147" s="12"/>
      <c r="LW147" s="12"/>
      <c r="LX147" s="12"/>
      <c r="LY147" s="12"/>
      <c r="LZ147" s="12"/>
      <c r="MA147" s="12"/>
      <c r="MB147" s="12"/>
      <c r="MC147" s="12"/>
      <c r="MD147" s="12"/>
      <c r="ME147" s="12"/>
      <c r="MF147" s="12"/>
      <c r="MG147" s="12"/>
      <c r="MH147" s="12"/>
      <c r="MI147" s="12"/>
      <c r="MJ147" s="12"/>
      <c r="MK147" s="12"/>
      <c r="ML147" s="12"/>
      <c r="MM147" s="12"/>
      <c r="MN147" s="12"/>
      <c r="MO147" s="12"/>
      <c r="MP147" s="12"/>
      <c r="MQ147" s="12"/>
      <c r="MR147" s="12"/>
      <c r="MS147" s="12"/>
      <c r="MT147" s="12"/>
      <c r="MU147" s="12"/>
      <c r="MV147" s="12"/>
      <c r="MW147" s="12"/>
      <c r="MX147" s="12"/>
      <c r="MY147" s="12"/>
      <c r="MZ147" s="12"/>
      <c r="NA147" s="12"/>
      <c r="NB147" s="12"/>
      <c r="NC147" s="12"/>
      <c r="ND147" s="12"/>
      <c r="NE147" s="12"/>
      <c r="NF147" s="12"/>
      <c r="NG147" s="12"/>
      <c r="NH147" s="12"/>
      <c r="NI147" s="12"/>
      <c r="NJ147" s="12"/>
      <c r="NK147" s="12"/>
      <c r="NL147" s="12"/>
      <c r="NM147" s="12"/>
      <c r="NN147" s="12"/>
      <c r="NO147" s="12"/>
      <c r="NP147" s="12"/>
      <c r="NQ147" s="12"/>
      <c r="NR147" s="12"/>
      <c r="NS147" s="12"/>
      <c r="NT147" s="12"/>
      <c r="NU147" s="12"/>
      <c r="NV147" s="12"/>
      <c r="NW147" s="12"/>
      <c r="NX147" s="12"/>
      <c r="NY147" s="12"/>
      <c r="NZ147" s="12"/>
      <c r="OA147" s="12"/>
      <c r="OB147" s="12"/>
      <c r="OC147" s="12"/>
      <c r="OD147" s="12"/>
      <c r="OE147" s="12"/>
      <c r="OF147" s="12"/>
      <c r="OG147" s="12"/>
      <c r="OH147" s="12"/>
      <c r="OI147" s="12"/>
      <c r="OJ147" s="12"/>
      <c r="OK147" s="12"/>
      <c r="OL147" s="12"/>
      <c r="OM147" s="12"/>
      <c r="ON147" s="12"/>
      <c r="OO147" s="12"/>
      <c r="OP147" s="12"/>
      <c r="OQ147" s="12"/>
      <c r="OR147" s="12"/>
      <c r="OS147" s="12"/>
      <c r="OT147" s="12"/>
      <c r="OU147" s="12"/>
      <c r="OV147" s="12"/>
      <c r="OW147" s="12"/>
      <c r="OX147" s="12"/>
      <c r="OY147" s="12"/>
      <c r="OZ147" s="12"/>
      <c r="PA147" s="12"/>
      <c r="PB147" s="12"/>
      <c r="PC147" s="12"/>
      <c r="PD147" s="12"/>
      <c r="PE147" s="12"/>
      <c r="PF147" s="12"/>
      <c r="PG147" s="12"/>
      <c r="PH147" s="12"/>
      <c r="PI147" s="12"/>
      <c r="PJ147" s="12"/>
      <c r="PK147" s="12"/>
      <c r="PL147" s="12"/>
      <c r="PM147" s="12"/>
      <c r="PN147" s="12"/>
      <c r="PO147" s="12"/>
      <c r="PP147" s="12"/>
      <c r="PQ147" s="12"/>
      <c r="PR147" s="12"/>
      <c r="PS147" s="12"/>
      <c r="PT147" s="12"/>
      <c r="PU147" s="12"/>
      <c r="PV147" s="12"/>
      <c r="PW147" s="12"/>
      <c r="PX147" s="12"/>
      <c r="PY147" s="12"/>
      <c r="PZ147" s="12"/>
      <c r="QA147" s="12"/>
      <c r="QB147" s="12"/>
      <c r="QC147" s="12"/>
      <c r="QD147" s="12"/>
      <c r="QE147" s="12"/>
      <c r="QF147" s="12"/>
      <c r="QG147" s="12"/>
      <c r="QH147" s="12"/>
      <c r="QI147" s="12"/>
      <c r="QJ147" s="12"/>
      <c r="QK147" s="12"/>
      <c r="QL147" s="12"/>
      <c r="QM147" s="12"/>
      <c r="QN147" s="12"/>
      <c r="QO147" s="12"/>
      <c r="QP147" s="12"/>
      <c r="QQ147" s="12"/>
      <c r="QR147" s="12"/>
      <c r="QS147" s="12"/>
      <c r="QT147" s="12"/>
      <c r="QU147" s="12"/>
      <c r="QV147" s="12"/>
      <c r="QW147" s="12"/>
      <c r="QX147" s="12"/>
      <c r="QY147" s="12"/>
      <c r="QZ147" s="12"/>
      <c r="RA147" s="12"/>
      <c r="RB147" s="12"/>
      <c r="RC147" s="12"/>
      <c r="RD147" s="12"/>
      <c r="RE147" s="12"/>
      <c r="RF147" s="12"/>
      <c r="RG147" s="12"/>
      <c r="RH147" s="12"/>
      <c r="RI147" s="12"/>
      <c r="RJ147" s="12"/>
      <c r="RK147" s="12"/>
      <c r="RL147" s="12"/>
      <c r="RM147" s="12"/>
      <c r="RN147" s="12"/>
      <c r="RO147" s="12"/>
      <c r="RP147" s="12"/>
      <c r="RQ147" s="12"/>
      <c r="RR147" s="12"/>
      <c r="RS147" s="12"/>
      <c r="RT147" s="12"/>
      <c r="RU147" s="12"/>
      <c r="RV147" s="12"/>
      <c r="RW147" s="12"/>
      <c r="RX147" s="12"/>
      <c r="RY147" s="12"/>
      <c r="RZ147" s="12"/>
      <c r="SA147" s="12"/>
      <c r="SB147" s="12"/>
      <c r="SC147" s="12"/>
      <c r="SD147" s="12"/>
      <c r="SE147" s="12"/>
      <c r="SF147" s="12"/>
      <c r="SG147" s="12"/>
      <c r="SH147" s="11"/>
      <c r="SI147" s="11"/>
      <c r="SJ147" s="11"/>
      <c r="SK147" s="11"/>
      <c r="SL147" s="11"/>
      <c r="SM147" s="11"/>
      <c r="SN147" s="11"/>
      <c r="SO147" s="11"/>
      <c r="SP147" s="11"/>
      <c r="SQ147" s="11"/>
      <c r="SR147" s="11"/>
      <c r="SS147" s="11"/>
      <c r="ST147" s="11"/>
      <c r="SU147" s="11"/>
      <c r="SV147" s="11"/>
      <c r="SW147" s="11"/>
      <c r="SX147" s="11"/>
      <c r="SY147" s="11"/>
      <c r="SZ147" s="11"/>
      <c r="TA147" s="11"/>
      <c r="TB147" s="11"/>
      <c r="TC147" s="11"/>
      <c r="TD147" s="11"/>
      <c r="TE147" s="11"/>
      <c r="TF147" s="11"/>
      <c r="TG147" s="11"/>
      <c r="TH147" s="11"/>
      <c r="TI147" s="11"/>
      <c r="TJ147" s="11"/>
      <c r="TK147" s="11"/>
      <c r="TL147" s="11"/>
    </row>
    <row r="148" spans="1:532" x14ac:dyDescent="0.2">
      <c r="A148" s="10" t="s">
        <v>147</v>
      </c>
      <c r="B148" s="12">
        <v>14.31</v>
      </c>
      <c r="C148" s="11">
        <v>0</v>
      </c>
      <c r="D148" s="11">
        <v>0.68308900715283649</v>
      </c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/>
      <c r="IP148" s="12"/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/>
      <c r="JB148" s="12"/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/>
      <c r="JN148" s="12"/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/>
      <c r="JZ148" s="12"/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/>
      <c r="KL148" s="12"/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/>
      <c r="KX148" s="12"/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/>
      <c r="LJ148" s="12"/>
      <c r="LK148" s="12"/>
      <c r="LL148" s="12"/>
      <c r="LM148" s="12"/>
      <c r="LN148" s="12"/>
      <c r="LO148" s="12"/>
      <c r="LP148" s="12"/>
      <c r="LQ148" s="12"/>
      <c r="LR148" s="12"/>
      <c r="LS148" s="12"/>
      <c r="LT148" s="12"/>
      <c r="LU148" s="12"/>
      <c r="LV148" s="12"/>
      <c r="LW148" s="12"/>
      <c r="LX148" s="12"/>
      <c r="LY148" s="12"/>
      <c r="LZ148" s="12"/>
      <c r="MA148" s="12"/>
      <c r="MB148" s="12"/>
      <c r="MC148" s="12"/>
      <c r="MD148" s="12"/>
      <c r="ME148" s="12"/>
      <c r="MF148" s="12"/>
      <c r="MG148" s="12"/>
      <c r="MH148" s="12"/>
      <c r="MI148" s="12"/>
      <c r="MJ148" s="12"/>
      <c r="MK148" s="12"/>
      <c r="ML148" s="12"/>
      <c r="MM148" s="12"/>
      <c r="MN148" s="12"/>
      <c r="MO148" s="12"/>
      <c r="MP148" s="12"/>
      <c r="MQ148" s="12"/>
      <c r="MR148" s="12"/>
      <c r="MS148" s="12"/>
      <c r="MT148" s="12"/>
      <c r="MU148" s="12"/>
      <c r="MV148" s="12"/>
      <c r="MW148" s="12"/>
      <c r="MX148" s="12"/>
      <c r="MY148" s="12"/>
      <c r="MZ148" s="12"/>
      <c r="NA148" s="12"/>
      <c r="NB148" s="12"/>
      <c r="NC148" s="12"/>
      <c r="ND148" s="12"/>
      <c r="NE148" s="12"/>
      <c r="NF148" s="12"/>
      <c r="NG148" s="12"/>
      <c r="NH148" s="12"/>
      <c r="NI148" s="12"/>
      <c r="NJ148" s="12"/>
      <c r="NK148" s="12"/>
      <c r="NL148" s="12"/>
      <c r="NM148" s="12"/>
      <c r="NN148" s="12"/>
      <c r="NO148" s="12"/>
      <c r="NP148" s="12"/>
      <c r="NQ148" s="12"/>
      <c r="NR148" s="12"/>
      <c r="NS148" s="12"/>
      <c r="NT148" s="12"/>
      <c r="NU148" s="12"/>
      <c r="NV148" s="12"/>
      <c r="NW148" s="12"/>
      <c r="NX148" s="12"/>
      <c r="NY148" s="12"/>
      <c r="NZ148" s="12"/>
      <c r="OA148" s="12"/>
      <c r="OB148" s="12"/>
      <c r="OC148" s="12"/>
      <c r="OD148" s="12"/>
      <c r="OE148" s="12"/>
      <c r="OF148" s="12"/>
      <c r="OG148" s="12"/>
      <c r="OH148" s="12"/>
      <c r="OI148" s="12"/>
      <c r="OJ148" s="12"/>
      <c r="OK148" s="12"/>
      <c r="OL148" s="12"/>
      <c r="OM148" s="12"/>
      <c r="ON148" s="12"/>
      <c r="OO148" s="12"/>
      <c r="OP148" s="12"/>
      <c r="OQ148" s="12"/>
      <c r="OR148" s="12"/>
      <c r="OS148" s="12"/>
      <c r="OT148" s="12"/>
      <c r="OU148" s="12"/>
      <c r="OV148" s="12"/>
      <c r="OW148" s="12"/>
      <c r="OX148" s="12"/>
      <c r="OY148" s="12"/>
      <c r="OZ148" s="12"/>
      <c r="PA148" s="12"/>
      <c r="PB148" s="12"/>
      <c r="PC148" s="12"/>
      <c r="PD148" s="12"/>
      <c r="PE148" s="12"/>
      <c r="PF148" s="12"/>
      <c r="PG148" s="12"/>
      <c r="PH148" s="12"/>
      <c r="PI148" s="12"/>
      <c r="PJ148" s="12"/>
      <c r="PK148" s="12"/>
      <c r="PL148" s="12"/>
      <c r="PM148" s="12"/>
      <c r="PN148" s="12"/>
      <c r="PO148" s="12"/>
      <c r="PP148" s="12"/>
      <c r="PQ148" s="12"/>
      <c r="PR148" s="12"/>
      <c r="PS148" s="12"/>
      <c r="PT148" s="12"/>
      <c r="PU148" s="12"/>
      <c r="PV148" s="12"/>
      <c r="PW148" s="12"/>
      <c r="PX148" s="12"/>
      <c r="PY148" s="12"/>
      <c r="PZ148" s="12"/>
      <c r="QA148" s="12"/>
      <c r="QB148" s="12"/>
      <c r="QC148" s="12"/>
      <c r="QD148" s="12"/>
      <c r="QE148" s="12"/>
      <c r="QF148" s="12"/>
      <c r="QG148" s="12"/>
      <c r="QH148" s="12"/>
      <c r="QI148" s="12"/>
      <c r="QJ148" s="12"/>
      <c r="QK148" s="12"/>
      <c r="QL148" s="12"/>
      <c r="QM148" s="12"/>
      <c r="QN148" s="12"/>
      <c r="QO148" s="12"/>
      <c r="QP148" s="12"/>
      <c r="QQ148" s="12"/>
      <c r="QR148" s="12"/>
      <c r="QS148" s="12"/>
      <c r="QT148" s="12"/>
      <c r="QU148" s="12"/>
      <c r="QV148" s="12"/>
      <c r="QW148" s="12"/>
      <c r="QX148" s="12"/>
      <c r="QY148" s="12"/>
      <c r="QZ148" s="12"/>
      <c r="RA148" s="12"/>
      <c r="RB148" s="12"/>
      <c r="RC148" s="12"/>
      <c r="RD148" s="12"/>
      <c r="RE148" s="12"/>
      <c r="RF148" s="12"/>
      <c r="RG148" s="12"/>
      <c r="RH148" s="12"/>
      <c r="RI148" s="12"/>
      <c r="RJ148" s="12"/>
      <c r="RK148" s="12"/>
      <c r="RL148" s="12"/>
      <c r="RM148" s="12"/>
      <c r="RN148" s="12"/>
      <c r="RO148" s="12"/>
      <c r="RP148" s="12"/>
      <c r="RQ148" s="12"/>
      <c r="RR148" s="12"/>
      <c r="RS148" s="12"/>
      <c r="RT148" s="12"/>
      <c r="RU148" s="12"/>
      <c r="RV148" s="12"/>
      <c r="RW148" s="12"/>
      <c r="RX148" s="12"/>
      <c r="RY148" s="12"/>
      <c r="RZ148" s="12"/>
      <c r="SA148" s="12"/>
      <c r="SB148" s="12"/>
      <c r="SC148" s="12"/>
      <c r="SD148" s="12"/>
      <c r="SE148" s="12"/>
      <c r="SF148" s="12"/>
      <c r="SG148" s="12"/>
      <c r="SH148" s="11"/>
      <c r="SI148" s="11"/>
      <c r="SJ148" s="11"/>
      <c r="SK148" s="11"/>
      <c r="SL148" s="11"/>
      <c r="SM148" s="11"/>
      <c r="SN148" s="11"/>
      <c r="SO148" s="11"/>
      <c r="SP148" s="11"/>
      <c r="SQ148" s="11"/>
      <c r="SR148" s="11"/>
      <c r="SS148" s="11"/>
      <c r="ST148" s="11"/>
      <c r="SU148" s="11"/>
      <c r="SV148" s="11"/>
      <c r="SW148" s="11"/>
      <c r="SX148" s="11"/>
      <c r="SY148" s="11"/>
      <c r="SZ148" s="11"/>
      <c r="TA148" s="11"/>
      <c r="TB148" s="11"/>
      <c r="TC148" s="11"/>
      <c r="TD148" s="11"/>
      <c r="TE148" s="11"/>
      <c r="TF148" s="11"/>
      <c r="TG148" s="11"/>
      <c r="TH148" s="11"/>
      <c r="TI148" s="11"/>
      <c r="TJ148" s="11"/>
      <c r="TK148" s="11"/>
      <c r="TL148" s="11"/>
    </row>
    <row r="149" spans="1:532" x14ac:dyDescent="0.2">
      <c r="A149" s="10" t="s">
        <v>148</v>
      </c>
      <c r="B149" s="12">
        <v>15.45</v>
      </c>
      <c r="C149" s="11">
        <v>0.44549283075184998</v>
      </c>
      <c r="D149" s="11">
        <v>0</v>
      </c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/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/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/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/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/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/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/>
      <c r="LR149" s="12"/>
      <c r="LS149" s="12"/>
      <c r="LT149" s="12"/>
      <c r="LU149" s="12"/>
      <c r="LV149" s="12"/>
      <c r="LW149" s="12"/>
      <c r="LX149" s="12"/>
      <c r="LY149" s="12"/>
      <c r="LZ149" s="12"/>
      <c r="MA149" s="12"/>
      <c r="MB149" s="12"/>
      <c r="MC149" s="12"/>
      <c r="MD149" s="12"/>
      <c r="ME149" s="12"/>
      <c r="MF149" s="12"/>
      <c r="MG149" s="12"/>
      <c r="MH149" s="12"/>
      <c r="MI149" s="12"/>
      <c r="MJ149" s="12"/>
      <c r="MK149" s="12"/>
      <c r="ML149" s="12"/>
      <c r="MM149" s="12"/>
      <c r="MN149" s="12"/>
      <c r="MO149" s="12"/>
      <c r="MP149" s="12"/>
      <c r="MQ149" s="12"/>
      <c r="MR149" s="12"/>
      <c r="MS149" s="12"/>
      <c r="MT149" s="12"/>
      <c r="MU149" s="12"/>
      <c r="MV149" s="12"/>
      <c r="MW149" s="12"/>
      <c r="MX149" s="12"/>
      <c r="MY149" s="12"/>
      <c r="MZ149" s="12"/>
      <c r="NA149" s="12"/>
      <c r="NB149" s="12"/>
      <c r="NC149" s="12"/>
      <c r="ND149" s="12"/>
      <c r="NE149" s="12"/>
      <c r="NF149" s="12"/>
      <c r="NG149" s="12"/>
      <c r="NH149" s="12"/>
      <c r="NI149" s="12"/>
      <c r="NJ149" s="12"/>
      <c r="NK149" s="12"/>
      <c r="NL149" s="12"/>
      <c r="NM149" s="12"/>
      <c r="NN149" s="12"/>
      <c r="NO149" s="12"/>
      <c r="NP149" s="12"/>
      <c r="NQ149" s="12"/>
      <c r="NR149" s="12"/>
      <c r="NS149" s="12"/>
      <c r="NT149" s="12"/>
      <c r="NU149" s="12"/>
      <c r="NV149" s="12"/>
      <c r="NW149" s="12"/>
      <c r="NX149" s="12"/>
      <c r="NY149" s="12"/>
      <c r="NZ149" s="12"/>
      <c r="OA149" s="12"/>
      <c r="OB149" s="12"/>
      <c r="OC149" s="12"/>
      <c r="OD149" s="12"/>
      <c r="OE149" s="12"/>
      <c r="OF149" s="12"/>
      <c r="OG149" s="12"/>
      <c r="OH149" s="12"/>
      <c r="OI149" s="12"/>
      <c r="OJ149" s="12"/>
      <c r="OK149" s="12"/>
      <c r="OL149" s="12"/>
      <c r="OM149" s="12"/>
      <c r="ON149" s="12"/>
      <c r="OO149" s="12"/>
      <c r="OP149" s="12"/>
      <c r="OQ149" s="12"/>
      <c r="OR149" s="12"/>
      <c r="OS149" s="12"/>
      <c r="OT149" s="12"/>
      <c r="OU149" s="12"/>
      <c r="OV149" s="12"/>
      <c r="OW149" s="12"/>
      <c r="OX149" s="12"/>
      <c r="OY149" s="12"/>
      <c r="OZ149" s="12"/>
      <c r="PA149" s="12"/>
      <c r="PB149" s="12"/>
      <c r="PC149" s="12"/>
      <c r="PD149" s="12"/>
      <c r="PE149" s="12"/>
      <c r="PF149" s="12"/>
      <c r="PG149" s="12"/>
      <c r="PH149" s="12"/>
      <c r="PI149" s="12"/>
      <c r="PJ149" s="12"/>
      <c r="PK149" s="12"/>
      <c r="PL149" s="12"/>
      <c r="PM149" s="12"/>
      <c r="PN149" s="12"/>
      <c r="PO149" s="12"/>
      <c r="PP149" s="12"/>
      <c r="PQ149" s="12"/>
      <c r="PR149" s="12"/>
      <c r="PS149" s="12"/>
      <c r="PT149" s="12"/>
      <c r="PU149" s="12"/>
      <c r="PV149" s="12"/>
      <c r="PW149" s="12"/>
      <c r="PX149" s="12"/>
      <c r="PY149" s="12"/>
      <c r="PZ149" s="12"/>
      <c r="QA149" s="12"/>
      <c r="QB149" s="12"/>
      <c r="QC149" s="12"/>
      <c r="QD149" s="12"/>
      <c r="QE149" s="12"/>
      <c r="QF149" s="12"/>
      <c r="QG149" s="12"/>
      <c r="QH149" s="12"/>
      <c r="QI149" s="12"/>
      <c r="QJ149" s="12"/>
      <c r="QK149" s="12"/>
      <c r="QL149" s="12"/>
      <c r="QM149" s="12"/>
      <c r="QN149" s="12"/>
      <c r="QO149" s="12"/>
      <c r="QP149" s="12"/>
      <c r="QQ149" s="12"/>
      <c r="QR149" s="12"/>
      <c r="QS149" s="12"/>
      <c r="QT149" s="12"/>
      <c r="QU149" s="12"/>
      <c r="QV149" s="12"/>
      <c r="QW149" s="12"/>
      <c r="QX149" s="12"/>
      <c r="QY149" s="12"/>
      <c r="QZ149" s="12"/>
      <c r="RA149" s="12"/>
      <c r="RB149" s="12"/>
      <c r="RC149" s="12"/>
      <c r="RD149" s="12"/>
      <c r="RE149" s="12"/>
      <c r="RF149" s="12"/>
      <c r="RG149" s="12"/>
      <c r="RH149" s="12"/>
      <c r="RI149" s="12"/>
      <c r="RJ149" s="12"/>
      <c r="RK149" s="12"/>
      <c r="RL149" s="12"/>
      <c r="RM149" s="12"/>
      <c r="RN149" s="12"/>
      <c r="RO149" s="12"/>
      <c r="RP149" s="12"/>
      <c r="RQ149" s="12"/>
      <c r="RR149" s="12"/>
      <c r="RS149" s="12"/>
      <c r="RT149" s="12"/>
      <c r="RU149" s="12"/>
      <c r="RV149" s="12"/>
      <c r="RW149" s="12"/>
      <c r="RX149" s="12"/>
      <c r="RY149" s="12"/>
      <c r="RZ149" s="12"/>
      <c r="SA149" s="12"/>
      <c r="SB149" s="12"/>
      <c r="SC149" s="12"/>
      <c r="SD149" s="12"/>
      <c r="SE149" s="12"/>
      <c r="SF149" s="12"/>
      <c r="SG149" s="12"/>
      <c r="SH149" s="11"/>
      <c r="SI149" s="11"/>
      <c r="SJ149" s="11"/>
      <c r="SK149" s="11"/>
      <c r="SL149" s="11"/>
      <c r="SM149" s="11"/>
      <c r="SN149" s="11"/>
      <c r="SO149" s="11"/>
      <c r="SP149" s="11"/>
      <c r="SQ149" s="11"/>
      <c r="SR149" s="11"/>
      <c r="SS149" s="11"/>
      <c r="ST149" s="11"/>
      <c r="SU149" s="11"/>
      <c r="SV149" s="11"/>
      <c r="SW149" s="11"/>
      <c r="SX149" s="11"/>
      <c r="SY149" s="11"/>
      <c r="SZ149" s="11"/>
      <c r="TA149" s="11"/>
      <c r="TB149" s="11"/>
      <c r="TC149" s="11"/>
      <c r="TD149" s="11"/>
      <c r="TE149" s="11"/>
      <c r="TF149" s="11"/>
      <c r="TG149" s="11"/>
      <c r="TH149" s="11"/>
      <c r="TI149" s="11"/>
      <c r="TJ149" s="11"/>
      <c r="TK149" s="11"/>
      <c r="TL149" s="11"/>
    </row>
    <row r="150" spans="1:532" x14ac:dyDescent="0.2">
      <c r="A150" s="10" t="s">
        <v>149</v>
      </c>
      <c r="B150" s="12">
        <v>14.11</v>
      </c>
      <c r="C150" s="11">
        <v>0</v>
      </c>
      <c r="D150" s="11">
        <v>0.88108582082032549</v>
      </c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/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/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/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/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/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/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/>
      <c r="LS150" s="12"/>
      <c r="LT150" s="12"/>
      <c r="LU150" s="12"/>
      <c r="LV150" s="12"/>
      <c r="LW150" s="12"/>
      <c r="LX150" s="12"/>
      <c r="LY150" s="12"/>
      <c r="LZ150" s="12"/>
      <c r="MA150" s="12"/>
      <c r="MB150" s="12"/>
      <c r="MC150" s="12"/>
      <c r="MD150" s="12"/>
      <c r="ME150" s="12"/>
      <c r="MF150" s="12"/>
      <c r="MG150" s="12"/>
      <c r="MH150" s="12"/>
      <c r="MI150" s="12"/>
      <c r="MJ150" s="12"/>
      <c r="MK150" s="12"/>
      <c r="ML150" s="12"/>
      <c r="MM150" s="12"/>
      <c r="MN150" s="12"/>
      <c r="MO150" s="12"/>
      <c r="MP150" s="12"/>
      <c r="MQ150" s="12"/>
      <c r="MR150" s="12"/>
      <c r="MS150" s="12"/>
      <c r="MT150" s="12"/>
      <c r="MU150" s="12"/>
      <c r="MV150" s="12"/>
      <c r="MW150" s="12"/>
      <c r="MX150" s="12"/>
      <c r="MY150" s="12"/>
      <c r="MZ150" s="12"/>
      <c r="NA150" s="12"/>
      <c r="NB150" s="12"/>
      <c r="NC150" s="12"/>
      <c r="ND150" s="12"/>
      <c r="NE150" s="12"/>
      <c r="NF150" s="12"/>
      <c r="NG150" s="12"/>
      <c r="NH150" s="12"/>
      <c r="NI150" s="12"/>
      <c r="NJ150" s="12"/>
      <c r="NK150" s="12"/>
      <c r="NL150" s="12"/>
      <c r="NM150" s="12"/>
      <c r="NN150" s="12"/>
      <c r="NO150" s="12"/>
      <c r="NP150" s="12"/>
      <c r="NQ150" s="12"/>
      <c r="NR150" s="12"/>
      <c r="NS150" s="12"/>
      <c r="NT150" s="12"/>
      <c r="NU150" s="12"/>
      <c r="NV150" s="12"/>
      <c r="NW150" s="12"/>
      <c r="NX150" s="12"/>
      <c r="NY150" s="12"/>
      <c r="NZ150" s="12"/>
      <c r="OA150" s="12"/>
      <c r="OB150" s="12"/>
      <c r="OC150" s="12"/>
      <c r="OD150" s="12"/>
      <c r="OE150" s="12"/>
      <c r="OF150" s="12"/>
      <c r="OG150" s="12"/>
      <c r="OH150" s="12"/>
      <c r="OI150" s="12"/>
      <c r="OJ150" s="12"/>
      <c r="OK150" s="12"/>
      <c r="OL150" s="12"/>
      <c r="OM150" s="12"/>
      <c r="ON150" s="12"/>
      <c r="OO150" s="12"/>
      <c r="OP150" s="12"/>
      <c r="OQ150" s="12"/>
      <c r="OR150" s="12"/>
      <c r="OS150" s="12"/>
      <c r="OT150" s="12"/>
      <c r="OU150" s="12"/>
      <c r="OV150" s="12"/>
      <c r="OW150" s="12"/>
      <c r="OX150" s="12"/>
      <c r="OY150" s="12"/>
      <c r="OZ150" s="12"/>
      <c r="PA150" s="12"/>
      <c r="PB150" s="12"/>
      <c r="PC150" s="12"/>
      <c r="PD150" s="12"/>
      <c r="PE150" s="12"/>
      <c r="PF150" s="12"/>
      <c r="PG150" s="12"/>
      <c r="PH150" s="12"/>
      <c r="PI150" s="12"/>
      <c r="PJ150" s="12"/>
      <c r="PK150" s="12"/>
      <c r="PL150" s="12"/>
      <c r="PM150" s="12"/>
      <c r="PN150" s="12"/>
      <c r="PO150" s="12"/>
      <c r="PP150" s="12"/>
      <c r="PQ150" s="12"/>
      <c r="PR150" s="12"/>
      <c r="PS150" s="12"/>
      <c r="PT150" s="12"/>
      <c r="PU150" s="12"/>
      <c r="PV150" s="12"/>
      <c r="PW150" s="12"/>
      <c r="PX150" s="12"/>
      <c r="PY150" s="12"/>
      <c r="PZ150" s="12"/>
      <c r="QA150" s="12"/>
      <c r="QB150" s="12"/>
      <c r="QC150" s="12"/>
      <c r="QD150" s="12"/>
      <c r="QE150" s="12"/>
      <c r="QF150" s="12"/>
      <c r="QG150" s="12"/>
      <c r="QH150" s="12"/>
      <c r="QI150" s="12"/>
      <c r="QJ150" s="12"/>
      <c r="QK150" s="12"/>
      <c r="QL150" s="12"/>
      <c r="QM150" s="12"/>
      <c r="QN150" s="12"/>
      <c r="QO150" s="12"/>
      <c r="QP150" s="12"/>
      <c r="QQ150" s="12"/>
      <c r="QR150" s="12"/>
      <c r="QS150" s="12"/>
      <c r="QT150" s="12"/>
      <c r="QU150" s="12"/>
      <c r="QV150" s="12"/>
      <c r="QW150" s="12"/>
      <c r="QX150" s="12"/>
      <c r="QY150" s="12"/>
      <c r="QZ150" s="12"/>
      <c r="RA150" s="12"/>
      <c r="RB150" s="12"/>
      <c r="RC150" s="12"/>
      <c r="RD150" s="12"/>
      <c r="RE150" s="12"/>
      <c r="RF150" s="12"/>
      <c r="RG150" s="12"/>
      <c r="RH150" s="12"/>
      <c r="RI150" s="12"/>
      <c r="RJ150" s="12"/>
      <c r="RK150" s="12"/>
      <c r="RL150" s="12"/>
      <c r="RM150" s="12"/>
      <c r="RN150" s="12"/>
      <c r="RO150" s="12"/>
      <c r="RP150" s="12"/>
      <c r="RQ150" s="12"/>
      <c r="RR150" s="12"/>
      <c r="RS150" s="12"/>
      <c r="RT150" s="12"/>
      <c r="RU150" s="12"/>
      <c r="RV150" s="12"/>
      <c r="RW150" s="12"/>
      <c r="RX150" s="12"/>
      <c r="RY150" s="12"/>
      <c r="RZ150" s="12"/>
      <c r="SA150" s="12"/>
      <c r="SB150" s="12"/>
      <c r="SC150" s="12"/>
      <c r="SD150" s="12"/>
      <c r="SE150" s="12"/>
      <c r="SF150" s="12"/>
      <c r="SG150" s="12"/>
      <c r="SH150" s="11"/>
      <c r="SI150" s="11"/>
      <c r="SJ150" s="11"/>
      <c r="SK150" s="11"/>
      <c r="SL150" s="11"/>
      <c r="SM150" s="11"/>
      <c r="SN150" s="11"/>
      <c r="SO150" s="11"/>
      <c r="SP150" s="11"/>
      <c r="SQ150" s="11"/>
      <c r="SR150" s="11"/>
      <c r="SS150" s="11"/>
      <c r="ST150" s="11"/>
      <c r="SU150" s="11"/>
      <c r="SV150" s="11"/>
      <c r="SW150" s="11"/>
      <c r="SX150" s="11"/>
      <c r="SY150" s="11"/>
      <c r="SZ150" s="11"/>
      <c r="TA150" s="11"/>
      <c r="TB150" s="11"/>
      <c r="TC150" s="11"/>
      <c r="TD150" s="11"/>
      <c r="TE150" s="11"/>
      <c r="TF150" s="11"/>
      <c r="TG150" s="11"/>
      <c r="TH150" s="11"/>
      <c r="TI150" s="11"/>
      <c r="TJ150" s="11"/>
      <c r="TK150" s="11"/>
      <c r="TL150" s="11"/>
    </row>
    <row r="151" spans="1:532" x14ac:dyDescent="0.2">
      <c r="A151" s="10" t="s">
        <v>150</v>
      </c>
      <c r="B151" s="12">
        <v>15.24</v>
      </c>
      <c r="C151" s="11">
        <v>0.23759617640098663</v>
      </c>
      <c r="D151" s="11">
        <v>0</v>
      </c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/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/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/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/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/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/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/>
      <c r="LT151" s="12"/>
      <c r="LU151" s="12"/>
      <c r="LV151" s="12"/>
      <c r="LW151" s="12"/>
      <c r="LX151" s="12"/>
      <c r="LY151" s="12"/>
      <c r="LZ151" s="12"/>
      <c r="MA151" s="12"/>
      <c r="MB151" s="12"/>
      <c r="MC151" s="12"/>
      <c r="MD151" s="12"/>
      <c r="ME151" s="12"/>
      <c r="MF151" s="12"/>
      <c r="MG151" s="12"/>
      <c r="MH151" s="12"/>
      <c r="MI151" s="12"/>
      <c r="MJ151" s="12"/>
      <c r="MK151" s="12"/>
      <c r="ML151" s="12"/>
      <c r="MM151" s="12"/>
      <c r="MN151" s="12"/>
      <c r="MO151" s="12"/>
      <c r="MP151" s="12"/>
      <c r="MQ151" s="12"/>
      <c r="MR151" s="12"/>
      <c r="MS151" s="12"/>
      <c r="MT151" s="12"/>
      <c r="MU151" s="12"/>
      <c r="MV151" s="12"/>
      <c r="MW151" s="12"/>
      <c r="MX151" s="12"/>
      <c r="MY151" s="12"/>
      <c r="MZ151" s="12"/>
      <c r="NA151" s="12"/>
      <c r="NB151" s="12"/>
      <c r="NC151" s="12"/>
      <c r="ND151" s="12"/>
      <c r="NE151" s="12"/>
      <c r="NF151" s="12"/>
      <c r="NG151" s="12"/>
      <c r="NH151" s="12"/>
      <c r="NI151" s="12"/>
      <c r="NJ151" s="12"/>
      <c r="NK151" s="12"/>
      <c r="NL151" s="12"/>
      <c r="NM151" s="12"/>
      <c r="NN151" s="12"/>
      <c r="NO151" s="12"/>
      <c r="NP151" s="12"/>
      <c r="NQ151" s="12"/>
      <c r="NR151" s="12"/>
      <c r="NS151" s="12"/>
      <c r="NT151" s="12"/>
      <c r="NU151" s="12"/>
      <c r="NV151" s="12"/>
      <c r="NW151" s="12"/>
      <c r="NX151" s="12"/>
      <c r="NY151" s="12"/>
      <c r="NZ151" s="12"/>
      <c r="OA151" s="12"/>
      <c r="OB151" s="12"/>
      <c r="OC151" s="12"/>
      <c r="OD151" s="12"/>
      <c r="OE151" s="12"/>
      <c r="OF151" s="12"/>
      <c r="OG151" s="12"/>
      <c r="OH151" s="12"/>
      <c r="OI151" s="12"/>
      <c r="OJ151" s="12"/>
      <c r="OK151" s="12"/>
      <c r="OL151" s="12"/>
      <c r="OM151" s="12"/>
      <c r="ON151" s="12"/>
      <c r="OO151" s="12"/>
      <c r="OP151" s="12"/>
      <c r="OQ151" s="12"/>
      <c r="OR151" s="12"/>
      <c r="OS151" s="12"/>
      <c r="OT151" s="12"/>
      <c r="OU151" s="12"/>
      <c r="OV151" s="12"/>
      <c r="OW151" s="12"/>
      <c r="OX151" s="12"/>
      <c r="OY151" s="12"/>
      <c r="OZ151" s="12"/>
      <c r="PA151" s="12"/>
      <c r="PB151" s="12"/>
      <c r="PC151" s="12"/>
      <c r="PD151" s="12"/>
      <c r="PE151" s="12"/>
      <c r="PF151" s="12"/>
      <c r="PG151" s="12"/>
      <c r="PH151" s="12"/>
      <c r="PI151" s="12"/>
      <c r="PJ151" s="12"/>
      <c r="PK151" s="12"/>
      <c r="PL151" s="12"/>
      <c r="PM151" s="12"/>
      <c r="PN151" s="12"/>
      <c r="PO151" s="12"/>
      <c r="PP151" s="12"/>
      <c r="PQ151" s="12"/>
      <c r="PR151" s="12"/>
      <c r="PS151" s="12"/>
      <c r="PT151" s="12"/>
      <c r="PU151" s="12"/>
      <c r="PV151" s="12"/>
      <c r="PW151" s="12"/>
      <c r="PX151" s="12"/>
      <c r="PY151" s="12"/>
      <c r="PZ151" s="12"/>
      <c r="QA151" s="12"/>
      <c r="QB151" s="12"/>
      <c r="QC151" s="12"/>
      <c r="QD151" s="12"/>
      <c r="QE151" s="12"/>
      <c r="QF151" s="12"/>
      <c r="QG151" s="12"/>
      <c r="QH151" s="12"/>
      <c r="QI151" s="12"/>
      <c r="QJ151" s="12"/>
      <c r="QK151" s="12"/>
      <c r="QL151" s="12"/>
      <c r="QM151" s="12"/>
      <c r="QN151" s="12"/>
      <c r="QO151" s="12"/>
      <c r="QP151" s="12"/>
      <c r="QQ151" s="12"/>
      <c r="QR151" s="12"/>
      <c r="QS151" s="12"/>
      <c r="QT151" s="12"/>
      <c r="QU151" s="12"/>
      <c r="QV151" s="12"/>
      <c r="QW151" s="12"/>
      <c r="QX151" s="12"/>
      <c r="QY151" s="12"/>
      <c r="QZ151" s="12"/>
      <c r="RA151" s="12"/>
      <c r="RB151" s="12"/>
      <c r="RC151" s="12"/>
      <c r="RD151" s="12"/>
      <c r="RE151" s="12"/>
      <c r="RF151" s="12"/>
      <c r="RG151" s="12"/>
      <c r="RH151" s="12"/>
      <c r="RI151" s="12"/>
      <c r="RJ151" s="12"/>
      <c r="RK151" s="12"/>
      <c r="RL151" s="12"/>
      <c r="RM151" s="12"/>
      <c r="RN151" s="12"/>
      <c r="RO151" s="12"/>
      <c r="RP151" s="12"/>
      <c r="RQ151" s="12"/>
      <c r="RR151" s="12"/>
      <c r="RS151" s="12"/>
      <c r="RT151" s="12"/>
      <c r="RU151" s="12"/>
      <c r="RV151" s="12"/>
      <c r="RW151" s="12"/>
      <c r="RX151" s="12"/>
      <c r="RY151" s="12"/>
      <c r="RZ151" s="12"/>
      <c r="SA151" s="12"/>
      <c r="SB151" s="12"/>
      <c r="SC151" s="12"/>
      <c r="SD151" s="12"/>
      <c r="SE151" s="12"/>
      <c r="SF151" s="12"/>
      <c r="SG151" s="12"/>
      <c r="SH151" s="11"/>
      <c r="SI151" s="11"/>
      <c r="SJ151" s="11"/>
      <c r="SK151" s="11"/>
      <c r="SL151" s="11"/>
      <c r="SM151" s="11"/>
      <c r="SN151" s="11"/>
      <c r="SO151" s="11"/>
      <c r="SP151" s="11"/>
      <c r="SQ151" s="11"/>
      <c r="SR151" s="11"/>
      <c r="SS151" s="11"/>
      <c r="ST151" s="11"/>
      <c r="SU151" s="11"/>
      <c r="SV151" s="11"/>
      <c r="SW151" s="11"/>
      <c r="SX151" s="11"/>
      <c r="SY151" s="11"/>
      <c r="SZ151" s="11"/>
      <c r="TA151" s="11"/>
      <c r="TB151" s="11"/>
      <c r="TC151" s="11"/>
      <c r="TD151" s="11"/>
      <c r="TE151" s="11"/>
      <c r="TF151" s="11"/>
      <c r="TG151" s="11"/>
      <c r="TH151" s="11"/>
      <c r="TI151" s="11"/>
      <c r="TJ151" s="11"/>
      <c r="TK151" s="11"/>
      <c r="TL151" s="11"/>
    </row>
    <row r="152" spans="1:532" x14ac:dyDescent="0.2">
      <c r="A152" s="10" t="s">
        <v>151</v>
      </c>
      <c r="B152" s="12">
        <v>15.13</v>
      </c>
      <c r="C152" s="11">
        <v>0.12869792888386777</v>
      </c>
      <c r="D152" s="11">
        <v>0</v>
      </c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/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/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/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/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/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/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/>
      <c r="LR152" s="12"/>
      <c r="LS152" s="12"/>
      <c r="LT152" s="12"/>
      <c r="LU152" s="12"/>
      <c r="LV152" s="12"/>
      <c r="LW152" s="12"/>
      <c r="LX152" s="12"/>
      <c r="LY152" s="12"/>
      <c r="LZ152" s="12"/>
      <c r="MA152" s="12"/>
      <c r="MB152" s="12"/>
      <c r="MC152" s="12"/>
      <c r="MD152" s="12"/>
      <c r="ME152" s="12"/>
      <c r="MF152" s="12"/>
      <c r="MG152" s="12"/>
      <c r="MH152" s="12"/>
      <c r="MI152" s="12"/>
      <c r="MJ152" s="12"/>
      <c r="MK152" s="12"/>
      <c r="ML152" s="12"/>
      <c r="MM152" s="12"/>
      <c r="MN152" s="12"/>
      <c r="MO152" s="12"/>
      <c r="MP152" s="12"/>
      <c r="MQ152" s="12"/>
      <c r="MR152" s="12"/>
      <c r="MS152" s="12"/>
      <c r="MT152" s="12"/>
      <c r="MU152" s="12"/>
      <c r="MV152" s="12"/>
      <c r="MW152" s="12"/>
      <c r="MX152" s="12"/>
      <c r="MY152" s="12"/>
      <c r="MZ152" s="12"/>
      <c r="NA152" s="12"/>
      <c r="NB152" s="12"/>
      <c r="NC152" s="12"/>
      <c r="ND152" s="12"/>
      <c r="NE152" s="12"/>
      <c r="NF152" s="12"/>
      <c r="NG152" s="12"/>
      <c r="NH152" s="12"/>
      <c r="NI152" s="12"/>
      <c r="NJ152" s="12"/>
      <c r="NK152" s="12"/>
      <c r="NL152" s="12"/>
      <c r="NM152" s="12"/>
      <c r="NN152" s="12"/>
      <c r="NO152" s="12"/>
      <c r="NP152" s="12"/>
      <c r="NQ152" s="12"/>
      <c r="NR152" s="12"/>
      <c r="NS152" s="12"/>
      <c r="NT152" s="12"/>
      <c r="NU152" s="12"/>
      <c r="NV152" s="12"/>
      <c r="NW152" s="12"/>
      <c r="NX152" s="12"/>
      <c r="NY152" s="12"/>
      <c r="NZ152" s="12"/>
      <c r="OA152" s="12"/>
      <c r="OB152" s="12"/>
      <c r="OC152" s="12"/>
      <c r="OD152" s="12"/>
      <c r="OE152" s="12"/>
      <c r="OF152" s="12"/>
      <c r="OG152" s="12"/>
      <c r="OH152" s="12"/>
      <c r="OI152" s="12"/>
      <c r="OJ152" s="12"/>
      <c r="OK152" s="12"/>
      <c r="OL152" s="12"/>
      <c r="OM152" s="12"/>
      <c r="ON152" s="12"/>
      <c r="OO152" s="12"/>
      <c r="OP152" s="12"/>
      <c r="OQ152" s="12"/>
      <c r="OR152" s="12"/>
      <c r="OS152" s="12"/>
      <c r="OT152" s="12"/>
      <c r="OU152" s="12"/>
      <c r="OV152" s="12"/>
      <c r="OW152" s="12"/>
      <c r="OX152" s="12"/>
      <c r="OY152" s="12"/>
      <c r="OZ152" s="12"/>
      <c r="PA152" s="12"/>
      <c r="PB152" s="12"/>
      <c r="PC152" s="12"/>
      <c r="PD152" s="12"/>
      <c r="PE152" s="12"/>
      <c r="PF152" s="12"/>
      <c r="PG152" s="12"/>
      <c r="PH152" s="12"/>
      <c r="PI152" s="12"/>
      <c r="PJ152" s="12"/>
      <c r="PK152" s="12"/>
      <c r="PL152" s="12"/>
      <c r="PM152" s="12"/>
      <c r="PN152" s="12"/>
      <c r="PO152" s="12"/>
      <c r="PP152" s="12"/>
      <c r="PQ152" s="12"/>
      <c r="PR152" s="12"/>
      <c r="PS152" s="12"/>
      <c r="PT152" s="12"/>
      <c r="PU152" s="12"/>
      <c r="PV152" s="12"/>
      <c r="PW152" s="12"/>
      <c r="PX152" s="12"/>
      <c r="PY152" s="12"/>
      <c r="PZ152" s="12"/>
      <c r="QA152" s="12"/>
      <c r="QB152" s="12"/>
      <c r="QC152" s="12"/>
      <c r="QD152" s="12"/>
      <c r="QE152" s="12"/>
      <c r="QF152" s="12"/>
      <c r="QG152" s="12"/>
      <c r="QH152" s="12"/>
      <c r="QI152" s="12"/>
      <c r="QJ152" s="12"/>
      <c r="QK152" s="12"/>
      <c r="QL152" s="12"/>
      <c r="QM152" s="12"/>
      <c r="QN152" s="12"/>
      <c r="QO152" s="12"/>
      <c r="QP152" s="12"/>
      <c r="QQ152" s="12"/>
      <c r="QR152" s="12"/>
      <c r="QS152" s="12"/>
      <c r="QT152" s="12"/>
      <c r="QU152" s="12"/>
      <c r="QV152" s="12"/>
      <c r="QW152" s="12"/>
      <c r="QX152" s="12"/>
      <c r="QY152" s="12"/>
      <c r="QZ152" s="12"/>
      <c r="RA152" s="12"/>
      <c r="RB152" s="12"/>
      <c r="RC152" s="12"/>
      <c r="RD152" s="12"/>
      <c r="RE152" s="12"/>
      <c r="RF152" s="12"/>
      <c r="RG152" s="12"/>
      <c r="RH152" s="12"/>
      <c r="RI152" s="12"/>
      <c r="RJ152" s="12"/>
      <c r="RK152" s="12"/>
      <c r="RL152" s="12"/>
      <c r="RM152" s="12"/>
      <c r="RN152" s="12"/>
      <c r="RO152" s="12"/>
      <c r="RP152" s="12"/>
      <c r="RQ152" s="12"/>
      <c r="RR152" s="12"/>
      <c r="RS152" s="12"/>
      <c r="RT152" s="12"/>
      <c r="RU152" s="12"/>
      <c r="RV152" s="12"/>
      <c r="RW152" s="12"/>
      <c r="RX152" s="12"/>
      <c r="RY152" s="12"/>
      <c r="RZ152" s="12"/>
      <c r="SA152" s="12"/>
      <c r="SB152" s="12"/>
      <c r="SC152" s="12"/>
      <c r="SD152" s="12"/>
      <c r="SE152" s="12"/>
      <c r="SF152" s="12"/>
      <c r="SG152" s="12"/>
      <c r="SH152" s="11"/>
      <c r="SI152" s="11"/>
      <c r="SJ152" s="11"/>
      <c r="SK152" s="11"/>
      <c r="SL152" s="11"/>
      <c r="SM152" s="11"/>
      <c r="SN152" s="11"/>
      <c r="SO152" s="11"/>
      <c r="SP152" s="11"/>
      <c r="SQ152" s="11"/>
      <c r="SR152" s="11"/>
      <c r="SS152" s="11"/>
      <c r="ST152" s="11"/>
      <c r="SU152" s="11"/>
      <c r="SV152" s="11"/>
      <c r="SW152" s="11"/>
      <c r="SX152" s="11"/>
      <c r="SY152" s="11"/>
      <c r="SZ152" s="11"/>
      <c r="TA152" s="11"/>
      <c r="TB152" s="11"/>
      <c r="TC152" s="11"/>
      <c r="TD152" s="11"/>
      <c r="TE152" s="11"/>
      <c r="TF152" s="11"/>
      <c r="TG152" s="11"/>
      <c r="TH152" s="11"/>
      <c r="TI152" s="11"/>
      <c r="TJ152" s="11"/>
      <c r="TK152" s="11"/>
      <c r="TL152" s="11"/>
    </row>
    <row r="153" spans="1:532" x14ac:dyDescent="0.2">
      <c r="A153" s="10" t="s">
        <v>152</v>
      </c>
      <c r="B153" s="12">
        <v>14.47</v>
      </c>
      <c r="C153" s="11">
        <v>0</v>
      </c>
      <c r="D153" s="11">
        <v>0.52469155621884556</v>
      </c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/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/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/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/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/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/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/>
      <c r="LS153" s="12"/>
      <c r="LT153" s="12"/>
      <c r="LU153" s="12"/>
      <c r="LV153" s="12"/>
      <c r="LW153" s="12"/>
      <c r="LX153" s="12"/>
      <c r="LY153" s="12"/>
      <c r="LZ153" s="12"/>
      <c r="MA153" s="12"/>
      <c r="MB153" s="12"/>
      <c r="MC153" s="12"/>
      <c r="MD153" s="12"/>
      <c r="ME153" s="12"/>
      <c r="MF153" s="12"/>
      <c r="MG153" s="12"/>
      <c r="MH153" s="12"/>
      <c r="MI153" s="12"/>
      <c r="MJ153" s="12"/>
      <c r="MK153" s="12"/>
      <c r="ML153" s="12"/>
      <c r="MM153" s="12"/>
      <c r="MN153" s="12"/>
      <c r="MO153" s="12"/>
      <c r="MP153" s="12"/>
      <c r="MQ153" s="12"/>
      <c r="MR153" s="12"/>
      <c r="MS153" s="12"/>
      <c r="MT153" s="12"/>
      <c r="MU153" s="12"/>
      <c r="MV153" s="12"/>
      <c r="MW153" s="12"/>
      <c r="MX153" s="12"/>
      <c r="MY153" s="12"/>
      <c r="MZ153" s="12"/>
      <c r="NA153" s="12"/>
      <c r="NB153" s="12"/>
      <c r="NC153" s="12"/>
      <c r="ND153" s="12"/>
      <c r="NE153" s="12"/>
      <c r="NF153" s="12"/>
      <c r="NG153" s="12"/>
      <c r="NH153" s="12"/>
      <c r="NI153" s="12"/>
      <c r="NJ153" s="12"/>
      <c r="NK153" s="12"/>
      <c r="NL153" s="12"/>
      <c r="NM153" s="12"/>
      <c r="NN153" s="12"/>
      <c r="NO153" s="12"/>
      <c r="NP153" s="12"/>
      <c r="NQ153" s="12"/>
      <c r="NR153" s="12"/>
      <c r="NS153" s="12"/>
      <c r="NT153" s="12"/>
      <c r="NU153" s="12"/>
      <c r="NV153" s="12"/>
      <c r="NW153" s="12"/>
      <c r="NX153" s="12"/>
      <c r="NY153" s="12"/>
      <c r="NZ153" s="12"/>
      <c r="OA153" s="12"/>
      <c r="OB153" s="12"/>
      <c r="OC153" s="12"/>
      <c r="OD153" s="12"/>
      <c r="OE153" s="12"/>
      <c r="OF153" s="12"/>
      <c r="OG153" s="12"/>
      <c r="OH153" s="12"/>
      <c r="OI153" s="12"/>
      <c r="OJ153" s="12"/>
      <c r="OK153" s="12"/>
      <c r="OL153" s="12"/>
      <c r="OM153" s="12"/>
      <c r="ON153" s="12"/>
      <c r="OO153" s="12"/>
      <c r="OP153" s="12"/>
      <c r="OQ153" s="12"/>
      <c r="OR153" s="12"/>
      <c r="OS153" s="12"/>
      <c r="OT153" s="12"/>
      <c r="OU153" s="12"/>
      <c r="OV153" s="12"/>
      <c r="OW153" s="12"/>
      <c r="OX153" s="12"/>
      <c r="OY153" s="12"/>
      <c r="OZ153" s="12"/>
      <c r="PA153" s="12"/>
      <c r="PB153" s="12"/>
      <c r="PC153" s="12"/>
      <c r="PD153" s="12"/>
      <c r="PE153" s="12"/>
      <c r="PF153" s="12"/>
      <c r="PG153" s="12"/>
      <c r="PH153" s="12"/>
      <c r="PI153" s="12"/>
      <c r="PJ153" s="12"/>
      <c r="PK153" s="12"/>
      <c r="PL153" s="12"/>
      <c r="PM153" s="12"/>
      <c r="PN153" s="12"/>
      <c r="PO153" s="12"/>
      <c r="PP153" s="12"/>
      <c r="PQ153" s="12"/>
      <c r="PR153" s="12"/>
      <c r="PS153" s="12"/>
      <c r="PT153" s="12"/>
      <c r="PU153" s="12"/>
      <c r="PV153" s="12"/>
      <c r="PW153" s="12"/>
      <c r="PX153" s="12"/>
      <c r="PY153" s="12"/>
      <c r="PZ153" s="12"/>
      <c r="QA153" s="12"/>
      <c r="QB153" s="12"/>
      <c r="QC153" s="12"/>
      <c r="QD153" s="12"/>
      <c r="QE153" s="12"/>
      <c r="QF153" s="12"/>
      <c r="QG153" s="12"/>
      <c r="QH153" s="12"/>
      <c r="QI153" s="12"/>
      <c r="QJ153" s="12"/>
      <c r="QK153" s="12"/>
      <c r="QL153" s="12"/>
      <c r="QM153" s="12"/>
      <c r="QN153" s="12"/>
      <c r="QO153" s="12"/>
      <c r="QP153" s="12"/>
      <c r="QQ153" s="12"/>
      <c r="QR153" s="12"/>
      <c r="QS153" s="12"/>
      <c r="QT153" s="12"/>
      <c r="QU153" s="12"/>
      <c r="QV153" s="12"/>
      <c r="QW153" s="12"/>
      <c r="QX153" s="12"/>
      <c r="QY153" s="12"/>
      <c r="QZ153" s="12"/>
      <c r="RA153" s="12"/>
      <c r="RB153" s="12"/>
      <c r="RC153" s="12"/>
      <c r="RD153" s="12"/>
      <c r="RE153" s="12"/>
      <c r="RF153" s="12"/>
      <c r="RG153" s="12"/>
      <c r="RH153" s="12"/>
      <c r="RI153" s="12"/>
      <c r="RJ153" s="12"/>
      <c r="RK153" s="12"/>
      <c r="RL153" s="12"/>
      <c r="RM153" s="12"/>
      <c r="RN153" s="12"/>
      <c r="RO153" s="12"/>
      <c r="RP153" s="12"/>
      <c r="RQ153" s="12"/>
      <c r="RR153" s="12"/>
      <c r="RS153" s="12"/>
      <c r="RT153" s="12"/>
      <c r="RU153" s="12"/>
      <c r="RV153" s="12"/>
      <c r="RW153" s="12"/>
      <c r="RX153" s="12"/>
      <c r="RY153" s="12"/>
      <c r="RZ153" s="12"/>
      <c r="SA153" s="12"/>
      <c r="SB153" s="12"/>
      <c r="SC153" s="12"/>
      <c r="SD153" s="12"/>
      <c r="SE153" s="12"/>
      <c r="SF153" s="12"/>
      <c r="SG153" s="12"/>
      <c r="SH153" s="11"/>
      <c r="SI153" s="11"/>
      <c r="SJ153" s="11"/>
      <c r="SK153" s="11"/>
      <c r="SL153" s="11"/>
      <c r="SM153" s="11"/>
      <c r="SN153" s="11"/>
      <c r="SO153" s="11"/>
      <c r="SP153" s="11"/>
      <c r="SQ153" s="11"/>
      <c r="SR153" s="11"/>
      <c r="SS153" s="11"/>
      <c r="ST153" s="11"/>
      <c r="SU153" s="11"/>
      <c r="SV153" s="11"/>
      <c r="SW153" s="11"/>
      <c r="SX153" s="11"/>
      <c r="SY153" s="11"/>
      <c r="SZ153" s="11"/>
      <c r="TA153" s="11"/>
      <c r="TB153" s="11"/>
      <c r="TC153" s="11"/>
      <c r="TD153" s="11"/>
      <c r="TE153" s="11"/>
      <c r="TF153" s="11"/>
      <c r="TG153" s="11"/>
      <c r="TH153" s="11"/>
      <c r="TI153" s="11"/>
      <c r="TJ153" s="11"/>
      <c r="TK153" s="11"/>
      <c r="TL153" s="11"/>
    </row>
    <row r="154" spans="1:532" x14ac:dyDescent="0.2">
      <c r="A154" s="10" t="s">
        <v>153</v>
      </c>
      <c r="B154" s="12">
        <v>15.24</v>
      </c>
      <c r="C154" s="11">
        <v>0.23759617640098663</v>
      </c>
      <c r="D154" s="11">
        <v>0</v>
      </c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/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/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/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/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/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/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/>
      <c r="LT154" s="12"/>
      <c r="LU154" s="12"/>
      <c r="LV154" s="12"/>
      <c r="LW154" s="12"/>
      <c r="LX154" s="12"/>
      <c r="LY154" s="12"/>
      <c r="LZ154" s="12"/>
      <c r="MA154" s="12"/>
      <c r="MB154" s="12"/>
      <c r="MC154" s="12"/>
      <c r="MD154" s="12"/>
      <c r="ME154" s="12"/>
      <c r="MF154" s="12"/>
      <c r="MG154" s="12"/>
      <c r="MH154" s="12"/>
      <c r="MI154" s="12"/>
      <c r="MJ154" s="12"/>
      <c r="MK154" s="12"/>
      <c r="ML154" s="12"/>
      <c r="MM154" s="12"/>
      <c r="MN154" s="12"/>
      <c r="MO154" s="12"/>
      <c r="MP154" s="12"/>
      <c r="MQ154" s="12"/>
      <c r="MR154" s="12"/>
      <c r="MS154" s="12"/>
      <c r="MT154" s="12"/>
      <c r="MU154" s="12"/>
      <c r="MV154" s="12"/>
      <c r="MW154" s="12"/>
      <c r="MX154" s="12"/>
      <c r="MY154" s="12"/>
      <c r="MZ154" s="12"/>
      <c r="NA154" s="12"/>
      <c r="NB154" s="12"/>
      <c r="NC154" s="12"/>
      <c r="ND154" s="12"/>
      <c r="NE154" s="12"/>
      <c r="NF154" s="12"/>
      <c r="NG154" s="12"/>
      <c r="NH154" s="12"/>
      <c r="NI154" s="12"/>
      <c r="NJ154" s="12"/>
      <c r="NK154" s="12"/>
      <c r="NL154" s="12"/>
      <c r="NM154" s="12"/>
      <c r="NN154" s="12"/>
      <c r="NO154" s="12"/>
      <c r="NP154" s="12"/>
      <c r="NQ154" s="12"/>
      <c r="NR154" s="12"/>
      <c r="NS154" s="12"/>
      <c r="NT154" s="12"/>
      <c r="NU154" s="12"/>
      <c r="NV154" s="12"/>
      <c r="NW154" s="12"/>
      <c r="NX154" s="12"/>
      <c r="NY154" s="12"/>
      <c r="NZ154" s="12"/>
      <c r="OA154" s="12"/>
      <c r="OB154" s="12"/>
      <c r="OC154" s="12"/>
      <c r="OD154" s="12"/>
      <c r="OE154" s="12"/>
      <c r="OF154" s="12"/>
      <c r="OG154" s="12"/>
      <c r="OH154" s="12"/>
      <c r="OI154" s="12"/>
      <c r="OJ154" s="12"/>
      <c r="OK154" s="12"/>
      <c r="OL154" s="12"/>
      <c r="OM154" s="12"/>
      <c r="ON154" s="12"/>
      <c r="OO154" s="12"/>
      <c r="OP154" s="12"/>
      <c r="OQ154" s="12"/>
      <c r="OR154" s="12"/>
      <c r="OS154" s="12"/>
      <c r="OT154" s="12"/>
      <c r="OU154" s="12"/>
      <c r="OV154" s="12"/>
      <c r="OW154" s="12"/>
      <c r="OX154" s="12"/>
      <c r="OY154" s="12"/>
      <c r="OZ154" s="12"/>
      <c r="PA154" s="12"/>
      <c r="PB154" s="12"/>
      <c r="PC154" s="12"/>
      <c r="PD154" s="12"/>
      <c r="PE154" s="12"/>
      <c r="PF154" s="12"/>
      <c r="PG154" s="12"/>
      <c r="PH154" s="12"/>
      <c r="PI154" s="12"/>
      <c r="PJ154" s="12"/>
      <c r="PK154" s="12"/>
      <c r="PL154" s="12"/>
      <c r="PM154" s="12"/>
      <c r="PN154" s="12"/>
      <c r="PO154" s="12"/>
      <c r="PP154" s="12"/>
      <c r="PQ154" s="12"/>
      <c r="PR154" s="12"/>
      <c r="PS154" s="12"/>
      <c r="PT154" s="12"/>
      <c r="PU154" s="12"/>
      <c r="PV154" s="12"/>
      <c r="PW154" s="12"/>
      <c r="PX154" s="12"/>
      <c r="PY154" s="12"/>
      <c r="PZ154" s="12"/>
      <c r="QA154" s="12"/>
      <c r="QB154" s="12"/>
      <c r="QC154" s="12"/>
      <c r="QD154" s="12"/>
      <c r="QE154" s="12"/>
      <c r="QF154" s="12"/>
      <c r="QG154" s="12"/>
      <c r="QH154" s="12"/>
      <c r="QI154" s="12"/>
      <c r="QJ154" s="12"/>
      <c r="QK154" s="12"/>
      <c r="QL154" s="12"/>
      <c r="QM154" s="12"/>
      <c r="QN154" s="12"/>
      <c r="QO154" s="12"/>
      <c r="QP154" s="12"/>
      <c r="QQ154" s="12"/>
      <c r="QR154" s="12"/>
      <c r="QS154" s="12"/>
      <c r="QT154" s="12"/>
      <c r="QU154" s="12"/>
      <c r="QV154" s="12"/>
      <c r="QW154" s="12"/>
      <c r="QX154" s="12"/>
      <c r="QY154" s="12"/>
      <c r="QZ154" s="12"/>
      <c r="RA154" s="12"/>
      <c r="RB154" s="12"/>
      <c r="RC154" s="12"/>
      <c r="RD154" s="12"/>
      <c r="RE154" s="12"/>
      <c r="RF154" s="12"/>
      <c r="RG154" s="12"/>
      <c r="RH154" s="12"/>
      <c r="RI154" s="12"/>
      <c r="RJ154" s="12"/>
      <c r="RK154" s="12"/>
      <c r="RL154" s="12"/>
      <c r="RM154" s="12"/>
      <c r="RN154" s="12"/>
      <c r="RO154" s="12"/>
      <c r="RP154" s="12"/>
      <c r="RQ154" s="12"/>
      <c r="RR154" s="12"/>
      <c r="RS154" s="12"/>
      <c r="RT154" s="12"/>
      <c r="RU154" s="12"/>
      <c r="RV154" s="12"/>
      <c r="RW154" s="12"/>
      <c r="RX154" s="12"/>
      <c r="RY154" s="12"/>
      <c r="RZ154" s="12"/>
      <c r="SA154" s="12"/>
      <c r="SB154" s="12"/>
      <c r="SC154" s="12"/>
      <c r="SD154" s="12"/>
      <c r="SE154" s="12"/>
      <c r="SF154" s="12"/>
      <c r="SG154" s="12"/>
      <c r="SH154" s="11"/>
      <c r="SI154" s="11"/>
      <c r="SJ154" s="11"/>
      <c r="SK154" s="11"/>
      <c r="SL154" s="11"/>
      <c r="SM154" s="11"/>
      <c r="SN154" s="11"/>
      <c r="SO154" s="11"/>
      <c r="SP154" s="11"/>
      <c r="SQ154" s="11"/>
      <c r="SR154" s="11"/>
      <c r="SS154" s="11"/>
      <c r="ST154" s="11"/>
      <c r="SU154" s="11"/>
      <c r="SV154" s="11"/>
      <c r="SW154" s="11"/>
      <c r="SX154" s="11"/>
      <c r="SY154" s="11"/>
      <c r="SZ154" s="11"/>
      <c r="TA154" s="11"/>
      <c r="TB154" s="11"/>
      <c r="TC154" s="11"/>
      <c r="TD154" s="11"/>
      <c r="TE154" s="11"/>
      <c r="TF154" s="11"/>
      <c r="TG154" s="11"/>
      <c r="TH154" s="11"/>
      <c r="TI154" s="11"/>
      <c r="TJ154" s="11"/>
      <c r="TK154" s="11"/>
      <c r="TL154" s="11"/>
    </row>
    <row r="155" spans="1:532" x14ac:dyDescent="0.2">
      <c r="A155" s="10" t="s">
        <v>154</v>
      </c>
      <c r="B155" s="12">
        <v>12.95</v>
      </c>
      <c r="C155" s="11">
        <v>0</v>
      </c>
      <c r="D155" s="11">
        <v>2.0294673400917609</v>
      </c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12"/>
      <c r="IP155" s="12"/>
      <c r="IQ155" s="12"/>
      <c r="IR155" s="12"/>
      <c r="IS155" s="12"/>
      <c r="IT155" s="12"/>
      <c r="IU155" s="12"/>
      <c r="IV155" s="12"/>
      <c r="IW155" s="12"/>
      <c r="IX155" s="12"/>
      <c r="IY155" s="12"/>
      <c r="IZ155" s="12"/>
      <c r="JA155" s="12"/>
      <c r="JB155" s="12"/>
      <c r="JC155" s="12"/>
      <c r="JD155" s="12"/>
      <c r="JE155" s="12"/>
      <c r="JF155" s="12"/>
      <c r="JG155" s="12"/>
      <c r="JH155" s="12"/>
      <c r="JI155" s="12"/>
      <c r="JJ155" s="12"/>
      <c r="JK155" s="12"/>
      <c r="JL155" s="12"/>
      <c r="JM155" s="12"/>
      <c r="JN155" s="12"/>
      <c r="JO155" s="12"/>
      <c r="JP155" s="12"/>
      <c r="JQ155" s="12"/>
      <c r="JR155" s="12"/>
      <c r="JS155" s="12"/>
      <c r="JT155" s="12"/>
      <c r="JU155" s="12"/>
      <c r="JV155" s="12"/>
      <c r="JW155" s="12"/>
      <c r="JX155" s="12"/>
      <c r="JY155" s="12"/>
      <c r="JZ155" s="12"/>
      <c r="KA155" s="12"/>
      <c r="KB155" s="12"/>
      <c r="KC155" s="12"/>
      <c r="KD155" s="12"/>
      <c r="KE155" s="12"/>
      <c r="KF155" s="12"/>
      <c r="KG155" s="12"/>
      <c r="KH155" s="12"/>
      <c r="KI155" s="12"/>
      <c r="KJ155" s="12"/>
      <c r="KK155" s="12"/>
      <c r="KL155" s="12"/>
      <c r="KM155" s="12"/>
      <c r="KN155" s="12"/>
      <c r="KO155" s="12"/>
      <c r="KP155" s="12"/>
      <c r="KQ155" s="12"/>
      <c r="KR155" s="12"/>
      <c r="KS155" s="12"/>
      <c r="KT155" s="12"/>
      <c r="KU155" s="12"/>
      <c r="KV155" s="12"/>
      <c r="KW155" s="12"/>
      <c r="KX155" s="12"/>
      <c r="KY155" s="12"/>
      <c r="KZ155" s="12"/>
      <c r="LA155" s="12"/>
      <c r="LB155" s="12"/>
      <c r="LC155" s="12"/>
      <c r="LD155" s="12"/>
      <c r="LE155" s="12"/>
      <c r="LF155" s="12"/>
      <c r="LG155" s="12"/>
      <c r="LH155" s="12"/>
      <c r="LI155" s="12"/>
      <c r="LJ155" s="12"/>
      <c r="LK155" s="12"/>
      <c r="LL155" s="12"/>
      <c r="LM155" s="12"/>
      <c r="LN155" s="12"/>
      <c r="LO155" s="12"/>
      <c r="LP155" s="12"/>
      <c r="LQ155" s="12"/>
      <c r="LR155" s="12"/>
      <c r="LS155" s="12"/>
      <c r="LT155" s="12"/>
      <c r="LU155" s="12"/>
      <c r="LV155" s="12"/>
      <c r="LW155" s="12"/>
      <c r="LX155" s="12"/>
      <c r="LY155" s="12"/>
      <c r="LZ155" s="12"/>
      <c r="MA155" s="12"/>
      <c r="MB155" s="12"/>
      <c r="MC155" s="12"/>
      <c r="MD155" s="12"/>
      <c r="ME155" s="12"/>
      <c r="MF155" s="12"/>
      <c r="MG155" s="12"/>
      <c r="MH155" s="12"/>
      <c r="MI155" s="12"/>
      <c r="MJ155" s="12"/>
      <c r="MK155" s="12"/>
      <c r="ML155" s="12"/>
      <c r="MM155" s="12"/>
      <c r="MN155" s="12"/>
      <c r="MO155" s="12"/>
      <c r="MP155" s="12"/>
      <c r="MQ155" s="12"/>
      <c r="MR155" s="12"/>
      <c r="MS155" s="12"/>
      <c r="MT155" s="12"/>
      <c r="MU155" s="12"/>
      <c r="MV155" s="12"/>
      <c r="MW155" s="12"/>
      <c r="MX155" s="12"/>
      <c r="MY155" s="12"/>
      <c r="MZ155" s="12"/>
      <c r="NA155" s="12"/>
      <c r="NB155" s="12"/>
      <c r="NC155" s="12"/>
      <c r="ND155" s="12"/>
      <c r="NE155" s="12"/>
      <c r="NF155" s="12"/>
      <c r="NG155" s="12"/>
      <c r="NH155" s="12"/>
      <c r="NI155" s="12"/>
      <c r="NJ155" s="12"/>
      <c r="NK155" s="12"/>
      <c r="NL155" s="12"/>
      <c r="NM155" s="12"/>
      <c r="NN155" s="12"/>
      <c r="NO155" s="12"/>
      <c r="NP155" s="12"/>
      <c r="NQ155" s="12"/>
      <c r="NR155" s="12"/>
      <c r="NS155" s="12"/>
      <c r="NT155" s="12"/>
      <c r="NU155" s="12"/>
      <c r="NV155" s="12"/>
      <c r="NW155" s="12"/>
      <c r="NX155" s="12"/>
      <c r="NY155" s="12"/>
      <c r="NZ155" s="12"/>
      <c r="OA155" s="12"/>
      <c r="OB155" s="12"/>
      <c r="OC155" s="12"/>
      <c r="OD155" s="12"/>
      <c r="OE155" s="12"/>
      <c r="OF155" s="12"/>
      <c r="OG155" s="12"/>
      <c r="OH155" s="12"/>
      <c r="OI155" s="12"/>
      <c r="OJ155" s="12"/>
      <c r="OK155" s="12"/>
      <c r="OL155" s="12"/>
      <c r="OM155" s="12"/>
      <c r="ON155" s="12"/>
      <c r="OO155" s="12"/>
      <c r="OP155" s="12"/>
      <c r="OQ155" s="12"/>
      <c r="OR155" s="12"/>
      <c r="OS155" s="12"/>
      <c r="OT155" s="12"/>
      <c r="OU155" s="12"/>
      <c r="OV155" s="12"/>
      <c r="OW155" s="12"/>
      <c r="OX155" s="12"/>
      <c r="OY155" s="12"/>
      <c r="OZ155" s="12"/>
      <c r="PA155" s="12"/>
      <c r="PB155" s="12"/>
      <c r="PC155" s="12"/>
      <c r="PD155" s="12"/>
      <c r="PE155" s="12"/>
      <c r="PF155" s="12"/>
      <c r="PG155" s="12"/>
      <c r="PH155" s="12"/>
      <c r="PI155" s="12"/>
      <c r="PJ155" s="12"/>
      <c r="PK155" s="12"/>
      <c r="PL155" s="12"/>
      <c r="PM155" s="12"/>
      <c r="PN155" s="12"/>
      <c r="PO155" s="12"/>
      <c r="PP155" s="12"/>
      <c r="PQ155" s="12"/>
      <c r="PR155" s="12"/>
      <c r="PS155" s="12"/>
      <c r="PT155" s="12"/>
      <c r="PU155" s="12"/>
      <c r="PV155" s="12"/>
      <c r="PW155" s="12"/>
      <c r="PX155" s="12"/>
      <c r="PY155" s="12"/>
      <c r="PZ155" s="12"/>
      <c r="QA155" s="12"/>
      <c r="QB155" s="12"/>
      <c r="QC155" s="12"/>
      <c r="QD155" s="12"/>
      <c r="QE155" s="12"/>
      <c r="QF155" s="12"/>
      <c r="QG155" s="12"/>
      <c r="QH155" s="12"/>
      <c r="QI155" s="12"/>
      <c r="QJ155" s="12"/>
      <c r="QK155" s="12"/>
      <c r="QL155" s="12"/>
      <c r="QM155" s="12"/>
      <c r="QN155" s="12"/>
      <c r="QO155" s="12"/>
      <c r="QP155" s="12"/>
      <c r="QQ155" s="12"/>
      <c r="QR155" s="12"/>
      <c r="QS155" s="12"/>
      <c r="QT155" s="12"/>
      <c r="QU155" s="12"/>
      <c r="QV155" s="12"/>
      <c r="QW155" s="12"/>
      <c r="QX155" s="12"/>
      <c r="QY155" s="12"/>
      <c r="QZ155" s="12"/>
      <c r="RA155" s="12"/>
      <c r="RB155" s="12"/>
      <c r="RC155" s="12"/>
      <c r="RD155" s="12"/>
      <c r="RE155" s="12"/>
      <c r="RF155" s="12"/>
      <c r="RG155" s="12"/>
      <c r="RH155" s="12"/>
      <c r="RI155" s="12"/>
      <c r="RJ155" s="12"/>
      <c r="RK155" s="12"/>
      <c r="RL155" s="12"/>
      <c r="RM155" s="12"/>
      <c r="RN155" s="12"/>
      <c r="RO155" s="12"/>
      <c r="RP155" s="12"/>
      <c r="RQ155" s="12"/>
      <c r="RR155" s="12"/>
      <c r="RS155" s="12"/>
      <c r="RT155" s="12"/>
      <c r="RU155" s="12"/>
      <c r="RV155" s="12"/>
      <c r="RW155" s="12"/>
      <c r="RX155" s="12"/>
      <c r="RY155" s="12"/>
      <c r="RZ155" s="12"/>
      <c r="SA155" s="12"/>
      <c r="SB155" s="12"/>
      <c r="SC155" s="12"/>
      <c r="SD155" s="12"/>
      <c r="SE155" s="12"/>
      <c r="SF155" s="12"/>
      <c r="SG155" s="12"/>
      <c r="SH155" s="11"/>
      <c r="SI155" s="11"/>
      <c r="SJ155" s="11"/>
      <c r="SK155" s="11"/>
      <c r="SL155" s="11"/>
      <c r="SM155" s="11"/>
      <c r="SN155" s="11"/>
      <c r="SO155" s="11"/>
      <c r="SP155" s="11"/>
      <c r="SQ155" s="11"/>
      <c r="SR155" s="11"/>
      <c r="SS155" s="11"/>
      <c r="ST155" s="11"/>
      <c r="SU155" s="11"/>
      <c r="SV155" s="11"/>
      <c r="SW155" s="11"/>
      <c r="SX155" s="11"/>
      <c r="SY155" s="11"/>
      <c r="SZ155" s="11"/>
      <c r="TA155" s="11"/>
      <c r="TB155" s="11"/>
      <c r="TC155" s="11"/>
      <c r="TD155" s="11"/>
      <c r="TE155" s="11"/>
      <c r="TF155" s="11"/>
      <c r="TG155" s="11"/>
      <c r="TH155" s="11"/>
      <c r="TI155" s="11"/>
      <c r="TJ155" s="11"/>
      <c r="TK155" s="11"/>
      <c r="TL155" s="11"/>
    </row>
    <row r="156" spans="1:532" x14ac:dyDescent="0.2">
      <c r="A156" s="10" t="s">
        <v>155</v>
      </c>
      <c r="B156" s="12">
        <v>15.6</v>
      </c>
      <c r="C156" s="11">
        <v>0.59399044100246656</v>
      </c>
      <c r="D156" s="11">
        <v>0</v>
      </c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12"/>
      <c r="IP156" s="12"/>
      <c r="IQ156" s="12"/>
      <c r="IR156" s="12"/>
      <c r="IS156" s="12"/>
      <c r="IT156" s="12"/>
      <c r="IU156" s="12"/>
      <c r="IV156" s="12"/>
      <c r="IW156" s="12"/>
      <c r="IX156" s="12"/>
      <c r="IY156" s="12"/>
      <c r="IZ156" s="12"/>
      <c r="JA156" s="12"/>
      <c r="JB156" s="12"/>
      <c r="JC156" s="12"/>
      <c r="JD156" s="12"/>
      <c r="JE156" s="12"/>
      <c r="JF156" s="12"/>
      <c r="JG156" s="12"/>
      <c r="JH156" s="12"/>
      <c r="JI156" s="12"/>
      <c r="JJ156" s="12"/>
      <c r="JK156" s="12"/>
      <c r="JL156" s="12"/>
      <c r="JM156" s="12"/>
      <c r="JN156" s="12"/>
      <c r="JO156" s="12"/>
      <c r="JP156" s="12"/>
      <c r="JQ156" s="12"/>
      <c r="JR156" s="12"/>
      <c r="JS156" s="12"/>
      <c r="JT156" s="12"/>
      <c r="JU156" s="12"/>
      <c r="JV156" s="12"/>
      <c r="JW156" s="12"/>
      <c r="JX156" s="12"/>
      <c r="JY156" s="12"/>
      <c r="JZ156" s="12"/>
      <c r="KA156" s="12"/>
      <c r="KB156" s="12"/>
      <c r="KC156" s="12"/>
      <c r="KD156" s="12"/>
      <c r="KE156" s="12"/>
      <c r="KF156" s="12"/>
      <c r="KG156" s="12"/>
      <c r="KH156" s="12"/>
      <c r="KI156" s="12"/>
      <c r="KJ156" s="12"/>
      <c r="KK156" s="12"/>
      <c r="KL156" s="12"/>
      <c r="KM156" s="12"/>
      <c r="KN156" s="12"/>
      <c r="KO156" s="12"/>
      <c r="KP156" s="12"/>
      <c r="KQ156" s="12"/>
      <c r="KR156" s="12"/>
      <c r="KS156" s="12"/>
      <c r="KT156" s="12"/>
      <c r="KU156" s="12"/>
      <c r="KV156" s="12"/>
      <c r="KW156" s="12"/>
      <c r="KX156" s="12"/>
      <c r="KY156" s="12"/>
      <c r="KZ156" s="12"/>
      <c r="LA156" s="12"/>
      <c r="LB156" s="12"/>
      <c r="LC156" s="12"/>
      <c r="LD156" s="12"/>
      <c r="LE156" s="12"/>
      <c r="LF156" s="12"/>
      <c r="LG156" s="12"/>
      <c r="LH156" s="12"/>
      <c r="LI156" s="12"/>
      <c r="LJ156" s="12"/>
      <c r="LK156" s="12"/>
      <c r="LL156" s="12"/>
      <c r="LM156" s="12"/>
      <c r="LN156" s="12"/>
      <c r="LO156" s="12"/>
      <c r="LP156" s="12"/>
      <c r="LQ156" s="12"/>
      <c r="LR156" s="12"/>
      <c r="LS156" s="12"/>
      <c r="LT156" s="12"/>
      <c r="LU156" s="12"/>
      <c r="LV156" s="12"/>
      <c r="LW156" s="12"/>
      <c r="LX156" s="12"/>
      <c r="LY156" s="12"/>
      <c r="LZ156" s="12"/>
      <c r="MA156" s="12"/>
      <c r="MB156" s="12"/>
      <c r="MC156" s="12"/>
      <c r="MD156" s="12"/>
      <c r="ME156" s="12"/>
      <c r="MF156" s="12"/>
      <c r="MG156" s="12"/>
      <c r="MH156" s="12"/>
      <c r="MI156" s="12"/>
      <c r="MJ156" s="12"/>
      <c r="MK156" s="12"/>
      <c r="ML156" s="12"/>
      <c r="MM156" s="12"/>
      <c r="MN156" s="12"/>
      <c r="MO156" s="12"/>
      <c r="MP156" s="12"/>
      <c r="MQ156" s="12"/>
      <c r="MR156" s="12"/>
      <c r="MS156" s="12"/>
      <c r="MT156" s="12"/>
      <c r="MU156" s="12"/>
      <c r="MV156" s="12"/>
      <c r="MW156" s="12"/>
      <c r="MX156" s="12"/>
      <c r="MY156" s="12"/>
      <c r="MZ156" s="12"/>
      <c r="NA156" s="12"/>
      <c r="NB156" s="12"/>
      <c r="NC156" s="12"/>
      <c r="ND156" s="12"/>
      <c r="NE156" s="12"/>
      <c r="NF156" s="12"/>
      <c r="NG156" s="12"/>
      <c r="NH156" s="12"/>
      <c r="NI156" s="12"/>
      <c r="NJ156" s="12"/>
      <c r="NK156" s="12"/>
      <c r="NL156" s="12"/>
      <c r="NM156" s="12"/>
      <c r="NN156" s="12"/>
      <c r="NO156" s="12"/>
      <c r="NP156" s="12"/>
      <c r="NQ156" s="12"/>
      <c r="NR156" s="12"/>
      <c r="NS156" s="12"/>
      <c r="NT156" s="12"/>
      <c r="NU156" s="12"/>
      <c r="NV156" s="12"/>
      <c r="NW156" s="12"/>
      <c r="NX156" s="12"/>
      <c r="NY156" s="12"/>
      <c r="NZ156" s="12"/>
      <c r="OA156" s="12"/>
      <c r="OB156" s="12"/>
      <c r="OC156" s="12"/>
      <c r="OD156" s="12"/>
      <c r="OE156" s="12"/>
      <c r="OF156" s="12"/>
      <c r="OG156" s="12"/>
      <c r="OH156" s="12"/>
      <c r="OI156" s="12"/>
      <c r="OJ156" s="12"/>
      <c r="OK156" s="12"/>
      <c r="OL156" s="12"/>
      <c r="OM156" s="12"/>
      <c r="ON156" s="12"/>
      <c r="OO156" s="12"/>
      <c r="OP156" s="12"/>
      <c r="OQ156" s="12"/>
      <c r="OR156" s="12"/>
      <c r="OS156" s="12"/>
      <c r="OT156" s="12"/>
      <c r="OU156" s="12"/>
      <c r="OV156" s="12"/>
      <c r="OW156" s="12"/>
      <c r="OX156" s="12"/>
      <c r="OY156" s="12"/>
      <c r="OZ156" s="12"/>
      <c r="PA156" s="12"/>
      <c r="PB156" s="12"/>
      <c r="PC156" s="12"/>
      <c r="PD156" s="12"/>
      <c r="PE156" s="12"/>
      <c r="PF156" s="12"/>
      <c r="PG156" s="12"/>
      <c r="PH156" s="12"/>
      <c r="PI156" s="12"/>
      <c r="PJ156" s="12"/>
      <c r="PK156" s="12"/>
      <c r="PL156" s="12"/>
      <c r="PM156" s="12"/>
      <c r="PN156" s="12"/>
      <c r="PO156" s="12"/>
      <c r="PP156" s="12"/>
      <c r="PQ156" s="12"/>
      <c r="PR156" s="12"/>
      <c r="PS156" s="12"/>
      <c r="PT156" s="12"/>
      <c r="PU156" s="12"/>
      <c r="PV156" s="12"/>
      <c r="PW156" s="12"/>
      <c r="PX156" s="12"/>
      <c r="PY156" s="12"/>
      <c r="PZ156" s="12"/>
      <c r="QA156" s="12"/>
      <c r="QB156" s="12"/>
      <c r="QC156" s="12"/>
      <c r="QD156" s="12"/>
      <c r="QE156" s="12"/>
      <c r="QF156" s="12"/>
      <c r="QG156" s="12"/>
      <c r="QH156" s="12"/>
      <c r="QI156" s="12"/>
      <c r="QJ156" s="12"/>
      <c r="QK156" s="12"/>
      <c r="QL156" s="12"/>
      <c r="QM156" s="12"/>
      <c r="QN156" s="12"/>
      <c r="QO156" s="12"/>
      <c r="QP156" s="12"/>
      <c r="QQ156" s="12"/>
      <c r="QR156" s="12"/>
      <c r="QS156" s="12"/>
      <c r="QT156" s="12"/>
      <c r="QU156" s="12"/>
      <c r="QV156" s="12"/>
      <c r="QW156" s="12"/>
      <c r="QX156" s="12"/>
      <c r="QY156" s="12"/>
      <c r="QZ156" s="12"/>
      <c r="RA156" s="12"/>
      <c r="RB156" s="12"/>
      <c r="RC156" s="12"/>
      <c r="RD156" s="12"/>
      <c r="RE156" s="12"/>
      <c r="RF156" s="12"/>
      <c r="RG156" s="12"/>
      <c r="RH156" s="12"/>
      <c r="RI156" s="12"/>
      <c r="RJ156" s="12"/>
      <c r="RK156" s="12"/>
      <c r="RL156" s="12"/>
      <c r="RM156" s="12"/>
      <c r="RN156" s="12"/>
      <c r="RO156" s="12"/>
      <c r="RP156" s="12"/>
      <c r="RQ156" s="12"/>
      <c r="RR156" s="12"/>
      <c r="RS156" s="12"/>
      <c r="RT156" s="12"/>
      <c r="RU156" s="12"/>
      <c r="RV156" s="12"/>
      <c r="RW156" s="12"/>
      <c r="RX156" s="12"/>
      <c r="RY156" s="12"/>
      <c r="RZ156" s="12"/>
      <c r="SA156" s="12"/>
      <c r="SB156" s="12"/>
      <c r="SC156" s="12"/>
      <c r="SD156" s="12"/>
      <c r="SE156" s="12"/>
      <c r="SF156" s="12"/>
      <c r="SG156" s="12"/>
      <c r="SH156" s="11"/>
      <c r="SI156" s="11"/>
      <c r="SJ156" s="11"/>
      <c r="SK156" s="11"/>
      <c r="SL156" s="11"/>
      <c r="SM156" s="11"/>
      <c r="SN156" s="11"/>
      <c r="SO156" s="11"/>
      <c r="SP156" s="11"/>
      <c r="SQ156" s="11"/>
      <c r="SR156" s="11"/>
      <c r="SS156" s="11"/>
      <c r="ST156" s="11"/>
      <c r="SU156" s="11"/>
      <c r="SV156" s="11"/>
      <c r="SW156" s="11"/>
      <c r="SX156" s="11"/>
      <c r="SY156" s="11"/>
      <c r="SZ156" s="11"/>
      <c r="TA156" s="11"/>
      <c r="TB156" s="11"/>
      <c r="TC156" s="11"/>
      <c r="TD156" s="11"/>
      <c r="TE156" s="11"/>
      <c r="TF156" s="11"/>
      <c r="TG156" s="11"/>
      <c r="TH156" s="11"/>
      <c r="TI156" s="11"/>
      <c r="TJ156" s="11"/>
      <c r="TK156" s="11"/>
      <c r="TL156" s="11"/>
    </row>
    <row r="157" spans="1:532" x14ac:dyDescent="0.2">
      <c r="A157" s="10" t="s">
        <v>156</v>
      </c>
      <c r="B157" s="12">
        <v>14.59</v>
      </c>
      <c r="C157" s="11">
        <v>0</v>
      </c>
      <c r="D157" s="11">
        <v>0.40589346801835213</v>
      </c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12"/>
      <c r="IP157" s="12"/>
      <c r="IQ157" s="12"/>
      <c r="IR157" s="12"/>
      <c r="IS157" s="12"/>
      <c r="IT157" s="12"/>
      <c r="IU157" s="12"/>
      <c r="IV157" s="12"/>
      <c r="IW157" s="12"/>
      <c r="IX157" s="12"/>
      <c r="IY157" s="12"/>
      <c r="IZ157" s="12"/>
      <c r="JA157" s="12"/>
      <c r="JB157" s="12"/>
      <c r="JC157" s="12"/>
      <c r="JD157" s="12"/>
      <c r="JE157" s="12"/>
      <c r="JF157" s="12"/>
      <c r="JG157" s="12"/>
      <c r="JH157" s="12"/>
      <c r="JI157" s="12"/>
      <c r="JJ157" s="12"/>
      <c r="JK157" s="12"/>
      <c r="JL157" s="12"/>
      <c r="JM157" s="12"/>
      <c r="JN157" s="12"/>
      <c r="JO157" s="12"/>
      <c r="JP157" s="12"/>
      <c r="JQ157" s="12"/>
      <c r="JR157" s="12"/>
      <c r="JS157" s="12"/>
      <c r="JT157" s="12"/>
      <c r="JU157" s="12"/>
      <c r="JV157" s="12"/>
      <c r="JW157" s="12"/>
      <c r="JX157" s="12"/>
      <c r="JY157" s="12"/>
      <c r="JZ157" s="12"/>
      <c r="KA157" s="12"/>
      <c r="KB157" s="12"/>
      <c r="KC157" s="12"/>
      <c r="KD157" s="12"/>
      <c r="KE157" s="12"/>
      <c r="KF157" s="12"/>
      <c r="KG157" s="12"/>
      <c r="KH157" s="12"/>
      <c r="KI157" s="12"/>
      <c r="KJ157" s="12"/>
      <c r="KK157" s="12"/>
      <c r="KL157" s="12"/>
      <c r="KM157" s="12"/>
      <c r="KN157" s="12"/>
      <c r="KO157" s="12"/>
      <c r="KP157" s="12"/>
      <c r="KQ157" s="12"/>
      <c r="KR157" s="12"/>
      <c r="KS157" s="12"/>
      <c r="KT157" s="12"/>
      <c r="KU157" s="12"/>
      <c r="KV157" s="12"/>
      <c r="KW157" s="12"/>
      <c r="KX157" s="12"/>
      <c r="KY157" s="12"/>
      <c r="KZ157" s="12"/>
      <c r="LA157" s="12"/>
      <c r="LB157" s="12"/>
      <c r="LC157" s="12"/>
      <c r="LD157" s="12"/>
      <c r="LE157" s="12"/>
      <c r="LF157" s="12"/>
      <c r="LG157" s="12"/>
      <c r="LH157" s="12"/>
      <c r="LI157" s="12"/>
      <c r="LJ157" s="12"/>
      <c r="LK157" s="12"/>
      <c r="LL157" s="12"/>
      <c r="LM157" s="12"/>
      <c r="LN157" s="12"/>
      <c r="LO157" s="12"/>
      <c r="LP157" s="12"/>
      <c r="LQ157" s="12"/>
      <c r="LR157" s="12"/>
      <c r="LS157" s="12"/>
      <c r="LT157" s="12"/>
      <c r="LU157" s="12"/>
      <c r="LV157" s="12"/>
      <c r="LW157" s="12"/>
      <c r="LX157" s="12"/>
      <c r="LY157" s="12"/>
      <c r="LZ157" s="12"/>
      <c r="MA157" s="12"/>
      <c r="MB157" s="12"/>
      <c r="MC157" s="12"/>
      <c r="MD157" s="12"/>
      <c r="ME157" s="12"/>
      <c r="MF157" s="12"/>
      <c r="MG157" s="12"/>
      <c r="MH157" s="12"/>
      <c r="MI157" s="12"/>
      <c r="MJ157" s="12"/>
      <c r="MK157" s="12"/>
      <c r="ML157" s="12"/>
      <c r="MM157" s="12"/>
      <c r="MN157" s="12"/>
      <c r="MO157" s="12"/>
      <c r="MP157" s="12"/>
      <c r="MQ157" s="12"/>
      <c r="MR157" s="12"/>
      <c r="MS157" s="12"/>
      <c r="MT157" s="12"/>
      <c r="MU157" s="12"/>
      <c r="MV157" s="12"/>
      <c r="MW157" s="12"/>
      <c r="MX157" s="12"/>
      <c r="MY157" s="12"/>
      <c r="MZ157" s="12"/>
      <c r="NA157" s="12"/>
      <c r="NB157" s="12"/>
      <c r="NC157" s="12"/>
      <c r="ND157" s="12"/>
      <c r="NE157" s="12"/>
      <c r="NF157" s="12"/>
      <c r="NG157" s="12"/>
      <c r="NH157" s="12"/>
      <c r="NI157" s="12"/>
      <c r="NJ157" s="12"/>
      <c r="NK157" s="12"/>
      <c r="NL157" s="12"/>
      <c r="NM157" s="12"/>
      <c r="NN157" s="12"/>
      <c r="NO157" s="12"/>
      <c r="NP157" s="12"/>
      <c r="NQ157" s="12"/>
      <c r="NR157" s="12"/>
      <c r="NS157" s="12"/>
      <c r="NT157" s="12"/>
      <c r="NU157" s="12"/>
      <c r="NV157" s="12"/>
      <c r="NW157" s="12"/>
      <c r="NX157" s="12"/>
      <c r="NY157" s="12"/>
      <c r="NZ157" s="12"/>
      <c r="OA157" s="12"/>
      <c r="OB157" s="12"/>
      <c r="OC157" s="12"/>
      <c r="OD157" s="12"/>
      <c r="OE157" s="12"/>
      <c r="OF157" s="12"/>
      <c r="OG157" s="12"/>
      <c r="OH157" s="12"/>
      <c r="OI157" s="12"/>
      <c r="OJ157" s="12"/>
      <c r="OK157" s="12"/>
      <c r="OL157" s="12"/>
      <c r="OM157" s="12"/>
      <c r="ON157" s="12"/>
      <c r="OO157" s="12"/>
      <c r="OP157" s="12"/>
      <c r="OQ157" s="12"/>
      <c r="OR157" s="12"/>
      <c r="OS157" s="12"/>
      <c r="OT157" s="12"/>
      <c r="OU157" s="12"/>
      <c r="OV157" s="12"/>
      <c r="OW157" s="12"/>
      <c r="OX157" s="12"/>
      <c r="OY157" s="12"/>
      <c r="OZ157" s="12"/>
      <c r="PA157" s="12"/>
      <c r="PB157" s="12"/>
      <c r="PC157" s="12"/>
      <c r="PD157" s="12"/>
      <c r="PE157" s="12"/>
      <c r="PF157" s="12"/>
      <c r="PG157" s="12"/>
      <c r="PH157" s="12"/>
      <c r="PI157" s="12"/>
      <c r="PJ157" s="12"/>
      <c r="PK157" s="12"/>
      <c r="PL157" s="12"/>
      <c r="PM157" s="12"/>
      <c r="PN157" s="12"/>
      <c r="PO157" s="12"/>
      <c r="PP157" s="12"/>
      <c r="PQ157" s="12"/>
      <c r="PR157" s="12"/>
      <c r="PS157" s="12"/>
      <c r="PT157" s="12"/>
      <c r="PU157" s="12"/>
      <c r="PV157" s="12"/>
      <c r="PW157" s="12"/>
      <c r="PX157" s="12"/>
      <c r="PY157" s="12"/>
      <c r="PZ157" s="12"/>
      <c r="QA157" s="12"/>
      <c r="QB157" s="12"/>
      <c r="QC157" s="12"/>
      <c r="QD157" s="12"/>
      <c r="QE157" s="12"/>
      <c r="QF157" s="12"/>
      <c r="QG157" s="12"/>
      <c r="QH157" s="12"/>
      <c r="QI157" s="12"/>
      <c r="QJ157" s="12"/>
      <c r="QK157" s="12"/>
      <c r="QL157" s="12"/>
      <c r="QM157" s="12"/>
      <c r="QN157" s="12"/>
      <c r="QO157" s="12"/>
      <c r="QP157" s="12"/>
      <c r="QQ157" s="12"/>
      <c r="QR157" s="12"/>
      <c r="QS157" s="12"/>
      <c r="QT157" s="12"/>
      <c r="QU157" s="12"/>
      <c r="QV157" s="12"/>
      <c r="QW157" s="12"/>
      <c r="QX157" s="12"/>
      <c r="QY157" s="12"/>
      <c r="QZ157" s="12"/>
      <c r="RA157" s="12"/>
      <c r="RB157" s="12"/>
      <c r="RC157" s="12"/>
      <c r="RD157" s="12"/>
      <c r="RE157" s="12"/>
      <c r="RF157" s="12"/>
      <c r="RG157" s="12"/>
      <c r="RH157" s="12"/>
      <c r="RI157" s="12"/>
      <c r="RJ157" s="12"/>
      <c r="RK157" s="12"/>
      <c r="RL157" s="12"/>
      <c r="RM157" s="12"/>
      <c r="RN157" s="12"/>
      <c r="RO157" s="12"/>
      <c r="RP157" s="12"/>
      <c r="RQ157" s="12"/>
      <c r="RR157" s="12"/>
      <c r="RS157" s="12"/>
      <c r="RT157" s="12"/>
      <c r="RU157" s="12"/>
      <c r="RV157" s="12"/>
      <c r="RW157" s="12"/>
      <c r="RX157" s="12"/>
      <c r="RY157" s="12"/>
      <c r="RZ157" s="12"/>
      <c r="SA157" s="12"/>
      <c r="SB157" s="12"/>
      <c r="SC157" s="12"/>
      <c r="SD157" s="12"/>
      <c r="SE157" s="12"/>
      <c r="SF157" s="12"/>
      <c r="SG157" s="12"/>
      <c r="SH157" s="11"/>
      <c r="SI157" s="11"/>
      <c r="SJ157" s="11"/>
      <c r="SK157" s="11"/>
      <c r="SL157" s="11"/>
      <c r="SM157" s="11"/>
      <c r="SN157" s="11"/>
      <c r="SO157" s="11"/>
      <c r="SP157" s="11"/>
      <c r="SQ157" s="11"/>
      <c r="SR157" s="11"/>
      <c r="SS157" s="11"/>
      <c r="ST157" s="11"/>
      <c r="SU157" s="11"/>
      <c r="SV157" s="11"/>
      <c r="SW157" s="11"/>
      <c r="SX157" s="11"/>
      <c r="SY157" s="11"/>
      <c r="SZ157" s="11"/>
      <c r="TA157" s="11"/>
      <c r="TB157" s="11"/>
      <c r="TC157" s="11"/>
      <c r="TD157" s="11"/>
      <c r="TE157" s="11"/>
      <c r="TF157" s="11"/>
      <c r="TG157" s="11"/>
      <c r="TH157" s="11"/>
      <c r="TI157" s="11"/>
      <c r="TJ157" s="11"/>
      <c r="TK157" s="11"/>
      <c r="TL157" s="11"/>
    </row>
    <row r="158" spans="1:532" x14ac:dyDescent="0.2">
      <c r="A158" s="10" t="s">
        <v>157</v>
      </c>
      <c r="B158" s="12">
        <v>12.56</v>
      </c>
      <c r="C158" s="11">
        <v>0</v>
      </c>
      <c r="D158" s="11">
        <v>2.4155611267433641</v>
      </c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12"/>
      <c r="IP158" s="12"/>
      <c r="IQ158" s="12"/>
      <c r="IR158" s="12"/>
      <c r="IS158" s="12"/>
      <c r="IT158" s="12"/>
      <c r="IU158" s="12"/>
      <c r="IV158" s="12"/>
      <c r="IW158" s="12"/>
      <c r="IX158" s="12"/>
      <c r="IY158" s="12"/>
      <c r="IZ158" s="12"/>
      <c r="JA158" s="12"/>
      <c r="JB158" s="12"/>
      <c r="JC158" s="12"/>
      <c r="JD158" s="12"/>
      <c r="JE158" s="12"/>
      <c r="JF158" s="12"/>
      <c r="JG158" s="12"/>
      <c r="JH158" s="12"/>
      <c r="JI158" s="12"/>
      <c r="JJ158" s="12"/>
      <c r="JK158" s="12"/>
      <c r="JL158" s="12"/>
      <c r="JM158" s="12"/>
      <c r="JN158" s="12"/>
      <c r="JO158" s="12"/>
      <c r="JP158" s="12"/>
      <c r="JQ158" s="12"/>
      <c r="JR158" s="12"/>
      <c r="JS158" s="12"/>
      <c r="JT158" s="12"/>
      <c r="JU158" s="12"/>
      <c r="JV158" s="12"/>
      <c r="JW158" s="12"/>
      <c r="JX158" s="12"/>
      <c r="JY158" s="12"/>
      <c r="JZ158" s="12"/>
      <c r="KA158" s="12"/>
      <c r="KB158" s="12"/>
      <c r="KC158" s="12"/>
      <c r="KD158" s="12"/>
      <c r="KE158" s="12"/>
      <c r="KF158" s="12"/>
      <c r="KG158" s="12"/>
      <c r="KH158" s="12"/>
      <c r="KI158" s="12"/>
      <c r="KJ158" s="12"/>
      <c r="KK158" s="12"/>
      <c r="KL158" s="12"/>
      <c r="KM158" s="12"/>
      <c r="KN158" s="12"/>
      <c r="KO158" s="12"/>
      <c r="KP158" s="12"/>
      <c r="KQ158" s="12"/>
      <c r="KR158" s="12"/>
      <c r="KS158" s="12"/>
      <c r="KT158" s="12"/>
      <c r="KU158" s="12"/>
      <c r="KV158" s="12"/>
      <c r="KW158" s="12"/>
      <c r="KX158" s="12"/>
      <c r="KY158" s="12"/>
      <c r="KZ158" s="12"/>
      <c r="LA158" s="12"/>
      <c r="LB158" s="12"/>
      <c r="LC158" s="12"/>
      <c r="LD158" s="12"/>
      <c r="LE158" s="12"/>
      <c r="LF158" s="12"/>
      <c r="LG158" s="12"/>
      <c r="LH158" s="12"/>
      <c r="LI158" s="12"/>
      <c r="LJ158" s="12"/>
      <c r="LK158" s="12"/>
      <c r="LL158" s="12"/>
      <c r="LM158" s="12"/>
      <c r="LN158" s="12"/>
      <c r="LO158" s="12"/>
      <c r="LP158" s="12"/>
      <c r="LQ158" s="12"/>
      <c r="LR158" s="12"/>
      <c r="LS158" s="12"/>
      <c r="LT158" s="12"/>
      <c r="LU158" s="12"/>
      <c r="LV158" s="12"/>
      <c r="LW158" s="12"/>
      <c r="LX158" s="12"/>
      <c r="LY158" s="12"/>
      <c r="LZ158" s="12"/>
      <c r="MA158" s="12"/>
      <c r="MB158" s="12"/>
      <c r="MC158" s="12"/>
      <c r="MD158" s="12"/>
      <c r="ME158" s="12"/>
      <c r="MF158" s="12"/>
      <c r="MG158" s="12"/>
      <c r="MH158" s="12"/>
      <c r="MI158" s="12"/>
      <c r="MJ158" s="12"/>
      <c r="MK158" s="12"/>
      <c r="ML158" s="12"/>
      <c r="MM158" s="12"/>
      <c r="MN158" s="12"/>
      <c r="MO158" s="12"/>
      <c r="MP158" s="12"/>
      <c r="MQ158" s="12"/>
      <c r="MR158" s="12"/>
      <c r="MS158" s="12"/>
      <c r="MT158" s="12"/>
      <c r="MU158" s="12"/>
      <c r="MV158" s="12"/>
      <c r="MW158" s="12"/>
      <c r="MX158" s="12"/>
      <c r="MY158" s="12"/>
      <c r="MZ158" s="12"/>
      <c r="NA158" s="12"/>
      <c r="NB158" s="12"/>
      <c r="NC158" s="12"/>
      <c r="ND158" s="12"/>
      <c r="NE158" s="12"/>
      <c r="NF158" s="12"/>
      <c r="NG158" s="12"/>
      <c r="NH158" s="12"/>
      <c r="NI158" s="12"/>
      <c r="NJ158" s="12"/>
      <c r="NK158" s="12"/>
      <c r="NL158" s="12"/>
      <c r="NM158" s="12"/>
      <c r="NN158" s="12"/>
      <c r="NO158" s="12"/>
      <c r="NP158" s="12"/>
      <c r="NQ158" s="12"/>
      <c r="NR158" s="12"/>
      <c r="NS158" s="12"/>
      <c r="NT158" s="12"/>
      <c r="NU158" s="12"/>
      <c r="NV158" s="12"/>
      <c r="NW158" s="12"/>
      <c r="NX158" s="12"/>
      <c r="NY158" s="12"/>
      <c r="NZ158" s="12"/>
      <c r="OA158" s="12"/>
      <c r="OB158" s="12"/>
      <c r="OC158" s="12"/>
      <c r="OD158" s="12"/>
      <c r="OE158" s="12"/>
      <c r="OF158" s="12"/>
      <c r="OG158" s="12"/>
      <c r="OH158" s="12"/>
      <c r="OI158" s="12"/>
      <c r="OJ158" s="12"/>
      <c r="OK158" s="12"/>
      <c r="OL158" s="12"/>
      <c r="OM158" s="12"/>
      <c r="ON158" s="12"/>
      <c r="OO158" s="12"/>
      <c r="OP158" s="12"/>
      <c r="OQ158" s="12"/>
      <c r="OR158" s="12"/>
      <c r="OS158" s="12"/>
      <c r="OT158" s="12"/>
      <c r="OU158" s="12"/>
      <c r="OV158" s="12"/>
      <c r="OW158" s="12"/>
      <c r="OX158" s="12"/>
      <c r="OY158" s="12"/>
      <c r="OZ158" s="12"/>
      <c r="PA158" s="12"/>
      <c r="PB158" s="12"/>
      <c r="PC158" s="12"/>
      <c r="PD158" s="12"/>
      <c r="PE158" s="12"/>
      <c r="PF158" s="12"/>
      <c r="PG158" s="12"/>
      <c r="PH158" s="12"/>
      <c r="PI158" s="12"/>
      <c r="PJ158" s="12"/>
      <c r="PK158" s="12"/>
      <c r="PL158" s="12"/>
      <c r="PM158" s="12"/>
      <c r="PN158" s="12"/>
      <c r="PO158" s="12"/>
      <c r="PP158" s="12"/>
      <c r="PQ158" s="12"/>
      <c r="PR158" s="12"/>
      <c r="PS158" s="12"/>
      <c r="PT158" s="12"/>
      <c r="PU158" s="12"/>
      <c r="PV158" s="12"/>
      <c r="PW158" s="12"/>
      <c r="PX158" s="12"/>
      <c r="PY158" s="12"/>
      <c r="PZ158" s="12"/>
      <c r="QA158" s="12"/>
      <c r="QB158" s="12"/>
      <c r="QC158" s="12"/>
      <c r="QD158" s="12"/>
      <c r="QE158" s="12"/>
      <c r="QF158" s="12"/>
      <c r="QG158" s="12"/>
      <c r="QH158" s="12"/>
      <c r="QI158" s="12"/>
      <c r="QJ158" s="12"/>
      <c r="QK158" s="12"/>
      <c r="QL158" s="12"/>
      <c r="QM158" s="12"/>
      <c r="QN158" s="12"/>
      <c r="QO158" s="12"/>
      <c r="QP158" s="12"/>
      <c r="QQ158" s="12"/>
      <c r="QR158" s="12"/>
      <c r="QS158" s="12"/>
      <c r="QT158" s="12"/>
      <c r="QU158" s="12"/>
      <c r="QV158" s="12"/>
      <c r="QW158" s="12"/>
      <c r="QX158" s="12"/>
      <c r="QY158" s="12"/>
      <c r="QZ158" s="12"/>
      <c r="RA158" s="12"/>
      <c r="RB158" s="12"/>
      <c r="RC158" s="12"/>
      <c r="RD158" s="12"/>
      <c r="RE158" s="12"/>
      <c r="RF158" s="12"/>
      <c r="RG158" s="12"/>
      <c r="RH158" s="12"/>
      <c r="RI158" s="12"/>
      <c r="RJ158" s="12"/>
      <c r="RK158" s="12"/>
      <c r="RL158" s="12"/>
      <c r="RM158" s="12"/>
      <c r="RN158" s="12"/>
      <c r="RO158" s="12"/>
      <c r="RP158" s="12"/>
      <c r="RQ158" s="12"/>
      <c r="RR158" s="12"/>
      <c r="RS158" s="12"/>
      <c r="RT158" s="12"/>
      <c r="RU158" s="12"/>
      <c r="RV158" s="12"/>
      <c r="RW158" s="12"/>
      <c r="RX158" s="12"/>
      <c r="RY158" s="12"/>
      <c r="RZ158" s="12"/>
      <c r="SA158" s="12"/>
      <c r="SB158" s="12"/>
      <c r="SC158" s="12"/>
      <c r="SD158" s="12"/>
      <c r="SE158" s="12"/>
      <c r="SF158" s="12"/>
      <c r="SG158" s="12"/>
      <c r="SH158" s="11"/>
      <c r="SI158" s="11"/>
      <c r="SJ158" s="11"/>
      <c r="SK158" s="11"/>
      <c r="SL158" s="11"/>
      <c r="SM158" s="11"/>
      <c r="SN158" s="11"/>
      <c r="SO158" s="11"/>
      <c r="SP158" s="11"/>
      <c r="SQ158" s="11"/>
      <c r="SR158" s="11"/>
      <c r="SS158" s="11"/>
      <c r="ST158" s="11"/>
      <c r="SU158" s="11"/>
      <c r="SV158" s="11"/>
      <c r="SW158" s="11"/>
      <c r="SX158" s="11"/>
      <c r="SY158" s="11"/>
      <c r="SZ158" s="11"/>
      <c r="TA158" s="11"/>
      <c r="TB158" s="11"/>
      <c r="TC158" s="11"/>
      <c r="TD158" s="11"/>
      <c r="TE158" s="11"/>
      <c r="TF158" s="11"/>
      <c r="TG158" s="11"/>
      <c r="TH158" s="11"/>
      <c r="TI158" s="11"/>
      <c r="TJ158" s="11"/>
      <c r="TK158" s="11"/>
      <c r="TL158" s="11"/>
    </row>
    <row r="159" spans="1:532" x14ac:dyDescent="0.2">
      <c r="A159" s="10" t="s">
        <v>158</v>
      </c>
      <c r="B159" s="12">
        <v>15.62</v>
      </c>
      <c r="C159" s="11">
        <v>0.61379012236921549</v>
      </c>
      <c r="D159" s="11">
        <v>0</v>
      </c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12"/>
      <c r="IP159" s="12"/>
      <c r="IQ159" s="12"/>
      <c r="IR159" s="12"/>
      <c r="IS159" s="12"/>
      <c r="IT159" s="12"/>
      <c r="IU159" s="12"/>
      <c r="IV159" s="12"/>
      <c r="IW159" s="12"/>
      <c r="IX159" s="12"/>
      <c r="IY159" s="12"/>
      <c r="IZ159" s="12"/>
      <c r="JA159" s="12"/>
      <c r="JB159" s="12"/>
      <c r="JC159" s="12"/>
      <c r="JD159" s="12"/>
      <c r="JE159" s="12"/>
      <c r="JF159" s="12"/>
      <c r="JG159" s="12"/>
      <c r="JH159" s="12"/>
      <c r="JI159" s="12"/>
      <c r="JJ159" s="12"/>
      <c r="JK159" s="12"/>
      <c r="JL159" s="12"/>
      <c r="JM159" s="12"/>
      <c r="JN159" s="12"/>
      <c r="JO159" s="12"/>
      <c r="JP159" s="12"/>
      <c r="JQ159" s="12"/>
      <c r="JR159" s="12"/>
      <c r="JS159" s="12"/>
      <c r="JT159" s="12"/>
      <c r="JU159" s="12"/>
      <c r="JV159" s="12"/>
      <c r="JW159" s="12"/>
      <c r="JX159" s="12"/>
      <c r="JY159" s="12"/>
      <c r="JZ159" s="12"/>
      <c r="KA159" s="12"/>
      <c r="KB159" s="12"/>
      <c r="KC159" s="12"/>
      <c r="KD159" s="12"/>
      <c r="KE159" s="12"/>
      <c r="KF159" s="12"/>
      <c r="KG159" s="12"/>
      <c r="KH159" s="12"/>
      <c r="KI159" s="12"/>
      <c r="KJ159" s="12"/>
      <c r="KK159" s="12"/>
      <c r="KL159" s="12"/>
      <c r="KM159" s="12"/>
      <c r="KN159" s="12"/>
      <c r="KO159" s="12"/>
      <c r="KP159" s="12"/>
      <c r="KQ159" s="12"/>
      <c r="KR159" s="12"/>
      <c r="KS159" s="12"/>
      <c r="KT159" s="12"/>
      <c r="KU159" s="12"/>
      <c r="KV159" s="12"/>
      <c r="KW159" s="12"/>
      <c r="KX159" s="12"/>
      <c r="KY159" s="12"/>
      <c r="KZ159" s="12"/>
      <c r="LA159" s="12"/>
      <c r="LB159" s="12"/>
      <c r="LC159" s="12"/>
      <c r="LD159" s="12"/>
      <c r="LE159" s="12"/>
      <c r="LF159" s="12"/>
      <c r="LG159" s="12"/>
      <c r="LH159" s="12"/>
      <c r="LI159" s="12"/>
      <c r="LJ159" s="12"/>
      <c r="LK159" s="12"/>
      <c r="LL159" s="12"/>
      <c r="LM159" s="12"/>
      <c r="LN159" s="12"/>
      <c r="LO159" s="12"/>
      <c r="LP159" s="12"/>
      <c r="LQ159" s="12"/>
      <c r="LR159" s="12"/>
      <c r="LS159" s="12"/>
      <c r="LT159" s="12"/>
      <c r="LU159" s="12"/>
      <c r="LV159" s="12"/>
      <c r="LW159" s="12"/>
      <c r="LX159" s="12"/>
      <c r="LY159" s="12"/>
      <c r="LZ159" s="12"/>
      <c r="MA159" s="12"/>
      <c r="MB159" s="12"/>
      <c r="MC159" s="12"/>
      <c r="MD159" s="12"/>
      <c r="ME159" s="12"/>
      <c r="MF159" s="12"/>
      <c r="MG159" s="12"/>
      <c r="MH159" s="12"/>
      <c r="MI159" s="12"/>
      <c r="MJ159" s="12"/>
      <c r="MK159" s="12"/>
      <c r="ML159" s="12"/>
      <c r="MM159" s="12"/>
      <c r="MN159" s="12"/>
      <c r="MO159" s="12"/>
      <c r="MP159" s="12"/>
      <c r="MQ159" s="12"/>
      <c r="MR159" s="12"/>
      <c r="MS159" s="12"/>
      <c r="MT159" s="12"/>
      <c r="MU159" s="12"/>
      <c r="MV159" s="12"/>
      <c r="MW159" s="12"/>
      <c r="MX159" s="12"/>
      <c r="MY159" s="12"/>
      <c r="MZ159" s="12"/>
      <c r="NA159" s="12"/>
      <c r="NB159" s="12"/>
      <c r="NC159" s="12"/>
      <c r="ND159" s="12"/>
      <c r="NE159" s="12"/>
      <c r="NF159" s="12"/>
      <c r="NG159" s="12"/>
      <c r="NH159" s="12"/>
      <c r="NI159" s="12"/>
      <c r="NJ159" s="12"/>
      <c r="NK159" s="12"/>
      <c r="NL159" s="12"/>
      <c r="NM159" s="12"/>
      <c r="NN159" s="12"/>
      <c r="NO159" s="12"/>
      <c r="NP159" s="12"/>
      <c r="NQ159" s="12"/>
      <c r="NR159" s="12"/>
      <c r="NS159" s="12"/>
      <c r="NT159" s="12"/>
      <c r="NU159" s="12"/>
      <c r="NV159" s="12"/>
      <c r="NW159" s="12"/>
      <c r="NX159" s="12"/>
      <c r="NY159" s="12"/>
      <c r="NZ159" s="12"/>
      <c r="OA159" s="12"/>
      <c r="OB159" s="12"/>
      <c r="OC159" s="12"/>
      <c r="OD159" s="12"/>
      <c r="OE159" s="12"/>
      <c r="OF159" s="12"/>
      <c r="OG159" s="12"/>
      <c r="OH159" s="12"/>
      <c r="OI159" s="12"/>
      <c r="OJ159" s="12"/>
      <c r="OK159" s="12"/>
      <c r="OL159" s="12"/>
      <c r="OM159" s="12"/>
      <c r="ON159" s="12"/>
      <c r="OO159" s="12"/>
      <c r="OP159" s="12"/>
      <c r="OQ159" s="12"/>
      <c r="OR159" s="12"/>
      <c r="OS159" s="12"/>
      <c r="OT159" s="12"/>
      <c r="OU159" s="12"/>
      <c r="OV159" s="12"/>
      <c r="OW159" s="12"/>
      <c r="OX159" s="12"/>
      <c r="OY159" s="12"/>
      <c r="OZ159" s="12"/>
      <c r="PA159" s="12"/>
      <c r="PB159" s="12"/>
      <c r="PC159" s="12"/>
      <c r="PD159" s="12"/>
      <c r="PE159" s="12"/>
      <c r="PF159" s="12"/>
      <c r="PG159" s="12"/>
      <c r="PH159" s="12"/>
      <c r="PI159" s="12"/>
      <c r="PJ159" s="12"/>
      <c r="PK159" s="12"/>
      <c r="PL159" s="12"/>
      <c r="PM159" s="12"/>
      <c r="PN159" s="12"/>
      <c r="PO159" s="12"/>
      <c r="PP159" s="12"/>
      <c r="PQ159" s="12"/>
      <c r="PR159" s="12"/>
      <c r="PS159" s="12"/>
      <c r="PT159" s="12"/>
      <c r="PU159" s="12"/>
      <c r="PV159" s="12"/>
      <c r="PW159" s="12"/>
      <c r="PX159" s="12"/>
      <c r="PY159" s="12"/>
      <c r="PZ159" s="12"/>
      <c r="QA159" s="12"/>
      <c r="QB159" s="12"/>
      <c r="QC159" s="12"/>
      <c r="QD159" s="12"/>
      <c r="QE159" s="12"/>
      <c r="QF159" s="12"/>
      <c r="QG159" s="12"/>
      <c r="QH159" s="12"/>
      <c r="QI159" s="12"/>
      <c r="QJ159" s="12"/>
      <c r="QK159" s="12"/>
      <c r="QL159" s="12"/>
      <c r="QM159" s="12"/>
      <c r="QN159" s="12"/>
      <c r="QO159" s="12"/>
      <c r="QP159" s="12"/>
      <c r="QQ159" s="12"/>
      <c r="QR159" s="12"/>
      <c r="QS159" s="12"/>
      <c r="QT159" s="12"/>
      <c r="QU159" s="12"/>
      <c r="QV159" s="12"/>
      <c r="QW159" s="12"/>
      <c r="QX159" s="12"/>
      <c r="QY159" s="12"/>
      <c r="QZ159" s="12"/>
      <c r="RA159" s="12"/>
      <c r="RB159" s="12"/>
      <c r="RC159" s="12"/>
      <c r="RD159" s="12"/>
      <c r="RE159" s="12"/>
      <c r="RF159" s="12"/>
      <c r="RG159" s="12"/>
      <c r="RH159" s="12"/>
      <c r="RI159" s="12"/>
      <c r="RJ159" s="12"/>
      <c r="RK159" s="12"/>
      <c r="RL159" s="12"/>
      <c r="RM159" s="12"/>
      <c r="RN159" s="12"/>
      <c r="RO159" s="12"/>
      <c r="RP159" s="12"/>
      <c r="RQ159" s="12"/>
      <c r="RR159" s="12"/>
      <c r="RS159" s="12"/>
      <c r="RT159" s="12"/>
      <c r="RU159" s="12"/>
      <c r="RV159" s="12"/>
      <c r="RW159" s="12"/>
      <c r="RX159" s="12"/>
      <c r="RY159" s="12"/>
      <c r="RZ159" s="12"/>
      <c r="SA159" s="12"/>
      <c r="SB159" s="12"/>
      <c r="SC159" s="12"/>
      <c r="SD159" s="12"/>
      <c r="SE159" s="12"/>
      <c r="SF159" s="12"/>
      <c r="SG159" s="12"/>
      <c r="SH159" s="11"/>
      <c r="SI159" s="11"/>
      <c r="SJ159" s="11"/>
      <c r="SK159" s="11"/>
      <c r="SL159" s="11"/>
      <c r="SM159" s="11"/>
      <c r="SN159" s="11"/>
      <c r="SO159" s="11"/>
      <c r="SP159" s="11"/>
      <c r="SQ159" s="11"/>
      <c r="SR159" s="11"/>
      <c r="SS159" s="11"/>
      <c r="ST159" s="11"/>
      <c r="SU159" s="11"/>
      <c r="SV159" s="11"/>
      <c r="SW159" s="11"/>
      <c r="SX159" s="11"/>
      <c r="SY159" s="11"/>
      <c r="SZ159" s="11"/>
      <c r="TA159" s="11"/>
      <c r="TB159" s="11"/>
      <c r="TC159" s="11"/>
      <c r="TD159" s="11"/>
      <c r="TE159" s="11"/>
      <c r="TF159" s="11"/>
      <c r="TG159" s="11"/>
      <c r="TH159" s="11"/>
      <c r="TI159" s="11"/>
      <c r="TJ159" s="11"/>
      <c r="TK159" s="11"/>
      <c r="TL159" s="11"/>
    </row>
    <row r="160" spans="1:532" x14ac:dyDescent="0.2">
      <c r="A160" s="10" t="s">
        <v>159</v>
      </c>
      <c r="B160" s="12">
        <v>14.31</v>
      </c>
      <c r="C160" s="11">
        <v>0</v>
      </c>
      <c r="D160" s="11">
        <v>0.68308900715283649</v>
      </c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/>
      <c r="IP160" s="12"/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/>
      <c r="JB160" s="12"/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/>
      <c r="JN160" s="12"/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/>
      <c r="JZ160" s="12"/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/>
      <c r="KL160" s="12"/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/>
      <c r="KX160" s="12"/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/>
      <c r="LJ160" s="12"/>
      <c r="LK160" s="12"/>
      <c r="LL160" s="12"/>
      <c r="LM160" s="12"/>
      <c r="LN160" s="12"/>
      <c r="LO160" s="12"/>
      <c r="LP160" s="12"/>
      <c r="LQ160" s="12"/>
      <c r="LR160" s="12"/>
      <c r="LS160" s="12"/>
      <c r="LT160" s="12"/>
      <c r="LU160" s="12"/>
      <c r="LV160" s="12"/>
      <c r="LW160" s="12"/>
      <c r="LX160" s="12"/>
      <c r="LY160" s="12"/>
      <c r="LZ160" s="12"/>
      <c r="MA160" s="12"/>
      <c r="MB160" s="12"/>
      <c r="MC160" s="12"/>
      <c r="MD160" s="12"/>
      <c r="ME160" s="12"/>
      <c r="MF160" s="12"/>
      <c r="MG160" s="12"/>
      <c r="MH160" s="12"/>
      <c r="MI160" s="12"/>
      <c r="MJ160" s="12"/>
      <c r="MK160" s="12"/>
      <c r="ML160" s="12"/>
      <c r="MM160" s="12"/>
      <c r="MN160" s="12"/>
      <c r="MO160" s="12"/>
      <c r="MP160" s="12"/>
      <c r="MQ160" s="12"/>
      <c r="MR160" s="12"/>
      <c r="MS160" s="12"/>
      <c r="MT160" s="12"/>
      <c r="MU160" s="12"/>
      <c r="MV160" s="12"/>
      <c r="MW160" s="12"/>
      <c r="MX160" s="12"/>
      <c r="MY160" s="12"/>
      <c r="MZ160" s="12"/>
      <c r="NA160" s="12"/>
      <c r="NB160" s="12"/>
      <c r="NC160" s="12"/>
      <c r="ND160" s="12"/>
      <c r="NE160" s="12"/>
      <c r="NF160" s="12"/>
      <c r="NG160" s="12"/>
      <c r="NH160" s="12"/>
      <c r="NI160" s="12"/>
      <c r="NJ160" s="12"/>
      <c r="NK160" s="12"/>
      <c r="NL160" s="12"/>
      <c r="NM160" s="12"/>
      <c r="NN160" s="12"/>
      <c r="NO160" s="12"/>
      <c r="NP160" s="12"/>
      <c r="NQ160" s="12"/>
      <c r="NR160" s="12"/>
      <c r="NS160" s="12"/>
      <c r="NT160" s="12"/>
      <c r="NU160" s="12"/>
      <c r="NV160" s="12"/>
      <c r="NW160" s="12"/>
      <c r="NX160" s="12"/>
      <c r="NY160" s="12"/>
      <c r="NZ160" s="12"/>
      <c r="OA160" s="12"/>
      <c r="OB160" s="12"/>
      <c r="OC160" s="12"/>
      <c r="OD160" s="12"/>
      <c r="OE160" s="12"/>
      <c r="OF160" s="12"/>
      <c r="OG160" s="12"/>
      <c r="OH160" s="12"/>
      <c r="OI160" s="12"/>
      <c r="OJ160" s="12"/>
      <c r="OK160" s="12"/>
      <c r="OL160" s="12"/>
      <c r="OM160" s="12"/>
      <c r="ON160" s="12"/>
      <c r="OO160" s="12"/>
      <c r="OP160" s="12"/>
      <c r="OQ160" s="12"/>
      <c r="OR160" s="12"/>
      <c r="OS160" s="12"/>
      <c r="OT160" s="12"/>
      <c r="OU160" s="12"/>
      <c r="OV160" s="12"/>
      <c r="OW160" s="12"/>
      <c r="OX160" s="12"/>
      <c r="OY160" s="12"/>
      <c r="OZ160" s="12"/>
      <c r="PA160" s="12"/>
      <c r="PB160" s="12"/>
      <c r="PC160" s="12"/>
      <c r="PD160" s="12"/>
      <c r="PE160" s="12"/>
      <c r="PF160" s="12"/>
      <c r="PG160" s="12"/>
      <c r="PH160" s="12"/>
      <c r="PI160" s="12"/>
      <c r="PJ160" s="12"/>
      <c r="PK160" s="12"/>
      <c r="PL160" s="12"/>
      <c r="PM160" s="12"/>
      <c r="PN160" s="12"/>
      <c r="PO160" s="12"/>
      <c r="PP160" s="12"/>
      <c r="PQ160" s="12"/>
      <c r="PR160" s="12"/>
      <c r="PS160" s="12"/>
      <c r="PT160" s="12"/>
      <c r="PU160" s="12"/>
      <c r="PV160" s="12"/>
      <c r="PW160" s="12"/>
      <c r="PX160" s="12"/>
      <c r="PY160" s="12"/>
      <c r="PZ160" s="12"/>
      <c r="QA160" s="12"/>
      <c r="QB160" s="12"/>
      <c r="QC160" s="12"/>
      <c r="QD160" s="12"/>
      <c r="QE160" s="12"/>
      <c r="QF160" s="12"/>
      <c r="QG160" s="12"/>
      <c r="QH160" s="12"/>
      <c r="QI160" s="12"/>
      <c r="QJ160" s="12"/>
      <c r="QK160" s="12"/>
      <c r="QL160" s="12"/>
      <c r="QM160" s="12"/>
      <c r="QN160" s="12"/>
      <c r="QO160" s="12"/>
      <c r="QP160" s="12"/>
      <c r="QQ160" s="12"/>
      <c r="QR160" s="12"/>
      <c r="QS160" s="12"/>
      <c r="QT160" s="12"/>
      <c r="QU160" s="12"/>
      <c r="QV160" s="12"/>
      <c r="QW160" s="12"/>
      <c r="QX160" s="12"/>
      <c r="QY160" s="12"/>
      <c r="QZ160" s="12"/>
      <c r="RA160" s="12"/>
      <c r="RB160" s="12"/>
      <c r="RC160" s="12"/>
      <c r="RD160" s="12"/>
      <c r="RE160" s="12"/>
      <c r="RF160" s="12"/>
      <c r="RG160" s="12"/>
      <c r="RH160" s="12"/>
      <c r="RI160" s="12"/>
      <c r="RJ160" s="12"/>
      <c r="RK160" s="12"/>
      <c r="RL160" s="12"/>
      <c r="RM160" s="12"/>
      <c r="RN160" s="12"/>
      <c r="RO160" s="12"/>
      <c r="RP160" s="12"/>
      <c r="RQ160" s="12"/>
      <c r="RR160" s="12"/>
      <c r="RS160" s="12"/>
      <c r="RT160" s="12"/>
      <c r="RU160" s="12"/>
      <c r="RV160" s="12"/>
      <c r="RW160" s="12"/>
      <c r="RX160" s="12"/>
      <c r="RY160" s="12"/>
      <c r="RZ160" s="12"/>
      <c r="SA160" s="12"/>
      <c r="SB160" s="12"/>
      <c r="SC160" s="12"/>
      <c r="SD160" s="12"/>
      <c r="SE160" s="12"/>
      <c r="SF160" s="12"/>
      <c r="SG160" s="12"/>
      <c r="SH160" s="11"/>
      <c r="SI160" s="11"/>
      <c r="SJ160" s="11"/>
      <c r="SK160" s="11"/>
      <c r="SL160" s="11"/>
      <c r="SM160" s="11"/>
      <c r="SN160" s="11"/>
      <c r="SO160" s="11"/>
      <c r="SP160" s="11"/>
      <c r="SQ160" s="11"/>
      <c r="SR160" s="11"/>
      <c r="SS160" s="11"/>
      <c r="ST160" s="11"/>
      <c r="SU160" s="11"/>
      <c r="SV160" s="11"/>
      <c r="SW160" s="11"/>
      <c r="SX160" s="11"/>
      <c r="SY160" s="11"/>
      <c r="SZ160" s="11"/>
      <c r="TA160" s="11"/>
      <c r="TB160" s="11"/>
      <c r="TC160" s="11"/>
      <c r="TD160" s="11"/>
      <c r="TE160" s="11"/>
      <c r="TF160" s="11"/>
      <c r="TG160" s="11"/>
      <c r="TH160" s="11"/>
      <c r="TI160" s="11"/>
      <c r="TJ160" s="11"/>
      <c r="TK160" s="11"/>
      <c r="TL160" s="11"/>
    </row>
    <row r="161" spans="1:532" x14ac:dyDescent="0.2">
      <c r="A161" s="10" t="s">
        <v>160</v>
      </c>
      <c r="B161" s="12">
        <v>13.04</v>
      </c>
      <c r="C161" s="11">
        <v>0</v>
      </c>
      <c r="D161" s="11">
        <v>1.9403687739413908</v>
      </c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/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/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/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/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/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/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/>
      <c r="LR161" s="12"/>
      <c r="LS161" s="12"/>
      <c r="LT161" s="12"/>
      <c r="LU161" s="12"/>
      <c r="LV161" s="12"/>
      <c r="LW161" s="12"/>
      <c r="LX161" s="12"/>
      <c r="LY161" s="12"/>
      <c r="LZ161" s="12"/>
      <c r="MA161" s="12"/>
      <c r="MB161" s="12"/>
      <c r="MC161" s="12"/>
      <c r="MD161" s="12"/>
      <c r="ME161" s="12"/>
      <c r="MF161" s="12"/>
      <c r="MG161" s="12"/>
      <c r="MH161" s="12"/>
      <c r="MI161" s="12"/>
      <c r="MJ161" s="12"/>
      <c r="MK161" s="12"/>
      <c r="ML161" s="12"/>
      <c r="MM161" s="12"/>
      <c r="MN161" s="12"/>
      <c r="MO161" s="12"/>
      <c r="MP161" s="12"/>
      <c r="MQ161" s="12"/>
      <c r="MR161" s="12"/>
      <c r="MS161" s="12"/>
      <c r="MT161" s="12"/>
      <c r="MU161" s="12"/>
      <c r="MV161" s="12"/>
      <c r="MW161" s="12"/>
      <c r="MX161" s="12"/>
      <c r="MY161" s="12"/>
      <c r="MZ161" s="12"/>
      <c r="NA161" s="12"/>
      <c r="NB161" s="12"/>
      <c r="NC161" s="12"/>
      <c r="ND161" s="12"/>
      <c r="NE161" s="12"/>
      <c r="NF161" s="12"/>
      <c r="NG161" s="12"/>
      <c r="NH161" s="12"/>
      <c r="NI161" s="12"/>
      <c r="NJ161" s="12"/>
      <c r="NK161" s="12"/>
      <c r="NL161" s="12"/>
      <c r="NM161" s="12"/>
      <c r="NN161" s="12"/>
      <c r="NO161" s="12"/>
      <c r="NP161" s="12"/>
      <c r="NQ161" s="12"/>
      <c r="NR161" s="12"/>
      <c r="NS161" s="12"/>
      <c r="NT161" s="12"/>
      <c r="NU161" s="12"/>
      <c r="NV161" s="12"/>
      <c r="NW161" s="12"/>
      <c r="NX161" s="12"/>
      <c r="NY161" s="12"/>
      <c r="NZ161" s="12"/>
      <c r="OA161" s="12"/>
      <c r="OB161" s="12"/>
      <c r="OC161" s="12"/>
      <c r="OD161" s="12"/>
      <c r="OE161" s="12"/>
      <c r="OF161" s="12"/>
      <c r="OG161" s="12"/>
      <c r="OH161" s="12"/>
      <c r="OI161" s="12"/>
      <c r="OJ161" s="12"/>
      <c r="OK161" s="12"/>
      <c r="OL161" s="12"/>
      <c r="OM161" s="12"/>
      <c r="ON161" s="12"/>
      <c r="OO161" s="12"/>
      <c r="OP161" s="12"/>
      <c r="OQ161" s="12"/>
      <c r="OR161" s="12"/>
      <c r="OS161" s="12"/>
      <c r="OT161" s="12"/>
      <c r="OU161" s="12"/>
      <c r="OV161" s="12"/>
      <c r="OW161" s="12"/>
      <c r="OX161" s="12"/>
      <c r="OY161" s="12"/>
      <c r="OZ161" s="12"/>
      <c r="PA161" s="12"/>
      <c r="PB161" s="12"/>
      <c r="PC161" s="12"/>
      <c r="PD161" s="12"/>
      <c r="PE161" s="12"/>
      <c r="PF161" s="12"/>
      <c r="PG161" s="12"/>
      <c r="PH161" s="12"/>
      <c r="PI161" s="12"/>
      <c r="PJ161" s="12"/>
      <c r="PK161" s="12"/>
      <c r="PL161" s="12"/>
      <c r="PM161" s="12"/>
      <c r="PN161" s="12"/>
      <c r="PO161" s="12"/>
      <c r="PP161" s="12"/>
      <c r="PQ161" s="12"/>
      <c r="PR161" s="12"/>
      <c r="PS161" s="12"/>
      <c r="PT161" s="12"/>
      <c r="PU161" s="12"/>
      <c r="PV161" s="12"/>
      <c r="PW161" s="12"/>
      <c r="PX161" s="12"/>
      <c r="PY161" s="12"/>
      <c r="PZ161" s="12"/>
      <c r="QA161" s="12"/>
      <c r="QB161" s="12"/>
      <c r="QC161" s="12"/>
      <c r="QD161" s="12"/>
      <c r="QE161" s="12"/>
      <c r="QF161" s="12"/>
      <c r="QG161" s="12"/>
      <c r="QH161" s="12"/>
      <c r="QI161" s="12"/>
      <c r="QJ161" s="12"/>
      <c r="QK161" s="12"/>
      <c r="QL161" s="12"/>
      <c r="QM161" s="12"/>
      <c r="QN161" s="12"/>
      <c r="QO161" s="12"/>
      <c r="QP161" s="12"/>
      <c r="QQ161" s="12"/>
      <c r="QR161" s="12"/>
      <c r="QS161" s="12"/>
      <c r="QT161" s="12"/>
      <c r="QU161" s="12"/>
      <c r="QV161" s="12"/>
      <c r="QW161" s="12"/>
      <c r="QX161" s="12"/>
      <c r="QY161" s="12"/>
      <c r="QZ161" s="12"/>
      <c r="RA161" s="12"/>
      <c r="RB161" s="12"/>
      <c r="RC161" s="12"/>
      <c r="RD161" s="12"/>
      <c r="RE161" s="12"/>
      <c r="RF161" s="12"/>
      <c r="RG161" s="12"/>
      <c r="RH161" s="12"/>
      <c r="RI161" s="12"/>
      <c r="RJ161" s="12"/>
      <c r="RK161" s="12"/>
      <c r="RL161" s="12"/>
      <c r="RM161" s="12"/>
      <c r="RN161" s="12"/>
      <c r="RO161" s="12"/>
      <c r="RP161" s="12"/>
      <c r="RQ161" s="12"/>
      <c r="RR161" s="12"/>
      <c r="RS161" s="12"/>
      <c r="RT161" s="12"/>
      <c r="RU161" s="12"/>
      <c r="RV161" s="12"/>
      <c r="RW161" s="12"/>
      <c r="RX161" s="12"/>
      <c r="RY161" s="12"/>
      <c r="RZ161" s="12"/>
      <c r="SA161" s="12"/>
      <c r="SB161" s="12"/>
      <c r="SC161" s="12"/>
      <c r="SD161" s="12"/>
      <c r="SE161" s="12"/>
      <c r="SF161" s="12"/>
      <c r="SG161" s="12"/>
      <c r="SH161" s="11"/>
      <c r="SI161" s="11"/>
      <c r="SJ161" s="11"/>
      <c r="SK161" s="11"/>
      <c r="SL161" s="11"/>
      <c r="SM161" s="11"/>
      <c r="SN161" s="11"/>
      <c r="SO161" s="11"/>
      <c r="SP161" s="11"/>
      <c r="SQ161" s="11"/>
      <c r="SR161" s="11"/>
      <c r="SS161" s="11"/>
      <c r="ST161" s="11"/>
      <c r="SU161" s="11"/>
      <c r="SV161" s="11"/>
      <c r="SW161" s="11"/>
      <c r="SX161" s="11"/>
      <c r="SY161" s="11"/>
      <c r="SZ161" s="11"/>
      <c r="TA161" s="11"/>
      <c r="TB161" s="11"/>
      <c r="TC161" s="11"/>
      <c r="TD161" s="11"/>
      <c r="TE161" s="11"/>
      <c r="TF161" s="11"/>
      <c r="TG161" s="11"/>
      <c r="TH161" s="11"/>
      <c r="TI161" s="11"/>
      <c r="TJ161" s="11"/>
      <c r="TK161" s="11"/>
      <c r="TL161" s="11"/>
    </row>
    <row r="162" spans="1:532" x14ac:dyDescent="0.2">
      <c r="A162" s="10" t="s">
        <v>161</v>
      </c>
      <c r="B162" s="12">
        <v>13.36</v>
      </c>
      <c r="C162" s="11">
        <v>0</v>
      </c>
      <c r="D162" s="11">
        <v>1.6235738720734085</v>
      </c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/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/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/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/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/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/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/>
      <c r="LS162" s="12"/>
      <c r="LT162" s="12"/>
      <c r="LU162" s="12"/>
      <c r="LV162" s="12"/>
      <c r="LW162" s="12"/>
      <c r="LX162" s="12"/>
      <c r="LY162" s="12"/>
      <c r="LZ162" s="12"/>
      <c r="MA162" s="12"/>
      <c r="MB162" s="12"/>
      <c r="MC162" s="12"/>
      <c r="MD162" s="12"/>
      <c r="ME162" s="12"/>
      <c r="MF162" s="12"/>
      <c r="MG162" s="12"/>
      <c r="MH162" s="12"/>
      <c r="MI162" s="12"/>
      <c r="MJ162" s="12"/>
      <c r="MK162" s="12"/>
      <c r="ML162" s="12"/>
      <c r="MM162" s="12"/>
      <c r="MN162" s="12"/>
      <c r="MO162" s="12"/>
      <c r="MP162" s="12"/>
      <c r="MQ162" s="12"/>
      <c r="MR162" s="12"/>
      <c r="MS162" s="12"/>
      <c r="MT162" s="12"/>
      <c r="MU162" s="12"/>
      <c r="MV162" s="12"/>
      <c r="MW162" s="12"/>
      <c r="MX162" s="12"/>
      <c r="MY162" s="12"/>
      <c r="MZ162" s="12"/>
      <c r="NA162" s="12"/>
      <c r="NB162" s="12"/>
      <c r="NC162" s="12"/>
      <c r="ND162" s="12"/>
      <c r="NE162" s="12"/>
      <c r="NF162" s="12"/>
      <c r="NG162" s="12"/>
      <c r="NH162" s="12"/>
      <c r="NI162" s="12"/>
      <c r="NJ162" s="12"/>
      <c r="NK162" s="12"/>
      <c r="NL162" s="12"/>
      <c r="NM162" s="12"/>
      <c r="NN162" s="12"/>
      <c r="NO162" s="12"/>
      <c r="NP162" s="12"/>
      <c r="NQ162" s="12"/>
      <c r="NR162" s="12"/>
      <c r="NS162" s="12"/>
      <c r="NT162" s="12"/>
      <c r="NU162" s="12"/>
      <c r="NV162" s="12"/>
      <c r="NW162" s="12"/>
      <c r="NX162" s="12"/>
      <c r="NY162" s="12"/>
      <c r="NZ162" s="12"/>
      <c r="OA162" s="12"/>
      <c r="OB162" s="12"/>
      <c r="OC162" s="12"/>
      <c r="OD162" s="12"/>
      <c r="OE162" s="12"/>
      <c r="OF162" s="12"/>
      <c r="OG162" s="12"/>
      <c r="OH162" s="12"/>
      <c r="OI162" s="12"/>
      <c r="OJ162" s="12"/>
      <c r="OK162" s="12"/>
      <c r="OL162" s="12"/>
      <c r="OM162" s="12"/>
      <c r="ON162" s="12"/>
      <c r="OO162" s="12"/>
      <c r="OP162" s="12"/>
      <c r="OQ162" s="12"/>
      <c r="OR162" s="12"/>
      <c r="OS162" s="12"/>
      <c r="OT162" s="12"/>
      <c r="OU162" s="12"/>
      <c r="OV162" s="12"/>
      <c r="OW162" s="12"/>
      <c r="OX162" s="12"/>
      <c r="OY162" s="12"/>
      <c r="OZ162" s="12"/>
      <c r="PA162" s="12"/>
      <c r="PB162" s="12"/>
      <c r="PC162" s="12"/>
      <c r="PD162" s="12"/>
      <c r="PE162" s="12"/>
      <c r="PF162" s="12"/>
      <c r="PG162" s="12"/>
      <c r="PH162" s="12"/>
      <c r="PI162" s="12"/>
      <c r="PJ162" s="12"/>
      <c r="PK162" s="12"/>
      <c r="PL162" s="12"/>
      <c r="PM162" s="12"/>
      <c r="PN162" s="12"/>
      <c r="PO162" s="12"/>
      <c r="PP162" s="12"/>
      <c r="PQ162" s="12"/>
      <c r="PR162" s="12"/>
      <c r="PS162" s="12"/>
      <c r="PT162" s="12"/>
      <c r="PU162" s="12"/>
      <c r="PV162" s="12"/>
      <c r="PW162" s="12"/>
      <c r="PX162" s="12"/>
      <c r="PY162" s="12"/>
      <c r="PZ162" s="12"/>
      <c r="QA162" s="12"/>
      <c r="QB162" s="12"/>
      <c r="QC162" s="12"/>
      <c r="QD162" s="12"/>
      <c r="QE162" s="12"/>
      <c r="QF162" s="12"/>
      <c r="QG162" s="12"/>
      <c r="QH162" s="12"/>
      <c r="QI162" s="12"/>
      <c r="QJ162" s="12"/>
      <c r="QK162" s="12"/>
      <c r="QL162" s="12"/>
      <c r="QM162" s="12"/>
      <c r="QN162" s="12"/>
      <c r="QO162" s="12"/>
      <c r="QP162" s="12"/>
      <c r="QQ162" s="12"/>
      <c r="QR162" s="12"/>
      <c r="QS162" s="12"/>
      <c r="QT162" s="12"/>
      <c r="QU162" s="12"/>
      <c r="QV162" s="12"/>
      <c r="QW162" s="12"/>
      <c r="QX162" s="12"/>
      <c r="QY162" s="12"/>
      <c r="QZ162" s="12"/>
      <c r="RA162" s="12"/>
      <c r="RB162" s="12"/>
      <c r="RC162" s="12"/>
      <c r="RD162" s="12"/>
      <c r="RE162" s="12"/>
      <c r="RF162" s="12"/>
      <c r="RG162" s="12"/>
      <c r="RH162" s="12"/>
      <c r="RI162" s="12"/>
      <c r="RJ162" s="12"/>
      <c r="RK162" s="12"/>
      <c r="RL162" s="12"/>
      <c r="RM162" s="12"/>
      <c r="RN162" s="12"/>
      <c r="RO162" s="12"/>
      <c r="RP162" s="12"/>
      <c r="RQ162" s="12"/>
      <c r="RR162" s="12"/>
      <c r="RS162" s="12"/>
      <c r="RT162" s="12"/>
      <c r="RU162" s="12"/>
      <c r="RV162" s="12"/>
      <c r="RW162" s="12"/>
      <c r="RX162" s="12"/>
      <c r="RY162" s="12"/>
      <c r="RZ162" s="12"/>
      <c r="SA162" s="12"/>
      <c r="SB162" s="12"/>
      <c r="SC162" s="12"/>
      <c r="SD162" s="12"/>
      <c r="SE162" s="12"/>
      <c r="SF162" s="12"/>
      <c r="SG162" s="12"/>
      <c r="SH162" s="11"/>
      <c r="SI162" s="11"/>
      <c r="SJ162" s="11"/>
      <c r="SK162" s="11"/>
      <c r="SL162" s="11"/>
      <c r="SM162" s="11"/>
      <c r="SN162" s="11"/>
      <c r="SO162" s="11"/>
      <c r="SP162" s="11"/>
      <c r="SQ162" s="11"/>
      <c r="SR162" s="11"/>
      <c r="SS162" s="11"/>
      <c r="ST162" s="11"/>
      <c r="SU162" s="11"/>
      <c r="SV162" s="11"/>
      <c r="SW162" s="11"/>
      <c r="SX162" s="11"/>
      <c r="SY162" s="11"/>
      <c r="SZ162" s="11"/>
      <c r="TA162" s="11"/>
      <c r="TB162" s="11"/>
      <c r="TC162" s="11"/>
      <c r="TD162" s="11"/>
      <c r="TE162" s="11"/>
      <c r="TF162" s="11"/>
      <c r="TG162" s="11"/>
      <c r="TH162" s="11"/>
      <c r="TI162" s="11"/>
      <c r="TJ162" s="11"/>
      <c r="TK162" s="11"/>
      <c r="TL162" s="11"/>
    </row>
    <row r="163" spans="1:532" x14ac:dyDescent="0.2">
      <c r="A163" s="10" t="s">
        <v>162</v>
      </c>
      <c r="B163" s="12">
        <v>14.51</v>
      </c>
      <c r="C163" s="11">
        <v>0</v>
      </c>
      <c r="D163" s="11">
        <v>0.48509219348534771</v>
      </c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/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/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/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/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/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/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/>
      <c r="LT163" s="12"/>
      <c r="LU163" s="12"/>
      <c r="LV163" s="12"/>
      <c r="LW163" s="12"/>
      <c r="LX163" s="12"/>
      <c r="LY163" s="12"/>
      <c r="LZ163" s="12"/>
      <c r="MA163" s="12"/>
      <c r="MB163" s="12"/>
      <c r="MC163" s="12"/>
      <c r="MD163" s="12"/>
      <c r="ME163" s="12"/>
      <c r="MF163" s="12"/>
      <c r="MG163" s="12"/>
      <c r="MH163" s="12"/>
      <c r="MI163" s="12"/>
      <c r="MJ163" s="12"/>
      <c r="MK163" s="12"/>
      <c r="ML163" s="12"/>
      <c r="MM163" s="12"/>
      <c r="MN163" s="12"/>
      <c r="MO163" s="12"/>
      <c r="MP163" s="12"/>
      <c r="MQ163" s="12"/>
      <c r="MR163" s="12"/>
      <c r="MS163" s="12"/>
      <c r="MT163" s="12"/>
      <c r="MU163" s="12"/>
      <c r="MV163" s="12"/>
      <c r="MW163" s="12"/>
      <c r="MX163" s="12"/>
      <c r="MY163" s="12"/>
      <c r="MZ163" s="12"/>
      <c r="NA163" s="12"/>
      <c r="NB163" s="12"/>
      <c r="NC163" s="12"/>
      <c r="ND163" s="12"/>
      <c r="NE163" s="12"/>
      <c r="NF163" s="12"/>
      <c r="NG163" s="12"/>
      <c r="NH163" s="12"/>
      <c r="NI163" s="12"/>
      <c r="NJ163" s="12"/>
      <c r="NK163" s="12"/>
      <c r="NL163" s="12"/>
      <c r="NM163" s="12"/>
      <c r="NN163" s="12"/>
      <c r="NO163" s="12"/>
      <c r="NP163" s="12"/>
      <c r="NQ163" s="12"/>
      <c r="NR163" s="12"/>
      <c r="NS163" s="12"/>
      <c r="NT163" s="12"/>
      <c r="NU163" s="12"/>
      <c r="NV163" s="12"/>
      <c r="NW163" s="12"/>
      <c r="NX163" s="12"/>
      <c r="NY163" s="12"/>
      <c r="NZ163" s="12"/>
      <c r="OA163" s="12"/>
      <c r="OB163" s="12"/>
      <c r="OC163" s="12"/>
      <c r="OD163" s="12"/>
      <c r="OE163" s="12"/>
      <c r="OF163" s="12"/>
      <c r="OG163" s="12"/>
      <c r="OH163" s="12"/>
      <c r="OI163" s="12"/>
      <c r="OJ163" s="12"/>
      <c r="OK163" s="12"/>
      <c r="OL163" s="12"/>
      <c r="OM163" s="12"/>
      <c r="ON163" s="12"/>
      <c r="OO163" s="12"/>
      <c r="OP163" s="12"/>
      <c r="OQ163" s="12"/>
      <c r="OR163" s="12"/>
      <c r="OS163" s="12"/>
      <c r="OT163" s="12"/>
      <c r="OU163" s="12"/>
      <c r="OV163" s="12"/>
      <c r="OW163" s="12"/>
      <c r="OX163" s="12"/>
      <c r="OY163" s="12"/>
      <c r="OZ163" s="12"/>
      <c r="PA163" s="12"/>
      <c r="PB163" s="12"/>
      <c r="PC163" s="12"/>
      <c r="PD163" s="12"/>
      <c r="PE163" s="12"/>
      <c r="PF163" s="12"/>
      <c r="PG163" s="12"/>
      <c r="PH163" s="12"/>
      <c r="PI163" s="12"/>
      <c r="PJ163" s="12"/>
      <c r="PK163" s="12"/>
      <c r="PL163" s="12"/>
      <c r="PM163" s="12"/>
      <c r="PN163" s="12"/>
      <c r="PO163" s="12"/>
      <c r="PP163" s="12"/>
      <c r="PQ163" s="12"/>
      <c r="PR163" s="12"/>
      <c r="PS163" s="12"/>
      <c r="PT163" s="12"/>
      <c r="PU163" s="12"/>
      <c r="PV163" s="12"/>
      <c r="PW163" s="12"/>
      <c r="PX163" s="12"/>
      <c r="PY163" s="12"/>
      <c r="PZ163" s="12"/>
      <c r="QA163" s="12"/>
      <c r="QB163" s="12"/>
      <c r="QC163" s="12"/>
      <c r="QD163" s="12"/>
      <c r="QE163" s="12"/>
      <c r="QF163" s="12"/>
      <c r="QG163" s="12"/>
      <c r="QH163" s="12"/>
      <c r="QI163" s="12"/>
      <c r="QJ163" s="12"/>
      <c r="QK163" s="12"/>
      <c r="QL163" s="12"/>
      <c r="QM163" s="12"/>
      <c r="QN163" s="12"/>
      <c r="QO163" s="12"/>
      <c r="QP163" s="12"/>
      <c r="QQ163" s="12"/>
      <c r="QR163" s="12"/>
      <c r="QS163" s="12"/>
      <c r="QT163" s="12"/>
      <c r="QU163" s="12"/>
      <c r="QV163" s="12"/>
      <c r="QW163" s="12"/>
      <c r="QX163" s="12"/>
      <c r="QY163" s="12"/>
      <c r="QZ163" s="12"/>
      <c r="RA163" s="12"/>
      <c r="RB163" s="12"/>
      <c r="RC163" s="12"/>
      <c r="RD163" s="12"/>
      <c r="RE163" s="12"/>
      <c r="RF163" s="12"/>
      <c r="RG163" s="12"/>
      <c r="RH163" s="12"/>
      <c r="RI163" s="12"/>
      <c r="RJ163" s="12"/>
      <c r="RK163" s="12"/>
      <c r="RL163" s="12"/>
      <c r="RM163" s="12"/>
      <c r="RN163" s="12"/>
      <c r="RO163" s="12"/>
      <c r="RP163" s="12"/>
      <c r="RQ163" s="12"/>
      <c r="RR163" s="12"/>
      <c r="RS163" s="12"/>
      <c r="RT163" s="12"/>
      <c r="RU163" s="12"/>
      <c r="RV163" s="12"/>
      <c r="RW163" s="12"/>
      <c r="RX163" s="12"/>
      <c r="RY163" s="12"/>
      <c r="RZ163" s="12"/>
      <c r="SA163" s="12"/>
      <c r="SB163" s="12"/>
      <c r="SC163" s="12"/>
      <c r="SD163" s="12"/>
      <c r="SE163" s="12"/>
      <c r="SF163" s="12"/>
      <c r="SG163" s="12"/>
      <c r="SH163" s="11"/>
      <c r="SI163" s="11"/>
      <c r="SJ163" s="11"/>
      <c r="SK163" s="11"/>
      <c r="SL163" s="11"/>
      <c r="SM163" s="11"/>
      <c r="SN163" s="11"/>
      <c r="SO163" s="11"/>
      <c r="SP163" s="11"/>
      <c r="SQ163" s="11"/>
      <c r="SR163" s="11"/>
      <c r="SS163" s="11"/>
      <c r="ST163" s="11"/>
      <c r="SU163" s="11"/>
      <c r="SV163" s="11"/>
      <c r="SW163" s="11"/>
      <c r="SX163" s="11"/>
      <c r="SY163" s="11"/>
      <c r="SZ163" s="11"/>
      <c r="TA163" s="11"/>
      <c r="TB163" s="11"/>
      <c r="TC163" s="11"/>
      <c r="TD163" s="11"/>
      <c r="TE163" s="11"/>
      <c r="TF163" s="11"/>
      <c r="TG163" s="11"/>
      <c r="TH163" s="11"/>
      <c r="TI163" s="11"/>
      <c r="TJ163" s="11"/>
      <c r="TK163" s="11"/>
      <c r="TL163" s="11"/>
    </row>
    <row r="164" spans="1:532" x14ac:dyDescent="0.2">
      <c r="A164" s="10" t="s">
        <v>163</v>
      </c>
      <c r="B164" s="12">
        <v>15.19</v>
      </c>
      <c r="C164" s="11">
        <v>0.18809697298411443</v>
      </c>
      <c r="D164" s="11">
        <v>0</v>
      </c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/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/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/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/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/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/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/>
      <c r="LR164" s="12"/>
      <c r="LS164" s="12"/>
      <c r="LT164" s="12"/>
      <c r="LU164" s="12"/>
      <c r="LV164" s="12"/>
      <c r="LW164" s="12"/>
      <c r="LX164" s="12"/>
      <c r="LY164" s="12"/>
      <c r="LZ164" s="12"/>
      <c r="MA164" s="12"/>
      <c r="MB164" s="12"/>
      <c r="MC164" s="12"/>
      <c r="MD164" s="12"/>
      <c r="ME164" s="12"/>
      <c r="MF164" s="12"/>
      <c r="MG164" s="12"/>
      <c r="MH164" s="12"/>
      <c r="MI164" s="12"/>
      <c r="MJ164" s="12"/>
      <c r="MK164" s="12"/>
      <c r="ML164" s="12"/>
      <c r="MM164" s="12"/>
      <c r="MN164" s="12"/>
      <c r="MO164" s="12"/>
      <c r="MP164" s="12"/>
      <c r="MQ164" s="12"/>
      <c r="MR164" s="12"/>
      <c r="MS164" s="12"/>
      <c r="MT164" s="12"/>
      <c r="MU164" s="12"/>
      <c r="MV164" s="12"/>
      <c r="MW164" s="12"/>
      <c r="MX164" s="12"/>
      <c r="MY164" s="12"/>
      <c r="MZ164" s="12"/>
      <c r="NA164" s="12"/>
      <c r="NB164" s="12"/>
      <c r="NC164" s="12"/>
      <c r="ND164" s="12"/>
      <c r="NE164" s="12"/>
      <c r="NF164" s="12"/>
      <c r="NG164" s="12"/>
      <c r="NH164" s="12"/>
      <c r="NI164" s="12"/>
      <c r="NJ164" s="12"/>
      <c r="NK164" s="12"/>
      <c r="NL164" s="12"/>
      <c r="NM164" s="12"/>
      <c r="NN164" s="12"/>
      <c r="NO164" s="12"/>
      <c r="NP164" s="12"/>
      <c r="NQ164" s="12"/>
      <c r="NR164" s="12"/>
      <c r="NS164" s="12"/>
      <c r="NT164" s="12"/>
      <c r="NU164" s="12"/>
      <c r="NV164" s="12"/>
      <c r="NW164" s="12"/>
      <c r="NX164" s="12"/>
      <c r="NY164" s="12"/>
      <c r="NZ164" s="12"/>
      <c r="OA164" s="12"/>
      <c r="OB164" s="12"/>
      <c r="OC164" s="12"/>
      <c r="OD164" s="12"/>
      <c r="OE164" s="12"/>
      <c r="OF164" s="12"/>
      <c r="OG164" s="12"/>
      <c r="OH164" s="12"/>
      <c r="OI164" s="12"/>
      <c r="OJ164" s="12"/>
      <c r="OK164" s="12"/>
      <c r="OL164" s="12"/>
      <c r="OM164" s="12"/>
      <c r="ON164" s="12"/>
      <c r="OO164" s="12"/>
      <c r="OP164" s="12"/>
      <c r="OQ164" s="12"/>
      <c r="OR164" s="12"/>
      <c r="OS164" s="12"/>
      <c r="OT164" s="12"/>
      <c r="OU164" s="12"/>
      <c r="OV164" s="12"/>
      <c r="OW164" s="12"/>
      <c r="OX164" s="12"/>
      <c r="OY164" s="12"/>
      <c r="OZ164" s="12"/>
      <c r="PA164" s="12"/>
      <c r="PB164" s="12"/>
      <c r="PC164" s="12"/>
      <c r="PD164" s="12"/>
      <c r="PE164" s="12"/>
      <c r="PF164" s="12"/>
      <c r="PG164" s="12"/>
      <c r="PH164" s="12"/>
      <c r="PI164" s="12"/>
      <c r="PJ164" s="12"/>
      <c r="PK164" s="12"/>
      <c r="PL164" s="12"/>
      <c r="PM164" s="12"/>
      <c r="PN164" s="12"/>
      <c r="PO164" s="12"/>
      <c r="PP164" s="12"/>
      <c r="PQ164" s="12"/>
      <c r="PR164" s="12"/>
      <c r="PS164" s="12"/>
      <c r="PT164" s="12"/>
      <c r="PU164" s="12"/>
      <c r="PV164" s="12"/>
      <c r="PW164" s="12"/>
      <c r="PX164" s="12"/>
      <c r="PY164" s="12"/>
      <c r="PZ164" s="12"/>
      <c r="QA164" s="12"/>
      <c r="QB164" s="12"/>
      <c r="QC164" s="12"/>
      <c r="QD164" s="12"/>
      <c r="QE164" s="12"/>
      <c r="QF164" s="12"/>
      <c r="QG164" s="12"/>
      <c r="QH164" s="12"/>
      <c r="QI164" s="12"/>
      <c r="QJ164" s="12"/>
      <c r="QK164" s="12"/>
      <c r="QL164" s="12"/>
      <c r="QM164" s="12"/>
      <c r="QN164" s="12"/>
      <c r="QO164" s="12"/>
      <c r="QP164" s="12"/>
      <c r="QQ164" s="12"/>
      <c r="QR164" s="12"/>
      <c r="QS164" s="12"/>
      <c r="QT164" s="12"/>
      <c r="QU164" s="12"/>
      <c r="QV164" s="12"/>
      <c r="QW164" s="12"/>
      <c r="QX164" s="12"/>
      <c r="QY164" s="12"/>
      <c r="QZ164" s="12"/>
      <c r="RA164" s="12"/>
      <c r="RB164" s="12"/>
      <c r="RC164" s="12"/>
      <c r="RD164" s="12"/>
      <c r="RE164" s="12"/>
      <c r="RF164" s="12"/>
      <c r="RG164" s="12"/>
      <c r="RH164" s="12"/>
      <c r="RI164" s="12"/>
      <c r="RJ164" s="12"/>
      <c r="RK164" s="12"/>
      <c r="RL164" s="12"/>
      <c r="RM164" s="12"/>
      <c r="RN164" s="12"/>
      <c r="RO164" s="12"/>
      <c r="RP164" s="12"/>
      <c r="RQ164" s="12"/>
      <c r="RR164" s="12"/>
      <c r="RS164" s="12"/>
      <c r="RT164" s="12"/>
      <c r="RU164" s="12"/>
      <c r="RV164" s="12"/>
      <c r="RW164" s="12"/>
      <c r="RX164" s="12"/>
      <c r="RY164" s="12"/>
      <c r="RZ164" s="12"/>
      <c r="SA164" s="12"/>
      <c r="SB164" s="12"/>
      <c r="SC164" s="12"/>
      <c r="SD164" s="12"/>
      <c r="SE164" s="12"/>
      <c r="SF164" s="12"/>
      <c r="SG164" s="12"/>
      <c r="SH164" s="11"/>
      <c r="SI164" s="11"/>
      <c r="SJ164" s="11"/>
      <c r="SK164" s="11"/>
      <c r="SL164" s="11"/>
      <c r="SM164" s="11"/>
      <c r="SN164" s="11"/>
      <c r="SO164" s="11"/>
      <c r="SP164" s="11"/>
      <c r="SQ164" s="11"/>
      <c r="SR164" s="11"/>
      <c r="SS164" s="11"/>
      <c r="ST164" s="11"/>
      <c r="SU164" s="11"/>
      <c r="SV164" s="11"/>
      <c r="SW164" s="11"/>
      <c r="SX164" s="11"/>
      <c r="SY164" s="11"/>
      <c r="SZ164" s="11"/>
      <c r="TA164" s="11"/>
      <c r="TB164" s="11"/>
      <c r="TC164" s="11"/>
      <c r="TD164" s="11"/>
      <c r="TE164" s="11"/>
      <c r="TF164" s="11"/>
      <c r="TG164" s="11"/>
      <c r="TH164" s="11"/>
      <c r="TI164" s="11"/>
      <c r="TJ164" s="11"/>
      <c r="TK164" s="11"/>
      <c r="TL164" s="11"/>
    </row>
    <row r="165" spans="1:532" x14ac:dyDescent="0.2">
      <c r="A165" s="10" t="s">
        <v>164</v>
      </c>
      <c r="B165" s="12">
        <v>13.37</v>
      </c>
      <c r="C165" s="11">
        <v>0</v>
      </c>
      <c r="D165" s="11">
        <v>1.6136740313900342</v>
      </c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/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/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/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/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/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/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/>
      <c r="LS165" s="12"/>
      <c r="LT165" s="12"/>
      <c r="LU165" s="12"/>
      <c r="LV165" s="12"/>
      <c r="LW165" s="12"/>
      <c r="LX165" s="12"/>
      <c r="LY165" s="12"/>
      <c r="LZ165" s="12"/>
      <c r="MA165" s="12"/>
      <c r="MB165" s="12"/>
      <c r="MC165" s="12"/>
      <c r="MD165" s="12"/>
      <c r="ME165" s="12"/>
      <c r="MF165" s="12"/>
      <c r="MG165" s="12"/>
      <c r="MH165" s="12"/>
      <c r="MI165" s="12"/>
      <c r="MJ165" s="12"/>
      <c r="MK165" s="12"/>
      <c r="ML165" s="12"/>
      <c r="MM165" s="12"/>
      <c r="MN165" s="12"/>
      <c r="MO165" s="12"/>
      <c r="MP165" s="12"/>
      <c r="MQ165" s="12"/>
      <c r="MR165" s="12"/>
      <c r="MS165" s="12"/>
      <c r="MT165" s="12"/>
      <c r="MU165" s="12"/>
      <c r="MV165" s="12"/>
      <c r="MW165" s="12"/>
      <c r="MX165" s="12"/>
      <c r="MY165" s="12"/>
      <c r="MZ165" s="12"/>
      <c r="NA165" s="12"/>
      <c r="NB165" s="12"/>
      <c r="NC165" s="12"/>
      <c r="ND165" s="12"/>
      <c r="NE165" s="12"/>
      <c r="NF165" s="12"/>
      <c r="NG165" s="12"/>
      <c r="NH165" s="12"/>
      <c r="NI165" s="12"/>
      <c r="NJ165" s="12"/>
      <c r="NK165" s="12"/>
      <c r="NL165" s="12"/>
      <c r="NM165" s="12"/>
      <c r="NN165" s="12"/>
      <c r="NO165" s="12"/>
      <c r="NP165" s="12"/>
      <c r="NQ165" s="12"/>
      <c r="NR165" s="12"/>
      <c r="NS165" s="12"/>
      <c r="NT165" s="12"/>
      <c r="NU165" s="12"/>
      <c r="NV165" s="12"/>
      <c r="NW165" s="12"/>
      <c r="NX165" s="12"/>
      <c r="NY165" s="12"/>
      <c r="NZ165" s="12"/>
      <c r="OA165" s="12"/>
      <c r="OB165" s="12"/>
      <c r="OC165" s="12"/>
      <c r="OD165" s="12"/>
      <c r="OE165" s="12"/>
      <c r="OF165" s="12"/>
      <c r="OG165" s="12"/>
      <c r="OH165" s="12"/>
      <c r="OI165" s="12"/>
      <c r="OJ165" s="12"/>
      <c r="OK165" s="12"/>
      <c r="OL165" s="12"/>
      <c r="OM165" s="12"/>
      <c r="ON165" s="12"/>
      <c r="OO165" s="12"/>
      <c r="OP165" s="12"/>
      <c r="OQ165" s="12"/>
      <c r="OR165" s="12"/>
      <c r="OS165" s="12"/>
      <c r="OT165" s="12"/>
      <c r="OU165" s="12"/>
      <c r="OV165" s="12"/>
      <c r="OW165" s="12"/>
      <c r="OX165" s="12"/>
      <c r="OY165" s="12"/>
      <c r="OZ165" s="12"/>
      <c r="PA165" s="12"/>
      <c r="PB165" s="12"/>
      <c r="PC165" s="12"/>
      <c r="PD165" s="12"/>
      <c r="PE165" s="12"/>
      <c r="PF165" s="12"/>
      <c r="PG165" s="12"/>
      <c r="PH165" s="12"/>
      <c r="PI165" s="12"/>
      <c r="PJ165" s="12"/>
      <c r="PK165" s="12"/>
      <c r="PL165" s="12"/>
      <c r="PM165" s="12"/>
      <c r="PN165" s="12"/>
      <c r="PO165" s="12"/>
      <c r="PP165" s="12"/>
      <c r="PQ165" s="12"/>
      <c r="PR165" s="12"/>
      <c r="PS165" s="12"/>
      <c r="PT165" s="12"/>
      <c r="PU165" s="12"/>
      <c r="PV165" s="12"/>
      <c r="PW165" s="12"/>
      <c r="PX165" s="12"/>
      <c r="PY165" s="12"/>
      <c r="PZ165" s="12"/>
      <c r="QA165" s="12"/>
      <c r="QB165" s="12"/>
      <c r="QC165" s="12"/>
      <c r="QD165" s="12"/>
      <c r="QE165" s="12"/>
      <c r="QF165" s="12"/>
      <c r="QG165" s="12"/>
      <c r="QH165" s="12"/>
      <c r="QI165" s="12"/>
      <c r="QJ165" s="12"/>
      <c r="QK165" s="12"/>
      <c r="QL165" s="12"/>
      <c r="QM165" s="12"/>
      <c r="QN165" s="12"/>
      <c r="QO165" s="12"/>
      <c r="QP165" s="12"/>
      <c r="QQ165" s="12"/>
      <c r="QR165" s="12"/>
      <c r="QS165" s="12"/>
      <c r="QT165" s="12"/>
      <c r="QU165" s="12"/>
      <c r="QV165" s="12"/>
      <c r="QW165" s="12"/>
      <c r="QX165" s="12"/>
      <c r="QY165" s="12"/>
      <c r="QZ165" s="12"/>
      <c r="RA165" s="12"/>
      <c r="RB165" s="12"/>
      <c r="RC165" s="12"/>
      <c r="RD165" s="12"/>
      <c r="RE165" s="12"/>
      <c r="RF165" s="12"/>
      <c r="RG165" s="12"/>
      <c r="RH165" s="12"/>
      <c r="RI165" s="12"/>
      <c r="RJ165" s="12"/>
      <c r="RK165" s="12"/>
      <c r="RL165" s="12"/>
      <c r="RM165" s="12"/>
      <c r="RN165" s="12"/>
      <c r="RO165" s="12"/>
      <c r="RP165" s="12"/>
      <c r="RQ165" s="12"/>
      <c r="RR165" s="12"/>
      <c r="RS165" s="12"/>
      <c r="RT165" s="12"/>
      <c r="RU165" s="12"/>
      <c r="RV165" s="12"/>
      <c r="RW165" s="12"/>
      <c r="RX165" s="12"/>
      <c r="RY165" s="12"/>
      <c r="RZ165" s="12"/>
      <c r="SA165" s="12"/>
      <c r="SB165" s="12"/>
      <c r="SC165" s="12"/>
      <c r="SD165" s="12"/>
      <c r="SE165" s="12"/>
      <c r="SF165" s="12"/>
      <c r="SG165" s="12"/>
      <c r="SH165" s="11"/>
      <c r="SI165" s="11"/>
      <c r="SJ165" s="11"/>
      <c r="SK165" s="11"/>
      <c r="SL165" s="11"/>
      <c r="SM165" s="11"/>
      <c r="SN165" s="11"/>
      <c r="SO165" s="11"/>
      <c r="SP165" s="11"/>
      <c r="SQ165" s="11"/>
      <c r="SR165" s="11"/>
      <c r="SS165" s="11"/>
      <c r="ST165" s="11"/>
      <c r="SU165" s="11"/>
      <c r="SV165" s="11"/>
      <c r="SW165" s="11"/>
      <c r="SX165" s="11"/>
      <c r="SY165" s="11"/>
      <c r="SZ165" s="11"/>
      <c r="TA165" s="11"/>
      <c r="TB165" s="11"/>
      <c r="TC165" s="11"/>
      <c r="TD165" s="11"/>
      <c r="TE165" s="11"/>
      <c r="TF165" s="11"/>
      <c r="TG165" s="11"/>
      <c r="TH165" s="11"/>
      <c r="TI165" s="11"/>
      <c r="TJ165" s="11"/>
      <c r="TK165" s="11"/>
      <c r="TL165" s="11"/>
    </row>
    <row r="166" spans="1:532" x14ac:dyDescent="0.2">
      <c r="A166" s="10" t="s">
        <v>165</v>
      </c>
      <c r="B166" s="12">
        <v>12.31</v>
      </c>
      <c r="C166" s="11">
        <v>0</v>
      </c>
      <c r="D166" s="11">
        <v>2.6630571438277251</v>
      </c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/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/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/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/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/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/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/>
      <c r="LT166" s="12"/>
      <c r="LU166" s="12"/>
      <c r="LV166" s="12"/>
      <c r="LW166" s="12"/>
      <c r="LX166" s="12"/>
      <c r="LY166" s="12"/>
      <c r="LZ166" s="12"/>
      <c r="MA166" s="12"/>
      <c r="MB166" s="12"/>
      <c r="MC166" s="12"/>
      <c r="MD166" s="12"/>
      <c r="ME166" s="12"/>
      <c r="MF166" s="12"/>
      <c r="MG166" s="12"/>
      <c r="MH166" s="12"/>
      <c r="MI166" s="12"/>
      <c r="MJ166" s="12"/>
      <c r="MK166" s="12"/>
      <c r="ML166" s="12"/>
      <c r="MM166" s="12"/>
      <c r="MN166" s="12"/>
      <c r="MO166" s="12"/>
      <c r="MP166" s="12"/>
      <c r="MQ166" s="12"/>
      <c r="MR166" s="12"/>
      <c r="MS166" s="12"/>
      <c r="MT166" s="12"/>
      <c r="MU166" s="12"/>
      <c r="MV166" s="12"/>
      <c r="MW166" s="12"/>
      <c r="MX166" s="12"/>
      <c r="MY166" s="12"/>
      <c r="MZ166" s="12"/>
      <c r="NA166" s="12"/>
      <c r="NB166" s="12"/>
      <c r="NC166" s="12"/>
      <c r="ND166" s="12"/>
      <c r="NE166" s="12"/>
      <c r="NF166" s="12"/>
      <c r="NG166" s="12"/>
      <c r="NH166" s="12"/>
      <c r="NI166" s="12"/>
      <c r="NJ166" s="12"/>
      <c r="NK166" s="12"/>
      <c r="NL166" s="12"/>
      <c r="NM166" s="12"/>
      <c r="NN166" s="12"/>
      <c r="NO166" s="12"/>
      <c r="NP166" s="12"/>
      <c r="NQ166" s="12"/>
      <c r="NR166" s="12"/>
      <c r="NS166" s="12"/>
      <c r="NT166" s="12"/>
      <c r="NU166" s="12"/>
      <c r="NV166" s="12"/>
      <c r="NW166" s="12"/>
      <c r="NX166" s="12"/>
      <c r="NY166" s="12"/>
      <c r="NZ166" s="12"/>
      <c r="OA166" s="12"/>
      <c r="OB166" s="12"/>
      <c r="OC166" s="12"/>
      <c r="OD166" s="12"/>
      <c r="OE166" s="12"/>
      <c r="OF166" s="12"/>
      <c r="OG166" s="12"/>
      <c r="OH166" s="12"/>
      <c r="OI166" s="12"/>
      <c r="OJ166" s="12"/>
      <c r="OK166" s="12"/>
      <c r="OL166" s="12"/>
      <c r="OM166" s="12"/>
      <c r="ON166" s="12"/>
      <c r="OO166" s="12"/>
      <c r="OP166" s="12"/>
      <c r="OQ166" s="12"/>
      <c r="OR166" s="12"/>
      <c r="OS166" s="12"/>
      <c r="OT166" s="12"/>
      <c r="OU166" s="12"/>
      <c r="OV166" s="12"/>
      <c r="OW166" s="12"/>
      <c r="OX166" s="12"/>
      <c r="OY166" s="12"/>
      <c r="OZ166" s="12"/>
      <c r="PA166" s="12"/>
      <c r="PB166" s="12"/>
      <c r="PC166" s="12"/>
      <c r="PD166" s="12"/>
      <c r="PE166" s="12"/>
      <c r="PF166" s="12"/>
      <c r="PG166" s="12"/>
      <c r="PH166" s="12"/>
      <c r="PI166" s="12"/>
      <c r="PJ166" s="12"/>
      <c r="PK166" s="12"/>
      <c r="PL166" s="12"/>
      <c r="PM166" s="12"/>
      <c r="PN166" s="12"/>
      <c r="PO166" s="12"/>
      <c r="PP166" s="12"/>
      <c r="PQ166" s="12"/>
      <c r="PR166" s="12"/>
      <c r="PS166" s="12"/>
      <c r="PT166" s="12"/>
      <c r="PU166" s="12"/>
      <c r="PV166" s="12"/>
      <c r="PW166" s="12"/>
      <c r="PX166" s="12"/>
      <c r="PY166" s="12"/>
      <c r="PZ166" s="12"/>
      <c r="QA166" s="12"/>
      <c r="QB166" s="12"/>
      <c r="QC166" s="12"/>
      <c r="QD166" s="12"/>
      <c r="QE166" s="12"/>
      <c r="QF166" s="12"/>
      <c r="QG166" s="12"/>
      <c r="QH166" s="12"/>
      <c r="QI166" s="12"/>
      <c r="QJ166" s="12"/>
      <c r="QK166" s="12"/>
      <c r="QL166" s="12"/>
      <c r="QM166" s="12"/>
      <c r="QN166" s="12"/>
      <c r="QO166" s="12"/>
      <c r="QP166" s="12"/>
      <c r="QQ166" s="12"/>
      <c r="QR166" s="12"/>
      <c r="QS166" s="12"/>
      <c r="QT166" s="12"/>
      <c r="QU166" s="12"/>
      <c r="QV166" s="12"/>
      <c r="QW166" s="12"/>
      <c r="QX166" s="12"/>
      <c r="QY166" s="12"/>
      <c r="QZ166" s="12"/>
      <c r="RA166" s="12"/>
      <c r="RB166" s="12"/>
      <c r="RC166" s="12"/>
      <c r="RD166" s="12"/>
      <c r="RE166" s="12"/>
      <c r="RF166" s="12"/>
      <c r="RG166" s="12"/>
      <c r="RH166" s="12"/>
      <c r="RI166" s="12"/>
      <c r="RJ166" s="12"/>
      <c r="RK166" s="12"/>
      <c r="RL166" s="12"/>
      <c r="RM166" s="12"/>
      <c r="RN166" s="12"/>
      <c r="RO166" s="12"/>
      <c r="RP166" s="12"/>
      <c r="RQ166" s="12"/>
      <c r="RR166" s="12"/>
      <c r="RS166" s="12"/>
      <c r="RT166" s="12"/>
      <c r="RU166" s="12"/>
      <c r="RV166" s="12"/>
      <c r="RW166" s="12"/>
      <c r="RX166" s="12"/>
      <c r="RY166" s="12"/>
      <c r="RZ166" s="12"/>
      <c r="SA166" s="12"/>
      <c r="SB166" s="12"/>
      <c r="SC166" s="12"/>
      <c r="SD166" s="12"/>
      <c r="SE166" s="12"/>
      <c r="SF166" s="12"/>
      <c r="SG166" s="12"/>
      <c r="SH166" s="11"/>
      <c r="SI166" s="11"/>
      <c r="SJ166" s="11"/>
      <c r="SK166" s="11"/>
      <c r="SL166" s="11"/>
      <c r="SM166" s="11"/>
      <c r="SN166" s="11"/>
      <c r="SO166" s="11"/>
      <c r="SP166" s="11"/>
      <c r="SQ166" s="11"/>
      <c r="SR166" s="11"/>
      <c r="SS166" s="11"/>
      <c r="ST166" s="11"/>
      <c r="SU166" s="11"/>
      <c r="SV166" s="11"/>
      <c r="SW166" s="11"/>
      <c r="SX166" s="11"/>
      <c r="SY166" s="11"/>
      <c r="SZ166" s="11"/>
      <c r="TA166" s="11"/>
      <c r="TB166" s="11"/>
      <c r="TC166" s="11"/>
      <c r="TD166" s="11"/>
      <c r="TE166" s="11"/>
      <c r="TF166" s="11"/>
      <c r="TG166" s="11"/>
      <c r="TH166" s="11"/>
      <c r="TI166" s="11"/>
      <c r="TJ166" s="11"/>
      <c r="TK166" s="11"/>
      <c r="TL166" s="11"/>
    </row>
    <row r="167" spans="1:532" x14ac:dyDescent="0.2">
      <c r="A167" s="10" t="s">
        <v>166</v>
      </c>
      <c r="B167" s="12">
        <v>15.3</v>
      </c>
      <c r="C167" s="11">
        <v>0.29699522050123328</v>
      </c>
      <c r="D167" s="11">
        <v>0</v>
      </c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12"/>
      <c r="IP167" s="12"/>
      <c r="IQ167" s="12"/>
      <c r="IR167" s="12"/>
      <c r="IS167" s="12"/>
      <c r="IT167" s="12"/>
      <c r="IU167" s="12"/>
      <c r="IV167" s="12"/>
      <c r="IW167" s="12"/>
      <c r="IX167" s="12"/>
      <c r="IY167" s="12"/>
      <c r="IZ167" s="12"/>
      <c r="JA167" s="12"/>
      <c r="JB167" s="12"/>
      <c r="JC167" s="12"/>
      <c r="JD167" s="12"/>
      <c r="JE167" s="12"/>
      <c r="JF167" s="12"/>
      <c r="JG167" s="12"/>
      <c r="JH167" s="12"/>
      <c r="JI167" s="12"/>
      <c r="JJ167" s="12"/>
      <c r="JK167" s="12"/>
      <c r="JL167" s="12"/>
      <c r="JM167" s="12"/>
      <c r="JN167" s="12"/>
      <c r="JO167" s="12"/>
      <c r="JP167" s="12"/>
      <c r="JQ167" s="12"/>
      <c r="JR167" s="12"/>
      <c r="JS167" s="12"/>
      <c r="JT167" s="12"/>
      <c r="JU167" s="12"/>
      <c r="JV167" s="12"/>
      <c r="JW167" s="12"/>
      <c r="JX167" s="12"/>
      <c r="JY167" s="12"/>
      <c r="JZ167" s="12"/>
      <c r="KA167" s="12"/>
      <c r="KB167" s="12"/>
      <c r="KC167" s="12"/>
      <c r="KD167" s="12"/>
      <c r="KE167" s="12"/>
      <c r="KF167" s="12"/>
      <c r="KG167" s="12"/>
      <c r="KH167" s="12"/>
      <c r="KI167" s="12"/>
      <c r="KJ167" s="12"/>
      <c r="KK167" s="12"/>
      <c r="KL167" s="12"/>
      <c r="KM167" s="12"/>
      <c r="KN167" s="12"/>
      <c r="KO167" s="12"/>
      <c r="KP167" s="12"/>
      <c r="KQ167" s="12"/>
      <c r="KR167" s="12"/>
      <c r="KS167" s="12"/>
      <c r="KT167" s="12"/>
      <c r="KU167" s="12"/>
      <c r="KV167" s="12"/>
      <c r="KW167" s="12"/>
      <c r="KX167" s="12"/>
      <c r="KY167" s="12"/>
      <c r="KZ167" s="12"/>
      <c r="LA167" s="12"/>
      <c r="LB167" s="12"/>
      <c r="LC167" s="12"/>
      <c r="LD167" s="12"/>
      <c r="LE167" s="12"/>
      <c r="LF167" s="12"/>
      <c r="LG167" s="12"/>
      <c r="LH167" s="12"/>
      <c r="LI167" s="12"/>
      <c r="LJ167" s="12"/>
      <c r="LK167" s="12"/>
      <c r="LL167" s="12"/>
      <c r="LM167" s="12"/>
      <c r="LN167" s="12"/>
      <c r="LO167" s="12"/>
      <c r="LP167" s="12"/>
      <c r="LQ167" s="12"/>
      <c r="LR167" s="12"/>
      <c r="LS167" s="12"/>
      <c r="LT167" s="12"/>
      <c r="LU167" s="12"/>
      <c r="LV167" s="12"/>
      <c r="LW167" s="12"/>
      <c r="LX167" s="12"/>
      <c r="LY167" s="12"/>
      <c r="LZ167" s="12"/>
      <c r="MA167" s="12"/>
      <c r="MB167" s="12"/>
      <c r="MC167" s="12"/>
      <c r="MD167" s="12"/>
      <c r="ME167" s="12"/>
      <c r="MF167" s="12"/>
      <c r="MG167" s="12"/>
      <c r="MH167" s="12"/>
      <c r="MI167" s="12"/>
      <c r="MJ167" s="12"/>
      <c r="MK167" s="12"/>
      <c r="ML167" s="12"/>
      <c r="MM167" s="12"/>
      <c r="MN167" s="12"/>
      <c r="MO167" s="12"/>
      <c r="MP167" s="12"/>
      <c r="MQ167" s="12"/>
      <c r="MR167" s="12"/>
      <c r="MS167" s="12"/>
      <c r="MT167" s="12"/>
      <c r="MU167" s="12"/>
      <c r="MV167" s="12"/>
      <c r="MW167" s="12"/>
      <c r="MX167" s="12"/>
      <c r="MY167" s="12"/>
      <c r="MZ167" s="12"/>
      <c r="NA167" s="12"/>
      <c r="NB167" s="12"/>
      <c r="NC167" s="12"/>
      <c r="ND167" s="12"/>
      <c r="NE167" s="12"/>
      <c r="NF167" s="12"/>
      <c r="NG167" s="12"/>
      <c r="NH167" s="12"/>
      <c r="NI167" s="12"/>
      <c r="NJ167" s="12"/>
      <c r="NK167" s="12"/>
      <c r="NL167" s="12"/>
      <c r="NM167" s="12"/>
      <c r="NN167" s="12"/>
      <c r="NO167" s="12"/>
      <c r="NP167" s="12"/>
      <c r="NQ167" s="12"/>
      <c r="NR167" s="12"/>
      <c r="NS167" s="12"/>
      <c r="NT167" s="12"/>
      <c r="NU167" s="12"/>
      <c r="NV167" s="12"/>
      <c r="NW167" s="12"/>
      <c r="NX167" s="12"/>
      <c r="NY167" s="12"/>
      <c r="NZ167" s="12"/>
      <c r="OA167" s="12"/>
      <c r="OB167" s="12"/>
      <c r="OC167" s="12"/>
      <c r="OD167" s="12"/>
      <c r="OE167" s="12"/>
      <c r="OF167" s="12"/>
      <c r="OG167" s="12"/>
      <c r="OH167" s="12"/>
      <c r="OI167" s="12"/>
      <c r="OJ167" s="12"/>
      <c r="OK167" s="12"/>
      <c r="OL167" s="12"/>
      <c r="OM167" s="12"/>
      <c r="ON167" s="12"/>
      <c r="OO167" s="12"/>
      <c r="OP167" s="12"/>
      <c r="OQ167" s="12"/>
      <c r="OR167" s="12"/>
      <c r="OS167" s="12"/>
      <c r="OT167" s="12"/>
      <c r="OU167" s="12"/>
      <c r="OV167" s="12"/>
      <c r="OW167" s="12"/>
      <c r="OX167" s="12"/>
      <c r="OY167" s="12"/>
      <c r="OZ167" s="12"/>
      <c r="PA167" s="12"/>
      <c r="PB167" s="12"/>
      <c r="PC167" s="12"/>
      <c r="PD167" s="12"/>
      <c r="PE167" s="12"/>
      <c r="PF167" s="12"/>
      <c r="PG167" s="12"/>
      <c r="PH167" s="12"/>
      <c r="PI167" s="12"/>
      <c r="PJ167" s="12"/>
      <c r="PK167" s="12"/>
      <c r="PL167" s="12"/>
      <c r="PM167" s="12"/>
      <c r="PN167" s="12"/>
      <c r="PO167" s="12"/>
      <c r="PP167" s="12"/>
      <c r="PQ167" s="12"/>
      <c r="PR167" s="12"/>
      <c r="PS167" s="12"/>
      <c r="PT167" s="12"/>
      <c r="PU167" s="12"/>
      <c r="PV167" s="12"/>
      <c r="PW167" s="12"/>
      <c r="PX167" s="12"/>
      <c r="PY167" s="12"/>
      <c r="PZ167" s="12"/>
      <c r="QA167" s="12"/>
      <c r="QB167" s="12"/>
      <c r="QC167" s="12"/>
      <c r="QD167" s="12"/>
      <c r="QE167" s="12"/>
      <c r="QF167" s="12"/>
      <c r="QG167" s="12"/>
      <c r="QH167" s="12"/>
      <c r="QI167" s="12"/>
      <c r="QJ167" s="12"/>
      <c r="QK167" s="12"/>
      <c r="QL167" s="12"/>
      <c r="QM167" s="12"/>
      <c r="QN167" s="12"/>
      <c r="QO167" s="12"/>
      <c r="QP167" s="12"/>
      <c r="QQ167" s="12"/>
      <c r="QR167" s="12"/>
      <c r="QS167" s="12"/>
      <c r="QT167" s="12"/>
      <c r="QU167" s="12"/>
      <c r="QV167" s="12"/>
      <c r="QW167" s="12"/>
      <c r="QX167" s="12"/>
      <c r="QY167" s="12"/>
      <c r="QZ167" s="12"/>
      <c r="RA167" s="12"/>
      <c r="RB167" s="12"/>
      <c r="RC167" s="12"/>
      <c r="RD167" s="12"/>
      <c r="RE167" s="12"/>
      <c r="RF167" s="12"/>
      <c r="RG167" s="12"/>
      <c r="RH167" s="12"/>
      <c r="RI167" s="12"/>
      <c r="RJ167" s="12"/>
      <c r="RK167" s="12"/>
      <c r="RL167" s="12"/>
      <c r="RM167" s="12"/>
      <c r="RN167" s="12"/>
      <c r="RO167" s="12"/>
      <c r="RP167" s="12"/>
      <c r="RQ167" s="12"/>
      <c r="RR167" s="12"/>
      <c r="RS167" s="12"/>
      <c r="RT167" s="12"/>
      <c r="RU167" s="12"/>
      <c r="RV167" s="12"/>
      <c r="RW167" s="12"/>
      <c r="RX167" s="12"/>
      <c r="RY167" s="12"/>
      <c r="RZ167" s="12"/>
      <c r="SA167" s="12"/>
      <c r="SB167" s="12"/>
      <c r="SC167" s="12"/>
      <c r="SD167" s="12"/>
      <c r="SE167" s="12"/>
      <c r="SF167" s="12"/>
      <c r="SG167" s="12"/>
      <c r="SH167" s="11"/>
      <c r="SI167" s="11"/>
      <c r="SJ167" s="11"/>
      <c r="SK167" s="11"/>
      <c r="SL167" s="11"/>
      <c r="SM167" s="11"/>
      <c r="SN167" s="11"/>
      <c r="SO167" s="11"/>
      <c r="SP167" s="11"/>
      <c r="SQ167" s="11"/>
      <c r="SR167" s="11"/>
      <c r="SS167" s="11"/>
      <c r="ST167" s="11"/>
      <c r="SU167" s="11"/>
      <c r="SV167" s="11"/>
      <c r="SW167" s="11"/>
      <c r="SX167" s="11"/>
      <c r="SY167" s="11"/>
      <c r="SZ167" s="11"/>
      <c r="TA167" s="11"/>
      <c r="TB167" s="11"/>
      <c r="TC167" s="11"/>
      <c r="TD167" s="11"/>
      <c r="TE167" s="11"/>
      <c r="TF167" s="11"/>
      <c r="TG167" s="11"/>
      <c r="TH167" s="11"/>
      <c r="TI167" s="11"/>
      <c r="TJ167" s="11"/>
      <c r="TK167" s="11"/>
      <c r="TL167" s="11"/>
    </row>
    <row r="168" spans="1:532" x14ac:dyDescent="0.2">
      <c r="A168" s="10" t="s">
        <v>167</v>
      </c>
      <c r="B168" s="12">
        <v>15.34</v>
      </c>
      <c r="C168" s="11">
        <v>0.33659458323473113</v>
      </c>
      <c r="D168" s="11">
        <v>0</v>
      </c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12"/>
      <c r="IP168" s="12"/>
      <c r="IQ168" s="12"/>
      <c r="IR168" s="12"/>
      <c r="IS168" s="12"/>
      <c r="IT168" s="12"/>
      <c r="IU168" s="12"/>
      <c r="IV168" s="12"/>
      <c r="IW168" s="12"/>
      <c r="IX168" s="12"/>
      <c r="IY168" s="12"/>
      <c r="IZ168" s="12"/>
      <c r="JA168" s="12"/>
      <c r="JB168" s="12"/>
      <c r="JC168" s="12"/>
      <c r="JD168" s="12"/>
      <c r="JE168" s="12"/>
      <c r="JF168" s="12"/>
      <c r="JG168" s="12"/>
      <c r="JH168" s="12"/>
      <c r="JI168" s="12"/>
      <c r="JJ168" s="12"/>
      <c r="JK168" s="12"/>
      <c r="JL168" s="12"/>
      <c r="JM168" s="12"/>
      <c r="JN168" s="12"/>
      <c r="JO168" s="12"/>
      <c r="JP168" s="12"/>
      <c r="JQ168" s="12"/>
      <c r="JR168" s="12"/>
      <c r="JS168" s="12"/>
      <c r="JT168" s="12"/>
      <c r="JU168" s="12"/>
      <c r="JV168" s="12"/>
      <c r="JW168" s="12"/>
      <c r="JX168" s="12"/>
      <c r="JY168" s="12"/>
      <c r="JZ168" s="12"/>
      <c r="KA168" s="12"/>
      <c r="KB168" s="12"/>
      <c r="KC168" s="12"/>
      <c r="KD168" s="12"/>
      <c r="KE168" s="12"/>
      <c r="KF168" s="12"/>
      <c r="KG168" s="12"/>
      <c r="KH168" s="12"/>
      <c r="KI168" s="12"/>
      <c r="KJ168" s="12"/>
      <c r="KK168" s="12"/>
      <c r="KL168" s="12"/>
      <c r="KM168" s="12"/>
      <c r="KN168" s="12"/>
      <c r="KO168" s="12"/>
      <c r="KP168" s="12"/>
      <c r="KQ168" s="12"/>
      <c r="KR168" s="12"/>
      <c r="KS168" s="12"/>
      <c r="KT168" s="12"/>
      <c r="KU168" s="12"/>
      <c r="KV168" s="12"/>
      <c r="KW168" s="12"/>
      <c r="KX168" s="12"/>
      <c r="KY168" s="12"/>
      <c r="KZ168" s="12"/>
      <c r="LA168" s="12"/>
      <c r="LB168" s="12"/>
      <c r="LC168" s="12"/>
      <c r="LD168" s="12"/>
      <c r="LE168" s="12"/>
      <c r="LF168" s="12"/>
      <c r="LG168" s="12"/>
      <c r="LH168" s="12"/>
      <c r="LI168" s="12"/>
      <c r="LJ168" s="12"/>
      <c r="LK168" s="12"/>
      <c r="LL168" s="12"/>
      <c r="LM168" s="12"/>
      <c r="LN168" s="12"/>
      <c r="LO168" s="12"/>
      <c r="LP168" s="12"/>
      <c r="LQ168" s="12"/>
      <c r="LR168" s="12"/>
      <c r="LS168" s="12"/>
      <c r="LT168" s="12"/>
      <c r="LU168" s="12"/>
      <c r="LV168" s="12"/>
      <c r="LW168" s="12"/>
      <c r="LX168" s="12"/>
      <c r="LY168" s="12"/>
      <c r="LZ168" s="12"/>
      <c r="MA168" s="12"/>
      <c r="MB168" s="12"/>
      <c r="MC168" s="12"/>
      <c r="MD168" s="12"/>
      <c r="ME168" s="12"/>
      <c r="MF168" s="12"/>
      <c r="MG168" s="12"/>
      <c r="MH168" s="12"/>
      <c r="MI168" s="12"/>
      <c r="MJ168" s="12"/>
      <c r="MK168" s="12"/>
      <c r="ML168" s="12"/>
      <c r="MM168" s="12"/>
      <c r="MN168" s="12"/>
      <c r="MO168" s="12"/>
      <c r="MP168" s="12"/>
      <c r="MQ168" s="12"/>
      <c r="MR168" s="12"/>
      <c r="MS168" s="12"/>
      <c r="MT168" s="12"/>
      <c r="MU168" s="12"/>
      <c r="MV168" s="12"/>
      <c r="MW168" s="12"/>
      <c r="MX168" s="12"/>
      <c r="MY168" s="12"/>
      <c r="MZ168" s="12"/>
      <c r="NA168" s="12"/>
      <c r="NB168" s="12"/>
      <c r="NC168" s="12"/>
      <c r="ND168" s="12"/>
      <c r="NE168" s="12"/>
      <c r="NF168" s="12"/>
      <c r="NG168" s="12"/>
      <c r="NH168" s="12"/>
      <c r="NI168" s="12"/>
      <c r="NJ168" s="12"/>
      <c r="NK168" s="12"/>
      <c r="NL168" s="12"/>
      <c r="NM168" s="12"/>
      <c r="NN168" s="12"/>
      <c r="NO168" s="12"/>
      <c r="NP168" s="12"/>
      <c r="NQ168" s="12"/>
      <c r="NR168" s="12"/>
      <c r="NS168" s="12"/>
      <c r="NT168" s="12"/>
      <c r="NU168" s="12"/>
      <c r="NV168" s="12"/>
      <c r="NW168" s="12"/>
      <c r="NX168" s="12"/>
      <c r="NY168" s="12"/>
      <c r="NZ168" s="12"/>
      <c r="OA168" s="12"/>
      <c r="OB168" s="12"/>
      <c r="OC168" s="12"/>
      <c r="OD168" s="12"/>
      <c r="OE168" s="12"/>
      <c r="OF168" s="12"/>
      <c r="OG168" s="12"/>
      <c r="OH168" s="12"/>
      <c r="OI168" s="12"/>
      <c r="OJ168" s="12"/>
      <c r="OK168" s="12"/>
      <c r="OL168" s="12"/>
      <c r="OM168" s="12"/>
      <c r="ON168" s="12"/>
      <c r="OO168" s="12"/>
      <c r="OP168" s="12"/>
      <c r="OQ168" s="12"/>
      <c r="OR168" s="12"/>
      <c r="OS168" s="12"/>
      <c r="OT168" s="12"/>
      <c r="OU168" s="12"/>
      <c r="OV168" s="12"/>
      <c r="OW168" s="12"/>
      <c r="OX168" s="12"/>
      <c r="OY168" s="12"/>
      <c r="OZ168" s="12"/>
      <c r="PA168" s="12"/>
      <c r="PB168" s="12"/>
      <c r="PC168" s="12"/>
      <c r="PD168" s="12"/>
      <c r="PE168" s="12"/>
      <c r="PF168" s="12"/>
      <c r="PG168" s="12"/>
      <c r="PH168" s="12"/>
      <c r="PI168" s="12"/>
      <c r="PJ168" s="12"/>
      <c r="PK168" s="12"/>
      <c r="PL168" s="12"/>
      <c r="PM168" s="12"/>
      <c r="PN168" s="12"/>
      <c r="PO168" s="12"/>
      <c r="PP168" s="12"/>
      <c r="PQ168" s="12"/>
      <c r="PR168" s="12"/>
      <c r="PS168" s="12"/>
      <c r="PT168" s="12"/>
      <c r="PU168" s="12"/>
      <c r="PV168" s="12"/>
      <c r="PW168" s="12"/>
      <c r="PX168" s="12"/>
      <c r="PY168" s="12"/>
      <c r="PZ168" s="12"/>
      <c r="QA168" s="12"/>
      <c r="QB168" s="12"/>
      <c r="QC168" s="12"/>
      <c r="QD168" s="12"/>
      <c r="QE168" s="12"/>
      <c r="QF168" s="12"/>
      <c r="QG168" s="12"/>
      <c r="QH168" s="12"/>
      <c r="QI168" s="12"/>
      <c r="QJ168" s="12"/>
      <c r="QK168" s="12"/>
      <c r="QL168" s="12"/>
      <c r="QM168" s="12"/>
      <c r="QN168" s="12"/>
      <c r="QO168" s="12"/>
      <c r="QP168" s="12"/>
      <c r="QQ168" s="12"/>
      <c r="QR168" s="12"/>
      <c r="QS168" s="12"/>
      <c r="QT168" s="12"/>
      <c r="QU168" s="12"/>
      <c r="QV168" s="12"/>
      <c r="QW168" s="12"/>
      <c r="QX168" s="12"/>
      <c r="QY168" s="12"/>
      <c r="QZ168" s="12"/>
      <c r="RA168" s="12"/>
      <c r="RB168" s="12"/>
      <c r="RC168" s="12"/>
      <c r="RD168" s="12"/>
      <c r="RE168" s="12"/>
      <c r="RF168" s="12"/>
      <c r="RG168" s="12"/>
      <c r="RH168" s="12"/>
      <c r="RI168" s="12"/>
      <c r="RJ168" s="12"/>
      <c r="RK168" s="12"/>
      <c r="RL168" s="12"/>
      <c r="RM168" s="12"/>
      <c r="RN168" s="12"/>
      <c r="RO168" s="12"/>
      <c r="RP168" s="12"/>
      <c r="RQ168" s="12"/>
      <c r="RR168" s="12"/>
      <c r="RS168" s="12"/>
      <c r="RT168" s="12"/>
      <c r="RU168" s="12"/>
      <c r="RV168" s="12"/>
      <c r="RW168" s="12"/>
      <c r="RX168" s="12"/>
      <c r="RY168" s="12"/>
      <c r="RZ168" s="12"/>
      <c r="SA168" s="12"/>
      <c r="SB168" s="12"/>
      <c r="SC168" s="12"/>
      <c r="SD168" s="12"/>
      <c r="SE168" s="12"/>
      <c r="SF168" s="12"/>
      <c r="SG168" s="12"/>
      <c r="SH168" s="11"/>
      <c r="SI168" s="11"/>
      <c r="SJ168" s="11"/>
      <c r="SK168" s="11"/>
      <c r="SL168" s="11"/>
      <c r="SM168" s="11"/>
      <c r="SN168" s="11"/>
      <c r="SO168" s="11"/>
      <c r="SP168" s="11"/>
      <c r="SQ168" s="11"/>
      <c r="SR168" s="11"/>
      <c r="SS168" s="11"/>
      <c r="ST168" s="11"/>
      <c r="SU168" s="11"/>
      <c r="SV168" s="11"/>
      <c r="SW168" s="11"/>
      <c r="SX168" s="11"/>
      <c r="SY168" s="11"/>
      <c r="SZ168" s="11"/>
      <c r="TA168" s="11"/>
      <c r="TB168" s="11"/>
      <c r="TC168" s="11"/>
      <c r="TD168" s="11"/>
      <c r="TE168" s="11"/>
      <c r="TF168" s="11"/>
      <c r="TG168" s="11"/>
      <c r="TH168" s="11"/>
      <c r="TI168" s="11"/>
      <c r="TJ168" s="11"/>
      <c r="TK168" s="11"/>
      <c r="TL168" s="11"/>
    </row>
    <row r="169" spans="1:532" x14ac:dyDescent="0.2">
      <c r="A169" s="10" t="s">
        <v>168</v>
      </c>
      <c r="B169" s="12">
        <v>14.86</v>
      </c>
      <c r="C169" s="11">
        <v>0</v>
      </c>
      <c r="D169" s="11">
        <v>0.13859776956724223</v>
      </c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12"/>
      <c r="IP169" s="12"/>
      <c r="IQ169" s="12"/>
      <c r="IR169" s="12"/>
      <c r="IS169" s="12"/>
      <c r="IT169" s="12"/>
      <c r="IU169" s="12"/>
      <c r="IV169" s="12"/>
      <c r="IW169" s="12"/>
      <c r="IX169" s="12"/>
      <c r="IY169" s="12"/>
      <c r="IZ169" s="12"/>
      <c r="JA169" s="12"/>
      <c r="JB169" s="12"/>
      <c r="JC169" s="12"/>
      <c r="JD169" s="12"/>
      <c r="JE169" s="12"/>
      <c r="JF169" s="12"/>
      <c r="JG169" s="12"/>
      <c r="JH169" s="12"/>
      <c r="JI169" s="12"/>
      <c r="JJ169" s="12"/>
      <c r="JK169" s="12"/>
      <c r="JL169" s="12"/>
      <c r="JM169" s="12"/>
      <c r="JN169" s="12"/>
      <c r="JO169" s="12"/>
      <c r="JP169" s="12"/>
      <c r="JQ169" s="12"/>
      <c r="JR169" s="12"/>
      <c r="JS169" s="12"/>
      <c r="JT169" s="12"/>
      <c r="JU169" s="12"/>
      <c r="JV169" s="12"/>
      <c r="JW169" s="12"/>
      <c r="JX169" s="12"/>
      <c r="JY169" s="12"/>
      <c r="JZ169" s="12"/>
      <c r="KA169" s="12"/>
      <c r="KB169" s="12"/>
      <c r="KC169" s="12"/>
      <c r="KD169" s="12"/>
      <c r="KE169" s="12"/>
      <c r="KF169" s="12"/>
      <c r="KG169" s="12"/>
      <c r="KH169" s="12"/>
      <c r="KI169" s="12"/>
      <c r="KJ169" s="12"/>
      <c r="KK169" s="12"/>
      <c r="KL169" s="12"/>
      <c r="KM169" s="12"/>
      <c r="KN169" s="12"/>
      <c r="KO169" s="12"/>
      <c r="KP169" s="12"/>
      <c r="KQ169" s="12"/>
      <c r="KR169" s="12"/>
      <c r="KS169" s="12"/>
      <c r="KT169" s="12"/>
      <c r="KU169" s="12"/>
      <c r="KV169" s="12"/>
      <c r="KW169" s="12"/>
      <c r="KX169" s="12"/>
      <c r="KY169" s="12"/>
      <c r="KZ169" s="12"/>
      <c r="LA169" s="12"/>
      <c r="LB169" s="12"/>
      <c r="LC169" s="12"/>
      <c r="LD169" s="12"/>
      <c r="LE169" s="12"/>
      <c r="LF169" s="12"/>
      <c r="LG169" s="12"/>
      <c r="LH169" s="12"/>
      <c r="LI169" s="12"/>
      <c r="LJ169" s="12"/>
      <c r="LK169" s="12"/>
      <c r="LL169" s="12"/>
      <c r="LM169" s="12"/>
      <c r="LN169" s="12"/>
      <c r="LO169" s="12"/>
      <c r="LP169" s="12"/>
      <c r="LQ169" s="12"/>
      <c r="LR169" s="12"/>
      <c r="LS169" s="12"/>
      <c r="LT169" s="12"/>
      <c r="LU169" s="12"/>
      <c r="LV169" s="12"/>
      <c r="LW169" s="12"/>
      <c r="LX169" s="12"/>
      <c r="LY169" s="12"/>
      <c r="LZ169" s="12"/>
      <c r="MA169" s="12"/>
      <c r="MB169" s="12"/>
      <c r="MC169" s="12"/>
      <c r="MD169" s="12"/>
      <c r="ME169" s="12"/>
      <c r="MF169" s="12"/>
      <c r="MG169" s="12"/>
      <c r="MH169" s="12"/>
      <c r="MI169" s="12"/>
      <c r="MJ169" s="12"/>
      <c r="MK169" s="12"/>
      <c r="ML169" s="12"/>
      <c r="MM169" s="12"/>
      <c r="MN169" s="12"/>
      <c r="MO169" s="12"/>
      <c r="MP169" s="12"/>
      <c r="MQ169" s="12"/>
      <c r="MR169" s="12"/>
      <c r="MS169" s="12"/>
      <c r="MT169" s="12"/>
      <c r="MU169" s="12"/>
      <c r="MV169" s="12"/>
      <c r="MW169" s="12"/>
      <c r="MX169" s="12"/>
      <c r="MY169" s="12"/>
      <c r="MZ169" s="12"/>
      <c r="NA169" s="12"/>
      <c r="NB169" s="12"/>
      <c r="NC169" s="12"/>
      <c r="ND169" s="12"/>
      <c r="NE169" s="12"/>
      <c r="NF169" s="12"/>
      <c r="NG169" s="12"/>
      <c r="NH169" s="12"/>
      <c r="NI169" s="12"/>
      <c r="NJ169" s="12"/>
      <c r="NK169" s="12"/>
      <c r="NL169" s="12"/>
      <c r="NM169" s="12"/>
      <c r="NN169" s="12"/>
      <c r="NO169" s="12"/>
      <c r="NP169" s="12"/>
      <c r="NQ169" s="12"/>
      <c r="NR169" s="12"/>
      <c r="NS169" s="12"/>
      <c r="NT169" s="12"/>
      <c r="NU169" s="12"/>
      <c r="NV169" s="12"/>
      <c r="NW169" s="12"/>
      <c r="NX169" s="12"/>
      <c r="NY169" s="12"/>
      <c r="NZ169" s="12"/>
      <c r="OA169" s="12"/>
      <c r="OB169" s="12"/>
      <c r="OC169" s="12"/>
      <c r="OD169" s="12"/>
      <c r="OE169" s="12"/>
      <c r="OF169" s="12"/>
      <c r="OG169" s="12"/>
      <c r="OH169" s="12"/>
      <c r="OI169" s="12"/>
      <c r="OJ169" s="12"/>
      <c r="OK169" s="12"/>
      <c r="OL169" s="12"/>
      <c r="OM169" s="12"/>
      <c r="ON169" s="12"/>
      <c r="OO169" s="12"/>
      <c r="OP169" s="12"/>
      <c r="OQ169" s="12"/>
      <c r="OR169" s="12"/>
      <c r="OS169" s="12"/>
      <c r="OT169" s="12"/>
      <c r="OU169" s="12"/>
      <c r="OV169" s="12"/>
      <c r="OW169" s="12"/>
      <c r="OX169" s="12"/>
      <c r="OY169" s="12"/>
      <c r="OZ169" s="12"/>
      <c r="PA169" s="12"/>
      <c r="PB169" s="12"/>
      <c r="PC169" s="12"/>
      <c r="PD169" s="12"/>
      <c r="PE169" s="12"/>
      <c r="PF169" s="12"/>
      <c r="PG169" s="12"/>
      <c r="PH169" s="12"/>
      <c r="PI169" s="12"/>
      <c r="PJ169" s="12"/>
      <c r="PK169" s="12"/>
      <c r="PL169" s="12"/>
      <c r="PM169" s="12"/>
      <c r="PN169" s="12"/>
      <c r="PO169" s="12"/>
      <c r="PP169" s="12"/>
      <c r="PQ169" s="12"/>
      <c r="PR169" s="12"/>
      <c r="PS169" s="12"/>
      <c r="PT169" s="12"/>
      <c r="PU169" s="12"/>
      <c r="PV169" s="12"/>
      <c r="PW169" s="12"/>
      <c r="PX169" s="12"/>
      <c r="PY169" s="12"/>
      <c r="PZ169" s="12"/>
      <c r="QA169" s="12"/>
      <c r="QB169" s="12"/>
      <c r="QC169" s="12"/>
      <c r="QD169" s="12"/>
      <c r="QE169" s="12"/>
      <c r="QF169" s="12"/>
      <c r="QG169" s="12"/>
      <c r="QH169" s="12"/>
      <c r="QI169" s="12"/>
      <c r="QJ169" s="12"/>
      <c r="QK169" s="12"/>
      <c r="QL169" s="12"/>
      <c r="QM169" s="12"/>
      <c r="QN169" s="12"/>
      <c r="QO169" s="12"/>
      <c r="QP169" s="12"/>
      <c r="QQ169" s="12"/>
      <c r="QR169" s="12"/>
      <c r="QS169" s="12"/>
      <c r="QT169" s="12"/>
      <c r="QU169" s="12"/>
      <c r="QV169" s="12"/>
      <c r="QW169" s="12"/>
      <c r="QX169" s="12"/>
      <c r="QY169" s="12"/>
      <c r="QZ169" s="12"/>
      <c r="RA169" s="12"/>
      <c r="RB169" s="12"/>
      <c r="RC169" s="12"/>
      <c r="RD169" s="12"/>
      <c r="RE169" s="12"/>
      <c r="RF169" s="12"/>
      <c r="RG169" s="12"/>
      <c r="RH169" s="12"/>
      <c r="RI169" s="12"/>
      <c r="RJ169" s="12"/>
      <c r="RK169" s="12"/>
      <c r="RL169" s="12"/>
      <c r="RM169" s="12"/>
      <c r="RN169" s="12"/>
      <c r="RO169" s="12"/>
      <c r="RP169" s="12"/>
      <c r="RQ169" s="12"/>
      <c r="RR169" s="12"/>
      <c r="RS169" s="12"/>
      <c r="RT169" s="12"/>
      <c r="RU169" s="12"/>
      <c r="RV169" s="12"/>
      <c r="RW169" s="12"/>
      <c r="RX169" s="12"/>
      <c r="RY169" s="12"/>
      <c r="RZ169" s="12"/>
      <c r="SA169" s="12"/>
      <c r="SB169" s="12"/>
      <c r="SC169" s="12"/>
      <c r="SD169" s="12"/>
      <c r="SE169" s="12"/>
      <c r="SF169" s="12"/>
      <c r="SG169" s="12"/>
      <c r="SH169" s="11"/>
      <c r="SI169" s="11"/>
      <c r="SJ169" s="11"/>
      <c r="SK169" s="11"/>
      <c r="SL169" s="11"/>
      <c r="SM169" s="11"/>
      <c r="SN169" s="11"/>
      <c r="SO169" s="11"/>
      <c r="SP169" s="11"/>
      <c r="SQ169" s="11"/>
      <c r="SR169" s="11"/>
      <c r="SS169" s="11"/>
      <c r="ST169" s="11"/>
      <c r="SU169" s="11"/>
      <c r="SV169" s="11"/>
      <c r="SW169" s="11"/>
      <c r="SX169" s="11"/>
      <c r="SY169" s="11"/>
      <c r="SZ169" s="11"/>
      <c r="TA169" s="11"/>
      <c r="TB169" s="11"/>
      <c r="TC169" s="11"/>
      <c r="TD169" s="11"/>
      <c r="TE169" s="11"/>
      <c r="TF169" s="11"/>
      <c r="TG169" s="11"/>
      <c r="TH169" s="11"/>
      <c r="TI169" s="11"/>
      <c r="TJ169" s="11"/>
      <c r="TK169" s="11"/>
      <c r="TL169" s="11"/>
    </row>
    <row r="170" spans="1:532" x14ac:dyDescent="0.2">
      <c r="A170" s="10" t="s">
        <v>169</v>
      </c>
      <c r="B170" s="12">
        <v>14.04</v>
      </c>
      <c r="C170" s="11">
        <v>0</v>
      </c>
      <c r="D170" s="11">
        <v>0.9503847056039465</v>
      </c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12"/>
      <c r="IP170" s="12"/>
      <c r="IQ170" s="12"/>
      <c r="IR170" s="12"/>
      <c r="IS170" s="12"/>
      <c r="IT170" s="12"/>
      <c r="IU170" s="12"/>
      <c r="IV170" s="12"/>
      <c r="IW170" s="12"/>
      <c r="IX170" s="12"/>
      <c r="IY170" s="12"/>
      <c r="IZ170" s="12"/>
      <c r="JA170" s="12"/>
      <c r="JB170" s="12"/>
      <c r="JC170" s="12"/>
      <c r="JD170" s="12"/>
      <c r="JE170" s="12"/>
      <c r="JF170" s="12"/>
      <c r="JG170" s="12"/>
      <c r="JH170" s="12"/>
      <c r="JI170" s="12"/>
      <c r="JJ170" s="12"/>
      <c r="JK170" s="12"/>
      <c r="JL170" s="12"/>
      <c r="JM170" s="12"/>
      <c r="JN170" s="12"/>
      <c r="JO170" s="12"/>
      <c r="JP170" s="12"/>
      <c r="JQ170" s="12"/>
      <c r="JR170" s="12"/>
      <c r="JS170" s="12"/>
      <c r="JT170" s="12"/>
      <c r="JU170" s="12"/>
      <c r="JV170" s="12"/>
      <c r="JW170" s="12"/>
      <c r="JX170" s="12"/>
      <c r="JY170" s="12"/>
      <c r="JZ170" s="12"/>
      <c r="KA170" s="12"/>
      <c r="KB170" s="12"/>
      <c r="KC170" s="12"/>
      <c r="KD170" s="12"/>
      <c r="KE170" s="12"/>
      <c r="KF170" s="12"/>
      <c r="KG170" s="12"/>
      <c r="KH170" s="12"/>
      <c r="KI170" s="12"/>
      <c r="KJ170" s="12"/>
      <c r="KK170" s="12"/>
      <c r="KL170" s="12"/>
      <c r="KM170" s="12"/>
      <c r="KN170" s="12"/>
      <c r="KO170" s="12"/>
      <c r="KP170" s="12"/>
      <c r="KQ170" s="12"/>
      <c r="KR170" s="12"/>
      <c r="KS170" s="12"/>
      <c r="KT170" s="12"/>
      <c r="KU170" s="12"/>
      <c r="KV170" s="12"/>
      <c r="KW170" s="12"/>
      <c r="KX170" s="12"/>
      <c r="KY170" s="12"/>
      <c r="KZ170" s="12"/>
      <c r="LA170" s="12"/>
      <c r="LB170" s="12"/>
      <c r="LC170" s="12"/>
      <c r="LD170" s="12"/>
      <c r="LE170" s="12"/>
      <c r="LF170" s="12"/>
      <c r="LG170" s="12"/>
      <c r="LH170" s="12"/>
      <c r="LI170" s="12"/>
      <c r="LJ170" s="12"/>
      <c r="LK170" s="12"/>
      <c r="LL170" s="12"/>
      <c r="LM170" s="12"/>
      <c r="LN170" s="12"/>
      <c r="LO170" s="12"/>
      <c r="LP170" s="12"/>
      <c r="LQ170" s="12"/>
      <c r="LR170" s="12"/>
      <c r="LS170" s="12"/>
      <c r="LT170" s="12"/>
      <c r="LU170" s="12"/>
      <c r="LV170" s="12"/>
      <c r="LW170" s="12"/>
      <c r="LX170" s="12"/>
      <c r="LY170" s="12"/>
      <c r="LZ170" s="12"/>
      <c r="MA170" s="12"/>
      <c r="MB170" s="12"/>
      <c r="MC170" s="12"/>
      <c r="MD170" s="12"/>
      <c r="ME170" s="12"/>
      <c r="MF170" s="12"/>
      <c r="MG170" s="12"/>
      <c r="MH170" s="12"/>
      <c r="MI170" s="12"/>
      <c r="MJ170" s="12"/>
      <c r="MK170" s="12"/>
      <c r="ML170" s="12"/>
      <c r="MM170" s="12"/>
      <c r="MN170" s="12"/>
      <c r="MO170" s="12"/>
      <c r="MP170" s="12"/>
      <c r="MQ170" s="12"/>
      <c r="MR170" s="12"/>
      <c r="MS170" s="12"/>
      <c r="MT170" s="12"/>
      <c r="MU170" s="12"/>
      <c r="MV170" s="12"/>
      <c r="MW170" s="12"/>
      <c r="MX170" s="12"/>
      <c r="MY170" s="12"/>
      <c r="MZ170" s="12"/>
      <c r="NA170" s="12"/>
      <c r="NB170" s="12"/>
      <c r="NC170" s="12"/>
      <c r="ND170" s="12"/>
      <c r="NE170" s="12"/>
      <c r="NF170" s="12"/>
      <c r="NG170" s="12"/>
      <c r="NH170" s="12"/>
      <c r="NI170" s="12"/>
      <c r="NJ170" s="12"/>
      <c r="NK170" s="12"/>
      <c r="NL170" s="12"/>
      <c r="NM170" s="12"/>
      <c r="NN170" s="12"/>
      <c r="NO170" s="12"/>
      <c r="NP170" s="12"/>
      <c r="NQ170" s="12"/>
      <c r="NR170" s="12"/>
      <c r="NS170" s="12"/>
      <c r="NT170" s="12"/>
      <c r="NU170" s="12"/>
      <c r="NV170" s="12"/>
      <c r="NW170" s="12"/>
      <c r="NX170" s="12"/>
      <c r="NY170" s="12"/>
      <c r="NZ170" s="12"/>
      <c r="OA170" s="12"/>
      <c r="OB170" s="12"/>
      <c r="OC170" s="12"/>
      <c r="OD170" s="12"/>
      <c r="OE170" s="12"/>
      <c r="OF170" s="12"/>
      <c r="OG170" s="12"/>
      <c r="OH170" s="12"/>
      <c r="OI170" s="12"/>
      <c r="OJ170" s="12"/>
      <c r="OK170" s="12"/>
      <c r="OL170" s="12"/>
      <c r="OM170" s="12"/>
      <c r="ON170" s="12"/>
      <c r="OO170" s="12"/>
      <c r="OP170" s="12"/>
      <c r="OQ170" s="12"/>
      <c r="OR170" s="12"/>
      <c r="OS170" s="12"/>
      <c r="OT170" s="12"/>
      <c r="OU170" s="12"/>
      <c r="OV170" s="12"/>
      <c r="OW170" s="12"/>
      <c r="OX170" s="12"/>
      <c r="OY170" s="12"/>
      <c r="OZ170" s="12"/>
      <c r="PA170" s="12"/>
      <c r="PB170" s="12"/>
      <c r="PC170" s="12"/>
      <c r="PD170" s="12"/>
      <c r="PE170" s="12"/>
      <c r="PF170" s="12"/>
      <c r="PG170" s="12"/>
      <c r="PH170" s="12"/>
      <c r="PI170" s="12"/>
      <c r="PJ170" s="12"/>
      <c r="PK170" s="12"/>
      <c r="PL170" s="12"/>
      <c r="PM170" s="12"/>
      <c r="PN170" s="12"/>
      <c r="PO170" s="12"/>
      <c r="PP170" s="12"/>
      <c r="PQ170" s="12"/>
      <c r="PR170" s="12"/>
      <c r="PS170" s="12"/>
      <c r="PT170" s="12"/>
      <c r="PU170" s="12"/>
      <c r="PV170" s="12"/>
      <c r="PW170" s="12"/>
      <c r="PX170" s="12"/>
      <c r="PY170" s="12"/>
      <c r="PZ170" s="12"/>
      <c r="QA170" s="12"/>
      <c r="QB170" s="12"/>
      <c r="QC170" s="12"/>
      <c r="QD170" s="12"/>
      <c r="QE170" s="12"/>
      <c r="QF170" s="12"/>
      <c r="QG170" s="12"/>
      <c r="QH170" s="12"/>
      <c r="QI170" s="12"/>
      <c r="QJ170" s="12"/>
      <c r="QK170" s="12"/>
      <c r="QL170" s="12"/>
      <c r="QM170" s="12"/>
      <c r="QN170" s="12"/>
      <c r="QO170" s="12"/>
      <c r="QP170" s="12"/>
      <c r="QQ170" s="12"/>
      <c r="QR170" s="12"/>
      <c r="QS170" s="12"/>
      <c r="QT170" s="12"/>
      <c r="QU170" s="12"/>
      <c r="QV170" s="12"/>
      <c r="QW170" s="12"/>
      <c r="QX170" s="12"/>
      <c r="QY170" s="12"/>
      <c r="QZ170" s="12"/>
      <c r="RA170" s="12"/>
      <c r="RB170" s="12"/>
      <c r="RC170" s="12"/>
      <c r="RD170" s="12"/>
      <c r="RE170" s="12"/>
      <c r="RF170" s="12"/>
      <c r="RG170" s="12"/>
      <c r="RH170" s="12"/>
      <c r="RI170" s="12"/>
      <c r="RJ170" s="12"/>
      <c r="RK170" s="12"/>
      <c r="RL170" s="12"/>
      <c r="RM170" s="12"/>
      <c r="RN170" s="12"/>
      <c r="RO170" s="12"/>
      <c r="RP170" s="12"/>
      <c r="RQ170" s="12"/>
      <c r="RR170" s="12"/>
      <c r="RS170" s="12"/>
      <c r="RT170" s="12"/>
      <c r="RU170" s="12"/>
      <c r="RV170" s="12"/>
      <c r="RW170" s="12"/>
      <c r="RX170" s="12"/>
      <c r="RY170" s="12"/>
      <c r="RZ170" s="12"/>
      <c r="SA170" s="12"/>
      <c r="SB170" s="12"/>
      <c r="SC170" s="12"/>
      <c r="SD170" s="12"/>
      <c r="SE170" s="12"/>
      <c r="SF170" s="12"/>
      <c r="SG170" s="12"/>
      <c r="SH170" s="11"/>
      <c r="SI170" s="11"/>
      <c r="SJ170" s="11"/>
      <c r="SK170" s="11"/>
      <c r="SL170" s="11"/>
      <c r="SM170" s="11"/>
      <c r="SN170" s="11"/>
      <c r="SO170" s="11"/>
      <c r="SP170" s="11"/>
      <c r="SQ170" s="11"/>
      <c r="SR170" s="11"/>
      <c r="SS170" s="11"/>
      <c r="ST170" s="11"/>
      <c r="SU170" s="11"/>
      <c r="SV170" s="11"/>
      <c r="SW170" s="11"/>
      <c r="SX170" s="11"/>
      <c r="SY170" s="11"/>
      <c r="SZ170" s="11"/>
      <c r="TA170" s="11"/>
      <c r="TB170" s="11"/>
      <c r="TC170" s="11"/>
      <c r="TD170" s="11"/>
      <c r="TE170" s="11"/>
      <c r="TF170" s="11"/>
      <c r="TG170" s="11"/>
      <c r="TH170" s="11"/>
      <c r="TI170" s="11"/>
      <c r="TJ170" s="11"/>
      <c r="TK170" s="11"/>
      <c r="TL170" s="11"/>
    </row>
    <row r="171" spans="1:532" x14ac:dyDescent="0.2">
      <c r="A171" s="10" t="s">
        <v>170</v>
      </c>
      <c r="B171" s="12">
        <v>13.35</v>
      </c>
      <c r="C171" s="11">
        <v>0</v>
      </c>
      <c r="D171" s="11">
        <v>1.6334737127567831</v>
      </c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12"/>
      <c r="IP171" s="12"/>
      <c r="IQ171" s="12"/>
      <c r="IR171" s="12"/>
      <c r="IS171" s="12"/>
      <c r="IT171" s="12"/>
      <c r="IU171" s="12"/>
      <c r="IV171" s="12"/>
      <c r="IW171" s="12"/>
      <c r="IX171" s="12"/>
      <c r="IY171" s="12"/>
      <c r="IZ171" s="12"/>
      <c r="JA171" s="12"/>
      <c r="JB171" s="12"/>
      <c r="JC171" s="12"/>
      <c r="JD171" s="12"/>
      <c r="JE171" s="12"/>
      <c r="JF171" s="12"/>
      <c r="JG171" s="12"/>
      <c r="JH171" s="12"/>
      <c r="JI171" s="12"/>
      <c r="JJ171" s="12"/>
      <c r="JK171" s="12"/>
      <c r="JL171" s="12"/>
      <c r="JM171" s="12"/>
      <c r="JN171" s="12"/>
      <c r="JO171" s="12"/>
      <c r="JP171" s="12"/>
      <c r="JQ171" s="12"/>
      <c r="JR171" s="12"/>
      <c r="JS171" s="12"/>
      <c r="JT171" s="12"/>
      <c r="JU171" s="12"/>
      <c r="JV171" s="12"/>
      <c r="JW171" s="12"/>
      <c r="JX171" s="12"/>
      <c r="JY171" s="12"/>
      <c r="JZ171" s="12"/>
      <c r="KA171" s="12"/>
      <c r="KB171" s="12"/>
      <c r="KC171" s="12"/>
      <c r="KD171" s="12"/>
      <c r="KE171" s="12"/>
      <c r="KF171" s="12"/>
      <c r="KG171" s="12"/>
      <c r="KH171" s="12"/>
      <c r="KI171" s="12"/>
      <c r="KJ171" s="12"/>
      <c r="KK171" s="12"/>
      <c r="KL171" s="12"/>
      <c r="KM171" s="12"/>
      <c r="KN171" s="12"/>
      <c r="KO171" s="12"/>
      <c r="KP171" s="12"/>
      <c r="KQ171" s="12"/>
      <c r="KR171" s="12"/>
      <c r="KS171" s="12"/>
      <c r="KT171" s="12"/>
      <c r="KU171" s="12"/>
      <c r="KV171" s="12"/>
      <c r="KW171" s="12"/>
      <c r="KX171" s="12"/>
      <c r="KY171" s="12"/>
      <c r="KZ171" s="12"/>
      <c r="LA171" s="12"/>
      <c r="LB171" s="12"/>
      <c r="LC171" s="12"/>
      <c r="LD171" s="12"/>
      <c r="LE171" s="12"/>
      <c r="LF171" s="12"/>
      <c r="LG171" s="12"/>
      <c r="LH171" s="12"/>
      <c r="LI171" s="12"/>
      <c r="LJ171" s="12"/>
      <c r="LK171" s="12"/>
      <c r="LL171" s="12"/>
      <c r="LM171" s="12"/>
      <c r="LN171" s="12"/>
      <c r="LO171" s="12"/>
      <c r="LP171" s="12"/>
      <c r="LQ171" s="12"/>
      <c r="LR171" s="12"/>
      <c r="LS171" s="12"/>
      <c r="LT171" s="12"/>
      <c r="LU171" s="12"/>
      <c r="LV171" s="12"/>
      <c r="LW171" s="12"/>
      <c r="LX171" s="12"/>
      <c r="LY171" s="12"/>
      <c r="LZ171" s="12"/>
      <c r="MA171" s="12"/>
      <c r="MB171" s="12"/>
      <c r="MC171" s="12"/>
      <c r="MD171" s="12"/>
      <c r="ME171" s="12"/>
      <c r="MF171" s="12"/>
      <c r="MG171" s="12"/>
      <c r="MH171" s="12"/>
      <c r="MI171" s="12"/>
      <c r="MJ171" s="12"/>
      <c r="MK171" s="12"/>
      <c r="ML171" s="12"/>
      <c r="MM171" s="12"/>
      <c r="MN171" s="12"/>
      <c r="MO171" s="12"/>
      <c r="MP171" s="12"/>
      <c r="MQ171" s="12"/>
      <c r="MR171" s="12"/>
      <c r="MS171" s="12"/>
      <c r="MT171" s="12"/>
      <c r="MU171" s="12"/>
      <c r="MV171" s="12"/>
      <c r="MW171" s="12"/>
      <c r="MX171" s="12"/>
      <c r="MY171" s="12"/>
      <c r="MZ171" s="12"/>
      <c r="NA171" s="12"/>
      <c r="NB171" s="12"/>
      <c r="NC171" s="12"/>
      <c r="ND171" s="12"/>
      <c r="NE171" s="12"/>
      <c r="NF171" s="12"/>
      <c r="NG171" s="12"/>
      <c r="NH171" s="12"/>
      <c r="NI171" s="12"/>
      <c r="NJ171" s="12"/>
      <c r="NK171" s="12"/>
      <c r="NL171" s="12"/>
      <c r="NM171" s="12"/>
      <c r="NN171" s="12"/>
      <c r="NO171" s="12"/>
      <c r="NP171" s="12"/>
      <c r="NQ171" s="12"/>
      <c r="NR171" s="12"/>
      <c r="NS171" s="12"/>
      <c r="NT171" s="12"/>
      <c r="NU171" s="12"/>
      <c r="NV171" s="12"/>
      <c r="NW171" s="12"/>
      <c r="NX171" s="12"/>
      <c r="NY171" s="12"/>
      <c r="NZ171" s="12"/>
      <c r="OA171" s="12"/>
      <c r="OB171" s="12"/>
      <c r="OC171" s="12"/>
      <c r="OD171" s="12"/>
      <c r="OE171" s="12"/>
      <c r="OF171" s="12"/>
      <c r="OG171" s="12"/>
      <c r="OH171" s="12"/>
      <c r="OI171" s="12"/>
      <c r="OJ171" s="12"/>
      <c r="OK171" s="12"/>
      <c r="OL171" s="12"/>
      <c r="OM171" s="12"/>
      <c r="ON171" s="12"/>
      <c r="OO171" s="12"/>
      <c r="OP171" s="12"/>
      <c r="OQ171" s="12"/>
      <c r="OR171" s="12"/>
      <c r="OS171" s="12"/>
      <c r="OT171" s="12"/>
      <c r="OU171" s="12"/>
      <c r="OV171" s="12"/>
      <c r="OW171" s="12"/>
      <c r="OX171" s="12"/>
      <c r="OY171" s="12"/>
      <c r="OZ171" s="12"/>
      <c r="PA171" s="12"/>
      <c r="PB171" s="12"/>
      <c r="PC171" s="12"/>
      <c r="PD171" s="12"/>
      <c r="PE171" s="12"/>
      <c r="PF171" s="12"/>
      <c r="PG171" s="12"/>
      <c r="PH171" s="12"/>
      <c r="PI171" s="12"/>
      <c r="PJ171" s="12"/>
      <c r="PK171" s="12"/>
      <c r="PL171" s="12"/>
      <c r="PM171" s="12"/>
      <c r="PN171" s="12"/>
      <c r="PO171" s="12"/>
      <c r="PP171" s="12"/>
      <c r="PQ171" s="12"/>
      <c r="PR171" s="12"/>
      <c r="PS171" s="12"/>
      <c r="PT171" s="12"/>
      <c r="PU171" s="12"/>
      <c r="PV171" s="12"/>
      <c r="PW171" s="12"/>
      <c r="PX171" s="12"/>
      <c r="PY171" s="12"/>
      <c r="PZ171" s="12"/>
      <c r="QA171" s="12"/>
      <c r="QB171" s="12"/>
      <c r="QC171" s="12"/>
      <c r="QD171" s="12"/>
      <c r="QE171" s="12"/>
      <c r="QF171" s="12"/>
      <c r="QG171" s="12"/>
      <c r="QH171" s="12"/>
      <c r="QI171" s="12"/>
      <c r="QJ171" s="12"/>
      <c r="QK171" s="12"/>
      <c r="QL171" s="12"/>
      <c r="QM171" s="12"/>
      <c r="QN171" s="12"/>
      <c r="QO171" s="12"/>
      <c r="QP171" s="12"/>
      <c r="QQ171" s="12"/>
      <c r="QR171" s="12"/>
      <c r="QS171" s="12"/>
      <c r="QT171" s="12"/>
      <c r="QU171" s="12"/>
      <c r="QV171" s="12"/>
      <c r="QW171" s="12"/>
      <c r="QX171" s="12"/>
      <c r="QY171" s="12"/>
      <c r="QZ171" s="12"/>
      <c r="RA171" s="12"/>
      <c r="RB171" s="12"/>
      <c r="RC171" s="12"/>
      <c r="RD171" s="12"/>
      <c r="RE171" s="12"/>
      <c r="RF171" s="12"/>
      <c r="RG171" s="12"/>
      <c r="RH171" s="12"/>
      <c r="RI171" s="12"/>
      <c r="RJ171" s="12"/>
      <c r="RK171" s="12"/>
      <c r="RL171" s="12"/>
      <c r="RM171" s="12"/>
      <c r="RN171" s="12"/>
      <c r="RO171" s="12"/>
      <c r="RP171" s="12"/>
      <c r="RQ171" s="12"/>
      <c r="RR171" s="12"/>
      <c r="RS171" s="12"/>
      <c r="RT171" s="12"/>
      <c r="RU171" s="12"/>
      <c r="RV171" s="12"/>
      <c r="RW171" s="12"/>
      <c r="RX171" s="12"/>
      <c r="RY171" s="12"/>
      <c r="RZ171" s="12"/>
      <c r="SA171" s="12"/>
      <c r="SB171" s="12"/>
      <c r="SC171" s="12"/>
      <c r="SD171" s="12"/>
      <c r="SE171" s="12"/>
      <c r="SF171" s="12"/>
      <c r="SG171" s="12"/>
      <c r="SH171" s="11"/>
      <c r="SI171" s="11"/>
      <c r="SJ171" s="11"/>
      <c r="SK171" s="11"/>
      <c r="SL171" s="11"/>
      <c r="SM171" s="11"/>
      <c r="SN171" s="11"/>
      <c r="SO171" s="11"/>
      <c r="SP171" s="11"/>
      <c r="SQ171" s="11"/>
      <c r="SR171" s="11"/>
      <c r="SS171" s="11"/>
      <c r="ST171" s="11"/>
      <c r="SU171" s="11"/>
      <c r="SV171" s="11"/>
      <c r="SW171" s="11"/>
      <c r="SX171" s="11"/>
      <c r="SY171" s="11"/>
      <c r="SZ171" s="11"/>
      <c r="TA171" s="11"/>
      <c r="TB171" s="11"/>
      <c r="TC171" s="11"/>
      <c r="TD171" s="11"/>
      <c r="TE171" s="11"/>
      <c r="TF171" s="11"/>
      <c r="TG171" s="11"/>
      <c r="TH171" s="11"/>
      <c r="TI171" s="11"/>
      <c r="TJ171" s="11"/>
      <c r="TK171" s="11"/>
      <c r="TL171" s="11"/>
    </row>
    <row r="172" spans="1:532" x14ac:dyDescent="0.2">
      <c r="A172" s="10" t="s">
        <v>171</v>
      </c>
      <c r="B172" s="12">
        <v>13.86</v>
      </c>
      <c r="C172" s="11">
        <v>0</v>
      </c>
      <c r="D172" s="11">
        <v>1.1285818379046864</v>
      </c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12"/>
      <c r="IP172" s="12"/>
      <c r="IQ172" s="12"/>
      <c r="IR172" s="12"/>
      <c r="IS172" s="12"/>
      <c r="IT172" s="12"/>
      <c r="IU172" s="12"/>
      <c r="IV172" s="12"/>
      <c r="IW172" s="12"/>
      <c r="IX172" s="12"/>
      <c r="IY172" s="12"/>
      <c r="IZ172" s="12"/>
      <c r="JA172" s="12"/>
      <c r="JB172" s="12"/>
      <c r="JC172" s="12"/>
      <c r="JD172" s="12"/>
      <c r="JE172" s="12"/>
      <c r="JF172" s="12"/>
      <c r="JG172" s="12"/>
      <c r="JH172" s="12"/>
      <c r="JI172" s="12"/>
      <c r="JJ172" s="12"/>
      <c r="JK172" s="12"/>
      <c r="JL172" s="12"/>
      <c r="JM172" s="12"/>
      <c r="JN172" s="12"/>
      <c r="JO172" s="12"/>
      <c r="JP172" s="12"/>
      <c r="JQ172" s="12"/>
      <c r="JR172" s="12"/>
      <c r="JS172" s="12"/>
      <c r="JT172" s="12"/>
      <c r="JU172" s="12"/>
      <c r="JV172" s="12"/>
      <c r="JW172" s="12"/>
      <c r="JX172" s="12"/>
      <c r="JY172" s="12"/>
      <c r="JZ172" s="12"/>
      <c r="KA172" s="12"/>
      <c r="KB172" s="12"/>
      <c r="KC172" s="12"/>
      <c r="KD172" s="12"/>
      <c r="KE172" s="12"/>
      <c r="KF172" s="12"/>
      <c r="KG172" s="12"/>
      <c r="KH172" s="12"/>
      <c r="KI172" s="12"/>
      <c r="KJ172" s="12"/>
      <c r="KK172" s="12"/>
      <c r="KL172" s="12"/>
      <c r="KM172" s="12"/>
      <c r="KN172" s="12"/>
      <c r="KO172" s="12"/>
      <c r="KP172" s="12"/>
      <c r="KQ172" s="12"/>
      <c r="KR172" s="12"/>
      <c r="KS172" s="12"/>
      <c r="KT172" s="12"/>
      <c r="KU172" s="12"/>
      <c r="KV172" s="12"/>
      <c r="KW172" s="12"/>
      <c r="KX172" s="12"/>
      <c r="KY172" s="12"/>
      <c r="KZ172" s="12"/>
      <c r="LA172" s="12"/>
      <c r="LB172" s="12"/>
      <c r="LC172" s="12"/>
      <c r="LD172" s="12"/>
      <c r="LE172" s="12"/>
      <c r="LF172" s="12"/>
      <c r="LG172" s="12"/>
      <c r="LH172" s="12"/>
      <c r="LI172" s="12"/>
      <c r="LJ172" s="12"/>
      <c r="LK172" s="12"/>
      <c r="LL172" s="12"/>
      <c r="LM172" s="12"/>
      <c r="LN172" s="12"/>
      <c r="LO172" s="12"/>
      <c r="LP172" s="12"/>
      <c r="LQ172" s="12"/>
      <c r="LR172" s="12"/>
      <c r="LS172" s="12"/>
      <c r="LT172" s="12"/>
      <c r="LU172" s="12"/>
      <c r="LV172" s="12"/>
      <c r="LW172" s="12"/>
      <c r="LX172" s="12"/>
      <c r="LY172" s="12"/>
      <c r="LZ172" s="12"/>
      <c r="MA172" s="12"/>
      <c r="MB172" s="12"/>
      <c r="MC172" s="12"/>
      <c r="MD172" s="12"/>
      <c r="ME172" s="12"/>
      <c r="MF172" s="12"/>
      <c r="MG172" s="12"/>
      <c r="MH172" s="12"/>
      <c r="MI172" s="12"/>
      <c r="MJ172" s="12"/>
      <c r="MK172" s="12"/>
      <c r="ML172" s="12"/>
      <c r="MM172" s="12"/>
      <c r="MN172" s="12"/>
      <c r="MO172" s="12"/>
      <c r="MP172" s="12"/>
      <c r="MQ172" s="12"/>
      <c r="MR172" s="12"/>
      <c r="MS172" s="12"/>
      <c r="MT172" s="12"/>
      <c r="MU172" s="12"/>
      <c r="MV172" s="12"/>
      <c r="MW172" s="12"/>
      <c r="MX172" s="12"/>
      <c r="MY172" s="12"/>
      <c r="MZ172" s="12"/>
      <c r="NA172" s="12"/>
      <c r="NB172" s="12"/>
      <c r="NC172" s="12"/>
      <c r="ND172" s="12"/>
      <c r="NE172" s="12"/>
      <c r="NF172" s="12"/>
      <c r="NG172" s="12"/>
      <c r="NH172" s="12"/>
      <c r="NI172" s="12"/>
      <c r="NJ172" s="12"/>
      <c r="NK172" s="12"/>
      <c r="NL172" s="12"/>
      <c r="NM172" s="12"/>
      <c r="NN172" s="12"/>
      <c r="NO172" s="12"/>
      <c r="NP172" s="12"/>
      <c r="NQ172" s="12"/>
      <c r="NR172" s="12"/>
      <c r="NS172" s="12"/>
      <c r="NT172" s="12"/>
      <c r="NU172" s="12"/>
      <c r="NV172" s="12"/>
      <c r="NW172" s="12"/>
      <c r="NX172" s="12"/>
      <c r="NY172" s="12"/>
      <c r="NZ172" s="12"/>
      <c r="OA172" s="12"/>
      <c r="OB172" s="12"/>
      <c r="OC172" s="12"/>
      <c r="OD172" s="12"/>
      <c r="OE172" s="12"/>
      <c r="OF172" s="12"/>
      <c r="OG172" s="12"/>
      <c r="OH172" s="12"/>
      <c r="OI172" s="12"/>
      <c r="OJ172" s="12"/>
      <c r="OK172" s="12"/>
      <c r="OL172" s="12"/>
      <c r="OM172" s="12"/>
      <c r="ON172" s="12"/>
      <c r="OO172" s="12"/>
      <c r="OP172" s="12"/>
      <c r="OQ172" s="12"/>
      <c r="OR172" s="12"/>
      <c r="OS172" s="12"/>
      <c r="OT172" s="12"/>
      <c r="OU172" s="12"/>
      <c r="OV172" s="12"/>
      <c r="OW172" s="12"/>
      <c r="OX172" s="12"/>
      <c r="OY172" s="12"/>
      <c r="OZ172" s="12"/>
      <c r="PA172" s="12"/>
      <c r="PB172" s="12"/>
      <c r="PC172" s="12"/>
      <c r="PD172" s="12"/>
      <c r="PE172" s="12"/>
      <c r="PF172" s="12"/>
      <c r="PG172" s="12"/>
      <c r="PH172" s="12"/>
      <c r="PI172" s="12"/>
      <c r="PJ172" s="12"/>
      <c r="PK172" s="12"/>
      <c r="PL172" s="12"/>
      <c r="PM172" s="12"/>
      <c r="PN172" s="12"/>
      <c r="PO172" s="12"/>
      <c r="PP172" s="12"/>
      <c r="PQ172" s="12"/>
      <c r="PR172" s="12"/>
      <c r="PS172" s="12"/>
      <c r="PT172" s="12"/>
      <c r="PU172" s="12"/>
      <c r="PV172" s="12"/>
      <c r="PW172" s="12"/>
      <c r="PX172" s="12"/>
      <c r="PY172" s="12"/>
      <c r="PZ172" s="12"/>
      <c r="QA172" s="12"/>
      <c r="QB172" s="12"/>
      <c r="QC172" s="12"/>
      <c r="QD172" s="12"/>
      <c r="QE172" s="12"/>
      <c r="QF172" s="12"/>
      <c r="QG172" s="12"/>
      <c r="QH172" s="12"/>
      <c r="QI172" s="12"/>
      <c r="QJ172" s="12"/>
      <c r="QK172" s="12"/>
      <c r="QL172" s="12"/>
      <c r="QM172" s="12"/>
      <c r="QN172" s="12"/>
      <c r="QO172" s="12"/>
      <c r="QP172" s="12"/>
      <c r="QQ172" s="12"/>
      <c r="QR172" s="12"/>
      <c r="QS172" s="12"/>
      <c r="QT172" s="12"/>
      <c r="QU172" s="12"/>
      <c r="QV172" s="12"/>
      <c r="QW172" s="12"/>
      <c r="QX172" s="12"/>
      <c r="QY172" s="12"/>
      <c r="QZ172" s="12"/>
      <c r="RA172" s="12"/>
      <c r="RB172" s="12"/>
      <c r="RC172" s="12"/>
      <c r="RD172" s="12"/>
      <c r="RE172" s="12"/>
      <c r="RF172" s="12"/>
      <c r="RG172" s="12"/>
      <c r="RH172" s="12"/>
      <c r="RI172" s="12"/>
      <c r="RJ172" s="12"/>
      <c r="RK172" s="12"/>
      <c r="RL172" s="12"/>
      <c r="RM172" s="12"/>
      <c r="RN172" s="12"/>
      <c r="RO172" s="12"/>
      <c r="RP172" s="12"/>
      <c r="RQ172" s="12"/>
      <c r="RR172" s="12"/>
      <c r="RS172" s="12"/>
      <c r="RT172" s="12"/>
      <c r="RU172" s="12"/>
      <c r="RV172" s="12"/>
      <c r="RW172" s="12"/>
      <c r="RX172" s="12"/>
      <c r="RY172" s="12"/>
      <c r="RZ172" s="12"/>
      <c r="SA172" s="12"/>
      <c r="SB172" s="12"/>
      <c r="SC172" s="12"/>
      <c r="SD172" s="12"/>
      <c r="SE172" s="12"/>
      <c r="SF172" s="12"/>
      <c r="SG172" s="12"/>
      <c r="SH172" s="11"/>
      <c r="SI172" s="11"/>
      <c r="SJ172" s="11"/>
      <c r="SK172" s="11"/>
      <c r="SL172" s="11"/>
      <c r="SM172" s="11"/>
      <c r="SN172" s="11"/>
      <c r="SO172" s="11"/>
      <c r="SP172" s="11"/>
      <c r="SQ172" s="11"/>
      <c r="SR172" s="11"/>
      <c r="SS172" s="11"/>
      <c r="ST172" s="11"/>
      <c r="SU172" s="11"/>
      <c r="SV172" s="11"/>
      <c r="SW172" s="11"/>
      <c r="SX172" s="11"/>
      <c r="SY172" s="11"/>
      <c r="SZ172" s="11"/>
      <c r="TA172" s="11"/>
      <c r="TB172" s="11"/>
      <c r="TC172" s="11"/>
      <c r="TD172" s="11"/>
      <c r="TE172" s="11"/>
      <c r="TF172" s="11"/>
      <c r="TG172" s="11"/>
      <c r="TH172" s="11"/>
      <c r="TI172" s="11"/>
      <c r="TJ172" s="11"/>
      <c r="TK172" s="11"/>
      <c r="TL172" s="11"/>
    </row>
    <row r="173" spans="1:532" x14ac:dyDescent="0.2">
      <c r="A173" s="10" t="s">
        <v>172</v>
      </c>
      <c r="B173" s="12">
        <v>12.52</v>
      </c>
      <c r="C173" s="11">
        <v>0</v>
      </c>
      <c r="D173" s="11">
        <v>2.4551604894768619</v>
      </c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/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/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/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/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/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/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/>
      <c r="LR173" s="12"/>
      <c r="LS173" s="12"/>
      <c r="LT173" s="12"/>
      <c r="LU173" s="12"/>
      <c r="LV173" s="12"/>
      <c r="LW173" s="12"/>
      <c r="LX173" s="12"/>
      <c r="LY173" s="12"/>
      <c r="LZ173" s="12"/>
      <c r="MA173" s="12"/>
      <c r="MB173" s="12"/>
      <c r="MC173" s="12"/>
      <c r="MD173" s="12"/>
      <c r="ME173" s="12"/>
      <c r="MF173" s="12"/>
      <c r="MG173" s="12"/>
      <c r="MH173" s="12"/>
      <c r="MI173" s="12"/>
      <c r="MJ173" s="12"/>
      <c r="MK173" s="12"/>
      <c r="ML173" s="12"/>
      <c r="MM173" s="12"/>
      <c r="MN173" s="12"/>
      <c r="MO173" s="12"/>
      <c r="MP173" s="12"/>
      <c r="MQ173" s="12"/>
      <c r="MR173" s="12"/>
      <c r="MS173" s="12"/>
      <c r="MT173" s="12"/>
      <c r="MU173" s="12"/>
      <c r="MV173" s="12"/>
      <c r="MW173" s="12"/>
      <c r="MX173" s="12"/>
      <c r="MY173" s="12"/>
      <c r="MZ173" s="12"/>
      <c r="NA173" s="12"/>
      <c r="NB173" s="12"/>
      <c r="NC173" s="12"/>
      <c r="ND173" s="12"/>
      <c r="NE173" s="12"/>
      <c r="NF173" s="12"/>
      <c r="NG173" s="12"/>
      <c r="NH173" s="12"/>
      <c r="NI173" s="12"/>
      <c r="NJ173" s="12"/>
      <c r="NK173" s="12"/>
      <c r="NL173" s="12"/>
      <c r="NM173" s="12"/>
      <c r="NN173" s="12"/>
      <c r="NO173" s="12"/>
      <c r="NP173" s="12"/>
      <c r="NQ173" s="12"/>
      <c r="NR173" s="12"/>
      <c r="NS173" s="12"/>
      <c r="NT173" s="12"/>
      <c r="NU173" s="12"/>
      <c r="NV173" s="12"/>
      <c r="NW173" s="12"/>
      <c r="NX173" s="12"/>
      <c r="NY173" s="12"/>
      <c r="NZ173" s="12"/>
      <c r="OA173" s="12"/>
      <c r="OB173" s="12"/>
      <c r="OC173" s="12"/>
      <c r="OD173" s="12"/>
      <c r="OE173" s="12"/>
      <c r="OF173" s="12"/>
      <c r="OG173" s="12"/>
      <c r="OH173" s="12"/>
      <c r="OI173" s="12"/>
      <c r="OJ173" s="12"/>
      <c r="OK173" s="12"/>
      <c r="OL173" s="12"/>
      <c r="OM173" s="12"/>
      <c r="ON173" s="12"/>
      <c r="OO173" s="12"/>
      <c r="OP173" s="12"/>
      <c r="OQ173" s="12"/>
      <c r="OR173" s="12"/>
      <c r="OS173" s="12"/>
      <c r="OT173" s="12"/>
      <c r="OU173" s="12"/>
      <c r="OV173" s="12"/>
      <c r="OW173" s="12"/>
      <c r="OX173" s="12"/>
      <c r="OY173" s="12"/>
      <c r="OZ173" s="12"/>
      <c r="PA173" s="12"/>
      <c r="PB173" s="12"/>
      <c r="PC173" s="12"/>
      <c r="PD173" s="12"/>
      <c r="PE173" s="12"/>
      <c r="PF173" s="12"/>
      <c r="PG173" s="12"/>
      <c r="PH173" s="12"/>
      <c r="PI173" s="12"/>
      <c r="PJ173" s="12"/>
      <c r="PK173" s="12"/>
      <c r="PL173" s="12"/>
      <c r="PM173" s="12"/>
      <c r="PN173" s="12"/>
      <c r="PO173" s="12"/>
      <c r="PP173" s="12"/>
      <c r="PQ173" s="12"/>
      <c r="PR173" s="12"/>
      <c r="PS173" s="12"/>
      <c r="PT173" s="12"/>
      <c r="PU173" s="12"/>
      <c r="PV173" s="12"/>
      <c r="PW173" s="12"/>
      <c r="PX173" s="12"/>
      <c r="PY173" s="12"/>
      <c r="PZ173" s="12"/>
      <c r="QA173" s="12"/>
      <c r="QB173" s="12"/>
      <c r="QC173" s="12"/>
      <c r="QD173" s="12"/>
      <c r="QE173" s="12"/>
      <c r="QF173" s="12"/>
      <c r="QG173" s="12"/>
      <c r="QH173" s="12"/>
      <c r="QI173" s="12"/>
      <c r="QJ173" s="12"/>
      <c r="QK173" s="12"/>
      <c r="QL173" s="12"/>
      <c r="QM173" s="12"/>
      <c r="QN173" s="12"/>
      <c r="QO173" s="12"/>
      <c r="QP173" s="12"/>
      <c r="QQ173" s="12"/>
      <c r="QR173" s="12"/>
      <c r="QS173" s="12"/>
      <c r="QT173" s="12"/>
      <c r="QU173" s="12"/>
      <c r="QV173" s="12"/>
      <c r="QW173" s="12"/>
      <c r="QX173" s="12"/>
      <c r="QY173" s="12"/>
      <c r="QZ173" s="12"/>
      <c r="RA173" s="12"/>
      <c r="RB173" s="12"/>
      <c r="RC173" s="12"/>
      <c r="RD173" s="12"/>
      <c r="RE173" s="12"/>
      <c r="RF173" s="12"/>
      <c r="RG173" s="12"/>
      <c r="RH173" s="12"/>
      <c r="RI173" s="12"/>
      <c r="RJ173" s="12"/>
      <c r="RK173" s="12"/>
      <c r="RL173" s="12"/>
      <c r="RM173" s="12"/>
      <c r="RN173" s="12"/>
      <c r="RO173" s="12"/>
      <c r="RP173" s="12"/>
      <c r="RQ173" s="12"/>
      <c r="RR173" s="12"/>
      <c r="RS173" s="12"/>
      <c r="RT173" s="12"/>
      <c r="RU173" s="12"/>
      <c r="RV173" s="12"/>
      <c r="RW173" s="12"/>
      <c r="RX173" s="12"/>
      <c r="RY173" s="12"/>
      <c r="RZ173" s="12"/>
      <c r="SA173" s="12"/>
      <c r="SB173" s="12"/>
      <c r="SC173" s="12"/>
      <c r="SD173" s="12"/>
      <c r="SE173" s="12"/>
      <c r="SF173" s="12"/>
      <c r="SG173" s="12"/>
      <c r="SH173" s="11"/>
      <c r="SI173" s="11"/>
      <c r="SJ173" s="11"/>
      <c r="SK173" s="11"/>
      <c r="SL173" s="11"/>
      <c r="SM173" s="11"/>
      <c r="SN173" s="11"/>
      <c r="SO173" s="11"/>
      <c r="SP173" s="11"/>
      <c r="SQ173" s="11"/>
      <c r="SR173" s="11"/>
      <c r="SS173" s="11"/>
      <c r="ST173" s="11"/>
      <c r="SU173" s="11"/>
      <c r="SV173" s="11"/>
      <c r="SW173" s="11"/>
      <c r="SX173" s="11"/>
      <c r="SY173" s="11"/>
      <c r="SZ173" s="11"/>
      <c r="TA173" s="11"/>
      <c r="TB173" s="11"/>
      <c r="TC173" s="11"/>
      <c r="TD173" s="11"/>
      <c r="TE173" s="11"/>
      <c r="TF173" s="11"/>
      <c r="TG173" s="11"/>
      <c r="TH173" s="11"/>
      <c r="TI173" s="11"/>
      <c r="TJ173" s="11"/>
      <c r="TK173" s="11"/>
      <c r="TL173" s="11"/>
    </row>
    <row r="174" spans="1:532" x14ac:dyDescent="0.2">
      <c r="A174" s="10" t="s">
        <v>173</v>
      </c>
      <c r="B174" s="12">
        <v>14.02</v>
      </c>
      <c r="C174" s="11">
        <v>0</v>
      </c>
      <c r="D174" s="11">
        <v>0.97018438697069542</v>
      </c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/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/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/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/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/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/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/>
      <c r="LS174" s="12"/>
      <c r="LT174" s="12"/>
      <c r="LU174" s="12"/>
      <c r="LV174" s="12"/>
      <c r="LW174" s="12"/>
      <c r="LX174" s="12"/>
      <c r="LY174" s="12"/>
      <c r="LZ174" s="12"/>
      <c r="MA174" s="12"/>
      <c r="MB174" s="12"/>
      <c r="MC174" s="12"/>
      <c r="MD174" s="12"/>
      <c r="ME174" s="12"/>
      <c r="MF174" s="12"/>
      <c r="MG174" s="12"/>
      <c r="MH174" s="12"/>
      <c r="MI174" s="12"/>
      <c r="MJ174" s="12"/>
      <c r="MK174" s="12"/>
      <c r="ML174" s="12"/>
      <c r="MM174" s="12"/>
      <c r="MN174" s="12"/>
      <c r="MO174" s="12"/>
      <c r="MP174" s="12"/>
      <c r="MQ174" s="12"/>
      <c r="MR174" s="12"/>
      <c r="MS174" s="12"/>
      <c r="MT174" s="12"/>
      <c r="MU174" s="12"/>
      <c r="MV174" s="12"/>
      <c r="MW174" s="12"/>
      <c r="MX174" s="12"/>
      <c r="MY174" s="12"/>
      <c r="MZ174" s="12"/>
      <c r="NA174" s="12"/>
      <c r="NB174" s="12"/>
      <c r="NC174" s="12"/>
      <c r="ND174" s="12"/>
      <c r="NE174" s="12"/>
      <c r="NF174" s="12"/>
      <c r="NG174" s="12"/>
      <c r="NH174" s="12"/>
      <c r="NI174" s="12"/>
      <c r="NJ174" s="12"/>
      <c r="NK174" s="12"/>
      <c r="NL174" s="12"/>
      <c r="NM174" s="12"/>
      <c r="NN174" s="12"/>
      <c r="NO174" s="12"/>
      <c r="NP174" s="12"/>
      <c r="NQ174" s="12"/>
      <c r="NR174" s="12"/>
      <c r="NS174" s="12"/>
      <c r="NT174" s="12"/>
      <c r="NU174" s="12"/>
      <c r="NV174" s="12"/>
      <c r="NW174" s="12"/>
      <c r="NX174" s="12"/>
      <c r="NY174" s="12"/>
      <c r="NZ174" s="12"/>
      <c r="OA174" s="12"/>
      <c r="OB174" s="12"/>
      <c r="OC174" s="12"/>
      <c r="OD174" s="12"/>
      <c r="OE174" s="12"/>
      <c r="OF174" s="12"/>
      <c r="OG174" s="12"/>
      <c r="OH174" s="12"/>
      <c r="OI174" s="12"/>
      <c r="OJ174" s="12"/>
      <c r="OK174" s="12"/>
      <c r="OL174" s="12"/>
      <c r="OM174" s="12"/>
      <c r="ON174" s="12"/>
      <c r="OO174" s="12"/>
      <c r="OP174" s="12"/>
      <c r="OQ174" s="12"/>
      <c r="OR174" s="12"/>
      <c r="OS174" s="12"/>
      <c r="OT174" s="12"/>
      <c r="OU174" s="12"/>
      <c r="OV174" s="12"/>
      <c r="OW174" s="12"/>
      <c r="OX174" s="12"/>
      <c r="OY174" s="12"/>
      <c r="OZ174" s="12"/>
      <c r="PA174" s="12"/>
      <c r="PB174" s="12"/>
      <c r="PC174" s="12"/>
      <c r="PD174" s="12"/>
      <c r="PE174" s="12"/>
      <c r="PF174" s="12"/>
      <c r="PG174" s="12"/>
      <c r="PH174" s="12"/>
      <c r="PI174" s="12"/>
      <c r="PJ174" s="12"/>
      <c r="PK174" s="12"/>
      <c r="PL174" s="12"/>
      <c r="PM174" s="12"/>
      <c r="PN174" s="12"/>
      <c r="PO174" s="12"/>
      <c r="PP174" s="12"/>
      <c r="PQ174" s="12"/>
      <c r="PR174" s="12"/>
      <c r="PS174" s="12"/>
      <c r="PT174" s="12"/>
      <c r="PU174" s="12"/>
      <c r="PV174" s="12"/>
      <c r="PW174" s="12"/>
      <c r="PX174" s="12"/>
      <c r="PY174" s="12"/>
      <c r="PZ174" s="12"/>
      <c r="QA174" s="12"/>
      <c r="QB174" s="12"/>
      <c r="QC174" s="12"/>
      <c r="QD174" s="12"/>
      <c r="QE174" s="12"/>
      <c r="QF174" s="12"/>
      <c r="QG174" s="12"/>
      <c r="QH174" s="12"/>
      <c r="QI174" s="12"/>
      <c r="QJ174" s="12"/>
      <c r="QK174" s="12"/>
      <c r="QL174" s="12"/>
      <c r="QM174" s="12"/>
      <c r="QN174" s="12"/>
      <c r="QO174" s="12"/>
      <c r="QP174" s="12"/>
      <c r="QQ174" s="12"/>
      <c r="QR174" s="12"/>
      <c r="QS174" s="12"/>
      <c r="QT174" s="12"/>
      <c r="QU174" s="12"/>
      <c r="QV174" s="12"/>
      <c r="QW174" s="12"/>
      <c r="QX174" s="12"/>
      <c r="QY174" s="12"/>
      <c r="QZ174" s="12"/>
      <c r="RA174" s="12"/>
      <c r="RB174" s="12"/>
      <c r="RC174" s="12"/>
      <c r="RD174" s="12"/>
      <c r="RE174" s="12"/>
      <c r="RF174" s="12"/>
      <c r="RG174" s="12"/>
      <c r="RH174" s="12"/>
      <c r="RI174" s="12"/>
      <c r="RJ174" s="12"/>
      <c r="RK174" s="12"/>
      <c r="RL174" s="12"/>
      <c r="RM174" s="12"/>
      <c r="RN174" s="12"/>
      <c r="RO174" s="12"/>
      <c r="RP174" s="12"/>
      <c r="RQ174" s="12"/>
      <c r="RR174" s="12"/>
      <c r="RS174" s="12"/>
      <c r="RT174" s="12"/>
      <c r="RU174" s="12"/>
      <c r="RV174" s="12"/>
      <c r="RW174" s="12"/>
      <c r="RX174" s="12"/>
      <c r="RY174" s="12"/>
      <c r="RZ174" s="12"/>
      <c r="SA174" s="12"/>
      <c r="SB174" s="12"/>
      <c r="SC174" s="12"/>
      <c r="SD174" s="12"/>
      <c r="SE174" s="12"/>
      <c r="SF174" s="12"/>
      <c r="SG174" s="12"/>
      <c r="SH174" s="11"/>
      <c r="SI174" s="11"/>
      <c r="SJ174" s="11"/>
      <c r="SK174" s="11"/>
      <c r="SL174" s="11"/>
      <c r="SM174" s="11"/>
      <c r="SN174" s="11"/>
      <c r="SO174" s="11"/>
      <c r="SP174" s="11"/>
      <c r="SQ174" s="11"/>
      <c r="SR174" s="11"/>
      <c r="SS174" s="11"/>
      <c r="ST174" s="11"/>
      <c r="SU174" s="11"/>
      <c r="SV174" s="11"/>
      <c r="SW174" s="11"/>
      <c r="SX174" s="11"/>
      <c r="SY174" s="11"/>
      <c r="SZ174" s="11"/>
      <c r="TA174" s="11"/>
      <c r="TB174" s="11"/>
      <c r="TC174" s="11"/>
      <c r="TD174" s="11"/>
      <c r="TE174" s="11"/>
      <c r="TF174" s="11"/>
      <c r="TG174" s="11"/>
      <c r="TH174" s="11"/>
      <c r="TI174" s="11"/>
      <c r="TJ174" s="11"/>
      <c r="TK174" s="11"/>
      <c r="TL174" s="11"/>
    </row>
    <row r="175" spans="1:532" x14ac:dyDescent="0.2">
      <c r="A175" s="10" t="s">
        <v>174</v>
      </c>
      <c r="B175" s="12">
        <v>13.11</v>
      </c>
      <c r="C175" s="11">
        <v>0</v>
      </c>
      <c r="D175" s="11">
        <v>1.8710698891577697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/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/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/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/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/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/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/>
      <c r="LT175" s="12"/>
      <c r="LU175" s="12"/>
      <c r="LV175" s="12"/>
      <c r="LW175" s="12"/>
      <c r="LX175" s="12"/>
      <c r="LY175" s="12"/>
      <c r="LZ175" s="12"/>
      <c r="MA175" s="12"/>
      <c r="MB175" s="12"/>
      <c r="MC175" s="12"/>
      <c r="MD175" s="12"/>
      <c r="ME175" s="12"/>
      <c r="MF175" s="12"/>
      <c r="MG175" s="12"/>
      <c r="MH175" s="12"/>
      <c r="MI175" s="12"/>
      <c r="MJ175" s="12"/>
      <c r="MK175" s="12"/>
      <c r="ML175" s="12"/>
      <c r="MM175" s="12"/>
      <c r="MN175" s="12"/>
      <c r="MO175" s="12"/>
      <c r="MP175" s="12"/>
      <c r="MQ175" s="12"/>
      <c r="MR175" s="12"/>
      <c r="MS175" s="12"/>
      <c r="MT175" s="12"/>
      <c r="MU175" s="12"/>
      <c r="MV175" s="12"/>
      <c r="MW175" s="12"/>
      <c r="MX175" s="12"/>
      <c r="MY175" s="12"/>
      <c r="MZ175" s="12"/>
      <c r="NA175" s="12"/>
      <c r="NB175" s="12"/>
      <c r="NC175" s="12"/>
      <c r="ND175" s="12"/>
      <c r="NE175" s="12"/>
      <c r="NF175" s="12"/>
      <c r="NG175" s="12"/>
      <c r="NH175" s="12"/>
      <c r="NI175" s="12"/>
      <c r="NJ175" s="12"/>
      <c r="NK175" s="12"/>
      <c r="NL175" s="12"/>
      <c r="NM175" s="12"/>
      <c r="NN175" s="12"/>
      <c r="NO175" s="12"/>
      <c r="NP175" s="12"/>
      <c r="NQ175" s="12"/>
      <c r="NR175" s="12"/>
      <c r="NS175" s="12"/>
      <c r="NT175" s="12"/>
      <c r="NU175" s="12"/>
      <c r="NV175" s="12"/>
      <c r="NW175" s="12"/>
      <c r="NX175" s="12"/>
      <c r="NY175" s="12"/>
      <c r="NZ175" s="12"/>
      <c r="OA175" s="12"/>
      <c r="OB175" s="12"/>
      <c r="OC175" s="12"/>
      <c r="OD175" s="12"/>
      <c r="OE175" s="12"/>
      <c r="OF175" s="12"/>
      <c r="OG175" s="12"/>
      <c r="OH175" s="12"/>
      <c r="OI175" s="12"/>
      <c r="OJ175" s="12"/>
      <c r="OK175" s="12"/>
      <c r="OL175" s="12"/>
      <c r="OM175" s="12"/>
      <c r="ON175" s="12"/>
      <c r="OO175" s="12"/>
      <c r="OP175" s="12"/>
      <c r="OQ175" s="12"/>
      <c r="OR175" s="12"/>
      <c r="OS175" s="12"/>
      <c r="OT175" s="12"/>
      <c r="OU175" s="12"/>
      <c r="OV175" s="12"/>
      <c r="OW175" s="12"/>
      <c r="OX175" s="12"/>
      <c r="OY175" s="12"/>
      <c r="OZ175" s="12"/>
      <c r="PA175" s="12"/>
      <c r="PB175" s="12"/>
      <c r="PC175" s="12"/>
      <c r="PD175" s="12"/>
      <c r="PE175" s="12"/>
      <c r="PF175" s="12"/>
      <c r="PG175" s="12"/>
      <c r="PH175" s="12"/>
      <c r="PI175" s="12"/>
      <c r="PJ175" s="12"/>
      <c r="PK175" s="12"/>
      <c r="PL175" s="12"/>
      <c r="PM175" s="12"/>
      <c r="PN175" s="12"/>
      <c r="PO175" s="12"/>
      <c r="PP175" s="12"/>
      <c r="PQ175" s="12"/>
      <c r="PR175" s="12"/>
      <c r="PS175" s="12"/>
      <c r="PT175" s="12"/>
      <c r="PU175" s="12"/>
      <c r="PV175" s="12"/>
      <c r="PW175" s="12"/>
      <c r="PX175" s="12"/>
      <c r="PY175" s="12"/>
      <c r="PZ175" s="12"/>
      <c r="QA175" s="12"/>
      <c r="QB175" s="12"/>
      <c r="QC175" s="12"/>
      <c r="QD175" s="12"/>
      <c r="QE175" s="12"/>
      <c r="QF175" s="12"/>
      <c r="QG175" s="12"/>
      <c r="QH175" s="12"/>
      <c r="QI175" s="12"/>
      <c r="QJ175" s="12"/>
      <c r="QK175" s="12"/>
      <c r="QL175" s="12"/>
      <c r="QM175" s="12"/>
      <c r="QN175" s="12"/>
      <c r="QO175" s="12"/>
      <c r="QP175" s="12"/>
      <c r="QQ175" s="12"/>
      <c r="QR175" s="12"/>
      <c r="QS175" s="12"/>
      <c r="QT175" s="12"/>
      <c r="QU175" s="12"/>
      <c r="QV175" s="12"/>
      <c r="QW175" s="12"/>
      <c r="QX175" s="12"/>
      <c r="QY175" s="12"/>
      <c r="QZ175" s="12"/>
      <c r="RA175" s="12"/>
      <c r="RB175" s="12"/>
      <c r="RC175" s="12"/>
      <c r="RD175" s="12"/>
      <c r="RE175" s="12"/>
      <c r="RF175" s="12"/>
      <c r="RG175" s="12"/>
      <c r="RH175" s="12"/>
      <c r="RI175" s="12"/>
      <c r="RJ175" s="12"/>
      <c r="RK175" s="12"/>
      <c r="RL175" s="12"/>
      <c r="RM175" s="12"/>
      <c r="RN175" s="12"/>
      <c r="RO175" s="12"/>
      <c r="RP175" s="12"/>
      <c r="RQ175" s="12"/>
      <c r="RR175" s="12"/>
      <c r="RS175" s="12"/>
      <c r="RT175" s="12"/>
      <c r="RU175" s="12"/>
      <c r="RV175" s="12"/>
      <c r="RW175" s="12"/>
      <c r="RX175" s="12"/>
      <c r="RY175" s="12"/>
      <c r="RZ175" s="12"/>
      <c r="SA175" s="12"/>
      <c r="SB175" s="12"/>
      <c r="SC175" s="12"/>
      <c r="SD175" s="12"/>
      <c r="SE175" s="12"/>
      <c r="SF175" s="12"/>
      <c r="SG175" s="12"/>
      <c r="SH175" s="11"/>
      <c r="SI175" s="11"/>
      <c r="SJ175" s="11"/>
      <c r="SK175" s="11"/>
      <c r="SL175" s="11"/>
      <c r="SM175" s="11"/>
      <c r="SN175" s="11"/>
      <c r="SO175" s="11"/>
      <c r="SP175" s="11"/>
      <c r="SQ175" s="11"/>
      <c r="SR175" s="11"/>
      <c r="SS175" s="11"/>
      <c r="ST175" s="11"/>
      <c r="SU175" s="11"/>
      <c r="SV175" s="11"/>
      <c r="SW175" s="11"/>
      <c r="SX175" s="11"/>
      <c r="SY175" s="11"/>
      <c r="SZ175" s="11"/>
      <c r="TA175" s="11"/>
      <c r="TB175" s="11"/>
      <c r="TC175" s="11"/>
      <c r="TD175" s="11"/>
      <c r="TE175" s="11"/>
      <c r="TF175" s="11"/>
      <c r="TG175" s="11"/>
      <c r="TH175" s="11"/>
      <c r="TI175" s="11"/>
      <c r="TJ175" s="11"/>
      <c r="TK175" s="11"/>
      <c r="TL175" s="11"/>
    </row>
    <row r="176" spans="1:532" x14ac:dyDescent="0.2">
      <c r="A176" s="10" t="s">
        <v>175</v>
      </c>
      <c r="B176" s="12">
        <v>14.37</v>
      </c>
      <c r="C176" s="11">
        <v>0</v>
      </c>
      <c r="D176" s="11">
        <v>0.62368996305258995</v>
      </c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/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/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/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/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/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/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/>
      <c r="LR176" s="12"/>
      <c r="LS176" s="12"/>
      <c r="LT176" s="12"/>
      <c r="LU176" s="12"/>
      <c r="LV176" s="12"/>
      <c r="LW176" s="12"/>
      <c r="LX176" s="12"/>
      <c r="LY176" s="12"/>
      <c r="LZ176" s="12"/>
      <c r="MA176" s="12"/>
      <c r="MB176" s="12"/>
      <c r="MC176" s="12"/>
      <c r="MD176" s="12"/>
      <c r="ME176" s="12"/>
      <c r="MF176" s="12"/>
      <c r="MG176" s="12"/>
      <c r="MH176" s="12"/>
      <c r="MI176" s="12"/>
      <c r="MJ176" s="12"/>
      <c r="MK176" s="12"/>
      <c r="ML176" s="12"/>
      <c r="MM176" s="12"/>
      <c r="MN176" s="12"/>
      <c r="MO176" s="12"/>
      <c r="MP176" s="12"/>
      <c r="MQ176" s="12"/>
      <c r="MR176" s="12"/>
      <c r="MS176" s="12"/>
      <c r="MT176" s="12"/>
      <c r="MU176" s="12"/>
      <c r="MV176" s="12"/>
      <c r="MW176" s="12"/>
      <c r="MX176" s="12"/>
      <c r="MY176" s="12"/>
      <c r="MZ176" s="12"/>
      <c r="NA176" s="12"/>
      <c r="NB176" s="12"/>
      <c r="NC176" s="12"/>
      <c r="ND176" s="12"/>
      <c r="NE176" s="12"/>
      <c r="NF176" s="12"/>
      <c r="NG176" s="12"/>
      <c r="NH176" s="12"/>
      <c r="NI176" s="12"/>
      <c r="NJ176" s="12"/>
      <c r="NK176" s="12"/>
      <c r="NL176" s="12"/>
      <c r="NM176" s="12"/>
      <c r="NN176" s="12"/>
      <c r="NO176" s="12"/>
      <c r="NP176" s="12"/>
      <c r="NQ176" s="12"/>
      <c r="NR176" s="12"/>
      <c r="NS176" s="12"/>
      <c r="NT176" s="12"/>
      <c r="NU176" s="12"/>
      <c r="NV176" s="12"/>
      <c r="NW176" s="12"/>
      <c r="NX176" s="12"/>
      <c r="NY176" s="12"/>
      <c r="NZ176" s="12"/>
      <c r="OA176" s="12"/>
      <c r="OB176" s="12"/>
      <c r="OC176" s="12"/>
      <c r="OD176" s="12"/>
      <c r="OE176" s="12"/>
      <c r="OF176" s="12"/>
      <c r="OG176" s="12"/>
      <c r="OH176" s="12"/>
      <c r="OI176" s="12"/>
      <c r="OJ176" s="12"/>
      <c r="OK176" s="12"/>
      <c r="OL176" s="12"/>
      <c r="OM176" s="12"/>
      <c r="ON176" s="12"/>
      <c r="OO176" s="12"/>
      <c r="OP176" s="12"/>
      <c r="OQ176" s="12"/>
      <c r="OR176" s="12"/>
      <c r="OS176" s="12"/>
      <c r="OT176" s="12"/>
      <c r="OU176" s="12"/>
      <c r="OV176" s="12"/>
      <c r="OW176" s="12"/>
      <c r="OX176" s="12"/>
      <c r="OY176" s="12"/>
      <c r="OZ176" s="12"/>
      <c r="PA176" s="12"/>
      <c r="PB176" s="12"/>
      <c r="PC176" s="12"/>
      <c r="PD176" s="12"/>
      <c r="PE176" s="12"/>
      <c r="PF176" s="12"/>
      <c r="PG176" s="12"/>
      <c r="PH176" s="12"/>
      <c r="PI176" s="12"/>
      <c r="PJ176" s="12"/>
      <c r="PK176" s="12"/>
      <c r="PL176" s="12"/>
      <c r="PM176" s="12"/>
      <c r="PN176" s="12"/>
      <c r="PO176" s="12"/>
      <c r="PP176" s="12"/>
      <c r="PQ176" s="12"/>
      <c r="PR176" s="12"/>
      <c r="PS176" s="12"/>
      <c r="PT176" s="12"/>
      <c r="PU176" s="12"/>
      <c r="PV176" s="12"/>
      <c r="PW176" s="12"/>
      <c r="PX176" s="12"/>
      <c r="PY176" s="12"/>
      <c r="PZ176" s="12"/>
      <c r="QA176" s="12"/>
      <c r="QB176" s="12"/>
      <c r="QC176" s="12"/>
      <c r="QD176" s="12"/>
      <c r="QE176" s="12"/>
      <c r="QF176" s="12"/>
      <c r="QG176" s="12"/>
      <c r="QH176" s="12"/>
      <c r="QI176" s="12"/>
      <c r="QJ176" s="12"/>
      <c r="QK176" s="12"/>
      <c r="QL176" s="12"/>
      <c r="QM176" s="12"/>
      <c r="QN176" s="12"/>
      <c r="QO176" s="12"/>
      <c r="QP176" s="12"/>
      <c r="QQ176" s="12"/>
      <c r="QR176" s="12"/>
      <c r="QS176" s="12"/>
      <c r="QT176" s="12"/>
      <c r="QU176" s="12"/>
      <c r="QV176" s="12"/>
      <c r="QW176" s="12"/>
      <c r="QX176" s="12"/>
      <c r="QY176" s="12"/>
      <c r="QZ176" s="12"/>
      <c r="RA176" s="12"/>
      <c r="RB176" s="12"/>
      <c r="RC176" s="12"/>
      <c r="RD176" s="12"/>
      <c r="RE176" s="12"/>
      <c r="RF176" s="12"/>
      <c r="RG176" s="12"/>
      <c r="RH176" s="12"/>
      <c r="RI176" s="12"/>
      <c r="RJ176" s="12"/>
      <c r="RK176" s="12"/>
      <c r="RL176" s="12"/>
      <c r="RM176" s="12"/>
      <c r="RN176" s="12"/>
      <c r="RO176" s="12"/>
      <c r="RP176" s="12"/>
      <c r="RQ176" s="12"/>
      <c r="RR176" s="12"/>
      <c r="RS176" s="12"/>
      <c r="RT176" s="12"/>
      <c r="RU176" s="12"/>
      <c r="RV176" s="12"/>
      <c r="RW176" s="12"/>
      <c r="RX176" s="12"/>
      <c r="RY176" s="12"/>
      <c r="RZ176" s="12"/>
      <c r="SA176" s="12"/>
      <c r="SB176" s="12"/>
      <c r="SC176" s="12"/>
      <c r="SD176" s="12"/>
      <c r="SE176" s="12"/>
      <c r="SF176" s="12"/>
      <c r="SG176" s="12"/>
      <c r="SH176" s="11"/>
      <c r="SI176" s="11"/>
      <c r="SJ176" s="11"/>
      <c r="SK176" s="11"/>
      <c r="SL176" s="11"/>
      <c r="SM176" s="11"/>
      <c r="SN176" s="11"/>
      <c r="SO176" s="11"/>
      <c r="SP176" s="11"/>
      <c r="SQ176" s="11"/>
      <c r="SR176" s="11"/>
      <c r="SS176" s="11"/>
      <c r="ST176" s="11"/>
      <c r="SU176" s="11"/>
      <c r="SV176" s="11"/>
      <c r="SW176" s="11"/>
      <c r="SX176" s="11"/>
      <c r="SY176" s="11"/>
      <c r="SZ176" s="11"/>
      <c r="TA176" s="11"/>
      <c r="TB176" s="11"/>
      <c r="TC176" s="11"/>
      <c r="TD176" s="11"/>
      <c r="TE176" s="11"/>
      <c r="TF176" s="11"/>
      <c r="TG176" s="11"/>
      <c r="TH176" s="11"/>
      <c r="TI176" s="11"/>
      <c r="TJ176" s="11"/>
      <c r="TK176" s="11"/>
      <c r="TL176" s="11"/>
    </row>
    <row r="177" spans="1:532" x14ac:dyDescent="0.2">
      <c r="A177" s="10" t="s">
        <v>176</v>
      </c>
      <c r="B177" s="12">
        <v>13.52</v>
      </c>
      <c r="C177" s="11">
        <v>0</v>
      </c>
      <c r="D177" s="11">
        <v>1.4651764211394176</v>
      </c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/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/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/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/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/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/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/>
      <c r="LS177" s="12"/>
      <c r="LT177" s="12"/>
      <c r="LU177" s="12"/>
      <c r="LV177" s="12"/>
      <c r="LW177" s="12"/>
      <c r="LX177" s="12"/>
      <c r="LY177" s="12"/>
      <c r="LZ177" s="12"/>
      <c r="MA177" s="12"/>
      <c r="MB177" s="12"/>
      <c r="MC177" s="12"/>
      <c r="MD177" s="12"/>
      <c r="ME177" s="12"/>
      <c r="MF177" s="12"/>
      <c r="MG177" s="12"/>
      <c r="MH177" s="12"/>
      <c r="MI177" s="12"/>
      <c r="MJ177" s="12"/>
      <c r="MK177" s="12"/>
      <c r="ML177" s="12"/>
      <c r="MM177" s="12"/>
      <c r="MN177" s="12"/>
      <c r="MO177" s="12"/>
      <c r="MP177" s="12"/>
      <c r="MQ177" s="12"/>
      <c r="MR177" s="12"/>
      <c r="MS177" s="12"/>
      <c r="MT177" s="12"/>
      <c r="MU177" s="12"/>
      <c r="MV177" s="12"/>
      <c r="MW177" s="12"/>
      <c r="MX177" s="12"/>
      <c r="MY177" s="12"/>
      <c r="MZ177" s="12"/>
      <c r="NA177" s="12"/>
      <c r="NB177" s="12"/>
      <c r="NC177" s="12"/>
      <c r="ND177" s="12"/>
      <c r="NE177" s="12"/>
      <c r="NF177" s="12"/>
      <c r="NG177" s="12"/>
      <c r="NH177" s="12"/>
      <c r="NI177" s="12"/>
      <c r="NJ177" s="12"/>
      <c r="NK177" s="12"/>
      <c r="NL177" s="12"/>
      <c r="NM177" s="12"/>
      <c r="NN177" s="12"/>
      <c r="NO177" s="12"/>
      <c r="NP177" s="12"/>
      <c r="NQ177" s="12"/>
      <c r="NR177" s="12"/>
      <c r="NS177" s="12"/>
      <c r="NT177" s="12"/>
      <c r="NU177" s="12"/>
      <c r="NV177" s="12"/>
      <c r="NW177" s="12"/>
      <c r="NX177" s="12"/>
      <c r="NY177" s="12"/>
      <c r="NZ177" s="12"/>
      <c r="OA177" s="12"/>
      <c r="OB177" s="12"/>
      <c r="OC177" s="12"/>
      <c r="OD177" s="12"/>
      <c r="OE177" s="12"/>
      <c r="OF177" s="12"/>
      <c r="OG177" s="12"/>
      <c r="OH177" s="12"/>
      <c r="OI177" s="12"/>
      <c r="OJ177" s="12"/>
      <c r="OK177" s="12"/>
      <c r="OL177" s="12"/>
      <c r="OM177" s="12"/>
      <c r="ON177" s="12"/>
      <c r="OO177" s="12"/>
      <c r="OP177" s="12"/>
      <c r="OQ177" s="12"/>
      <c r="OR177" s="12"/>
      <c r="OS177" s="12"/>
      <c r="OT177" s="12"/>
      <c r="OU177" s="12"/>
      <c r="OV177" s="12"/>
      <c r="OW177" s="12"/>
      <c r="OX177" s="12"/>
      <c r="OY177" s="12"/>
      <c r="OZ177" s="12"/>
      <c r="PA177" s="12"/>
      <c r="PB177" s="12"/>
      <c r="PC177" s="12"/>
      <c r="PD177" s="12"/>
      <c r="PE177" s="12"/>
      <c r="PF177" s="12"/>
      <c r="PG177" s="12"/>
      <c r="PH177" s="12"/>
      <c r="PI177" s="12"/>
      <c r="PJ177" s="12"/>
      <c r="PK177" s="12"/>
      <c r="PL177" s="12"/>
      <c r="PM177" s="12"/>
      <c r="PN177" s="12"/>
      <c r="PO177" s="12"/>
      <c r="PP177" s="12"/>
      <c r="PQ177" s="12"/>
      <c r="PR177" s="12"/>
      <c r="PS177" s="12"/>
      <c r="PT177" s="12"/>
      <c r="PU177" s="12"/>
      <c r="PV177" s="12"/>
      <c r="PW177" s="12"/>
      <c r="PX177" s="12"/>
      <c r="PY177" s="12"/>
      <c r="PZ177" s="12"/>
      <c r="QA177" s="12"/>
      <c r="QB177" s="12"/>
      <c r="QC177" s="12"/>
      <c r="QD177" s="12"/>
      <c r="QE177" s="12"/>
      <c r="QF177" s="12"/>
      <c r="QG177" s="12"/>
      <c r="QH177" s="12"/>
      <c r="QI177" s="12"/>
      <c r="QJ177" s="12"/>
      <c r="QK177" s="12"/>
      <c r="QL177" s="12"/>
      <c r="QM177" s="12"/>
      <c r="QN177" s="12"/>
      <c r="QO177" s="12"/>
      <c r="QP177" s="12"/>
      <c r="QQ177" s="12"/>
      <c r="QR177" s="12"/>
      <c r="QS177" s="12"/>
      <c r="QT177" s="12"/>
      <c r="QU177" s="12"/>
      <c r="QV177" s="12"/>
      <c r="QW177" s="12"/>
      <c r="QX177" s="12"/>
      <c r="QY177" s="12"/>
      <c r="QZ177" s="12"/>
      <c r="RA177" s="12"/>
      <c r="RB177" s="12"/>
      <c r="RC177" s="12"/>
      <c r="RD177" s="12"/>
      <c r="RE177" s="12"/>
      <c r="RF177" s="12"/>
      <c r="RG177" s="12"/>
      <c r="RH177" s="12"/>
      <c r="RI177" s="12"/>
      <c r="RJ177" s="12"/>
      <c r="RK177" s="12"/>
      <c r="RL177" s="12"/>
      <c r="RM177" s="12"/>
      <c r="RN177" s="12"/>
      <c r="RO177" s="12"/>
      <c r="RP177" s="12"/>
      <c r="RQ177" s="12"/>
      <c r="RR177" s="12"/>
      <c r="RS177" s="12"/>
      <c r="RT177" s="12"/>
      <c r="RU177" s="12"/>
      <c r="RV177" s="12"/>
      <c r="RW177" s="12"/>
      <c r="RX177" s="12"/>
      <c r="RY177" s="12"/>
      <c r="RZ177" s="12"/>
      <c r="SA177" s="12"/>
      <c r="SB177" s="12"/>
      <c r="SC177" s="12"/>
      <c r="SD177" s="12"/>
      <c r="SE177" s="12"/>
      <c r="SF177" s="12"/>
      <c r="SG177" s="12"/>
      <c r="SH177" s="11"/>
      <c r="SI177" s="11"/>
      <c r="SJ177" s="11"/>
      <c r="SK177" s="11"/>
      <c r="SL177" s="11"/>
      <c r="SM177" s="11"/>
      <c r="SN177" s="11"/>
      <c r="SO177" s="11"/>
      <c r="SP177" s="11"/>
      <c r="SQ177" s="11"/>
      <c r="SR177" s="11"/>
      <c r="SS177" s="11"/>
      <c r="ST177" s="11"/>
      <c r="SU177" s="11"/>
      <c r="SV177" s="11"/>
      <c r="SW177" s="11"/>
      <c r="SX177" s="11"/>
      <c r="SY177" s="11"/>
      <c r="SZ177" s="11"/>
      <c r="TA177" s="11"/>
      <c r="TB177" s="11"/>
      <c r="TC177" s="11"/>
      <c r="TD177" s="11"/>
      <c r="TE177" s="11"/>
      <c r="TF177" s="11"/>
      <c r="TG177" s="11"/>
      <c r="TH177" s="11"/>
      <c r="TI177" s="11"/>
      <c r="TJ177" s="11"/>
      <c r="TK177" s="11"/>
      <c r="TL177" s="11"/>
    </row>
    <row r="178" spans="1:532" x14ac:dyDescent="0.2">
      <c r="A178" s="10" t="s">
        <v>177</v>
      </c>
      <c r="B178" s="12">
        <v>12.29</v>
      </c>
      <c r="C178" s="11">
        <v>0</v>
      </c>
      <c r="D178" s="11">
        <v>2.6828568251944742</v>
      </c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/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/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/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/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/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/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/>
      <c r="LT178" s="12"/>
      <c r="LU178" s="12"/>
      <c r="LV178" s="12"/>
      <c r="LW178" s="12"/>
      <c r="LX178" s="12"/>
      <c r="LY178" s="12"/>
      <c r="LZ178" s="12"/>
      <c r="MA178" s="12"/>
      <c r="MB178" s="12"/>
      <c r="MC178" s="12"/>
      <c r="MD178" s="12"/>
      <c r="ME178" s="12"/>
      <c r="MF178" s="12"/>
      <c r="MG178" s="12"/>
      <c r="MH178" s="12"/>
      <c r="MI178" s="12"/>
      <c r="MJ178" s="12"/>
      <c r="MK178" s="12"/>
      <c r="ML178" s="12"/>
      <c r="MM178" s="12"/>
      <c r="MN178" s="12"/>
      <c r="MO178" s="12"/>
      <c r="MP178" s="12"/>
      <c r="MQ178" s="12"/>
      <c r="MR178" s="12"/>
      <c r="MS178" s="12"/>
      <c r="MT178" s="12"/>
      <c r="MU178" s="12"/>
      <c r="MV178" s="12"/>
      <c r="MW178" s="12"/>
      <c r="MX178" s="12"/>
      <c r="MY178" s="12"/>
      <c r="MZ178" s="12"/>
      <c r="NA178" s="12"/>
      <c r="NB178" s="12"/>
      <c r="NC178" s="12"/>
      <c r="ND178" s="12"/>
      <c r="NE178" s="12"/>
      <c r="NF178" s="12"/>
      <c r="NG178" s="12"/>
      <c r="NH178" s="12"/>
      <c r="NI178" s="12"/>
      <c r="NJ178" s="12"/>
      <c r="NK178" s="12"/>
      <c r="NL178" s="12"/>
      <c r="NM178" s="12"/>
      <c r="NN178" s="12"/>
      <c r="NO178" s="12"/>
      <c r="NP178" s="12"/>
      <c r="NQ178" s="12"/>
      <c r="NR178" s="12"/>
      <c r="NS178" s="12"/>
      <c r="NT178" s="12"/>
      <c r="NU178" s="12"/>
      <c r="NV178" s="12"/>
      <c r="NW178" s="12"/>
      <c r="NX178" s="12"/>
      <c r="NY178" s="12"/>
      <c r="NZ178" s="12"/>
      <c r="OA178" s="12"/>
      <c r="OB178" s="12"/>
      <c r="OC178" s="12"/>
      <c r="OD178" s="12"/>
      <c r="OE178" s="12"/>
      <c r="OF178" s="12"/>
      <c r="OG178" s="12"/>
      <c r="OH178" s="12"/>
      <c r="OI178" s="12"/>
      <c r="OJ178" s="12"/>
      <c r="OK178" s="12"/>
      <c r="OL178" s="12"/>
      <c r="OM178" s="12"/>
      <c r="ON178" s="12"/>
      <c r="OO178" s="12"/>
      <c r="OP178" s="12"/>
      <c r="OQ178" s="12"/>
      <c r="OR178" s="12"/>
      <c r="OS178" s="12"/>
      <c r="OT178" s="12"/>
      <c r="OU178" s="12"/>
      <c r="OV178" s="12"/>
      <c r="OW178" s="12"/>
      <c r="OX178" s="12"/>
      <c r="OY178" s="12"/>
      <c r="OZ178" s="12"/>
      <c r="PA178" s="12"/>
      <c r="PB178" s="12"/>
      <c r="PC178" s="12"/>
      <c r="PD178" s="12"/>
      <c r="PE178" s="12"/>
      <c r="PF178" s="12"/>
      <c r="PG178" s="12"/>
      <c r="PH178" s="12"/>
      <c r="PI178" s="12"/>
      <c r="PJ178" s="12"/>
      <c r="PK178" s="12"/>
      <c r="PL178" s="12"/>
      <c r="PM178" s="12"/>
      <c r="PN178" s="12"/>
      <c r="PO178" s="12"/>
      <c r="PP178" s="12"/>
      <c r="PQ178" s="12"/>
      <c r="PR178" s="12"/>
      <c r="PS178" s="12"/>
      <c r="PT178" s="12"/>
      <c r="PU178" s="12"/>
      <c r="PV178" s="12"/>
      <c r="PW178" s="12"/>
      <c r="PX178" s="12"/>
      <c r="PY178" s="12"/>
      <c r="PZ178" s="12"/>
      <c r="QA178" s="12"/>
      <c r="QB178" s="12"/>
      <c r="QC178" s="12"/>
      <c r="QD178" s="12"/>
      <c r="QE178" s="12"/>
      <c r="QF178" s="12"/>
      <c r="QG178" s="12"/>
      <c r="QH178" s="12"/>
      <c r="QI178" s="12"/>
      <c r="QJ178" s="12"/>
      <c r="QK178" s="12"/>
      <c r="QL178" s="12"/>
      <c r="QM178" s="12"/>
      <c r="QN178" s="12"/>
      <c r="QO178" s="12"/>
      <c r="QP178" s="12"/>
      <c r="QQ178" s="12"/>
      <c r="QR178" s="12"/>
      <c r="QS178" s="12"/>
      <c r="QT178" s="12"/>
      <c r="QU178" s="12"/>
      <c r="QV178" s="12"/>
      <c r="QW178" s="12"/>
      <c r="QX178" s="12"/>
      <c r="QY178" s="12"/>
      <c r="QZ178" s="12"/>
      <c r="RA178" s="12"/>
      <c r="RB178" s="12"/>
      <c r="RC178" s="12"/>
      <c r="RD178" s="12"/>
      <c r="RE178" s="12"/>
      <c r="RF178" s="12"/>
      <c r="RG178" s="12"/>
      <c r="RH178" s="12"/>
      <c r="RI178" s="12"/>
      <c r="RJ178" s="12"/>
      <c r="RK178" s="12"/>
      <c r="RL178" s="12"/>
      <c r="RM178" s="12"/>
      <c r="RN178" s="12"/>
      <c r="RO178" s="12"/>
      <c r="RP178" s="12"/>
      <c r="RQ178" s="12"/>
      <c r="RR178" s="12"/>
      <c r="RS178" s="12"/>
      <c r="RT178" s="12"/>
      <c r="RU178" s="12"/>
      <c r="RV178" s="12"/>
      <c r="RW178" s="12"/>
      <c r="RX178" s="12"/>
      <c r="RY178" s="12"/>
      <c r="RZ178" s="12"/>
      <c r="SA178" s="12"/>
      <c r="SB178" s="12"/>
      <c r="SC178" s="12"/>
      <c r="SD178" s="12"/>
      <c r="SE178" s="12"/>
      <c r="SF178" s="12"/>
      <c r="SG178" s="12"/>
      <c r="SH178" s="11"/>
      <c r="SI178" s="11"/>
      <c r="SJ178" s="11"/>
      <c r="SK178" s="11"/>
      <c r="SL178" s="11"/>
      <c r="SM178" s="11"/>
      <c r="SN178" s="11"/>
      <c r="SO178" s="11"/>
      <c r="SP178" s="11"/>
      <c r="SQ178" s="11"/>
      <c r="SR178" s="11"/>
      <c r="SS178" s="11"/>
      <c r="ST178" s="11"/>
      <c r="SU178" s="11"/>
      <c r="SV178" s="11"/>
      <c r="SW178" s="11"/>
      <c r="SX178" s="11"/>
      <c r="SY178" s="11"/>
      <c r="SZ178" s="11"/>
      <c r="TA178" s="11"/>
      <c r="TB178" s="11"/>
      <c r="TC178" s="11"/>
      <c r="TD178" s="11"/>
      <c r="TE178" s="11"/>
      <c r="TF178" s="11"/>
      <c r="TG178" s="11"/>
      <c r="TH178" s="11"/>
      <c r="TI178" s="11"/>
      <c r="TJ178" s="11"/>
      <c r="TK178" s="11"/>
      <c r="TL178" s="11"/>
    </row>
    <row r="179" spans="1:532" x14ac:dyDescent="0.2">
      <c r="A179" s="10" t="s">
        <v>178</v>
      </c>
      <c r="B179" s="12">
        <v>13.02</v>
      </c>
      <c r="C179" s="11">
        <v>0</v>
      </c>
      <c r="D179" s="11">
        <v>1.9601684553081398</v>
      </c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12"/>
      <c r="IP179" s="12"/>
      <c r="IQ179" s="12"/>
      <c r="IR179" s="12"/>
      <c r="IS179" s="12"/>
      <c r="IT179" s="12"/>
      <c r="IU179" s="12"/>
      <c r="IV179" s="12"/>
      <c r="IW179" s="12"/>
      <c r="IX179" s="12"/>
      <c r="IY179" s="12"/>
      <c r="IZ179" s="12"/>
      <c r="JA179" s="12"/>
      <c r="JB179" s="12"/>
      <c r="JC179" s="12"/>
      <c r="JD179" s="12"/>
      <c r="JE179" s="12"/>
      <c r="JF179" s="12"/>
      <c r="JG179" s="12"/>
      <c r="JH179" s="12"/>
      <c r="JI179" s="12"/>
      <c r="JJ179" s="12"/>
      <c r="JK179" s="12"/>
      <c r="JL179" s="12"/>
      <c r="JM179" s="12"/>
      <c r="JN179" s="12"/>
      <c r="JO179" s="12"/>
      <c r="JP179" s="12"/>
      <c r="JQ179" s="12"/>
      <c r="JR179" s="12"/>
      <c r="JS179" s="12"/>
      <c r="JT179" s="12"/>
      <c r="JU179" s="12"/>
      <c r="JV179" s="12"/>
      <c r="JW179" s="12"/>
      <c r="JX179" s="12"/>
      <c r="JY179" s="12"/>
      <c r="JZ179" s="12"/>
      <c r="KA179" s="12"/>
      <c r="KB179" s="12"/>
      <c r="KC179" s="12"/>
      <c r="KD179" s="12"/>
      <c r="KE179" s="12"/>
      <c r="KF179" s="12"/>
      <c r="KG179" s="12"/>
      <c r="KH179" s="12"/>
      <c r="KI179" s="12"/>
      <c r="KJ179" s="12"/>
      <c r="KK179" s="12"/>
      <c r="KL179" s="12"/>
      <c r="KM179" s="12"/>
      <c r="KN179" s="12"/>
      <c r="KO179" s="12"/>
      <c r="KP179" s="12"/>
      <c r="KQ179" s="12"/>
      <c r="KR179" s="12"/>
      <c r="KS179" s="12"/>
      <c r="KT179" s="12"/>
      <c r="KU179" s="12"/>
      <c r="KV179" s="12"/>
      <c r="KW179" s="12"/>
      <c r="KX179" s="12"/>
      <c r="KY179" s="12"/>
      <c r="KZ179" s="12"/>
      <c r="LA179" s="12"/>
      <c r="LB179" s="12"/>
      <c r="LC179" s="12"/>
      <c r="LD179" s="12"/>
      <c r="LE179" s="12"/>
      <c r="LF179" s="12"/>
      <c r="LG179" s="12"/>
      <c r="LH179" s="12"/>
      <c r="LI179" s="12"/>
      <c r="LJ179" s="12"/>
      <c r="LK179" s="12"/>
      <c r="LL179" s="12"/>
      <c r="LM179" s="12"/>
      <c r="LN179" s="12"/>
      <c r="LO179" s="12"/>
      <c r="LP179" s="12"/>
      <c r="LQ179" s="12"/>
      <c r="LR179" s="12"/>
      <c r="LS179" s="12"/>
      <c r="LT179" s="12"/>
      <c r="LU179" s="12"/>
      <c r="LV179" s="12"/>
      <c r="LW179" s="12"/>
      <c r="LX179" s="12"/>
      <c r="LY179" s="12"/>
      <c r="LZ179" s="12"/>
      <c r="MA179" s="12"/>
      <c r="MB179" s="12"/>
      <c r="MC179" s="12"/>
      <c r="MD179" s="12"/>
      <c r="ME179" s="12"/>
      <c r="MF179" s="12"/>
      <c r="MG179" s="12"/>
      <c r="MH179" s="12"/>
      <c r="MI179" s="12"/>
      <c r="MJ179" s="12"/>
      <c r="MK179" s="12"/>
      <c r="ML179" s="12"/>
      <c r="MM179" s="12"/>
      <c r="MN179" s="12"/>
      <c r="MO179" s="12"/>
      <c r="MP179" s="12"/>
      <c r="MQ179" s="12"/>
      <c r="MR179" s="12"/>
      <c r="MS179" s="12"/>
      <c r="MT179" s="12"/>
      <c r="MU179" s="12"/>
      <c r="MV179" s="12"/>
      <c r="MW179" s="12"/>
      <c r="MX179" s="12"/>
      <c r="MY179" s="12"/>
      <c r="MZ179" s="12"/>
      <c r="NA179" s="12"/>
      <c r="NB179" s="12"/>
      <c r="NC179" s="12"/>
      <c r="ND179" s="12"/>
      <c r="NE179" s="12"/>
      <c r="NF179" s="12"/>
      <c r="NG179" s="12"/>
      <c r="NH179" s="12"/>
      <c r="NI179" s="12"/>
      <c r="NJ179" s="12"/>
      <c r="NK179" s="12"/>
      <c r="NL179" s="12"/>
      <c r="NM179" s="12"/>
      <c r="NN179" s="12"/>
      <c r="NO179" s="12"/>
      <c r="NP179" s="12"/>
      <c r="NQ179" s="12"/>
      <c r="NR179" s="12"/>
      <c r="NS179" s="12"/>
      <c r="NT179" s="12"/>
      <c r="NU179" s="12"/>
      <c r="NV179" s="12"/>
      <c r="NW179" s="12"/>
      <c r="NX179" s="12"/>
      <c r="NY179" s="12"/>
      <c r="NZ179" s="12"/>
      <c r="OA179" s="12"/>
      <c r="OB179" s="12"/>
      <c r="OC179" s="12"/>
      <c r="OD179" s="12"/>
      <c r="OE179" s="12"/>
      <c r="OF179" s="12"/>
      <c r="OG179" s="12"/>
      <c r="OH179" s="12"/>
      <c r="OI179" s="12"/>
      <c r="OJ179" s="12"/>
      <c r="OK179" s="12"/>
      <c r="OL179" s="12"/>
      <c r="OM179" s="12"/>
      <c r="ON179" s="12"/>
      <c r="OO179" s="12"/>
      <c r="OP179" s="12"/>
      <c r="OQ179" s="12"/>
      <c r="OR179" s="12"/>
      <c r="OS179" s="12"/>
      <c r="OT179" s="12"/>
      <c r="OU179" s="12"/>
      <c r="OV179" s="12"/>
      <c r="OW179" s="12"/>
      <c r="OX179" s="12"/>
      <c r="OY179" s="12"/>
      <c r="OZ179" s="12"/>
      <c r="PA179" s="12"/>
      <c r="PB179" s="12"/>
      <c r="PC179" s="12"/>
      <c r="PD179" s="12"/>
      <c r="PE179" s="12"/>
      <c r="PF179" s="12"/>
      <c r="PG179" s="12"/>
      <c r="PH179" s="12"/>
      <c r="PI179" s="12"/>
      <c r="PJ179" s="12"/>
      <c r="PK179" s="12"/>
      <c r="PL179" s="12"/>
      <c r="PM179" s="12"/>
      <c r="PN179" s="12"/>
      <c r="PO179" s="12"/>
      <c r="PP179" s="12"/>
      <c r="PQ179" s="12"/>
      <c r="PR179" s="12"/>
      <c r="PS179" s="12"/>
      <c r="PT179" s="12"/>
      <c r="PU179" s="12"/>
      <c r="PV179" s="12"/>
      <c r="PW179" s="12"/>
      <c r="PX179" s="12"/>
      <c r="PY179" s="12"/>
      <c r="PZ179" s="12"/>
      <c r="QA179" s="12"/>
      <c r="QB179" s="12"/>
      <c r="QC179" s="12"/>
      <c r="QD179" s="12"/>
      <c r="QE179" s="12"/>
      <c r="QF179" s="12"/>
      <c r="QG179" s="12"/>
      <c r="QH179" s="12"/>
      <c r="QI179" s="12"/>
      <c r="QJ179" s="12"/>
      <c r="QK179" s="12"/>
      <c r="QL179" s="12"/>
      <c r="QM179" s="12"/>
      <c r="QN179" s="12"/>
      <c r="QO179" s="12"/>
      <c r="QP179" s="12"/>
      <c r="QQ179" s="12"/>
      <c r="QR179" s="12"/>
      <c r="QS179" s="12"/>
      <c r="QT179" s="12"/>
      <c r="QU179" s="12"/>
      <c r="QV179" s="12"/>
      <c r="QW179" s="12"/>
      <c r="QX179" s="12"/>
      <c r="QY179" s="12"/>
      <c r="QZ179" s="12"/>
      <c r="RA179" s="12"/>
      <c r="RB179" s="12"/>
      <c r="RC179" s="12"/>
      <c r="RD179" s="12"/>
      <c r="RE179" s="12"/>
      <c r="RF179" s="12"/>
      <c r="RG179" s="12"/>
      <c r="RH179" s="12"/>
      <c r="RI179" s="12"/>
      <c r="RJ179" s="12"/>
      <c r="RK179" s="12"/>
      <c r="RL179" s="12"/>
      <c r="RM179" s="12"/>
      <c r="RN179" s="12"/>
      <c r="RO179" s="12"/>
      <c r="RP179" s="12"/>
      <c r="RQ179" s="12"/>
      <c r="RR179" s="12"/>
      <c r="RS179" s="12"/>
      <c r="RT179" s="12"/>
      <c r="RU179" s="12"/>
      <c r="RV179" s="12"/>
      <c r="RW179" s="12"/>
      <c r="RX179" s="12"/>
      <c r="RY179" s="12"/>
      <c r="RZ179" s="12"/>
      <c r="SA179" s="12"/>
      <c r="SB179" s="12"/>
      <c r="SC179" s="12"/>
      <c r="SD179" s="12"/>
      <c r="SE179" s="12"/>
      <c r="SF179" s="12"/>
      <c r="SG179" s="12"/>
      <c r="SH179" s="11"/>
      <c r="SI179" s="11"/>
      <c r="SJ179" s="11"/>
      <c r="SK179" s="11"/>
      <c r="SL179" s="11"/>
      <c r="SM179" s="11"/>
      <c r="SN179" s="11"/>
      <c r="SO179" s="11"/>
      <c r="SP179" s="11"/>
      <c r="SQ179" s="11"/>
      <c r="SR179" s="11"/>
      <c r="SS179" s="11"/>
      <c r="ST179" s="11"/>
      <c r="SU179" s="11"/>
      <c r="SV179" s="11"/>
      <c r="SW179" s="11"/>
      <c r="SX179" s="11"/>
      <c r="SY179" s="11"/>
      <c r="SZ179" s="11"/>
      <c r="TA179" s="11"/>
      <c r="TB179" s="11"/>
      <c r="TC179" s="11"/>
      <c r="TD179" s="11"/>
      <c r="TE179" s="11"/>
      <c r="TF179" s="11"/>
      <c r="TG179" s="11"/>
      <c r="TH179" s="11"/>
      <c r="TI179" s="11"/>
      <c r="TJ179" s="11"/>
      <c r="TK179" s="11"/>
      <c r="TL179" s="11"/>
    </row>
    <row r="180" spans="1:532" x14ac:dyDescent="0.2">
      <c r="A180" s="10" t="s">
        <v>179</v>
      </c>
      <c r="B180" s="12">
        <v>12.76</v>
      </c>
      <c r="C180" s="11">
        <v>0</v>
      </c>
      <c r="D180" s="11">
        <v>2.2175643130758758</v>
      </c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/>
      <c r="ET180" s="12"/>
      <c r="EU180" s="12"/>
      <c r="EV180" s="12"/>
      <c r="EW180" s="12"/>
      <c r="EX180" s="12"/>
      <c r="EY180" s="12"/>
      <c r="EZ180" s="12"/>
      <c r="FA180" s="12"/>
      <c r="FB180" s="12"/>
      <c r="FC180" s="12"/>
      <c r="FD180" s="12"/>
      <c r="FE180" s="12"/>
      <c r="FF180" s="12"/>
      <c r="FG180" s="12"/>
      <c r="FH180" s="12"/>
      <c r="FI180" s="12"/>
      <c r="FJ180" s="12"/>
      <c r="FK180" s="12"/>
      <c r="FL180" s="12"/>
      <c r="FM180" s="12"/>
      <c r="FN180" s="12"/>
      <c r="FO180" s="12"/>
      <c r="FP180" s="12"/>
      <c r="FQ180" s="12"/>
      <c r="FR180" s="12"/>
      <c r="FS180" s="12"/>
      <c r="FT180" s="12"/>
      <c r="FU180" s="12"/>
      <c r="FV180" s="12"/>
      <c r="FW180" s="12"/>
      <c r="FX180" s="12"/>
      <c r="FY180" s="12"/>
      <c r="FZ180" s="12"/>
      <c r="GA180" s="12"/>
      <c r="GB180" s="12"/>
      <c r="GC180" s="12"/>
      <c r="GD180" s="12"/>
      <c r="GE180" s="12"/>
      <c r="GF180" s="12"/>
      <c r="GG180" s="12"/>
      <c r="GH180" s="12"/>
      <c r="GI180" s="12"/>
      <c r="GJ180" s="12"/>
      <c r="GK180" s="12"/>
      <c r="GL180" s="12"/>
      <c r="GM180" s="12"/>
      <c r="GN180" s="12"/>
      <c r="GO180" s="12"/>
      <c r="GP180" s="12"/>
      <c r="GQ180" s="12"/>
      <c r="GR180" s="12"/>
      <c r="GS180" s="12"/>
      <c r="GT180" s="12"/>
      <c r="GU180" s="12"/>
      <c r="GV180" s="12"/>
      <c r="GW180" s="12"/>
      <c r="GX180" s="12"/>
      <c r="GY180" s="12"/>
      <c r="GZ180" s="12"/>
      <c r="HA180" s="12"/>
      <c r="HB180" s="12"/>
      <c r="HC180" s="12"/>
      <c r="HD180" s="12"/>
      <c r="HE180" s="12"/>
      <c r="HF180" s="12"/>
      <c r="HG180" s="12"/>
      <c r="HH180" s="12"/>
      <c r="HI180" s="12"/>
      <c r="HJ180" s="12"/>
      <c r="HK180" s="12"/>
      <c r="HL180" s="12"/>
      <c r="HM180" s="12"/>
      <c r="HN180" s="12"/>
      <c r="HO180" s="12"/>
      <c r="HP180" s="12"/>
      <c r="HQ180" s="12"/>
      <c r="HR180" s="12"/>
      <c r="HS180" s="12"/>
      <c r="HT180" s="12"/>
      <c r="HU180" s="12"/>
      <c r="HV180" s="12"/>
      <c r="HW180" s="12"/>
      <c r="HX180" s="12"/>
      <c r="HY180" s="12"/>
      <c r="HZ180" s="12"/>
      <c r="IA180" s="12"/>
      <c r="IB180" s="12"/>
      <c r="IC180" s="12"/>
      <c r="ID180" s="12"/>
      <c r="IE180" s="12"/>
      <c r="IF180" s="12"/>
      <c r="IG180" s="12"/>
      <c r="IH180" s="12"/>
      <c r="II180" s="12"/>
      <c r="IJ180" s="12"/>
      <c r="IK180" s="12"/>
      <c r="IL180" s="12"/>
      <c r="IM180" s="12"/>
      <c r="IN180" s="12"/>
      <c r="IO180" s="12"/>
      <c r="IP180" s="12"/>
      <c r="IQ180" s="12"/>
      <c r="IR180" s="12"/>
      <c r="IS180" s="12"/>
      <c r="IT180" s="12"/>
      <c r="IU180" s="12"/>
      <c r="IV180" s="12"/>
      <c r="IW180" s="12"/>
      <c r="IX180" s="12"/>
      <c r="IY180" s="12"/>
      <c r="IZ180" s="12"/>
      <c r="JA180" s="12"/>
      <c r="JB180" s="12"/>
      <c r="JC180" s="12"/>
      <c r="JD180" s="12"/>
      <c r="JE180" s="12"/>
      <c r="JF180" s="12"/>
      <c r="JG180" s="12"/>
      <c r="JH180" s="12"/>
      <c r="JI180" s="12"/>
      <c r="JJ180" s="12"/>
      <c r="JK180" s="12"/>
      <c r="JL180" s="12"/>
      <c r="JM180" s="12"/>
      <c r="JN180" s="12"/>
      <c r="JO180" s="12"/>
      <c r="JP180" s="12"/>
      <c r="JQ180" s="12"/>
      <c r="JR180" s="12"/>
      <c r="JS180" s="12"/>
      <c r="JT180" s="12"/>
      <c r="JU180" s="12"/>
      <c r="JV180" s="12"/>
      <c r="JW180" s="12"/>
      <c r="JX180" s="12"/>
      <c r="JY180" s="12"/>
      <c r="JZ180" s="12"/>
      <c r="KA180" s="12"/>
      <c r="KB180" s="12"/>
      <c r="KC180" s="12"/>
      <c r="KD180" s="12"/>
      <c r="KE180" s="12"/>
      <c r="KF180" s="12"/>
      <c r="KG180" s="12"/>
      <c r="KH180" s="12"/>
      <c r="KI180" s="12"/>
      <c r="KJ180" s="12"/>
      <c r="KK180" s="12"/>
      <c r="KL180" s="12"/>
      <c r="KM180" s="12"/>
      <c r="KN180" s="12"/>
      <c r="KO180" s="12"/>
      <c r="KP180" s="12"/>
      <c r="KQ180" s="12"/>
      <c r="KR180" s="12"/>
      <c r="KS180" s="12"/>
      <c r="KT180" s="12"/>
      <c r="KU180" s="12"/>
      <c r="KV180" s="12"/>
      <c r="KW180" s="12"/>
      <c r="KX180" s="12"/>
      <c r="KY180" s="12"/>
      <c r="KZ180" s="12"/>
      <c r="LA180" s="12"/>
      <c r="LB180" s="12"/>
      <c r="LC180" s="12"/>
      <c r="LD180" s="12"/>
      <c r="LE180" s="12"/>
      <c r="LF180" s="12"/>
      <c r="LG180" s="12"/>
      <c r="LH180" s="12"/>
      <c r="LI180" s="12"/>
      <c r="LJ180" s="12"/>
      <c r="LK180" s="12"/>
      <c r="LL180" s="12"/>
      <c r="LM180" s="12"/>
      <c r="LN180" s="12"/>
      <c r="LO180" s="12"/>
      <c r="LP180" s="12"/>
      <c r="LQ180" s="12"/>
      <c r="LR180" s="12"/>
      <c r="LS180" s="12"/>
      <c r="LT180" s="12"/>
      <c r="LU180" s="12"/>
      <c r="LV180" s="12"/>
      <c r="LW180" s="12"/>
      <c r="LX180" s="12"/>
      <c r="LY180" s="12"/>
      <c r="LZ180" s="12"/>
      <c r="MA180" s="12"/>
      <c r="MB180" s="12"/>
      <c r="MC180" s="12"/>
      <c r="MD180" s="12"/>
      <c r="ME180" s="12"/>
      <c r="MF180" s="12"/>
      <c r="MG180" s="12"/>
      <c r="MH180" s="12"/>
      <c r="MI180" s="12"/>
      <c r="MJ180" s="12"/>
      <c r="MK180" s="12"/>
      <c r="ML180" s="12"/>
      <c r="MM180" s="12"/>
      <c r="MN180" s="12"/>
      <c r="MO180" s="12"/>
      <c r="MP180" s="12"/>
      <c r="MQ180" s="12"/>
      <c r="MR180" s="12"/>
      <c r="MS180" s="12"/>
      <c r="MT180" s="12"/>
      <c r="MU180" s="12"/>
      <c r="MV180" s="12"/>
      <c r="MW180" s="12"/>
      <c r="MX180" s="12"/>
      <c r="MY180" s="12"/>
      <c r="MZ180" s="12"/>
      <c r="NA180" s="12"/>
      <c r="NB180" s="12"/>
      <c r="NC180" s="12"/>
      <c r="ND180" s="12"/>
      <c r="NE180" s="12"/>
      <c r="NF180" s="12"/>
      <c r="NG180" s="12"/>
      <c r="NH180" s="12"/>
      <c r="NI180" s="12"/>
      <c r="NJ180" s="12"/>
      <c r="NK180" s="12"/>
      <c r="NL180" s="12"/>
      <c r="NM180" s="12"/>
      <c r="NN180" s="12"/>
      <c r="NO180" s="12"/>
      <c r="NP180" s="12"/>
      <c r="NQ180" s="12"/>
      <c r="NR180" s="12"/>
      <c r="NS180" s="12"/>
      <c r="NT180" s="12"/>
      <c r="NU180" s="12"/>
      <c r="NV180" s="12"/>
      <c r="NW180" s="12"/>
      <c r="NX180" s="12"/>
      <c r="NY180" s="12"/>
      <c r="NZ180" s="12"/>
      <c r="OA180" s="12"/>
      <c r="OB180" s="12"/>
      <c r="OC180" s="12"/>
      <c r="OD180" s="12"/>
      <c r="OE180" s="12"/>
      <c r="OF180" s="12"/>
      <c r="OG180" s="12"/>
      <c r="OH180" s="12"/>
      <c r="OI180" s="12"/>
      <c r="OJ180" s="12"/>
      <c r="OK180" s="12"/>
      <c r="OL180" s="12"/>
      <c r="OM180" s="12"/>
      <c r="ON180" s="12"/>
      <c r="OO180" s="12"/>
      <c r="OP180" s="12"/>
      <c r="OQ180" s="12"/>
      <c r="OR180" s="12"/>
      <c r="OS180" s="12"/>
      <c r="OT180" s="12"/>
      <c r="OU180" s="12"/>
      <c r="OV180" s="12"/>
      <c r="OW180" s="12"/>
      <c r="OX180" s="12"/>
      <c r="OY180" s="12"/>
      <c r="OZ180" s="12"/>
      <c r="PA180" s="12"/>
      <c r="PB180" s="12"/>
      <c r="PC180" s="12"/>
      <c r="PD180" s="12"/>
      <c r="PE180" s="12"/>
      <c r="PF180" s="12"/>
      <c r="PG180" s="12"/>
      <c r="PH180" s="12"/>
      <c r="PI180" s="12"/>
      <c r="PJ180" s="12"/>
      <c r="PK180" s="12"/>
      <c r="PL180" s="12"/>
      <c r="PM180" s="12"/>
      <c r="PN180" s="12"/>
      <c r="PO180" s="12"/>
      <c r="PP180" s="12"/>
      <c r="PQ180" s="12"/>
      <c r="PR180" s="12"/>
      <c r="PS180" s="12"/>
      <c r="PT180" s="12"/>
      <c r="PU180" s="12"/>
      <c r="PV180" s="12"/>
      <c r="PW180" s="12"/>
      <c r="PX180" s="12"/>
      <c r="PY180" s="12"/>
      <c r="PZ180" s="12"/>
      <c r="QA180" s="12"/>
      <c r="QB180" s="12"/>
      <c r="QC180" s="12"/>
      <c r="QD180" s="12"/>
      <c r="QE180" s="12"/>
      <c r="QF180" s="12"/>
      <c r="QG180" s="12"/>
      <c r="QH180" s="12"/>
      <c r="QI180" s="12"/>
      <c r="QJ180" s="12"/>
      <c r="QK180" s="12"/>
      <c r="QL180" s="12"/>
      <c r="QM180" s="12"/>
      <c r="QN180" s="12"/>
      <c r="QO180" s="12"/>
      <c r="QP180" s="12"/>
      <c r="QQ180" s="12"/>
      <c r="QR180" s="12"/>
      <c r="QS180" s="12"/>
      <c r="QT180" s="12"/>
      <c r="QU180" s="12"/>
      <c r="QV180" s="12"/>
      <c r="QW180" s="12"/>
      <c r="QX180" s="12"/>
      <c r="QY180" s="12"/>
      <c r="QZ180" s="12"/>
      <c r="RA180" s="12"/>
      <c r="RB180" s="12"/>
      <c r="RC180" s="12"/>
      <c r="RD180" s="12"/>
      <c r="RE180" s="12"/>
      <c r="RF180" s="12"/>
      <c r="RG180" s="12"/>
      <c r="RH180" s="12"/>
      <c r="RI180" s="12"/>
      <c r="RJ180" s="12"/>
      <c r="RK180" s="12"/>
      <c r="RL180" s="12"/>
      <c r="RM180" s="12"/>
      <c r="RN180" s="12"/>
      <c r="RO180" s="12"/>
      <c r="RP180" s="12"/>
      <c r="RQ180" s="12"/>
      <c r="RR180" s="12"/>
      <c r="RS180" s="12"/>
      <c r="RT180" s="12"/>
      <c r="RU180" s="12"/>
      <c r="RV180" s="12"/>
      <c r="RW180" s="12"/>
      <c r="RX180" s="12"/>
      <c r="RY180" s="12"/>
      <c r="RZ180" s="12"/>
      <c r="SA180" s="12"/>
      <c r="SB180" s="12"/>
      <c r="SC180" s="12"/>
      <c r="SD180" s="12"/>
      <c r="SE180" s="12"/>
      <c r="SF180" s="12"/>
      <c r="SG180" s="12"/>
      <c r="SH180" s="11"/>
      <c r="SI180" s="11"/>
      <c r="SJ180" s="11"/>
      <c r="SK180" s="11"/>
      <c r="SL180" s="11"/>
      <c r="SM180" s="11"/>
      <c r="SN180" s="11"/>
      <c r="SO180" s="11"/>
      <c r="SP180" s="11"/>
      <c r="SQ180" s="11"/>
      <c r="SR180" s="11"/>
      <c r="SS180" s="11"/>
      <c r="ST180" s="11"/>
      <c r="SU180" s="11"/>
      <c r="SV180" s="11"/>
      <c r="SW180" s="11"/>
      <c r="SX180" s="11"/>
      <c r="SY180" s="11"/>
      <c r="SZ180" s="11"/>
      <c r="TA180" s="11"/>
      <c r="TB180" s="11"/>
      <c r="TC180" s="11"/>
      <c r="TD180" s="11"/>
      <c r="TE180" s="11"/>
      <c r="TF180" s="11"/>
      <c r="TG180" s="11"/>
      <c r="TH180" s="11"/>
      <c r="TI180" s="11"/>
      <c r="TJ180" s="11"/>
      <c r="TK180" s="11"/>
      <c r="TL180" s="11"/>
    </row>
    <row r="181" spans="1:532" x14ac:dyDescent="0.2">
      <c r="A181" s="10" t="s">
        <v>180</v>
      </c>
      <c r="B181" s="12">
        <v>15.56</v>
      </c>
      <c r="C181" s="11">
        <v>0.55439107826896894</v>
      </c>
      <c r="D181" s="11">
        <v>0</v>
      </c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  <c r="CO181" s="12"/>
      <c r="CP181" s="12"/>
      <c r="CQ181" s="12"/>
      <c r="CR181" s="12"/>
      <c r="CS181" s="12"/>
      <c r="CT181" s="12"/>
      <c r="CU181" s="12"/>
      <c r="CV181" s="12"/>
      <c r="CW181" s="12"/>
      <c r="CX181" s="12"/>
      <c r="CY181" s="12"/>
      <c r="CZ181" s="12"/>
      <c r="DA181" s="12"/>
      <c r="DB181" s="12"/>
      <c r="DC181" s="12"/>
      <c r="DD181" s="12"/>
      <c r="DE181" s="12"/>
      <c r="DF181" s="12"/>
      <c r="DG181" s="12"/>
      <c r="DH181" s="12"/>
      <c r="DI181" s="12"/>
      <c r="DJ181" s="12"/>
      <c r="DK181" s="12"/>
      <c r="DL181" s="12"/>
      <c r="DM181" s="12"/>
      <c r="DN181" s="12"/>
      <c r="DO181" s="12"/>
      <c r="DP181" s="12"/>
      <c r="DQ181" s="12"/>
      <c r="DR181" s="12"/>
      <c r="DS181" s="12"/>
      <c r="DT181" s="12"/>
      <c r="DU181" s="12"/>
      <c r="DV181" s="12"/>
      <c r="DW181" s="12"/>
      <c r="DX181" s="12"/>
      <c r="DY181" s="12"/>
      <c r="DZ181" s="12"/>
      <c r="EA181" s="12"/>
      <c r="EB181" s="12"/>
      <c r="EC181" s="12"/>
      <c r="ED181" s="12"/>
      <c r="EE181" s="12"/>
      <c r="EF181" s="12"/>
      <c r="EG181" s="12"/>
      <c r="EH181" s="12"/>
      <c r="EI181" s="12"/>
      <c r="EJ181" s="12"/>
      <c r="EK181" s="12"/>
      <c r="EL181" s="12"/>
      <c r="EM181" s="12"/>
      <c r="EN181" s="12"/>
      <c r="EO181" s="12"/>
      <c r="EP181" s="12"/>
      <c r="EQ181" s="12"/>
      <c r="ER181" s="12"/>
      <c r="ES181" s="12"/>
      <c r="ET181" s="12"/>
      <c r="EU181" s="12"/>
      <c r="EV181" s="12"/>
      <c r="EW181" s="12"/>
      <c r="EX181" s="12"/>
      <c r="EY181" s="12"/>
      <c r="EZ181" s="12"/>
      <c r="FA181" s="12"/>
      <c r="FB181" s="12"/>
      <c r="FC181" s="12"/>
      <c r="FD181" s="12"/>
      <c r="FE181" s="12"/>
      <c r="FF181" s="12"/>
      <c r="FG181" s="12"/>
      <c r="FH181" s="12"/>
      <c r="FI181" s="12"/>
      <c r="FJ181" s="12"/>
      <c r="FK181" s="12"/>
      <c r="FL181" s="12"/>
      <c r="FM181" s="12"/>
      <c r="FN181" s="12"/>
      <c r="FO181" s="12"/>
      <c r="FP181" s="12"/>
      <c r="FQ181" s="12"/>
      <c r="FR181" s="12"/>
      <c r="FS181" s="12"/>
      <c r="FT181" s="12"/>
      <c r="FU181" s="12"/>
      <c r="FV181" s="12"/>
      <c r="FW181" s="12"/>
      <c r="FX181" s="12"/>
      <c r="FY181" s="12"/>
      <c r="FZ181" s="12"/>
      <c r="GA181" s="12"/>
      <c r="GB181" s="12"/>
      <c r="GC181" s="12"/>
      <c r="GD181" s="12"/>
      <c r="GE181" s="12"/>
      <c r="GF181" s="12"/>
      <c r="GG181" s="12"/>
      <c r="GH181" s="12"/>
      <c r="GI181" s="12"/>
      <c r="GJ181" s="12"/>
      <c r="GK181" s="12"/>
      <c r="GL181" s="12"/>
      <c r="GM181" s="12"/>
      <c r="GN181" s="12"/>
      <c r="GO181" s="12"/>
      <c r="GP181" s="12"/>
      <c r="GQ181" s="12"/>
      <c r="GR181" s="12"/>
      <c r="GS181" s="12"/>
      <c r="GT181" s="12"/>
      <c r="GU181" s="12"/>
      <c r="GV181" s="12"/>
      <c r="GW181" s="12"/>
      <c r="GX181" s="12"/>
      <c r="GY181" s="12"/>
      <c r="GZ181" s="12"/>
      <c r="HA181" s="12"/>
      <c r="HB181" s="12"/>
      <c r="HC181" s="12"/>
      <c r="HD181" s="12"/>
      <c r="HE181" s="12"/>
      <c r="HF181" s="12"/>
      <c r="HG181" s="12"/>
      <c r="HH181" s="12"/>
      <c r="HI181" s="12"/>
      <c r="HJ181" s="12"/>
      <c r="HK181" s="12"/>
      <c r="HL181" s="12"/>
      <c r="HM181" s="12"/>
      <c r="HN181" s="12"/>
      <c r="HO181" s="12"/>
      <c r="HP181" s="12"/>
      <c r="HQ181" s="12"/>
      <c r="HR181" s="12"/>
      <c r="HS181" s="12"/>
      <c r="HT181" s="12"/>
      <c r="HU181" s="12"/>
      <c r="HV181" s="12"/>
      <c r="HW181" s="12"/>
      <c r="HX181" s="12"/>
      <c r="HY181" s="12"/>
      <c r="HZ181" s="12"/>
      <c r="IA181" s="12"/>
      <c r="IB181" s="12"/>
      <c r="IC181" s="12"/>
      <c r="ID181" s="12"/>
      <c r="IE181" s="12"/>
      <c r="IF181" s="12"/>
      <c r="IG181" s="12"/>
      <c r="IH181" s="12"/>
      <c r="II181" s="12"/>
      <c r="IJ181" s="12"/>
      <c r="IK181" s="12"/>
      <c r="IL181" s="12"/>
      <c r="IM181" s="12"/>
      <c r="IN181" s="12"/>
      <c r="IO181" s="12"/>
      <c r="IP181" s="12"/>
      <c r="IQ181" s="12"/>
      <c r="IR181" s="12"/>
      <c r="IS181" s="12"/>
      <c r="IT181" s="12"/>
      <c r="IU181" s="12"/>
      <c r="IV181" s="12"/>
      <c r="IW181" s="12"/>
      <c r="IX181" s="12"/>
      <c r="IY181" s="12"/>
      <c r="IZ181" s="12"/>
      <c r="JA181" s="12"/>
      <c r="JB181" s="12"/>
      <c r="JC181" s="12"/>
      <c r="JD181" s="12"/>
      <c r="JE181" s="12"/>
      <c r="JF181" s="12"/>
      <c r="JG181" s="12"/>
      <c r="JH181" s="12"/>
      <c r="JI181" s="12"/>
      <c r="JJ181" s="12"/>
      <c r="JK181" s="12"/>
      <c r="JL181" s="12"/>
      <c r="JM181" s="12"/>
      <c r="JN181" s="12"/>
      <c r="JO181" s="12"/>
      <c r="JP181" s="12"/>
      <c r="JQ181" s="12"/>
      <c r="JR181" s="12"/>
      <c r="JS181" s="12"/>
      <c r="JT181" s="12"/>
      <c r="JU181" s="12"/>
      <c r="JV181" s="12"/>
      <c r="JW181" s="12"/>
      <c r="JX181" s="12"/>
      <c r="JY181" s="12"/>
      <c r="JZ181" s="12"/>
      <c r="KA181" s="12"/>
      <c r="KB181" s="12"/>
      <c r="KC181" s="12"/>
      <c r="KD181" s="12"/>
      <c r="KE181" s="12"/>
      <c r="KF181" s="12"/>
      <c r="KG181" s="12"/>
      <c r="KH181" s="12"/>
      <c r="KI181" s="12"/>
      <c r="KJ181" s="12"/>
      <c r="KK181" s="12"/>
      <c r="KL181" s="12"/>
      <c r="KM181" s="12"/>
      <c r="KN181" s="12"/>
      <c r="KO181" s="12"/>
      <c r="KP181" s="12"/>
      <c r="KQ181" s="12"/>
      <c r="KR181" s="12"/>
      <c r="KS181" s="12"/>
      <c r="KT181" s="12"/>
      <c r="KU181" s="12"/>
      <c r="KV181" s="12"/>
      <c r="KW181" s="12"/>
      <c r="KX181" s="12"/>
      <c r="KY181" s="12"/>
      <c r="KZ181" s="12"/>
      <c r="LA181" s="12"/>
      <c r="LB181" s="12"/>
      <c r="LC181" s="12"/>
      <c r="LD181" s="12"/>
      <c r="LE181" s="12"/>
      <c r="LF181" s="12"/>
      <c r="LG181" s="12"/>
      <c r="LH181" s="12"/>
      <c r="LI181" s="12"/>
      <c r="LJ181" s="12"/>
      <c r="LK181" s="12"/>
      <c r="LL181" s="12"/>
      <c r="LM181" s="12"/>
      <c r="LN181" s="12"/>
      <c r="LO181" s="12"/>
      <c r="LP181" s="12"/>
      <c r="LQ181" s="12"/>
      <c r="LR181" s="12"/>
      <c r="LS181" s="12"/>
      <c r="LT181" s="12"/>
      <c r="LU181" s="12"/>
      <c r="LV181" s="12"/>
      <c r="LW181" s="12"/>
      <c r="LX181" s="12"/>
      <c r="LY181" s="12"/>
      <c r="LZ181" s="12"/>
      <c r="MA181" s="12"/>
      <c r="MB181" s="12"/>
      <c r="MC181" s="12"/>
      <c r="MD181" s="12"/>
      <c r="ME181" s="12"/>
      <c r="MF181" s="12"/>
      <c r="MG181" s="12"/>
      <c r="MH181" s="12"/>
      <c r="MI181" s="12"/>
      <c r="MJ181" s="12"/>
      <c r="MK181" s="12"/>
      <c r="ML181" s="12"/>
      <c r="MM181" s="12"/>
      <c r="MN181" s="12"/>
      <c r="MO181" s="12"/>
      <c r="MP181" s="12"/>
      <c r="MQ181" s="12"/>
      <c r="MR181" s="12"/>
      <c r="MS181" s="12"/>
      <c r="MT181" s="12"/>
      <c r="MU181" s="12"/>
      <c r="MV181" s="12"/>
      <c r="MW181" s="12"/>
      <c r="MX181" s="12"/>
      <c r="MY181" s="12"/>
      <c r="MZ181" s="12"/>
      <c r="NA181" s="12"/>
      <c r="NB181" s="12"/>
      <c r="NC181" s="12"/>
      <c r="ND181" s="12"/>
      <c r="NE181" s="12"/>
      <c r="NF181" s="12"/>
      <c r="NG181" s="12"/>
      <c r="NH181" s="12"/>
      <c r="NI181" s="12"/>
      <c r="NJ181" s="12"/>
      <c r="NK181" s="12"/>
      <c r="NL181" s="12"/>
      <c r="NM181" s="12"/>
      <c r="NN181" s="12"/>
      <c r="NO181" s="12"/>
      <c r="NP181" s="12"/>
      <c r="NQ181" s="12"/>
      <c r="NR181" s="12"/>
      <c r="NS181" s="12"/>
      <c r="NT181" s="12"/>
      <c r="NU181" s="12"/>
      <c r="NV181" s="12"/>
      <c r="NW181" s="12"/>
      <c r="NX181" s="12"/>
      <c r="NY181" s="12"/>
      <c r="NZ181" s="12"/>
      <c r="OA181" s="12"/>
      <c r="OB181" s="12"/>
      <c r="OC181" s="12"/>
      <c r="OD181" s="12"/>
      <c r="OE181" s="12"/>
      <c r="OF181" s="12"/>
      <c r="OG181" s="12"/>
      <c r="OH181" s="12"/>
      <c r="OI181" s="12"/>
      <c r="OJ181" s="12"/>
      <c r="OK181" s="12"/>
      <c r="OL181" s="12"/>
      <c r="OM181" s="12"/>
      <c r="ON181" s="12"/>
      <c r="OO181" s="12"/>
      <c r="OP181" s="12"/>
      <c r="OQ181" s="12"/>
      <c r="OR181" s="12"/>
      <c r="OS181" s="12"/>
      <c r="OT181" s="12"/>
      <c r="OU181" s="12"/>
      <c r="OV181" s="12"/>
      <c r="OW181" s="12"/>
      <c r="OX181" s="12"/>
      <c r="OY181" s="12"/>
      <c r="OZ181" s="12"/>
      <c r="PA181" s="12"/>
      <c r="PB181" s="12"/>
      <c r="PC181" s="12"/>
      <c r="PD181" s="12"/>
      <c r="PE181" s="12"/>
      <c r="PF181" s="12"/>
      <c r="PG181" s="12"/>
      <c r="PH181" s="12"/>
      <c r="PI181" s="12"/>
      <c r="PJ181" s="12"/>
      <c r="PK181" s="12"/>
      <c r="PL181" s="12"/>
      <c r="PM181" s="12"/>
      <c r="PN181" s="12"/>
      <c r="PO181" s="12"/>
      <c r="PP181" s="12"/>
      <c r="PQ181" s="12"/>
      <c r="PR181" s="12"/>
      <c r="PS181" s="12"/>
      <c r="PT181" s="12"/>
      <c r="PU181" s="12"/>
      <c r="PV181" s="12"/>
      <c r="PW181" s="12"/>
      <c r="PX181" s="12"/>
      <c r="PY181" s="12"/>
      <c r="PZ181" s="12"/>
      <c r="QA181" s="12"/>
      <c r="QB181" s="12"/>
      <c r="QC181" s="12"/>
      <c r="QD181" s="12"/>
      <c r="QE181" s="12"/>
      <c r="QF181" s="12"/>
      <c r="QG181" s="12"/>
      <c r="QH181" s="12"/>
      <c r="QI181" s="12"/>
      <c r="QJ181" s="12"/>
      <c r="QK181" s="12"/>
      <c r="QL181" s="12"/>
      <c r="QM181" s="12"/>
      <c r="QN181" s="12"/>
      <c r="QO181" s="12"/>
      <c r="QP181" s="12"/>
      <c r="QQ181" s="12"/>
      <c r="QR181" s="12"/>
      <c r="QS181" s="12"/>
      <c r="QT181" s="12"/>
      <c r="QU181" s="12"/>
      <c r="QV181" s="12"/>
      <c r="QW181" s="12"/>
      <c r="QX181" s="12"/>
      <c r="QY181" s="12"/>
      <c r="QZ181" s="12"/>
      <c r="RA181" s="12"/>
      <c r="RB181" s="12"/>
      <c r="RC181" s="12"/>
      <c r="RD181" s="12"/>
      <c r="RE181" s="12"/>
      <c r="RF181" s="12"/>
      <c r="RG181" s="12"/>
      <c r="RH181" s="12"/>
      <c r="RI181" s="12"/>
      <c r="RJ181" s="12"/>
      <c r="RK181" s="12"/>
      <c r="RL181" s="12"/>
      <c r="RM181" s="12"/>
      <c r="RN181" s="12"/>
      <c r="RO181" s="12"/>
      <c r="RP181" s="12"/>
      <c r="RQ181" s="12"/>
      <c r="RR181" s="12"/>
      <c r="RS181" s="12"/>
      <c r="RT181" s="12"/>
      <c r="RU181" s="12"/>
      <c r="RV181" s="12"/>
      <c r="RW181" s="12"/>
      <c r="RX181" s="12"/>
      <c r="RY181" s="12"/>
      <c r="RZ181" s="12"/>
      <c r="SA181" s="12"/>
      <c r="SB181" s="12"/>
      <c r="SC181" s="12"/>
      <c r="SD181" s="12"/>
      <c r="SE181" s="12"/>
      <c r="SF181" s="12"/>
      <c r="SG181" s="12"/>
      <c r="SH181" s="11"/>
      <c r="SI181" s="11"/>
      <c r="SJ181" s="11"/>
      <c r="SK181" s="11"/>
      <c r="SL181" s="11"/>
      <c r="SM181" s="11"/>
      <c r="SN181" s="11"/>
      <c r="SO181" s="11"/>
      <c r="SP181" s="11"/>
      <c r="SQ181" s="11"/>
      <c r="SR181" s="11"/>
      <c r="SS181" s="11"/>
      <c r="ST181" s="11"/>
      <c r="SU181" s="11"/>
      <c r="SV181" s="11"/>
      <c r="SW181" s="11"/>
      <c r="SX181" s="11"/>
      <c r="SY181" s="11"/>
      <c r="SZ181" s="11"/>
      <c r="TA181" s="11"/>
      <c r="TB181" s="11"/>
      <c r="TC181" s="11"/>
      <c r="TD181" s="11"/>
      <c r="TE181" s="11"/>
      <c r="TF181" s="11"/>
      <c r="TG181" s="11"/>
      <c r="TH181" s="11"/>
      <c r="TI181" s="11"/>
      <c r="TJ181" s="11"/>
      <c r="TK181" s="11"/>
      <c r="TL181" s="11"/>
    </row>
    <row r="182" spans="1:532" x14ac:dyDescent="0.2">
      <c r="A182" s="10" t="s">
        <v>181</v>
      </c>
      <c r="B182" s="12">
        <v>14.09</v>
      </c>
      <c r="C182" s="11">
        <v>0</v>
      </c>
      <c r="D182" s="11">
        <v>0.90088550218707442</v>
      </c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  <c r="CO182" s="12"/>
      <c r="CP182" s="12"/>
      <c r="CQ182" s="12"/>
      <c r="CR182" s="12"/>
      <c r="CS182" s="12"/>
      <c r="CT182" s="12"/>
      <c r="CU182" s="12"/>
      <c r="CV182" s="12"/>
      <c r="CW182" s="12"/>
      <c r="CX182" s="12"/>
      <c r="CY182" s="12"/>
      <c r="CZ182" s="12"/>
      <c r="DA182" s="12"/>
      <c r="DB182" s="12"/>
      <c r="DC182" s="12"/>
      <c r="DD182" s="12"/>
      <c r="DE182" s="12"/>
      <c r="DF182" s="12"/>
      <c r="DG182" s="12"/>
      <c r="DH182" s="12"/>
      <c r="DI182" s="12"/>
      <c r="DJ182" s="12"/>
      <c r="DK182" s="12"/>
      <c r="DL182" s="12"/>
      <c r="DM182" s="12"/>
      <c r="DN182" s="12"/>
      <c r="DO182" s="12"/>
      <c r="DP182" s="12"/>
      <c r="DQ182" s="12"/>
      <c r="DR182" s="12"/>
      <c r="DS182" s="12"/>
      <c r="DT182" s="12"/>
      <c r="DU182" s="12"/>
      <c r="DV182" s="12"/>
      <c r="DW182" s="12"/>
      <c r="DX182" s="12"/>
      <c r="DY182" s="12"/>
      <c r="DZ182" s="12"/>
      <c r="EA182" s="12"/>
      <c r="EB182" s="12"/>
      <c r="EC182" s="12"/>
      <c r="ED182" s="12"/>
      <c r="EE182" s="12"/>
      <c r="EF182" s="12"/>
      <c r="EG182" s="12"/>
      <c r="EH182" s="12"/>
      <c r="EI182" s="12"/>
      <c r="EJ182" s="12"/>
      <c r="EK182" s="12"/>
      <c r="EL182" s="12"/>
      <c r="EM182" s="12"/>
      <c r="EN182" s="12"/>
      <c r="EO182" s="12"/>
      <c r="EP182" s="12"/>
      <c r="EQ182" s="12"/>
      <c r="ER182" s="12"/>
      <c r="ES182" s="12"/>
      <c r="ET182" s="12"/>
      <c r="EU182" s="12"/>
      <c r="EV182" s="12"/>
      <c r="EW182" s="12"/>
      <c r="EX182" s="12"/>
      <c r="EY182" s="12"/>
      <c r="EZ182" s="12"/>
      <c r="FA182" s="12"/>
      <c r="FB182" s="12"/>
      <c r="FC182" s="12"/>
      <c r="FD182" s="12"/>
      <c r="FE182" s="12"/>
      <c r="FF182" s="12"/>
      <c r="FG182" s="12"/>
      <c r="FH182" s="12"/>
      <c r="FI182" s="12"/>
      <c r="FJ182" s="12"/>
      <c r="FK182" s="12"/>
      <c r="FL182" s="12"/>
      <c r="FM182" s="12"/>
      <c r="FN182" s="12"/>
      <c r="FO182" s="12"/>
      <c r="FP182" s="12"/>
      <c r="FQ182" s="12"/>
      <c r="FR182" s="12"/>
      <c r="FS182" s="12"/>
      <c r="FT182" s="12"/>
      <c r="FU182" s="12"/>
      <c r="FV182" s="12"/>
      <c r="FW182" s="12"/>
      <c r="FX182" s="12"/>
      <c r="FY182" s="12"/>
      <c r="FZ182" s="12"/>
      <c r="GA182" s="12"/>
      <c r="GB182" s="12"/>
      <c r="GC182" s="12"/>
      <c r="GD182" s="12"/>
      <c r="GE182" s="12"/>
      <c r="GF182" s="12"/>
      <c r="GG182" s="12"/>
      <c r="GH182" s="12"/>
      <c r="GI182" s="12"/>
      <c r="GJ182" s="12"/>
      <c r="GK182" s="12"/>
      <c r="GL182" s="12"/>
      <c r="GM182" s="12"/>
      <c r="GN182" s="12"/>
      <c r="GO182" s="12"/>
      <c r="GP182" s="12"/>
      <c r="GQ182" s="12"/>
      <c r="GR182" s="12"/>
      <c r="GS182" s="12"/>
      <c r="GT182" s="12"/>
      <c r="GU182" s="12"/>
      <c r="GV182" s="12"/>
      <c r="GW182" s="12"/>
      <c r="GX182" s="12"/>
      <c r="GY182" s="12"/>
      <c r="GZ182" s="12"/>
      <c r="HA182" s="12"/>
      <c r="HB182" s="12"/>
      <c r="HC182" s="12"/>
      <c r="HD182" s="12"/>
      <c r="HE182" s="12"/>
      <c r="HF182" s="12"/>
      <c r="HG182" s="12"/>
      <c r="HH182" s="12"/>
      <c r="HI182" s="12"/>
      <c r="HJ182" s="12"/>
      <c r="HK182" s="12"/>
      <c r="HL182" s="12"/>
      <c r="HM182" s="12"/>
      <c r="HN182" s="12"/>
      <c r="HO182" s="12"/>
      <c r="HP182" s="12"/>
      <c r="HQ182" s="12"/>
      <c r="HR182" s="12"/>
      <c r="HS182" s="12"/>
      <c r="HT182" s="12"/>
      <c r="HU182" s="12"/>
      <c r="HV182" s="12"/>
      <c r="HW182" s="12"/>
      <c r="HX182" s="12"/>
      <c r="HY182" s="12"/>
      <c r="HZ182" s="12"/>
      <c r="IA182" s="12"/>
      <c r="IB182" s="12"/>
      <c r="IC182" s="12"/>
      <c r="ID182" s="12"/>
      <c r="IE182" s="12"/>
      <c r="IF182" s="12"/>
      <c r="IG182" s="12"/>
      <c r="IH182" s="12"/>
      <c r="II182" s="12"/>
      <c r="IJ182" s="12"/>
      <c r="IK182" s="12"/>
      <c r="IL182" s="12"/>
      <c r="IM182" s="12"/>
      <c r="IN182" s="12"/>
      <c r="IO182" s="12"/>
      <c r="IP182" s="12"/>
      <c r="IQ182" s="12"/>
      <c r="IR182" s="12"/>
      <c r="IS182" s="12"/>
      <c r="IT182" s="12"/>
      <c r="IU182" s="12"/>
      <c r="IV182" s="12"/>
      <c r="IW182" s="12"/>
      <c r="IX182" s="12"/>
      <c r="IY182" s="12"/>
      <c r="IZ182" s="12"/>
      <c r="JA182" s="12"/>
      <c r="JB182" s="12"/>
      <c r="JC182" s="12"/>
      <c r="JD182" s="12"/>
      <c r="JE182" s="12"/>
      <c r="JF182" s="12"/>
      <c r="JG182" s="12"/>
      <c r="JH182" s="12"/>
      <c r="JI182" s="12"/>
      <c r="JJ182" s="12"/>
      <c r="JK182" s="12"/>
      <c r="JL182" s="12"/>
      <c r="JM182" s="12"/>
      <c r="JN182" s="12"/>
      <c r="JO182" s="12"/>
      <c r="JP182" s="12"/>
      <c r="JQ182" s="12"/>
      <c r="JR182" s="12"/>
      <c r="JS182" s="12"/>
      <c r="JT182" s="12"/>
      <c r="JU182" s="12"/>
      <c r="JV182" s="12"/>
      <c r="JW182" s="12"/>
      <c r="JX182" s="12"/>
      <c r="JY182" s="12"/>
      <c r="JZ182" s="12"/>
      <c r="KA182" s="12"/>
      <c r="KB182" s="12"/>
      <c r="KC182" s="12"/>
      <c r="KD182" s="12"/>
      <c r="KE182" s="12"/>
      <c r="KF182" s="12"/>
      <c r="KG182" s="12"/>
      <c r="KH182" s="12"/>
      <c r="KI182" s="12"/>
      <c r="KJ182" s="12"/>
      <c r="KK182" s="12"/>
      <c r="KL182" s="12"/>
      <c r="KM182" s="12"/>
      <c r="KN182" s="12"/>
      <c r="KO182" s="12"/>
      <c r="KP182" s="12"/>
      <c r="KQ182" s="12"/>
      <c r="KR182" s="12"/>
      <c r="KS182" s="12"/>
      <c r="KT182" s="12"/>
      <c r="KU182" s="12"/>
      <c r="KV182" s="12"/>
      <c r="KW182" s="12"/>
      <c r="KX182" s="12"/>
      <c r="KY182" s="12"/>
      <c r="KZ182" s="12"/>
      <c r="LA182" s="12"/>
      <c r="LB182" s="12"/>
      <c r="LC182" s="12"/>
      <c r="LD182" s="12"/>
      <c r="LE182" s="12"/>
      <c r="LF182" s="12"/>
      <c r="LG182" s="12"/>
      <c r="LH182" s="12"/>
      <c r="LI182" s="12"/>
      <c r="LJ182" s="12"/>
      <c r="LK182" s="12"/>
      <c r="LL182" s="12"/>
      <c r="LM182" s="12"/>
      <c r="LN182" s="12"/>
      <c r="LO182" s="12"/>
      <c r="LP182" s="12"/>
      <c r="LQ182" s="12"/>
      <c r="LR182" s="12"/>
      <c r="LS182" s="12"/>
      <c r="LT182" s="12"/>
      <c r="LU182" s="12"/>
      <c r="LV182" s="12"/>
      <c r="LW182" s="12"/>
      <c r="LX182" s="12"/>
      <c r="LY182" s="12"/>
      <c r="LZ182" s="12"/>
      <c r="MA182" s="12"/>
      <c r="MB182" s="12"/>
      <c r="MC182" s="12"/>
      <c r="MD182" s="12"/>
      <c r="ME182" s="12"/>
      <c r="MF182" s="12"/>
      <c r="MG182" s="12"/>
      <c r="MH182" s="12"/>
      <c r="MI182" s="12"/>
      <c r="MJ182" s="12"/>
      <c r="MK182" s="12"/>
      <c r="ML182" s="12"/>
      <c r="MM182" s="12"/>
      <c r="MN182" s="12"/>
      <c r="MO182" s="12"/>
      <c r="MP182" s="12"/>
      <c r="MQ182" s="12"/>
      <c r="MR182" s="12"/>
      <c r="MS182" s="12"/>
      <c r="MT182" s="12"/>
      <c r="MU182" s="12"/>
      <c r="MV182" s="12"/>
      <c r="MW182" s="12"/>
      <c r="MX182" s="12"/>
      <c r="MY182" s="12"/>
      <c r="MZ182" s="12"/>
      <c r="NA182" s="12"/>
      <c r="NB182" s="12"/>
      <c r="NC182" s="12"/>
      <c r="ND182" s="12"/>
      <c r="NE182" s="12"/>
      <c r="NF182" s="12"/>
      <c r="NG182" s="12"/>
      <c r="NH182" s="12"/>
      <c r="NI182" s="12"/>
      <c r="NJ182" s="12"/>
      <c r="NK182" s="12"/>
      <c r="NL182" s="12"/>
      <c r="NM182" s="12"/>
      <c r="NN182" s="12"/>
      <c r="NO182" s="12"/>
      <c r="NP182" s="12"/>
      <c r="NQ182" s="12"/>
      <c r="NR182" s="12"/>
      <c r="NS182" s="12"/>
      <c r="NT182" s="12"/>
      <c r="NU182" s="12"/>
      <c r="NV182" s="12"/>
      <c r="NW182" s="12"/>
      <c r="NX182" s="12"/>
      <c r="NY182" s="12"/>
      <c r="NZ182" s="12"/>
      <c r="OA182" s="12"/>
      <c r="OB182" s="12"/>
      <c r="OC182" s="12"/>
      <c r="OD182" s="12"/>
      <c r="OE182" s="12"/>
      <c r="OF182" s="12"/>
      <c r="OG182" s="12"/>
      <c r="OH182" s="12"/>
      <c r="OI182" s="12"/>
      <c r="OJ182" s="12"/>
      <c r="OK182" s="12"/>
      <c r="OL182" s="12"/>
      <c r="OM182" s="12"/>
      <c r="ON182" s="12"/>
      <c r="OO182" s="12"/>
      <c r="OP182" s="12"/>
      <c r="OQ182" s="12"/>
      <c r="OR182" s="12"/>
      <c r="OS182" s="12"/>
      <c r="OT182" s="12"/>
      <c r="OU182" s="12"/>
      <c r="OV182" s="12"/>
      <c r="OW182" s="12"/>
      <c r="OX182" s="12"/>
      <c r="OY182" s="12"/>
      <c r="OZ182" s="12"/>
      <c r="PA182" s="12"/>
      <c r="PB182" s="12"/>
      <c r="PC182" s="12"/>
      <c r="PD182" s="12"/>
      <c r="PE182" s="12"/>
      <c r="PF182" s="12"/>
      <c r="PG182" s="12"/>
      <c r="PH182" s="12"/>
      <c r="PI182" s="12"/>
      <c r="PJ182" s="12"/>
      <c r="PK182" s="12"/>
      <c r="PL182" s="12"/>
      <c r="PM182" s="12"/>
      <c r="PN182" s="12"/>
      <c r="PO182" s="12"/>
      <c r="PP182" s="12"/>
      <c r="PQ182" s="12"/>
      <c r="PR182" s="12"/>
      <c r="PS182" s="12"/>
      <c r="PT182" s="12"/>
      <c r="PU182" s="12"/>
      <c r="PV182" s="12"/>
      <c r="PW182" s="12"/>
      <c r="PX182" s="12"/>
      <c r="PY182" s="12"/>
      <c r="PZ182" s="12"/>
      <c r="QA182" s="12"/>
      <c r="QB182" s="12"/>
      <c r="QC182" s="12"/>
      <c r="QD182" s="12"/>
      <c r="QE182" s="12"/>
      <c r="QF182" s="12"/>
      <c r="QG182" s="12"/>
      <c r="QH182" s="12"/>
      <c r="QI182" s="12"/>
      <c r="QJ182" s="12"/>
      <c r="QK182" s="12"/>
      <c r="QL182" s="12"/>
      <c r="QM182" s="12"/>
      <c r="QN182" s="12"/>
      <c r="QO182" s="12"/>
      <c r="QP182" s="12"/>
      <c r="QQ182" s="12"/>
      <c r="QR182" s="12"/>
      <c r="QS182" s="12"/>
      <c r="QT182" s="12"/>
      <c r="QU182" s="12"/>
      <c r="QV182" s="12"/>
      <c r="QW182" s="12"/>
      <c r="QX182" s="12"/>
      <c r="QY182" s="12"/>
      <c r="QZ182" s="12"/>
      <c r="RA182" s="12"/>
      <c r="RB182" s="12"/>
      <c r="RC182" s="12"/>
      <c r="RD182" s="12"/>
      <c r="RE182" s="12"/>
      <c r="RF182" s="12"/>
      <c r="RG182" s="12"/>
      <c r="RH182" s="12"/>
      <c r="RI182" s="12"/>
      <c r="RJ182" s="12"/>
      <c r="RK182" s="12"/>
      <c r="RL182" s="12"/>
      <c r="RM182" s="12"/>
      <c r="RN182" s="12"/>
      <c r="RO182" s="12"/>
      <c r="RP182" s="12"/>
      <c r="RQ182" s="12"/>
      <c r="RR182" s="12"/>
      <c r="RS182" s="12"/>
      <c r="RT182" s="12"/>
      <c r="RU182" s="12"/>
      <c r="RV182" s="12"/>
      <c r="RW182" s="12"/>
      <c r="RX182" s="12"/>
      <c r="RY182" s="12"/>
      <c r="RZ182" s="12"/>
      <c r="SA182" s="12"/>
      <c r="SB182" s="12"/>
      <c r="SC182" s="12"/>
      <c r="SD182" s="12"/>
      <c r="SE182" s="12"/>
      <c r="SF182" s="12"/>
      <c r="SG182" s="12"/>
      <c r="SH182" s="11"/>
      <c r="SI182" s="11"/>
      <c r="SJ182" s="11"/>
      <c r="SK182" s="11"/>
      <c r="SL182" s="11"/>
      <c r="SM182" s="11"/>
      <c r="SN182" s="11"/>
      <c r="SO182" s="11"/>
      <c r="SP182" s="11"/>
      <c r="SQ182" s="11"/>
      <c r="SR182" s="11"/>
      <c r="SS182" s="11"/>
      <c r="ST182" s="11"/>
      <c r="SU182" s="11"/>
      <c r="SV182" s="11"/>
      <c r="SW182" s="11"/>
      <c r="SX182" s="11"/>
      <c r="SY182" s="11"/>
      <c r="SZ182" s="11"/>
      <c r="TA182" s="11"/>
      <c r="TB182" s="11"/>
      <c r="TC182" s="11"/>
      <c r="TD182" s="11"/>
      <c r="TE182" s="11"/>
      <c r="TF182" s="11"/>
      <c r="TG182" s="11"/>
      <c r="TH182" s="11"/>
      <c r="TI182" s="11"/>
      <c r="TJ182" s="11"/>
      <c r="TK182" s="11"/>
      <c r="TL182" s="11"/>
    </row>
    <row r="183" spans="1:532" x14ac:dyDescent="0.2">
      <c r="A183" s="10" t="s">
        <v>182</v>
      </c>
      <c r="B183" s="12">
        <v>13.49</v>
      </c>
      <c r="C183" s="11">
        <v>0</v>
      </c>
      <c r="D183" s="11">
        <v>1.4948759431895409</v>
      </c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  <c r="EB183" s="12"/>
      <c r="EC183" s="12"/>
      <c r="ED183" s="12"/>
      <c r="EE183" s="12"/>
      <c r="EF183" s="12"/>
      <c r="EG183" s="12"/>
      <c r="EH183" s="12"/>
      <c r="EI183" s="12"/>
      <c r="EJ183" s="12"/>
      <c r="EK183" s="12"/>
      <c r="EL183" s="12"/>
      <c r="EM183" s="12"/>
      <c r="EN183" s="12"/>
      <c r="EO183" s="12"/>
      <c r="EP183" s="12"/>
      <c r="EQ183" s="12"/>
      <c r="ER183" s="12"/>
      <c r="ES183" s="12"/>
      <c r="ET183" s="12"/>
      <c r="EU183" s="12"/>
      <c r="EV183" s="12"/>
      <c r="EW183" s="12"/>
      <c r="EX183" s="12"/>
      <c r="EY183" s="12"/>
      <c r="EZ183" s="12"/>
      <c r="FA183" s="12"/>
      <c r="FB183" s="12"/>
      <c r="FC183" s="12"/>
      <c r="FD183" s="12"/>
      <c r="FE183" s="12"/>
      <c r="FF183" s="12"/>
      <c r="FG183" s="12"/>
      <c r="FH183" s="12"/>
      <c r="FI183" s="12"/>
      <c r="FJ183" s="12"/>
      <c r="FK183" s="12"/>
      <c r="FL183" s="12"/>
      <c r="FM183" s="12"/>
      <c r="FN183" s="12"/>
      <c r="FO183" s="12"/>
      <c r="FP183" s="12"/>
      <c r="FQ183" s="12"/>
      <c r="FR183" s="12"/>
      <c r="FS183" s="12"/>
      <c r="FT183" s="12"/>
      <c r="FU183" s="12"/>
      <c r="FV183" s="12"/>
      <c r="FW183" s="12"/>
      <c r="FX183" s="12"/>
      <c r="FY183" s="12"/>
      <c r="FZ183" s="12"/>
      <c r="GA183" s="12"/>
      <c r="GB183" s="12"/>
      <c r="GC183" s="12"/>
      <c r="GD183" s="12"/>
      <c r="GE183" s="12"/>
      <c r="GF183" s="12"/>
      <c r="GG183" s="12"/>
      <c r="GH183" s="12"/>
      <c r="GI183" s="12"/>
      <c r="GJ183" s="12"/>
      <c r="GK183" s="12"/>
      <c r="GL183" s="12"/>
      <c r="GM183" s="12"/>
      <c r="GN183" s="12"/>
      <c r="GO183" s="12"/>
      <c r="GP183" s="12"/>
      <c r="GQ183" s="12"/>
      <c r="GR183" s="12"/>
      <c r="GS183" s="12"/>
      <c r="GT183" s="12"/>
      <c r="GU183" s="12"/>
      <c r="GV183" s="12"/>
      <c r="GW183" s="12"/>
      <c r="GX183" s="12"/>
      <c r="GY183" s="12"/>
      <c r="GZ183" s="12"/>
      <c r="HA183" s="12"/>
      <c r="HB183" s="12"/>
      <c r="HC183" s="12"/>
      <c r="HD183" s="12"/>
      <c r="HE183" s="12"/>
      <c r="HF183" s="12"/>
      <c r="HG183" s="12"/>
      <c r="HH183" s="12"/>
      <c r="HI183" s="12"/>
      <c r="HJ183" s="12"/>
      <c r="HK183" s="12"/>
      <c r="HL183" s="12"/>
      <c r="HM183" s="12"/>
      <c r="HN183" s="12"/>
      <c r="HO183" s="12"/>
      <c r="HP183" s="12"/>
      <c r="HQ183" s="12"/>
      <c r="HR183" s="12"/>
      <c r="HS183" s="12"/>
      <c r="HT183" s="12"/>
      <c r="HU183" s="12"/>
      <c r="HV183" s="12"/>
      <c r="HW183" s="12"/>
      <c r="HX183" s="12"/>
      <c r="HY183" s="12"/>
      <c r="HZ183" s="12"/>
      <c r="IA183" s="12"/>
      <c r="IB183" s="12"/>
      <c r="IC183" s="12"/>
      <c r="ID183" s="12"/>
      <c r="IE183" s="12"/>
      <c r="IF183" s="12"/>
      <c r="IG183" s="12"/>
      <c r="IH183" s="12"/>
      <c r="II183" s="12"/>
      <c r="IJ183" s="12"/>
      <c r="IK183" s="12"/>
      <c r="IL183" s="12"/>
      <c r="IM183" s="12"/>
      <c r="IN183" s="12"/>
      <c r="IO183" s="12"/>
      <c r="IP183" s="12"/>
      <c r="IQ183" s="12"/>
      <c r="IR183" s="12"/>
      <c r="IS183" s="12"/>
      <c r="IT183" s="12"/>
      <c r="IU183" s="12"/>
      <c r="IV183" s="12"/>
      <c r="IW183" s="12"/>
      <c r="IX183" s="12"/>
      <c r="IY183" s="12"/>
      <c r="IZ183" s="12"/>
      <c r="JA183" s="12"/>
      <c r="JB183" s="12"/>
      <c r="JC183" s="12"/>
      <c r="JD183" s="12"/>
      <c r="JE183" s="12"/>
      <c r="JF183" s="12"/>
      <c r="JG183" s="12"/>
      <c r="JH183" s="12"/>
      <c r="JI183" s="12"/>
      <c r="JJ183" s="12"/>
      <c r="JK183" s="12"/>
      <c r="JL183" s="12"/>
      <c r="JM183" s="12"/>
      <c r="JN183" s="12"/>
      <c r="JO183" s="12"/>
      <c r="JP183" s="12"/>
      <c r="JQ183" s="12"/>
      <c r="JR183" s="12"/>
      <c r="JS183" s="12"/>
      <c r="JT183" s="12"/>
      <c r="JU183" s="12"/>
      <c r="JV183" s="12"/>
      <c r="JW183" s="12"/>
      <c r="JX183" s="12"/>
      <c r="JY183" s="12"/>
      <c r="JZ183" s="12"/>
      <c r="KA183" s="12"/>
      <c r="KB183" s="12"/>
      <c r="KC183" s="12"/>
      <c r="KD183" s="12"/>
      <c r="KE183" s="12"/>
      <c r="KF183" s="12"/>
      <c r="KG183" s="12"/>
      <c r="KH183" s="12"/>
      <c r="KI183" s="12"/>
      <c r="KJ183" s="12"/>
      <c r="KK183" s="12"/>
      <c r="KL183" s="12"/>
      <c r="KM183" s="12"/>
      <c r="KN183" s="12"/>
      <c r="KO183" s="12"/>
      <c r="KP183" s="12"/>
      <c r="KQ183" s="12"/>
      <c r="KR183" s="12"/>
      <c r="KS183" s="12"/>
      <c r="KT183" s="12"/>
      <c r="KU183" s="12"/>
      <c r="KV183" s="12"/>
      <c r="KW183" s="12"/>
      <c r="KX183" s="12"/>
      <c r="KY183" s="12"/>
      <c r="KZ183" s="12"/>
      <c r="LA183" s="12"/>
      <c r="LB183" s="12"/>
      <c r="LC183" s="12"/>
      <c r="LD183" s="12"/>
      <c r="LE183" s="12"/>
      <c r="LF183" s="12"/>
      <c r="LG183" s="12"/>
      <c r="LH183" s="12"/>
      <c r="LI183" s="12"/>
      <c r="LJ183" s="12"/>
      <c r="LK183" s="12"/>
      <c r="LL183" s="12"/>
      <c r="LM183" s="12"/>
      <c r="LN183" s="12"/>
      <c r="LO183" s="12"/>
      <c r="LP183" s="12"/>
      <c r="LQ183" s="12"/>
      <c r="LR183" s="12"/>
      <c r="LS183" s="12"/>
      <c r="LT183" s="12"/>
      <c r="LU183" s="12"/>
      <c r="LV183" s="12"/>
      <c r="LW183" s="12"/>
      <c r="LX183" s="12"/>
      <c r="LY183" s="12"/>
      <c r="LZ183" s="12"/>
      <c r="MA183" s="12"/>
      <c r="MB183" s="12"/>
      <c r="MC183" s="12"/>
      <c r="MD183" s="12"/>
      <c r="ME183" s="12"/>
      <c r="MF183" s="12"/>
      <c r="MG183" s="12"/>
      <c r="MH183" s="12"/>
      <c r="MI183" s="12"/>
      <c r="MJ183" s="12"/>
      <c r="MK183" s="12"/>
      <c r="ML183" s="12"/>
      <c r="MM183" s="12"/>
      <c r="MN183" s="12"/>
      <c r="MO183" s="12"/>
      <c r="MP183" s="12"/>
      <c r="MQ183" s="12"/>
      <c r="MR183" s="12"/>
      <c r="MS183" s="12"/>
      <c r="MT183" s="12"/>
      <c r="MU183" s="12"/>
      <c r="MV183" s="12"/>
      <c r="MW183" s="12"/>
      <c r="MX183" s="12"/>
      <c r="MY183" s="12"/>
      <c r="MZ183" s="12"/>
      <c r="NA183" s="12"/>
      <c r="NB183" s="12"/>
      <c r="NC183" s="12"/>
      <c r="ND183" s="12"/>
      <c r="NE183" s="12"/>
      <c r="NF183" s="12"/>
      <c r="NG183" s="12"/>
      <c r="NH183" s="12"/>
      <c r="NI183" s="12"/>
      <c r="NJ183" s="12"/>
      <c r="NK183" s="12"/>
      <c r="NL183" s="12"/>
      <c r="NM183" s="12"/>
      <c r="NN183" s="12"/>
      <c r="NO183" s="12"/>
      <c r="NP183" s="12"/>
      <c r="NQ183" s="12"/>
      <c r="NR183" s="12"/>
      <c r="NS183" s="12"/>
      <c r="NT183" s="12"/>
      <c r="NU183" s="12"/>
      <c r="NV183" s="12"/>
      <c r="NW183" s="12"/>
      <c r="NX183" s="12"/>
      <c r="NY183" s="12"/>
      <c r="NZ183" s="12"/>
      <c r="OA183" s="12"/>
      <c r="OB183" s="12"/>
      <c r="OC183" s="12"/>
      <c r="OD183" s="12"/>
      <c r="OE183" s="12"/>
      <c r="OF183" s="12"/>
      <c r="OG183" s="12"/>
      <c r="OH183" s="12"/>
      <c r="OI183" s="12"/>
      <c r="OJ183" s="12"/>
      <c r="OK183" s="12"/>
      <c r="OL183" s="12"/>
      <c r="OM183" s="12"/>
      <c r="ON183" s="12"/>
      <c r="OO183" s="12"/>
      <c r="OP183" s="12"/>
      <c r="OQ183" s="12"/>
      <c r="OR183" s="12"/>
      <c r="OS183" s="12"/>
      <c r="OT183" s="12"/>
      <c r="OU183" s="12"/>
      <c r="OV183" s="12"/>
      <c r="OW183" s="12"/>
      <c r="OX183" s="12"/>
      <c r="OY183" s="12"/>
      <c r="OZ183" s="12"/>
      <c r="PA183" s="12"/>
      <c r="PB183" s="12"/>
      <c r="PC183" s="12"/>
      <c r="PD183" s="12"/>
      <c r="PE183" s="12"/>
      <c r="PF183" s="12"/>
      <c r="PG183" s="12"/>
      <c r="PH183" s="12"/>
      <c r="PI183" s="12"/>
      <c r="PJ183" s="12"/>
      <c r="PK183" s="12"/>
      <c r="PL183" s="12"/>
      <c r="PM183" s="12"/>
      <c r="PN183" s="12"/>
      <c r="PO183" s="12"/>
      <c r="PP183" s="12"/>
      <c r="PQ183" s="12"/>
      <c r="PR183" s="12"/>
      <c r="PS183" s="12"/>
      <c r="PT183" s="12"/>
      <c r="PU183" s="12"/>
      <c r="PV183" s="12"/>
      <c r="PW183" s="12"/>
      <c r="PX183" s="12"/>
      <c r="PY183" s="12"/>
      <c r="PZ183" s="12"/>
      <c r="QA183" s="12"/>
      <c r="QB183" s="12"/>
      <c r="QC183" s="12"/>
      <c r="QD183" s="12"/>
      <c r="QE183" s="12"/>
      <c r="QF183" s="12"/>
      <c r="QG183" s="12"/>
      <c r="QH183" s="12"/>
      <c r="QI183" s="12"/>
      <c r="QJ183" s="12"/>
      <c r="QK183" s="12"/>
      <c r="QL183" s="12"/>
      <c r="QM183" s="12"/>
      <c r="QN183" s="12"/>
      <c r="QO183" s="12"/>
      <c r="QP183" s="12"/>
      <c r="QQ183" s="12"/>
      <c r="QR183" s="12"/>
      <c r="QS183" s="12"/>
      <c r="QT183" s="12"/>
      <c r="QU183" s="12"/>
      <c r="QV183" s="12"/>
      <c r="QW183" s="12"/>
      <c r="QX183" s="12"/>
      <c r="QY183" s="12"/>
      <c r="QZ183" s="12"/>
      <c r="RA183" s="12"/>
      <c r="RB183" s="12"/>
      <c r="RC183" s="12"/>
      <c r="RD183" s="12"/>
      <c r="RE183" s="12"/>
      <c r="RF183" s="12"/>
      <c r="RG183" s="12"/>
      <c r="RH183" s="12"/>
      <c r="RI183" s="12"/>
      <c r="RJ183" s="12"/>
      <c r="RK183" s="12"/>
      <c r="RL183" s="12"/>
      <c r="RM183" s="12"/>
      <c r="RN183" s="12"/>
      <c r="RO183" s="12"/>
      <c r="RP183" s="12"/>
      <c r="RQ183" s="12"/>
      <c r="RR183" s="12"/>
      <c r="RS183" s="12"/>
      <c r="RT183" s="12"/>
      <c r="RU183" s="12"/>
      <c r="RV183" s="12"/>
      <c r="RW183" s="12"/>
      <c r="RX183" s="12"/>
      <c r="RY183" s="12"/>
      <c r="RZ183" s="12"/>
      <c r="SA183" s="12"/>
      <c r="SB183" s="12"/>
      <c r="SC183" s="12"/>
      <c r="SD183" s="12"/>
      <c r="SE183" s="12"/>
      <c r="SF183" s="12"/>
      <c r="SG183" s="12"/>
      <c r="SH183" s="11"/>
      <c r="SI183" s="11"/>
      <c r="SJ183" s="11"/>
      <c r="SK183" s="11"/>
      <c r="SL183" s="11"/>
      <c r="SM183" s="11"/>
      <c r="SN183" s="11"/>
      <c r="SO183" s="11"/>
      <c r="SP183" s="11"/>
      <c r="SQ183" s="11"/>
      <c r="SR183" s="11"/>
      <c r="SS183" s="11"/>
      <c r="ST183" s="11"/>
      <c r="SU183" s="11"/>
      <c r="SV183" s="11"/>
      <c r="SW183" s="11"/>
      <c r="SX183" s="11"/>
      <c r="SY183" s="11"/>
      <c r="SZ183" s="11"/>
      <c r="TA183" s="11"/>
      <c r="TB183" s="11"/>
      <c r="TC183" s="11"/>
      <c r="TD183" s="11"/>
      <c r="TE183" s="11"/>
      <c r="TF183" s="11"/>
      <c r="TG183" s="11"/>
      <c r="TH183" s="11"/>
      <c r="TI183" s="11"/>
      <c r="TJ183" s="11"/>
      <c r="TK183" s="11"/>
      <c r="TL183" s="11"/>
    </row>
    <row r="184" spans="1:532" x14ac:dyDescent="0.2">
      <c r="A184" s="10" t="s">
        <v>183</v>
      </c>
      <c r="B184" s="12">
        <v>13.47</v>
      </c>
      <c r="C184" s="11">
        <v>0</v>
      </c>
      <c r="D184" s="11">
        <v>1.5146756245562898</v>
      </c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  <c r="CO184" s="12"/>
      <c r="CP184" s="12"/>
      <c r="CQ184" s="12"/>
      <c r="CR184" s="12"/>
      <c r="CS184" s="12"/>
      <c r="CT184" s="12"/>
      <c r="CU184" s="12"/>
      <c r="CV184" s="12"/>
      <c r="CW184" s="12"/>
      <c r="CX184" s="12"/>
      <c r="CY184" s="12"/>
      <c r="CZ184" s="12"/>
      <c r="DA184" s="12"/>
      <c r="DB184" s="12"/>
      <c r="DC184" s="12"/>
      <c r="DD184" s="12"/>
      <c r="DE184" s="12"/>
      <c r="DF184" s="12"/>
      <c r="DG184" s="12"/>
      <c r="DH184" s="12"/>
      <c r="DI184" s="12"/>
      <c r="DJ184" s="12"/>
      <c r="DK184" s="12"/>
      <c r="DL184" s="12"/>
      <c r="DM184" s="12"/>
      <c r="DN184" s="12"/>
      <c r="DO184" s="12"/>
      <c r="DP184" s="12"/>
      <c r="DQ184" s="12"/>
      <c r="DR184" s="12"/>
      <c r="DS184" s="12"/>
      <c r="DT184" s="12"/>
      <c r="DU184" s="12"/>
      <c r="DV184" s="12"/>
      <c r="DW184" s="12"/>
      <c r="DX184" s="12"/>
      <c r="DY184" s="12"/>
      <c r="DZ184" s="12"/>
      <c r="EA184" s="12"/>
      <c r="EB184" s="12"/>
      <c r="EC184" s="12"/>
      <c r="ED184" s="12"/>
      <c r="EE184" s="12"/>
      <c r="EF184" s="12"/>
      <c r="EG184" s="12"/>
      <c r="EH184" s="12"/>
      <c r="EI184" s="12"/>
      <c r="EJ184" s="12"/>
      <c r="EK184" s="12"/>
      <c r="EL184" s="12"/>
      <c r="EM184" s="12"/>
      <c r="EN184" s="12"/>
      <c r="EO184" s="12"/>
      <c r="EP184" s="12"/>
      <c r="EQ184" s="12"/>
      <c r="ER184" s="12"/>
      <c r="ES184" s="12"/>
      <c r="ET184" s="12"/>
      <c r="EU184" s="12"/>
      <c r="EV184" s="12"/>
      <c r="EW184" s="12"/>
      <c r="EX184" s="12"/>
      <c r="EY184" s="12"/>
      <c r="EZ184" s="12"/>
      <c r="FA184" s="12"/>
      <c r="FB184" s="12"/>
      <c r="FC184" s="12"/>
      <c r="FD184" s="12"/>
      <c r="FE184" s="12"/>
      <c r="FF184" s="12"/>
      <c r="FG184" s="12"/>
      <c r="FH184" s="12"/>
      <c r="FI184" s="12"/>
      <c r="FJ184" s="12"/>
      <c r="FK184" s="12"/>
      <c r="FL184" s="12"/>
      <c r="FM184" s="12"/>
      <c r="FN184" s="12"/>
      <c r="FO184" s="12"/>
      <c r="FP184" s="12"/>
      <c r="FQ184" s="12"/>
      <c r="FR184" s="12"/>
      <c r="FS184" s="12"/>
      <c r="FT184" s="12"/>
      <c r="FU184" s="12"/>
      <c r="FV184" s="12"/>
      <c r="FW184" s="12"/>
      <c r="FX184" s="12"/>
      <c r="FY184" s="12"/>
      <c r="FZ184" s="12"/>
      <c r="GA184" s="12"/>
      <c r="GB184" s="12"/>
      <c r="GC184" s="12"/>
      <c r="GD184" s="12"/>
      <c r="GE184" s="12"/>
      <c r="GF184" s="12"/>
      <c r="GG184" s="12"/>
      <c r="GH184" s="12"/>
      <c r="GI184" s="12"/>
      <c r="GJ184" s="12"/>
      <c r="GK184" s="12"/>
      <c r="GL184" s="12"/>
      <c r="GM184" s="12"/>
      <c r="GN184" s="12"/>
      <c r="GO184" s="12"/>
      <c r="GP184" s="12"/>
      <c r="GQ184" s="12"/>
      <c r="GR184" s="12"/>
      <c r="GS184" s="12"/>
      <c r="GT184" s="12"/>
      <c r="GU184" s="12"/>
      <c r="GV184" s="12"/>
      <c r="GW184" s="12"/>
      <c r="GX184" s="12"/>
      <c r="GY184" s="12"/>
      <c r="GZ184" s="12"/>
      <c r="HA184" s="12"/>
      <c r="HB184" s="12"/>
      <c r="HC184" s="12"/>
      <c r="HD184" s="12"/>
      <c r="HE184" s="12"/>
      <c r="HF184" s="12"/>
      <c r="HG184" s="12"/>
      <c r="HH184" s="12"/>
      <c r="HI184" s="12"/>
      <c r="HJ184" s="12"/>
      <c r="HK184" s="12"/>
      <c r="HL184" s="12"/>
      <c r="HM184" s="12"/>
      <c r="HN184" s="12"/>
      <c r="HO184" s="12"/>
      <c r="HP184" s="12"/>
      <c r="HQ184" s="12"/>
      <c r="HR184" s="12"/>
      <c r="HS184" s="12"/>
      <c r="HT184" s="12"/>
      <c r="HU184" s="12"/>
      <c r="HV184" s="12"/>
      <c r="HW184" s="12"/>
      <c r="HX184" s="12"/>
      <c r="HY184" s="12"/>
      <c r="HZ184" s="12"/>
      <c r="IA184" s="12"/>
      <c r="IB184" s="12"/>
      <c r="IC184" s="12"/>
      <c r="ID184" s="12"/>
      <c r="IE184" s="12"/>
      <c r="IF184" s="12"/>
      <c r="IG184" s="12"/>
      <c r="IH184" s="12"/>
      <c r="II184" s="12"/>
      <c r="IJ184" s="12"/>
      <c r="IK184" s="12"/>
      <c r="IL184" s="12"/>
      <c r="IM184" s="12"/>
      <c r="IN184" s="12"/>
      <c r="IO184" s="12"/>
      <c r="IP184" s="12"/>
      <c r="IQ184" s="12"/>
      <c r="IR184" s="12"/>
      <c r="IS184" s="12"/>
      <c r="IT184" s="12"/>
      <c r="IU184" s="12"/>
      <c r="IV184" s="12"/>
      <c r="IW184" s="12"/>
      <c r="IX184" s="12"/>
      <c r="IY184" s="12"/>
      <c r="IZ184" s="12"/>
      <c r="JA184" s="12"/>
      <c r="JB184" s="12"/>
      <c r="JC184" s="12"/>
      <c r="JD184" s="12"/>
      <c r="JE184" s="12"/>
      <c r="JF184" s="12"/>
      <c r="JG184" s="12"/>
      <c r="JH184" s="12"/>
      <c r="JI184" s="12"/>
      <c r="JJ184" s="12"/>
      <c r="JK184" s="12"/>
      <c r="JL184" s="12"/>
      <c r="JM184" s="12"/>
      <c r="JN184" s="12"/>
      <c r="JO184" s="12"/>
      <c r="JP184" s="12"/>
      <c r="JQ184" s="12"/>
      <c r="JR184" s="12"/>
      <c r="JS184" s="12"/>
      <c r="JT184" s="12"/>
      <c r="JU184" s="12"/>
      <c r="JV184" s="12"/>
      <c r="JW184" s="12"/>
      <c r="JX184" s="12"/>
      <c r="JY184" s="12"/>
      <c r="JZ184" s="12"/>
      <c r="KA184" s="12"/>
      <c r="KB184" s="12"/>
      <c r="KC184" s="12"/>
      <c r="KD184" s="12"/>
      <c r="KE184" s="12"/>
      <c r="KF184" s="12"/>
      <c r="KG184" s="12"/>
      <c r="KH184" s="12"/>
      <c r="KI184" s="12"/>
      <c r="KJ184" s="12"/>
      <c r="KK184" s="12"/>
      <c r="KL184" s="12"/>
      <c r="KM184" s="12"/>
      <c r="KN184" s="12"/>
      <c r="KO184" s="12"/>
      <c r="KP184" s="12"/>
      <c r="KQ184" s="12"/>
      <c r="KR184" s="12"/>
      <c r="KS184" s="12"/>
      <c r="KT184" s="12"/>
      <c r="KU184" s="12"/>
      <c r="KV184" s="12"/>
      <c r="KW184" s="12"/>
      <c r="KX184" s="12"/>
      <c r="KY184" s="12"/>
      <c r="KZ184" s="12"/>
      <c r="LA184" s="12"/>
      <c r="LB184" s="12"/>
      <c r="LC184" s="12"/>
      <c r="LD184" s="12"/>
      <c r="LE184" s="12"/>
      <c r="LF184" s="12"/>
      <c r="LG184" s="12"/>
      <c r="LH184" s="12"/>
      <c r="LI184" s="12"/>
      <c r="LJ184" s="12"/>
      <c r="LK184" s="12"/>
      <c r="LL184" s="12"/>
      <c r="LM184" s="12"/>
      <c r="LN184" s="12"/>
      <c r="LO184" s="12"/>
      <c r="LP184" s="12"/>
      <c r="LQ184" s="12"/>
      <c r="LR184" s="12"/>
      <c r="LS184" s="12"/>
      <c r="LT184" s="12"/>
      <c r="LU184" s="12"/>
      <c r="LV184" s="12"/>
      <c r="LW184" s="12"/>
      <c r="LX184" s="12"/>
      <c r="LY184" s="12"/>
      <c r="LZ184" s="12"/>
      <c r="MA184" s="12"/>
      <c r="MB184" s="12"/>
      <c r="MC184" s="12"/>
      <c r="MD184" s="12"/>
      <c r="ME184" s="12"/>
      <c r="MF184" s="12"/>
      <c r="MG184" s="12"/>
      <c r="MH184" s="12"/>
      <c r="MI184" s="12"/>
      <c r="MJ184" s="12"/>
      <c r="MK184" s="12"/>
      <c r="ML184" s="12"/>
      <c r="MM184" s="12"/>
      <c r="MN184" s="12"/>
      <c r="MO184" s="12"/>
      <c r="MP184" s="12"/>
      <c r="MQ184" s="12"/>
      <c r="MR184" s="12"/>
      <c r="MS184" s="12"/>
      <c r="MT184" s="12"/>
      <c r="MU184" s="12"/>
      <c r="MV184" s="12"/>
      <c r="MW184" s="12"/>
      <c r="MX184" s="12"/>
      <c r="MY184" s="12"/>
      <c r="MZ184" s="12"/>
      <c r="NA184" s="12"/>
      <c r="NB184" s="12"/>
      <c r="NC184" s="12"/>
      <c r="ND184" s="12"/>
      <c r="NE184" s="12"/>
      <c r="NF184" s="12"/>
      <c r="NG184" s="12"/>
      <c r="NH184" s="12"/>
      <c r="NI184" s="12"/>
      <c r="NJ184" s="12"/>
      <c r="NK184" s="12"/>
      <c r="NL184" s="12"/>
      <c r="NM184" s="12"/>
      <c r="NN184" s="12"/>
      <c r="NO184" s="12"/>
      <c r="NP184" s="12"/>
      <c r="NQ184" s="12"/>
      <c r="NR184" s="12"/>
      <c r="NS184" s="12"/>
      <c r="NT184" s="12"/>
      <c r="NU184" s="12"/>
      <c r="NV184" s="12"/>
      <c r="NW184" s="12"/>
      <c r="NX184" s="12"/>
      <c r="NY184" s="12"/>
      <c r="NZ184" s="12"/>
      <c r="OA184" s="12"/>
      <c r="OB184" s="12"/>
      <c r="OC184" s="12"/>
      <c r="OD184" s="12"/>
      <c r="OE184" s="12"/>
      <c r="OF184" s="12"/>
      <c r="OG184" s="12"/>
      <c r="OH184" s="12"/>
      <c r="OI184" s="12"/>
      <c r="OJ184" s="12"/>
      <c r="OK184" s="12"/>
      <c r="OL184" s="12"/>
      <c r="OM184" s="12"/>
      <c r="ON184" s="12"/>
      <c r="OO184" s="12"/>
      <c r="OP184" s="12"/>
      <c r="OQ184" s="12"/>
      <c r="OR184" s="12"/>
      <c r="OS184" s="12"/>
      <c r="OT184" s="12"/>
      <c r="OU184" s="12"/>
      <c r="OV184" s="12"/>
      <c r="OW184" s="12"/>
      <c r="OX184" s="12"/>
      <c r="OY184" s="12"/>
      <c r="OZ184" s="12"/>
      <c r="PA184" s="12"/>
      <c r="PB184" s="12"/>
      <c r="PC184" s="12"/>
      <c r="PD184" s="12"/>
      <c r="PE184" s="12"/>
      <c r="PF184" s="12"/>
      <c r="PG184" s="12"/>
      <c r="PH184" s="12"/>
      <c r="PI184" s="12"/>
      <c r="PJ184" s="12"/>
      <c r="PK184" s="12"/>
      <c r="PL184" s="12"/>
      <c r="PM184" s="12"/>
      <c r="PN184" s="12"/>
      <c r="PO184" s="12"/>
      <c r="PP184" s="12"/>
      <c r="PQ184" s="12"/>
      <c r="PR184" s="12"/>
      <c r="PS184" s="12"/>
      <c r="PT184" s="12"/>
      <c r="PU184" s="12"/>
      <c r="PV184" s="12"/>
      <c r="PW184" s="12"/>
      <c r="PX184" s="12"/>
      <c r="PY184" s="12"/>
      <c r="PZ184" s="12"/>
      <c r="QA184" s="12"/>
      <c r="QB184" s="12"/>
      <c r="QC184" s="12"/>
      <c r="QD184" s="12"/>
      <c r="QE184" s="12"/>
      <c r="QF184" s="12"/>
      <c r="QG184" s="12"/>
      <c r="QH184" s="12"/>
      <c r="QI184" s="12"/>
      <c r="QJ184" s="12"/>
      <c r="QK184" s="12"/>
      <c r="QL184" s="12"/>
      <c r="QM184" s="12"/>
      <c r="QN184" s="12"/>
      <c r="QO184" s="12"/>
      <c r="QP184" s="12"/>
      <c r="QQ184" s="12"/>
      <c r="QR184" s="12"/>
      <c r="QS184" s="12"/>
      <c r="QT184" s="12"/>
      <c r="QU184" s="12"/>
      <c r="QV184" s="12"/>
      <c r="QW184" s="12"/>
      <c r="QX184" s="12"/>
      <c r="QY184" s="12"/>
      <c r="QZ184" s="12"/>
      <c r="RA184" s="12"/>
      <c r="RB184" s="12"/>
      <c r="RC184" s="12"/>
      <c r="RD184" s="12"/>
      <c r="RE184" s="12"/>
      <c r="RF184" s="12"/>
      <c r="RG184" s="12"/>
      <c r="RH184" s="12"/>
      <c r="RI184" s="12"/>
      <c r="RJ184" s="12"/>
      <c r="RK184" s="12"/>
      <c r="RL184" s="12"/>
      <c r="RM184" s="12"/>
      <c r="RN184" s="12"/>
      <c r="RO184" s="12"/>
      <c r="RP184" s="12"/>
      <c r="RQ184" s="12"/>
      <c r="RR184" s="12"/>
      <c r="RS184" s="12"/>
      <c r="RT184" s="12"/>
      <c r="RU184" s="12"/>
      <c r="RV184" s="12"/>
      <c r="RW184" s="12"/>
      <c r="RX184" s="12"/>
      <c r="RY184" s="12"/>
      <c r="RZ184" s="12"/>
      <c r="SA184" s="12"/>
      <c r="SB184" s="12"/>
      <c r="SC184" s="12"/>
      <c r="SD184" s="12"/>
      <c r="SE184" s="12"/>
      <c r="SF184" s="12"/>
      <c r="SG184" s="12"/>
      <c r="SH184" s="11"/>
      <c r="SI184" s="11"/>
      <c r="SJ184" s="11"/>
      <c r="SK184" s="11"/>
      <c r="SL184" s="11"/>
      <c r="SM184" s="11"/>
      <c r="SN184" s="11"/>
      <c r="SO184" s="11"/>
      <c r="SP184" s="11"/>
      <c r="SQ184" s="11"/>
      <c r="SR184" s="11"/>
      <c r="SS184" s="11"/>
      <c r="ST184" s="11"/>
      <c r="SU184" s="11"/>
      <c r="SV184" s="11"/>
      <c r="SW184" s="11"/>
      <c r="SX184" s="11"/>
      <c r="SY184" s="11"/>
      <c r="SZ184" s="11"/>
      <c r="TA184" s="11"/>
      <c r="TB184" s="11"/>
      <c r="TC184" s="11"/>
      <c r="TD184" s="11"/>
      <c r="TE184" s="11"/>
      <c r="TF184" s="11"/>
      <c r="TG184" s="11"/>
      <c r="TH184" s="11"/>
      <c r="TI184" s="11"/>
      <c r="TJ184" s="11"/>
      <c r="TK184" s="11"/>
      <c r="TL184" s="11"/>
    </row>
    <row r="185" spans="1:532" x14ac:dyDescent="0.2">
      <c r="A185" s="10" t="s">
        <v>184</v>
      </c>
      <c r="B185" s="12">
        <v>12.44</v>
      </c>
      <c r="C185" s="11">
        <v>0</v>
      </c>
      <c r="D185" s="11">
        <v>2.5343592149438576</v>
      </c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  <c r="CO185" s="12"/>
      <c r="CP185" s="12"/>
      <c r="CQ185" s="12"/>
      <c r="CR185" s="12"/>
      <c r="CS185" s="12"/>
      <c r="CT185" s="12"/>
      <c r="CU185" s="12"/>
      <c r="CV185" s="12"/>
      <c r="CW185" s="12"/>
      <c r="CX185" s="12"/>
      <c r="CY185" s="12"/>
      <c r="CZ185" s="12"/>
      <c r="DA185" s="12"/>
      <c r="DB185" s="12"/>
      <c r="DC185" s="12"/>
      <c r="DD185" s="12"/>
      <c r="DE185" s="12"/>
      <c r="DF185" s="12"/>
      <c r="DG185" s="12"/>
      <c r="DH185" s="12"/>
      <c r="DI185" s="12"/>
      <c r="DJ185" s="12"/>
      <c r="DK185" s="12"/>
      <c r="DL185" s="12"/>
      <c r="DM185" s="12"/>
      <c r="DN185" s="12"/>
      <c r="DO185" s="12"/>
      <c r="DP185" s="12"/>
      <c r="DQ185" s="12"/>
      <c r="DR185" s="12"/>
      <c r="DS185" s="12"/>
      <c r="DT185" s="12"/>
      <c r="DU185" s="12"/>
      <c r="DV185" s="12"/>
      <c r="DW185" s="12"/>
      <c r="DX185" s="12"/>
      <c r="DY185" s="12"/>
      <c r="DZ185" s="12"/>
      <c r="EA185" s="12"/>
      <c r="EB185" s="12"/>
      <c r="EC185" s="12"/>
      <c r="ED185" s="12"/>
      <c r="EE185" s="12"/>
      <c r="EF185" s="12"/>
      <c r="EG185" s="12"/>
      <c r="EH185" s="12"/>
      <c r="EI185" s="12"/>
      <c r="EJ185" s="12"/>
      <c r="EK185" s="12"/>
      <c r="EL185" s="12"/>
      <c r="EM185" s="12"/>
      <c r="EN185" s="12"/>
      <c r="EO185" s="12"/>
      <c r="EP185" s="12"/>
      <c r="EQ185" s="12"/>
      <c r="ER185" s="12"/>
      <c r="ES185" s="12"/>
      <c r="ET185" s="12"/>
      <c r="EU185" s="12"/>
      <c r="EV185" s="12"/>
      <c r="EW185" s="12"/>
      <c r="EX185" s="12"/>
      <c r="EY185" s="12"/>
      <c r="EZ185" s="12"/>
      <c r="FA185" s="12"/>
      <c r="FB185" s="12"/>
      <c r="FC185" s="12"/>
      <c r="FD185" s="12"/>
      <c r="FE185" s="12"/>
      <c r="FF185" s="12"/>
      <c r="FG185" s="12"/>
      <c r="FH185" s="12"/>
      <c r="FI185" s="12"/>
      <c r="FJ185" s="12"/>
      <c r="FK185" s="12"/>
      <c r="FL185" s="12"/>
      <c r="FM185" s="12"/>
      <c r="FN185" s="12"/>
      <c r="FO185" s="12"/>
      <c r="FP185" s="12"/>
      <c r="FQ185" s="12"/>
      <c r="FR185" s="12"/>
      <c r="FS185" s="12"/>
      <c r="FT185" s="12"/>
      <c r="FU185" s="12"/>
      <c r="FV185" s="12"/>
      <c r="FW185" s="12"/>
      <c r="FX185" s="12"/>
      <c r="FY185" s="12"/>
      <c r="FZ185" s="12"/>
      <c r="GA185" s="12"/>
      <c r="GB185" s="12"/>
      <c r="GC185" s="12"/>
      <c r="GD185" s="12"/>
      <c r="GE185" s="12"/>
      <c r="GF185" s="12"/>
      <c r="GG185" s="12"/>
      <c r="GH185" s="12"/>
      <c r="GI185" s="12"/>
      <c r="GJ185" s="12"/>
      <c r="GK185" s="12"/>
      <c r="GL185" s="12"/>
      <c r="GM185" s="12"/>
      <c r="GN185" s="12"/>
      <c r="GO185" s="12"/>
      <c r="GP185" s="12"/>
      <c r="GQ185" s="12"/>
      <c r="GR185" s="12"/>
      <c r="GS185" s="12"/>
      <c r="GT185" s="12"/>
      <c r="GU185" s="12"/>
      <c r="GV185" s="12"/>
      <c r="GW185" s="12"/>
      <c r="GX185" s="12"/>
      <c r="GY185" s="12"/>
      <c r="GZ185" s="12"/>
      <c r="HA185" s="12"/>
      <c r="HB185" s="12"/>
      <c r="HC185" s="12"/>
      <c r="HD185" s="12"/>
      <c r="HE185" s="12"/>
      <c r="HF185" s="12"/>
      <c r="HG185" s="12"/>
      <c r="HH185" s="12"/>
      <c r="HI185" s="12"/>
      <c r="HJ185" s="12"/>
      <c r="HK185" s="12"/>
      <c r="HL185" s="12"/>
      <c r="HM185" s="12"/>
      <c r="HN185" s="12"/>
      <c r="HO185" s="12"/>
      <c r="HP185" s="12"/>
      <c r="HQ185" s="12"/>
      <c r="HR185" s="12"/>
      <c r="HS185" s="12"/>
      <c r="HT185" s="12"/>
      <c r="HU185" s="12"/>
      <c r="HV185" s="12"/>
      <c r="HW185" s="12"/>
      <c r="HX185" s="12"/>
      <c r="HY185" s="12"/>
      <c r="HZ185" s="12"/>
      <c r="IA185" s="12"/>
      <c r="IB185" s="12"/>
      <c r="IC185" s="12"/>
      <c r="ID185" s="12"/>
      <c r="IE185" s="12"/>
      <c r="IF185" s="12"/>
      <c r="IG185" s="12"/>
      <c r="IH185" s="12"/>
      <c r="II185" s="12"/>
      <c r="IJ185" s="12"/>
      <c r="IK185" s="12"/>
      <c r="IL185" s="12"/>
      <c r="IM185" s="12"/>
      <c r="IN185" s="12"/>
      <c r="IO185" s="12"/>
      <c r="IP185" s="12"/>
      <c r="IQ185" s="12"/>
      <c r="IR185" s="12"/>
      <c r="IS185" s="12"/>
      <c r="IT185" s="12"/>
      <c r="IU185" s="12"/>
      <c r="IV185" s="12"/>
      <c r="IW185" s="12"/>
      <c r="IX185" s="12"/>
      <c r="IY185" s="12"/>
      <c r="IZ185" s="12"/>
      <c r="JA185" s="12"/>
      <c r="JB185" s="12"/>
      <c r="JC185" s="12"/>
      <c r="JD185" s="12"/>
      <c r="JE185" s="12"/>
      <c r="JF185" s="12"/>
      <c r="JG185" s="12"/>
      <c r="JH185" s="12"/>
      <c r="JI185" s="12"/>
      <c r="JJ185" s="12"/>
      <c r="JK185" s="12"/>
      <c r="JL185" s="12"/>
      <c r="JM185" s="12"/>
      <c r="JN185" s="12"/>
      <c r="JO185" s="12"/>
      <c r="JP185" s="12"/>
      <c r="JQ185" s="12"/>
      <c r="JR185" s="12"/>
      <c r="JS185" s="12"/>
      <c r="JT185" s="12"/>
      <c r="JU185" s="12"/>
      <c r="JV185" s="12"/>
      <c r="JW185" s="12"/>
      <c r="JX185" s="12"/>
      <c r="JY185" s="12"/>
      <c r="JZ185" s="12"/>
      <c r="KA185" s="12"/>
      <c r="KB185" s="12"/>
      <c r="KC185" s="12"/>
      <c r="KD185" s="12"/>
      <c r="KE185" s="12"/>
      <c r="KF185" s="12"/>
      <c r="KG185" s="12"/>
      <c r="KH185" s="12"/>
      <c r="KI185" s="12"/>
      <c r="KJ185" s="12"/>
      <c r="KK185" s="12"/>
      <c r="KL185" s="12"/>
      <c r="KM185" s="12"/>
      <c r="KN185" s="12"/>
      <c r="KO185" s="12"/>
      <c r="KP185" s="12"/>
      <c r="KQ185" s="12"/>
      <c r="KR185" s="12"/>
      <c r="KS185" s="12"/>
      <c r="KT185" s="12"/>
      <c r="KU185" s="12"/>
      <c r="KV185" s="12"/>
      <c r="KW185" s="12"/>
      <c r="KX185" s="12"/>
      <c r="KY185" s="12"/>
      <c r="KZ185" s="12"/>
      <c r="LA185" s="12"/>
      <c r="LB185" s="12"/>
      <c r="LC185" s="12"/>
      <c r="LD185" s="12"/>
      <c r="LE185" s="12"/>
      <c r="LF185" s="12"/>
      <c r="LG185" s="12"/>
      <c r="LH185" s="12"/>
      <c r="LI185" s="12"/>
      <c r="LJ185" s="12"/>
      <c r="LK185" s="12"/>
      <c r="LL185" s="12"/>
      <c r="LM185" s="12"/>
      <c r="LN185" s="12"/>
      <c r="LO185" s="12"/>
      <c r="LP185" s="12"/>
      <c r="LQ185" s="12"/>
      <c r="LR185" s="12"/>
      <c r="LS185" s="12"/>
      <c r="LT185" s="12"/>
      <c r="LU185" s="12"/>
      <c r="LV185" s="12"/>
      <c r="LW185" s="12"/>
      <c r="LX185" s="12"/>
      <c r="LY185" s="12"/>
      <c r="LZ185" s="12"/>
      <c r="MA185" s="12"/>
      <c r="MB185" s="12"/>
      <c r="MC185" s="12"/>
      <c r="MD185" s="12"/>
      <c r="ME185" s="12"/>
      <c r="MF185" s="12"/>
      <c r="MG185" s="12"/>
      <c r="MH185" s="12"/>
      <c r="MI185" s="12"/>
      <c r="MJ185" s="12"/>
      <c r="MK185" s="12"/>
      <c r="ML185" s="12"/>
      <c r="MM185" s="12"/>
      <c r="MN185" s="12"/>
      <c r="MO185" s="12"/>
      <c r="MP185" s="12"/>
      <c r="MQ185" s="12"/>
      <c r="MR185" s="12"/>
      <c r="MS185" s="12"/>
      <c r="MT185" s="12"/>
      <c r="MU185" s="12"/>
      <c r="MV185" s="12"/>
      <c r="MW185" s="12"/>
      <c r="MX185" s="12"/>
      <c r="MY185" s="12"/>
      <c r="MZ185" s="12"/>
      <c r="NA185" s="12"/>
      <c r="NB185" s="12"/>
      <c r="NC185" s="12"/>
      <c r="ND185" s="12"/>
      <c r="NE185" s="12"/>
      <c r="NF185" s="12"/>
      <c r="NG185" s="12"/>
      <c r="NH185" s="12"/>
      <c r="NI185" s="12"/>
      <c r="NJ185" s="12"/>
      <c r="NK185" s="12"/>
      <c r="NL185" s="12"/>
      <c r="NM185" s="12"/>
      <c r="NN185" s="12"/>
      <c r="NO185" s="12"/>
      <c r="NP185" s="12"/>
      <c r="NQ185" s="12"/>
      <c r="NR185" s="12"/>
      <c r="NS185" s="12"/>
      <c r="NT185" s="12"/>
      <c r="NU185" s="12"/>
      <c r="NV185" s="12"/>
      <c r="NW185" s="12"/>
      <c r="NX185" s="12"/>
      <c r="NY185" s="12"/>
      <c r="NZ185" s="12"/>
      <c r="OA185" s="12"/>
      <c r="OB185" s="12"/>
      <c r="OC185" s="12"/>
      <c r="OD185" s="12"/>
      <c r="OE185" s="12"/>
      <c r="OF185" s="12"/>
      <c r="OG185" s="12"/>
      <c r="OH185" s="12"/>
      <c r="OI185" s="12"/>
      <c r="OJ185" s="12"/>
      <c r="OK185" s="12"/>
      <c r="OL185" s="12"/>
      <c r="OM185" s="12"/>
      <c r="ON185" s="12"/>
      <c r="OO185" s="12"/>
      <c r="OP185" s="12"/>
      <c r="OQ185" s="12"/>
      <c r="OR185" s="12"/>
      <c r="OS185" s="12"/>
      <c r="OT185" s="12"/>
      <c r="OU185" s="12"/>
      <c r="OV185" s="12"/>
      <c r="OW185" s="12"/>
      <c r="OX185" s="12"/>
      <c r="OY185" s="12"/>
      <c r="OZ185" s="12"/>
      <c r="PA185" s="12"/>
      <c r="PB185" s="12"/>
      <c r="PC185" s="12"/>
      <c r="PD185" s="12"/>
      <c r="PE185" s="12"/>
      <c r="PF185" s="12"/>
      <c r="PG185" s="12"/>
      <c r="PH185" s="12"/>
      <c r="PI185" s="12"/>
      <c r="PJ185" s="12"/>
      <c r="PK185" s="12"/>
      <c r="PL185" s="12"/>
      <c r="PM185" s="12"/>
      <c r="PN185" s="12"/>
      <c r="PO185" s="12"/>
      <c r="PP185" s="12"/>
      <c r="PQ185" s="12"/>
      <c r="PR185" s="12"/>
      <c r="PS185" s="12"/>
      <c r="PT185" s="12"/>
      <c r="PU185" s="12"/>
      <c r="PV185" s="12"/>
      <c r="PW185" s="12"/>
      <c r="PX185" s="12"/>
      <c r="PY185" s="12"/>
      <c r="PZ185" s="12"/>
      <c r="QA185" s="12"/>
      <c r="QB185" s="12"/>
      <c r="QC185" s="12"/>
      <c r="QD185" s="12"/>
      <c r="QE185" s="12"/>
      <c r="QF185" s="12"/>
      <c r="QG185" s="12"/>
      <c r="QH185" s="12"/>
      <c r="QI185" s="12"/>
      <c r="QJ185" s="12"/>
      <c r="QK185" s="12"/>
      <c r="QL185" s="12"/>
      <c r="QM185" s="12"/>
      <c r="QN185" s="12"/>
      <c r="QO185" s="12"/>
      <c r="QP185" s="12"/>
      <c r="QQ185" s="12"/>
      <c r="QR185" s="12"/>
      <c r="QS185" s="12"/>
      <c r="QT185" s="12"/>
      <c r="QU185" s="12"/>
      <c r="QV185" s="12"/>
      <c r="QW185" s="12"/>
      <c r="QX185" s="12"/>
      <c r="QY185" s="12"/>
      <c r="QZ185" s="12"/>
      <c r="RA185" s="12"/>
      <c r="RB185" s="12"/>
      <c r="RC185" s="12"/>
      <c r="RD185" s="12"/>
      <c r="RE185" s="12"/>
      <c r="RF185" s="12"/>
      <c r="RG185" s="12"/>
      <c r="RH185" s="12"/>
      <c r="RI185" s="12"/>
      <c r="RJ185" s="12"/>
      <c r="RK185" s="12"/>
      <c r="RL185" s="12"/>
      <c r="RM185" s="12"/>
      <c r="RN185" s="12"/>
      <c r="RO185" s="12"/>
      <c r="RP185" s="12"/>
      <c r="RQ185" s="12"/>
      <c r="RR185" s="12"/>
      <c r="RS185" s="12"/>
      <c r="RT185" s="12"/>
      <c r="RU185" s="12"/>
      <c r="RV185" s="12"/>
      <c r="RW185" s="12"/>
      <c r="RX185" s="12"/>
      <c r="RY185" s="12"/>
      <c r="RZ185" s="12"/>
      <c r="SA185" s="12"/>
      <c r="SB185" s="12"/>
      <c r="SC185" s="12"/>
      <c r="SD185" s="12"/>
      <c r="SE185" s="12"/>
      <c r="SF185" s="12"/>
      <c r="SG185" s="12"/>
      <c r="SH185" s="11"/>
      <c r="SI185" s="11"/>
      <c r="SJ185" s="11"/>
      <c r="SK185" s="11"/>
      <c r="SL185" s="11"/>
      <c r="SM185" s="11"/>
      <c r="SN185" s="11"/>
      <c r="SO185" s="11"/>
      <c r="SP185" s="11"/>
      <c r="SQ185" s="11"/>
      <c r="SR185" s="11"/>
      <c r="SS185" s="11"/>
      <c r="ST185" s="11"/>
      <c r="SU185" s="11"/>
      <c r="SV185" s="11"/>
      <c r="SW185" s="11"/>
      <c r="SX185" s="11"/>
      <c r="SY185" s="11"/>
      <c r="SZ185" s="11"/>
      <c r="TA185" s="11"/>
      <c r="TB185" s="11"/>
      <c r="TC185" s="11"/>
      <c r="TD185" s="11"/>
      <c r="TE185" s="11"/>
      <c r="TF185" s="11"/>
      <c r="TG185" s="11"/>
      <c r="TH185" s="11"/>
      <c r="TI185" s="11"/>
      <c r="TJ185" s="11"/>
      <c r="TK185" s="11"/>
      <c r="TL185" s="11"/>
    </row>
    <row r="186" spans="1:532" x14ac:dyDescent="0.2">
      <c r="A186" s="10" t="s">
        <v>185</v>
      </c>
      <c r="B186" s="12">
        <v>14.17</v>
      </c>
      <c r="C186" s="11">
        <v>0</v>
      </c>
      <c r="D186" s="11">
        <v>0.82168677672007873</v>
      </c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  <c r="CO186" s="12"/>
      <c r="CP186" s="12"/>
      <c r="CQ186" s="12"/>
      <c r="CR186" s="12"/>
      <c r="CS186" s="12"/>
      <c r="CT186" s="12"/>
      <c r="CU186" s="12"/>
      <c r="CV186" s="12"/>
      <c r="CW186" s="12"/>
      <c r="CX186" s="12"/>
      <c r="CY186" s="12"/>
      <c r="CZ186" s="12"/>
      <c r="DA186" s="12"/>
      <c r="DB186" s="12"/>
      <c r="DC186" s="12"/>
      <c r="DD186" s="12"/>
      <c r="DE186" s="12"/>
      <c r="DF186" s="12"/>
      <c r="DG186" s="12"/>
      <c r="DH186" s="12"/>
      <c r="DI186" s="12"/>
      <c r="DJ186" s="12"/>
      <c r="DK186" s="12"/>
      <c r="DL186" s="12"/>
      <c r="DM186" s="12"/>
      <c r="DN186" s="12"/>
      <c r="DO186" s="12"/>
      <c r="DP186" s="12"/>
      <c r="DQ186" s="12"/>
      <c r="DR186" s="12"/>
      <c r="DS186" s="12"/>
      <c r="DT186" s="12"/>
      <c r="DU186" s="12"/>
      <c r="DV186" s="12"/>
      <c r="DW186" s="12"/>
      <c r="DX186" s="12"/>
      <c r="DY186" s="12"/>
      <c r="DZ186" s="12"/>
      <c r="EA186" s="12"/>
      <c r="EB186" s="12"/>
      <c r="EC186" s="12"/>
      <c r="ED186" s="12"/>
      <c r="EE186" s="12"/>
      <c r="EF186" s="12"/>
      <c r="EG186" s="12"/>
      <c r="EH186" s="12"/>
      <c r="EI186" s="12"/>
      <c r="EJ186" s="12"/>
      <c r="EK186" s="12"/>
      <c r="EL186" s="12"/>
      <c r="EM186" s="12"/>
      <c r="EN186" s="12"/>
      <c r="EO186" s="12"/>
      <c r="EP186" s="12"/>
      <c r="EQ186" s="12"/>
      <c r="ER186" s="12"/>
      <c r="ES186" s="12"/>
      <c r="ET186" s="12"/>
      <c r="EU186" s="12"/>
      <c r="EV186" s="12"/>
      <c r="EW186" s="12"/>
      <c r="EX186" s="12"/>
      <c r="EY186" s="12"/>
      <c r="EZ186" s="12"/>
      <c r="FA186" s="12"/>
      <c r="FB186" s="12"/>
      <c r="FC186" s="12"/>
      <c r="FD186" s="12"/>
      <c r="FE186" s="12"/>
      <c r="FF186" s="12"/>
      <c r="FG186" s="12"/>
      <c r="FH186" s="12"/>
      <c r="FI186" s="12"/>
      <c r="FJ186" s="12"/>
      <c r="FK186" s="12"/>
      <c r="FL186" s="12"/>
      <c r="FM186" s="12"/>
      <c r="FN186" s="12"/>
      <c r="FO186" s="12"/>
      <c r="FP186" s="12"/>
      <c r="FQ186" s="12"/>
      <c r="FR186" s="12"/>
      <c r="FS186" s="12"/>
      <c r="FT186" s="12"/>
      <c r="FU186" s="12"/>
      <c r="FV186" s="12"/>
      <c r="FW186" s="12"/>
      <c r="FX186" s="12"/>
      <c r="FY186" s="12"/>
      <c r="FZ186" s="12"/>
      <c r="GA186" s="12"/>
      <c r="GB186" s="12"/>
      <c r="GC186" s="12"/>
      <c r="GD186" s="12"/>
      <c r="GE186" s="12"/>
      <c r="GF186" s="12"/>
      <c r="GG186" s="12"/>
      <c r="GH186" s="12"/>
      <c r="GI186" s="12"/>
      <c r="GJ186" s="12"/>
      <c r="GK186" s="12"/>
      <c r="GL186" s="12"/>
      <c r="GM186" s="12"/>
      <c r="GN186" s="12"/>
      <c r="GO186" s="12"/>
      <c r="GP186" s="12"/>
      <c r="GQ186" s="12"/>
      <c r="GR186" s="12"/>
      <c r="GS186" s="12"/>
      <c r="GT186" s="12"/>
      <c r="GU186" s="12"/>
      <c r="GV186" s="12"/>
      <c r="GW186" s="12"/>
      <c r="GX186" s="12"/>
      <c r="GY186" s="12"/>
      <c r="GZ186" s="12"/>
      <c r="HA186" s="12"/>
      <c r="HB186" s="12"/>
      <c r="HC186" s="12"/>
      <c r="HD186" s="12"/>
      <c r="HE186" s="12"/>
      <c r="HF186" s="12"/>
      <c r="HG186" s="12"/>
      <c r="HH186" s="12"/>
      <c r="HI186" s="12"/>
      <c r="HJ186" s="12"/>
      <c r="HK186" s="12"/>
      <c r="HL186" s="12"/>
      <c r="HM186" s="12"/>
      <c r="HN186" s="12"/>
      <c r="HO186" s="12"/>
      <c r="HP186" s="12"/>
      <c r="HQ186" s="12"/>
      <c r="HR186" s="12"/>
      <c r="HS186" s="12"/>
      <c r="HT186" s="12"/>
      <c r="HU186" s="12"/>
      <c r="HV186" s="12"/>
      <c r="HW186" s="12"/>
      <c r="HX186" s="12"/>
      <c r="HY186" s="12"/>
      <c r="HZ186" s="12"/>
      <c r="IA186" s="12"/>
      <c r="IB186" s="12"/>
      <c r="IC186" s="12"/>
      <c r="ID186" s="12"/>
      <c r="IE186" s="12"/>
      <c r="IF186" s="12"/>
      <c r="IG186" s="12"/>
      <c r="IH186" s="12"/>
      <c r="II186" s="12"/>
      <c r="IJ186" s="12"/>
      <c r="IK186" s="12"/>
      <c r="IL186" s="12"/>
      <c r="IM186" s="12"/>
      <c r="IN186" s="12"/>
      <c r="IO186" s="12"/>
      <c r="IP186" s="12"/>
      <c r="IQ186" s="12"/>
      <c r="IR186" s="12"/>
      <c r="IS186" s="12"/>
      <c r="IT186" s="12"/>
      <c r="IU186" s="12"/>
      <c r="IV186" s="12"/>
      <c r="IW186" s="12"/>
      <c r="IX186" s="12"/>
      <c r="IY186" s="12"/>
      <c r="IZ186" s="12"/>
      <c r="JA186" s="12"/>
      <c r="JB186" s="12"/>
      <c r="JC186" s="12"/>
      <c r="JD186" s="12"/>
      <c r="JE186" s="12"/>
      <c r="JF186" s="12"/>
      <c r="JG186" s="12"/>
      <c r="JH186" s="12"/>
      <c r="JI186" s="12"/>
      <c r="JJ186" s="12"/>
      <c r="JK186" s="12"/>
      <c r="JL186" s="12"/>
      <c r="JM186" s="12"/>
      <c r="JN186" s="12"/>
      <c r="JO186" s="12"/>
      <c r="JP186" s="12"/>
      <c r="JQ186" s="12"/>
      <c r="JR186" s="12"/>
      <c r="JS186" s="12"/>
      <c r="JT186" s="12"/>
      <c r="JU186" s="12"/>
      <c r="JV186" s="12"/>
      <c r="JW186" s="12"/>
      <c r="JX186" s="12"/>
      <c r="JY186" s="12"/>
      <c r="JZ186" s="12"/>
      <c r="KA186" s="12"/>
      <c r="KB186" s="12"/>
      <c r="KC186" s="12"/>
      <c r="KD186" s="12"/>
      <c r="KE186" s="12"/>
      <c r="KF186" s="12"/>
      <c r="KG186" s="12"/>
      <c r="KH186" s="12"/>
      <c r="KI186" s="12"/>
      <c r="KJ186" s="12"/>
      <c r="KK186" s="12"/>
      <c r="KL186" s="12"/>
      <c r="KM186" s="12"/>
      <c r="KN186" s="12"/>
      <c r="KO186" s="12"/>
      <c r="KP186" s="12"/>
      <c r="KQ186" s="12"/>
      <c r="KR186" s="12"/>
      <c r="KS186" s="12"/>
      <c r="KT186" s="12"/>
      <c r="KU186" s="12"/>
      <c r="KV186" s="12"/>
      <c r="KW186" s="12"/>
      <c r="KX186" s="12"/>
      <c r="KY186" s="12"/>
      <c r="KZ186" s="12"/>
      <c r="LA186" s="12"/>
      <c r="LB186" s="12"/>
      <c r="LC186" s="12"/>
      <c r="LD186" s="12"/>
      <c r="LE186" s="12"/>
      <c r="LF186" s="12"/>
      <c r="LG186" s="12"/>
      <c r="LH186" s="12"/>
      <c r="LI186" s="12"/>
      <c r="LJ186" s="12"/>
      <c r="LK186" s="12"/>
      <c r="LL186" s="12"/>
      <c r="LM186" s="12"/>
      <c r="LN186" s="12"/>
      <c r="LO186" s="12"/>
      <c r="LP186" s="12"/>
      <c r="LQ186" s="12"/>
      <c r="LR186" s="12"/>
      <c r="LS186" s="12"/>
      <c r="LT186" s="12"/>
      <c r="LU186" s="12"/>
      <c r="LV186" s="12"/>
      <c r="LW186" s="12"/>
      <c r="LX186" s="12"/>
      <c r="LY186" s="12"/>
      <c r="LZ186" s="12"/>
      <c r="MA186" s="12"/>
      <c r="MB186" s="12"/>
      <c r="MC186" s="12"/>
      <c r="MD186" s="12"/>
      <c r="ME186" s="12"/>
      <c r="MF186" s="12"/>
      <c r="MG186" s="12"/>
      <c r="MH186" s="12"/>
      <c r="MI186" s="12"/>
      <c r="MJ186" s="12"/>
      <c r="MK186" s="12"/>
      <c r="ML186" s="12"/>
      <c r="MM186" s="12"/>
      <c r="MN186" s="12"/>
      <c r="MO186" s="12"/>
      <c r="MP186" s="12"/>
      <c r="MQ186" s="12"/>
      <c r="MR186" s="12"/>
      <c r="MS186" s="12"/>
      <c r="MT186" s="12"/>
      <c r="MU186" s="12"/>
      <c r="MV186" s="12"/>
      <c r="MW186" s="12"/>
      <c r="MX186" s="12"/>
      <c r="MY186" s="12"/>
      <c r="MZ186" s="12"/>
      <c r="NA186" s="12"/>
      <c r="NB186" s="12"/>
      <c r="NC186" s="12"/>
      <c r="ND186" s="12"/>
      <c r="NE186" s="12"/>
      <c r="NF186" s="12"/>
      <c r="NG186" s="12"/>
      <c r="NH186" s="12"/>
      <c r="NI186" s="12"/>
      <c r="NJ186" s="12"/>
      <c r="NK186" s="12"/>
      <c r="NL186" s="12"/>
      <c r="NM186" s="12"/>
      <c r="NN186" s="12"/>
      <c r="NO186" s="12"/>
      <c r="NP186" s="12"/>
      <c r="NQ186" s="12"/>
      <c r="NR186" s="12"/>
      <c r="NS186" s="12"/>
      <c r="NT186" s="12"/>
      <c r="NU186" s="12"/>
      <c r="NV186" s="12"/>
      <c r="NW186" s="12"/>
      <c r="NX186" s="12"/>
      <c r="NY186" s="12"/>
      <c r="NZ186" s="12"/>
      <c r="OA186" s="12"/>
      <c r="OB186" s="12"/>
      <c r="OC186" s="12"/>
      <c r="OD186" s="12"/>
      <c r="OE186" s="12"/>
      <c r="OF186" s="12"/>
      <c r="OG186" s="12"/>
      <c r="OH186" s="12"/>
      <c r="OI186" s="12"/>
      <c r="OJ186" s="12"/>
      <c r="OK186" s="12"/>
      <c r="OL186" s="12"/>
      <c r="OM186" s="12"/>
      <c r="ON186" s="12"/>
      <c r="OO186" s="12"/>
      <c r="OP186" s="12"/>
      <c r="OQ186" s="12"/>
      <c r="OR186" s="12"/>
      <c r="OS186" s="12"/>
      <c r="OT186" s="12"/>
      <c r="OU186" s="12"/>
      <c r="OV186" s="12"/>
      <c r="OW186" s="12"/>
      <c r="OX186" s="12"/>
      <c r="OY186" s="12"/>
      <c r="OZ186" s="12"/>
      <c r="PA186" s="12"/>
      <c r="PB186" s="12"/>
      <c r="PC186" s="12"/>
      <c r="PD186" s="12"/>
      <c r="PE186" s="12"/>
      <c r="PF186" s="12"/>
      <c r="PG186" s="12"/>
      <c r="PH186" s="12"/>
      <c r="PI186" s="12"/>
      <c r="PJ186" s="12"/>
      <c r="PK186" s="12"/>
      <c r="PL186" s="12"/>
      <c r="PM186" s="12"/>
      <c r="PN186" s="12"/>
      <c r="PO186" s="12"/>
      <c r="PP186" s="12"/>
      <c r="PQ186" s="12"/>
      <c r="PR186" s="12"/>
      <c r="PS186" s="12"/>
      <c r="PT186" s="12"/>
      <c r="PU186" s="12"/>
      <c r="PV186" s="12"/>
      <c r="PW186" s="12"/>
      <c r="PX186" s="12"/>
      <c r="PY186" s="12"/>
      <c r="PZ186" s="12"/>
      <c r="QA186" s="12"/>
      <c r="QB186" s="12"/>
      <c r="QC186" s="12"/>
      <c r="QD186" s="12"/>
      <c r="QE186" s="12"/>
      <c r="QF186" s="12"/>
      <c r="QG186" s="12"/>
      <c r="QH186" s="12"/>
      <c r="QI186" s="12"/>
      <c r="QJ186" s="12"/>
      <c r="QK186" s="12"/>
      <c r="QL186" s="12"/>
      <c r="QM186" s="12"/>
      <c r="QN186" s="12"/>
      <c r="QO186" s="12"/>
      <c r="QP186" s="12"/>
      <c r="QQ186" s="12"/>
      <c r="QR186" s="12"/>
      <c r="QS186" s="12"/>
      <c r="QT186" s="12"/>
      <c r="QU186" s="12"/>
      <c r="QV186" s="12"/>
      <c r="QW186" s="12"/>
      <c r="QX186" s="12"/>
      <c r="QY186" s="12"/>
      <c r="QZ186" s="12"/>
      <c r="RA186" s="12"/>
      <c r="RB186" s="12"/>
      <c r="RC186" s="12"/>
      <c r="RD186" s="12"/>
      <c r="RE186" s="12"/>
      <c r="RF186" s="12"/>
      <c r="RG186" s="12"/>
      <c r="RH186" s="12"/>
      <c r="RI186" s="12"/>
      <c r="RJ186" s="12"/>
      <c r="RK186" s="12"/>
      <c r="RL186" s="12"/>
      <c r="RM186" s="12"/>
      <c r="RN186" s="12"/>
      <c r="RO186" s="12"/>
      <c r="RP186" s="12"/>
      <c r="RQ186" s="12"/>
      <c r="RR186" s="12"/>
      <c r="RS186" s="12"/>
      <c r="RT186" s="12"/>
      <c r="RU186" s="12"/>
      <c r="RV186" s="12"/>
      <c r="RW186" s="12"/>
      <c r="RX186" s="12"/>
      <c r="RY186" s="12"/>
      <c r="RZ186" s="12"/>
      <c r="SA186" s="12"/>
      <c r="SB186" s="12"/>
      <c r="SC186" s="12"/>
      <c r="SD186" s="12"/>
      <c r="SE186" s="12"/>
      <c r="SF186" s="12"/>
      <c r="SG186" s="12"/>
      <c r="SH186" s="11"/>
      <c r="SI186" s="11"/>
      <c r="SJ186" s="11"/>
      <c r="SK186" s="11"/>
      <c r="SL186" s="11"/>
      <c r="SM186" s="11"/>
      <c r="SN186" s="11"/>
      <c r="SO186" s="11"/>
      <c r="SP186" s="11"/>
      <c r="SQ186" s="11"/>
      <c r="SR186" s="11"/>
      <c r="SS186" s="11"/>
      <c r="ST186" s="11"/>
      <c r="SU186" s="11"/>
      <c r="SV186" s="11"/>
      <c r="SW186" s="11"/>
      <c r="SX186" s="11"/>
      <c r="SY186" s="11"/>
      <c r="SZ186" s="11"/>
      <c r="TA186" s="11"/>
      <c r="TB186" s="11"/>
      <c r="TC186" s="11"/>
      <c r="TD186" s="11"/>
      <c r="TE186" s="11"/>
      <c r="TF186" s="11"/>
      <c r="TG186" s="11"/>
      <c r="TH186" s="11"/>
      <c r="TI186" s="11"/>
      <c r="TJ186" s="11"/>
      <c r="TK186" s="11"/>
      <c r="TL186" s="11"/>
    </row>
    <row r="187" spans="1:532" x14ac:dyDescent="0.2">
      <c r="A187" s="10" t="s">
        <v>186</v>
      </c>
      <c r="B187" s="12">
        <v>12.87</v>
      </c>
      <c r="C187" s="11">
        <v>0</v>
      </c>
      <c r="D187" s="11">
        <v>2.1086660655587561</v>
      </c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  <c r="CO187" s="12"/>
      <c r="CP187" s="12"/>
      <c r="CQ187" s="12"/>
      <c r="CR187" s="12"/>
      <c r="CS187" s="12"/>
      <c r="CT187" s="12"/>
      <c r="CU187" s="12"/>
      <c r="CV187" s="12"/>
      <c r="CW187" s="12"/>
      <c r="CX187" s="12"/>
      <c r="CY187" s="12"/>
      <c r="CZ187" s="12"/>
      <c r="DA187" s="12"/>
      <c r="DB187" s="12"/>
      <c r="DC187" s="12"/>
      <c r="DD187" s="12"/>
      <c r="DE187" s="12"/>
      <c r="DF187" s="12"/>
      <c r="DG187" s="12"/>
      <c r="DH187" s="12"/>
      <c r="DI187" s="12"/>
      <c r="DJ187" s="12"/>
      <c r="DK187" s="12"/>
      <c r="DL187" s="12"/>
      <c r="DM187" s="12"/>
      <c r="DN187" s="12"/>
      <c r="DO187" s="12"/>
      <c r="DP187" s="12"/>
      <c r="DQ187" s="12"/>
      <c r="DR187" s="12"/>
      <c r="DS187" s="12"/>
      <c r="DT187" s="12"/>
      <c r="DU187" s="12"/>
      <c r="DV187" s="12"/>
      <c r="DW187" s="12"/>
      <c r="DX187" s="12"/>
      <c r="DY187" s="12"/>
      <c r="DZ187" s="12"/>
      <c r="EA187" s="12"/>
      <c r="EB187" s="12"/>
      <c r="EC187" s="12"/>
      <c r="ED187" s="12"/>
      <c r="EE187" s="12"/>
      <c r="EF187" s="12"/>
      <c r="EG187" s="12"/>
      <c r="EH187" s="12"/>
      <c r="EI187" s="12"/>
      <c r="EJ187" s="12"/>
      <c r="EK187" s="12"/>
      <c r="EL187" s="12"/>
      <c r="EM187" s="12"/>
      <c r="EN187" s="12"/>
      <c r="EO187" s="12"/>
      <c r="EP187" s="12"/>
      <c r="EQ187" s="12"/>
      <c r="ER187" s="12"/>
      <c r="ES187" s="12"/>
      <c r="ET187" s="12"/>
      <c r="EU187" s="12"/>
      <c r="EV187" s="12"/>
      <c r="EW187" s="12"/>
      <c r="EX187" s="12"/>
      <c r="EY187" s="12"/>
      <c r="EZ187" s="12"/>
      <c r="FA187" s="12"/>
      <c r="FB187" s="12"/>
      <c r="FC187" s="12"/>
      <c r="FD187" s="12"/>
      <c r="FE187" s="12"/>
      <c r="FF187" s="12"/>
      <c r="FG187" s="12"/>
      <c r="FH187" s="12"/>
      <c r="FI187" s="12"/>
      <c r="FJ187" s="12"/>
      <c r="FK187" s="12"/>
      <c r="FL187" s="12"/>
      <c r="FM187" s="12"/>
      <c r="FN187" s="12"/>
      <c r="FO187" s="12"/>
      <c r="FP187" s="12"/>
      <c r="FQ187" s="12"/>
      <c r="FR187" s="12"/>
      <c r="FS187" s="12"/>
      <c r="FT187" s="12"/>
      <c r="FU187" s="12"/>
      <c r="FV187" s="12"/>
      <c r="FW187" s="12"/>
      <c r="FX187" s="12"/>
      <c r="FY187" s="12"/>
      <c r="FZ187" s="12"/>
      <c r="GA187" s="12"/>
      <c r="GB187" s="12"/>
      <c r="GC187" s="12"/>
      <c r="GD187" s="12"/>
      <c r="GE187" s="12"/>
      <c r="GF187" s="12"/>
      <c r="GG187" s="12"/>
      <c r="GH187" s="12"/>
      <c r="GI187" s="12"/>
      <c r="GJ187" s="12"/>
      <c r="GK187" s="12"/>
      <c r="GL187" s="12"/>
      <c r="GM187" s="12"/>
      <c r="GN187" s="12"/>
      <c r="GO187" s="12"/>
      <c r="GP187" s="12"/>
      <c r="GQ187" s="12"/>
      <c r="GR187" s="12"/>
      <c r="GS187" s="12"/>
      <c r="GT187" s="12"/>
      <c r="GU187" s="12"/>
      <c r="GV187" s="12"/>
      <c r="GW187" s="12"/>
      <c r="GX187" s="12"/>
      <c r="GY187" s="12"/>
      <c r="GZ187" s="12"/>
      <c r="HA187" s="12"/>
      <c r="HB187" s="12"/>
      <c r="HC187" s="12"/>
      <c r="HD187" s="12"/>
      <c r="HE187" s="12"/>
      <c r="HF187" s="12"/>
      <c r="HG187" s="12"/>
      <c r="HH187" s="12"/>
      <c r="HI187" s="12"/>
      <c r="HJ187" s="12"/>
      <c r="HK187" s="12"/>
      <c r="HL187" s="12"/>
      <c r="HM187" s="12"/>
      <c r="HN187" s="12"/>
      <c r="HO187" s="12"/>
      <c r="HP187" s="12"/>
      <c r="HQ187" s="12"/>
      <c r="HR187" s="12"/>
      <c r="HS187" s="12"/>
      <c r="HT187" s="12"/>
      <c r="HU187" s="12"/>
      <c r="HV187" s="12"/>
      <c r="HW187" s="12"/>
      <c r="HX187" s="12"/>
      <c r="HY187" s="12"/>
      <c r="HZ187" s="12"/>
      <c r="IA187" s="12"/>
      <c r="IB187" s="12"/>
      <c r="IC187" s="12"/>
      <c r="ID187" s="12"/>
      <c r="IE187" s="12"/>
      <c r="IF187" s="12"/>
      <c r="IG187" s="12"/>
      <c r="IH187" s="12"/>
      <c r="II187" s="12"/>
      <c r="IJ187" s="12"/>
      <c r="IK187" s="12"/>
      <c r="IL187" s="12"/>
      <c r="IM187" s="12"/>
      <c r="IN187" s="12"/>
      <c r="IO187" s="12"/>
      <c r="IP187" s="12"/>
      <c r="IQ187" s="12"/>
      <c r="IR187" s="12"/>
      <c r="IS187" s="12"/>
      <c r="IT187" s="12"/>
      <c r="IU187" s="12"/>
      <c r="IV187" s="12"/>
      <c r="IW187" s="12"/>
      <c r="IX187" s="12"/>
      <c r="IY187" s="12"/>
      <c r="IZ187" s="12"/>
      <c r="JA187" s="12"/>
      <c r="JB187" s="12"/>
      <c r="JC187" s="12"/>
      <c r="JD187" s="12"/>
      <c r="JE187" s="12"/>
      <c r="JF187" s="12"/>
      <c r="JG187" s="12"/>
      <c r="JH187" s="12"/>
      <c r="JI187" s="12"/>
      <c r="JJ187" s="12"/>
      <c r="JK187" s="12"/>
      <c r="JL187" s="12"/>
      <c r="JM187" s="12"/>
      <c r="JN187" s="12"/>
      <c r="JO187" s="12"/>
      <c r="JP187" s="12"/>
      <c r="JQ187" s="12"/>
      <c r="JR187" s="12"/>
      <c r="JS187" s="12"/>
      <c r="JT187" s="12"/>
      <c r="JU187" s="12"/>
      <c r="JV187" s="12"/>
      <c r="JW187" s="12"/>
      <c r="JX187" s="12"/>
      <c r="JY187" s="12"/>
      <c r="JZ187" s="12"/>
      <c r="KA187" s="12"/>
      <c r="KB187" s="12"/>
      <c r="KC187" s="12"/>
      <c r="KD187" s="12"/>
      <c r="KE187" s="12"/>
      <c r="KF187" s="12"/>
      <c r="KG187" s="12"/>
      <c r="KH187" s="12"/>
      <c r="KI187" s="12"/>
      <c r="KJ187" s="12"/>
      <c r="KK187" s="12"/>
      <c r="KL187" s="12"/>
      <c r="KM187" s="12"/>
      <c r="KN187" s="12"/>
      <c r="KO187" s="12"/>
      <c r="KP187" s="12"/>
      <c r="KQ187" s="12"/>
      <c r="KR187" s="12"/>
      <c r="KS187" s="12"/>
      <c r="KT187" s="12"/>
      <c r="KU187" s="12"/>
      <c r="KV187" s="12"/>
      <c r="KW187" s="12"/>
      <c r="KX187" s="12"/>
      <c r="KY187" s="12"/>
      <c r="KZ187" s="12"/>
      <c r="LA187" s="12"/>
      <c r="LB187" s="12"/>
      <c r="LC187" s="12"/>
      <c r="LD187" s="12"/>
      <c r="LE187" s="12"/>
      <c r="LF187" s="12"/>
      <c r="LG187" s="12"/>
      <c r="LH187" s="12"/>
      <c r="LI187" s="12"/>
      <c r="LJ187" s="12"/>
      <c r="LK187" s="12"/>
      <c r="LL187" s="12"/>
      <c r="LM187" s="12"/>
      <c r="LN187" s="12"/>
      <c r="LO187" s="12"/>
      <c r="LP187" s="12"/>
      <c r="LQ187" s="12"/>
      <c r="LR187" s="12"/>
      <c r="LS187" s="12"/>
      <c r="LT187" s="12"/>
      <c r="LU187" s="12"/>
      <c r="LV187" s="12"/>
      <c r="LW187" s="12"/>
      <c r="LX187" s="12"/>
      <c r="LY187" s="12"/>
      <c r="LZ187" s="12"/>
      <c r="MA187" s="12"/>
      <c r="MB187" s="12"/>
      <c r="MC187" s="12"/>
      <c r="MD187" s="12"/>
      <c r="ME187" s="12"/>
      <c r="MF187" s="12"/>
      <c r="MG187" s="12"/>
      <c r="MH187" s="12"/>
      <c r="MI187" s="12"/>
      <c r="MJ187" s="12"/>
      <c r="MK187" s="12"/>
      <c r="ML187" s="12"/>
      <c r="MM187" s="12"/>
      <c r="MN187" s="12"/>
      <c r="MO187" s="12"/>
      <c r="MP187" s="12"/>
      <c r="MQ187" s="12"/>
      <c r="MR187" s="12"/>
      <c r="MS187" s="12"/>
      <c r="MT187" s="12"/>
      <c r="MU187" s="12"/>
      <c r="MV187" s="12"/>
      <c r="MW187" s="12"/>
      <c r="MX187" s="12"/>
      <c r="MY187" s="12"/>
      <c r="MZ187" s="12"/>
      <c r="NA187" s="12"/>
      <c r="NB187" s="12"/>
      <c r="NC187" s="12"/>
      <c r="ND187" s="12"/>
      <c r="NE187" s="12"/>
      <c r="NF187" s="12"/>
      <c r="NG187" s="12"/>
      <c r="NH187" s="12"/>
      <c r="NI187" s="12"/>
      <c r="NJ187" s="12"/>
      <c r="NK187" s="12"/>
      <c r="NL187" s="12"/>
      <c r="NM187" s="12"/>
      <c r="NN187" s="12"/>
      <c r="NO187" s="12"/>
      <c r="NP187" s="12"/>
      <c r="NQ187" s="12"/>
      <c r="NR187" s="12"/>
      <c r="NS187" s="12"/>
      <c r="NT187" s="12"/>
      <c r="NU187" s="12"/>
      <c r="NV187" s="12"/>
      <c r="NW187" s="12"/>
      <c r="NX187" s="12"/>
      <c r="NY187" s="12"/>
      <c r="NZ187" s="12"/>
      <c r="OA187" s="12"/>
      <c r="OB187" s="12"/>
      <c r="OC187" s="12"/>
      <c r="OD187" s="12"/>
      <c r="OE187" s="12"/>
      <c r="OF187" s="12"/>
      <c r="OG187" s="12"/>
      <c r="OH187" s="12"/>
      <c r="OI187" s="12"/>
      <c r="OJ187" s="12"/>
      <c r="OK187" s="12"/>
      <c r="OL187" s="12"/>
      <c r="OM187" s="12"/>
      <c r="ON187" s="12"/>
      <c r="OO187" s="12"/>
      <c r="OP187" s="12"/>
      <c r="OQ187" s="12"/>
      <c r="OR187" s="12"/>
      <c r="OS187" s="12"/>
      <c r="OT187" s="12"/>
      <c r="OU187" s="12"/>
      <c r="OV187" s="12"/>
      <c r="OW187" s="12"/>
      <c r="OX187" s="12"/>
      <c r="OY187" s="12"/>
      <c r="OZ187" s="12"/>
      <c r="PA187" s="12"/>
      <c r="PB187" s="12"/>
      <c r="PC187" s="12"/>
      <c r="PD187" s="12"/>
      <c r="PE187" s="12"/>
      <c r="PF187" s="12"/>
      <c r="PG187" s="12"/>
      <c r="PH187" s="12"/>
      <c r="PI187" s="12"/>
      <c r="PJ187" s="12"/>
      <c r="PK187" s="12"/>
      <c r="PL187" s="12"/>
      <c r="PM187" s="12"/>
      <c r="PN187" s="12"/>
      <c r="PO187" s="12"/>
      <c r="PP187" s="12"/>
      <c r="PQ187" s="12"/>
      <c r="PR187" s="12"/>
      <c r="PS187" s="12"/>
      <c r="PT187" s="12"/>
      <c r="PU187" s="12"/>
      <c r="PV187" s="12"/>
      <c r="PW187" s="12"/>
      <c r="PX187" s="12"/>
      <c r="PY187" s="12"/>
      <c r="PZ187" s="12"/>
      <c r="QA187" s="12"/>
      <c r="QB187" s="12"/>
      <c r="QC187" s="12"/>
      <c r="QD187" s="12"/>
      <c r="QE187" s="12"/>
      <c r="QF187" s="12"/>
      <c r="QG187" s="12"/>
      <c r="QH187" s="12"/>
      <c r="QI187" s="12"/>
      <c r="QJ187" s="12"/>
      <c r="QK187" s="12"/>
      <c r="QL187" s="12"/>
      <c r="QM187" s="12"/>
      <c r="QN187" s="12"/>
      <c r="QO187" s="12"/>
      <c r="QP187" s="12"/>
      <c r="QQ187" s="12"/>
      <c r="QR187" s="12"/>
      <c r="QS187" s="12"/>
      <c r="QT187" s="12"/>
      <c r="QU187" s="12"/>
      <c r="QV187" s="12"/>
      <c r="QW187" s="12"/>
      <c r="QX187" s="12"/>
      <c r="QY187" s="12"/>
      <c r="QZ187" s="12"/>
      <c r="RA187" s="12"/>
      <c r="RB187" s="12"/>
      <c r="RC187" s="12"/>
      <c r="RD187" s="12"/>
      <c r="RE187" s="12"/>
      <c r="RF187" s="12"/>
      <c r="RG187" s="12"/>
      <c r="RH187" s="12"/>
      <c r="RI187" s="12"/>
      <c r="RJ187" s="12"/>
      <c r="RK187" s="12"/>
      <c r="RL187" s="12"/>
      <c r="RM187" s="12"/>
      <c r="RN187" s="12"/>
      <c r="RO187" s="12"/>
      <c r="RP187" s="12"/>
      <c r="RQ187" s="12"/>
      <c r="RR187" s="12"/>
      <c r="RS187" s="12"/>
      <c r="RT187" s="12"/>
      <c r="RU187" s="12"/>
      <c r="RV187" s="12"/>
      <c r="RW187" s="12"/>
      <c r="RX187" s="12"/>
      <c r="RY187" s="12"/>
      <c r="RZ187" s="12"/>
      <c r="SA187" s="12"/>
      <c r="SB187" s="12"/>
      <c r="SC187" s="12"/>
      <c r="SD187" s="12"/>
      <c r="SE187" s="12"/>
      <c r="SF187" s="12"/>
      <c r="SG187" s="12"/>
      <c r="SH187" s="11"/>
      <c r="SI187" s="11"/>
      <c r="SJ187" s="11"/>
      <c r="SK187" s="11"/>
      <c r="SL187" s="11"/>
      <c r="SM187" s="11"/>
      <c r="SN187" s="11"/>
      <c r="SO187" s="11"/>
      <c r="SP187" s="11"/>
      <c r="SQ187" s="11"/>
      <c r="SR187" s="11"/>
      <c r="SS187" s="11"/>
      <c r="ST187" s="11"/>
      <c r="SU187" s="11"/>
      <c r="SV187" s="11"/>
      <c r="SW187" s="11"/>
      <c r="SX187" s="11"/>
      <c r="SY187" s="11"/>
      <c r="SZ187" s="11"/>
      <c r="TA187" s="11"/>
      <c r="TB187" s="11"/>
      <c r="TC187" s="11"/>
      <c r="TD187" s="11"/>
      <c r="TE187" s="11"/>
      <c r="TF187" s="11"/>
      <c r="TG187" s="11"/>
      <c r="TH187" s="11"/>
      <c r="TI187" s="11"/>
      <c r="TJ187" s="11"/>
      <c r="TK187" s="11"/>
      <c r="TL187" s="11"/>
    </row>
    <row r="188" spans="1:532" x14ac:dyDescent="0.2">
      <c r="A188" s="10" t="s">
        <v>187</v>
      </c>
      <c r="B188" s="12">
        <v>13.23</v>
      </c>
      <c r="C188" s="11">
        <v>0</v>
      </c>
      <c r="D188" s="11">
        <v>1.7522718009572764</v>
      </c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  <c r="CO188" s="12"/>
      <c r="CP188" s="12"/>
      <c r="CQ188" s="12"/>
      <c r="CR188" s="12"/>
      <c r="CS188" s="12"/>
      <c r="CT188" s="12"/>
      <c r="CU188" s="12"/>
      <c r="CV188" s="12"/>
      <c r="CW188" s="12"/>
      <c r="CX188" s="12"/>
      <c r="CY188" s="12"/>
      <c r="CZ188" s="12"/>
      <c r="DA188" s="12"/>
      <c r="DB188" s="12"/>
      <c r="DC188" s="12"/>
      <c r="DD188" s="12"/>
      <c r="DE188" s="12"/>
      <c r="DF188" s="12"/>
      <c r="DG188" s="12"/>
      <c r="DH188" s="12"/>
      <c r="DI188" s="12"/>
      <c r="DJ188" s="12"/>
      <c r="DK188" s="12"/>
      <c r="DL188" s="12"/>
      <c r="DM188" s="12"/>
      <c r="DN188" s="12"/>
      <c r="DO188" s="12"/>
      <c r="DP188" s="12"/>
      <c r="DQ188" s="12"/>
      <c r="DR188" s="12"/>
      <c r="DS188" s="12"/>
      <c r="DT188" s="12"/>
      <c r="DU188" s="12"/>
      <c r="DV188" s="12"/>
      <c r="DW188" s="12"/>
      <c r="DX188" s="12"/>
      <c r="DY188" s="12"/>
      <c r="DZ188" s="12"/>
      <c r="EA188" s="12"/>
      <c r="EB188" s="12"/>
      <c r="EC188" s="12"/>
      <c r="ED188" s="12"/>
      <c r="EE188" s="12"/>
      <c r="EF188" s="12"/>
      <c r="EG188" s="12"/>
      <c r="EH188" s="12"/>
      <c r="EI188" s="12"/>
      <c r="EJ188" s="12"/>
      <c r="EK188" s="12"/>
      <c r="EL188" s="12"/>
      <c r="EM188" s="12"/>
      <c r="EN188" s="12"/>
      <c r="EO188" s="12"/>
      <c r="EP188" s="12"/>
      <c r="EQ188" s="12"/>
      <c r="ER188" s="12"/>
      <c r="ES188" s="12"/>
      <c r="ET188" s="12"/>
      <c r="EU188" s="12"/>
      <c r="EV188" s="12"/>
      <c r="EW188" s="12"/>
      <c r="EX188" s="12"/>
      <c r="EY188" s="12"/>
      <c r="EZ188" s="12"/>
      <c r="FA188" s="12"/>
      <c r="FB188" s="12"/>
      <c r="FC188" s="12"/>
      <c r="FD188" s="12"/>
      <c r="FE188" s="12"/>
      <c r="FF188" s="12"/>
      <c r="FG188" s="12"/>
      <c r="FH188" s="12"/>
      <c r="FI188" s="12"/>
      <c r="FJ188" s="12"/>
      <c r="FK188" s="12"/>
      <c r="FL188" s="12"/>
      <c r="FM188" s="12"/>
      <c r="FN188" s="12"/>
      <c r="FO188" s="12"/>
      <c r="FP188" s="12"/>
      <c r="FQ188" s="12"/>
      <c r="FR188" s="12"/>
      <c r="FS188" s="12"/>
      <c r="FT188" s="12"/>
      <c r="FU188" s="12"/>
      <c r="FV188" s="12"/>
      <c r="FW188" s="12"/>
      <c r="FX188" s="12"/>
      <c r="FY188" s="12"/>
      <c r="FZ188" s="12"/>
      <c r="GA188" s="12"/>
      <c r="GB188" s="12"/>
      <c r="GC188" s="12"/>
      <c r="GD188" s="12"/>
      <c r="GE188" s="12"/>
      <c r="GF188" s="12"/>
      <c r="GG188" s="12"/>
      <c r="GH188" s="12"/>
      <c r="GI188" s="12"/>
      <c r="GJ188" s="12"/>
      <c r="GK188" s="12"/>
      <c r="GL188" s="12"/>
      <c r="GM188" s="12"/>
      <c r="GN188" s="12"/>
      <c r="GO188" s="12"/>
      <c r="GP188" s="12"/>
      <c r="GQ188" s="12"/>
      <c r="GR188" s="12"/>
      <c r="GS188" s="12"/>
      <c r="GT188" s="12"/>
      <c r="GU188" s="12"/>
      <c r="GV188" s="12"/>
      <c r="GW188" s="12"/>
      <c r="GX188" s="12"/>
      <c r="GY188" s="12"/>
      <c r="GZ188" s="12"/>
      <c r="HA188" s="12"/>
      <c r="HB188" s="12"/>
      <c r="HC188" s="12"/>
      <c r="HD188" s="12"/>
      <c r="HE188" s="12"/>
      <c r="HF188" s="12"/>
      <c r="HG188" s="12"/>
      <c r="HH188" s="12"/>
      <c r="HI188" s="12"/>
      <c r="HJ188" s="12"/>
      <c r="HK188" s="12"/>
      <c r="HL188" s="12"/>
      <c r="HM188" s="12"/>
      <c r="HN188" s="12"/>
      <c r="HO188" s="12"/>
      <c r="HP188" s="12"/>
      <c r="HQ188" s="12"/>
      <c r="HR188" s="12"/>
      <c r="HS188" s="12"/>
      <c r="HT188" s="12"/>
      <c r="HU188" s="12"/>
      <c r="HV188" s="12"/>
      <c r="HW188" s="12"/>
      <c r="HX188" s="12"/>
      <c r="HY188" s="12"/>
      <c r="HZ188" s="12"/>
      <c r="IA188" s="12"/>
      <c r="IB188" s="12"/>
      <c r="IC188" s="12"/>
      <c r="ID188" s="12"/>
      <c r="IE188" s="12"/>
      <c r="IF188" s="12"/>
      <c r="IG188" s="12"/>
      <c r="IH188" s="12"/>
      <c r="II188" s="12"/>
      <c r="IJ188" s="12"/>
      <c r="IK188" s="12"/>
      <c r="IL188" s="12"/>
      <c r="IM188" s="12"/>
      <c r="IN188" s="12"/>
      <c r="IO188" s="12"/>
      <c r="IP188" s="12"/>
      <c r="IQ188" s="12"/>
      <c r="IR188" s="12"/>
      <c r="IS188" s="12"/>
      <c r="IT188" s="12"/>
      <c r="IU188" s="12"/>
      <c r="IV188" s="12"/>
      <c r="IW188" s="12"/>
      <c r="IX188" s="12"/>
      <c r="IY188" s="12"/>
      <c r="IZ188" s="12"/>
      <c r="JA188" s="12"/>
      <c r="JB188" s="12"/>
      <c r="JC188" s="12"/>
      <c r="JD188" s="12"/>
      <c r="JE188" s="12"/>
      <c r="JF188" s="12"/>
      <c r="JG188" s="12"/>
      <c r="JH188" s="12"/>
      <c r="JI188" s="12"/>
      <c r="JJ188" s="12"/>
      <c r="JK188" s="12"/>
      <c r="JL188" s="12"/>
      <c r="JM188" s="12"/>
      <c r="JN188" s="12"/>
      <c r="JO188" s="12"/>
      <c r="JP188" s="12"/>
      <c r="JQ188" s="12"/>
      <c r="JR188" s="12"/>
      <c r="JS188" s="12"/>
      <c r="JT188" s="12"/>
      <c r="JU188" s="12"/>
      <c r="JV188" s="12"/>
      <c r="JW188" s="12"/>
      <c r="JX188" s="12"/>
      <c r="JY188" s="12"/>
      <c r="JZ188" s="12"/>
      <c r="KA188" s="12"/>
      <c r="KB188" s="12"/>
      <c r="KC188" s="12"/>
      <c r="KD188" s="12"/>
      <c r="KE188" s="12"/>
      <c r="KF188" s="12"/>
      <c r="KG188" s="12"/>
      <c r="KH188" s="12"/>
      <c r="KI188" s="12"/>
      <c r="KJ188" s="12"/>
      <c r="KK188" s="12"/>
      <c r="KL188" s="12"/>
      <c r="KM188" s="12"/>
      <c r="KN188" s="12"/>
      <c r="KO188" s="12"/>
      <c r="KP188" s="12"/>
      <c r="KQ188" s="12"/>
      <c r="KR188" s="12"/>
      <c r="KS188" s="12"/>
      <c r="KT188" s="12"/>
      <c r="KU188" s="12"/>
      <c r="KV188" s="12"/>
      <c r="KW188" s="12"/>
      <c r="KX188" s="12"/>
      <c r="KY188" s="12"/>
      <c r="KZ188" s="12"/>
      <c r="LA188" s="12"/>
      <c r="LB188" s="12"/>
      <c r="LC188" s="12"/>
      <c r="LD188" s="12"/>
      <c r="LE188" s="12"/>
      <c r="LF188" s="12"/>
      <c r="LG188" s="12"/>
      <c r="LH188" s="12"/>
      <c r="LI188" s="12"/>
      <c r="LJ188" s="12"/>
      <c r="LK188" s="12"/>
      <c r="LL188" s="12"/>
      <c r="LM188" s="12"/>
      <c r="LN188" s="12"/>
      <c r="LO188" s="12"/>
      <c r="LP188" s="12"/>
      <c r="LQ188" s="12"/>
      <c r="LR188" s="12"/>
      <c r="LS188" s="12"/>
      <c r="LT188" s="12"/>
      <c r="LU188" s="12"/>
      <c r="LV188" s="12"/>
      <c r="LW188" s="12"/>
      <c r="LX188" s="12"/>
      <c r="LY188" s="12"/>
      <c r="LZ188" s="12"/>
      <c r="MA188" s="12"/>
      <c r="MB188" s="12"/>
      <c r="MC188" s="12"/>
      <c r="MD188" s="12"/>
      <c r="ME188" s="12"/>
      <c r="MF188" s="12"/>
      <c r="MG188" s="12"/>
      <c r="MH188" s="12"/>
      <c r="MI188" s="12"/>
      <c r="MJ188" s="12"/>
      <c r="MK188" s="12"/>
      <c r="ML188" s="12"/>
      <c r="MM188" s="12"/>
      <c r="MN188" s="12"/>
      <c r="MO188" s="12"/>
      <c r="MP188" s="12"/>
      <c r="MQ188" s="12"/>
      <c r="MR188" s="12"/>
      <c r="MS188" s="12"/>
      <c r="MT188" s="12"/>
      <c r="MU188" s="12"/>
      <c r="MV188" s="12"/>
      <c r="MW188" s="12"/>
      <c r="MX188" s="12"/>
      <c r="MY188" s="12"/>
      <c r="MZ188" s="12"/>
      <c r="NA188" s="12"/>
      <c r="NB188" s="12"/>
      <c r="NC188" s="12"/>
      <c r="ND188" s="12"/>
      <c r="NE188" s="12"/>
      <c r="NF188" s="12"/>
      <c r="NG188" s="12"/>
      <c r="NH188" s="12"/>
      <c r="NI188" s="12"/>
      <c r="NJ188" s="12"/>
      <c r="NK188" s="12"/>
      <c r="NL188" s="12"/>
      <c r="NM188" s="12"/>
      <c r="NN188" s="12"/>
      <c r="NO188" s="12"/>
      <c r="NP188" s="12"/>
      <c r="NQ188" s="12"/>
      <c r="NR188" s="12"/>
      <c r="NS188" s="12"/>
      <c r="NT188" s="12"/>
      <c r="NU188" s="12"/>
      <c r="NV188" s="12"/>
      <c r="NW188" s="12"/>
      <c r="NX188" s="12"/>
      <c r="NY188" s="12"/>
      <c r="NZ188" s="12"/>
      <c r="OA188" s="12"/>
      <c r="OB188" s="12"/>
      <c r="OC188" s="12"/>
      <c r="OD188" s="12"/>
      <c r="OE188" s="12"/>
      <c r="OF188" s="12"/>
      <c r="OG188" s="12"/>
      <c r="OH188" s="12"/>
      <c r="OI188" s="12"/>
      <c r="OJ188" s="12"/>
      <c r="OK188" s="12"/>
      <c r="OL188" s="12"/>
      <c r="OM188" s="12"/>
      <c r="ON188" s="12"/>
      <c r="OO188" s="12"/>
      <c r="OP188" s="12"/>
      <c r="OQ188" s="12"/>
      <c r="OR188" s="12"/>
      <c r="OS188" s="12"/>
      <c r="OT188" s="12"/>
      <c r="OU188" s="12"/>
      <c r="OV188" s="12"/>
      <c r="OW188" s="12"/>
      <c r="OX188" s="12"/>
      <c r="OY188" s="12"/>
      <c r="OZ188" s="12"/>
      <c r="PA188" s="12"/>
      <c r="PB188" s="12"/>
      <c r="PC188" s="12"/>
      <c r="PD188" s="12"/>
      <c r="PE188" s="12"/>
      <c r="PF188" s="12"/>
      <c r="PG188" s="12"/>
      <c r="PH188" s="12"/>
      <c r="PI188" s="12"/>
      <c r="PJ188" s="12"/>
      <c r="PK188" s="12"/>
      <c r="PL188" s="12"/>
      <c r="PM188" s="12"/>
      <c r="PN188" s="12"/>
      <c r="PO188" s="12"/>
      <c r="PP188" s="12"/>
      <c r="PQ188" s="12"/>
      <c r="PR188" s="12"/>
      <c r="PS188" s="12"/>
      <c r="PT188" s="12"/>
      <c r="PU188" s="12"/>
      <c r="PV188" s="12"/>
      <c r="PW188" s="12"/>
      <c r="PX188" s="12"/>
      <c r="PY188" s="12"/>
      <c r="PZ188" s="12"/>
      <c r="QA188" s="12"/>
      <c r="QB188" s="12"/>
      <c r="QC188" s="12"/>
      <c r="QD188" s="12"/>
      <c r="QE188" s="12"/>
      <c r="QF188" s="12"/>
      <c r="QG188" s="12"/>
      <c r="QH188" s="12"/>
      <c r="QI188" s="12"/>
      <c r="QJ188" s="12"/>
      <c r="QK188" s="12"/>
      <c r="QL188" s="12"/>
      <c r="QM188" s="12"/>
      <c r="QN188" s="12"/>
      <c r="QO188" s="12"/>
      <c r="QP188" s="12"/>
      <c r="QQ188" s="12"/>
      <c r="QR188" s="12"/>
      <c r="QS188" s="12"/>
      <c r="QT188" s="12"/>
      <c r="QU188" s="12"/>
      <c r="QV188" s="12"/>
      <c r="QW188" s="12"/>
      <c r="QX188" s="12"/>
      <c r="QY188" s="12"/>
      <c r="QZ188" s="12"/>
      <c r="RA188" s="12"/>
      <c r="RB188" s="12"/>
      <c r="RC188" s="12"/>
      <c r="RD188" s="12"/>
      <c r="RE188" s="12"/>
      <c r="RF188" s="12"/>
      <c r="RG188" s="12"/>
      <c r="RH188" s="12"/>
      <c r="RI188" s="12"/>
      <c r="RJ188" s="12"/>
      <c r="RK188" s="12"/>
      <c r="RL188" s="12"/>
      <c r="RM188" s="12"/>
      <c r="RN188" s="12"/>
      <c r="RO188" s="12"/>
      <c r="RP188" s="12"/>
      <c r="RQ188" s="12"/>
      <c r="RR188" s="12"/>
      <c r="RS188" s="12"/>
      <c r="RT188" s="12"/>
      <c r="RU188" s="12"/>
      <c r="RV188" s="12"/>
      <c r="RW188" s="12"/>
      <c r="RX188" s="12"/>
      <c r="RY188" s="12"/>
      <c r="RZ188" s="12"/>
      <c r="SA188" s="12"/>
      <c r="SB188" s="12"/>
      <c r="SC188" s="12"/>
      <c r="SD188" s="12"/>
      <c r="SE188" s="12"/>
      <c r="SF188" s="12"/>
      <c r="SG188" s="12"/>
      <c r="SH188" s="11"/>
      <c r="SI188" s="11"/>
      <c r="SJ188" s="11"/>
      <c r="SK188" s="11"/>
      <c r="SL188" s="11"/>
      <c r="SM188" s="11"/>
      <c r="SN188" s="11"/>
      <c r="SO188" s="11"/>
      <c r="SP188" s="11"/>
      <c r="SQ188" s="11"/>
      <c r="SR188" s="11"/>
      <c r="SS188" s="11"/>
      <c r="ST188" s="11"/>
      <c r="SU188" s="11"/>
      <c r="SV188" s="11"/>
      <c r="SW188" s="11"/>
      <c r="SX188" s="11"/>
      <c r="SY188" s="11"/>
      <c r="SZ188" s="11"/>
      <c r="TA188" s="11"/>
      <c r="TB188" s="11"/>
      <c r="TC188" s="11"/>
      <c r="TD188" s="11"/>
      <c r="TE188" s="11"/>
      <c r="TF188" s="11"/>
      <c r="TG188" s="11"/>
      <c r="TH188" s="11"/>
      <c r="TI188" s="11"/>
      <c r="TJ188" s="11"/>
      <c r="TK188" s="11"/>
      <c r="TL188" s="11"/>
    </row>
    <row r="189" spans="1:532" x14ac:dyDescent="0.2">
      <c r="A189" s="10" t="s">
        <v>188</v>
      </c>
      <c r="B189" s="12">
        <v>14.2</v>
      </c>
      <c r="C189" s="11">
        <v>0</v>
      </c>
      <c r="D189" s="11">
        <v>0.79198725466995556</v>
      </c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  <c r="CO189" s="12"/>
      <c r="CP189" s="12"/>
      <c r="CQ189" s="12"/>
      <c r="CR189" s="12"/>
      <c r="CS189" s="12"/>
      <c r="CT189" s="12"/>
      <c r="CU189" s="12"/>
      <c r="CV189" s="12"/>
      <c r="CW189" s="12"/>
      <c r="CX189" s="12"/>
      <c r="CY189" s="12"/>
      <c r="CZ189" s="12"/>
      <c r="DA189" s="12"/>
      <c r="DB189" s="12"/>
      <c r="DC189" s="12"/>
      <c r="DD189" s="12"/>
      <c r="DE189" s="12"/>
      <c r="DF189" s="12"/>
      <c r="DG189" s="12"/>
      <c r="DH189" s="12"/>
      <c r="DI189" s="12"/>
      <c r="DJ189" s="12"/>
      <c r="DK189" s="12"/>
      <c r="DL189" s="12"/>
      <c r="DM189" s="12"/>
      <c r="DN189" s="12"/>
      <c r="DO189" s="12"/>
      <c r="DP189" s="12"/>
      <c r="DQ189" s="12"/>
      <c r="DR189" s="12"/>
      <c r="DS189" s="12"/>
      <c r="DT189" s="12"/>
      <c r="DU189" s="12"/>
      <c r="DV189" s="12"/>
      <c r="DW189" s="12"/>
      <c r="DX189" s="12"/>
      <c r="DY189" s="12"/>
      <c r="DZ189" s="12"/>
      <c r="EA189" s="12"/>
      <c r="EB189" s="12"/>
      <c r="EC189" s="12"/>
      <c r="ED189" s="12"/>
      <c r="EE189" s="12"/>
      <c r="EF189" s="12"/>
      <c r="EG189" s="12"/>
      <c r="EH189" s="12"/>
      <c r="EI189" s="12"/>
      <c r="EJ189" s="12"/>
      <c r="EK189" s="12"/>
      <c r="EL189" s="12"/>
      <c r="EM189" s="12"/>
      <c r="EN189" s="12"/>
      <c r="EO189" s="12"/>
      <c r="EP189" s="12"/>
      <c r="EQ189" s="12"/>
      <c r="ER189" s="12"/>
      <c r="ES189" s="12"/>
      <c r="ET189" s="12"/>
      <c r="EU189" s="12"/>
      <c r="EV189" s="12"/>
      <c r="EW189" s="12"/>
      <c r="EX189" s="12"/>
      <c r="EY189" s="12"/>
      <c r="EZ189" s="12"/>
      <c r="FA189" s="12"/>
      <c r="FB189" s="12"/>
      <c r="FC189" s="12"/>
      <c r="FD189" s="12"/>
      <c r="FE189" s="12"/>
      <c r="FF189" s="12"/>
      <c r="FG189" s="12"/>
      <c r="FH189" s="12"/>
      <c r="FI189" s="12"/>
      <c r="FJ189" s="12"/>
      <c r="FK189" s="12"/>
      <c r="FL189" s="12"/>
      <c r="FM189" s="12"/>
      <c r="FN189" s="12"/>
      <c r="FO189" s="12"/>
      <c r="FP189" s="12"/>
      <c r="FQ189" s="12"/>
      <c r="FR189" s="12"/>
      <c r="FS189" s="12"/>
      <c r="FT189" s="12"/>
      <c r="FU189" s="12"/>
      <c r="FV189" s="12"/>
      <c r="FW189" s="12"/>
      <c r="FX189" s="12"/>
      <c r="FY189" s="12"/>
      <c r="FZ189" s="12"/>
      <c r="GA189" s="12"/>
      <c r="GB189" s="12"/>
      <c r="GC189" s="12"/>
      <c r="GD189" s="12"/>
      <c r="GE189" s="12"/>
      <c r="GF189" s="12"/>
      <c r="GG189" s="12"/>
      <c r="GH189" s="12"/>
      <c r="GI189" s="12"/>
      <c r="GJ189" s="12"/>
      <c r="GK189" s="12"/>
      <c r="GL189" s="12"/>
      <c r="GM189" s="12"/>
      <c r="GN189" s="12"/>
      <c r="GO189" s="12"/>
      <c r="GP189" s="12"/>
      <c r="GQ189" s="12"/>
      <c r="GR189" s="12"/>
      <c r="GS189" s="12"/>
      <c r="GT189" s="12"/>
      <c r="GU189" s="12"/>
      <c r="GV189" s="12"/>
      <c r="GW189" s="12"/>
      <c r="GX189" s="12"/>
      <c r="GY189" s="12"/>
      <c r="GZ189" s="12"/>
      <c r="HA189" s="12"/>
      <c r="HB189" s="12"/>
      <c r="HC189" s="12"/>
      <c r="HD189" s="12"/>
      <c r="HE189" s="12"/>
      <c r="HF189" s="12"/>
      <c r="HG189" s="12"/>
      <c r="HH189" s="12"/>
      <c r="HI189" s="12"/>
      <c r="HJ189" s="12"/>
      <c r="HK189" s="12"/>
      <c r="HL189" s="12"/>
      <c r="HM189" s="12"/>
      <c r="HN189" s="12"/>
      <c r="HO189" s="12"/>
      <c r="HP189" s="12"/>
      <c r="HQ189" s="12"/>
      <c r="HR189" s="12"/>
      <c r="HS189" s="12"/>
      <c r="HT189" s="12"/>
      <c r="HU189" s="12"/>
      <c r="HV189" s="12"/>
      <c r="HW189" s="12"/>
      <c r="HX189" s="12"/>
      <c r="HY189" s="12"/>
      <c r="HZ189" s="12"/>
      <c r="IA189" s="12"/>
      <c r="IB189" s="12"/>
      <c r="IC189" s="12"/>
      <c r="ID189" s="12"/>
      <c r="IE189" s="12"/>
      <c r="IF189" s="12"/>
      <c r="IG189" s="12"/>
      <c r="IH189" s="12"/>
      <c r="II189" s="12"/>
      <c r="IJ189" s="12"/>
      <c r="IK189" s="12"/>
      <c r="IL189" s="12"/>
      <c r="IM189" s="12"/>
      <c r="IN189" s="12"/>
      <c r="IO189" s="12"/>
      <c r="IP189" s="12"/>
      <c r="IQ189" s="12"/>
      <c r="IR189" s="12"/>
      <c r="IS189" s="12"/>
      <c r="IT189" s="12"/>
      <c r="IU189" s="12"/>
      <c r="IV189" s="12"/>
      <c r="IW189" s="12"/>
      <c r="IX189" s="12"/>
      <c r="IY189" s="12"/>
      <c r="IZ189" s="12"/>
      <c r="JA189" s="12"/>
      <c r="JB189" s="12"/>
      <c r="JC189" s="12"/>
      <c r="JD189" s="12"/>
      <c r="JE189" s="12"/>
      <c r="JF189" s="12"/>
      <c r="JG189" s="12"/>
      <c r="JH189" s="12"/>
      <c r="JI189" s="12"/>
      <c r="JJ189" s="12"/>
      <c r="JK189" s="12"/>
      <c r="JL189" s="12"/>
      <c r="JM189" s="12"/>
      <c r="JN189" s="12"/>
      <c r="JO189" s="12"/>
      <c r="JP189" s="12"/>
      <c r="JQ189" s="12"/>
      <c r="JR189" s="12"/>
      <c r="JS189" s="12"/>
      <c r="JT189" s="12"/>
      <c r="JU189" s="12"/>
      <c r="JV189" s="12"/>
      <c r="JW189" s="12"/>
      <c r="JX189" s="12"/>
      <c r="JY189" s="12"/>
      <c r="JZ189" s="12"/>
      <c r="KA189" s="12"/>
      <c r="KB189" s="12"/>
      <c r="KC189" s="12"/>
      <c r="KD189" s="12"/>
      <c r="KE189" s="12"/>
      <c r="KF189" s="12"/>
      <c r="KG189" s="12"/>
      <c r="KH189" s="12"/>
      <c r="KI189" s="12"/>
      <c r="KJ189" s="12"/>
      <c r="KK189" s="12"/>
      <c r="KL189" s="12"/>
      <c r="KM189" s="12"/>
      <c r="KN189" s="12"/>
      <c r="KO189" s="12"/>
      <c r="KP189" s="12"/>
      <c r="KQ189" s="12"/>
      <c r="KR189" s="12"/>
      <c r="KS189" s="12"/>
      <c r="KT189" s="12"/>
      <c r="KU189" s="12"/>
      <c r="KV189" s="12"/>
      <c r="KW189" s="12"/>
      <c r="KX189" s="12"/>
      <c r="KY189" s="12"/>
      <c r="KZ189" s="12"/>
      <c r="LA189" s="12"/>
      <c r="LB189" s="12"/>
      <c r="LC189" s="12"/>
      <c r="LD189" s="12"/>
      <c r="LE189" s="12"/>
      <c r="LF189" s="12"/>
      <c r="LG189" s="12"/>
      <c r="LH189" s="12"/>
      <c r="LI189" s="12"/>
      <c r="LJ189" s="12"/>
      <c r="LK189" s="12"/>
      <c r="LL189" s="12"/>
      <c r="LM189" s="12"/>
      <c r="LN189" s="12"/>
      <c r="LO189" s="12"/>
      <c r="LP189" s="12"/>
      <c r="LQ189" s="12"/>
      <c r="LR189" s="12"/>
      <c r="LS189" s="12"/>
      <c r="LT189" s="12"/>
      <c r="LU189" s="12"/>
      <c r="LV189" s="12"/>
      <c r="LW189" s="12"/>
      <c r="LX189" s="12"/>
      <c r="LY189" s="12"/>
      <c r="LZ189" s="12"/>
      <c r="MA189" s="12"/>
      <c r="MB189" s="12"/>
      <c r="MC189" s="12"/>
      <c r="MD189" s="12"/>
      <c r="ME189" s="12"/>
      <c r="MF189" s="12"/>
      <c r="MG189" s="12"/>
      <c r="MH189" s="12"/>
      <c r="MI189" s="12"/>
      <c r="MJ189" s="12"/>
      <c r="MK189" s="12"/>
      <c r="ML189" s="12"/>
      <c r="MM189" s="12"/>
      <c r="MN189" s="12"/>
      <c r="MO189" s="12"/>
      <c r="MP189" s="12"/>
      <c r="MQ189" s="12"/>
      <c r="MR189" s="12"/>
      <c r="MS189" s="12"/>
      <c r="MT189" s="12"/>
      <c r="MU189" s="12"/>
      <c r="MV189" s="12"/>
      <c r="MW189" s="12"/>
      <c r="MX189" s="12"/>
      <c r="MY189" s="12"/>
      <c r="MZ189" s="12"/>
      <c r="NA189" s="12"/>
      <c r="NB189" s="12"/>
      <c r="NC189" s="12"/>
      <c r="ND189" s="12"/>
      <c r="NE189" s="12"/>
      <c r="NF189" s="12"/>
      <c r="NG189" s="12"/>
      <c r="NH189" s="12"/>
      <c r="NI189" s="12"/>
      <c r="NJ189" s="12"/>
      <c r="NK189" s="12"/>
      <c r="NL189" s="12"/>
      <c r="NM189" s="12"/>
      <c r="NN189" s="12"/>
      <c r="NO189" s="12"/>
      <c r="NP189" s="12"/>
      <c r="NQ189" s="12"/>
      <c r="NR189" s="12"/>
      <c r="NS189" s="12"/>
      <c r="NT189" s="12"/>
      <c r="NU189" s="12"/>
      <c r="NV189" s="12"/>
      <c r="NW189" s="12"/>
      <c r="NX189" s="12"/>
      <c r="NY189" s="12"/>
      <c r="NZ189" s="12"/>
      <c r="OA189" s="12"/>
      <c r="OB189" s="12"/>
      <c r="OC189" s="12"/>
      <c r="OD189" s="12"/>
      <c r="OE189" s="12"/>
      <c r="OF189" s="12"/>
      <c r="OG189" s="12"/>
      <c r="OH189" s="12"/>
      <c r="OI189" s="12"/>
      <c r="OJ189" s="12"/>
      <c r="OK189" s="12"/>
      <c r="OL189" s="12"/>
      <c r="OM189" s="12"/>
      <c r="ON189" s="12"/>
      <c r="OO189" s="12"/>
      <c r="OP189" s="12"/>
      <c r="OQ189" s="12"/>
      <c r="OR189" s="12"/>
      <c r="OS189" s="12"/>
      <c r="OT189" s="12"/>
      <c r="OU189" s="12"/>
      <c r="OV189" s="12"/>
      <c r="OW189" s="12"/>
      <c r="OX189" s="12"/>
      <c r="OY189" s="12"/>
      <c r="OZ189" s="12"/>
      <c r="PA189" s="12"/>
      <c r="PB189" s="12"/>
      <c r="PC189" s="12"/>
      <c r="PD189" s="12"/>
      <c r="PE189" s="12"/>
      <c r="PF189" s="12"/>
      <c r="PG189" s="12"/>
      <c r="PH189" s="12"/>
      <c r="PI189" s="12"/>
      <c r="PJ189" s="12"/>
      <c r="PK189" s="12"/>
      <c r="PL189" s="12"/>
      <c r="PM189" s="12"/>
      <c r="PN189" s="12"/>
      <c r="PO189" s="12"/>
      <c r="PP189" s="12"/>
      <c r="PQ189" s="12"/>
      <c r="PR189" s="12"/>
      <c r="PS189" s="12"/>
      <c r="PT189" s="12"/>
      <c r="PU189" s="12"/>
      <c r="PV189" s="12"/>
      <c r="PW189" s="12"/>
      <c r="PX189" s="12"/>
      <c r="PY189" s="12"/>
      <c r="PZ189" s="12"/>
      <c r="QA189" s="12"/>
      <c r="QB189" s="12"/>
      <c r="QC189" s="12"/>
      <c r="QD189" s="12"/>
      <c r="QE189" s="12"/>
      <c r="QF189" s="12"/>
      <c r="QG189" s="12"/>
      <c r="QH189" s="12"/>
      <c r="QI189" s="12"/>
      <c r="QJ189" s="12"/>
      <c r="QK189" s="12"/>
      <c r="QL189" s="12"/>
      <c r="QM189" s="12"/>
      <c r="QN189" s="12"/>
      <c r="QO189" s="12"/>
      <c r="QP189" s="12"/>
      <c r="QQ189" s="12"/>
      <c r="QR189" s="12"/>
      <c r="QS189" s="12"/>
      <c r="QT189" s="12"/>
      <c r="QU189" s="12"/>
      <c r="QV189" s="12"/>
      <c r="QW189" s="12"/>
      <c r="QX189" s="12"/>
      <c r="QY189" s="12"/>
      <c r="QZ189" s="12"/>
      <c r="RA189" s="12"/>
      <c r="RB189" s="12"/>
      <c r="RC189" s="12"/>
      <c r="RD189" s="12"/>
      <c r="RE189" s="12"/>
      <c r="RF189" s="12"/>
      <c r="RG189" s="12"/>
      <c r="RH189" s="12"/>
      <c r="RI189" s="12"/>
      <c r="RJ189" s="12"/>
      <c r="RK189" s="12"/>
      <c r="RL189" s="12"/>
      <c r="RM189" s="12"/>
      <c r="RN189" s="12"/>
      <c r="RO189" s="12"/>
      <c r="RP189" s="12"/>
      <c r="RQ189" s="12"/>
      <c r="RR189" s="12"/>
      <c r="RS189" s="12"/>
      <c r="RT189" s="12"/>
      <c r="RU189" s="12"/>
      <c r="RV189" s="12"/>
      <c r="RW189" s="12"/>
      <c r="RX189" s="12"/>
      <c r="RY189" s="12"/>
      <c r="RZ189" s="12"/>
      <c r="SA189" s="12"/>
      <c r="SB189" s="12"/>
      <c r="SC189" s="12"/>
      <c r="SD189" s="12"/>
      <c r="SE189" s="12"/>
      <c r="SF189" s="12"/>
      <c r="SG189" s="12"/>
      <c r="SH189" s="11"/>
      <c r="SI189" s="11"/>
      <c r="SJ189" s="11"/>
      <c r="SK189" s="11"/>
      <c r="SL189" s="11"/>
      <c r="SM189" s="11"/>
      <c r="SN189" s="11"/>
      <c r="SO189" s="11"/>
      <c r="SP189" s="11"/>
      <c r="SQ189" s="11"/>
      <c r="SR189" s="11"/>
      <c r="SS189" s="11"/>
      <c r="ST189" s="11"/>
      <c r="SU189" s="11"/>
      <c r="SV189" s="11"/>
      <c r="SW189" s="11"/>
      <c r="SX189" s="11"/>
      <c r="SY189" s="11"/>
      <c r="SZ189" s="11"/>
      <c r="TA189" s="11"/>
      <c r="TB189" s="11"/>
      <c r="TC189" s="11"/>
      <c r="TD189" s="11"/>
      <c r="TE189" s="11"/>
      <c r="TF189" s="11"/>
      <c r="TG189" s="11"/>
      <c r="TH189" s="11"/>
      <c r="TI189" s="11"/>
      <c r="TJ189" s="11"/>
      <c r="TK189" s="11"/>
      <c r="TL189" s="11"/>
    </row>
    <row r="190" spans="1:532" x14ac:dyDescent="0.2">
      <c r="A190" s="10" t="s">
        <v>189</v>
      </c>
      <c r="B190" s="12">
        <v>12.53</v>
      </c>
      <c r="C190" s="11">
        <v>0</v>
      </c>
      <c r="D190" s="11">
        <v>2.4452606487934876</v>
      </c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  <c r="CO190" s="12"/>
      <c r="CP190" s="12"/>
      <c r="CQ190" s="12"/>
      <c r="CR190" s="12"/>
      <c r="CS190" s="12"/>
      <c r="CT190" s="12"/>
      <c r="CU190" s="12"/>
      <c r="CV190" s="12"/>
      <c r="CW190" s="12"/>
      <c r="CX190" s="12"/>
      <c r="CY190" s="12"/>
      <c r="CZ190" s="12"/>
      <c r="DA190" s="12"/>
      <c r="DB190" s="12"/>
      <c r="DC190" s="12"/>
      <c r="DD190" s="12"/>
      <c r="DE190" s="12"/>
      <c r="DF190" s="12"/>
      <c r="DG190" s="12"/>
      <c r="DH190" s="12"/>
      <c r="DI190" s="12"/>
      <c r="DJ190" s="12"/>
      <c r="DK190" s="12"/>
      <c r="DL190" s="12"/>
      <c r="DM190" s="12"/>
      <c r="DN190" s="12"/>
      <c r="DO190" s="12"/>
      <c r="DP190" s="12"/>
      <c r="DQ190" s="12"/>
      <c r="DR190" s="12"/>
      <c r="DS190" s="12"/>
      <c r="DT190" s="12"/>
      <c r="DU190" s="12"/>
      <c r="DV190" s="12"/>
      <c r="DW190" s="12"/>
      <c r="DX190" s="12"/>
      <c r="DY190" s="12"/>
      <c r="DZ190" s="12"/>
      <c r="EA190" s="12"/>
      <c r="EB190" s="12"/>
      <c r="EC190" s="12"/>
      <c r="ED190" s="12"/>
      <c r="EE190" s="12"/>
      <c r="EF190" s="12"/>
      <c r="EG190" s="12"/>
      <c r="EH190" s="12"/>
      <c r="EI190" s="12"/>
      <c r="EJ190" s="12"/>
      <c r="EK190" s="12"/>
      <c r="EL190" s="12"/>
      <c r="EM190" s="12"/>
      <c r="EN190" s="12"/>
      <c r="EO190" s="12"/>
      <c r="EP190" s="12"/>
      <c r="EQ190" s="12"/>
      <c r="ER190" s="12"/>
      <c r="ES190" s="12"/>
      <c r="ET190" s="12"/>
      <c r="EU190" s="12"/>
      <c r="EV190" s="12"/>
      <c r="EW190" s="12"/>
      <c r="EX190" s="12"/>
      <c r="EY190" s="12"/>
      <c r="EZ190" s="12"/>
      <c r="FA190" s="12"/>
      <c r="FB190" s="12"/>
      <c r="FC190" s="12"/>
      <c r="FD190" s="12"/>
      <c r="FE190" s="12"/>
      <c r="FF190" s="12"/>
      <c r="FG190" s="12"/>
      <c r="FH190" s="12"/>
      <c r="FI190" s="12"/>
      <c r="FJ190" s="12"/>
      <c r="FK190" s="12"/>
      <c r="FL190" s="12"/>
      <c r="FM190" s="12"/>
      <c r="FN190" s="12"/>
      <c r="FO190" s="12"/>
      <c r="FP190" s="12"/>
      <c r="FQ190" s="12"/>
      <c r="FR190" s="12"/>
      <c r="FS190" s="12"/>
      <c r="FT190" s="12"/>
      <c r="FU190" s="12"/>
      <c r="FV190" s="12"/>
      <c r="FW190" s="12"/>
      <c r="FX190" s="12"/>
      <c r="FY190" s="12"/>
      <c r="FZ190" s="12"/>
      <c r="GA190" s="12"/>
      <c r="GB190" s="12"/>
      <c r="GC190" s="12"/>
      <c r="GD190" s="12"/>
      <c r="GE190" s="12"/>
      <c r="GF190" s="12"/>
      <c r="GG190" s="12"/>
      <c r="GH190" s="12"/>
      <c r="GI190" s="12"/>
      <c r="GJ190" s="12"/>
      <c r="GK190" s="12"/>
      <c r="GL190" s="12"/>
      <c r="GM190" s="12"/>
      <c r="GN190" s="12"/>
      <c r="GO190" s="12"/>
      <c r="GP190" s="12"/>
      <c r="GQ190" s="12"/>
      <c r="GR190" s="12"/>
      <c r="GS190" s="12"/>
      <c r="GT190" s="12"/>
      <c r="GU190" s="12"/>
      <c r="GV190" s="12"/>
      <c r="GW190" s="12"/>
      <c r="GX190" s="12"/>
      <c r="GY190" s="12"/>
      <c r="GZ190" s="12"/>
      <c r="HA190" s="12"/>
      <c r="HB190" s="12"/>
      <c r="HC190" s="12"/>
      <c r="HD190" s="12"/>
      <c r="HE190" s="12"/>
      <c r="HF190" s="12"/>
      <c r="HG190" s="12"/>
      <c r="HH190" s="12"/>
      <c r="HI190" s="12"/>
      <c r="HJ190" s="12"/>
      <c r="HK190" s="12"/>
      <c r="HL190" s="12"/>
      <c r="HM190" s="12"/>
      <c r="HN190" s="12"/>
      <c r="HO190" s="12"/>
      <c r="HP190" s="12"/>
      <c r="HQ190" s="12"/>
      <c r="HR190" s="12"/>
      <c r="HS190" s="12"/>
      <c r="HT190" s="12"/>
      <c r="HU190" s="12"/>
      <c r="HV190" s="12"/>
      <c r="HW190" s="12"/>
      <c r="HX190" s="12"/>
      <c r="HY190" s="12"/>
      <c r="HZ190" s="12"/>
      <c r="IA190" s="12"/>
      <c r="IB190" s="12"/>
      <c r="IC190" s="12"/>
      <c r="ID190" s="12"/>
      <c r="IE190" s="12"/>
      <c r="IF190" s="12"/>
      <c r="IG190" s="12"/>
      <c r="IH190" s="12"/>
      <c r="II190" s="12"/>
      <c r="IJ190" s="12"/>
      <c r="IK190" s="12"/>
      <c r="IL190" s="12"/>
      <c r="IM190" s="12"/>
      <c r="IN190" s="12"/>
      <c r="IO190" s="12"/>
      <c r="IP190" s="12"/>
      <c r="IQ190" s="12"/>
      <c r="IR190" s="12"/>
      <c r="IS190" s="12"/>
      <c r="IT190" s="12"/>
      <c r="IU190" s="12"/>
      <c r="IV190" s="12"/>
      <c r="IW190" s="12"/>
      <c r="IX190" s="12"/>
      <c r="IY190" s="12"/>
      <c r="IZ190" s="12"/>
      <c r="JA190" s="12"/>
      <c r="JB190" s="12"/>
      <c r="JC190" s="12"/>
      <c r="JD190" s="12"/>
      <c r="JE190" s="12"/>
      <c r="JF190" s="12"/>
      <c r="JG190" s="12"/>
      <c r="JH190" s="12"/>
      <c r="JI190" s="12"/>
      <c r="JJ190" s="12"/>
      <c r="JK190" s="12"/>
      <c r="JL190" s="12"/>
      <c r="JM190" s="12"/>
      <c r="JN190" s="12"/>
      <c r="JO190" s="12"/>
      <c r="JP190" s="12"/>
      <c r="JQ190" s="12"/>
      <c r="JR190" s="12"/>
      <c r="JS190" s="12"/>
      <c r="JT190" s="12"/>
      <c r="JU190" s="12"/>
      <c r="JV190" s="12"/>
      <c r="JW190" s="12"/>
      <c r="JX190" s="12"/>
      <c r="JY190" s="12"/>
      <c r="JZ190" s="12"/>
      <c r="KA190" s="12"/>
      <c r="KB190" s="12"/>
      <c r="KC190" s="12"/>
      <c r="KD190" s="12"/>
      <c r="KE190" s="12"/>
      <c r="KF190" s="12"/>
      <c r="KG190" s="12"/>
      <c r="KH190" s="12"/>
      <c r="KI190" s="12"/>
      <c r="KJ190" s="12"/>
      <c r="KK190" s="12"/>
      <c r="KL190" s="12"/>
      <c r="KM190" s="12"/>
      <c r="KN190" s="12"/>
      <c r="KO190" s="12"/>
      <c r="KP190" s="12"/>
      <c r="KQ190" s="12"/>
      <c r="KR190" s="12"/>
      <c r="KS190" s="12"/>
      <c r="KT190" s="12"/>
      <c r="KU190" s="12"/>
      <c r="KV190" s="12"/>
      <c r="KW190" s="12"/>
      <c r="KX190" s="12"/>
      <c r="KY190" s="12"/>
      <c r="KZ190" s="12"/>
      <c r="LA190" s="12"/>
      <c r="LB190" s="12"/>
      <c r="LC190" s="12"/>
      <c r="LD190" s="12"/>
      <c r="LE190" s="12"/>
      <c r="LF190" s="12"/>
      <c r="LG190" s="12"/>
      <c r="LH190" s="12"/>
      <c r="LI190" s="12"/>
      <c r="LJ190" s="12"/>
      <c r="LK190" s="12"/>
      <c r="LL190" s="12"/>
      <c r="LM190" s="12"/>
      <c r="LN190" s="12"/>
      <c r="LO190" s="12"/>
      <c r="LP190" s="12"/>
      <c r="LQ190" s="12"/>
      <c r="LR190" s="12"/>
      <c r="LS190" s="12"/>
      <c r="LT190" s="12"/>
      <c r="LU190" s="12"/>
      <c r="LV190" s="12"/>
      <c r="LW190" s="12"/>
      <c r="LX190" s="12"/>
      <c r="LY190" s="12"/>
      <c r="LZ190" s="12"/>
      <c r="MA190" s="12"/>
      <c r="MB190" s="12"/>
      <c r="MC190" s="12"/>
      <c r="MD190" s="12"/>
      <c r="ME190" s="12"/>
      <c r="MF190" s="12"/>
      <c r="MG190" s="12"/>
      <c r="MH190" s="12"/>
      <c r="MI190" s="12"/>
      <c r="MJ190" s="12"/>
      <c r="MK190" s="12"/>
      <c r="ML190" s="12"/>
      <c r="MM190" s="12"/>
      <c r="MN190" s="12"/>
      <c r="MO190" s="12"/>
      <c r="MP190" s="12"/>
      <c r="MQ190" s="12"/>
      <c r="MR190" s="12"/>
      <c r="MS190" s="12"/>
      <c r="MT190" s="12"/>
      <c r="MU190" s="12"/>
      <c r="MV190" s="12"/>
      <c r="MW190" s="12"/>
      <c r="MX190" s="12"/>
      <c r="MY190" s="12"/>
      <c r="MZ190" s="12"/>
      <c r="NA190" s="12"/>
      <c r="NB190" s="12"/>
      <c r="NC190" s="12"/>
      <c r="ND190" s="12"/>
      <c r="NE190" s="12"/>
      <c r="NF190" s="12"/>
      <c r="NG190" s="12"/>
      <c r="NH190" s="12"/>
      <c r="NI190" s="12"/>
      <c r="NJ190" s="12"/>
      <c r="NK190" s="12"/>
      <c r="NL190" s="12"/>
      <c r="NM190" s="12"/>
      <c r="NN190" s="12"/>
      <c r="NO190" s="12"/>
      <c r="NP190" s="12"/>
      <c r="NQ190" s="12"/>
      <c r="NR190" s="12"/>
      <c r="NS190" s="12"/>
      <c r="NT190" s="12"/>
      <c r="NU190" s="12"/>
      <c r="NV190" s="12"/>
      <c r="NW190" s="12"/>
      <c r="NX190" s="12"/>
      <c r="NY190" s="12"/>
      <c r="NZ190" s="12"/>
      <c r="OA190" s="12"/>
      <c r="OB190" s="12"/>
      <c r="OC190" s="12"/>
      <c r="OD190" s="12"/>
      <c r="OE190" s="12"/>
      <c r="OF190" s="12"/>
      <c r="OG190" s="12"/>
      <c r="OH190" s="12"/>
      <c r="OI190" s="12"/>
      <c r="OJ190" s="12"/>
      <c r="OK190" s="12"/>
      <c r="OL190" s="12"/>
      <c r="OM190" s="12"/>
      <c r="ON190" s="12"/>
      <c r="OO190" s="12"/>
      <c r="OP190" s="12"/>
      <c r="OQ190" s="12"/>
      <c r="OR190" s="12"/>
      <c r="OS190" s="12"/>
      <c r="OT190" s="12"/>
      <c r="OU190" s="12"/>
      <c r="OV190" s="12"/>
      <c r="OW190" s="12"/>
      <c r="OX190" s="12"/>
      <c r="OY190" s="12"/>
      <c r="OZ190" s="12"/>
      <c r="PA190" s="12"/>
      <c r="PB190" s="12"/>
      <c r="PC190" s="12"/>
      <c r="PD190" s="12"/>
      <c r="PE190" s="12"/>
      <c r="PF190" s="12"/>
      <c r="PG190" s="12"/>
      <c r="PH190" s="12"/>
      <c r="PI190" s="12"/>
      <c r="PJ190" s="12"/>
      <c r="PK190" s="12"/>
      <c r="PL190" s="12"/>
      <c r="PM190" s="12"/>
      <c r="PN190" s="12"/>
      <c r="PO190" s="12"/>
      <c r="PP190" s="12"/>
      <c r="PQ190" s="12"/>
      <c r="PR190" s="12"/>
      <c r="PS190" s="12"/>
      <c r="PT190" s="12"/>
      <c r="PU190" s="12"/>
      <c r="PV190" s="12"/>
      <c r="PW190" s="12"/>
      <c r="PX190" s="12"/>
      <c r="PY190" s="12"/>
      <c r="PZ190" s="12"/>
      <c r="QA190" s="12"/>
      <c r="QB190" s="12"/>
      <c r="QC190" s="12"/>
      <c r="QD190" s="12"/>
      <c r="QE190" s="12"/>
      <c r="QF190" s="12"/>
      <c r="QG190" s="12"/>
      <c r="QH190" s="12"/>
      <c r="QI190" s="12"/>
      <c r="QJ190" s="12"/>
      <c r="QK190" s="12"/>
      <c r="QL190" s="12"/>
      <c r="QM190" s="12"/>
      <c r="QN190" s="12"/>
      <c r="QO190" s="12"/>
      <c r="QP190" s="12"/>
      <c r="QQ190" s="12"/>
      <c r="QR190" s="12"/>
      <c r="QS190" s="12"/>
      <c r="QT190" s="12"/>
      <c r="QU190" s="12"/>
      <c r="QV190" s="12"/>
      <c r="QW190" s="12"/>
      <c r="QX190" s="12"/>
      <c r="QY190" s="12"/>
      <c r="QZ190" s="12"/>
      <c r="RA190" s="12"/>
      <c r="RB190" s="12"/>
      <c r="RC190" s="12"/>
      <c r="RD190" s="12"/>
      <c r="RE190" s="12"/>
      <c r="RF190" s="12"/>
      <c r="RG190" s="12"/>
      <c r="RH190" s="12"/>
      <c r="RI190" s="12"/>
      <c r="RJ190" s="12"/>
      <c r="RK190" s="12"/>
      <c r="RL190" s="12"/>
      <c r="RM190" s="12"/>
      <c r="RN190" s="12"/>
      <c r="RO190" s="12"/>
      <c r="RP190" s="12"/>
      <c r="RQ190" s="12"/>
      <c r="RR190" s="12"/>
      <c r="RS190" s="12"/>
      <c r="RT190" s="12"/>
      <c r="RU190" s="12"/>
      <c r="RV190" s="12"/>
      <c r="RW190" s="12"/>
      <c r="RX190" s="12"/>
      <c r="RY190" s="12"/>
      <c r="RZ190" s="12"/>
      <c r="SA190" s="12"/>
      <c r="SB190" s="12"/>
      <c r="SC190" s="12"/>
      <c r="SD190" s="12"/>
      <c r="SE190" s="12"/>
      <c r="SF190" s="12"/>
      <c r="SG190" s="12"/>
      <c r="SH190" s="11"/>
      <c r="SI190" s="11"/>
      <c r="SJ190" s="11"/>
      <c r="SK190" s="11"/>
      <c r="SL190" s="11"/>
      <c r="SM190" s="11"/>
      <c r="SN190" s="11"/>
      <c r="SO190" s="11"/>
      <c r="SP190" s="11"/>
      <c r="SQ190" s="11"/>
      <c r="SR190" s="11"/>
      <c r="SS190" s="11"/>
      <c r="ST190" s="11"/>
      <c r="SU190" s="11"/>
      <c r="SV190" s="11"/>
      <c r="SW190" s="11"/>
      <c r="SX190" s="11"/>
      <c r="SY190" s="11"/>
      <c r="SZ190" s="11"/>
      <c r="TA190" s="11"/>
      <c r="TB190" s="11"/>
      <c r="TC190" s="11"/>
      <c r="TD190" s="11"/>
      <c r="TE190" s="11"/>
      <c r="TF190" s="11"/>
      <c r="TG190" s="11"/>
      <c r="TH190" s="11"/>
      <c r="TI190" s="11"/>
      <c r="TJ190" s="11"/>
      <c r="TK190" s="11"/>
      <c r="TL190" s="11"/>
    </row>
    <row r="191" spans="1:532" x14ac:dyDescent="0.2">
      <c r="A191" s="10" t="s">
        <v>190</v>
      </c>
      <c r="B191" s="12">
        <v>12.85</v>
      </c>
      <c r="C191" s="11">
        <v>0</v>
      </c>
      <c r="D191" s="11">
        <v>2.1284657469255053</v>
      </c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  <c r="CO191" s="12"/>
      <c r="CP191" s="12"/>
      <c r="CQ191" s="12"/>
      <c r="CR191" s="12"/>
      <c r="CS191" s="12"/>
      <c r="CT191" s="12"/>
      <c r="CU191" s="12"/>
      <c r="CV191" s="12"/>
      <c r="CW191" s="12"/>
      <c r="CX191" s="12"/>
      <c r="CY191" s="12"/>
      <c r="CZ191" s="12"/>
      <c r="DA191" s="12"/>
      <c r="DB191" s="12"/>
      <c r="DC191" s="12"/>
      <c r="DD191" s="12"/>
      <c r="DE191" s="12"/>
      <c r="DF191" s="12"/>
      <c r="DG191" s="12"/>
      <c r="DH191" s="12"/>
      <c r="DI191" s="12"/>
      <c r="DJ191" s="12"/>
      <c r="DK191" s="12"/>
      <c r="DL191" s="12"/>
      <c r="DM191" s="12"/>
      <c r="DN191" s="12"/>
      <c r="DO191" s="12"/>
      <c r="DP191" s="12"/>
      <c r="DQ191" s="12"/>
      <c r="DR191" s="12"/>
      <c r="DS191" s="12"/>
      <c r="DT191" s="12"/>
      <c r="DU191" s="12"/>
      <c r="DV191" s="12"/>
      <c r="DW191" s="12"/>
      <c r="DX191" s="12"/>
      <c r="DY191" s="12"/>
      <c r="DZ191" s="12"/>
      <c r="EA191" s="12"/>
      <c r="EB191" s="12"/>
      <c r="EC191" s="12"/>
      <c r="ED191" s="12"/>
      <c r="EE191" s="12"/>
      <c r="EF191" s="12"/>
      <c r="EG191" s="12"/>
      <c r="EH191" s="12"/>
      <c r="EI191" s="12"/>
      <c r="EJ191" s="12"/>
      <c r="EK191" s="12"/>
      <c r="EL191" s="12"/>
      <c r="EM191" s="12"/>
      <c r="EN191" s="12"/>
      <c r="EO191" s="12"/>
      <c r="EP191" s="12"/>
      <c r="EQ191" s="12"/>
      <c r="ER191" s="12"/>
      <c r="ES191" s="12"/>
      <c r="ET191" s="12"/>
      <c r="EU191" s="12"/>
      <c r="EV191" s="12"/>
      <c r="EW191" s="12"/>
      <c r="EX191" s="12"/>
      <c r="EY191" s="12"/>
      <c r="EZ191" s="12"/>
      <c r="FA191" s="12"/>
      <c r="FB191" s="12"/>
      <c r="FC191" s="12"/>
      <c r="FD191" s="12"/>
      <c r="FE191" s="12"/>
      <c r="FF191" s="12"/>
      <c r="FG191" s="12"/>
      <c r="FH191" s="12"/>
      <c r="FI191" s="12"/>
      <c r="FJ191" s="12"/>
      <c r="FK191" s="12"/>
      <c r="FL191" s="12"/>
      <c r="FM191" s="12"/>
      <c r="FN191" s="12"/>
      <c r="FO191" s="12"/>
      <c r="FP191" s="12"/>
      <c r="FQ191" s="12"/>
      <c r="FR191" s="12"/>
      <c r="FS191" s="12"/>
      <c r="FT191" s="12"/>
      <c r="FU191" s="12"/>
      <c r="FV191" s="12"/>
      <c r="FW191" s="12"/>
      <c r="FX191" s="12"/>
      <c r="FY191" s="12"/>
      <c r="FZ191" s="12"/>
      <c r="GA191" s="12"/>
      <c r="GB191" s="12"/>
      <c r="GC191" s="12"/>
      <c r="GD191" s="12"/>
      <c r="GE191" s="12"/>
      <c r="GF191" s="12"/>
      <c r="GG191" s="12"/>
      <c r="GH191" s="12"/>
      <c r="GI191" s="12"/>
      <c r="GJ191" s="12"/>
      <c r="GK191" s="12"/>
      <c r="GL191" s="12"/>
      <c r="GM191" s="12"/>
      <c r="GN191" s="12"/>
      <c r="GO191" s="12"/>
      <c r="GP191" s="12"/>
      <c r="GQ191" s="12"/>
      <c r="GR191" s="12"/>
      <c r="GS191" s="12"/>
      <c r="GT191" s="12"/>
      <c r="GU191" s="12"/>
      <c r="GV191" s="12"/>
      <c r="GW191" s="12"/>
      <c r="GX191" s="12"/>
      <c r="GY191" s="12"/>
      <c r="GZ191" s="12"/>
      <c r="HA191" s="12"/>
      <c r="HB191" s="12"/>
      <c r="HC191" s="12"/>
      <c r="HD191" s="12"/>
      <c r="HE191" s="12"/>
      <c r="HF191" s="12"/>
      <c r="HG191" s="12"/>
      <c r="HH191" s="12"/>
      <c r="HI191" s="12"/>
      <c r="HJ191" s="12"/>
      <c r="HK191" s="12"/>
      <c r="HL191" s="12"/>
      <c r="HM191" s="12"/>
      <c r="HN191" s="12"/>
      <c r="HO191" s="12"/>
      <c r="HP191" s="12"/>
      <c r="HQ191" s="12"/>
      <c r="HR191" s="12"/>
      <c r="HS191" s="12"/>
      <c r="HT191" s="12"/>
      <c r="HU191" s="12"/>
      <c r="HV191" s="12"/>
      <c r="HW191" s="12"/>
      <c r="HX191" s="12"/>
      <c r="HY191" s="12"/>
      <c r="HZ191" s="12"/>
      <c r="IA191" s="12"/>
      <c r="IB191" s="12"/>
      <c r="IC191" s="12"/>
      <c r="ID191" s="12"/>
      <c r="IE191" s="12"/>
      <c r="IF191" s="12"/>
      <c r="IG191" s="12"/>
      <c r="IH191" s="12"/>
      <c r="II191" s="12"/>
      <c r="IJ191" s="12"/>
      <c r="IK191" s="12"/>
      <c r="IL191" s="12"/>
      <c r="IM191" s="12"/>
      <c r="IN191" s="12"/>
      <c r="IO191" s="12"/>
      <c r="IP191" s="12"/>
      <c r="IQ191" s="12"/>
      <c r="IR191" s="12"/>
      <c r="IS191" s="12"/>
      <c r="IT191" s="12"/>
      <c r="IU191" s="12"/>
      <c r="IV191" s="12"/>
      <c r="IW191" s="12"/>
      <c r="IX191" s="12"/>
      <c r="IY191" s="12"/>
      <c r="IZ191" s="12"/>
      <c r="JA191" s="12"/>
      <c r="JB191" s="12"/>
      <c r="JC191" s="12"/>
      <c r="JD191" s="12"/>
      <c r="JE191" s="12"/>
      <c r="JF191" s="12"/>
      <c r="JG191" s="12"/>
      <c r="JH191" s="12"/>
      <c r="JI191" s="12"/>
      <c r="JJ191" s="12"/>
      <c r="JK191" s="12"/>
      <c r="JL191" s="12"/>
      <c r="JM191" s="12"/>
      <c r="JN191" s="12"/>
      <c r="JO191" s="12"/>
      <c r="JP191" s="12"/>
      <c r="JQ191" s="12"/>
      <c r="JR191" s="12"/>
      <c r="JS191" s="12"/>
      <c r="JT191" s="12"/>
      <c r="JU191" s="12"/>
      <c r="JV191" s="12"/>
      <c r="JW191" s="12"/>
      <c r="JX191" s="12"/>
      <c r="JY191" s="12"/>
      <c r="JZ191" s="12"/>
      <c r="KA191" s="12"/>
      <c r="KB191" s="12"/>
      <c r="KC191" s="12"/>
      <c r="KD191" s="12"/>
      <c r="KE191" s="12"/>
      <c r="KF191" s="12"/>
      <c r="KG191" s="12"/>
      <c r="KH191" s="12"/>
      <c r="KI191" s="12"/>
      <c r="KJ191" s="12"/>
      <c r="KK191" s="12"/>
      <c r="KL191" s="12"/>
      <c r="KM191" s="12"/>
      <c r="KN191" s="12"/>
      <c r="KO191" s="12"/>
      <c r="KP191" s="12"/>
      <c r="KQ191" s="12"/>
      <c r="KR191" s="12"/>
      <c r="KS191" s="12"/>
      <c r="KT191" s="12"/>
      <c r="KU191" s="12"/>
      <c r="KV191" s="12"/>
      <c r="KW191" s="12"/>
      <c r="KX191" s="12"/>
      <c r="KY191" s="12"/>
      <c r="KZ191" s="12"/>
      <c r="LA191" s="12"/>
      <c r="LB191" s="12"/>
      <c r="LC191" s="12"/>
      <c r="LD191" s="12"/>
      <c r="LE191" s="12"/>
      <c r="LF191" s="12"/>
      <c r="LG191" s="12"/>
      <c r="LH191" s="12"/>
      <c r="LI191" s="12"/>
      <c r="LJ191" s="12"/>
      <c r="LK191" s="12"/>
      <c r="LL191" s="12"/>
      <c r="LM191" s="12"/>
      <c r="LN191" s="12"/>
      <c r="LO191" s="12"/>
      <c r="LP191" s="12"/>
      <c r="LQ191" s="12"/>
      <c r="LR191" s="12"/>
      <c r="LS191" s="12"/>
      <c r="LT191" s="12"/>
      <c r="LU191" s="12"/>
      <c r="LV191" s="12"/>
      <c r="LW191" s="12"/>
      <c r="LX191" s="12"/>
      <c r="LY191" s="12"/>
      <c r="LZ191" s="12"/>
      <c r="MA191" s="12"/>
      <c r="MB191" s="12"/>
      <c r="MC191" s="12"/>
      <c r="MD191" s="12"/>
      <c r="ME191" s="12"/>
      <c r="MF191" s="12"/>
      <c r="MG191" s="12"/>
      <c r="MH191" s="12"/>
      <c r="MI191" s="12"/>
      <c r="MJ191" s="12"/>
      <c r="MK191" s="12"/>
      <c r="ML191" s="12"/>
      <c r="MM191" s="12"/>
      <c r="MN191" s="12"/>
      <c r="MO191" s="12"/>
      <c r="MP191" s="12"/>
      <c r="MQ191" s="12"/>
      <c r="MR191" s="12"/>
      <c r="MS191" s="12"/>
      <c r="MT191" s="12"/>
      <c r="MU191" s="12"/>
      <c r="MV191" s="12"/>
      <c r="MW191" s="12"/>
      <c r="MX191" s="12"/>
      <c r="MY191" s="12"/>
      <c r="MZ191" s="12"/>
      <c r="NA191" s="12"/>
      <c r="NB191" s="12"/>
      <c r="NC191" s="12"/>
      <c r="ND191" s="12"/>
      <c r="NE191" s="12"/>
      <c r="NF191" s="12"/>
      <c r="NG191" s="12"/>
      <c r="NH191" s="12"/>
      <c r="NI191" s="12"/>
      <c r="NJ191" s="12"/>
      <c r="NK191" s="12"/>
      <c r="NL191" s="12"/>
      <c r="NM191" s="12"/>
      <c r="NN191" s="12"/>
      <c r="NO191" s="12"/>
      <c r="NP191" s="12"/>
      <c r="NQ191" s="12"/>
      <c r="NR191" s="12"/>
      <c r="NS191" s="12"/>
      <c r="NT191" s="12"/>
      <c r="NU191" s="12"/>
      <c r="NV191" s="12"/>
      <c r="NW191" s="12"/>
      <c r="NX191" s="12"/>
      <c r="NY191" s="12"/>
      <c r="NZ191" s="12"/>
      <c r="OA191" s="12"/>
      <c r="OB191" s="12"/>
      <c r="OC191" s="12"/>
      <c r="OD191" s="12"/>
      <c r="OE191" s="12"/>
      <c r="OF191" s="12"/>
      <c r="OG191" s="12"/>
      <c r="OH191" s="12"/>
      <c r="OI191" s="12"/>
      <c r="OJ191" s="12"/>
      <c r="OK191" s="12"/>
      <c r="OL191" s="12"/>
      <c r="OM191" s="12"/>
      <c r="ON191" s="12"/>
      <c r="OO191" s="12"/>
      <c r="OP191" s="12"/>
      <c r="OQ191" s="12"/>
      <c r="OR191" s="12"/>
      <c r="OS191" s="12"/>
      <c r="OT191" s="12"/>
      <c r="OU191" s="12"/>
      <c r="OV191" s="12"/>
      <c r="OW191" s="12"/>
      <c r="OX191" s="12"/>
      <c r="OY191" s="12"/>
      <c r="OZ191" s="12"/>
      <c r="PA191" s="12"/>
      <c r="PB191" s="12"/>
      <c r="PC191" s="12"/>
      <c r="PD191" s="12"/>
      <c r="PE191" s="12"/>
      <c r="PF191" s="12"/>
      <c r="PG191" s="12"/>
      <c r="PH191" s="12"/>
      <c r="PI191" s="12"/>
      <c r="PJ191" s="12"/>
      <c r="PK191" s="12"/>
      <c r="PL191" s="12"/>
      <c r="PM191" s="12"/>
      <c r="PN191" s="12"/>
      <c r="PO191" s="12"/>
      <c r="PP191" s="12"/>
      <c r="PQ191" s="12"/>
      <c r="PR191" s="12"/>
      <c r="PS191" s="12"/>
      <c r="PT191" s="12"/>
      <c r="PU191" s="12"/>
      <c r="PV191" s="12"/>
      <c r="PW191" s="12"/>
      <c r="PX191" s="12"/>
      <c r="PY191" s="12"/>
      <c r="PZ191" s="12"/>
      <c r="QA191" s="12"/>
      <c r="QB191" s="12"/>
      <c r="QC191" s="12"/>
      <c r="QD191" s="12"/>
      <c r="QE191" s="12"/>
      <c r="QF191" s="12"/>
      <c r="QG191" s="12"/>
      <c r="QH191" s="12"/>
      <c r="QI191" s="12"/>
      <c r="QJ191" s="12"/>
      <c r="QK191" s="12"/>
      <c r="QL191" s="12"/>
      <c r="QM191" s="12"/>
      <c r="QN191" s="12"/>
      <c r="QO191" s="12"/>
      <c r="QP191" s="12"/>
      <c r="QQ191" s="12"/>
      <c r="QR191" s="12"/>
      <c r="QS191" s="12"/>
      <c r="QT191" s="12"/>
      <c r="QU191" s="12"/>
      <c r="QV191" s="12"/>
      <c r="QW191" s="12"/>
      <c r="QX191" s="12"/>
      <c r="QY191" s="12"/>
      <c r="QZ191" s="12"/>
      <c r="RA191" s="12"/>
      <c r="RB191" s="12"/>
      <c r="RC191" s="12"/>
      <c r="RD191" s="12"/>
      <c r="RE191" s="12"/>
      <c r="RF191" s="12"/>
      <c r="RG191" s="12"/>
      <c r="RH191" s="12"/>
      <c r="RI191" s="12"/>
      <c r="RJ191" s="12"/>
      <c r="RK191" s="12"/>
      <c r="RL191" s="12"/>
      <c r="RM191" s="12"/>
      <c r="RN191" s="12"/>
      <c r="RO191" s="12"/>
      <c r="RP191" s="12"/>
      <c r="RQ191" s="12"/>
      <c r="RR191" s="12"/>
      <c r="RS191" s="12"/>
      <c r="RT191" s="12"/>
      <c r="RU191" s="12"/>
      <c r="RV191" s="12"/>
      <c r="RW191" s="12"/>
      <c r="RX191" s="12"/>
      <c r="RY191" s="12"/>
      <c r="RZ191" s="12"/>
      <c r="SA191" s="12"/>
      <c r="SB191" s="12"/>
      <c r="SC191" s="12"/>
      <c r="SD191" s="12"/>
      <c r="SE191" s="12"/>
      <c r="SF191" s="12"/>
      <c r="SG191" s="12"/>
      <c r="SH191" s="11"/>
      <c r="SI191" s="11"/>
      <c r="SJ191" s="11"/>
      <c r="SK191" s="11"/>
      <c r="SL191" s="11"/>
      <c r="SM191" s="11"/>
      <c r="SN191" s="11"/>
      <c r="SO191" s="11"/>
      <c r="SP191" s="11"/>
      <c r="SQ191" s="11"/>
      <c r="SR191" s="11"/>
      <c r="SS191" s="11"/>
      <c r="ST191" s="11"/>
      <c r="SU191" s="11"/>
      <c r="SV191" s="11"/>
      <c r="SW191" s="11"/>
      <c r="SX191" s="11"/>
      <c r="SY191" s="11"/>
      <c r="SZ191" s="11"/>
      <c r="TA191" s="11"/>
      <c r="TB191" s="11"/>
      <c r="TC191" s="11"/>
      <c r="TD191" s="11"/>
      <c r="TE191" s="11"/>
      <c r="TF191" s="11"/>
      <c r="TG191" s="11"/>
      <c r="TH191" s="11"/>
      <c r="TI191" s="11"/>
      <c r="TJ191" s="11"/>
      <c r="TK191" s="11"/>
      <c r="TL191" s="11"/>
    </row>
    <row r="192" spans="1:532" x14ac:dyDescent="0.2">
      <c r="A192" s="10" t="s">
        <v>191</v>
      </c>
      <c r="B192" s="12">
        <v>14.98</v>
      </c>
      <c r="C192" s="11">
        <v>0</v>
      </c>
      <c r="D192" s="11">
        <v>1.9799681366748888E-2</v>
      </c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  <c r="CO192" s="12"/>
      <c r="CP192" s="12"/>
      <c r="CQ192" s="12"/>
      <c r="CR192" s="12"/>
      <c r="CS192" s="12"/>
      <c r="CT192" s="12"/>
      <c r="CU192" s="12"/>
      <c r="CV192" s="12"/>
      <c r="CW192" s="12"/>
      <c r="CX192" s="12"/>
      <c r="CY192" s="12"/>
      <c r="CZ192" s="12"/>
      <c r="DA192" s="12"/>
      <c r="DB192" s="12"/>
      <c r="DC192" s="12"/>
      <c r="DD192" s="12"/>
      <c r="DE192" s="12"/>
      <c r="DF192" s="12"/>
      <c r="DG192" s="12"/>
      <c r="DH192" s="12"/>
      <c r="DI192" s="12"/>
      <c r="DJ192" s="12"/>
      <c r="DK192" s="12"/>
      <c r="DL192" s="12"/>
      <c r="DM192" s="12"/>
      <c r="DN192" s="12"/>
      <c r="DO192" s="12"/>
      <c r="DP192" s="12"/>
      <c r="DQ192" s="12"/>
      <c r="DR192" s="12"/>
      <c r="DS192" s="12"/>
      <c r="DT192" s="12"/>
      <c r="DU192" s="12"/>
      <c r="DV192" s="12"/>
      <c r="DW192" s="12"/>
      <c r="DX192" s="12"/>
      <c r="DY192" s="12"/>
      <c r="DZ192" s="12"/>
      <c r="EA192" s="12"/>
      <c r="EB192" s="12"/>
      <c r="EC192" s="12"/>
      <c r="ED192" s="12"/>
      <c r="EE192" s="12"/>
      <c r="EF192" s="12"/>
      <c r="EG192" s="12"/>
      <c r="EH192" s="12"/>
      <c r="EI192" s="12"/>
      <c r="EJ192" s="12"/>
      <c r="EK192" s="12"/>
      <c r="EL192" s="12"/>
      <c r="EM192" s="12"/>
      <c r="EN192" s="12"/>
      <c r="EO192" s="12"/>
      <c r="EP192" s="12"/>
      <c r="EQ192" s="12"/>
      <c r="ER192" s="12"/>
      <c r="ES192" s="12"/>
      <c r="ET192" s="12"/>
      <c r="EU192" s="12"/>
      <c r="EV192" s="12"/>
      <c r="EW192" s="12"/>
      <c r="EX192" s="12"/>
      <c r="EY192" s="12"/>
      <c r="EZ192" s="12"/>
      <c r="FA192" s="12"/>
      <c r="FB192" s="12"/>
      <c r="FC192" s="12"/>
      <c r="FD192" s="12"/>
      <c r="FE192" s="12"/>
      <c r="FF192" s="12"/>
      <c r="FG192" s="12"/>
      <c r="FH192" s="12"/>
      <c r="FI192" s="12"/>
      <c r="FJ192" s="12"/>
      <c r="FK192" s="12"/>
      <c r="FL192" s="12"/>
      <c r="FM192" s="12"/>
      <c r="FN192" s="12"/>
      <c r="FO192" s="12"/>
      <c r="FP192" s="12"/>
      <c r="FQ192" s="12"/>
      <c r="FR192" s="12"/>
      <c r="FS192" s="12"/>
      <c r="FT192" s="12"/>
      <c r="FU192" s="12"/>
      <c r="FV192" s="12"/>
      <c r="FW192" s="12"/>
      <c r="FX192" s="12"/>
      <c r="FY192" s="12"/>
      <c r="FZ192" s="12"/>
      <c r="GA192" s="12"/>
      <c r="GB192" s="12"/>
      <c r="GC192" s="12"/>
      <c r="GD192" s="12"/>
      <c r="GE192" s="12"/>
      <c r="GF192" s="12"/>
      <c r="GG192" s="12"/>
      <c r="GH192" s="12"/>
      <c r="GI192" s="12"/>
      <c r="GJ192" s="12"/>
      <c r="GK192" s="12"/>
      <c r="GL192" s="12"/>
      <c r="GM192" s="12"/>
      <c r="GN192" s="12"/>
      <c r="GO192" s="12"/>
      <c r="GP192" s="12"/>
      <c r="GQ192" s="12"/>
      <c r="GR192" s="12"/>
      <c r="GS192" s="12"/>
      <c r="GT192" s="12"/>
      <c r="GU192" s="12"/>
      <c r="GV192" s="12"/>
      <c r="GW192" s="12"/>
      <c r="GX192" s="12"/>
      <c r="GY192" s="12"/>
      <c r="GZ192" s="12"/>
      <c r="HA192" s="12"/>
      <c r="HB192" s="12"/>
      <c r="HC192" s="12"/>
      <c r="HD192" s="12"/>
      <c r="HE192" s="12"/>
      <c r="HF192" s="12"/>
      <c r="HG192" s="12"/>
      <c r="HH192" s="12"/>
      <c r="HI192" s="12"/>
      <c r="HJ192" s="12"/>
      <c r="HK192" s="12"/>
      <c r="HL192" s="12"/>
      <c r="HM192" s="12"/>
      <c r="HN192" s="12"/>
      <c r="HO192" s="12"/>
      <c r="HP192" s="12"/>
      <c r="HQ192" s="12"/>
      <c r="HR192" s="12"/>
      <c r="HS192" s="12"/>
      <c r="HT192" s="12"/>
      <c r="HU192" s="12"/>
      <c r="HV192" s="12"/>
      <c r="HW192" s="12"/>
      <c r="HX192" s="12"/>
      <c r="HY192" s="12"/>
      <c r="HZ192" s="12"/>
      <c r="IA192" s="12"/>
      <c r="IB192" s="12"/>
      <c r="IC192" s="12"/>
      <c r="ID192" s="12"/>
      <c r="IE192" s="12"/>
      <c r="IF192" s="12"/>
      <c r="IG192" s="12"/>
      <c r="IH192" s="12"/>
      <c r="II192" s="12"/>
      <c r="IJ192" s="12"/>
      <c r="IK192" s="12"/>
      <c r="IL192" s="12"/>
      <c r="IM192" s="12"/>
      <c r="IN192" s="12"/>
      <c r="IO192" s="12"/>
      <c r="IP192" s="12"/>
      <c r="IQ192" s="12"/>
      <c r="IR192" s="12"/>
      <c r="IS192" s="12"/>
      <c r="IT192" s="12"/>
      <c r="IU192" s="12"/>
      <c r="IV192" s="12"/>
      <c r="IW192" s="12"/>
      <c r="IX192" s="12"/>
      <c r="IY192" s="12"/>
      <c r="IZ192" s="12"/>
      <c r="JA192" s="12"/>
      <c r="JB192" s="12"/>
      <c r="JC192" s="12"/>
      <c r="JD192" s="12"/>
      <c r="JE192" s="12"/>
      <c r="JF192" s="12"/>
      <c r="JG192" s="12"/>
      <c r="JH192" s="12"/>
      <c r="JI192" s="12"/>
      <c r="JJ192" s="12"/>
      <c r="JK192" s="12"/>
      <c r="JL192" s="12"/>
      <c r="JM192" s="12"/>
      <c r="JN192" s="12"/>
      <c r="JO192" s="12"/>
      <c r="JP192" s="12"/>
      <c r="JQ192" s="12"/>
      <c r="JR192" s="12"/>
      <c r="JS192" s="12"/>
      <c r="JT192" s="12"/>
      <c r="JU192" s="12"/>
      <c r="JV192" s="12"/>
      <c r="JW192" s="12"/>
      <c r="JX192" s="12"/>
      <c r="JY192" s="12"/>
      <c r="JZ192" s="12"/>
      <c r="KA192" s="12"/>
      <c r="KB192" s="12"/>
      <c r="KC192" s="12"/>
      <c r="KD192" s="12"/>
      <c r="KE192" s="12"/>
      <c r="KF192" s="12"/>
      <c r="KG192" s="12"/>
      <c r="KH192" s="12"/>
      <c r="KI192" s="12"/>
      <c r="KJ192" s="12"/>
      <c r="KK192" s="12"/>
      <c r="KL192" s="12"/>
      <c r="KM192" s="12"/>
      <c r="KN192" s="12"/>
      <c r="KO192" s="12"/>
      <c r="KP192" s="12"/>
      <c r="KQ192" s="12"/>
      <c r="KR192" s="12"/>
      <c r="KS192" s="12"/>
      <c r="KT192" s="12"/>
      <c r="KU192" s="12"/>
      <c r="KV192" s="12"/>
      <c r="KW192" s="12"/>
      <c r="KX192" s="12"/>
      <c r="KY192" s="12"/>
      <c r="KZ192" s="12"/>
      <c r="LA192" s="12"/>
      <c r="LB192" s="12"/>
      <c r="LC192" s="12"/>
      <c r="LD192" s="12"/>
      <c r="LE192" s="12"/>
      <c r="LF192" s="12"/>
      <c r="LG192" s="12"/>
      <c r="LH192" s="12"/>
      <c r="LI192" s="12"/>
      <c r="LJ192" s="12"/>
      <c r="LK192" s="12"/>
      <c r="LL192" s="12"/>
      <c r="LM192" s="12"/>
      <c r="LN192" s="12"/>
      <c r="LO192" s="12"/>
      <c r="LP192" s="12"/>
      <c r="LQ192" s="12"/>
      <c r="LR192" s="12"/>
      <c r="LS192" s="12"/>
      <c r="LT192" s="12"/>
      <c r="LU192" s="12"/>
      <c r="LV192" s="12"/>
      <c r="LW192" s="12"/>
      <c r="LX192" s="12"/>
      <c r="LY192" s="12"/>
      <c r="LZ192" s="12"/>
      <c r="MA192" s="12"/>
      <c r="MB192" s="12"/>
      <c r="MC192" s="12"/>
      <c r="MD192" s="12"/>
      <c r="ME192" s="12"/>
      <c r="MF192" s="12"/>
      <c r="MG192" s="12"/>
      <c r="MH192" s="12"/>
      <c r="MI192" s="12"/>
      <c r="MJ192" s="12"/>
      <c r="MK192" s="12"/>
      <c r="ML192" s="12"/>
      <c r="MM192" s="12"/>
      <c r="MN192" s="12"/>
      <c r="MO192" s="12"/>
      <c r="MP192" s="12"/>
      <c r="MQ192" s="12"/>
      <c r="MR192" s="12"/>
      <c r="MS192" s="12"/>
      <c r="MT192" s="12"/>
      <c r="MU192" s="12"/>
      <c r="MV192" s="12"/>
      <c r="MW192" s="12"/>
      <c r="MX192" s="12"/>
      <c r="MY192" s="12"/>
      <c r="MZ192" s="12"/>
      <c r="NA192" s="12"/>
      <c r="NB192" s="12"/>
      <c r="NC192" s="12"/>
      <c r="ND192" s="12"/>
      <c r="NE192" s="12"/>
      <c r="NF192" s="12"/>
      <c r="NG192" s="12"/>
      <c r="NH192" s="12"/>
      <c r="NI192" s="12"/>
      <c r="NJ192" s="12"/>
      <c r="NK192" s="12"/>
      <c r="NL192" s="12"/>
      <c r="NM192" s="12"/>
      <c r="NN192" s="12"/>
      <c r="NO192" s="12"/>
      <c r="NP192" s="12"/>
      <c r="NQ192" s="12"/>
      <c r="NR192" s="12"/>
      <c r="NS192" s="12"/>
      <c r="NT192" s="12"/>
      <c r="NU192" s="12"/>
      <c r="NV192" s="12"/>
      <c r="NW192" s="12"/>
      <c r="NX192" s="12"/>
      <c r="NY192" s="12"/>
      <c r="NZ192" s="12"/>
      <c r="OA192" s="12"/>
      <c r="OB192" s="12"/>
      <c r="OC192" s="12"/>
      <c r="OD192" s="12"/>
      <c r="OE192" s="12"/>
      <c r="OF192" s="12"/>
      <c r="OG192" s="12"/>
      <c r="OH192" s="12"/>
      <c r="OI192" s="12"/>
      <c r="OJ192" s="12"/>
      <c r="OK192" s="12"/>
      <c r="OL192" s="12"/>
      <c r="OM192" s="12"/>
      <c r="ON192" s="12"/>
      <c r="OO192" s="12"/>
      <c r="OP192" s="12"/>
      <c r="OQ192" s="12"/>
      <c r="OR192" s="12"/>
      <c r="OS192" s="12"/>
      <c r="OT192" s="12"/>
      <c r="OU192" s="12"/>
      <c r="OV192" s="12"/>
      <c r="OW192" s="12"/>
      <c r="OX192" s="12"/>
      <c r="OY192" s="12"/>
      <c r="OZ192" s="12"/>
      <c r="PA192" s="12"/>
      <c r="PB192" s="12"/>
      <c r="PC192" s="12"/>
      <c r="PD192" s="12"/>
      <c r="PE192" s="12"/>
      <c r="PF192" s="12"/>
      <c r="PG192" s="12"/>
      <c r="PH192" s="12"/>
      <c r="PI192" s="12"/>
      <c r="PJ192" s="12"/>
      <c r="PK192" s="12"/>
      <c r="PL192" s="12"/>
      <c r="PM192" s="12"/>
      <c r="PN192" s="12"/>
      <c r="PO192" s="12"/>
      <c r="PP192" s="12"/>
      <c r="PQ192" s="12"/>
      <c r="PR192" s="12"/>
      <c r="PS192" s="12"/>
      <c r="PT192" s="12"/>
      <c r="PU192" s="12"/>
      <c r="PV192" s="12"/>
      <c r="PW192" s="12"/>
      <c r="PX192" s="12"/>
      <c r="PY192" s="12"/>
      <c r="PZ192" s="12"/>
      <c r="QA192" s="12"/>
      <c r="QB192" s="12"/>
      <c r="QC192" s="12"/>
      <c r="QD192" s="12"/>
      <c r="QE192" s="12"/>
      <c r="QF192" s="12"/>
      <c r="QG192" s="12"/>
      <c r="QH192" s="12"/>
      <c r="QI192" s="12"/>
      <c r="QJ192" s="12"/>
      <c r="QK192" s="12"/>
      <c r="QL192" s="12"/>
      <c r="QM192" s="12"/>
      <c r="QN192" s="12"/>
      <c r="QO192" s="12"/>
      <c r="QP192" s="12"/>
      <c r="QQ192" s="12"/>
      <c r="QR192" s="12"/>
      <c r="QS192" s="12"/>
      <c r="QT192" s="12"/>
      <c r="QU192" s="12"/>
      <c r="QV192" s="12"/>
      <c r="QW192" s="12"/>
      <c r="QX192" s="12"/>
      <c r="QY192" s="12"/>
      <c r="QZ192" s="12"/>
      <c r="RA192" s="12"/>
      <c r="RB192" s="12"/>
      <c r="RC192" s="12"/>
      <c r="RD192" s="12"/>
      <c r="RE192" s="12"/>
      <c r="RF192" s="12"/>
      <c r="RG192" s="12"/>
      <c r="RH192" s="12"/>
      <c r="RI192" s="12"/>
      <c r="RJ192" s="12"/>
      <c r="RK192" s="12"/>
      <c r="RL192" s="12"/>
      <c r="RM192" s="12"/>
      <c r="RN192" s="12"/>
      <c r="RO192" s="12"/>
      <c r="RP192" s="12"/>
      <c r="RQ192" s="12"/>
      <c r="RR192" s="12"/>
      <c r="RS192" s="12"/>
      <c r="RT192" s="12"/>
      <c r="RU192" s="12"/>
      <c r="RV192" s="12"/>
      <c r="RW192" s="12"/>
      <c r="RX192" s="12"/>
      <c r="RY192" s="12"/>
      <c r="RZ192" s="12"/>
      <c r="SA192" s="12"/>
      <c r="SB192" s="12"/>
      <c r="SC192" s="12"/>
      <c r="SD192" s="12"/>
      <c r="SE192" s="12"/>
      <c r="SF192" s="12"/>
      <c r="SG192" s="12"/>
      <c r="SH192" s="11"/>
      <c r="SI192" s="11"/>
      <c r="SJ192" s="11"/>
      <c r="SK192" s="11"/>
      <c r="SL192" s="11"/>
      <c r="SM192" s="11"/>
      <c r="SN192" s="11"/>
      <c r="SO192" s="11"/>
      <c r="SP192" s="11"/>
      <c r="SQ192" s="11"/>
      <c r="SR192" s="11"/>
      <c r="SS192" s="11"/>
      <c r="ST192" s="11"/>
      <c r="SU192" s="11"/>
      <c r="SV192" s="11"/>
      <c r="SW192" s="11"/>
      <c r="SX192" s="11"/>
      <c r="SY192" s="11"/>
      <c r="SZ192" s="11"/>
      <c r="TA192" s="11"/>
      <c r="TB192" s="11"/>
      <c r="TC192" s="11"/>
      <c r="TD192" s="11"/>
      <c r="TE192" s="11"/>
      <c r="TF192" s="11"/>
      <c r="TG192" s="11"/>
      <c r="TH192" s="11"/>
      <c r="TI192" s="11"/>
      <c r="TJ192" s="11"/>
      <c r="TK192" s="11"/>
      <c r="TL192" s="11"/>
    </row>
    <row r="193" spans="1:532" x14ac:dyDescent="0.2">
      <c r="A193" s="10" t="s">
        <v>192</v>
      </c>
      <c r="B193" s="12">
        <v>14.23</v>
      </c>
      <c r="C193" s="11">
        <v>0</v>
      </c>
      <c r="D193" s="11">
        <v>0.76228773261983218</v>
      </c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  <c r="CO193" s="12"/>
      <c r="CP193" s="12"/>
      <c r="CQ193" s="12"/>
      <c r="CR193" s="12"/>
      <c r="CS193" s="12"/>
      <c r="CT193" s="12"/>
      <c r="CU193" s="12"/>
      <c r="CV193" s="12"/>
      <c r="CW193" s="12"/>
      <c r="CX193" s="12"/>
      <c r="CY193" s="12"/>
      <c r="CZ193" s="12"/>
      <c r="DA193" s="12"/>
      <c r="DB193" s="12"/>
      <c r="DC193" s="12"/>
      <c r="DD193" s="12"/>
      <c r="DE193" s="12"/>
      <c r="DF193" s="12"/>
      <c r="DG193" s="12"/>
      <c r="DH193" s="12"/>
      <c r="DI193" s="12"/>
      <c r="DJ193" s="12"/>
      <c r="DK193" s="12"/>
      <c r="DL193" s="12"/>
      <c r="DM193" s="12"/>
      <c r="DN193" s="12"/>
      <c r="DO193" s="12"/>
      <c r="DP193" s="12"/>
      <c r="DQ193" s="12"/>
      <c r="DR193" s="12"/>
      <c r="DS193" s="12"/>
      <c r="DT193" s="12"/>
      <c r="DU193" s="12"/>
      <c r="DV193" s="12"/>
      <c r="DW193" s="12"/>
      <c r="DX193" s="12"/>
      <c r="DY193" s="12"/>
      <c r="DZ193" s="12"/>
      <c r="EA193" s="12"/>
      <c r="EB193" s="12"/>
      <c r="EC193" s="12"/>
      <c r="ED193" s="12"/>
      <c r="EE193" s="12"/>
      <c r="EF193" s="12"/>
      <c r="EG193" s="12"/>
      <c r="EH193" s="12"/>
      <c r="EI193" s="12"/>
      <c r="EJ193" s="12"/>
      <c r="EK193" s="12"/>
      <c r="EL193" s="12"/>
      <c r="EM193" s="12"/>
      <c r="EN193" s="12"/>
      <c r="EO193" s="12"/>
      <c r="EP193" s="12"/>
      <c r="EQ193" s="12"/>
      <c r="ER193" s="12"/>
      <c r="ES193" s="12"/>
      <c r="ET193" s="12"/>
      <c r="EU193" s="12"/>
      <c r="EV193" s="12"/>
      <c r="EW193" s="12"/>
      <c r="EX193" s="12"/>
      <c r="EY193" s="12"/>
      <c r="EZ193" s="12"/>
      <c r="FA193" s="12"/>
      <c r="FB193" s="12"/>
      <c r="FC193" s="12"/>
      <c r="FD193" s="12"/>
      <c r="FE193" s="12"/>
      <c r="FF193" s="12"/>
      <c r="FG193" s="12"/>
      <c r="FH193" s="12"/>
      <c r="FI193" s="12"/>
      <c r="FJ193" s="12"/>
      <c r="FK193" s="12"/>
      <c r="FL193" s="12"/>
      <c r="FM193" s="12"/>
      <c r="FN193" s="12"/>
      <c r="FO193" s="12"/>
      <c r="FP193" s="12"/>
      <c r="FQ193" s="12"/>
      <c r="FR193" s="12"/>
      <c r="FS193" s="12"/>
      <c r="FT193" s="12"/>
      <c r="FU193" s="12"/>
      <c r="FV193" s="12"/>
      <c r="FW193" s="12"/>
      <c r="FX193" s="12"/>
      <c r="FY193" s="12"/>
      <c r="FZ193" s="12"/>
      <c r="GA193" s="12"/>
      <c r="GB193" s="12"/>
      <c r="GC193" s="12"/>
      <c r="GD193" s="12"/>
      <c r="GE193" s="12"/>
      <c r="GF193" s="12"/>
      <c r="GG193" s="12"/>
      <c r="GH193" s="12"/>
      <c r="GI193" s="12"/>
      <c r="GJ193" s="12"/>
      <c r="GK193" s="12"/>
      <c r="GL193" s="12"/>
      <c r="GM193" s="12"/>
      <c r="GN193" s="12"/>
      <c r="GO193" s="12"/>
      <c r="GP193" s="12"/>
      <c r="GQ193" s="12"/>
      <c r="GR193" s="12"/>
      <c r="GS193" s="12"/>
      <c r="GT193" s="12"/>
      <c r="GU193" s="12"/>
      <c r="GV193" s="12"/>
      <c r="GW193" s="12"/>
      <c r="GX193" s="12"/>
      <c r="GY193" s="12"/>
      <c r="GZ193" s="12"/>
      <c r="HA193" s="12"/>
      <c r="HB193" s="12"/>
      <c r="HC193" s="12"/>
      <c r="HD193" s="12"/>
      <c r="HE193" s="12"/>
      <c r="HF193" s="12"/>
      <c r="HG193" s="12"/>
      <c r="HH193" s="12"/>
      <c r="HI193" s="12"/>
      <c r="HJ193" s="12"/>
      <c r="HK193" s="12"/>
      <c r="HL193" s="12"/>
      <c r="HM193" s="12"/>
      <c r="HN193" s="12"/>
      <c r="HO193" s="12"/>
      <c r="HP193" s="12"/>
      <c r="HQ193" s="12"/>
      <c r="HR193" s="12"/>
      <c r="HS193" s="12"/>
      <c r="HT193" s="12"/>
      <c r="HU193" s="12"/>
      <c r="HV193" s="12"/>
      <c r="HW193" s="12"/>
      <c r="HX193" s="12"/>
      <c r="HY193" s="12"/>
      <c r="HZ193" s="12"/>
      <c r="IA193" s="12"/>
      <c r="IB193" s="12"/>
      <c r="IC193" s="12"/>
      <c r="ID193" s="12"/>
      <c r="IE193" s="12"/>
      <c r="IF193" s="12"/>
      <c r="IG193" s="12"/>
      <c r="IH193" s="12"/>
      <c r="II193" s="12"/>
      <c r="IJ193" s="12"/>
      <c r="IK193" s="12"/>
      <c r="IL193" s="12"/>
      <c r="IM193" s="12"/>
      <c r="IN193" s="12"/>
      <c r="IO193" s="12"/>
      <c r="IP193" s="12"/>
      <c r="IQ193" s="12"/>
      <c r="IR193" s="12"/>
      <c r="IS193" s="12"/>
      <c r="IT193" s="12"/>
      <c r="IU193" s="12"/>
      <c r="IV193" s="12"/>
      <c r="IW193" s="12"/>
      <c r="IX193" s="12"/>
      <c r="IY193" s="12"/>
      <c r="IZ193" s="12"/>
      <c r="JA193" s="12"/>
      <c r="JB193" s="12"/>
      <c r="JC193" s="12"/>
      <c r="JD193" s="12"/>
      <c r="JE193" s="12"/>
      <c r="JF193" s="12"/>
      <c r="JG193" s="12"/>
      <c r="JH193" s="12"/>
      <c r="JI193" s="12"/>
      <c r="JJ193" s="12"/>
      <c r="JK193" s="12"/>
      <c r="JL193" s="12"/>
      <c r="JM193" s="12"/>
      <c r="JN193" s="12"/>
      <c r="JO193" s="12"/>
      <c r="JP193" s="12"/>
      <c r="JQ193" s="12"/>
      <c r="JR193" s="12"/>
      <c r="JS193" s="12"/>
      <c r="JT193" s="12"/>
      <c r="JU193" s="12"/>
      <c r="JV193" s="12"/>
      <c r="JW193" s="12"/>
      <c r="JX193" s="12"/>
      <c r="JY193" s="12"/>
      <c r="JZ193" s="12"/>
      <c r="KA193" s="12"/>
      <c r="KB193" s="12"/>
      <c r="KC193" s="12"/>
      <c r="KD193" s="12"/>
      <c r="KE193" s="12"/>
      <c r="KF193" s="12"/>
      <c r="KG193" s="12"/>
      <c r="KH193" s="12"/>
      <c r="KI193" s="12"/>
      <c r="KJ193" s="12"/>
      <c r="KK193" s="12"/>
      <c r="KL193" s="12"/>
      <c r="KM193" s="12"/>
      <c r="KN193" s="12"/>
      <c r="KO193" s="12"/>
      <c r="KP193" s="12"/>
      <c r="KQ193" s="12"/>
      <c r="KR193" s="12"/>
      <c r="KS193" s="12"/>
      <c r="KT193" s="12"/>
      <c r="KU193" s="12"/>
      <c r="KV193" s="12"/>
      <c r="KW193" s="12"/>
      <c r="KX193" s="12"/>
      <c r="KY193" s="12"/>
      <c r="KZ193" s="12"/>
      <c r="LA193" s="12"/>
      <c r="LB193" s="12"/>
      <c r="LC193" s="12"/>
      <c r="LD193" s="12"/>
      <c r="LE193" s="12"/>
      <c r="LF193" s="12"/>
      <c r="LG193" s="12"/>
      <c r="LH193" s="12"/>
      <c r="LI193" s="12"/>
      <c r="LJ193" s="12"/>
      <c r="LK193" s="12"/>
      <c r="LL193" s="12"/>
      <c r="LM193" s="12"/>
      <c r="LN193" s="12"/>
      <c r="LO193" s="12"/>
      <c r="LP193" s="12"/>
      <c r="LQ193" s="12"/>
      <c r="LR193" s="12"/>
      <c r="LS193" s="12"/>
      <c r="LT193" s="12"/>
      <c r="LU193" s="12"/>
      <c r="LV193" s="12"/>
      <c r="LW193" s="12"/>
      <c r="LX193" s="12"/>
      <c r="LY193" s="12"/>
      <c r="LZ193" s="12"/>
      <c r="MA193" s="12"/>
      <c r="MB193" s="12"/>
      <c r="MC193" s="12"/>
      <c r="MD193" s="12"/>
      <c r="ME193" s="12"/>
      <c r="MF193" s="12"/>
      <c r="MG193" s="12"/>
      <c r="MH193" s="12"/>
      <c r="MI193" s="12"/>
      <c r="MJ193" s="12"/>
      <c r="MK193" s="12"/>
      <c r="ML193" s="12"/>
      <c r="MM193" s="12"/>
      <c r="MN193" s="12"/>
      <c r="MO193" s="12"/>
      <c r="MP193" s="12"/>
      <c r="MQ193" s="12"/>
      <c r="MR193" s="12"/>
      <c r="MS193" s="12"/>
      <c r="MT193" s="12"/>
      <c r="MU193" s="12"/>
      <c r="MV193" s="12"/>
      <c r="MW193" s="12"/>
      <c r="MX193" s="12"/>
      <c r="MY193" s="12"/>
      <c r="MZ193" s="12"/>
      <c r="NA193" s="12"/>
      <c r="NB193" s="12"/>
      <c r="NC193" s="12"/>
      <c r="ND193" s="12"/>
      <c r="NE193" s="12"/>
      <c r="NF193" s="12"/>
      <c r="NG193" s="12"/>
      <c r="NH193" s="12"/>
      <c r="NI193" s="12"/>
      <c r="NJ193" s="12"/>
      <c r="NK193" s="12"/>
      <c r="NL193" s="12"/>
      <c r="NM193" s="12"/>
      <c r="NN193" s="12"/>
      <c r="NO193" s="12"/>
      <c r="NP193" s="12"/>
      <c r="NQ193" s="12"/>
      <c r="NR193" s="12"/>
      <c r="NS193" s="12"/>
      <c r="NT193" s="12"/>
      <c r="NU193" s="12"/>
      <c r="NV193" s="12"/>
      <c r="NW193" s="12"/>
      <c r="NX193" s="12"/>
      <c r="NY193" s="12"/>
      <c r="NZ193" s="12"/>
      <c r="OA193" s="12"/>
      <c r="OB193" s="12"/>
      <c r="OC193" s="12"/>
      <c r="OD193" s="12"/>
      <c r="OE193" s="12"/>
      <c r="OF193" s="12"/>
      <c r="OG193" s="12"/>
      <c r="OH193" s="12"/>
      <c r="OI193" s="12"/>
      <c r="OJ193" s="12"/>
      <c r="OK193" s="12"/>
      <c r="OL193" s="12"/>
      <c r="OM193" s="12"/>
      <c r="ON193" s="12"/>
      <c r="OO193" s="12"/>
      <c r="OP193" s="12"/>
      <c r="OQ193" s="12"/>
      <c r="OR193" s="12"/>
      <c r="OS193" s="12"/>
      <c r="OT193" s="12"/>
      <c r="OU193" s="12"/>
      <c r="OV193" s="12"/>
      <c r="OW193" s="12"/>
      <c r="OX193" s="12"/>
      <c r="OY193" s="12"/>
      <c r="OZ193" s="12"/>
      <c r="PA193" s="12"/>
      <c r="PB193" s="12"/>
      <c r="PC193" s="12"/>
      <c r="PD193" s="12"/>
      <c r="PE193" s="12"/>
      <c r="PF193" s="12"/>
      <c r="PG193" s="12"/>
      <c r="PH193" s="12"/>
      <c r="PI193" s="12"/>
      <c r="PJ193" s="12"/>
      <c r="PK193" s="12"/>
      <c r="PL193" s="12"/>
      <c r="PM193" s="12"/>
      <c r="PN193" s="12"/>
      <c r="PO193" s="12"/>
      <c r="PP193" s="12"/>
      <c r="PQ193" s="12"/>
      <c r="PR193" s="12"/>
      <c r="PS193" s="12"/>
      <c r="PT193" s="12"/>
      <c r="PU193" s="12"/>
      <c r="PV193" s="12"/>
      <c r="PW193" s="12"/>
      <c r="PX193" s="12"/>
      <c r="PY193" s="12"/>
      <c r="PZ193" s="12"/>
      <c r="QA193" s="12"/>
      <c r="QB193" s="12"/>
      <c r="QC193" s="12"/>
      <c r="QD193" s="12"/>
      <c r="QE193" s="12"/>
      <c r="QF193" s="12"/>
      <c r="QG193" s="12"/>
      <c r="QH193" s="12"/>
      <c r="QI193" s="12"/>
      <c r="QJ193" s="12"/>
      <c r="QK193" s="12"/>
      <c r="QL193" s="12"/>
      <c r="QM193" s="12"/>
      <c r="QN193" s="12"/>
      <c r="QO193" s="12"/>
      <c r="QP193" s="12"/>
      <c r="QQ193" s="12"/>
      <c r="QR193" s="12"/>
      <c r="QS193" s="12"/>
      <c r="QT193" s="12"/>
      <c r="QU193" s="12"/>
      <c r="QV193" s="12"/>
      <c r="QW193" s="12"/>
      <c r="QX193" s="12"/>
      <c r="QY193" s="12"/>
      <c r="QZ193" s="12"/>
      <c r="RA193" s="12"/>
      <c r="RB193" s="12"/>
      <c r="RC193" s="12"/>
      <c r="RD193" s="12"/>
      <c r="RE193" s="12"/>
      <c r="RF193" s="12"/>
      <c r="RG193" s="12"/>
      <c r="RH193" s="12"/>
      <c r="RI193" s="12"/>
      <c r="RJ193" s="12"/>
      <c r="RK193" s="12"/>
      <c r="RL193" s="12"/>
      <c r="RM193" s="12"/>
      <c r="RN193" s="12"/>
      <c r="RO193" s="12"/>
      <c r="RP193" s="12"/>
      <c r="RQ193" s="12"/>
      <c r="RR193" s="12"/>
      <c r="RS193" s="12"/>
      <c r="RT193" s="12"/>
      <c r="RU193" s="12"/>
      <c r="RV193" s="12"/>
      <c r="RW193" s="12"/>
      <c r="RX193" s="12"/>
      <c r="RY193" s="12"/>
      <c r="RZ193" s="12"/>
      <c r="SA193" s="12"/>
      <c r="SB193" s="12"/>
      <c r="SC193" s="12"/>
      <c r="SD193" s="12"/>
      <c r="SE193" s="12"/>
      <c r="SF193" s="12"/>
      <c r="SG193" s="12"/>
      <c r="SH193" s="11"/>
      <c r="SI193" s="11"/>
      <c r="SJ193" s="11"/>
      <c r="SK193" s="11"/>
      <c r="SL193" s="11"/>
      <c r="SM193" s="11"/>
      <c r="SN193" s="11"/>
      <c r="SO193" s="11"/>
      <c r="SP193" s="11"/>
      <c r="SQ193" s="11"/>
      <c r="SR193" s="11"/>
      <c r="SS193" s="11"/>
      <c r="ST193" s="11"/>
      <c r="SU193" s="11"/>
      <c r="SV193" s="11"/>
      <c r="SW193" s="11"/>
      <c r="SX193" s="11"/>
      <c r="SY193" s="11"/>
      <c r="SZ193" s="11"/>
      <c r="TA193" s="11"/>
      <c r="TB193" s="11"/>
      <c r="TC193" s="11"/>
      <c r="TD193" s="11"/>
      <c r="TE193" s="11"/>
      <c r="TF193" s="11"/>
      <c r="TG193" s="11"/>
      <c r="TH193" s="11"/>
      <c r="TI193" s="11"/>
      <c r="TJ193" s="11"/>
      <c r="TK193" s="11"/>
      <c r="TL193" s="11"/>
    </row>
    <row r="194" spans="1:532" x14ac:dyDescent="0.2">
      <c r="A194" s="10" t="s">
        <v>193</v>
      </c>
      <c r="B194" s="12">
        <v>13.41</v>
      </c>
      <c r="C194" s="11">
        <v>0</v>
      </c>
      <c r="D194" s="11">
        <v>1.5740746686565366</v>
      </c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  <c r="CO194" s="12"/>
      <c r="CP194" s="12"/>
      <c r="CQ194" s="12"/>
      <c r="CR194" s="12"/>
      <c r="CS194" s="12"/>
      <c r="CT194" s="12"/>
      <c r="CU194" s="12"/>
      <c r="CV194" s="12"/>
      <c r="CW194" s="12"/>
      <c r="CX194" s="12"/>
      <c r="CY194" s="12"/>
      <c r="CZ194" s="12"/>
      <c r="DA194" s="12"/>
      <c r="DB194" s="12"/>
      <c r="DC194" s="12"/>
      <c r="DD194" s="12"/>
      <c r="DE194" s="12"/>
      <c r="DF194" s="12"/>
      <c r="DG194" s="12"/>
      <c r="DH194" s="12"/>
      <c r="DI194" s="12"/>
      <c r="DJ194" s="12"/>
      <c r="DK194" s="12"/>
      <c r="DL194" s="12"/>
      <c r="DM194" s="12"/>
      <c r="DN194" s="12"/>
      <c r="DO194" s="12"/>
      <c r="DP194" s="12"/>
      <c r="DQ194" s="12"/>
      <c r="DR194" s="12"/>
      <c r="DS194" s="12"/>
      <c r="DT194" s="12"/>
      <c r="DU194" s="12"/>
      <c r="DV194" s="12"/>
      <c r="DW194" s="12"/>
      <c r="DX194" s="12"/>
      <c r="DY194" s="12"/>
      <c r="DZ194" s="12"/>
      <c r="EA194" s="12"/>
      <c r="EB194" s="12"/>
      <c r="EC194" s="12"/>
      <c r="ED194" s="12"/>
      <c r="EE194" s="12"/>
      <c r="EF194" s="12"/>
      <c r="EG194" s="12"/>
      <c r="EH194" s="12"/>
      <c r="EI194" s="12"/>
      <c r="EJ194" s="12"/>
      <c r="EK194" s="12"/>
      <c r="EL194" s="12"/>
      <c r="EM194" s="12"/>
      <c r="EN194" s="12"/>
      <c r="EO194" s="12"/>
      <c r="EP194" s="12"/>
      <c r="EQ194" s="12"/>
      <c r="ER194" s="12"/>
      <c r="ES194" s="12"/>
      <c r="ET194" s="12"/>
      <c r="EU194" s="12"/>
      <c r="EV194" s="12"/>
      <c r="EW194" s="12"/>
      <c r="EX194" s="12"/>
      <c r="EY194" s="12"/>
      <c r="EZ194" s="12"/>
      <c r="FA194" s="12"/>
      <c r="FB194" s="12"/>
      <c r="FC194" s="12"/>
      <c r="FD194" s="12"/>
      <c r="FE194" s="12"/>
      <c r="FF194" s="12"/>
      <c r="FG194" s="12"/>
      <c r="FH194" s="12"/>
      <c r="FI194" s="12"/>
      <c r="FJ194" s="12"/>
      <c r="FK194" s="12"/>
      <c r="FL194" s="12"/>
      <c r="FM194" s="12"/>
      <c r="FN194" s="12"/>
      <c r="FO194" s="12"/>
      <c r="FP194" s="12"/>
      <c r="FQ194" s="12"/>
      <c r="FR194" s="12"/>
      <c r="FS194" s="12"/>
      <c r="FT194" s="12"/>
      <c r="FU194" s="12"/>
      <c r="FV194" s="12"/>
      <c r="FW194" s="12"/>
      <c r="FX194" s="12"/>
      <c r="FY194" s="12"/>
      <c r="FZ194" s="12"/>
      <c r="GA194" s="12"/>
      <c r="GB194" s="12"/>
      <c r="GC194" s="12"/>
      <c r="GD194" s="12"/>
      <c r="GE194" s="12"/>
      <c r="GF194" s="12"/>
      <c r="GG194" s="12"/>
      <c r="GH194" s="12"/>
      <c r="GI194" s="12"/>
      <c r="GJ194" s="12"/>
      <c r="GK194" s="12"/>
      <c r="GL194" s="12"/>
      <c r="GM194" s="12"/>
      <c r="GN194" s="12"/>
      <c r="GO194" s="12"/>
      <c r="GP194" s="12"/>
      <c r="GQ194" s="12"/>
      <c r="GR194" s="12"/>
      <c r="GS194" s="12"/>
      <c r="GT194" s="12"/>
      <c r="GU194" s="12"/>
      <c r="GV194" s="12"/>
      <c r="GW194" s="12"/>
      <c r="GX194" s="12"/>
      <c r="GY194" s="12"/>
      <c r="GZ194" s="12"/>
      <c r="HA194" s="12"/>
      <c r="HB194" s="12"/>
      <c r="HC194" s="12"/>
      <c r="HD194" s="12"/>
      <c r="HE194" s="12"/>
      <c r="HF194" s="12"/>
      <c r="HG194" s="12"/>
      <c r="HH194" s="12"/>
      <c r="HI194" s="12"/>
      <c r="HJ194" s="12"/>
      <c r="HK194" s="12"/>
      <c r="HL194" s="12"/>
      <c r="HM194" s="12"/>
      <c r="HN194" s="12"/>
      <c r="HO194" s="12"/>
      <c r="HP194" s="12"/>
      <c r="HQ194" s="12"/>
      <c r="HR194" s="12"/>
      <c r="HS194" s="12"/>
      <c r="HT194" s="12"/>
      <c r="HU194" s="12"/>
      <c r="HV194" s="12"/>
      <c r="HW194" s="12"/>
      <c r="HX194" s="12"/>
      <c r="HY194" s="12"/>
      <c r="HZ194" s="12"/>
      <c r="IA194" s="12"/>
      <c r="IB194" s="12"/>
      <c r="IC194" s="12"/>
      <c r="ID194" s="12"/>
      <c r="IE194" s="12"/>
      <c r="IF194" s="12"/>
      <c r="IG194" s="12"/>
      <c r="IH194" s="12"/>
      <c r="II194" s="12"/>
      <c r="IJ194" s="12"/>
      <c r="IK194" s="12"/>
      <c r="IL194" s="12"/>
      <c r="IM194" s="12"/>
      <c r="IN194" s="12"/>
      <c r="IO194" s="12"/>
      <c r="IP194" s="12"/>
      <c r="IQ194" s="12"/>
      <c r="IR194" s="12"/>
      <c r="IS194" s="12"/>
      <c r="IT194" s="12"/>
      <c r="IU194" s="12"/>
      <c r="IV194" s="12"/>
      <c r="IW194" s="12"/>
      <c r="IX194" s="12"/>
      <c r="IY194" s="12"/>
      <c r="IZ194" s="12"/>
      <c r="JA194" s="12"/>
      <c r="JB194" s="12"/>
      <c r="JC194" s="12"/>
      <c r="JD194" s="12"/>
      <c r="JE194" s="12"/>
      <c r="JF194" s="12"/>
      <c r="JG194" s="12"/>
      <c r="JH194" s="12"/>
      <c r="JI194" s="12"/>
      <c r="JJ194" s="12"/>
      <c r="JK194" s="12"/>
      <c r="JL194" s="12"/>
      <c r="JM194" s="12"/>
      <c r="JN194" s="12"/>
      <c r="JO194" s="12"/>
      <c r="JP194" s="12"/>
      <c r="JQ194" s="12"/>
      <c r="JR194" s="12"/>
      <c r="JS194" s="12"/>
      <c r="JT194" s="12"/>
      <c r="JU194" s="12"/>
      <c r="JV194" s="12"/>
      <c r="JW194" s="12"/>
      <c r="JX194" s="12"/>
      <c r="JY194" s="12"/>
      <c r="JZ194" s="12"/>
      <c r="KA194" s="12"/>
      <c r="KB194" s="12"/>
      <c r="KC194" s="12"/>
      <c r="KD194" s="12"/>
      <c r="KE194" s="12"/>
      <c r="KF194" s="12"/>
      <c r="KG194" s="12"/>
      <c r="KH194" s="12"/>
      <c r="KI194" s="12"/>
      <c r="KJ194" s="12"/>
      <c r="KK194" s="12"/>
      <c r="KL194" s="12"/>
      <c r="KM194" s="12"/>
      <c r="KN194" s="12"/>
      <c r="KO194" s="12"/>
      <c r="KP194" s="12"/>
      <c r="KQ194" s="12"/>
      <c r="KR194" s="12"/>
      <c r="KS194" s="12"/>
      <c r="KT194" s="12"/>
      <c r="KU194" s="12"/>
      <c r="KV194" s="12"/>
      <c r="KW194" s="12"/>
      <c r="KX194" s="12"/>
      <c r="KY194" s="12"/>
      <c r="KZ194" s="12"/>
      <c r="LA194" s="12"/>
      <c r="LB194" s="12"/>
      <c r="LC194" s="12"/>
      <c r="LD194" s="12"/>
      <c r="LE194" s="12"/>
      <c r="LF194" s="12"/>
      <c r="LG194" s="12"/>
      <c r="LH194" s="12"/>
      <c r="LI194" s="12"/>
      <c r="LJ194" s="12"/>
      <c r="LK194" s="12"/>
      <c r="LL194" s="12"/>
      <c r="LM194" s="12"/>
      <c r="LN194" s="12"/>
      <c r="LO194" s="12"/>
      <c r="LP194" s="12"/>
      <c r="LQ194" s="12"/>
      <c r="LR194" s="12"/>
      <c r="LS194" s="12"/>
      <c r="LT194" s="12"/>
      <c r="LU194" s="12"/>
      <c r="LV194" s="12"/>
      <c r="LW194" s="12"/>
      <c r="LX194" s="12"/>
      <c r="LY194" s="12"/>
      <c r="LZ194" s="12"/>
      <c r="MA194" s="12"/>
      <c r="MB194" s="12"/>
      <c r="MC194" s="12"/>
      <c r="MD194" s="12"/>
      <c r="ME194" s="12"/>
      <c r="MF194" s="12"/>
      <c r="MG194" s="12"/>
      <c r="MH194" s="12"/>
      <c r="MI194" s="12"/>
      <c r="MJ194" s="12"/>
      <c r="MK194" s="12"/>
      <c r="ML194" s="12"/>
      <c r="MM194" s="12"/>
      <c r="MN194" s="12"/>
      <c r="MO194" s="12"/>
      <c r="MP194" s="12"/>
      <c r="MQ194" s="12"/>
      <c r="MR194" s="12"/>
      <c r="MS194" s="12"/>
      <c r="MT194" s="12"/>
      <c r="MU194" s="12"/>
      <c r="MV194" s="12"/>
      <c r="MW194" s="12"/>
      <c r="MX194" s="12"/>
      <c r="MY194" s="12"/>
      <c r="MZ194" s="12"/>
      <c r="NA194" s="12"/>
      <c r="NB194" s="12"/>
      <c r="NC194" s="12"/>
      <c r="ND194" s="12"/>
      <c r="NE194" s="12"/>
      <c r="NF194" s="12"/>
      <c r="NG194" s="12"/>
      <c r="NH194" s="12"/>
      <c r="NI194" s="12"/>
      <c r="NJ194" s="12"/>
      <c r="NK194" s="12"/>
      <c r="NL194" s="12"/>
      <c r="NM194" s="12"/>
      <c r="NN194" s="12"/>
      <c r="NO194" s="12"/>
      <c r="NP194" s="12"/>
      <c r="NQ194" s="12"/>
      <c r="NR194" s="12"/>
      <c r="NS194" s="12"/>
      <c r="NT194" s="12"/>
      <c r="NU194" s="12"/>
      <c r="NV194" s="12"/>
      <c r="NW194" s="12"/>
      <c r="NX194" s="12"/>
      <c r="NY194" s="12"/>
      <c r="NZ194" s="12"/>
      <c r="OA194" s="12"/>
      <c r="OB194" s="12"/>
      <c r="OC194" s="12"/>
      <c r="OD194" s="12"/>
      <c r="OE194" s="12"/>
      <c r="OF194" s="12"/>
      <c r="OG194" s="12"/>
      <c r="OH194" s="12"/>
      <c r="OI194" s="12"/>
      <c r="OJ194" s="12"/>
      <c r="OK194" s="12"/>
      <c r="OL194" s="12"/>
      <c r="OM194" s="12"/>
      <c r="ON194" s="12"/>
      <c r="OO194" s="12"/>
      <c r="OP194" s="12"/>
      <c r="OQ194" s="12"/>
      <c r="OR194" s="12"/>
      <c r="OS194" s="12"/>
      <c r="OT194" s="12"/>
      <c r="OU194" s="12"/>
      <c r="OV194" s="12"/>
      <c r="OW194" s="12"/>
      <c r="OX194" s="12"/>
      <c r="OY194" s="12"/>
      <c r="OZ194" s="12"/>
      <c r="PA194" s="12"/>
      <c r="PB194" s="12"/>
      <c r="PC194" s="12"/>
      <c r="PD194" s="12"/>
      <c r="PE194" s="12"/>
      <c r="PF194" s="12"/>
      <c r="PG194" s="12"/>
      <c r="PH194" s="12"/>
      <c r="PI194" s="12"/>
      <c r="PJ194" s="12"/>
      <c r="PK194" s="12"/>
      <c r="PL194" s="12"/>
      <c r="PM194" s="12"/>
      <c r="PN194" s="12"/>
      <c r="PO194" s="12"/>
      <c r="PP194" s="12"/>
      <c r="PQ194" s="12"/>
      <c r="PR194" s="12"/>
      <c r="PS194" s="12"/>
      <c r="PT194" s="12"/>
      <c r="PU194" s="12"/>
      <c r="PV194" s="12"/>
      <c r="PW194" s="12"/>
      <c r="PX194" s="12"/>
      <c r="PY194" s="12"/>
      <c r="PZ194" s="12"/>
      <c r="QA194" s="12"/>
      <c r="QB194" s="12"/>
      <c r="QC194" s="12"/>
      <c r="QD194" s="12"/>
      <c r="QE194" s="12"/>
      <c r="QF194" s="12"/>
      <c r="QG194" s="12"/>
      <c r="QH194" s="12"/>
      <c r="QI194" s="12"/>
      <c r="QJ194" s="12"/>
      <c r="QK194" s="12"/>
      <c r="QL194" s="12"/>
      <c r="QM194" s="12"/>
      <c r="QN194" s="12"/>
      <c r="QO194" s="12"/>
      <c r="QP194" s="12"/>
      <c r="QQ194" s="12"/>
      <c r="QR194" s="12"/>
      <c r="QS194" s="12"/>
      <c r="QT194" s="12"/>
      <c r="QU194" s="12"/>
      <c r="QV194" s="12"/>
      <c r="QW194" s="12"/>
      <c r="QX194" s="12"/>
      <c r="QY194" s="12"/>
      <c r="QZ194" s="12"/>
      <c r="RA194" s="12"/>
      <c r="RB194" s="12"/>
      <c r="RC194" s="12"/>
      <c r="RD194" s="12"/>
      <c r="RE194" s="12"/>
      <c r="RF194" s="12"/>
      <c r="RG194" s="12"/>
      <c r="RH194" s="12"/>
      <c r="RI194" s="12"/>
      <c r="RJ194" s="12"/>
      <c r="RK194" s="12"/>
      <c r="RL194" s="12"/>
      <c r="RM194" s="12"/>
      <c r="RN194" s="12"/>
      <c r="RO194" s="12"/>
      <c r="RP194" s="12"/>
      <c r="RQ194" s="12"/>
      <c r="RR194" s="12"/>
      <c r="RS194" s="12"/>
      <c r="RT194" s="12"/>
      <c r="RU194" s="12"/>
      <c r="RV194" s="12"/>
      <c r="RW194" s="12"/>
      <c r="RX194" s="12"/>
      <c r="RY194" s="12"/>
      <c r="RZ194" s="12"/>
      <c r="SA194" s="12"/>
      <c r="SB194" s="12"/>
      <c r="SC194" s="12"/>
      <c r="SD194" s="12"/>
      <c r="SE194" s="12"/>
      <c r="SF194" s="12"/>
      <c r="SG194" s="12"/>
      <c r="SH194" s="11"/>
      <c r="SI194" s="11"/>
      <c r="SJ194" s="11"/>
      <c r="SK194" s="11"/>
      <c r="SL194" s="11"/>
      <c r="SM194" s="11"/>
      <c r="SN194" s="11"/>
      <c r="SO194" s="11"/>
      <c r="SP194" s="11"/>
      <c r="SQ194" s="11"/>
      <c r="SR194" s="11"/>
      <c r="SS194" s="11"/>
      <c r="ST194" s="11"/>
      <c r="SU194" s="11"/>
      <c r="SV194" s="11"/>
      <c r="SW194" s="11"/>
      <c r="SX194" s="11"/>
      <c r="SY194" s="11"/>
      <c r="SZ194" s="11"/>
      <c r="TA194" s="11"/>
      <c r="TB194" s="11"/>
      <c r="TC194" s="11"/>
      <c r="TD194" s="11"/>
      <c r="TE194" s="11"/>
      <c r="TF194" s="11"/>
      <c r="TG194" s="11"/>
      <c r="TH194" s="11"/>
      <c r="TI194" s="11"/>
      <c r="TJ194" s="11"/>
      <c r="TK194" s="11"/>
      <c r="TL194" s="11"/>
    </row>
    <row r="195" spans="1:532" x14ac:dyDescent="0.2">
      <c r="A195" s="10" t="s">
        <v>194</v>
      </c>
      <c r="B195" s="12">
        <v>15.29</v>
      </c>
      <c r="C195" s="11">
        <v>0.28709537981785882</v>
      </c>
      <c r="D195" s="11">
        <v>0</v>
      </c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  <c r="CO195" s="12"/>
      <c r="CP195" s="12"/>
      <c r="CQ195" s="12"/>
      <c r="CR195" s="12"/>
      <c r="CS195" s="12"/>
      <c r="CT195" s="12"/>
      <c r="CU195" s="12"/>
      <c r="CV195" s="12"/>
      <c r="CW195" s="12"/>
      <c r="CX195" s="12"/>
      <c r="CY195" s="12"/>
      <c r="CZ195" s="12"/>
      <c r="DA195" s="12"/>
      <c r="DB195" s="12"/>
      <c r="DC195" s="12"/>
      <c r="DD195" s="12"/>
      <c r="DE195" s="12"/>
      <c r="DF195" s="12"/>
      <c r="DG195" s="12"/>
      <c r="DH195" s="12"/>
      <c r="DI195" s="12"/>
      <c r="DJ195" s="12"/>
      <c r="DK195" s="12"/>
      <c r="DL195" s="12"/>
      <c r="DM195" s="12"/>
      <c r="DN195" s="12"/>
      <c r="DO195" s="12"/>
      <c r="DP195" s="12"/>
      <c r="DQ195" s="12"/>
      <c r="DR195" s="12"/>
      <c r="DS195" s="12"/>
      <c r="DT195" s="12"/>
      <c r="DU195" s="12"/>
      <c r="DV195" s="12"/>
      <c r="DW195" s="12"/>
      <c r="DX195" s="12"/>
      <c r="DY195" s="12"/>
      <c r="DZ195" s="12"/>
      <c r="EA195" s="12"/>
      <c r="EB195" s="12"/>
      <c r="EC195" s="12"/>
      <c r="ED195" s="12"/>
      <c r="EE195" s="12"/>
      <c r="EF195" s="12"/>
      <c r="EG195" s="12"/>
      <c r="EH195" s="12"/>
      <c r="EI195" s="12"/>
      <c r="EJ195" s="12"/>
      <c r="EK195" s="12"/>
      <c r="EL195" s="12"/>
      <c r="EM195" s="12"/>
      <c r="EN195" s="12"/>
      <c r="EO195" s="12"/>
      <c r="EP195" s="12"/>
      <c r="EQ195" s="12"/>
      <c r="ER195" s="12"/>
      <c r="ES195" s="12"/>
      <c r="ET195" s="12"/>
      <c r="EU195" s="12"/>
      <c r="EV195" s="12"/>
      <c r="EW195" s="12"/>
      <c r="EX195" s="12"/>
      <c r="EY195" s="12"/>
      <c r="EZ195" s="12"/>
      <c r="FA195" s="12"/>
      <c r="FB195" s="12"/>
      <c r="FC195" s="12"/>
      <c r="FD195" s="12"/>
      <c r="FE195" s="12"/>
      <c r="FF195" s="12"/>
      <c r="FG195" s="12"/>
      <c r="FH195" s="12"/>
      <c r="FI195" s="12"/>
      <c r="FJ195" s="12"/>
      <c r="FK195" s="12"/>
      <c r="FL195" s="12"/>
      <c r="FM195" s="12"/>
      <c r="FN195" s="12"/>
      <c r="FO195" s="12"/>
      <c r="FP195" s="12"/>
      <c r="FQ195" s="12"/>
      <c r="FR195" s="12"/>
      <c r="FS195" s="12"/>
      <c r="FT195" s="12"/>
      <c r="FU195" s="12"/>
      <c r="FV195" s="12"/>
      <c r="FW195" s="12"/>
      <c r="FX195" s="12"/>
      <c r="FY195" s="12"/>
      <c r="FZ195" s="12"/>
      <c r="GA195" s="12"/>
      <c r="GB195" s="12"/>
      <c r="GC195" s="12"/>
      <c r="GD195" s="12"/>
      <c r="GE195" s="12"/>
      <c r="GF195" s="12"/>
      <c r="GG195" s="12"/>
      <c r="GH195" s="12"/>
      <c r="GI195" s="12"/>
      <c r="GJ195" s="12"/>
      <c r="GK195" s="12"/>
      <c r="GL195" s="12"/>
      <c r="GM195" s="12"/>
      <c r="GN195" s="12"/>
      <c r="GO195" s="12"/>
      <c r="GP195" s="12"/>
      <c r="GQ195" s="12"/>
      <c r="GR195" s="12"/>
      <c r="GS195" s="12"/>
      <c r="GT195" s="12"/>
      <c r="GU195" s="12"/>
      <c r="GV195" s="12"/>
      <c r="GW195" s="12"/>
      <c r="GX195" s="12"/>
      <c r="GY195" s="12"/>
      <c r="GZ195" s="12"/>
      <c r="HA195" s="12"/>
      <c r="HB195" s="12"/>
      <c r="HC195" s="12"/>
      <c r="HD195" s="12"/>
      <c r="HE195" s="12"/>
      <c r="HF195" s="12"/>
      <c r="HG195" s="12"/>
      <c r="HH195" s="12"/>
      <c r="HI195" s="12"/>
      <c r="HJ195" s="12"/>
      <c r="HK195" s="12"/>
      <c r="HL195" s="12"/>
      <c r="HM195" s="12"/>
      <c r="HN195" s="12"/>
      <c r="HO195" s="12"/>
      <c r="HP195" s="12"/>
      <c r="HQ195" s="12"/>
      <c r="HR195" s="12"/>
      <c r="HS195" s="12"/>
      <c r="HT195" s="12"/>
      <c r="HU195" s="12"/>
      <c r="HV195" s="12"/>
      <c r="HW195" s="12"/>
      <c r="HX195" s="12"/>
      <c r="HY195" s="12"/>
      <c r="HZ195" s="12"/>
      <c r="IA195" s="12"/>
      <c r="IB195" s="12"/>
      <c r="IC195" s="12"/>
      <c r="ID195" s="12"/>
      <c r="IE195" s="12"/>
      <c r="IF195" s="12"/>
      <c r="IG195" s="12"/>
      <c r="IH195" s="12"/>
      <c r="II195" s="12"/>
      <c r="IJ195" s="12"/>
      <c r="IK195" s="12"/>
      <c r="IL195" s="12"/>
      <c r="IM195" s="12"/>
      <c r="IN195" s="12"/>
      <c r="IO195" s="12"/>
      <c r="IP195" s="12"/>
      <c r="IQ195" s="12"/>
      <c r="IR195" s="12"/>
      <c r="IS195" s="12"/>
      <c r="IT195" s="12"/>
      <c r="IU195" s="12"/>
      <c r="IV195" s="12"/>
      <c r="IW195" s="12"/>
      <c r="IX195" s="12"/>
      <c r="IY195" s="12"/>
      <c r="IZ195" s="12"/>
      <c r="JA195" s="12"/>
      <c r="JB195" s="12"/>
      <c r="JC195" s="12"/>
      <c r="JD195" s="12"/>
      <c r="JE195" s="12"/>
      <c r="JF195" s="12"/>
      <c r="JG195" s="12"/>
      <c r="JH195" s="12"/>
      <c r="JI195" s="12"/>
      <c r="JJ195" s="12"/>
      <c r="JK195" s="12"/>
      <c r="JL195" s="12"/>
      <c r="JM195" s="12"/>
      <c r="JN195" s="12"/>
      <c r="JO195" s="12"/>
      <c r="JP195" s="12"/>
      <c r="JQ195" s="12"/>
      <c r="JR195" s="12"/>
      <c r="JS195" s="12"/>
      <c r="JT195" s="12"/>
      <c r="JU195" s="12"/>
      <c r="JV195" s="12"/>
      <c r="JW195" s="12"/>
      <c r="JX195" s="12"/>
      <c r="JY195" s="12"/>
      <c r="JZ195" s="12"/>
      <c r="KA195" s="12"/>
      <c r="KB195" s="12"/>
      <c r="KC195" s="12"/>
      <c r="KD195" s="12"/>
      <c r="KE195" s="12"/>
      <c r="KF195" s="12"/>
      <c r="KG195" s="12"/>
      <c r="KH195" s="12"/>
      <c r="KI195" s="12"/>
      <c r="KJ195" s="12"/>
      <c r="KK195" s="12"/>
      <c r="KL195" s="12"/>
      <c r="KM195" s="12"/>
      <c r="KN195" s="12"/>
      <c r="KO195" s="12"/>
      <c r="KP195" s="12"/>
      <c r="KQ195" s="12"/>
      <c r="KR195" s="12"/>
      <c r="KS195" s="12"/>
      <c r="KT195" s="12"/>
      <c r="KU195" s="12"/>
      <c r="KV195" s="12"/>
      <c r="KW195" s="12"/>
      <c r="KX195" s="12"/>
      <c r="KY195" s="12"/>
      <c r="KZ195" s="12"/>
      <c r="LA195" s="12"/>
      <c r="LB195" s="12"/>
      <c r="LC195" s="12"/>
      <c r="LD195" s="12"/>
      <c r="LE195" s="12"/>
      <c r="LF195" s="12"/>
      <c r="LG195" s="12"/>
      <c r="LH195" s="12"/>
      <c r="LI195" s="12"/>
      <c r="LJ195" s="12"/>
      <c r="LK195" s="12"/>
      <c r="LL195" s="12"/>
      <c r="LM195" s="12"/>
      <c r="LN195" s="12"/>
      <c r="LO195" s="12"/>
      <c r="LP195" s="12"/>
      <c r="LQ195" s="12"/>
      <c r="LR195" s="12"/>
      <c r="LS195" s="12"/>
      <c r="LT195" s="12"/>
      <c r="LU195" s="12"/>
      <c r="LV195" s="12"/>
      <c r="LW195" s="12"/>
      <c r="LX195" s="12"/>
      <c r="LY195" s="12"/>
      <c r="LZ195" s="12"/>
      <c r="MA195" s="12"/>
      <c r="MB195" s="12"/>
      <c r="MC195" s="12"/>
      <c r="MD195" s="12"/>
      <c r="ME195" s="12"/>
      <c r="MF195" s="12"/>
      <c r="MG195" s="12"/>
      <c r="MH195" s="12"/>
      <c r="MI195" s="12"/>
      <c r="MJ195" s="12"/>
      <c r="MK195" s="12"/>
      <c r="ML195" s="12"/>
      <c r="MM195" s="12"/>
      <c r="MN195" s="12"/>
      <c r="MO195" s="12"/>
      <c r="MP195" s="12"/>
      <c r="MQ195" s="12"/>
      <c r="MR195" s="12"/>
      <c r="MS195" s="12"/>
      <c r="MT195" s="12"/>
      <c r="MU195" s="12"/>
      <c r="MV195" s="12"/>
      <c r="MW195" s="12"/>
      <c r="MX195" s="12"/>
      <c r="MY195" s="12"/>
      <c r="MZ195" s="12"/>
      <c r="NA195" s="12"/>
      <c r="NB195" s="12"/>
      <c r="NC195" s="12"/>
      <c r="ND195" s="12"/>
      <c r="NE195" s="12"/>
      <c r="NF195" s="12"/>
      <c r="NG195" s="12"/>
      <c r="NH195" s="12"/>
      <c r="NI195" s="12"/>
      <c r="NJ195" s="12"/>
      <c r="NK195" s="12"/>
      <c r="NL195" s="12"/>
      <c r="NM195" s="12"/>
      <c r="NN195" s="12"/>
      <c r="NO195" s="12"/>
      <c r="NP195" s="12"/>
      <c r="NQ195" s="12"/>
      <c r="NR195" s="12"/>
      <c r="NS195" s="12"/>
      <c r="NT195" s="12"/>
      <c r="NU195" s="12"/>
      <c r="NV195" s="12"/>
      <c r="NW195" s="12"/>
      <c r="NX195" s="12"/>
      <c r="NY195" s="12"/>
      <c r="NZ195" s="12"/>
      <c r="OA195" s="12"/>
      <c r="OB195" s="12"/>
      <c r="OC195" s="12"/>
      <c r="OD195" s="12"/>
      <c r="OE195" s="12"/>
      <c r="OF195" s="12"/>
      <c r="OG195" s="12"/>
      <c r="OH195" s="12"/>
      <c r="OI195" s="12"/>
      <c r="OJ195" s="12"/>
      <c r="OK195" s="12"/>
      <c r="OL195" s="12"/>
      <c r="OM195" s="12"/>
      <c r="ON195" s="12"/>
      <c r="OO195" s="12"/>
      <c r="OP195" s="12"/>
      <c r="OQ195" s="12"/>
      <c r="OR195" s="12"/>
      <c r="OS195" s="12"/>
      <c r="OT195" s="12"/>
      <c r="OU195" s="12"/>
      <c r="OV195" s="12"/>
      <c r="OW195" s="12"/>
      <c r="OX195" s="12"/>
      <c r="OY195" s="12"/>
      <c r="OZ195" s="12"/>
      <c r="PA195" s="12"/>
      <c r="PB195" s="12"/>
      <c r="PC195" s="12"/>
      <c r="PD195" s="12"/>
      <c r="PE195" s="12"/>
      <c r="PF195" s="12"/>
      <c r="PG195" s="12"/>
      <c r="PH195" s="12"/>
      <c r="PI195" s="12"/>
      <c r="PJ195" s="12"/>
      <c r="PK195" s="12"/>
      <c r="PL195" s="12"/>
      <c r="PM195" s="12"/>
      <c r="PN195" s="12"/>
      <c r="PO195" s="12"/>
      <c r="PP195" s="12"/>
      <c r="PQ195" s="12"/>
      <c r="PR195" s="12"/>
      <c r="PS195" s="12"/>
      <c r="PT195" s="12"/>
      <c r="PU195" s="12"/>
      <c r="PV195" s="12"/>
      <c r="PW195" s="12"/>
      <c r="PX195" s="12"/>
      <c r="PY195" s="12"/>
      <c r="PZ195" s="12"/>
      <c r="QA195" s="12"/>
      <c r="QB195" s="12"/>
      <c r="QC195" s="12"/>
      <c r="QD195" s="12"/>
      <c r="QE195" s="12"/>
      <c r="QF195" s="12"/>
      <c r="QG195" s="12"/>
      <c r="QH195" s="12"/>
      <c r="QI195" s="12"/>
      <c r="QJ195" s="12"/>
      <c r="QK195" s="12"/>
      <c r="QL195" s="12"/>
      <c r="QM195" s="12"/>
      <c r="QN195" s="12"/>
      <c r="QO195" s="12"/>
      <c r="QP195" s="12"/>
      <c r="QQ195" s="12"/>
      <c r="QR195" s="12"/>
      <c r="QS195" s="12"/>
      <c r="QT195" s="12"/>
      <c r="QU195" s="12"/>
      <c r="QV195" s="12"/>
      <c r="QW195" s="12"/>
      <c r="QX195" s="12"/>
      <c r="QY195" s="12"/>
      <c r="QZ195" s="12"/>
      <c r="RA195" s="12"/>
      <c r="RB195" s="12"/>
      <c r="RC195" s="12"/>
      <c r="RD195" s="12"/>
      <c r="RE195" s="12"/>
      <c r="RF195" s="12"/>
      <c r="RG195" s="12"/>
      <c r="RH195" s="12"/>
      <c r="RI195" s="12"/>
      <c r="RJ195" s="12"/>
      <c r="RK195" s="12"/>
      <c r="RL195" s="12"/>
      <c r="RM195" s="12"/>
      <c r="RN195" s="12"/>
      <c r="RO195" s="12"/>
      <c r="RP195" s="12"/>
      <c r="RQ195" s="12"/>
      <c r="RR195" s="12"/>
      <c r="RS195" s="12"/>
      <c r="RT195" s="12"/>
      <c r="RU195" s="12"/>
      <c r="RV195" s="12"/>
      <c r="RW195" s="12"/>
      <c r="RX195" s="12"/>
      <c r="RY195" s="12"/>
      <c r="RZ195" s="12"/>
      <c r="SA195" s="12"/>
      <c r="SB195" s="12"/>
      <c r="SC195" s="12"/>
      <c r="SD195" s="12"/>
      <c r="SE195" s="12"/>
      <c r="SF195" s="12"/>
      <c r="SG195" s="12"/>
      <c r="SH195" s="11"/>
      <c r="SI195" s="11"/>
      <c r="SJ195" s="11"/>
      <c r="SK195" s="11"/>
      <c r="SL195" s="11"/>
      <c r="SM195" s="11"/>
      <c r="SN195" s="11"/>
      <c r="SO195" s="11"/>
      <c r="SP195" s="11"/>
      <c r="SQ195" s="11"/>
      <c r="SR195" s="11"/>
      <c r="SS195" s="11"/>
      <c r="ST195" s="11"/>
      <c r="SU195" s="11"/>
      <c r="SV195" s="11"/>
      <c r="SW195" s="11"/>
      <c r="SX195" s="11"/>
      <c r="SY195" s="11"/>
      <c r="SZ195" s="11"/>
      <c r="TA195" s="11"/>
      <c r="TB195" s="11"/>
      <c r="TC195" s="11"/>
      <c r="TD195" s="11"/>
      <c r="TE195" s="11"/>
      <c r="TF195" s="11"/>
      <c r="TG195" s="11"/>
      <c r="TH195" s="11"/>
      <c r="TI195" s="11"/>
      <c r="TJ195" s="11"/>
      <c r="TK195" s="11"/>
      <c r="TL195" s="11"/>
    </row>
    <row r="196" spans="1:532" x14ac:dyDescent="0.2">
      <c r="A196" s="10" t="s">
        <v>195</v>
      </c>
      <c r="B196" s="12">
        <v>19.03</v>
      </c>
      <c r="C196" s="11">
        <v>3.9896357953999009</v>
      </c>
      <c r="D196" s="11">
        <v>0</v>
      </c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  <c r="CO196" s="12"/>
      <c r="CP196" s="12"/>
      <c r="CQ196" s="12"/>
      <c r="CR196" s="12"/>
      <c r="CS196" s="12"/>
      <c r="CT196" s="12"/>
      <c r="CU196" s="12"/>
      <c r="CV196" s="12"/>
      <c r="CW196" s="12"/>
      <c r="CX196" s="12"/>
      <c r="CY196" s="12"/>
      <c r="CZ196" s="12"/>
      <c r="DA196" s="12"/>
      <c r="DB196" s="12"/>
      <c r="DC196" s="12"/>
      <c r="DD196" s="12"/>
      <c r="DE196" s="12"/>
      <c r="DF196" s="12"/>
      <c r="DG196" s="12"/>
      <c r="DH196" s="12"/>
      <c r="DI196" s="12"/>
      <c r="DJ196" s="12"/>
      <c r="DK196" s="12"/>
      <c r="DL196" s="12"/>
      <c r="DM196" s="12"/>
      <c r="DN196" s="12"/>
      <c r="DO196" s="12"/>
      <c r="DP196" s="12"/>
      <c r="DQ196" s="12"/>
      <c r="DR196" s="12"/>
      <c r="DS196" s="12"/>
      <c r="DT196" s="12"/>
      <c r="DU196" s="12"/>
      <c r="DV196" s="12"/>
      <c r="DW196" s="12"/>
      <c r="DX196" s="12"/>
      <c r="DY196" s="12"/>
      <c r="DZ196" s="12"/>
      <c r="EA196" s="12"/>
      <c r="EB196" s="12"/>
      <c r="EC196" s="12"/>
      <c r="ED196" s="12"/>
      <c r="EE196" s="12"/>
      <c r="EF196" s="12"/>
      <c r="EG196" s="12"/>
      <c r="EH196" s="12"/>
      <c r="EI196" s="12"/>
      <c r="EJ196" s="12"/>
      <c r="EK196" s="12"/>
      <c r="EL196" s="12"/>
      <c r="EM196" s="12"/>
      <c r="EN196" s="12"/>
      <c r="EO196" s="12"/>
      <c r="EP196" s="12"/>
      <c r="EQ196" s="12"/>
      <c r="ER196" s="12"/>
      <c r="ES196" s="12"/>
      <c r="ET196" s="12"/>
      <c r="EU196" s="12"/>
      <c r="EV196" s="12"/>
      <c r="EW196" s="12"/>
      <c r="EX196" s="12"/>
      <c r="EY196" s="12"/>
      <c r="EZ196" s="12"/>
      <c r="FA196" s="12"/>
      <c r="FB196" s="12"/>
      <c r="FC196" s="12"/>
      <c r="FD196" s="12"/>
      <c r="FE196" s="12"/>
      <c r="FF196" s="12"/>
      <c r="FG196" s="12"/>
      <c r="FH196" s="12"/>
      <c r="FI196" s="12"/>
      <c r="FJ196" s="12"/>
      <c r="FK196" s="12"/>
      <c r="FL196" s="12"/>
      <c r="FM196" s="12"/>
      <c r="FN196" s="12"/>
      <c r="FO196" s="12"/>
      <c r="FP196" s="12"/>
      <c r="FQ196" s="12"/>
      <c r="FR196" s="12"/>
      <c r="FS196" s="12"/>
      <c r="FT196" s="12"/>
      <c r="FU196" s="12"/>
      <c r="FV196" s="12"/>
      <c r="FW196" s="12"/>
      <c r="FX196" s="12"/>
      <c r="FY196" s="12"/>
      <c r="FZ196" s="12"/>
      <c r="GA196" s="12"/>
      <c r="GB196" s="12"/>
      <c r="GC196" s="12"/>
      <c r="GD196" s="12"/>
      <c r="GE196" s="12"/>
      <c r="GF196" s="12"/>
      <c r="GG196" s="12"/>
      <c r="GH196" s="12"/>
      <c r="GI196" s="12"/>
      <c r="GJ196" s="12"/>
      <c r="GK196" s="12"/>
      <c r="GL196" s="12"/>
      <c r="GM196" s="12"/>
      <c r="GN196" s="12"/>
      <c r="GO196" s="12"/>
      <c r="GP196" s="12"/>
      <c r="GQ196" s="12"/>
      <c r="GR196" s="12"/>
      <c r="GS196" s="12"/>
      <c r="GT196" s="12"/>
      <c r="GU196" s="12"/>
      <c r="GV196" s="12"/>
      <c r="GW196" s="12"/>
      <c r="GX196" s="12"/>
      <c r="GY196" s="12"/>
      <c r="GZ196" s="12"/>
      <c r="HA196" s="12"/>
      <c r="HB196" s="12"/>
      <c r="HC196" s="12"/>
      <c r="HD196" s="12"/>
      <c r="HE196" s="12"/>
      <c r="HF196" s="12"/>
      <c r="HG196" s="12"/>
      <c r="HH196" s="12"/>
      <c r="HI196" s="12"/>
      <c r="HJ196" s="12"/>
      <c r="HK196" s="12"/>
      <c r="HL196" s="12"/>
      <c r="HM196" s="12"/>
      <c r="HN196" s="12"/>
      <c r="HO196" s="12"/>
      <c r="HP196" s="12"/>
      <c r="HQ196" s="12"/>
      <c r="HR196" s="12"/>
      <c r="HS196" s="12"/>
      <c r="HT196" s="12"/>
      <c r="HU196" s="12"/>
      <c r="HV196" s="12"/>
      <c r="HW196" s="12"/>
      <c r="HX196" s="12"/>
      <c r="HY196" s="12"/>
      <c r="HZ196" s="12"/>
      <c r="IA196" s="12"/>
      <c r="IB196" s="12"/>
      <c r="IC196" s="12"/>
      <c r="ID196" s="12"/>
      <c r="IE196" s="12"/>
      <c r="IF196" s="12"/>
      <c r="IG196" s="12"/>
      <c r="IH196" s="12"/>
      <c r="II196" s="12"/>
      <c r="IJ196" s="12"/>
      <c r="IK196" s="12"/>
      <c r="IL196" s="12"/>
      <c r="IM196" s="12"/>
      <c r="IN196" s="12"/>
      <c r="IO196" s="12"/>
      <c r="IP196" s="12"/>
      <c r="IQ196" s="12"/>
      <c r="IR196" s="12"/>
      <c r="IS196" s="12"/>
      <c r="IT196" s="12"/>
      <c r="IU196" s="12"/>
      <c r="IV196" s="12"/>
      <c r="IW196" s="12"/>
      <c r="IX196" s="12"/>
      <c r="IY196" s="12"/>
      <c r="IZ196" s="12"/>
      <c r="JA196" s="12"/>
      <c r="JB196" s="12"/>
      <c r="JC196" s="12"/>
      <c r="JD196" s="12"/>
      <c r="JE196" s="12"/>
      <c r="JF196" s="12"/>
      <c r="JG196" s="12"/>
      <c r="JH196" s="12"/>
      <c r="JI196" s="12"/>
      <c r="JJ196" s="12"/>
      <c r="JK196" s="12"/>
      <c r="JL196" s="12"/>
      <c r="JM196" s="12"/>
      <c r="JN196" s="12"/>
      <c r="JO196" s="12"/>
      <c r="JP196" s="12"/>
      <c r="JQ196" s="12"/>
      <c r="JR196" s="12"/>
      <c r="JS196" s="12"/>
      <c r="JT196" s="12"/>
      <c r="JU196" s="12"/>
      <c r="JV196" s="12"/>
      <c r="JW196" s="12"/>
      <c r="JX196" s="12"/>
      <c r="JY196" s="12"/>
      <c r="JZ196" s="12"/>
      <c r="KA196" s="12"/>
      <c r="KB196" s="12"/>
      <c r="KC196" s="12"/>
      <c r="KD196" s="12"/>
      <c r="KE196" s="12"/>
      <c r="KF196" s="12"/>
      <c r="KG196" s="12"/>
      <c r="KH196" s="12"/>
      <c r="KI196" s="12"/>
      <c r="KJ196" s="12"/>
      <c r="KK196" s="12"/>
      <c r="KL196" s="12"/>
      <c r="KM196" s="12"/>
      <c r="KN196" s="12"/>
      <c r="KO196" s="12"/>
      <c r="KP196" s="12"/>
      <c r="KQ196" s="12"/>
      <c r="KR196" s="12"/>
      <c r="KS196" s="12"/>
      <c r="KT196" s="12"/>
      <c r="KU196" s="12"/>
      <c r="KV196" s="12"/>
      <c r="KW196" s="12"/>
      <c r="KX196" s="12"/>
      <c r="KY196" s="12"/>
      <c r="KZ196" s="12"/>
      <c r="LA196" s="12"/>
      <c r="LB196" s="12"/>
      <c r="LC196" s="12"/>
      <c r="LD196" s="12"/>
      <c r="LE196" s="12"/>
      <c r="LF196" s="12"/>
      <c r="LG196" s="12"/>
      <c r="LH196" s="12"/>
      <c r="LI196" s="12"/>
      <c r="LJ196" s="12"/>
      <c r="LK196" s="12"/>
      <c r="LL196" s="12"/>
      <c r="LM196" s="12"/>
      <c r="LN196" s="12"/>
      <c r="LO196" s="12"/>
      <c r="LP196" s="12"/>
      <c r="LQ196" s="12"/>
      <c r="LR196" s="12"/>
      <c r="LS196" s="12"/>
      <c r="LT196" s="12"/>
      <c r="LU196" s="12"/>
      <c r="LV196" s="12"/>
      <c r="LW196" s="12"/>
      <c r="LX196" s="12"/>
      <c r="LY196" s="12"/>
      <c r="LZ196" s="12"/>
      <c r="MA196" s="12"/>
      <c r="MB196" s="12"/>
      <c r="MC196" s="12"/>
      <c r="MD196" s="12"/>
      <c r="ME196" s="12"/>
      <c r="MF196" s="12"/>
      <c r="MG196" s="12"/>
      <c r="MH196" s="12"/>
      <c r="MI196" s="12"/>
      <c r="MJ196" s="12"/>
      <c r="MK196" s="12"/>
      <c r="ML196" s="12"/>
      <c r="MM196" s="12"/>
      <c r="MN196" s="12"/>
      <c r="MO196" s="12"/>
      <c r="MP196" s="12"/>
      <c r="MQ196" s="12"/>
      <c r="MR196" s="12"/>
      <c r="MS196" s="12"/>
      <c r="MT196" s="12"/>
      <c r="MU196" s="12"/>
      <c r="MV196" s="12"/>
      <c r="MW196" s="12"/>
      <c r="MX196" s="12"/>
      <c r="MY196" s="12"/>
      <c r="MZ196" s="12"/>
      <c r="NA196" s="12"/>
      <c r="NB196" s="12"/>
      <c r="NC196" s="12"/>
      <c r="ND196" s="12"/>
      <c r="NE196" s="12"/>
      <c r="NF196" s="12"/>
      <c r="NG196" s="12"/>
      <c r="NH196" s="12"/>
      <c r="NI196" s="12"/>
      <c r="NJ196" s="12"/>
      <c r="NK196" s="12"/>
      <c r="NL196" s="12"/>
      <c r="NM196" s="12"/>
      <c r="NN196" s="12"/>
      <c r="NO196" s="12"/>
      <c r="NP196" s="12"/>
      <c r="NQ196" s="12"/>
      <c r="NR196" s="12"/>
      <c r="NS196" s="12"/>
      <c r="NT196" s="12"/>
      <c r="NU196" s="12"/>
      <c r="NV196" s="12"/>
      <c r="NW196" s="12"/>
      <c r="NX196" s="12"/>
      <c r="NY196" s="12"/>
      <c r="NZ196" s="12"/>
      <c r="OA196" s="12"/>
      <c r="OB196" s="12"/>
      <c r="OC196" s="12"/>
      <c r="OD196" s="12"/>
      <c r="OE196" s="12"/>
      <c r="OF196" s="12"/>
      <c r="OG196" s="12"/>
      <c r="OH196" s="12"/>
      <c r="OI196" s="12"/>
      <c r="OJ196" s="12"/>
      <c r="OK196" s="12"/>
      <c r="OL196" s="12"/>
      <c r="OM196" s="12"/>
      <c r="ON196" s="12"/>
      <c r="OO196" s="12"/>
      <c r="OP196" s="12"/>
      <c r="OQ196" s="12"/>
      <c r="OR196" s="12"/>
      <c r="OS196" s="12"/>
      <c r="OT196" s="12"/>
      <c r="OU196" s="12"/>
      <c r="OV196" s="12"/>
      <c r="OW196" s="12"/>
      <c r="OX196" s="12"/>
      <c r="OY196" s="12"/>
      <c r="OZ196" s="12"/>
      <c r="PA196" s="12"/>
      <c r="PB196" s="12"/>
      <c r="PC196" s="12"/>
      <c r="PD196" s="12"/>
      <c r="PE196" s="12"/>
      <c r="PF196" s="12"/>
      <c r="PG196" s="12"/>
      <c r="PH196" s="12"/>
      <c r="PI196" s="12"/>
      <c r="PJ196" s="12"/>
      <c r="PK196" s="12"/>
      <c r="PL196" s="12"/>
      <c r="PM196" s="12"/>
      <c r="PN196" s="12"/>
      <c r="PO196" s="12"/>
      <c r="PP196" s="12"/>
      <c r="PQ196" s="12"/>
      <c r="PR196" s="12"/>
      <c r="PS196" s="12"/>
      <c r="PT196" s="12"/>
      <c r="PU196" s="12"/>
      <c r="PV196" s="12"/>
      <c r="PW196" s="12"/>
      <c r="PX196" s="12"/>
      <c r="PY196" s="12"/>
      <c r="PZ196" s="12"/>
      <c r="QA196" s="12"/>
      <c r="QB196" s="12"/>
      <c r="QC196" s="12"/>
      <c r="QD196" s="12"/>
      <c r="QE196" s="12"/>
      <c r="QF196" s="12"/>
      <c r="QG196" s="12"/>
      <c r="QH196" s="12"/>
      <c r="QI196" s="12"/>
      <c r="QJ196" s="12"/>
      <c r="QK196" s="12"/>
      <c r="QL196" s="12"/>
      <c r="QM196" s="12"/>
      <c r="QN196" s="12"/>
      <c r="QO196" s="12"/>
      <c r="QP196" s="12"/>
      <c r="QQ196" s="12"/>
      <c r="QR196" s="12"/>
      <c r="QS196" s="12"/>
      <c r="QT196" s="12"/>
      <c r="QU196" s="12"/>
      <c r="QV196" s="12"/>
      <c r="QW196" s="12"/>
      <c r="QX196" s="12"/>
      <c r="QY196" s="12"/>
      <c r="QZ196" s="12"/>
      <c r="RA196" s="12"/>
      <c r="RB196" s="12"/>
      <c r="RC196" s="12"/>
      <c r="RD196" s="12"/>
      <c r="RE196" s="12"/>
      <c r="RF196" s="12"/>
      <c r="RG196" s="12"/>
      <c r="RH196" s="12"/>
      <c r="RI196" s="12"/>
      <c r="RJ196" s="12"/>
      <c r="RK196" s="12"/>
      <c r="RL196" s="12"/>
      <c r="RM196" s="12"/>
      <c r="RN196" s="12"/>
      <c r="RO196" s="12"/>
      <c r="RP196" s="12"/>
      <c r="RQ196" s="12"/>
      <c r="RR196" s="12"/>
      <c r="RS196" s="12"/>
      <c r="RT196" s="12"/>
      <c r="RU196" s="12"/>
      <c r="RV196" s="12"/>
      <c r="RW196" s="12"/>
      <c r="RX196" s="12"/>
      <c r="RY196" s="12"/>
      <c r="RZ196" s="12"/>
      <c r="SA196" s="12"/>
      <c r="SB196" s="12"/>
      <c r="SC196" s="12"/>
      <c r="SD196" s="12"/>
      <c r="SE196" s="12"/>
      <c r="SF196" s="12"/>
      <c r="SG196" s="12"/>
      <c r="SH196" s="11"/>
      <c r="SI196" s="11"/>
      <c r="SJ196" s="11"/>
      <c r="SK196" s="11"/>
      <c r="SL196" s="11"/>
      <c r="SM196" s="11"/>
      <c r="SN196" s="11"/>
      <c r="SO196" s="11"/>
      <c r="SP196" s="11"/>
      <c r="SQ196" s="11"/>
      <c r="SR196" s="11"/>
      <c r="SS196" s="11"/>
      <c r="ST196" s="11"/>
      <c r="SU196" s="11"/>
      <c r="SV196" s="11"/>
      <c r="SW196" s="11"/>
      <c r="SX196" s="11"/>
      <c r="SY196" s="11"/>
      <c r="SZ196" s="11"/>
      <c r="TA196" s="11"/>
      <c r="TB196" s="11"/>
      <c r="TC196" s="11"/>
      <c r="TD196" s="11"/>
      <c r="TE196" s="11"/>
      <c r="TF196" s="11"/>
      <c r="TG196" s="11"/>
      <c r="TH196" s="11"/>
      <c r="TI196" s="11"/>
      <c r="TJ196" s="11"/>
      <c r="TK196" s="11"/>
      <c r="TL196" s="11"/>
    </row>
    <row r="197" spans="1:532" x14ac:dyDescent="0.2">
      <c r="A197" s="10" t="s">
        <v>196</v>
      </c>
      <c r="B197" s="12">
        <v>14.78</v>
      </c>
      <c r="C197" s="11">
        <v>0</v>
      </c>
      <c r="D197" s="11">
        <v>0.21779649503423776</v>
      </c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  <c r="CO197" s="12"/>
      <c r="CP197" s="12"/>
      <c r="CQ197" s="12"/>
      <c r="CR197" s="12"/>
      <c r="CS197" s="12"/>
      <c r="CT197" s="12"/>
      <c r="CU197" s="12"/>
      <c r="CV197" s="12"/>
      <c r="CW197" s="12"/>
      <c r="CX197" s="12"/>
      <c r="CY197" s="12"/>
      <c r="CZ197" s="12"/>
      <c r="DA197" s="12"/>
      <c r="DB197" s="12"/>
      <c r="DC197" s="12"/>
      <c r="DD197" s="12"/>
      <c r="DE197" s="12"/>
      <c r="DF197" s="12"/>
      <c r="DG197" s="12"/>
      <c r="DH197" s="12"/>
      <c r="DI197" s="12"/>
      <c r="DJ197" s="12"/>
      <c r="DK197" s="12"/>
      <c r="DL197" s="12"/>
      <c r="DM197" s="12"/>
      <c r="DN197" s="12"/>
      <c r="DO197" s="12"/>
      <c r="DP197" s="12"/>
      <c r="DQ197" s="12"/>
      <c r="DR197" s="12"/>
      <c r="DS197" s="12"/>
      <c r="DT197" s="12"/>
      <c r="DU197" s="12"/>
      <c r="DV197" s="12"/>
      <c r="DW197" s="12"/>
      <c r="DX197" s="12"/>
      <c r="DY197" s="12"/>
      <c r="DZ197" s="12"/>
      <c r="EA197" s="12"/>
      <c r="EB197" s="12"/>
      <c r="EC197" s="12"/>
      <c r="ED197" s="12"/>
      <c r="EE197" s="12"/>
      <c r="EF197" s="12"/>
      <c r="EG197" s="12"/>
      <c r="EH197" s="12"/>
      <c r="EI197" s="12"/>
      <c r="EJ197" s="12"/>
      <c r="EK197" s="12"/>
      <c r="EL197" s="12"/>
      <c r="EM197" s="12"/>
      <c r="EN197" s="12"/>
      <c r="EO197" s="12"/>
      <c r="EP197" s="12"/>
      <c r="EQ197" s="12"/>
      <c r="ER197" s="12"/>
      <c r="ES197" s="12"/>
      <c r="ET197" s="12"/>
      <c r="EU197" s="12"/>
      <c r="EV197" s="12"/>
      <c r="EW197" s="12"/>
      <c r="EX197" s="12"/>
      <c r="EY197" s="12"/>
      <c r="EZ197" s="12"/>
      <c r="FA197" s="12"/>
      <c r="FB197" s="12"/>
      <c r="FC197" s="12"/>
      <c r="FD197" s="12"/>
      <c r="FE197" s="12"/>
      <c r="FF197" s="12"/>
      <c r="FG197" s="12"/>
      <c r="FH197" s="12"/>
      <c r="FI197" s="12"/>
      <c r="FJ197" s="12"/>
      <c r="FK197" s="12"/>
      <c r="FL197" s="12"/>
      <c r="FM197" s="12"/>
      <c r="FN197" s="12"/>
      <c r="FO197" s="12"/>
      <c r="FP197" s="12"/>
      <c r="FQ197" s="12"/>
      <c r="FR197" s="12"/>
      <c r="FS197" s="12"/>
      <c r="FT197" s="12"/>
      <c r="FU197" s="12"/>
      <c r="FV197" s="12"/>
      <c r="FW197" s="12"/>
      <c r="FX197" s="12"/>
      <c r="FY197" s="12"/>
      <c r="FZ197" s="12"/>
      <c r="GA197" s="12"/>
      <c r="GB197" s="12"/>
      <c r="GC197" s="12"/>
      <c r="GD197" s="12"/>
      <c r="GE197" s="12"/>
      <c r="GF197" s="12"/>
      <c r="GG197" s="12"/>
      <c r="GH197" s="12"/>
      <c r="GI197" s="12"/>
      <c r="GJ197" s="12"/>
      <c r="GK197" s="12"/>
      <c r="GL197" s="12"/>
      <c r="GM197" s="12"/>
      <c r="GN197" s="12"/>
      <c r="GO197" s="12"/>
      <c r="GP197" s="12"/>
      <c r="GQ197" s="12"/>
      <c r="GR197" s="12"/>
      <c r="GS197" s="12"/>
      <c r="GT197" s="12"/>
      <c r="GU197" s="12"/>
      <c r="GV197" s="12"/>
      <c r="GW197" s="12"/>
      <c r="GX197" s="12"/>
      <c r="GY197" s="12"/>
      <c r="GZ197" s="12"/>
      <c r="HA197" s="12"/>
      <c r="HB197" s="12"/>
      <c r="HC197" s="12"/>
      <c r="HD197" s="12"/>
      <c r="HE197" s="12"/>
      <c r="HF197" s="12"/>
      <c r="HG197" s="12"/>
      <c r="HH197" s="12"/>
      <c r="HI197" s="12"/>
      <c r="HJ197" s="12"/>
      <c r="HK197" s="12"/>
      <c r="HL197" s="12"/>
      <c r="HM197" s="12"/>
      <c r="HN197" s="12"/>
      <c r="HO197" s="12"/>
      <c r="HP197" s="12"/>
      <c r="HQ197" s="12"/>
      <c r="HR197" s="12"/>
      <c r="HS197" s="12"/>
      <c r="HT197" s="12"/>
      <c r="HU197" s="12"/>
      <c r="HV197" s="12"/>
      <c r="HW197" s="12"/>
      <c r="HX197" s="12"/>
      <c r="HY197" s="12"/>
      <c r="HZ197" s="12"/>
      <c r="IA197" s="12"/>
      <c r="IB197" s="12"/>
      <c r="IC197" s="12"/>
      <c r="ID197" s="12"/>
      <c r="IE197" s="12"/>
      <c r="IF197" s="12"/>
      <c r="IG197" s="12"/>
      <c r="IH197" s="12"/>
      <c r="II197" s="12"/>
      <c r="IJ197" s="12"/>
      <c r="IK197" s="12"/>
      <c r="IL197" s="12"/>
      <c r="IM197" s="12"/>
      <c r="IN197" s="12"/>
      <c r="IO197" s="12"/>
      <c r="IP197" s="12"/>
      <c r="IQ197" s="12"/>
      <c r="IR197" s="12"/>
      <c r="IS197" s="12"/>
      <c r="IT197" s="12"/>
      <c r="IU197" s="12"/>
      <c r="IV197" s="12"/>
      <c r="IW197" s="12"/>
      <c r="IX197" s="12"/>
      <c r="IY197" s="12"/>
      <c r="IZ197" s="12"/>
      <c r="JA197" s="12"/>
      <c r="JB197" s="12"/>
      <c r="JC197" s="12"/>
      <c r="JD197" s="12"/>
      <c r="JE197" s="12"/>
      <c r="JF197" s="12"/>
      <c r="JG197" s="12"/>
      <c r="JH197" s="12"/>
      <c r="JI197" s="12"/>
      <c r="JJ197" s="12"/>
      <c r="JK197" s="12"/>
      <c r="JL197" s="12"/>
      <c r="JM197" s="12"/>
      <c r="JN197" s="12"/>
      <c r="JO197" s="12"/>
      <c r="JP197" s="12"/>
      <c r="JQ197" s="12"/>
      <c r="JR197" s="12"/>
      <c r="JS197" s="12"/>
      <c r="JT197" s="12"/>
      <c r="JU197" s="12"/>
      <c r="JV197" s="12"/>
      <c r="JW197" s="12"/>
      <c r="JX197" s="12"/>
      <c r="JY197" s="12"/>
      <c r="JZ197" s="12"/>
      <c r="KA197" s="12"/>
      <c r="KB197" s="12"/>
      <c r="KC197" s="12"/>
      <c r="KD197" s="12"/>
      <c r="KE197" s="12"/>
      <c r="KF197" s="12"/>
      <c r="KG197" s="12"/>
      <c r="KH197" s="12"/>
      <c r="KI197" s="12"/>
      <c r="KJ197" s="12"/>
      <c r="KK197" s="12"/>
      <c r="KL197" s="12"/>
      <c r="KM197" s="12"/>
      <c r="KN197" s="12"/>
      <c r="KO197" s="12"/>
      <c r="KP197" s="12"/>
      <c r="KQ197" s="12"/>
      <c r="KR197" s="12"/>
      <c r="KS197" s="12"/>
      <c r="KT197" s="12"/>
      <c r="KU197" s="12"/>
      <c r="KV197" s="12"/>
      <c r="KW197" s="12"/>
      <c r="KX197" s="12"/>
      <c r="KY197" s="12"/>
      <c r="KZ197" s="12"/>
      <c r="LA197" s="12"/>
      <c r="LB197" s="12"/>
      <c r="LC197" s="12"/>
      <c r="LD197" s="12"/>
      <c r="LE197" s="12"/>
      <c r="LF197" s="12"/>
      <c r="LG197" s="12"/>
      <c r="LH197" s="12"/>
      <c r="LI197" s="12"/>
      <c r="LJ197" s="12"/>
      <c r="LK197" s="12"/>
      <c r="LL197" s="12"/>
      <c r="LM197" s="12"/>
      <c r="LN197" s="12"/>
      <c r="LO197" s="12"/>
      <c r="LP197" s="12"/>
      <c r="LQ197" s="12"/>
      <c r="LR197" s="12"/>
      <c r="LS197" s="12"/>
      <c r="LT197" s="12"/>
      <c r="LU197" s="12"/>
      <c r="LV197" s="12"/>
      <c r="LW197" s="12"/>
      <c r="LX197" s="12"/>
      <c r="LY197" s="12"/>
      <c r="LZ197" s="12"/>
      <c r="MA197" s="12"/>
      <c r="MB197" s="12"/>
      <c r="MC197" s="12"/>
      <c r="MD197" s="12"/>
      <c r="ME197" s="12"/>
      <c r="MF197" s="12"/>
      <c r="MG197" s="12"/>
      <c r="MH197" s="12"/>
      <c r="MI197" s="12"/>
      <c r="MJ197" s="12"/>
      <c r="MK197" s="12"/>
      <c r="ML197" s="12"/>
      <c r="MM197" s="12"/>
      <c r="MN197" s="12"/>
      <c r="MO197" s="12"/>
      <c r="MP197" s="12"/>
      <c r="MQ197" s="12"/>
      <c r="MR197" s="12"/>
      <c r="MS197" s="12"/>
      <c r="MT197" s="12"/>
      <c r="MU197" s="12"/>
      <c r="MV197" s="12"/>
      <c r="MW197" s="12"/>
      <c r="MX197" s="12"/>
      <c r="MY197" s="12"/>
      <c r="MZ197" s="12"/>
      <c r="NA197" s="12"/>
      <c r="NB197" s="12"/>
      <c r="NC197" s="12"/>
      <c r="ND197" s="12"/>
      <c r="NE197" s="12"/>
      <c r="NF197" s="12"/>
      <c r="NG197" s="12"/>
      <c r="NH197" s="12"/>
      <c r="NI197" s="12"/>
      <c r="NJ197" s="12"/>
      <c r="NK197" s="12"/>
      <c r="NL197" s="12"/>
      <c r="NM197" s="12"/>
      <c r="NN197" s="12"/>
      <c r="NO197" s="12"/>
      <c r="NP197" s="12"/>
      <c r="NQ197" s="12"/>
      <c r="NR197" s="12"/>
      <c r="NS197" s="12"/>
      <c r="NT197" s="12"/>
      <c r="NU197" s="12"/>
      <c r="NV197" s="12"/>
      <c r="NW197" s="12"/>
      <c r="NX197" s="12"/>
      <c r="NY197" s="12"/>
      <c r="NZ197" s="12"/>
      <c r="OA197" s="12"/>
      <c r="OB197" s="12"/>
      <c r="OC197" s="12"/>
      <c r="OD197" s="12"/>
      <c r="OE197" s="12"/>
      <c r="OF197" s="12"/>
      <c r="OG197" s="12"/>
      <c r="OH197" s="12"/>
      <c r="OI197" s="12"/>
      <c r="OJ197" s="12"/>
      <c r="OK197" s="12"/>
      <c r="OL197" s="12"/>
      <c r="OM197" s="12"/>
      <c r="ON197" s="12"/>
      <c r="OO197" s="12"/>
      <c r="OP197" s="12"/>
      <c r="OQ197" s="12"/>
      <c r="OR197" s="12"/>
      <c r="OS197" s="12"/>
      <c r="OT197" s="12"/>
      <c r="OU197" s="12"/>
      <c r="OV197" s="12"/>
      <c r="OW197" s="12"/>
      <c r="OX197" s="12"/>
      <c r="OY197" s="12"/>
      <c r="OZ197" s="12"/>
      <c r="PA197" s="12"/>
      <c r="PB197" s="12"/>
      <c r="PC197" s="12"/>
      <c r="PD197" s="12"/>
      <c r="PE197" s="12"/>
      <c r="PF197" s="12"/>
      <c r="PG197" s="12"/>
      <c r="PH197" s="12"/>
      <c r="PI197" s="12"/>
      <c r="PJ197" s="12"/>
      <c r="PK197" s="12"/>
      <c r="PL197" s="12"/>
      <c r="PM197" s="12"/>
      <c r="PN197" s="12"/>
      <c r="PO197" s="12"/>
      <c r="PP197" s="12"/>
      <c r="PQ197" s="12"/>
      <c r="PR197" s="12"/>
      <c r="PS197" s="12"/>
      <c r="PT197" s="12"/>
      <c r="PU197" s="12"/>
      <c r="PV197" s="12"/>
      <c r="PW197" s="12"/>
      <c r="PX197" s="12"/>
      <c r="PY197" s="12"/>
      <c r="PZ197" s="12"/>
      <c r="QA197" s="12"/>
      <c r="QB197" s="12"/>
      <c r="QC197" s="12"/>
      <c r="QD197" s="12"/>
      <c r="QE197" s="12"/>
      <c r="QF197" s="12"/>
      <c r="QG197" s="12"/>
      <c r="QH197" s="12"/>
      <c r="QI197" s="12"/>
      <c r="QJ197" s="12"/>
      <c r="QK197" s="12"/>
      <c r="QL197" s="12"/>
      <c r="QM197" s="12"/>
      <c r="QN197" s="12"/>
      <c r="QO197" s="12"/>
      <c r="QP197" s="12"/>
      <c r="QQ197" s="12"/>
      <c r="QR197" s="12"/>
      <c r="QS197" s="12"/>
      <c r="QT197" s="12"/>
      <c r="QU197" s="12"/>
      <c r="QV197" s="12"/>
      <c r="QW197" s="12"/>
      <c r="QX197" s="12"/>
      <c r="QY197" s="12"/>
      <c r="QZ197" s="12"/>
      <c r="RA197" s="12"/>
      <c r="RB197" s="12"/>
      <c r="RC197" s="12"/>
      <c r="RD197" s="12"/>
      <c r="RE197" s="12"/>
      <c r="RF197" s="12"/>
      <c r="RG197" s="12"/>
      <c r="RH197" s="12"/>
      <c r="RI197" s="12"/>
      <c r="RJ197" s="12"/>
      <c r="RK197" s="12"/>
      <c r="RL197" s="12"/>
      <c r="RM197" s="12"/>
      <c r="RN197" s="12"/>
      <c r="RO197" s="12"/>
      <c r="RP197" s="12"/>
      <c r="RQ197" s="12"/>
      <c r="RR197" s="12"/>
      <c r="RS197" s="12"/>
      <c r="RT197" s="12"/>
      <c r="RU197" s="12"/>
      <c r="RV197" s="12"/>
      <c r="RW197" s="12"/>
      <c r="RX197" s="12"/>
      <c r="RY197" s="12"/>
      <c r="RZ197" s="12"/>
      <c r="SA197" s="12"/>
      <c r="SB197" s="12"/>
      <c r="SC197" s="12"/>
      <c r="SD197" s="12"/>
      <c r="SE197" s="12"/>
      <c r="SF197" s="12"/>
      <c r="SG197" s="12"/>
      <c r="SH197" s="11"/>
      <c r="SI197" s="11"/>
      <c r="SJ197" s="11"/>
      <c r="SK197" s="11"/>
      <c r="SL197" s="11"/>
      <c r="SM197" s="11"/>
      <c r="SN197" s="11"/>
      <c r="SO197" s="11"/>
      <c r="SP197" s="11"/>
      <c r="SQ197" s="11"/>
      <c r="SR197" s="11"/>
      <c r="SS197" s="11"/>
      <c r="ST197" s="11"/>
      <c r="SU197" s="11"/>
      <c r="SV197" s="11"/>
      <c r="SW197" s="11"/>
      <c r="SX197" s="11"/>
      <c r="SY197" s="11"/>
      <c r="SZ197" s="11"/>
      <c r="TA197" s="11"/>
      <c r="TB197" s="11"/>
      <c r="TC197" s="11"/>
      <c r="TD197" s="11"/>
      <c r="TE197" s="11"/>
      <c r="TF197" s="11"/>
      <c r="TG197" s="11"/>
      <c r="TH197" s="11"/>
      <c r="TI197" s="11"/>
      <c r="TJ197" s="11"/>
      <c r="TK197" s="11"/>
      <c r="TL197" s="11"/>
    </row>
    <row r="198" spans="1:532" x14ac:dyDescent="0.2">
      <c r="A198" s="10" t="s">
        <v>197</v>
      </c>
      <c r="B198" s="12">
        <v>14.73</v>
      </c>
      <c r="C198" s="11">
        <v>0</v>
      </c>
      <c r="D198" s="11">
        <v>0.26729569845111001</v>
      </c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  <c r="CO198" s="12"/>
      <c r="CP198" s="12"/>
      <c r="CQ198" s="12"/>
      <c r="CR198" s="12"/>
      <c r="CS198" s="12"/>
      <c r="CT198" s="12"/>
      <c r="CU198" s="12"/>
      <c r="CV198" s="12"/>
      <c r="CW198" s="12"/>
      <c r="CX198" s="12"/>
      <c r="CY198" s="12"/>
      <c r="CZ198" s="12"/>
      <c r="DA198" s="12"/>
      <c r="DB198" s="12"/>
      <c r="DC198" s="12"/>
      <c r="DD198" s="12"/>
      <c r="DE198" s="12"/>
      <c r="DF198" s="12"/>
      <c r="DG198" s="12"/>
      <c r="DH198" s="12"/>
      <c r="DI198" s="12"/>
      <c r="DJ198" s="12"/>
      <c r="DK198" s="12"/>
      <c r="DL198" s="12"/>
      <c r="DM198" s="12"/>
      <c r="DN198" s="12"/>
      <c r="DO198" s="12"/>
      <c r="DP198" s="12"/>
      <c r="DQ198" s="12"/>
      <c r="DR198" s="12"/>
      <c r="DS198" s="12"/>
      <c r="DT198" s="12"/>
      <c r="DU198" s="12"/>
      <c r="DV198" s="12"/>
      <c r="DW198" s="12"/>
      <c r="DX198" s="12"/>
      <c r="DY198" s="12"/>
      <c r="DZ198" s="12"/>
      <c r="EA198" s="12"/>
      <c r="EB198" s="12"/>
      <c r="EC198" s="12"/>
      <c r="ED198" s="12"/>
      <c r="EE198" s="12"/>
      <c r="EF198" s="12"/>
      <c r="EG198" s="12"/>
      <c r="EH198" s="12"/>
      <c r="EI198" s="12"/>
      <c r="EJ198" s="12"/>
      <c r="EK198" s="12"/>
      <c r="EL198" s="12"/>
      <c r="EM198" s="12"/>
      <c r="EN198" s="12"/>
      <c r="EO198" s="12"/>
      <c r="EP198" s="12"/>
      <c r="EQ198" s="12"/>
      <c r="ER198" s="12"/>
      <c r="ES198" s="12"/>
      <c r="ET198" s="12"/>
      <c r="EU198" s="12"/>
      <c r="EV198" s="12"/>
      <c r="EW198" s="12"/>
      <c r="EX198" s="12"/>
      <c r="EY198" s="12"/>
      <c r="EZ198" s="12"/>
      <c r="FA198" s="12"/>
      <c r="FB198" s="12"/>
      <c r="FC198" s="12"/>
      <c r="FD198" s="12"/>
      <c r="FE198" s="12"/>
      <c r="FF198" s="12"/>
      <c r="FG198" s="12"/>
      <c r="FH198" s="12"/>
      <c r="FI198" s="12"/>
      <c r="FJ198" s="12"/>
      <c r="FK198" s="12"/>
      <c r="FL198" s="12"/>
      <c r="FM198" s="12"/>
      <c r="FN198" s="12"/>
      <c r="FO198" s="12"/>
      <c r="FP198" s="12"/>
      <c r="FQ198" s="12"/>
      <c r="FR198" s="12"/>
      <c r="FS198" s="12"/>
      <c r="FT198" s="12"/>
      <c r="FU198" s="12"/>
      <c r="FV198" s="12"/>
      <c r="FW198" s="12"/>
      <c r="FX198" s="12"/>
      <c r="FY198" s="12"/>
      <c r="FZ198" s="12"/>
      <c r="GA198" s="12"/>
      <c r="GB198" s="12"/>
      <c r="GC198" s="12"/>
      <c r="GD198" s="12"/>
      <c r="GE198" s="12"/>
      <c r="GF198" s="12"/>
      <c r="GG198" s="12"/>
      <c r="GH198" s="12"/>
      <c r="GI198" s="12"/>
      <c r="GJ198" s="12"/>
      <c r="GK198" s="12"/>
      <c r="GL198" s="12"/>
      <c r="GM198" s="12"/>
      <c r="GN198" s="12"/>
      <c r="GO198" s="12"/>
      <c r="GP198" s="12"/>
      <c r="GQ198" s="12"/>
      <c r="GR198" s="12"/>
      <c r="GS198" s="12"/>
      <c r="GT198" s="12"/>
      <c r="GU198" s="12"/>
      <c r="GV198" s="12"/>
      <c r="GW198" s="12"/>
      <c r="GX198" s="12"/>
      <c r="GY198" s="12"/>
      <c r="GZ198" s="12"/>
      <c r="HA198" s="12"/>
      <c r="HB198" s="12"/>
      <c r="HC198" s="12"/>
      <c r="HD198" s="12"/>
      <c r="HE198" s="12"/>
      <c r="HF198" s="12"/>
      <c r="HG198" s="12"/>
      <c r="HH198" s="12"/>
      <c r="HI198" s="12"/>
      <c r="HJ198" s="12"/>
      <c r="HK198" s="12"/>
      <c r="HL198" s="12"/>
      <c r="HM198" s="12"/>
      <c r="HN198" s="12"/>
      <c r="HO198" s="12"/>
      <c r="HP198" s="12"/>
      <c r="HQ198" s="12"/>
      <c r="HR198" s="12"/>
      <c r="HS198" s="12"/>
      <c r="HT198" s="12"/>
      <c r="HU198" s="12"/>
      <c r="HV198" s="12"/>
      <c r="HW198" s="12"/>
      <c r="HX198" s="12"/>
      <c r="HY198" s="12"/>
      <c r="HZ198" s="12"/>
      <c r="IA198" s="12"/>
      <c r="IB198" s="12"/>
      <c r="IC198" s="12"/>
      <c r="ID198" s="12"/>
      <c r="IE198" s="12"/>
      <c r="IF198" s="12"/>
      <c r="IG198" s="12"/>
      <c r="IH198" s="12"/>
      <c r="II198" s="12"/>
      <c r="IJ198" s="12"/>
      <c r="IK198" s="12"/>
      <c r="IL198" s="12"/>
      <c r="IM198" s="12"/>
      <c r="IN198" s="12"/>
      <c r="IO198" s="12"/>
      <c r="IP198" s="12"/>
      <c r="IQ198" s="12"/>
      <c r="IR198" s="12"/>
      <c r="IS198" s="12"/>
      <c r="IT198" s="12"/>
      <c r="IU198" s="12"/>
      <c r="IV198" s="12"/>
      <c r="IW198" s="12"/>
      <c r="IX198" s="12"/>
      <c r="IY198" s="12"/>
      <c r="IZ198" s="12"/>
      <c r="JA198" s="12"/>
      <c r="JB198" s="12"/>
      <c r="JC198" s="12"/>
      <c r="JD198" s="12"/>
      <c r="JE198" s="12"/>
      <c r="JF198" s="12"/>
      <c r="JG198" s="12"/>
      <c r="JH198" s="12"/>
      <c r="JI198" s="12"/>
      <c r="JJ198" s="12"/>
      <c r="JK198" s="12"/>
      <c r="JL198" s="12"/>
      <c r="JM198" s="12"/>
      <c r="JN198" s="12"/>
      <c r="JO198" s="12"/>
      <c r="JP198" s="12"/>
      <c r="JQ198" s="12"/>
      <c r="JR198" s="12"/>
      <c r="JS198" s="12"/>
      <c r="JT198" s="12"/>
      <c r="JU198" s="12"/>
      <c r="JV198" s="12"/>
      <c r="JW198" s="12"/>
      <c r="JX198" s="12"/>
      <c r="JY198" s="12"/>
      <c r="JZ198" s="12"/>
      <c r="KA198" s="12"/>
      <c r="KB198" s="12"/>
      <c r="KC198" s="12"/>
      <c r="KD198" s="12"/>
      <c r="KE198" s="12"/>
      <c r="KF198" s="12"/>
      <c r="KG198" s="12"/>
      <c r="KH198" s="12"/>
      <c r="KI198" s="12"/>
      <c r="KJ198" s="12"/>
      <c r="KK198" s="12"/>
      <c r="KL198" s="12"/>
      <c r="KM198" s="12"/>
      <c r="KN198" s="12"/>
      <c r="KO198" s="12"/>
      <c r="KP198" s="12"/>
      <c r="KQ198" s="12"/>
      <c r="KR198" s="12"/>
      <c r="KS198" s="12"/>
      <c r="KT198" s="12"/>
      <c r="KU198" s="12"/>
      <c r="KV198" s="12"/>
      <c r="KW198" s="12"/>
      <c r="KX198" s="12"/>
      <c r="KY198" s="12"/>
      <c r="KZ198" s="12"/>
      <c r="LA198" s="12"/>
      <c r="LB198" s="12"/>
      <c r="LC198" s="12"/>
      <c r="LD198" s="12"/>
      <c r="LE198" s="12"/>
      <c r="LF198" s="12"/>
      <c r="LG198" s="12"/>
      <c r="LH198" s="12"/>
      <c r="LI198" s="12"/>
      <c r="LJ198" s="12"/>
      <c r="LK198" s="12"/>
      <c r="LL198" s="12"/>
      <c r="LM198" s="12"/>
      <c r="LN198" s="12"/>
      <c r="LO198" s="12"/>
      <c r="LP198" s="12"/>
      <c r="LQ198" s="12"/>
      <c r="LR198" s="12"/>
      <c r="LS198" s="12"/>
      <c r="LT198" s="12"/>
      <c r="LU198" s="12"/>
      <c r="LV198" s="12"/>
      <c r="LW198" s="12"/>
      <c r="LX198" s="12"/>
      <c r="LY198" s="12"/>
      <c r="LZ198" s="12"/>
      <c r="MA198" s="12"/>
      <c r="MB198" s="12"/>
      <c r="MC198" s="12"/>
      <c r="MD198" s="12"/>
      <c r="ME198" s="12"/>
      <c r="MF198" s="12"/>
      <c r="MG198" s="12"/>
      <c r="MH198" s="12"/>
      <c r="MI198" s="12"/>
      <c r="MJ198" s="12"/>
      <c r="MK198" s="12"/>
      <c r="ML198" s="12"/>
      <c r="MM198" s="12"/>
      <c r="MN198" s="12"/>
      <c r="MO198" s="12"/>
      <c r="MP198" s="12"/>
      <c r="MQ198" s="12"/>
      <c r="MR198" s="12"/>
      <c r="MS198" s="12"/>
      <c r="MT198" s="12"/>
      <c r="MU198" s="12"/>
      <c r="MV198" s="12"/>
      <c r="MW198" s="12"/>
      <c r="MX198" s="12"/>
      <c r="MY198" s="12"/>
      <c r="MZ198" s="12"/>
      <c r="NA198" s="12"/>
      <c r="NB198" s="12"/>
      <c r="NC198" s="12"/>
      <c r="ND198" s="12"/>
      <c r="NE198" s="12"/>
      <c r="NF198" s="12"/>
      <c r="NG198" s="12"/>
      <c r="NH198" s="12"/>
      <c r="NI198" s="12"/>
      <c r="NJ198" s="12"/>
      <c r="NK198" s="12"/>
      <c r="NL198" s="12"/>
      <c r="NM198" s="12"/>
      <c r="NN198" s="12"/>
      <c r="NO198" s="12"/>
      <c r="NP198" s="12"/>
      <c r="NQ198" s="12"/>
      <c r="NR198" s="12"/>
      <c r="NS198" s="12"/>
      <c r="NT198" s="12"/>
      <c r="NU198" s="12"/>
      <c r="NV198" s="12"/>
      <c r="NW198" s="12"/>
      <c r="NX198" s="12"/>
      <c r="NY198" s="12"/>
      <c r="NZ198" s="12"/>
      <c r="OA198" s="12"/>
      <c r="OB198" s="12"/>
      <c r="OC198" s="12"/>
      <c r="OD198" s="12"/>
      <c r="OE198" s="12"/>
      <c r="OF198" s="12"/>
      <c r="OG198" s="12"/>
      <c r="OH198" s="12"/>
      <c r="OI198" s="12"/>
      <c r="OJ198" s="12"/>
      <c r="OK198" s="12"/>
      <c r="OL198" s="12"/>
      <c r="OM198" s="12"/>
      <c r="ON198" s="12"/>
      <c r="OO198" s="12"/>
      <c r="OP198" s="12"/>
      <c r="OQ198" s="12"/>
      <c r="OR198" s="12"/>
      <c r="OS198" s="12"/>
      <c r="OT198" s="12"/>
      <c r="OU198" s="12"/>
      <c r="OV198" s="12"/>
      <c r="OW198" s="12"/>
      <c r="OX198" s="12"/>
      <c r="OY198" s="12"/>
      <c r="OZ198" s="12"/>
      <c r="PA198" s="12"/>
      <c r="PB198" s="12"/>
      <c r="PC198" s="12"/>
      <c r="PD198" s="12"/>
      <c r="PE198" s="12"/>
      <c r="PF198" s="12"/>
      <c r="PG198" s="12"/>
      <c r="PH198" s="12"/>
      <c r="PI198" s="12"/>
      <c r="PJ198" s="12"/>
      <c r="PK198" s="12"/>
      <c r="PL198" s="12"/>
      <c r="PM198" s="12"/>
      <c r="PN198" s="12"/>
      <c r="PO198" s="12"/>
      <c r="PP198" s="12"/>
      <c r="PQ198" s="12"/>
      <c r="PR198" s="12"/>
      <c r="PS198" s="12"/>
      <c r="PT198" s="12"/>
      <c r="PU198" s="12"/>
      <c r="PV198" s="12"/>
      <c r="PW198" s="12"/>
      <c r="PX198" s="12"/>
      <c r="PY198" s="12"/>
      <c r="PZ198" s="12"/>
      <c r="QA198" s="12"/>
      <c r="QB198" s="12"/>
      <c r="QC198" s="12"/>
      <c r="QD198" s="12"/>
      <c r="QE198" s="12"/>
      <c r="QF198" s="12"/>
      <c r="QG198" s="12"/>
      <c r="QH198" s="12"/>
      <c r="QI198" s="12"/>
      <c r="QJ198" s="12"/>
      <c r="QK198" s="12"/>
      <c r="QL198" s="12"/>
      <c r="QM198" s="12"/>
      <c r="QN198" s="12"/>
      <c r="QO198" s="12"/>
      <c r="QP198" s="12"/>
      <c r="QQ198" s="12"/>
      <c r="QR198" s="12"/>
      <c r="QS198" s="12"/>
      <c r="QT198" s="12"/>
      <c r="QU198" s="12"/>
      <c r="QV198" s="12"/>
      <c r="QW198" s="12"/>
      <c r="QX198" s="12"/>
      <c r="QY198" s="12"/>
      <c r="QZ198" s="12"/>
      <c r="RA198" s="12"/>
      <c r="RB198" s="12"/>
      <c r="RC198" s="12"/>
      <c r="RD198" s="12"/>
      <c r="RE198" s="12"/>
      <c r="RF198" s="12"/>
      <c r="RG198" s="12"/>
      <c r="RH198" s="12"/>
      <c r="RI198" s="12"/>
      <c r="RJ198" s="12"/>
      <c r="RK198" s="12"/>
      <c r="RL198" s="12"/>
      <c r="RM198" s="12"/>
      <c r="RN198" s="12"/>
      <c r="RO198" s="12"/>
      <c r="RP198" s="12"/>
      <c r="RQ198" s="12"/>
      <c r="RR198" s="12"/>
      <c r="RS198" s="12"/>
      <c r="RT198" s="12"/>
      <c r="RU198" s="12"/>
      <c r="RV198" s="12"/>
      <c r="RW198" s="12"/>
      <c r="RX198" s="12"/>
      <c r="RY198" s="12"/>
      <c r="RZ198" s="12"/>
      <c r="SA198" s="12"/>
      <c r="SB198" s="12"/>
      <c r="SC198" s="12"/>
      <c r="SD198" s="12"/>
      <c r="SE198" s="12"/>
      <c r="SF198" s="12"/>
      <c r="SG198" s="12"/>
      <c r="SH198" s="11"/>
      <c r="SI198" s="11"/>
      <c r="SJ198" s="11"/>
      <c r="SK198" s="11"/>
      <c r="SL198" s="11"/>
      <c r="SM198" s="11"/>
      <c r="SN198" s="11"/>
      <c r="SO198" s="11"/>
      <c r="SP198" s="11"/>
      <c r="SQ198" s="11"/>
      <c r="SR198" s="11"/>
      <c r="SS198" s="11"/>
      <c r="ST198" s="11"/>
      <c r="SU198" s="11"/>
      <c r="SV198" s="11"/>
      <c r="SW198" s="11"/>
      <c r="SX198" s="11"/>
      <c r="SY198" s="11"/>
      <c r="SZ198" s="11"/>
      <c r="TA198" s="11"/>
      <c r="TB198" s="11"/>
      <c r="TC198" s="11"/>
      <c r="TD198" s="11"/>
      <c r="TE198" s="11"/>
      <c r="TF198" s="11"/>
      <c r="TG198" s="11"/>
      <c r="TH198" s="11"/>
      <c r="TI198" s="11"/>
      <c r="TJ198" s="11"/>
      <c r="TK198" s="11"/>
      <c r="TL198" s="11"/>
    </row>
    <row r="199" spans="1:532" x14ac:dyDescent="0.2">
      <c r="A199" s="10" t="s">
        <v>198</v>
      </c>
      <c r="B199" s="12">
        <v>13.15</v>
      </c>
      <c r="C199" s="11">
        <v>0</v>
      </c>
      <c r="D199" s="11">
        <v>1.8314705264242721</v>
      </c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  <c r="CO199" s="12"/>
      <c r="CP199" s="12"/>
      <c r="CQ199" s="12"/>
      <c r="CR199" s="12"/>
      <c r="CS199" s="12"/>
      <c r="CT199" s="12"/>
      <c r="CU199" s="12"/>
      <c r="CV199" s="12"/>
      <c r="CW199" s="12"/>
      <c r="CX199" s="12"/>
      <c r="CY199" s="12"/>
      <c r="CZ199" s="12"/>
      <c r="DA199" s="12"/>
      <c r="DB199" s="12"/>
      <c r="DC199" s="12"/>
      <c r="DD199" s="12"/>
      <c r="DE199" s="12"/>
      <c r="DF199" s="12"/>
      <c r="DG199" s="12"/>
      <c r="DH199" s="12"/>
      <c r="DI199" s="12"/>
      <c r="DJ199" s="12"/>
      <c r="DK199" s="12"/>
      <c r="DL199" s="12"/>
      <c r="DM199" s="12"/>
      <c r="DN199" s="12"/>
      <c r="DO199" s="12"/>
      <c r="DP199" s="12"/>
      <c r="DQ199" s="12"/>
      <c r="DR199" s="12"/>
      <c r="DS199" s="12"/>
      <c r="DT199" s="12"/>
      <c r="DU199" s="12"/>
      <c r="DV199" s="12"/>
      <c r="DW199" s="12"/>
      <c r="DX199" s="12"/>
      <c r="DY199" s="12"/>
      <c r="DZ199" s="12"/>
      <c r="EA199" s="12"/>
      <c r="EB199" s="12"/>
      <c r="EC199" s="12"/>
      <c r="ED199" s="12"/>
      <c r="EE199" s="12"/>
      <c r="EF199" s="12"/>
      <c r="EG199" s="12"/>
      <c r="EH199" s="12"/>
      <c r="EI199" s="12"/>
      <c r="EJ199" s="12"/>
      <c r="EK199" s="12"/>
      <c r="EL199" s="12"/>
      <c r="EM199" s="12"/>
      <c r="EN199" s="12"/>
      <c r="EO199" s="12"/>
      <c r="EP199" s="12"/>
      <c r="EQ199" s="12"/>
      <c r="ER199" s="12"/>
      <c r="ES199" s="12"/>
      <c r="ET199" s="12"/>
      <c r="EU199" s="12"/>
      <c r="EV199" s="12"/>
      <c r="EW199" s="12"/>
      <c r="EX199" s="12"/>
      <c r="EY199" s="12"/>
      <c r="EZ199" s="12"/>
      <c r="FA199" s="12"/>
      <c r="FB199" s="12"/>
      <c r="FC199" s="12"/>
      <c r="FD199" s="12"/>
      <c r="FE199" s="12"/>
      <c r="FF199" s="12"/>
      <c r="FG199" s="12"/>
      <c r="FH199" s="12"/>
      <c r="FI199" s="12"/>
      <c r="FJ199" s="12"/>
      <c r="FK199" s="12"/>
      <c r="FL199" s="12"/>
      <c r="FM199" s="12"/>
      <c r="FN199" s="12"/>
      <c r="FO199" s="12"/>
      <c r="FP199" s="12"/>
      <c r="FQ199" s="12"/>
      <c r="FR199" s="12"/>
      <c r="FS199" s="12"/>
      <c r="FT199" s="12"/>
      <c r="FU199" s="12"/>
      <c r="FV199" s="12"/>
      <c r="FW199" s="12"/>
      <c r="FX199" s="12"/>
      <c r="FY199" s="12"/>
      <c r="FZ199" s="12"/>
      <c r="GA199" s="12"/>
      <c r="GB199" s="12"/>
      <c r="GC199" s="12"/>
      <c r="GD199" s="12"/>
      <c r="GE199" s="12"/>
      <c r="GF199" s="12"/>
      <c r="GG199" s="12"/>
      <c r="GH199" s="12"/>
      <c r="GI199" s="12"/>
      <c r="GJ199" s="12"/>
      <c r="GK199" s="12"/>
      <c r="GL199" s="12"/>
      <c r="GM199" s="12"/>
      <c r="GN199" s="12"/>
      <c r="GO199" s="12"/>
      <c r="GP199" s="12"/>
      <c r="GQ199" s="12"/>
      <c r="GR199" s="12"/>
      <c r="GS199" s="12"/>
      <c r="GT199" s="12"/>
      <c r="GU199" s="12"/>
      <c r="GV199" s="12"/>
      <c r="GW199" s="12"/>
      <c r="GX199" s="12"/>
      <c r="GY199" s="12"/>
      <c r="GZ199" s="12"/>
      <c r="HA199" s="12"/>
      <c r="HB199" s="12"/>
      <c r="HC199" s="12"/>
      <c r="HD199" s="12"/>
      <c r="HE199" s="12"/>
      <c r="HF199" s="12"/>
      <c r="HG199" s="12"/>
      <c r="HH199" s="12"/>
      <c r="HI199" s="12"/>
      <c r="HJ199" s="12"/>
      <c r="HK199" s="12"/>
      <c r="HL199" s="12"/>
      <c r="HM199" s="12"/>
      <c r="HN199" s="12"/>
      <c r="HO199" s="12"/>
      <c r="HP199" s="12"/>
      <c r="HQ199" s="12"/>
      <c r="HR199" s="12"/>
      <c r="HS199" s="12"/>
      <c r="HT199" s="12"/>
      <c r="HU199" s="12"/>
      <c r="HV199" s="12"/>
      <c r="HW199" s="12"/>
      <c r="HX199" s="12"/>
      <c r="HY199" s="12"/>
      <c r="HZ199" s="12"/>
      <c r="IA199" s="12"/>
      <c r="IB199" s="12"/>
      <c r="IC199" s="12"/>
      <c r="ID199" s="12"/>
      <c r="IE199" s="12"/>
      <c r="IF199" s="12"/>
      <c r="IG199" s="12"/>
      <c r="IH199" s="12"/>
      <c r="II199" s="12"/>
      <c r="IJ199" s="12"/>
      <c r="IK199" s="12"/>
      <c r="IL199" s="12"/>
      <c r="IM199" s="12"/>
      <c r="IN199" s="12"/>
      <c r="IO199" s="12"/>
      <c r="IP199" s="12"/>
      <c r="IQ199" s="12"/>
      <c r="IR199" s="12"/>
      <c r="IS199" s="12"/>
      <c r="IT199" s="12"/>
      <c r="IU199" s="12"/>
      <c r="IV199" s="12"/>
      <c r="IW199" s="12"/>
      <c r="IX199" s="12"/>
      <c r="IY199" s="12"/>
      <c r="IZ199" s="12"/>
      <c r="JA199" s="12"/>
      <c r="JB199" s="12"/>
      <c r="JC199" s="12"/>
      <c r="JD199" s="12"/>
      <c r="JE199" s="12"/>
      <c r="JF199" s="12"/>
      <c r="JG199" s="12"/>
      <c r="JH199" s="12"/>
      <c r="JI199" s="12"/>
      <c r="JJ199" s="12"/>
      <c r="JK199" s="12"/>
      <c r="JL199" s="12"/>
      <c r="JM199" s="12"/>
      <c r="JN199" s="12"/>
      <c r="JO199" s="12"/>
      <c r="JP199" s="12"/>
      <c r="JQ199" s="12"/>
      <c r="JR199" s="12"/>
      <c r="JS199" s="12"/>
      <c r="JT199" s="12"/>
      <c r="JU199" s="12"/>
      <c r="JV199" s="12"/>
      <c r="JW199" s="12"/>
      <c r="JX199" s="12"/>
      <c r="JY199" s="12"/>
      <c r="JZ199" s="12"/>
      <c r="KA199" s="12"/>
      <c r="KB199" s="12"/>
      <c r="KC199" s="12"/>
      <c r="KD199" s="12"/>
      <c r="KE199" s="12"/>
      <c r="KF199" s="12"/>
      <c r="KG199" s="12"/>
      <c r="KH199" s="12"/>
      <c r="KI199" s="12"/>
      <c r="KJ199" s="12"/>
      <c r="KK199" s="12"/>
      <c r="KL199" s="12"/>
      <c r="KM199" s="12"/>
      <c r="KN199" s="12"/>
      <c r="KO199" s="12"/>
      <c r="KP199" s="12"/>
      <c r="KQ199" s="12"/>
      <c r="KR199" s="12"/>
      <c r="KS199" s="12"/>
      <c r="KT199" s="12"/>
      <c r="KU199" s="12"/>
      <c r="KV199" s="12"/>
      <c r="KW199" s="12"/>
      <c r="KX199" s="12"/>
      <c r="KY199" s="12"/>
      <c r="KZ199" s="12"/>
      <c r="LA199" s="12"/>
      <c r="LB199" s="12"/>
      <c r="LC199" s="12"/>
      <c r="LD199" s="12"/>
      <c r="LE199" s="12"/>
      <c r="LF199" s="12"/>
      <c r="LG199" s="12"/>
      <c r="LH199" s="12"/>
      <c r="LI199" s="12"/>
      <c r="LJ199" s="12"/>
      <c r="LK199" s="12"/>
      <c r="LL199" s="12"/>
      <c r="LM199" s="12"/>
      <c r="LN199" s="12"/>
      <c r="LO199" s="12"/>
      <c r="LP199" s="12"/>
      <c r="LQ199" s="12"/>
      <c r="LR199" s="12"/>
      <c r="LS199" s="12"/>
      <c r="LT199" s="12"/>
      <c r="LU199" s="12"/>
      <c r="LV199" s="12"/>
      <c r="LW199" s="12"/>
      <c r="LX199" s="12"/>
      <c r="LY199" s="12"/>
      <c r="LZ199" s="12"/>
      <c r="MA199" s="12"/>
      <c r="MB199" s="12"/>
      <c r="MC199" s="12"/>
      <c r="MD199" s="12"/>
      <c r="ME199" s="12"/>
      <c r="MF199" s="12"/>
      <c r="MG199" s="12"/>
      <c r="MH199" s="12"/>
      <c r="MI199" s="12"/>
      <c r="MJ199" s="12"/>
      <c r="MK199" s="12"/>
      <c r="ML199" s="12"/>
      <c r="MM199" s="12"/>
      <c r="MN199" s="12"/>
      <c r="MO199" s="12"/>
      <c r="MP199" s="12"/>
      <c r="MQ199" s="12"/>
      <c r="MR199" s="12"/>
      <c r="MS199" s="12"/>
      <c r="MT199" s="12"/>
      <c r="MU199" s="12"/>
      <c r="MV199" s="12"/>
      <c r="MW199" s="12"/>
      <c r="MX199" s="12"/>
      <c r="MY199" s="12"/>
      <c r="MZ199" s="12"/>
      <c r="NA199" s="12"/>
      <c r="NB199" s="12"/>
      <c r="NC199" s="12"/>
      <c r="ND199" s="12"/>
      <c r="NE199" s="12"/>
      <c r="NF199" s="12"/>
      <c r="NG199" s="12"/>
      <c r="NH199" s="12"/>
      <c r="NI199" s="12"/>
      <c r="NJ199" s="12"/>
      <c r="NK199" s="12"/>
      <c r="NL199" s="12"/>
      <c r="NM199" s="12"/>
      <c r="NN199" s="12"/>
      <c r="NO199" s="12"/>
      <c r="NP199" s="12"/>
      <c r="NQ199" s="12"/>
      <c r="NR199" s="12"/>
      <c r="NS199" s="12"/>
      <c r="NT199" s="12"/>
      <c r="NU199" s="12"/>
      <c r="NV199" s="12"/>
      <c r="NW199" s="12"/>
      <c r="NX199" s="12"/>
      <c r="NY199" s="12"/>
      <c r="NZ199" s="12"/>
      <c r="OA199" s="12"/>
      <c r="OB199" s="12"/>
      <c r="OC199" s="12"/>
      <c r="OD199" s="12"/>
      <c r="OE199" s="12"/>
      <c r="OF199" s="12"/>
      <c r="OG199" s="12"/>
      <c r="OH199" s="12"/>
      <c r="OI199" s="12"/>
      <c r="OJ199" s="12"/>
      <c r="OK199" s="12"/>
      <c r="OL199" s="12"/>
      <c r="OM199" s="12"/>
      <c r="ON199" s="12"/>
      <c r="OO199" s="12"/>
      <c r="OP199" s="12"/>
      <c r="OQ199" s="12"/>
      <c r="OR199" s="12"/>
      <c r="OS199" s="12"/>
      <c r="OT199" s="12"/>
      <c r="OU199" s="12"/>
      <c r="OV199" s="12"/>
      <c r="OW199" s="12"/>
      <c r="OX199" s="12"/>
      <c r="OY199" s="12"/>
      <c r="OZ199" s="12"/>
      <c r="PA199" s="12"/>
      <c r="PB199" s="12"/>
      <c r="PC199" s="12"/>
      <c r="PD199" s="12"/>
      <c r="PE199" s="12"/>
      <c r="PF199" s="12"/>
      <c r="PG199" s="12"/>
      <c r="PH199" s="12"/>
      <c r="PI199" s="12"/>
      <c r="PJ199" s="12"/>
      <c r="PK199" s="12"/>
      <c r="PL199" s="12"/>
      <c r="PM199" s="12"/>
      <c r="PN199" s="12"/>
      <c r="PO199" s="12"/>
      <c r="PP199" s="12"/>
      <c r="PQ199" s="12"/>
      <c r="PR199" s="12"/>
      <c r="PS199" s="12"/>
      <c r="PT199" s="12"/>
      <c r="PU199" s="12"/>
      <c r="PV199" s="12"/>
      <c r="PW199" s="12"/>
      <c r="PX199" s="12"/>
      <c r="PY199" s="12"/>
      <c r="PZ199" s="12"/>
      <c r="QA199" s="12"/>
      <c r="QB199" s="12"/>
      <c r="QC199" s="12"/>
      <c r="QD199" s="12"/>
      <c r="QE199" s="12"/>
      <c r="QF199" s="12"/>
      <c r="QG199" s="12"/>
      <c r="QH199" s="12"/>
      <c r="QI199" s="12"/>
      <c r="QJ199" s="12"/>
      <c r="QK199" s="12"/>
      <c r="QL199" s="12"/>
      <c r="QM199" s="12"/>
      <c r="QN199" s="12"/>
      <c r="QO199" s="12"/>
      <c r="QP199" s="12"/>
      <c r="QQ199" s="12"/>
      <c r="QR199" s="12"/>
      <c r="QS199" s="12"/>
      <c r="QT199" s="12"/>
      <c r="QU199" s="12"/>
      <c r="QV199" s="12"/>
      <c r="QW199" s="12"/>
      <c r="QX199" s="12"/>
      <c r="QY199" s="12"/>
      <c r="QZ199" s="12"/>
      <c r="RA199" s="12"/>
      <c r="RB199" s="12"/>
      <c r="RC199" s="12"/>
      <c r="RD199" s="12"/>
      <c r="RE199" s="12"/>
      <c r="RF199" s="12"/>
      <c r="RG199" s="12"/>
      <c r="RH199" s="12"/>
      <c r="RI199" s="12"/>
      <c r="RJ199" s="12"/>
      <c r="RK199" s="12"/>
      <c r="RL199" s="12"/>
      <c r="RM199" s="12"/>
      <c r="RN199" s="12"/>
      <c r="RO199" s="12"/>
      <c r="RP199" s="12"/>
      <c r="RQ199" s="12"/>
      <c r="RR199" s="12"/>
      <c r="RS199" s="12"/>
      <c r="RT199" s="12"/>
      <c r="RU199" s="12"/>
      <c r="RV199" s="12"/>
      <c r="RW199" s="12"/>
      <c r="RX199" s="12"/>
      <c r="RY199" s="12"/>
      <c r="RZ199" s="12"/>
      <c r="SA199" s="12"/>
      <c r="SB199" s="12"/>
      <c r="SC199" s="12"/>
      <c r="SD199" s="12"/>
      <c r="SE199" s="12"/>
      <c r="SF199" s="12"/>
      <c r="SG199" s="12"/>
      <c r="SH199" s="11"/>
      <c r="SI199" s="11"/>
      <c r="SJ199" s="11"/>
      <c r="SK199" s="11"/>
      <c r="SL199" s="11"/>
      <c r="SM199" s="11"/>
      <c r="SN199" s="11"/>
      <c r="SO199" s="11"/>
      <c r="SP199" s="11"/>
      <c r="SQ199" s="11"/>
      <c r="SR199" s="11"/>
      <c r="SS199" s="11"/>
      <c r="ST199" s="11"/>
      <c r="SU199" s="11"/>
      <c r="SV199" s="11"/>
      <c r="SW199" s="11"/>
      <c r="SX199" s="11"/>
      <c r="SY199" s="11"/>
      <c r="SZ199" s="11"/>
      <c r="TA199" s="11"/>
      <c r="TB199" s="11"/>
      <c r="TC199" s="11"/>
      <c r="TD199" s="11"/>
      <c r="TE199" s="11"/>
      <c r="TF199" s="11"/>
      <c r="TG199" s="11"/>
      <c r="TH199" s="11"/>
      <c r="TI199" s="11"/>
      <c r="TJ199" s="11"/>
      <c r="TK199" s="11"/>
      <c r="TL199" s="11"/>
    </row>
    <row r="200" spans="1:532" x14ac:dyDescent="0.2">
      <c r="A200" s="10" t="s">
        <v>199</v>
      </c>
      <c r="B200" s="12">
        <v>10.93</v>
      </c>
      <c r="C200" s="11">
        <v>0</v>
      </c>
      <c r="D200" s="11">
        <v>4.0292351581333987</v>
      </c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  <c r="CO200" s="12"/>
      <c r="CP200" s="12"/>
      <c r="CQ200" s="12"/>
      <c r="CR200" s="12"/>
      <c r="CS200" s="12"/>
      <c r="CT200" s="12"/>
      <c r="CU200" s="12"/>
      <c r="CV200" s="12"/>
      <c r="CW200" s="12"/>
      <c r="CX200" s="12"/>
      <c r="CY200" s="12"/>
      <c r="CZ200" s="12"/>
      <c r="DA200" s="12"/>
      <c r="DB200" s="12"/>
      <c r="DC200" s="12"/>
      <c r="DD200" s="12"/>
      <c r="DE200" s="12"/>
      <c r="DF200" s="12"/>
      <c r="DG200" s="12"/>
      <c r="DH200" s="12"/>
      <c r="DI200" s="12"/>
      <c r="DJ200" s="12"/>
      <c r="DK200" s="12"/>
      <c r="DL200" s="12"/>
      <c r="DM200" s="12"/>
      <c r="DN200" s="12"/>
      <c r="DO200" s="12"/>
      <c r="DP200" s="12"/>
      <c r="DQ200" s="12"/>
      <c r="DR200" s="12"/>
      <c r="DS200" s="12"/>
      <c r="DT200" s="12"/>
      <c r="DU200" s="12"/>
      <c r="DV200" s="12"/>
      <c r="DW200" s="12"/>
      <c r="DX200" s="12"/>
      <c r="DY200" s="12"/>
      <c r="DZ200" s="12"/>
      <c r="EA200" s="12"/>
      <c r="EB200" s="12"/>
      <c r="EC200" s="12"/>
      <c r="ED200" s="12"/>
      <c r="EE200" s="12"/>
      <c r="EF200" s="12"/>
      <c r="EG200" s="12"/>
      <c r="EH200" s="12"/>
      <c r="EI200" s="12"/>
      <c r="EJ200" s="12"/>
      <c r="EK200" s="12"/>
      <c r="EL200" s="12"/>
      <c r="EM200" s="12"/>
      <c r="EN200" s="12"/>
      <c r="EO200" s="12"/>
      <c r="EP200" s="12"/>
      <c r="EQ200" s="12"/>
      <c r="ER200" s="12"/>
      <c r="ES200" s="12"/>
      <c r="ET200" s="12"/>
      <c r="EU200" s="12"/>
      <c r="EV200" s="12"/>
      <c r="EW200" s="12"/>
      <c r="EX200" s="12"/>
      <c r="EY200" s="12"/>
      <c r="EZ200" s="12"/>
      <c r="FA200" s="12"/>
      <c r="FB200" s="12"/>
      <c r="FC200" s="12"/>
      <c r="FD200" s="12"/>
      <c r="FE200" s="12"/>
      <c r="FF200" s="12"/>
      <c r="FG200" s="12"/>
      <c r="FH200" s="12"/>
      <c r="FI200" s="12"/>
      <c r="FJ200" s="12"/>
      <c r="FK200" s="12"/>
      <c r="FL200" s="12"/>
      <c r="FM200" s="12"/>
      <c r="FN200" s="12"/>
      <c r="FO200" s="12"/>
      <c r="FP200" s="12"/>
      <c r="FQ200" s="12"/>
      <c r="FR200" s="12"/>
      <c r="FS200" s="12"/>
      <c r="FT200" s="12"/>
      <c r="FU200" s="12"/>
      <c r="FV200" s="12"/>
      <c r="FW200" s="12"/>
      <c r="FX200" s="12"/>
      <c r="FY200" s="12"/>
      <c r="FZ200" s="12"/>
      <c r="GA200" s="12"/>
      <c r="GB200" s="12"/>
      <c r="GC200" s="12"/>
      <c r="GD200" s="12"/>
      <c r="GE200" s="12"/>
      <c r="GF200" s="12"/>
      <c r="GG200" s="12"/>
      <c r="GH200" s="12"/>
      <c r="GI200" s="12"/>
      <c r="GJ200" s="12"/>
      <c r="GK200" s="12"/>
      <c r="GL200" s="12"/>
      <c r="GM200" s="12"/>
      <c r="GN200" s="12"/>
      <c r="GO200" s="12"/>
      <c r="GP200" s="12"/>
      <c r="GQ200" s="12"/>
      <c r="GR200" s="12"/>
      <c r="GS200" s="12"/>
      <c r="GT200" s="12"/>
      <c r="GU200" s="12"/>
      <c r="GV200" s="12"/>
      <c r="GW200" s="12"/>
      <c r="GX200" s="12"/>
      <c r="GY200" s="12"/>
      <c r="GZ200" s="12"/>
      <c r="HA200" s="12"/>
      <c r="HB200" s="12"/>
      <c r="HC200" s="12"/>
      <c r="HD200" s="12"/>
      <c r="HE200" s="12"/>
      <c r="HF200" s="12"/>
      <c r="HG200" s="12"/>
      <c r="HH200" s="12"/>
      <c r="HI200" s="12"/>
      <c r="HJ200" s="12"/>
      <c r="HK200" s="12"/>
      <c r="HL200" s="12"/>
      <c r="HM200" s="12"/>
      <c r="HN200" s="12"/>
      <c r="HO200" s="12"/>
      <c r="HP200" s="12"/>
      <c r="HQ200" s="12"/>
      <c r="HR200" s="12"/>
      <c r="HS200" s="12"/>
      <c r="HT200" s="12"/>
      <c r="HU200" s="12"/>
      <c r="HV200" s="12"/>
      <c r="HW200" s="12"/>
      <c r="HX200" s="12"/>
      <c r="HY200" s="12"/>
      <c r="HZ200" s="12"/>
      <c r="IA200" s="12"/>
      <c r="IB200" s="12"/>
      <c r="IC200" s="12"/>
      <c r="ID200" s="12"/>
      <c r="IE200" s="12"/>
      <c r="IF200" s="12"/>
      <c r="IG200" s="12"/>
      <c r="IH200" s="12"/>
      <c r="II200" s="12"/>
      <c r="IJ200" s="12"/>
      <c r="IK200" s="12"/>
      <c r="IL200" s="12"/>
      <c r="IM200" s="12"/>
      <c r="IN200" s="12"/>
      <c r="IO200" s="12"/>
      <c r="IP200" s="12"/>
      <c r="IQ200" s="12"/>
      <c r="IR200" s="12"/>
      <c r="IS200" s="12"/>
      <c r="IT200" s="12"/>
      <c r="IU200" s="12"/>
      <c r="IV200" s="12"/>
      <c r="IW200" s="12"/>
      <c r="IX200" s="12"/>
      <c r="IY200" s="12"/>
      <c r="IZ200" s="12"/>
      <c r="JA200" s="12"/>
      <c r="JB200" s="12"/>
      <c r="JC200" s="12"/>
      <c r="JD200" s="12"/>
      <c r="JE200" s="12"/>
      <c r="JF200" s="12"/>
      <c r="JG200" s="12"/>
      <c r="JH200" s="12"/>
      <c r="JI200" s="12"/>
      <c r="JJ200" s="12"/>
      <c r="JK200" s="12"/>
      <c r="JL200" s="12"/>
      <c r="JM200" s="12"/>
      <c r="JN200" s="12"/>
      <c r="JO200" s="12"/>
      <c r="JP200" s="12"/>
      <c r="JQ200" s="12"/>
      <c r="JR200" s="12"/>
      <c r="JS200" s="12"/>
      <c r="JT200" s="12"/>
      <c r="JU200" s="12"/>
      <c r="JV200" s="12"/>
      <c r="JW200" s="12"/>
      <c r="JX200" s="12"/>
      <c r="JY200" s="12"/>
      <c r="JZ200" s="12"/>
      <c r="KA200" s="12"/>
      <c r="KB200" s="12"/>
      <c r="KC200" s="12"/>
      <c r="KD200" s="12"/>
      <c r="KE200" s="12"/>
      <c r="KF200" s="12"/>
      <c r="KG200" s="12"/>
      <c r="KH200" s="12"/>
      <c r="KI200" s="12"/>
      <c r="KJ200" s="12"/>
      <c r="KK200" s="12"/>
      <c r="KL200" s="12"/>
      <c r="KM200" s="12"/>
      <c r="KN200" s="12"/>
      <c r="KO200" s="12"/>
      <c r="KP200" s="12"/>
      <c r="KQ200" s="12"/>
      <c r="KR200" s="12"/>
      <c r="KS200" s="12"/>
      <c r="KT200" s="12"/>
      <c r="KU200" s="12"/>
      <c r="KV200" s="12"/>
      <c r="KW200" s="12"/>
      <c r="KX200" s="12"/>
      <c r="KY200" s="12"/>
      <c r="KZ200" s="12"/>
      <c r="LA200" s="12"/>
      <c r="LB200" s="12"/>
      <c r="LC200" s="12"/>
      <c r="LD200" s="12"/>
      <c r="LE200" s="12"/>
      <c r="LF200" s="12"/>
      <c r="LG200" s="12"/>
      <c r="LH200" s="12"/>
      <c r="LI200" s="12"/>
      <c r="LJ200" s="12"/>
      <c r="LK200" s="12"/>
      <c r="LL200" s="12"/>
      <c r="LM200" s="12"/>
      <c r="LN200" s="12"/>
      <c r="LO200" s="12"/>
      <c r="LP200" s="12"/>
      <c r="LQ200" s="12"/>
      <c r="LR200" s="12"/>
      <c r="LS200" s="12"/>
      <c r="LT200" s="12"/>
      <c r="LU200" s="12"/>
      <c r="LV200" s="12"/>
      <c r="LW200" s="12"/>
      <c r="LX200" s="12"/>
      <c r="LY200" s="12"/>
      <c r="LZ200" s="12"/>
      <c r="MA200" s="12"/>
      <c r="MB200" s="12"/>
      <c r="MC200" s="12"/>
      <c r="MD200" s="12"/>
      <c r="ME200" s="12"/>
      <c r="MF200" s="12"/>
      <c r="MG200" s="12"/>
      <c r="MH200" s="12"/>
      <c r="MI200" s="12"/>
      <c r="MJ200" s="12"/>
      <c r="MK200" s="12"/>
      <c r="ML200" s="12"/>
      <c r="MM200" s="12"/>
      <c r="MN200" s="12"/>
      <c r="MO200" s="12"/>
      <c r="MP200" s="12"/>
      <c r="MQ200" s="12"/>
      <c r="MR200" s="12"/>
      <c r="MS200" s="12"/>
      <c r="MT200" s="12"/>
      <c r="MU200" s="12"/>
      <c r="MV200" s="12"/>
      <c r="MW200" s="12"/>
      <c r="MX200" s="12"/>
      <c r="MY200" s="12"/>
      <c r="MZ200" s="12"/>
      <c r="NA200" s="12"/>
      <c r="NB200" s="12"/>
      <c r="NC200" s="12"/>
      <c r="ND200" s="12"/>
      <c r="NE200" s="12"/>
      <c r="NF200" s="12"/>
      <c r="NG200" s="12"/>
      <c r="NH200" s="12"/>
      <c r="NI200" s="12"/>
      <c r="NJ200" s="12"/>
      <c r="NK200" s="12"/>
      <c r="NL200" s="12"/>
      <c r="NM200" s="12"/>
      <c r="NN200" s="12"/>
      <c r="NO200" s="12"/>
      <c r="NP200" s="12"/>
      <c r="NQ200" s="12"/>
      <c r="NR200" s="12"/>
      <c r="NS200" s="12"/>
      <c r="NT200" s="12"/>
      <c r="NU200" s="12"/>
      <c r="NV200" s="12"/>
      <c r="NW200" s="12"/>
      <c r="NX200" s="12"/>
      <c r="NY200" s="12"/>
      <c r="NZ200" s="12"/>
      <c r="OA200" s="12"/>
      <c r="OB200" s="12"/>
      <c r="OC200" s="12"/>
      <c r="OD200" s="12"/>
      <c r="OE200" s="12"/>
      <c r="OF200" s="12"/>
      <c r="OG200" s="12"/>
      <c r="OH200" s="12"/>
      <c r="OI200" s="12"/>
      <c r="OJ200" s="12"/>
      <c r="OK200" s="12"/>
      <c r="OL200" s="12"/>
      <c r="OM200" s="12"/>
      <c r="ON200" s="12"/>
      <c r="OO200" s="12"/>
      <c r="OP200" s="12"/>
      <c r="OQ200" s="12"/>
      <c r="OR200" s="12"/>
      <c r="OS200" s="12"/>
      <c r="OT200" s="12"/>
      <c r="OU200" s="12"/>
      <c r="OV200" s="12"/>
      <c r="OW200" s="12"/>
      <c r="OX200" s="12"/>
      <c r="OY200" s="12"/>
      <c r="OZ200" s="12"/>
      <c r="PA200" s="12"/>
      <c r="PB200" s="12"/>
      <c r="PC200" s="12"/>
      <c r="PD200" s="12"/>
      <c r="PE200" s="12"/>
      <c r="PF200" s="12"/>
      <c r="PG200" s="12"/>
      <c r="PH200" s="12"/>
      <c r="PI200" s="12"/>
      <c r="PJ200" s="12"/>
      <c r="PK200" s="12"/>
      <c r="PL200" s="12"/>
      <c r="PM200" s="12"/>
      <c r="PN200" s="12"/>
      <c r="PO200" s="12"/>
      <c r="PP200" s="12"/>
      <c r="PQ200" s="12"/>
      <c r="PR200" s="12"/>
      <c r="PS200" s="12"/>
      <c r="PT200" s="12"/>
      <c r="PU200" s="12"/>
      <c r="PV200" s="12"/>
      <c r="PW200" s="12"/>
      <c r="PX200" s="12"/>
      <c r="PY200" s="12"/>
      <c r="PZ200" s="12"/>
      <c r="QA200" s="12"/>
      <c r="QB200" s="12"/>
      <c r="QC200" s="12"/>
      <c r="QD200" s="12"/>
      <c r="QE200" s="12"/>
      <c r="QF200" s="12"/>
      <c r="QG200" s="12"/>
      <c r="QH200" s="12"/>
      <c r="QI200" s="12"/>
      <c r="QJ200" s="12"/>
      <c r="QK200" s="12"/>
      <c r="QL200" s="12"/>
      <c r="QM200" s="12"/>
      <c r="QN200" s="12"/>
      <c r="QO200" s="12"/>
      <c r="QP200" s="12"/>
      <c r="QQ200" s="12"/>
      <c r="QR200" s="12"/>
      <c r="QS200" s="12"/>
      <c r="QT200" s="12"/>
      <c r="QU200" s="12"/>
      <c r="QV200" s="12"/>
      <c r="QW200" s="12"/>
      <c r="QX200" s="12"/>
      <c r="QY200" s="12"/>
      <c r="QZ200" s="12"/>
      <c r="RA200" s="12"/>
      <c r="RB200" s="12"/>
      <c r="RC200" s="12"/>
      <c r="RD200" s="12"/>
      <c r="RE200" s="12"/>
      <c r="RF200" s="12"/>
      <c r="RG200" s="12"/>
      <c r="RH200" s="12"/>
      <c r="RI200" s="12"/>
      <c r="RJ200" s="12"/>
      <c r="RK200" s="12"/>
      <c r="RL200" s="12"/>
      <c r="RM200" s="12"/>
      <c r="RN200" s="12"/>
      <c r="RO200" s="12"/>
      <c r="RP200" s="12"/>
      <c r="RQ200" s="12"/>
      <c r="RR200" s="12"/>
      <c r="RS200" s="12"/>
      <c r="RT200" s="12"/>
      <c r="RU200" s="12"/>
      <c r="RV200" s="12"/>
      <c r="RW200" s="12"/>
      <c r="RX200" s="12"/>
      <c r="RY200" s="12"/>
      <c r="RZ200" s="12"/>
      <c r="SA200" s="12"/>
      <c r="SB200" s="12"/>
      <c r="SC200" s="12"/>
      <c r="SD200" s="12"/>
      <c r="SE200" s="12"/>
      <c r="SF200" s="12"/>
      <c r="SG200" s="12"/>
      <c r="SH200" s="11"/>
      <c r="SI200" s="11"/>
      <c r="SJ200" s="11"/>
      <c r="SK200" s="11"/>
      <c r="SL200" s="11"/>
      <c r="SM200" s="11"/>
      <c r="SN200" s="11"/>
      <c r="SO200" s="11"/>
      <c r="SP200" s="11"/>
      <c r="SQ200" s="11"/>
      <c r="SR200" s="11"/>
      <c r="SS200" s="11"/>
      <c r="ST200" s="11"/>
      <c r="SU200" s="11"/>
      <c r="SV200" s="11"/>
      <c r="SW200" s="11"/>
      <c r="SX200" s="11"/>
      <c r="SY200" s="11"/>
      <c r="SZ200" s="11"/>
      <c r="TA200" s="11"/>
      <c r="TB200" s="11"/>
      <c r="TC200" s="11"/>
      <c r="TD200" s="11"/>
      <c r="TE200" s="11"/>
      <c r="TF200" s="11"/>
      <c r="TG200" s="11"/>
      <c r="TH200" s="11"/>
      <c r="TI200" s="11"/>
      <c r="TJ200" s="11"/>
      <c r="TK200" s="11"/>
      <c r="TL200" s="11"/>
    </row>
    <row r="201" spans="1:532" x14ac:dyDescent="0.2">
      <c r="A201" s="10" t="s">
        <v>200</v>
      </c>
      <c r="B201" s="12">
        <v>15.8</v>
      </c>
      <c r="C201" s="11">
        <v>0.79198725466995556</v>
      </c>
      <c r="D201" s="11">
        <v>0</v>
      </c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  <c r="CO201" s="12"/>
      <c r="CP201" s="12"/>
      <c r="CQ201" s="12"/>
      <c r="CR201" s="12"/>
      <c r="CS201" s="12"/>
      <c r="CT201" s="12"/>
      <c r="CU201" s="12"/>
      <c r="CV201" s="12"/>
      <c r="CW201" s="12"/>
      <c r="CX201" s="12"/>
      <c r="CY201" s="12"/>
      <c r="CZ201" s="12"/>
      <c r="DA201" s="12"/>
      <c r="DB201" s="12"/>
      <c r="DC201" s="12"/>
      <c r="DD201" s="12"/>
      <c r="DE201" s="12"/>
      <c r="DF201" s="12"/>
      <c r="DG201" s="12"/>
      <c r="DH201" s="12"/>
      <c r="DI201" s="12"/>
      <c r="DJ201" s="12"/>
      <c r="DK201" s="12"/>
      <c r="DL201" s="12"/>
      <c r="DM201" s="12"/>
      <c r="DN201" s="12"/>
      <c r="DO201" s="12"/>
      <c r="DP201" s="12"/>
      <c r="DQ201" s="12"/>
      <c r="DR201" s="12"/>
      <c r="DS201" s="12"/>
      <c r="DT201" s="12"/>
      <c r="DU201" s="12"/>
      <c r="DV201" s="12"/>
      <c r="DW201" s="12"/>
      <c r="DX201" s="12"/>
      <c r="DY201" s="12"/>
      <c r="DZ201" s="12"/>
      <c r="EA201" s="12"/>
      <c r="EB201" s="12"/>
      <c r="EC201" s="12"/>
      <c r="ED201" s="12"/>
      <c r="EE201" s="12"/>
      <c r="EF201" s="12"/>
      <c r="EG201" s="12"/>
      <c r="EH201" s="12"/>
      <c r="EI201" s="12"/>
      <c r="EJ201" s="12"/>
      <c r="EK201" s="12"/>
      <c r="EL201" s="12"/>
      <c r="EM201" s="12"/>
      <c r="EN201" s="12"/>
      <c r="EO201" s="12"/>
      <c r="EP201" s="12"/>
      <c r="EQ201" s="12"/>
      <c r="ER201" s="12"/>
      <c r="ES201" s="12"/>
      <c r="ET201" s="12"/>
      <c r="EU201" s="12"/>
      <c r="EV201" s="12"/>
      <c r="EW201" s="12"/>
      <c r="EX201" s="12"/>
      <c r="EY201" s="12"/>
      <c r="EZ201" s="12"/>
      <c r="FA201" s="12"/>
      <c r="FB201" s="12"/>
      <c r="FC201" s="12"/>
      <c r="FD201" s="12"/>
      <c r="FE201" s="12"/>
      <c r="FF201" s="12"/>
      <c r="FG201" s="12"/>
      <c r="FH201" s="12"/>
      <c r="FI201" s="12"/>
      <c r="FJ201" s="12"/>
      <c r="FK201" s="12"/>
      <c r="FL201" s="12"/>
      <c r="FM201" s="12"/>
      <c r="FN201" s="12"/>
      <c r="FO201" s="12"/>
      <c r="FP201" s="12"/>
      <c r="FQ201" s="12"/>
      <c r="FR201" s="12"/>
      <c r="FS201" s="12"/>
      <c r="FT201" s="12"/>
      <c r="FU201" s="12"/>
      <c r="FV201" s="12"/>
      <c r="FW201" s="12"/>
      <c r="FX201" s="12"/>
      <c r="FY201" s="12"/>
      <c r="FZ201" s="12"/>
      <c r="GA201" s="12"/>
      <c r="GB201" s="12"/>
      <c r="GC201" s="12"/>
      <c r="GD201" s="12"/>
      <c r="GE201" s="12"/>
      <c r="GF201" s="12"/>
      <c r="GG201" s="12"/>
      <c r="GH201" s="12"/>
      <c r="GI201" s="12"/>
      <c r="GJ201" s="12"/>
      <c r="GK201" s="12"/>
      <c r="GL201" s="12"/>
      <c r="GM201" s="12"/>
      <c r="GN201" s="12"/>
      <c r="GO201" s="12"/>
      <c r="GP201" s="12"/>
      <c r="GQ201" s="12"/>
      <c r="GR201" s="12"/>
      <c r="GS201" s="12"/>
      <c r="GT201" s="12"/>
      <c r="GU201" s="12"/>
      <c r="GV201" s="12"/>
      <c r="GW201" s="12"/>
      <c r="GX201" s="12"/>
      <c r="GY201" s="12"/>
      <c r="GZ201" s="12"/>
      <c r="HA201" s="12"/>
      <c r="HB201" s="12"/>
      <c r="HC201" s="12"/>
      <c r="HD201" s="12"/>
      <c r="HE201" s="12"/>
      <c r="HF201" s="12"/>
      <c r="HG201" s="12"/>
      <c r="HH201" s="12"/>
      <c r="HI201" s="12"/>
      <c r="HJ201" s="12"/>
      <c r="HK201" s="12"/>
      <c r="HL201" s="12"/>
      <c r="HM201" s="12"/>
      <c r="HN201" s="12"/>
      <c r="HO201" s="12"/>
      <c r="HP201" s="12"/>
      <c r="HQ201" s="12"/>
      <c r="HR201" s="12"/>
      <c r="HS201" s="12"/>
      <c r="HT201" s="12"/>
      <c r="HU201" s="12"/>
      <c r="HV201" s="12"/>
      <c r="HW201" s="12"/>
      <c r="HX201" s="12"/>
      <c r="HY201" s="12"/>
      <c r="HZ201" s="12"/>
      <c r="IA201" s="12"/>
      <c r="IB201" s="12"/>
      <c r="IC201" s="12"/>
      <c r="ID201" s="12"/>
      <c r="IE201" s="12"/>
      <c r="IF201" s="12"/>
      <c r="IG201" s="12"/>
      <c r="IH201" s="12"/>
      <c r="II201" s="12"/>
      <c r="IJ201" s="12"/>
      <c r="IK201" s="12"/>
      <c r="IL201" s="12"/>
      <c r="IM201" s="12"/>
      <c r="IN201" s="12"/>
      <c r="IO201" s="12"/>
      <c r="IP201" s="12"/>
      <c r="IQ201" s="12"/>
      <c r="IR201" s="12"/>
      <c r="IS201" s="12"/>
      <c r="IT201" s="12"/>
      <c r="IU201" s="12"/>
      <c r="IV201" s="12"/>
      <c r="IW201" s="12"/>
      <c r="IX201" s="12"/>
      <c r="IY201" s="12"/>
      <c r="IZ201" s="12"/>
      <c r="JA201" s="12"/>
      <c r="JB201" s="12"/>
      <c r="JC201" s="12"/>
      <c r="JD201" s="12"/>
      <c r="JE201" s="12"/>
      <c r="JF201" s="12"/>
      <c r="JG201" s="12"/>
      <c r="JH201" s="12"/>
      <c r="JI201" s="12"/>
      <c r="JJ201" s="12"/>
      <c r="JK201" s="12"/>
      <c r="JL201" s="12"/>
      <c r="JM201" s="12"/>
      <c r="JN201" s="12"/>
      <c r="JO201" s="12"/>
      <c r="JP201" s="12"/>
      <c r="JQ201" s="12"/>
      <c r="JR201" s="12"/>
      <c r="JS201" s="12"/>
      <c r="JT201" s="12"/>
      <c r="JU201" s="12"/>
      <c r="JV201" s="12"/>
      <c r="JW201" s="12"/>
      <c r="JX201" s="12"/>
      <c r="JY201" s="12"/>
      <c r="JZ201" s="12"/>
      <c r="KA201" s="12"/>
      <c r="KB201" s="12"/>
      <c r="KC201" s="12"/>
      <c r="KD201" s="12"/>
      <c r="KE201" s="12"/>
      <c r="KF201" s="12"/>
      <c r="KG201" s="12"/>
      <c r="KH201" s="12"/>
      <c r="KI201" s="12"/>
      <c r="KJ201" s="12"/>
      <c r="KK201" s="12"/>
      <c r="KL201" s="12"/>
      <c r="KM201" s="12"/>
      <c r="KN201" s="12"/>
      <c r="KO201" s="12"/>
      <c r="KP201" s="12"/>
      <c r="KQ201" s="12"/>
      <c r="KR201" s="12"/>
      <c r="KS201" s="12"/>
      <c r="KT201" s="12"/>
      <c r="KU201" s="12"/>
      <c r="KV201" s="12"/>
      <c r="KW201" s="12"/>
      <c r="KX201" s="12"/>
      <c r="KY201" s="12"/>
      <c r="KZ201" s="12"/>
      <c r="LA201" s="12"/>
      <c r="LB201" s="12"/>
      <c r="LC201" s="12"/>
      <c r="LD201" s="12"/>
      <c r="LE201" s="12"/>
      <c r="LF201" s="12"/>
      <c r="LG201" s="12"/>
      <c r="LH201" s="12"/>
      <c r="LI201" s="12"/>
      <c r="LJ201" s="12"/>
      <c r="LK201" s="12"/>
      <c r="LL201" s="12"/>
      <c r="LM201" s="12"/>
      <c r="LN201" s="12"/>
      <c r="LO201" s="12"/>
      <c r="LP201" s="12"/>
      <c r="LQ201" s="12"/>
      <c r="LR201" s="12"/>
      <c r="LS201" s="12"/>
      <c r="LT201" s="12"/>
      <c r="LU201" s="12"/>
      <c r="LV201" s="12"/>
      <c r="LW201" s="12"/>
      <c r="LX201" s="12"/>
      <c r="LY201" s="12"/>
      <c r="LZ201" s="12"/>
      <c r="MA201" s="12"/>
      <c r="MB201" s="12"/>
      <c r="MC201" s="12"/>
      <c r="MD201" s="12"/>
      <c r="ME201" s="12"/>
      <c r="MF201" s="12"/>
      <c r="MG201" s="12"/>
      <c r="MH201" s="12"/>
      <c r="MI201" s="12"/>
      <c r="MJ201" s="12"/>
      <c r="MK201" s="12"/>
      <c r="ML201" s="12"/>
      <c r="MM201" s="12"/>
      <c r="MN201" s="12"/>
      <c r="MO201" s="12"/>
      <c r="MP201" s="12"/>
      <c r="MQ201" s="12"/>
      <c r="MR201" s="12"/>
      <c r="MS201" s="12"/>
      <c r="MT201" s="12"/>
      <c r="MU201" s="12"/>
      <c r="MV201" s="12"/>
      <c r="MW201" s="12"/>
      <c r="MX201" s="12"/>
      <c r="MY201" s="12"/>
      <c r="MZ201" s="12"/>
      <c r="NA201" s="12"/>
      <c r="NB201" s="12"/>
      <c r="NC201" s="12"/>
      <c r="ND201" s="12"/>
      <c r="NE201" s="12"/>
      <c r="NF201" s="12"/>
      <c r="NG201" s="12"/>
      <c r="NH201" s="12"/>
      <c r="NI201" s="12"/>
      <c r="NJ201" s="12"/>
      <c r="NK201" s="12"/>
      <c r="NL201" s="12"/>
      <c r="NM201" s="12"/>
      <c r="NN201" s="12"/>
      <c r="NO201" s="12"/>
      <c r="NP201" s="12"/>
      <c r="NQ201" s="12"/>
      <c r="NR201" s="12"/>
      <c r="NS201" s="12"/>
      <c r="NT201" s="12"/>
      <c r="NU201" s="12"/>
      <c r="NV201" s="12"/>
      <c r="NW201" s="12"/>
      <c r="NX201" s="12"/>
      <c r="NY201" s="12"/>
      <c r="NZ201" s="12"/>
      <c r="OA201" s="12"/>
      <c r="OB201" s="12"/>
      <c r="OC201" s="12"/>
      <c r="OD201" s="12"/>
      <c r="OE201" s="12"/>
      <c r="OF201" s="12"/>
      <c r="OG201" s="12"/>
      <c r="OH201" s="12"/>
      <c r="OI201" s="12"/>
      <c r="OJ201" s="12"/>
      <c r="OK201" s="12"/>
      <c r="OL201" s="12"/>
      <c r="OM201" s="12"/>
      <c r="ON201" s="12"/>
      <c r="OO201" s="12"/>
      <c r="OP201" s="12"/>
      <c r="OQ201" s="12"/>
      <c r="OR201" s="12"/>
      <c r="OS201" s="12"/>
      <c r="OT201" s="12"/>
      <c r="OU201" s="12"/>
      <c r="OV201" s="12"/>
      <c r="OW201" s="12"/>
      <c r="OX201" s="12"/>
      <c r="OY201" s="12"/>
      <c r="OZ201" s="12"/>
      <c r="PA201" s="12"/>
      <c r="PB201" s="12"/>
      <c r="PC201" s="12"/>
      <c r="PD201" s="12"/>
      <c r="PE201" s="12"/>
      <c r="PF201" s="12"/>
      <c r="PG201" s="12"/>
      <c r="PH201" s="12"/>
      <c r="PI201" s="12"/>
      <c r="PJ201" s="12"/>
      <c r="PK201" s="12"/>
      <c r="PL201" s="12"/>
      <c r="PM201" s="12"/>
      <c r="PN201" s="12"/>
      <c r="PO201" s="12"/>
      <c r="PP201" s="12"/>
      <c r="PQ201" s="12"/>
      <c r="PR201" s="12"/>
      <c r="PS201" s="12"/>
      <c r="PT201" s="12"/>
      <c r="PU201" s="12"/>
      <c r="PV201" s="12"/>
      <c r="PW201" s="12"/>
      <c r="PX201" s="12"/>
      <c r="PY201" s="12"/>
      <c r="PZ201" s="12"/>
      <c r="QA201" s="12"/>
      <c r="QB201" s="12"/>
      <c r="QC201" s="12"/>
      <c r="QD201" s="12"/>
      <c r="QE201" s="12"/>
      <c r="QF201" s="12"/>
      <c r="QG201" s="12"/>
      <c r="QH201" s="12"/>
      <c r="QI201" s="12"/>
      <c r="QJ201" s="12"/>
      <c r="QK201" s="12"/>
      <c r="QL201" s="12"/>
      <c r="QM201" s="12"/>
      <c r="QN201" s="12"/>
      <c r="QO201" s="12"/>
      <c r="QP201" s="12"/>
      <c r="QQ201" s="12"/>
      <c r="QR201" s="12"/>
      <c r="QS201" s="12"/>
      <c r="QT201" s="12"/>
      <c r="QU201" s="12"/>
      <c r="QV201" s="12"/>
      <c r="QW201" s="12"/>
      <c r="QX201" s="12"/>
      <c r="QY201" s="12"/>
      <c r="QZ201" s="12"/>
      <c r="RA201" s="12"/>
      <c r="RB201" s="12"/>
      <c r="RC201" s="12"/>
      <c r="RD201" s="12"/>
      <c r="RE201" s="12"/>
      <c r="RF201" s="12"/>
      <c r="RG201" s="12"/>
      <c r="RH201" s="12"/>
      <c r="RI201" s="12"/>
      <c r="RJ201" s="12"/>
      <c r="RK201" s="12"/>
      <c r="RL201" s="12"/>
      <c r="RM201" s="12"/>
      <c r="RN201" s="12"/>
      <c r="RO201" s="12"/>
      <c r="RP201" s="12"/>
      <c r="RQ201" s="12"/>
      <c r="RR201" s="12"/>
      <c r="RS201" s="12"/>
      <c r="RT201" s="12"/>
      <c r="RU201" s="12"/>
      <c r="RV201" s="12"/>
      <c r="RW201" s="12"/>
      <c r="RX201" s="12"/>
      <c r="RY201" s="12"/>
      <c r="RZ201" s="12"/>
      <c r="SA201" s="12"/>
      <c r="SB201" s="12"/>
      <c r="SC201" s="12"/>
      <c r="SD201" s="12"/>
      <c r="SE201" s="12"/>
      <c r="SF201" s="12"/>
      <c r="SG201" s="12"/>
      <c r="SH201" s="11"/>
      <c r="SI201" s="11"/>
      <c r="SJ201" s="11"/>
      <c r="SK201" s="11"/>
      <c r="SL201" s="11"/>
      <c r="SM201" s="11"/>
      <c r="SN201" s="11"/>
      <c r="SO201" s="11"/>
      <c r="SP201" s="11"/>
      <c r="SQ201" s="11"/>
      <c r="SR201" s="11"/>
      <c r="SS201" s="11"/>
      <c r="ST201" s="11"/>
      <c r="SU201" s="11"/>
      <c r="SV201" s="11"/>
      <c r="SW201" s="11"/>
      <c r="SX201" s="11"/>
      <c r="SY201" s="11"/>
      <c r="SZ201" s="11"/>
      <c r="TA201" s="11"/>
      <c r="TB201" s="11"/>
      <c r="TC201" s="11"/>
      <c r="TD201" s="11"/>
      <c r="TE201" s="11"/>
      <c r="TF201" s="11"/>
      <c r="TG201" s="11"/>
      <c r="TH201" s="11"/>
      <c r="TI201" s="11"/>
      <c r="TJ201" s="11"/>
      <c r="TK201" s="11"/>
      <c r="TL201" s="11"/>
    </row>
    <row r="202" spans="1:532" x14ac:dyDescent="0.2">
      <c r="A202" s="10" t="s">
        <v>201</v>
      </c>
      <c r="B202" s="12">
        <v>15.45</v>
      </c>
      <c r="C202" s="11">
        <v>0.44549283075184998</v>
      </c>
      <c r="D202" s="11">
        <v>0</v>
      </c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  <c r="CO202" s="12"/>
      <c r="CP202" s="12"/>
      <c r="CQ202" s="12"/>
      <c r="CR202" s="12"/>
      <c r="CS202" s="12"/>
      <c r="CT202" s="12"/>
      <c r="CU202" s="12"/>
      <c r="CV202" s="12"/>
      <c r="CW202" s="12"/>
      <c r="CX202" s="12"/>
      <c r="CY202" s="12"/>
      <c r="CZ202" s="12"/>
      <c r="DA202" s="12"/>
      <c r="DB202" s="12"/>
      <c r="DC202" s="12"/>
      <c r="DD202" s="12"/>
      <c r="DE202" s="12"/>
      <c r="DF202" s="12"/>
      <c r="DG202" s="12"/>
      <c r="DH202" s="12"/>
      <c r="DI202" s="12"/>
      <c r="DJ202" s="12"/>
      <c r="DK202" s="12"/>
      <c r="DL202" s="12"/>
      <c r="DM202" s="12"/>
      <c r="DN202" s="12"/>
      <c r="DO202" s="12"/>
      <c r="DP202" s="12"/>
      <c r="DQ202" s="12"/>
      <c r="DR202" s="12"/>
      <c r="DS202" s="12"/>
      <c r="DT202" s="12"/>
      <c r="DU202" s="12"/>
      <c r="DV202" s="12"/>
      <c r="DW202" s="12"/>
      <c r="DX202" s="12"/>
      <c r="DY202" s="12"/>
      <c r="DZ202" s="12"/>
      <c r="EA202" s="12"/>
      <c r="EB202" s="12"/>
      <c r="EC202" s="12"/>
      <c r="ED202" s="12"/>
      <c r="EE202" s="12"/>
      <c r="EF202" s="12"/>
      <c r="EG202" s="12"/>
      <c r="EH202" s="12"/>
      <c r="EI202" s="12"/>
      <c r="EJ202" s="12"/>
      <c r="EK202" s="12"/>
      <c r="EL202" s="12"/>
      <c r="EM202" s="12"/>
      <c r="EN202" s="12"/>
      <c r="EO202" s="12"/>
      <c r="EP202" s="12"/>
      <c r="EQ202" s="12"/>
      <c r="ER202" s="12"/>
      <c r="ES202" s="12"/>
      <c r="ET202" s="12"/>
      <c r="EU202" s="12"/>
      <c r="EV202" s="12"/>
      <c r="EW202" s="12"/>
      <c r="EX202" s="12"/>
      <c r="EY202" s="12"/>
      <c r="EZ202" s="12"/>
      <c r="FA202" s="12"/>
      <c r="FB202" s="12"/>
      <c r="FC202" s="12"/>
      <c r="FD202" s="12"/>
      <c r="FE202" s="12"/>
      <c r="FF202" s="12"/>
      <c r="FG202" s="12"/>
      <c r="FH202" s="12"/>
      <c r="FI202" s="12"/>
      <c r="FJ202" s="12"/>
      <c r="FK202" s="12"/>
      <c r="FL202" s="12"/>
      <c r="FM202" s="12"/>
      <c r="FN202" s="12"/>
      <c r="FO202" s="12"/>
      <c r="FP202" s="12"/>
      <c r="FQ202" s="12"/>
      <c r="FR202" s="12"/>
      <c r="FS202" s="12"/>
      <c r="FT202" s="12"/>
      <c r="FU202" s="12"/>
      <c r="FV202" s="12"/>
      <c r="FW202" s="12"/>
      <c r="FX202" s="12"/>
      <c r="FY202" s="12"/>
      <c r="FZ202" s="12"/>
      <c r="GA202" s="12"/>
      <c r="GB202" s="12"/>
      <c r="GC202" s="12"/>
      <c r="GD202" s="12"/>
      <c r="GE202" s="12"/>
      <c r="GF202" s="12"/>
      <c r="GG202" s="12"/>
      <c r="GH202" s="12"/>
      <c r="GI202" s="12"/>
      <c r="GJ202" s="12"/>
      <c r="GK202" s="12"/>
      <c r="GL202" s="12"/>
      <c r="GM202" s="12"/>
      <c r="GN202" s="12"/>
      <c r="GO202" s="12"/>
      <c r="GP202" s="12"/>
      <c r="GQ202" s="12"/>
      <c r="GR202" s="12"/>
      <c r="GS202" s="12"/>
      <c r="GT202" s="12"/>
      <c r="GU202" s="12"/>
      <c r="GV202" s="12"/>
      <c r="GW202" s="12"/>
      <c r="GX202" s="12"/>
      <c r="GY202" s="12"/>
      <c r="GZ202" s="12"/>
      <c r="HA202" s="12"/>
      <c r="HB202" s="12"/>
      <c r="HC202" s="12"/>
      <c r="HD202" s="12"/>
      <c r="HE202" s="12"/>
      <c r="HF202" s="12"/>
      <c r="HG202" s="12"/>
      <c r="HH202" s="12"/>
      <c r="HI202" s="12"/>
      <c r="HJ202" s="12"/>
      <c r="HK202" s="12"/>
      <c r="HL202" s="12"/>
      <c r="HM202" s="12"/>
      <c r="HN202" s="12"/>
      <c r="HO202" s="12"/>
      <c r="HP202" s="12"/>
      <c r="HQ202" s="12"/>
      <c r="HR202" s="12"/>
      <c r="HS202" s="12"/>
      <c r="HT202" s="12"/>
      <c r="HU202" s="12"/>
      <c r="HV202" s="12"/>
      <c r="HW202" s="12"/>
      <c r="HX202" s="12"/>
      <c r="HY202" s="12"/>
      <c r="HZ202" s="12"/>
      <c r="IA202" s="12"/>
      <c r="IB202" s="12"/>
      <c r="IC202" s="12"/>
      <c r="ID202" s="12"/>
      <c r="IE202" s="12"/>
      <c r="IF202" s="12"/>
      <c r="IG202" s="12"/>
      <c r="IH202" s="12"/>
      <c r="II202" s="12"/>
      <c r="IJ202" s="12"/>
      <c r="IK202" s="12"/>
      <c r="IL202" s="12"/>
      <c r="IM202" s="12"/>
      <c r="IN202" s="12"/>
      <c r="IO202" s="12"/>
      <c r="IP202" s="12"/>
      <c r="IQ202" s="12"/>
      <c r="IR202" s="12"/>
      <c r="IS202" s="12"/>
      <c r="IT202" s="12"/>
      <c r="IU202" s="12"/>
      <c r="IV202" s="12"/>
      <c r="IW202" s="12"/>
      <c r="IX202" s="12"/>
      <c r="IY202" s="12"/>
      <c r="IZ202" s="12"/>
      <c r="JA202" s="12"/>
      <c r="JB202" s="12"/>
      <c r="JC202" s="12"/>
      <c r="JD202" s="12"/>
      <c r="JE202" s="12"/>
      <c r="JF202" s="12"/>
      <c r="JG202" s="12"/>
      <c r="JH202" s="12"/>
      <c r="JI202" s="12"/>
      <c r="JJ202" s="12"/>
      <c r="JK202" s="12"/>
      <c r="JL202" s="12"/>
      <c r="JM202" s="12"/>
      <c r="JN202" s="12"/>
      <c r="JO202" s="12"/>
      <c r="JP202" s="12"/>
      <c r="JQ202" s="12"/>
      <c r="JR202" s="12"/>
      <c r="JS202" s="12"/>
      <c r="JT202" s="12"/>
      <c r="JU202" s="12"/>
      <c r="JV202" s="12"/>
      <c r="JW202" s="12"/>
      <c r="JX202" s="12"/>
      <c r="JY202" s="12"/>
      <c r="JZ202" s="12"/>
      <c r="KA202" s="12"/>
      <c r="KB202" s="12"/>
      <c r="KC202" s="12"/>
      <c r="KD202" s="12"/>
      <c r="KE202" s="12"/>
      <c r="KF202" s="12"/>
      <c r="KG202" s="12"/>
      <c r="KH202" s="12"/>
      <c r="KI202" s="12"/>
      <c r="KJ202" s="12"/>
      <c r="KK202" s="12"/>
      <c r="KL202" s="12"/>
      <c r="KM202" s="12"/>
      <c r="KN202" s="12"/>
      <c r="KO202" s="12"/>
      <c r="KP202" s="12"/>
      <c r="KQ202" s="12"/>
      <c r="KR202" s="12"/>
      <c r="KS202" s="12"/>
      <c r="KT202" s="12"/>
      <c r="KU202" s="12"/>
      <c r="KV202" s="12"/>
      <c r="KW202" s="12"/>
      <c r="KX202" s="12"/>
      <c r="KY202" s="12"/>
      <c r="KZ202" s="12"/>
      <c r="LA202" s="12"/>
      <c r="LB202" s="12"/>
      <c r="LC202" s="12"/>
      <c r="LD202" s="12"/>
      <c r="LE202" s="12"/>
      <c r="LF202" s="12"/>
      <c r="LG202" s="12"/>
      <c r="LH202" s="12"/>
      <c r="LI202" s="12"/>
      <c r="LJ202" s="12"/>
      <c r="LK202" s="12"/>
      <c r="LL202" s="12"/>
      <c r="LM202" s="12"/>
      <c r="LN202" s="12"/>
      <c r="LO202" s="12"/>
      <c r="LP202" s="12"/>
      <c r="LQ202" s="12"/>
      <c r="LR202" s="12"/>
      <c r="LS202" s="12"/>
      <c r="LT202" s="12"/>
      <c r="LU202" s="12"/>
      <c r="LV202" s="12"/>
      <c r="LW202" s="12"/>
      <c r="LX202" s="12"/>
      <c r="LY202" s="12"/>
      <c r="LZ202" s="12"/>
      <c r="MA202" s="12"/>
      <c r="MB202" s="12"/>
      <c r="MC202" s="12"/>
      <c r="MD202" s="12"/>
      <c r="ME202" s="12"/>
      <c r="MF202" s="12"/>
      <c r="MG202" s="12"/>
      <c r="MH202" s="12"/>
      <c r="MI202" s="12"/>
      <c r="MJ202" s="12"/>
      <c r="MK202" s="12"/>
      <c r="ML202" s="12"/>
      <c r="MM202" s="12"/>
      <c r="MN202" s="12"/>
      <c r="MO202" s="12"/>
      <c r="MP202" s="12"/>
      <c r="MQ202" s="12"/>
      <c r="MR202" s="12"/>
      <c r="MS202" s="12"/>
      <c r="MT202" s="12"/>
      <c r="MU202" s="12"/>
      <c r="MV202" s="12"/>
      <c r="MW202" s="12"/>
      <c r="MX202" s="12"/>
      <c r="MY202" s="12"/>
      <c r="MZ202" s="12"/>
      <c r="NA202" s="12"/>
      <c r="NB202" s="12"/>
      <c r="NC202" s="12"/>
      <c r="ND202" s="12"/>
      <c r="NE202" s="12"/>
      <c r="NF202" s="12"/>
      <c r="NG202" s="12"/>
      <c r="NH202" s="12"/>
      <c r="NI202" s="12"/>
      <c r="NJ202" s="12"/>
      <c r="NK202" s="12"/>
      <c r="NL202" s="12"/>
      <c r="NM202" s="12"/>
      <c r="NN202" s="12"/>
      <c r="NO202" s="12"/>
      <c r="NP202" s="12"/>
      <c r="NQ202" s="12"/>
      <c r="NR202" s="12"/>
      <c r="NS202" s="12"/>
      <c r="NT202" s="12"/>
      <c r="NU202" s="12"/>
      <c r="NV202" s="12"/>
      <c r="NW202" s="12"/>
      <c r="NX202" s="12"/>
      <c r="NY202" s="12"/>
      <c r="NZ202" s="12"/>
      <c r="OA202" s="12"/>
      <c r="OB202" s="12"/>
      <c r="OC202" s="12"/>
      <c r="OD202" s="12"/>
      <c r="OE202" s="12"/>
      <c r="OF202" s="12"/>
      <c r="OG202" s="12"/>
      <c r="OH202" s="12"/>
      <c r="OI202" s="12"/>
      <c r="OJ202" s="12"/>
      <c r="OK202" s="12"/>
      <c r="OL202" s="12"/>
      <c r="OM202" s="12"/>
      <c r="ON202" s="12"/>
      <c r="OO202" s="12"/>
      <c r="OP202" s="12"/>
      <c r="OQ202" s="12"/>
      <c r="OR202" s="12"/>
      <c r="OS202" s="12"/>
      <c r="OT202" s="12"/>
      <c r="OU202" s="12"/>
      <c r="OV202" s="12"/>
      <c r="OW202" s="12"/>
      <c r="OX202" s="12"/>
      <c r="OY202" s="12"/>
      <c r="OZ202" s="12"/>
      <c r="PA202" s="12"/>
      <c r="PB202" s="12"/>
      <c r="PC202" s="12"/>
      <c r="PD202" s="12"/>
      <c r="PE202" s="12"/>
      <c r="PF202" s="12"/>
      <c r="PG202" s="12"/>
      <c r="PH202" s="12"/>
      <c r="PI202" s="12"/>
      <c r="PJ202" s="12"/>
      <c r="PK202" s="12"/>
      <c r="PL202" s="12"/>
      <c r="PM202" s="12"/>
      <c r="PN202" s="12"/>
      <c r="PO202" s="12"/>
      <c r="PP202" s="12"/>
      <c r="PQ202" s="12"/>
      <c r="PR202" s="12"/>
      <c r="PS202" s="12"/>
      <c r="PT202" s="12"/>
      <c r="PU202" s="12"/>
      <c r="PV202" s="12"/>
      <c r="PW202" s="12"/>
      <c r="PX202" s="12"/>
      <c r="PY202" s="12"/>
      <c r="PZ202" s="12"/>
      <c r="QA202" s="12"/>
      <c r="QB202" s="12"/>
      <c r="QC202" s="12"/>
      <c r="QD202" s="12"/>
      <c r="QE202" s="12"/>
      <c r="QF202" s="12"/>
      <c r="QG202" s="12"/>
      <c r="QH202" s="12"/>
      <c r="QI202" s="12"/>
      <c r="QJ202" s="12"/>
      <c r="QK202" s="12"/>
      <c r="QL202" s="12"/>
      <c r="QM202" s="12"/>
      <c r="QN202" s="12"/>
      <c r="QO202" s="12"/>
      <c r="QP202" s="12"/>
      <c r="QQ202" s="12"/>
      <c r="QR202" s="12"/>
      <c r="QS202" s="12"/>
      <c r="QT202" s="12"/>
      <c r="QU202" s="12"/>
      <c r="QV202" s="12"/>
      <c r="QW202" s="12"/>
      <c r="QX202" s="12"/>
      <c r="QY202" s="12"/>
      <c r="QZ202" s="12"/>
      <c r="RA202" s="12"/>
      <c r="RB202" s="12"/>
      <c r="RC202" s="12"/>
      <c r="RD202" s="12"/>
      <c r="RE202" s="12"/>
      <c r="RF202" s="12"/>
      <c r="RG202" s="12"/>
      <c r="RH202" s="12"/>
      <c r="RI202" s="12"/>
      <c r="RJ202" s="12"/>
      <c r="RK202" s="12"/>
      <c r="RL202" s="12"/>
      <c r="RM202" s="12"/>
      <c r="RN202" s="12"/>
      <c r="RO202" s="12"/>
      <c r="RP202" s="12"/>
      <c r="RQ202" s="12"/>
      <c r="RR202" s="12"/>
      <c r="RS202" s="12"/>
      <c r="RT202" s="12"/>
      <c r="RU202" s="12"/>
      <c r="RV202" s="12"/>
      <c r="RW202" s="12"/>
      <c r="RX202" s="12"/>
      <c r="RY202" s="12"/>
      <c r="RZ202" s="12"/>
      <c r="SA202" s="12"/>
      <c r="SB202" s="12"/>
      <c r="SC202" s="12"/>
      <c r="SD202" s="12"/>
      <c r="SE202" s="12"/>
      <c r="SF202" s="12"/>
      <c r="SG202" s="12"/>
      <c r="SH202" s="11"/>
      <c r="SI202" s="11"/>
      <c r="SJ202" s="11"/>
      <c r="SK202" s="11"/>
      <c r="SL202" s="11"/>
      <c r="SM202" s="11"/>
      <c r="SN202" s="11"/>
      <c r="SO202" s="11"/>
      <c r="SP202" s="11"/>
      <c r="SQ202" s="11"/>
      <c r="SR202" s="11"/>
      <c r="SS202" s="11"/>
      <c r="ST202" s="11"/>
      <c r="SU202" s="11"/>
      <c r="SV202" s="11"/>
      <c r="SW202" s="11"/>
      <c r="SX202" s="11"/>
      <c r="SY202" s="11"/>
      <c r="SZ202" s="11"/>
      <c r="TA202" s="11"/>
      <c r="TB202" s="11"/>
      <c r="TC202" s="11"/>
      <c r="TD202" s="11"/>
      <c r="TE202" s="11"/>
      <c r="TF202" s="11"/>
      <c r="TG202" s="11"/>
      <c r="TH202" s="11"/>
      <c r="TI202" s="11"/>
      <c r="TJ202" s="11"/>
      <c r="TK202" s="11"/>
      <c r="TL202" s="11"/>
    </row>
    <row r="203" spans="1:532" x14ac:dyDescent="0.2">
      <c r="A203" s="10" t="s">
        <v>202</v>
      </c>
      <c r="B203" s="12">
        <v>13.68</v>
      </c>
      <c r="C203" s="11">
        <v>0</v>
      </c>
      <c r="D203" s="11">
        <v>1.3067789702054267</v>
      </c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  <c r="CO203" s="12"/>
      <c r="CP203" s="12"/>
      <c r="CQ203" s="12"/>
      <c r="CR203" s="12"/>
      <c r="CS203" s="12"/>
      <c r="CT203" s="12"/>
      <c r="CU203" s="12"/>
      <c r="CV203" s="12"/>
      <c r="CW203" s="12"/>
      <c r="CX203" s="12"/>
      <c r="CY203" s="12"/>
      <c r="CZ203" s="12"/>
      <c r="DA203" s="12"/>
      <c r="DB203" s="12"/>
      <c r="DC203" s="12"/>
      <c r="DD203" s="12"/>
      <c r="DE203" s="12"/>
      <c r="DF203" s="12"/>
      <c r="DG203" s="12"/>
      <c r="DH203" s="12"/>
      <c r="DI203" s="12"/>
      <c r="DJ203" s="12"/>
      <c r="DK203" s="12"/>
      <c r="DL203" s="12"/>
      <c r="DM203" s="12"/>
      <c r="DN203" s="12"/>
      <c r="DO203" s="12"/>
      <c r="DP203" s="12"/>
      <c r="DQ203" s="12"/>
      <c r="DR203" s="12"/>
      <c r="DS203" s="12"/>
      <c r="DT203" s="12"/>
      <c r="DU203" s="12"/>
      <c r="DV203" s="12"/>
      <c r="DW203" s="12"/>
      <c r="DX203" s="12"/>
      <c r="DY203" s="12"/>
      <c r="DZ203" s="12"/>
      <c r="EA203" s="12"/>
      <c r="EB203" s="12"/>
      <c r="EC203" s="12"/>
      <c r="ED203" s="12"/>
      <c r="EE203" s="12"/>
      <c r="EF203" s="12"/>
      <c r="EG203" s="12"/>
      <c r="EH203" s="12"/>
      <c r="EI203" s="12"/>
      <c r="EJ203" s="12"/>
      <c r="EK203" s="12"/>
      <c r="EL203" s="12"/>
      <c r="EM203" s="12"/>
      <c r="EN203" s="12"/>
      <c r="EO203" s="12"/>
      <c r="EP203" s="12"/>
      <c r="EQ203" s="12"/>
      <c r="ER203" s="12"/>
      <c r="ES203" s="12"/>
      <c r="ET203" s="12"/>
      <c r="EU203" s="12"/>
      <c r="EV203" s="12"/>
      <c r="EW203" s="12"/>
      <c r="EX203" s="12"/>
      <c r="EY203" s="12"/>
      <c r="EZ203" s="12"/>
      <c r="FA203" s="12"/>
      <c r="FB203" s="12"/>
      <c r="FC203" s="12"/>
      <c r="FD203" s="12"/>
      <c r="FE203" s="12"/>
      <c r="FF203" s="12"/>
      <c r="FG203" s="12"/>
      <c r="FH203" s="12"/>
      <c r="FI203" s="12"/>
      <c r="FJ203" s="12"/>
      <c r="FK203" s="12"/>
      <c r="FL203" s="12"/>
      <c r="FM203" s="12"/>
      <c r="FN203" s="12"/>
      <c r="FO203" s="12"/>
      <c r="FP203" s="12"/>
      <c r="FQ203" s="12"/>
      <c r="FR203" s="12"/>
      <c r="FS203" s="12"/>
      <c r="FT203" s="12"/>
      <c r="FU203" s="12"/>
      <c r="FV203" s="12"/>
      <c r="FW203" s="12"/>
      <c r="FX203" s="12"/>
      <c r="FY203" s="12"/>
      <c r="FZ203" s="12"/>
      <c r="GA203" s="12"/>
      <c r="GB203" s="12"/>
      <c r="GC203" s="12"/>
      <c r="GD203" s="12"/>
      <c r="GE203" s="12"/>
      <c r="GF203" s="12"/>
      <c r="GG203" s="12"/>
      <c r="GH203" s="12"/>
      <c r="GI203" s="12"/>
      <c r="GJ203" s="12"/>
      <c r="GK203" s="12"/>
      <c r="GL203" s="12"/>
      <c r="GM203" s="12"/>
      <c r="GN203" s="12"/>
      <c r="GO203" s="12"/>
      <c r="GP203" s="12"/>
      <c r="GQ203" s="12"/>
      <c r="GR203" s="12"/>
      <c r="GS203" s="12"/>
      <c r="GT203" s="12"/>
      <c r="GU203" s="12"/>
      <c r="GV203" s="12"/>
      <c r="GW203" s="12"/>
      <c r="GX203" s="12"/>
      <c r="GY203" s="12"/>
      <c r="GZ203" s="12"/>
      <c r="HA203" s="12"/>
      <c r="HB203" s="12"/>
      <c r="HC203" s="12"/>
      <c r="HD203" s="12"/>
      <c r="HE203" s="12"/>
      <c r="HF203" s="12"/>
      <c r="HG203" s="12"/>
      <c r="HH203" s="12"/>
      <c r="HI203" s="12"/>
      <c r="HJ203" s="12"/>
      <c r="HK203" s="12"/>
      <c r="HL203" s="12"/>
      <c r="HM203" s="12"/>
      <c r="HN203" s="12"/>
      <c r="HO203" s="12"/>
      <c r="HP203" s="12"/>
      <c r="HQ203" s="12"/>
      <c r="HR203" s="12"/>
      <c r="HS203" s="12"/>
      <c r="HT203" s="12"/>
      <c r="HU203" s="12"/>
      <c r="HV203" s="12"/>
      <c r="HW203" s="12"/>
      <c r="HX203" s="12"/>
      <c r="HY203" s="12"/>
      <c r="HZ203" s="12"/>
      <c r="IA203" s="12"/>
      <c r="IB203" s="12"/>
      <c r="IC203" s="12"/>
      <c r="ID203" s="12"/>
      <c r="IE203" s="12"/>
      <c r="IF203" s="12"/>
      <c r="IG203" s="12"/>
      <c r="IH203" s="12"/>
      <c r="II203" s="12"/>
      <c r="IJ203" s="12"/>
      <c r="IK203" s="12"/>
      <c r="IL203" s="12"/>
      <c r="IM203" s="12"/>
      <c r="IN203" s="12"/>
      <c r="IO203" s="12"/>
      <c r="IP203" s="12"/>
      <c r="IQ203" s="12"/>
      <c r="IR203" s="12"/>
      <c r="IS203" s="12"/>
      <c r="IT203" s="12"/>
      <c r="IU203" s="12"/>
      <c r="IV203" s="12"/>
      <c r="IW203" s="12"/>
      <c r="IX203" s="12"/>
      <c r="IY203" s="12"/>
      <c r="IZ203" s="12"/>
      <c r="JA203" s="12"/>
      <c r="JB203" s="12"/>
      <c r="JC203" s="12"/>
      <c r="JD203" s="12"/>
      <c r="JE203" s="12"/>
      <c r="JF203" s="12"/>
      <c r="JG203" s="12"/>
      <c r="JH203" s="12"/>
      <c r="JI203" s="12"/>
      <c r="JJ203" s="12"/>
      <c r="JK203" s="12"/>
      <c r="JL203" s="12"/>
      <c r="JM203" s="12"/>
      <c r="JN203" s="12"/>
      <c r="JO203" s="12"/>
      <c r="JP203" s="12"/>
      <c r="JQ203" s="12"/>
      <c r="JR203" s="12"/>
      <c r="JS203" s="12"/>
      <c r="JT203" s="12"/>
      <c r="JU203" s="12"/>
      <c r="JV203" s="12"/>
      <c r="JW203" s="12"/>
      <c r="JX203" s="12"/>
      <c r="JY203" s="12"/>
      <c r="JZ203" s="12"/>
      <c r="KA203" s="12"/>
      <c r="KB203" s="12"/>
      <c r="KC203" s="12"/>
      <c r="KD203" s="12"/>
      <c r="KE203" s="12"/>
      <c r="KF203" s="12"/>
      <c r="KG203" s="12"/>
      <c r="KH203" s="12"/>
      <c r="KI203" s="12"/>
      <c r="KJ203" s="12"/>
      <c r="KK203" s="12"/>
      <c r="KL203" s="12"/>
      <c r="KM203" s="12"/>
      <c r="KN203" s="12"/>
      <c r="KO203" s="12"/>
      <c r="KP203" s="12"/>
      <c r="KQ203" s="12"/>
      <c r="KR203" s="12"/>
      <c r="KS203" s="12"/>
      <c r="KT203" s="12"/>
      <c r="KU203" s="12"/>
      <c r="KV203" s="12"/>
      <c r="KW203" s="12"/>
      <c r="KX203" s="12"/>
      <c r="KY203" s="12"/>
      <c r="KZ203" s="12"/>
      <c r="LA203" s="12"/>
      <c r="LB203" s="12"/>
      <c r="LC203" s="12"/>
      <c r="LD203" s="12"/>
      <c r="LE203" s="12"/>
      <c r="LF203" s="12"/>
      <c r="LG203" s="12"/>
      <c r="LH203" s="12"/>
      <c r="LI203" s="12"/>
      <c r="LJ203" s="12"/>
      <c r="LK203" s="12"/>
      <c r="LL203" s="12"/>
      <c r="LM203" s="12"/>
      <c r="LN203" s="12"/>
      <c r="LO203" s="12"/>
      <c r="LP203" s="12"/>
      <c r="LQ203" s="12"/>
      <c r="LR203" s="12"/>
      <c r="LS203" s="12"/>
      <c r="LT203" s="12"/>
      <c r="LU203" s="12"/>
      <c r="LV203" s="12"/>
      <c r="LW203" s="12"/>
      <c r="LX203" s="12"/>
      <c r="LY203" s="12"/>
      <c r="LZ203" s="12"/>
      <c r="MA203" s="12"/>
      <c r="MB203" s="12"/>
      <c r="MC203" s="12"/>
      <c r="MD203" s="12"/>
      <c r="ME203" s="12"/>
      <c r="MF203" s="12"/>
      <c r="MG203" s="12"/>
      <c r="MH203" s="12"/>
      <c r="MI203" s="12"/>
      <c r="MJ203" s="12"/>
      <c r="MK203" s="12"/>
      <c r="ML203" s="12"/>
      <c r="MM203" s="12"/>
      <c r="MN203" s="12"/>
      <c r="MO203" s="12"/>
      <c r="MP203" s="12"/>
      <c r="MQ203" s="12"/>
      <c r="MR203" s="12"/>
      <c r="MS203" s="12"/>
      <c r="MT203" s="12"/>
      <c r="MU203" s="12"/>
      <c r="MV203" s="12"/>
      <c r="MW203" s="12"/>
      <c r="MX203" s="12"/>
      <c r="MY203" s="12"/>
      <c r="MZ203" s="12"/>
      <c r="NA203" s="12"/>
      <c r="NB203" s="12"/>
      <c r="NC203" s="12"/>
      <c r="ND203" s="12"/>
      <c r="NE203" s="12"/>
      <c r="NF203" s="12"/>
      <c r="NG203" s="12"/>
      <c r="NH203" s="12"/>
      <c r="NI203" s="12"/>
      <c r="NJ203" s="12"/>
      <c r="NK203" s="12"/>
      <c r="NL203" s="12"/>
      <c r="NM203" s="12"/>
      <c r="NN203" s="12"/>
      <c r="NO203" s="12"/>
      <c r="NP203" s="12"/>
      <c r="NQ203" s="12"/>
      <c r="NR203" s="12"/>
      <c r="NS203" s="12"/>
      <c r="NT203" s="12"/>
      <c r="NU203" s="12"/>
      <c r="NV203" s="12"/>
      <c r="NW203" s="12"/>
      <c r="NX203" s="12"/>
      <c r="NY203" s="12"/>
      <c r="NZ203" s="12"/>
      <c r="OA203" s="12"/>
      <c r="OB203" s="12"/>
      <c r="OC203" s="12"/>
      <c r="OD203" s="12"/>
      <c r="OE203" s="12"/>
      <c r="OF203" s="12"/>
      <c r="OG203" s="12"/>
      <c r="OH203" s="12"/>
      <c r="OI203" s="12"/>
      <c r="OJ203" s="12"/>
      <c r="OK203" s="12"/>
      <c r="OL203" s="12"/>
      <c r="OM203" s="12"/>
      <c r="ON203" s="12"/>
      <c r="OO203" s="12"/>
      <c r="OP203" s="12"/>
      <c r="OQ203" s="12"/>
      <c r="OR203" s="12"/>
      <c r="OS203" s="12"/>
      <c r="OT203" s="12"/>
      <c r="OU203" s="12"/>
      <c r="OV203" s="12"/>
      <c r="OW203" s="12"/>
      <c r="OX203" s="12"/>
      <c r="OY203" s="12"/>
      <c r="OZ203" s="12"/>
      <c r="PA203" s="12"/>
      <c r="PB203" s="12"/>
      <c r="PC203" s="12"/>
      <c r="PD203" s="12"/>
      <c r="PE203" s="12"/>
      <c r="PF203" s="12"/>
      <c r="PG203" s="12"/>
      <c r="PH203" s="12"/>
      <c r="PI203" s="12"/>
      <c r="PJ203" s="12"/>
      <c r="PK203" s="12"/>
      <c r="PL203" s="12"/>
      <c r="PM203" s="12"/>
      <c r="PN203" s="12"/>
      <c r="PO203" s="12"/>
      <c r="PP203" s="12"/>
      <c r="PQ203" s="12"/>
      <c r="PR203" s="12"/>
      <c r="PS203" s="12"/>
      <c r="PT203" s="12"/>
      <c r="PU203" s="12"/>
      <c r="PV203" s="12"/>
      <c r="PW203" s="12"/>
      <c r="PX203" s="12"/>
      <c r="PY203" s="12"/>
      <c r="PZ203" s="12"/>
      <c r="QA203" s="12"/>
      <c r="QB203" s="12"/>
      <c r="QC203" s="12"/>
      <c r="QD203" s="12"/>
      <c r="QE203" s="12"/>
      <c r="QF203" s="12"/>
      <c r="QG203" s="12"/>
      <c r="QH203" s="12"/>
      <c r="QI203" s="12"/>
      <c r="QJ203" s="12"/>
      <c r="QK203" s="12"/>
      <c r="QL203" s="12"/>
      <c r="QM203" s="12"/>
      <c r="QN203" s="12"/>
      <c r="QO203" s="12"/>
      <c r="QP203" s="12"/>
      <c r="QQ203" s="12"/>
      <c r="QR203" s="12"/>
      <c r="QS203" s="12"/>
      <c r="QT203" s="12"/>
      <c r="QU203" s="12"/>
      <c r="QV203" s="12"/>
      <c r="QW203" s="12"/>
      <c r="QX203" s="12"/>
      <c r="QY203" s="12"/>
      <c r="QZ203" s="12"/>
      <c r="RA203" s="12"/>
      <c r="RB203" s="12"/>
      <c r="RC203" s="12"/>
      <c r="RD203" s="12"/>
      <c r="RE203" s="12"/>
      <c r="RF203" s="12"/>
      <c r="RG203" s="12"/>
      <c r="RH203" s="12"/>
      <c r="RI203" s="12"/>
      <c r="RJ203" s="12"/>
      <c r="RK203" s="12"/>
      <c r="RL203" s="12"/>
      <c r="RM203" s="12"/>
      <c r="RN203" s="12"/>
      <c r="RO203" s="12"/>
      <c r="RP203" s="12"/>
      <c r="RQ203" s="12"/>
      <c r="RR203" s="12"/>
      <c r="RS203" s="12"/>
      <c r="RT203" s="12"/>
      <c r="RU203" s="12"/>
      <c r="RV203" s="12"/>
      <c r="RW203" s="12"/>
      <c r="RX203" s="12"/>
      <c r="RY203" s="12"/>
      <c r="RZ203" s="12"/>
      <c r="SA203" s="12"/>
      <c r="SB203" s="12"/>
      <c r="SC203" s="12"/>
      <c r="SD203" s="12"/>
      <c r="SE203" s="12"/>
      <c r="SF203" s="12"/>
      <c r="SG203" s="12"/>
      <c r="SH203" s="11"/>
      <c r="SI203" s="11"/>
      <c r="SJ203" s="11"/>
      <c r="SK203" s="11"/>
      <c r="SL203" s="11"/>
      <c r="SM203" s="11"/>
      <c r="SN203" s="11"/>
      <c r="SO203" s="11"/>
      <c r="SP203" s="11"/>
      <c r="SQ203" s="11"/>
      <c r="SR203" s="11"/>
      <c r="SS203" s="11"/>
      <c r="ST203" s="11"/>
      <c r="SU203" s="11"/>
      <c r="SV203" s="11"/>
      <c r="SW203" s="11"/>
      <c r="SX203" s="11"/>
      <c r="SY203" s="11"/>
      <c r="SZ203" s="11"/>
      <c r="TA203" s="11"/>
      <c r="TB203" s="11"/>
      <c r="TC203" s="11"/>
      <c r="TD203" s="11"/>
      <c r="TE203" s="11"/>
      <c r="TF203" s="11"/>
      <c r="TG203" s="11"/>
      <c r="TH203" s="11"/>
      <c r="TI203" s="11"/>
      <c r="TJ203" s="11"/>
      <c r="TK203" s="11"/>
      <c r="TL203" s="11"/>
    </row>
    <row r="204" spans="1:532" x14ac:dyDescent="0.2">
      <c r="A204" s="10" t="s">
        <v>203</v>
      </c>
      <c r="B204" s="12">
        <v>14.21</v>
      </c>
      <c r="C204" s="11">
        <v>0</v>
      </c>
      <c r="D204" s="11">
        <v>0.7820874139865811</v>
      </c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  <c r="CO204" s="12"/>
      <c r="CP204" s="12"/>
      <c r="CQ204" s="12"/>
      <c r="CR204" s="12"/>
      <c r="CS204" s="12"/>
      <c r="CT204" s="12"/>
      <c r="CU204" s="12"/>
      <c r="CV204" s="12"/>
      <c r="CW204" s="12"/>
      <c r="CX204" s="12"/>
      <c r="CY204" s="12"/>
      <c r="CZ204" s="12"/>
      <c r="DA204" s="12"/>
      <c r="DB204" s="12"/>
      <c r="DC204" s="12"/>
      <c r="DD204" s="12"/>
      <c r="DE204" s="12"/>
      <c r="DF204" s="12"/>
      <c r="DG204" s="12"/>
      <c r="DH204" s="12"/>
      <c r="DI204" s="12"/>
      <c r="DJ204" s="12"/>
      <c r="DK204" s="12"/>
      <c r="DL204" s="12"/>
      <c r="DM204" s="12"/>
      <c r="DN204" s="12"/>
      <c r="DO204" s="12"/>
      <c r="DP204" s="12"/>
      <c r="DQ204" s="12"/>
      <c r="DR204" s="12"/>
      <c r="DS204" s="12"/>
      <c r="DT204" s="12"/>
      <c r="DU204" s="12"/>
      <c r="DV204" s="12"/>
      <c r="DW204" s="12"/>
      <c r="DX204" s="12"/>
      <c r="DY204" s="12"/>
      <c r="DZ204" s="12"/>
      <c r="EA204" s="12"/>
      <c r="EB204" s="12"/>
      <c r="EC204" s="12"/>
      <c r="ED204" s="12"/>
      <c r="EE204" s="12"/>
      <c r="EF204" s="12"/>
      <c r="EG204" s="12"/>
      <c r="EH204" s="12"/>
      <c r="EI204" s="12"/>
      <c r="EJ204" s="12"/>
      <c r="EK204" s="12"/>
      <c r="EL204" s="12"/>
      <c r="EM204" s="12"/>
      <c r="EN204" s="12"/>
      <c r="EO204" s="12"/>
      <c r="EP204" s="12"/>
      <c r="EQ204" s="12"/>
      <c r="ER204" s="12"/>
      <c r="ES204" s="12"/>
      <c r="ET204" s="12"/>
      <c r="EU204" s="12"/>
      <c r="EV204" s="12"/>
      <c r="EW204" s="12"/>
      <c r="EX204" s="12"/>
      <c r="EY204" s="12"/>
      <c r="EZ204" s="12"/>
      <c r="FA204" s="12"/>
      <c r="FB204" s="12"/>
      <c r="FC204" s="12"/>
      <c r="FD204" s="12"/>
      <c r="FE204" s="12"/>
      <c r="FF204" s="12"/>
      <c r="FG204" s="12"/>
      <c r="FH204" s="12"/>
      <c r="FI204" s="12"/>
      <c r="FJ204" s="12"/>
      <c r="FK204" s="12"/>
      <c r="FL204" s="12"/>
      <c r="FM204" s="12"/>
      <c r="FN204" s="12"/>
      <c r="FO204" s="12"/>
      <c r="FP204" s="12"/>
      <c r="FQ204" s="12"/>
      <c r="FR204" s="12"/>
      <c r="FS204" s="12"/>
      <c r="FT204" s="12"/>
      <c r="FU204" s="12"/>
      <c r="FV204" s="12"/>
      <c r="FW204" s="12"/>
      <c r="FX204" s="12"/>
      <c r="FY204" s="12"/>
      <c r="FZ204" s="12"/>
      <c r="GA204" s="12"/>
      <c r="GB204" s="12"/>
      <c r="GC204" s="12"/>
      <c r="GD204" s="12"/>
      <c r="GE204" s="12"/>
      <c r="GF204" s="12"/>
      <c r="GG204" s="12"/>
      <c r="GH204" s="12"/>
      <c r="GI204" s="12"/>
      <c r="GJ204" s="12"/>
      <c r="GK204" s="12"/>
      <c r="GL204" s="12"/>
      <c r="GM204" s="12"/>
      <c r="GN204" s="12"/>
      <c r="GO204" s="12"/>
      <c r="GP204" s="12"/>
      <c r="GQ204" s="12"/>
      <c r="GR204" s="12"/>
      <c r="GS204" s="12"/>
      <c r="GT204" s="12"/>
      <c r="GU204" s="12"/>
      <c r="GV204" s="12"/>
      <c r="GW204" s="12"/>
      <c r="GX204" s="12"/>
      <c r="GY204" s="12"/>
      <c r="GZ204" s="12"/>
      <c r="HA204" s="12"/>
      <c r="HB204" s="12"/>
      <c r="HC204" s="12"/>
      <c r="HD204" s="12"/>
      <c r="HE204" s="12"/>
      <c r="HF204" s="12"/>
      <c r="HG204" s="12"/>
      <c r="HH204" s="12"/>
      <c r="HI204" s="12"/>
      <c r="HJ204" s="12"/>
      <c r="HK204" s="12"/>
      <c r="HL204" s="12"/>
      <c r="HM204" s="12"/>
      <c r="HN204" s="12"/>
      <c r="HO204" s="12"/>
      <c r="HP204" s="12"/>
      <c r="HQ204" s="12"/>
      <c r="HR204" s="12"/>
      <c r="HS204" s="12"/>
      <c r="HT204" s="12"/>
      <c r="HU204" s="12"/>
      <c r="HV204" s="12"/>
      <c r="HW204" s="12"/>
      <c r="HX204" s="12"/>
      <c r="HY204" s="12"/>
      <c r="HZ204" s="12"/>
      <c r="IA204" s="12"/>
      <c r="IB204" s="12"/>
      <c r="IC204" s="12"/>
      <c r="ID204" s="12"/>
      <c r="IE204" s="12"/>
      <c r="IF204" s="12"/>
      <c r="IG204" s="12"/>
      <c r="IH204" s="12"/>
      <c r="II204" s="12"/>
      <c r="IJ204" s="12"/>
      <c r="IK204" s="12"/>
      <c r="IL204" s="12"/>
      <c r="IM204" s="12"/>
      <c r="IN204" s="12"/>
      <c r="IO204" s="12"/>
      <c r="IP204" s="12"/>
      <c r="IQ204" s="12"/>
      <c r="IR204" s="12"/>
      <c r="IS204" s="12"/>
      <c r="IT204" s="12"/>
      <c r="IU204" s="12"/>
      <c r="IV204" s="12"/>
      <c r="IW204" s="12"/>
      <c r="IX204" s="12"/>
      <c r="IY204" s="12"/>
      <c r="IZ204" s="12"/>
      <c r="JA204" s="12"/>
      <c r="JB204" s="12"/>
      <c r="JC204" s="12"/>
      <c r="JD204" s="12"/>
      <c r="JE204" s="12"/>
      <c r="JF204" s="12"/>
      <c r="JG204" s="12"/>
      <c r="JH204" s="12"/>
      <c r="JI204" s="12"/>
      <c r="JJ204" s="12"/>
      <c r="JK204" s="12"/>
      <c r="JL204" s="12"/>
      <c r="JM204" s="12"/>
      <c r="JN204" s="12"/>
      <c r="JO204" s="12"/>
      <c r="JP204" s="12"/>
      <c r="JQ204" s="12"/>
      <c r="JR204" s="12"/>
      <c r="JS204" s="12"/>
      <c r="JT204" s="12"/>
      <c r="JU204" s="12"/>
      <c r="JV204" s="12"/>
      <c r="JW204" s="12"/>
      <c r="JX204" s="12"/>
      <c r="JY204" s="12"/>
      <c r="JZ204" s="12"/>
      <c r="KA204" s="12"/>
      <c r="KB204" s="12"/>
      <c r="KC204" s="12"/>
      <c r="KD204" s="12"/>
      <c r="KE204" s="12"/>
      <c r="KF204" s="12"/>
      <c r="KG204" s="12"/>
      <c r="KH204" s="12"/>
      <c r="KI204" s="12"/>
      <c r="KJ204" s="12"/>
      <c r="KK204" s="12"/>
      <c r="KL204" s="12"/>
      <c r="KM204" s="12"/>
      <c r="KN204" s="12"/>
      <c r="KO204" s="12"/>
      <c r="KP204" s="12"/>
      <c r="KQ204" s="12"/>
      <c r="KR204" s="12"/>
      <c r="KS204" s="12"/>
      <c r="KT204" s="12"/>
      <c r="KU204" s="12"/>
      <c r="KV204" s="12"/>
      <c r="KW204" s="12"/>
      <c r="KX204" s="12"/>
      <c r="KY204" s="12"/>
      <c r="KZ204" s="12"/>
      <c r="LA204" s="12"/>
      <c r="LB204" s="12"/>
      <c r="LC204" s="12"/>
      <c r="LD204" s="12"/>
      <c r="LE204" s="12"/>
      <c r="LF204" s="12"/>
      <c r="LG204" s="12"/>
      <c r="LH204" s="12"/>
      <c r="LI204" s="12"/>
      <c r="LJ204" s="12"/>
      <c r="LK204" s="12"/>
      <c r="LL204" s="12"/>
      <c r="LM204" s="12"/>
      <c r="LN204" s="12"/>
      <c r="LO204" s="12"/>
      <c r="LP204" s="12"/>
      <c r="LQ204" s="12"/>
      <c r="LR204" s="12"/>
      <c r="LS204" s="12"/>
      <c r="LT204" s="12"/>
      <c r="LU204" s="12"/>
      <c r="LV204" s="12"/>
      <c r="LW204" s="12"/>
      <c r="LX204" s="12"/>
      <c r="LY204" s="12"/>
      <c r="LZ204" s="12"/>
      <c r="MA204" s="12"/>
      <c r="MB204" s="12"/>
      <c r="MC204" s="12"/>
      <c r="MD204" s="12"/>
      <c r="ME204" s="12"/>
      <c r="MF204" s="12"/>
      <c r="MG204" s="12"/>
      <c r="MH204" s="12"/>
      <c r="MI204" s="12"/>
      <c r="MJ204" s="12"/>
      <c r="MK204" s="12"/>
      <c r="ML204" s="12"/>
      <c r="MM204" s="12"/>
      <c r="MN204" s="12"/>
      <c r="MO204" s="12"/>
      <c r="MP204" s="12"/>
      <c r="MQ204" s="12"/>
      <c r="MR204" s="12"/>
      <c r="MS204" s="12"/>
      <c r="MT204" s="12"/>
      <c r="MU204" s="12"/>
      <c r="MV204" s="12"/>
      <c r="MW204" s="12"/>
      <c r="MX204" s="12"/>
      <c r="MY204" s="12"/>
      <c r="MZ204" s="12"/>
      <c r="NA204" s="12"/>
      <c r="NB204" s="12"/>
      <c r="NC204" s="12"/>
      <c r="ND204" s="12"/>
      <c r="NE204" s="12"/>
      <c r="NF204" s="12"/>
      <c r="NG204" s="12"/>
      <c r="NH204" s="12"/>
      <c r="NI204" s="12"/>
      <c r="NJ204" s="12"/>
      <c r="NK204" s="12"/>
      <c r="NL204" s="12"/>
      <c r="NM204" s="12"/>
      <c r="NN204" s="12"/>
      <c r="NO204" s="12"/>
      <c r="NP204" s="12"/>
      <c r="NQ204" s="12"/>
      <c r="NR204" s="12"/>
      <c r="NS204" s="12"/>
      <c r="NT204" s="12"/>
      <c r="NU204" s="12"/>
      <c r="NV204" s="12"/>
      <c r="NW204" s="12"/>
      <c r="NX204" s="12"/>
      <c r="NY204" s="12"/>
      <c r="NZ204" s="12"/>
      <c r="OA204" s="12"/>
      <c r="OB204" s="12"/>
      <c r="OC204" s="12"/>
      <c r="OD204" s="12"/>
      <c r="OE204" s="12"/>
      <c r="OF204" s="12"/>
      <c r="OG204" s="12"/>
      <c r="OH204" s="12"/>
      <c r="OI204" s="12"/>
      <c r="OJ204" s="12"/>
      <c r="OK204" s="12"/>
      <c r="OL204" s="12"/>
      <c r="OM204" s="12"/>
      <c r="ON204" s="12"/>
      <c r="OO204" s="12"/>
      <c r="OP204" s="12"/>
      <c r="OQ204" s="12"/>
      <c r="OR204" s="12"/>
      <c r="OS204" s="12"/>
      <c r="OT204" s="12"/>
      <c r="OU204" s="12"/>
      <c r="OV204" s="12"/>
      <c r="OW204" s="12"/>
      <c r="OX204" s="12"/>
      <c r="OY204" s="12"/>
      <c r="OZ204" s="12"/>
      <c r="PA204" s="12"/>
      <c r="PB204" s="12"/>
      <c r="PC204" s="12"/>
      <c r="PD204" s="12"/>
      <c r="PE204" s="12"/>
      <c r="PF204" s="12"/>
      <c r="PG204" s="12"/>
      <c r="PH204" s="12"/>
      <c r="PI204" s="12"/>
      <c r="PJ204" s="12"/>
      <c r="PK204" s="12"/>
      <c r="PL204" s="12"/>
      <c r="PM204" s="12"/>
      <c r="PN204" s="12"/>
      <c r="PO204" s="12"/>
      <c r="PP204" s="12"/>
      <c r="PQ204" s="12"/>
      <c r="PR204" s="12"/>
      <c r="PS204" s="12"/>
      <c r="PT204" s="12"/>
      <c r="PU204" s="12"/>
      <c r="PV204" s="12"/>
      <c r="PW204" s="12"/>
      <c r="PX204" s="12"/>
      <c r="PY204" s="12"/>
      <c r="PZ204" s="12"/>
      <c r="QA204" s="12"/>
      <c r="QB204" s="12"/>
      <c r="QC204" s="12"/>
      <c r="QD204" s="12"/>
      <c r="QE204" s="12"/>
      <c r="QF204" s="12"/>
      <c r="QG204" s="12"/>
      <c r="QH204" s="12"/>
      <c r="QI204" s="12"/>
      <c r="QJ204" s="12"/>
      <c r="QK204" s="12"/>
      <c r="QL204" s="12"/>
      <c r="QM204" s="12"/>
      <c r="QN204" s="12"/>
      <c r="QO204" s="12"/>
      <c r="QP204" s="12"/>
      <c r="QQ204" s="12"/>
      <c r="QR204" s="12"/>
      <c r="QS204" s="12"/>
      <c r="QT204" s="12"/>
      <c r="QU204" s="12"/>
      <c r="QV204" s="12"/>
      <c r="QW204" s="12"/>
      <c r="QX204" s="12"/>
      <c r="QY204" s="12"/>
      <c r="QZ204" s="12"/>
      <c r="RA204" s="12"/>
      <c r="RB204" s="12"/>
      <c r="RC204" s="12"/>
      <c r="RD204" s="12"/>
      <c r="RE204" s="12"/>
      <c r="RF204" s="12"/>
      <c r="RG204" s="12"/>
      <c r="RH204" s="12"/>
      <c r="RI204" s="12"/>
      <c r="RJ204" s="12"/>
      <c r="RK204" s="12"/>
      <c r="RL204" s="12"/>
      <c r="RM204" s="12"/>
      <c r="RN204" s="12"/>
      <c r="RO204" s="12"/>
      <c r="RP204" s="12"/>
      <c r="RQ204" s="12"/>
      <c r="RR204" s="12"/>
      <c r="RS204" s="12"/>
      <c r="RT204" s="12"/>
      <c r="RU204" s="12"/>
      <c r="RV204" s="12"/>
      <c r="RW204" s="12"/>
      <c r="RX204" s="12"/>
      <c r="RY204" s="12"/>
      <c r="RZ204" s="12"/>
      <c r="SA204" s="12"/>
      <c r="SB204" s="12"/>
      <c r="SC204" s="12"/>
      <c r="SD204" s="12"/>
      <c r="SE204" s="12"/>
      <c r="SF204" s="12"/>
      <c r="SG204" s="12"/>
      <c r="SH204" s="11"/>
      <c r="SI204" s="11"/>
      <c r="SJ204" s="11"/>
      <c r="SK204" s="11"/>
      <c r="SL204" s="11"/>
      <c r="SM204" s="11"/>
      <c r="SN204" s="11"/>
      <c r="SO204" s="11"/>
      <c r="SP204" s="11"/>
      <c r="SQ204" s="11"/>
      <c r="SR204" s="11"/>
      <c r="SS204" s="11"/>
      <c r="ST204" s="11"/>
      <c r="SU204" s="11"/>
      <c r="SV204" s="11"/>
      <c r="SW204" s="11"/>
      <c r="SX204" s="11"/>
      <c r="SY204" s="11"/>
      <c r="SZ204" s="11"/>
      <c r="TA204" s="11"/>
      <c r="TB204" s="11"/>
      <c r="TC204" s="11"/>
      <c r="TD204" s="11"/>
      <c r="TE204" s="11"/>
      <c r="TF204" s="11"/>
      <c r="TG204" s="11"/>
      <c r="TH204" s="11"/>
      <c r="TI204" s="11"/>
      <c r="TJ204" s="11"/>
      <c r="TK204" s="11"/>
      <c r="TL204" s="11"/>
    </row>
    <row r="205" spans="1:532" x14ac:dyDescent="0.2">
      <c r="A205" s="10" t="s">
        <v>204</v>
      </c>
      <c r="B205" s="12">
        <v>13.38</v>
      </c>
      <c r="C205" s="11">
        <v>0</v>
      </c>
      <c r="D205" s="11">
        <v>1.6037741907066601</v>
      </c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  <c r="CO205" s="12"/>
      <c r="CP205" s="12"/>
      <c r="CQ205" s="12"/>
      <c r="CR205" s="12"/>
      <c r="CS205" s="12"/>
      <c r="CT205" s="12"/>
      <c r="CU205" s="12"/>
      <c r="CV205" s="12"/>
      <c r="CW205" s="12"/>
      <c r="CX205" s="12"/>
      <c r="CY205" s="12"/>
      <c r="CZ205" s="12"/>
      <c r="DA205" s="12"/>
      <c r="DB205" s="12"/>
      <c r="DC205" s="12"/>
      <c r="DD205" s="12"/>
      <c r="DE205" s="12"/>
      <c r="DF205" s="12"/>
      <c r="DG205" s="12"/>
      <c r="DH205" s="12"/>
      <c r="DI205" s="12"/>
      <c r="DJ205" s="12"/>
      <c r="DK205" s="12"/>
      <c r="DL205" s="12"/>
      <c r="DM205" s="12"/>
      <c r="DN205" s="12"/>
      <c r="DO205" s="12"/>
      <c r="DP205" s="12"/>
      <c r="DQ205" s="12"/>
      <c r="DR205" s="12"/>
      <c r="DS205" s="12"/>
      <c r="DT205" s="12"/>
      <c r="DU205" s="12"/>
      <c r="DV205" s="12"/>
      <c r="DW205" s="12"/>
      <c r="DX205" s="12"/>
      <c r="DY205" s="12"/>
      <c r="DZ205" s="12"/>
      <c r="EA205" s="12"/>
      <c r="EB205" s="12"/>
      <c r="EC205" s="12"/>
      <c r="ED205" s="12"/>
      <c r="EE205" s="12"/>
      <c r="EF205" s="12"/>
      <c r="EG205" s="12"/>
      <c r="EH205" s="12"/>
      <c r="EI205" s="12"/>
      <c r="EJ205" s="12"/>
      <c r="EK205" s="12"/>
      <c r="EL205" s="12"/>
      <c r="EM205" s="12"/>
      <c r="EN205" s="12"/>
      <c r="EO205" s="12"/>
      <c r="EP205" s="12"/>
      <c r="EQ205" s="12"/>
      <c r="ER205" s="12"/>
      <c r="ES205" s="12"/>
      <c r="ET205" s="12"/>
      <c r="EU205" s="12"/>
      <c r="EV205" s="12"/>
      <c r="EW205" s="12"/>
      <c r="EX205" s="12"/>
      <c r="EY205" s="12"/>
      <c r="EZ205" s="12"/>
      <c r="FA205" s="12"/>
      <c r="FB205" s="12"/>
      <c r="FC205" s="12"/>
      <c r="FD205" s="12"/>
      <c r="FE205" s="12"/>
      <c r="FF205" s="12"/>
      <c r="FG205" s="12"/>
      <c r="FH205" s="12"/>
      <c r="FI205" s="12"/>
      <c r="FJ205" s="12"/>
      <c r="FK205" s="12"/>
      <c r="FL205" s="12"/>
      <c r="FM205" s="12"/>
      <c r="FN205" s="12"/>
      <c r="FO205" s="12"/>
      <c r="FP205" s="12"/>
      <c r="FQ205" s="12"/>
      <c r="FR205" s="12"/>
      <c r="FS205" s="12"/>
      <c r="FT205" s="12"/>
      <c r="FU205" s="12"/>
      <c r="FV205" s="12"/>
      <c r="FW205" s="12"/>
      <c r="FX205" s="12"/>
      <c r="FY205" s="12"/>
      <c r="FZ205" s="12"/>
      <c r="GA205" s="12"/>
      <c r="GB205" s="12"/>
      <c r="GC205" s="12"/>
      <c r="GD205" s="12"/>
      <c r="GE205" s="12"/>
      <c r="GF205" s="12"/>
      <c r="GG205" s="12"/>
      <c r="GH205" s="12"/>
      <c r="GI205" s="12"/>
      <c r="GJ205" s="12"/>
      <c r="GK205" s="12"/>
      <c r="GL205" s="12"/>
      <c r="GM205" s="12"/>
      <c r="GN205" s="12"/>
      <c r="GO205" s="12"/>
      <c r="GP205" s="12"/>
      <c r="GQ205" s="12"/>
      <c r="GR205" s="12"/>
      <c r="GS205" s="12"/>
      <c r="GT205" s="12"/>
      <c r="GU205" s="12"/>
      <c r="GV205" s="12"/>
      <c r="GW205" s="12"/>
      <c r="GX205" s="12"/>
      <c r="GY205" s="12"/>
      <c r="GZ205" s="12"/>
      <c r="HA205" s="12"/>
      <c r="HB205" s="12"/>
      <c r="HC205" s="12"/>
      <c r="HD205" s="12"/>
      <c r="HE205" s="12"/>
      <c r="HF205" s="12"/>
      <c r="HG205" s="12"/>
      <c r="HH205" s="12"/>
      <c r="HI205" s="12"/>
      <c r="HJ205" s="12"/>
      <c r="HK205" s="12"/>
      <c r="HL205" s="12"/>
      <c r="HM205" s="12"/>
      <c r="HN205" s="12"/>
      <c r="HO205" s="12"/>
      <c r="HP205" s="12"/>
      <c r="HQ205" s="12"/>
      <c r="HR205" s="12"/>
      <c r="HS205" s="12"/>
      <c r="HT205" s="12"/>
      <c r="HU205" s="12"/>
      <c r="HV205" s="12"/>
      <c r="HW205" s="12"/>
      <c r="HX205" s="12"/>
      <c r="HY205" s="12"/>
      <c r="HZ205" s="12"/>
      <c r="IA205" s="12"/>
      <c r="IB205" s="12"/>
      <c r="IC205" s="12"/>
      <c r="ID205" s="12"/>
      <c r="IE205" s="12"/>
      <c r="IF205" s="12"/>
      <c r="IG205" s="12"/>
      <c r="IH205" s="12"/>
      <c r="II205" s="12"/>
      <c r="IJ205" s="12"/>
      <c r="IK205" s="12"/>
      <c r="IL205" s="12"/>
      <c r="IM205" s="12"/>
      <c r="IN205" s="12"/>
      <c r="IO205" s="12"/>
      <c r="IP205" s="12"/>
      <c r="IQ205" s="12"/>
      <c r="IR205" s="12"/>
      <c r="IS205" s="12"/>
      <c r="IT205" s="12"/>
      <c r="IU205" s="12"/>
      <c r="IV205" s="12"/>
      <c r="IW205" s="12"/>
      <c r="IX205" s="12"/>
      <c r="IY205" s="12"/>
      <c r="IZ205" s="12"/>
      <c r="JA205" s="12"/>
      <c r="JB205" s="12"/>
      <c r="JC205" s="12"/>
      <c r="JD205" s="12"/>
      <c r="JE205" s="12"/>
      <c r="JF205" s="12"/>
      <c r="JG205" s="12"/>
      <c r="JH205" s="12"/>
      <c r="JI205" s="12"/>
      <c r="JJ205" s="12"/>
      <c r="JK205" s="12"/>
      <c r="JL205" s="12"/>
      <c r="JM205" s="12"/>
      <c r="JN205" s="12"/>
      <c r="JO205" s="12"/>
      <c r="JP205" s="12"/>
      <c r="JQ205" s="12"/>
      <c r="JR205" s="12"/>
      <c r="JS205" s="12"/>
      <c r="JT205" s="12"/>
      <c r="JU205" s="12"/>
      <c r="JV205" s="12"/>
      <c r="JW205" s="12"/>
      <c r="JX205" s="12"/>
      <c r="JY205" s="12"/>
      <c r="JZ205" s="12"/>
      <c r="KA205" s="12"/>
      <c r="KB205" s="12"/>
      <c r="KC205" s="12"/>
      <c r="KD205" s="12"/>
      <c r="KE205" s="12"/>
      <c r="KF205" s="12"/>
      <c r="KG205" s="12"/>
      <c r="KH205" s="12"/>
      <c r="KI205" s="12"/>
      <c r="KJ205" s="12"/>
      <c r="KK205" s="12"/>
      <c r="KL205" s="12"/>
      <c r="KM205" s="12"/>
      <c r="KN205" s="12"/>
      <c r="KO205" s="12"/>
      <c r="KP205" s="12"/>
      <c r="KQ205" s="12"/>
      <c r="KR205" s="12"/>
      <c r="KS205" s="12"/>
      <c r="KT205" s="12"/>
      <c r="KU205" s="12"/>
      <c r="KV205" s="12"/>
      <c r="KW205" s="12"/>
      <c r="KX205" s="12"/>
      <c r="KY205" s="12"/>
      <c r="KZ205" s="12"/>
      <c r="LA205" s="12"/>
      <c r="LB205" s="12"/>
      <c r="LC205" s="12"/>
      <c r="LD205" s="12"/>
      <c r="LE205" s="12"/>
      <c r="LF205" s="12"/>
      <c r="LG205" s="12"/>
      <c r="LH205" s="12"/>
      <c r="LI205" s="12"/>
      <c r="LJ205" s="12"/>
      <c r="LK205" s="12"/>
      <c r="LL205" s="12"/>
      <c r="LM205" s="12"/>
      <c r="LN205" s="12"/>
      <c r="LO205" s="12"/>
      <c r="LP205" s="12"/>
      <c r="LQ205" s="12"/>
      <c r="LR205" s="12"/>
      <c r="LS205" s="12"/>
      <c r="LT205" s="12"/>
      <c r="LU205" s="12"/>
      <c r="LV205" s="12"/>
      <c r="LW205" s="12"/>
      <c r="LX205" s="12"/>
      <c r="LY205" s="12"/>
      <c r="LZ205" s="12"/>
      <c r="MA205" s="12"/>
      <c r="MB205" s="12"/>
      <c r="MC205" s="12"/>
      <c r="MD205" s="12"/>
      <c r="ME205" s="12"/>
      <c r="MF205" s="12"/>
      <c r="MG205" s="12"/>
      <c r="MH205" s="12"/>
      <c r="MI205" s="12"/>
      <c r="MJ205" s="12"/>
      <c r="MK205" s="12"/>
      <c r="ML205" s="12"/>
      <c r="MM205" s="12"/>
      <c r="MN205" s="12"/>
      <c r="MO205" s="12"/>
      <c r="MP205" s="12"/>
      <c r="MQ205" s="12"/>
      <c r="MR205" s="12"/>
      <c r="MS205" s="12"/>
      <c r="MT205" s="12"/>
      <c r="MU205" s="12"/>
      <c r="MV205" s="12"/>
      <c r="MW205" s="12"/>
      <c r="MX205" s="12"/>
      <c r="MY205" s="12"/>
      <c r="MZ205" s="12"/>
      <c r="NA205" s="12"/>
      <c r="NB205" s="12"/>
      <c r="NC205" s="12"/>
      <c r="ND205" s="12"/>
      <c r="NE205" s="12"/>
      <c r="NF205" s="12"/>
      <c r="NG205" s="12"/>
      <c r="NH205" s="12"/>
      <c r="NI205" s="12"/>
      <c r="NJ205" s="12"/>
      <c r="NK205" s="12"/>
      <c r="NL205" s="12"/>
      <c r="NM205" s="12"/>
      <c r="NN205" s="12"/>
      <c r="NO205" s="12"/>
      <c r="NP205" s="12"/>
      <c r="NQ205" s="12"/>
      <c r="NR205" s="12"/>
      <c r="NS205" s="12"/>
      <c r="NT205" s="12"/>
      <c r="NU205" s="12"/>
      <c r="NV205" s="12"/>
      <c r="NW205" s="12"/>
      <c r="NX205" s="12"/>
      <c r="NY205" s="12"/>
      <c r="NZ205" s="12"/>
      <c r="OA205" s="12"/>
      <c r="OB205" s="12"/>
      <c r="OC205" s="12"/>
      <c r="OD205" s="12"/>
      <c r="OE205" s="12"/>
      <c r="OF205" s="12"/>
      <c r="OG205" s="12"/>
      <c r="OH205" s="12"/>
      <c r="OI205" s="12"/>
      <c r="OJ205" s="12"/>
      <c r="OK205" s="12"/>
      <c r="OL205" s="12"/>
      <c r="OM205" s="12"/>
      <c r="ON205" s="12"/>
      <c r="OO205" s="12"/>
      <c r="OP205" s="12"/>
      <c r="OQ205" s="12"/>
      <c r="OR205" s="12"/>
      <c r="OS205" s="12"/>
      <c r="OT205" s="12"/>
      <c r="OU205" s="12"/>
      <c r="OV205" s="12"/>
      <c r="OW205" s="12"/>
      <c r="OX205" s="12"/>
      <c r="OY205" s="12"/>
      <c r="OZ205" s="12"/>
      <c r="PA205" s="12"/>
      <c r="PB205" s="12"/>
      <c r="PC205" s="12"/>
      <c r="PD205" s="12"/>
      <c r="PE205" s="12"/>
      <c r="PF205" s="12"/>
      <c r="PG205" s="12"/>
      <c r="PH205" s="12"/>
      <c r="PI205" s="12"/>
      <c r="PJ205" s="12"/>
      <c r="PK205" s="12"/>
      <c r="PL205" s="12"/>
      <c r="PM205" s="12"/>
      <c r="PN205" s="12"/>
      <c r="PO205" s="12"/>
      <c r="PP205" s="12"/>
      <c r="PQ205" s="12"/>
      <c r="PR205" s="12"/>
      <c r="PS205" s="12"/>
      <c r="PT205" s="12"/>
      <c r="PU205" s="12"/>
      <c r="PV205" s="12"/>
      <c r="PW205" s="12"/>
      <c r="PX205" s="12"/>
      <c r="PY205" s="12"/>
      <c r="PZ205" s="12"/>
      <c r="QA205" s="12"/>
      <c r="QB205" s="12"/>
      <c r="QC205" s="12"/>
      <c r="QD205" s="12"/>
      <c r="QE205" s="12"/>
      <c r="QF205" s="12"/>
      <c r="QG205" s="12"/>
      <c r="QH205" s="12"/>
      <c r="QI205" s="12"/>
      <c r="QJ205" s="12"/>
      <c r="QK205" s="12"/>
      <c r="QL205" s="12"/>
      <c r="QM205" s="12"/>
      <c r="QN205" s="12"/>
      <c r="QO205" s="12"/>
      <c r="QP205" s="12"/>
      <c r="QQ205" s="12"/>
      <c r="QR205" s="12"/>
      <c r="QS205" s="12"/>
      <c r="QT205" s="12"/>
      <c r="QU205" s="12"/>
      <c r="QV205" s="12"/>
      <c r="QW205" s="12"/>
      <c r="QX205" s="12"/>
      <c r="QY205" s="12"/>
      <c r="QZ205" s="12"/>
      <c r="RA205" s="12"/>
      <c r="RB205" s="12"/>
      <c r="RC205" s="12"/>
      <c r="RD205" s="12"/>
      <c r="RE205" s="12"/>
      <c r="RF205" s="12"/>
      <c r="RG205" s="12"/>
      <c r="RH205" s="12"/>
      <c r="RI205" s="12"/>
      <c r="RJ205" s="12"/>
      <c r="RK205" s="12"/>
      <c r="RL205" s="12"/>
      <c r="RM205" s="12"/>
      <c r="RN205" s="12"/>
      <c r="RO205" s="12"/>
      <c r="RP205" s="12"/>
      <c r="RQ205" s="12"/>
      <c r="RR205" s="12"/>
      <c r="RS205" s="12"/>
      <c r="RT205" s="12"/>
      <c r="RU205" s="12"/>
      <c r="RV205" s="12"/>
      <c r="RW205" s="12"/>
      <c r="RX205" s="12"/>
      <c r="RY205" s="12"/>
      <c r="RZ205" s="12"/>
      <c r="SA205" s="12"/>
      <c r="SB205" s="12"/>
      <c r="SC205" s="12"/>
      <c r="SD205" s="12"/>
      <c r="SE205" s="12"/>
      <c r="SF205" s="12"/>
      <c r="SG205" s="12"/>
      <c r="SH205" s="11"/>
      <c r="SI205" s="11"/>
      <c r="SJ205" s="11"/>
      <c r="SK205" s="11"/>
      <c r="SL205" s="11"/>
      <c r="SM205" s="11"/>
      <c r="SN205" s="11"/>
      <c r="SO205" s="11"/>
      <c r="SP205" s="11"/>
      <c r="SQ205" s="11"/>
      <c r="SR205" s="11"/>
      <c r="SS205" s="11"/>
      <c r="ST205" s="11"/>
      <c r="SU205" s="11"/>
      <c r="SV205" s="11"/>
      <c r="SW205" s="11"/>
      <c r="SX205" s="11"/>
      <c r="SY205" s="11"/>
      <c r="SZ205" s="11"/>
      <c r="TA205" s="11"/>
      <c r="TB205" s="11"/>
      <c r="TC205" s="11"/>
      <c r="TD205" s="11"/>
      <c r="TE205" s="11"/>
      <c r="TF205" s="11"/>
      <c r="TG205" s="11"/>
      <c r="TH205" s="11"/>
      <c r="TI205" s="11"/>
      <c r="TJ205" s="11"/>
      <c r="TK205" s="11"/>
      <c r="TL205" s="11"/>
    </row>
    <row r="206" spans="1:532" x14ac:dyDescent="0.2">
      <c r="A206" s="10" t="s">
        <v>205</v>
      </c>
      <c r="B206" s="12">
        <v>13.84</v>
      </c>
      <c r="C206" s="11">
        <v>0</v>
      </c>
      <c r="D206" s="11">
        <v>1.1483815192714353</v>
      </c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  <c r="CO206" s="12"/>
      <c r="CP206" s="12"/>
      <c r="CQ206" s="12"/>
      <c r="CR206" s="12"/>
      <c r="CS206" s="12"/>
      <c r="CT206" s="12"/>
      <c r="CU206" s="12"/>
      <c r="CV206" s="12"/>
      <c r="CW206" s="12"/>
      <c r="CX206" s="12"/>
      <c r="CY206" s="12"/>
      <c r="CZ206" s="12"/>
      <c r="DA206" s="12"/>
      <c r="DB206" s="12"/>
      <c r="DC206" s="12"/>
      <c r="DD206" s="12"/>
      <c r="DE206" s="12"/>
      <c r="DF206" s="12"/>
      <c r="DG206" s="12"/>
      <c r="DH206" s="12"/>
      <c r="DI206" s="12"/>
      <c r="DJ206" s="12"/>
      <c r="DK206" s="12"/>
      <c r="DL206" s="12"/>
      <c r="DM206" s="12"/>
      <c r="DN206" s="12"/>
      <c r="DO206" s="12"/>
      <c r="DP206" s="12"/>
      <c r="DQ206" s="12"/>
      <c r="DR206" s="12"/>
      <c r="DS206" s="12"/>
      <c r="DT206" s="12"/>
      <c r="DU206" s="12"/>
      <c r="DV206" s="12"/>
      <c r="DW206" s="12"/>
      <c r="DX206" s="12"/>
      <c r="DY206" s="12"/>
      <c r="DZ206" s="12"/>
      <c r="EA206" s="12"/>
      <c r="EB206" s="12"/>
      <c r="EC206" s="12"/>
      <c r="ED206" s="12"/>
      <c r="EE206" s="12"/>
      <c r="EF206" s="12"/>
      <c r="EG206" s="12"/>
      <c r="EH206" s="12"/>
      <c r="EI206" s="12"/>
      <c r="EJ206" s="12"/>
      <c r="EK206" s="12"/>
      <c r="EL206" s="12"/>
      <c r="EM206" s="12"/>
      <c r="EN206" s="12"/>
      <c r="EO206" s="12"/>
      <c r="EP206" s="12"/>
      <c r="EQ206" s="12"/>
      <c r="ER206" s="12"/>
      <c r="ES206" s="12"/>
      <c r="ET206" s="12"/>
      <c r="EU206" s="12"/>
      <c r="EV206" s="12"/>
      <c r="EW206" s="12"/>
      <c r="EX206" s="12"/>
      <c r="EY206" s="12"/>
      <c r="EZ206" s="12"/>
      <c r="FA206" s="12"/>
      <c r="FB206" s="12"/>
      <c r="FC206" s="12"/>
      <c r="FD206" s="12"/>
      <c r="FE206" s="12"/>
      <c r="FF206" s="12"/>
      <c r="FG206" s="12"/>
      <c r="FH206" s="12"/>
      <c r="FI206" s="12"/>
      <c r="FJ206" s="12"/>
      <c r="FK206" s="12"/>
      <c r="FL206" s="12"/>
      <c r="FM206" s="12"/>
      <c r="FN206" s="12"/>
      <c r="FO206" s="12"/>
      <c r="FP206" s="12"/>
      <c r="FQ206" s="12"/>
      <c r="FR206" s="12"/>
      <c r="FS206" s="12"/>
      <c r="FT206" s="12"/>
      <c r="FU206" s="12"/>
      <c r="FV206" s="12"/>
      <c r="FW206" s="12"/>
      <c r="FX206" s="12"/>
      <c r="FY206" s="12"/>
      <c r="FZ206" s="12"/>
      <c r="GA206" s="12"/>
      <c r="GB206" s="12"/>
      <c r="GC206" s="12"/>
      <c r="GD206" s="12"/>
      <c r="GE206" s="12"/>
      <c r="GF206" s="12"/>
      <c r="GG206" s="12"/>
      <c r="GH206" s="12"/>
      <c r="GI206" s="12"/>
      <c r="GJ206" s="12"/>
      <c r="GK206" s="12"/>
      <c r="GL206" s="12"/>
      <c r="GM206" s="12"/>
      <c r="GN206" s="12"/>
      <c r="GO206" s="12"/>
      <c r="GP206" s="12"/>
      <c r="GQ206" s="12"/>
      <c r="GR206" s="12"/>
      <c r="GS206" s="12"/>
      <c r="GT206" s="12"/>
      <c r="GU206" s="12"/>
      <c r="GV206" s="12"/>
      <c r="GW206" s="12"/>
      <c r="GX206" s="12"/>
      <c r="GY206" s="12"/>
      <c r="GZ206" s="12"/>
      <c r="HA206" s="12"/>
      <c r="HB206" s="12"/>
      <c r="HC206" s="12"/>
      <c r="HD206" s="12"/>
      <c r="HE206" s="12"/>
      <c r="HF206" s="12"/>
      <c r="HG206" s="12"/>
      <c r="HH206" s="12"/>
      <c r="HI206" s="12"/>
      <c r="HJ206" s="12"/>
      <c r="HK206" s="12"/>
      <c r="HL206" s="12"/>
      <c r="HM206" s="12"/>
      <c r="HN206" s="12"/>
      <c r="HO206" s="12"/>
      <c r="HP206" s="12"/>
      <c r="HQ206" s="12"/>
      <c r="HR206" s="12"/>
      <c r="HS206" s="12"/>
      <c r="HT206" s="12"/>
      <c r="HU206" s="12"/>
      <c r="HV206" s="12"/>
      <c r="HW206" s="12"/>
      <c r="HX206" s="12"/>
      <c r="HY206" s="12"/>
      <c r="HZ206" s="12"/>
      <c r="IA206" s="12"/>
      <c r="IB206" s="12"/>
      <c r="IC206" s="12"/>
      <c r="ID206" s="12"/>
      <c r="IE206" s="12"/>
      <c r="IF206" s="12"/>
      <c r="IG206" s="12"/>
      <c r="IH206" s="12"/>
      <c r="II206" s="12"/>
      <c r="IJ206" s="12"/>
      <c r="IK206" s="12"/>
      <c r="IL206" s="12"/>
      <c r="IM206" s="12"/>
      <c r="IN206" s="12"/>
      <c r="IO206" s="12"/>
      <c r="IP206" s="12"/>
      <c r="IQ206" s="12"/>
      <c r="IR206" s="12"/>
      <c r="IS206" s="12"/>
      <c r="IT206" s="12"/>
      <c r="IU206" s="12"/>
      <c r="IV206" s="12"/>
      <c r="IW206" s="12"/>
      <c r="IX206" s="12"/>
      <c r="IY206" s="12"/>
      <c r="IZ206" s="12"/>
      <c r="JA206" s="12"/>
      <c r="JB206" s="12"/>
      <c r="JC206" s="12"/>
      <c r="JD206" s="12"/>
      <c r="JE206" s="12"/>
      <c r="JF206" s="12"/>
      <c r="JG206" s="12"/>
      <c r="JH206" s="12"/>
      <c r="JI206" s="12"/>
      <c r="JJ206" s="12"/>
      <c r="JK206" s="12"/>
      <c r="JL206" s="12"/>
      <c r="JM206" s="12"/>
      <c r="JN206" s="12"/>
      <c r="JO206" s="12"/>
      <c r="JP206" s="12"/>
      <c r="JQ206" s="12"/>
      <c r="JR206" s="12"/>
      <c r="JS206" s="12"/>
      <c r="JT206" s="12"/>
      <c r="JU206" s="12"/>
      <c r="JV206" s="12"/>
      <c r="JW206" s="12"/>
      <c r="JX206" s="12"/>
      <c r="JY206" s="12"/>
      <c r="JZ206" s="12"/>
      <c r="KA206" s="12"/>
      <c r="KB206" s="12"/>
      <c r="KC206" s="12"/>
      <c r="KD206" s="12"/>
      <c r="KE206" s="12"/>
      <c r="KF206" s="12"/>
      <c r="KG206" s="12"/>
      <c r="KH206" s="12"/>
      <c r="KI206" s="12"/>
      <c r="KJ206" s="12"/>
      <c r="KK206" s="12"/>
      <c r="KL206" s="12"/>
      <c r="KM206" s="12"/>
      <c r="KN206" s="12"/>
      <c r="KO206" s="12"/>
      <c r="KP206" s="12"/>
      <c r="KQ206" s="12"/>
      <c r="KR206" s="12"/>
      <c r="KS206" s="12"/>
      <c r="KT206" s="12"/>
      <c r="KU206" s="12"/>
      <c r="KV206" s="12"/>
      <c r="KW206" s="12"/>
      <c r="KX206" s="12"/>
      <c r="KY206" s="12"/>
      <c r="KZ206" s="12"/>
      <c r="LA206" s="12"/>
      <c r="LB206" s="12"/>
      <c r="LC206" s="12"/>
      <c r="LD206" s="12"/>
      <c r="LE206" s="12"/>
      <c r="LF206" s="12"/>
      <c r="LG206" s="12"/>
      <c r="LH206" s="12"/>
      <c r="LI206" s="12"/>
      <c r="LJ206" s="12"/>
      <c r="LK206" s="12"/>
      <c r="LL206" s="12"/>
      <c r="LM206" s="12"/>
      <c r="LN206" s="12"/>
      <c r="LO206" s="12"/>
      <c r="LP206" s="12"/>
      <c r="LQ206" s="12"/>
      <c r="LR206" s="12"/>
      <c r="LS206" s="12"/>
      <c r="LT206" s="12"/>
      <c r="LU206" s="12"/>
      <c r="LV206" s="12"/>
      <c r="LW206" s="12"/>
      <c r="LX206" s="12"/>
      <c r="LY206" s="12"/>
      <c r="LZ206" s="12"/>
      <c r="MA206" s="12"/>
      <c r="MB206" s="12"/>
      <c r="MC206" s="12"/>
      <c r="MD206" s="12"/>
      <c r="ME206" s="12"/>
      <c r="MF206" s="12"/>
      <c r="MG206" s="12"/>
      <c r="MH206" s="12"/>
      <c r="MI206" s="12"/>
      <c r="MJ206" s="12"/>
      <c r="MK206" s="12"/>
      <c r="ML206" s="12"/>
      <c r="MM206" s="12"/>
      <c r="MN206" s="12"/>
      <c r="MO206" s="12"/>
      <c r="MP206" s="12"/>
      <c r="MQ206" s="12"/>
      <c r="MR206" s="12"/>
      <c r="MS206" s="12"/>
      <c r="MT206" s="12"/>
      <c r="MU206" s="12"/>
      <c r="MV206" s="12"/>
      <c r="MW206" s="12"/>
      <c r="MX206" s="12"/>
      <c r="MY206" s="12"/>
      <c r="MZ206" s="12"/>
      <c r="NA206" s="12"/>
      <c r="NB206" s="12"/>
      <c r="NC206" s="12"/>
      <c r="ND206" s="12"/>
      <c r="NE206" s="12"/>
      <c r="NF206" s="12"/>
      <c r="NG206" s="12"/>
      <c r="NH206" s="12"/>
      <c r="NI206" s="12"/>
      <c r="NJ206" s="12"/>
      <c r="NK206" s="12"/>
      <c r="NL206" s="12"/>
      <c r="NM206" s="12"/>
      <c r="NN206" s="12"/>
      <c r="NO206" s="12"/>
      <c r="NP206" s="12"/>
      <c r="NQ206" s="12"/>
      <c r="NR206" s="12"/>
      <c r="NS206" s="12"/>
      <c r="NT206" s="12"/>
      <c r="NU206" s="12"/>
      <c r="NV206" s="12"/>
      <c r="NW206" s="12"/>
      <c r="NX206" s="12"/>
      <c r="NY206" s="12"/>
      <c r="NZ206" s="12"/>
      <c r="OA206" s="12"/>
      <c r="OB206" s="12"/>
      <c r="OC206" s="12"/>
      <c r="OD206" s="12"/>
      <c r="OE206" s="12"/>
      <c r="OF206" s="12"/>
      <c r="OG206" s="12"/>
      <c r="OH206" s="12"/>
      <c r="OI206" s="12"/>
      <c r="OJ206" s="12"/>
      <c r="OK206" s="12"/>
      <c r="OL206" s="12"/>
      <c r="OM206" s="12"/>
      <c r="ON206" s="12"/>
      <c r="OO206" s="12"/>
      <c r="OP206" s="12"/>
      <c r="OQ206" s="12"/>
      <c r="OR206" s="12"/>
      <c r="OS206" s="12"/>
      <c r="OT206" s="12"/>
      <c r="OU206" s="12"/>
      <c r="OV206" s="12"/>
      <c r="OW206" s="12"/>
      <c r="OX206" s="12"/>
      <c r="OY206" s="12"/>
      <c r="OZ206" s="12"/>
      <c r="PA206" s="12"/>
      <c r="PB206" s="12"/>
      <c r="PC206" s="12"/>
      <c r="PD206" s="12"/>
      <c r="PE206" s="12"/>
      <c r="PF206" s="12"/>
      <c r="PG206" s="12"/>
      <c r="PH206" s="12"/>
      <c r="PI206" s="12"/>
      <c r="PJ206" s="12"/>
      <c r="PK206" s="12"/>
      <c r="PL206" s="12"/>
      <c r="PM206" s="12"/>
      <c r="PN206" s="12"/>
      <c r="PO206" s="12"/>
      <c r="PP206" s="12"/>
      <c r="PQ206" s="12"/>
      <c r="PR206" s="12"/>
      <c r="PS206" s="12"/>
      <c r="PT206" s="12"/>
      <c r="PU206" s="12"/>
      <c r="PV206" s="12"/>
      <c r="PW206" s="12"/>
      <c r="PX206" s="12"/>
      <c r="PY206" s="12"/>
      <c r="PZ206" s="12"/>
      <c r="QA206" s="12"/>
      <c r="QB206" s="12"/>
      <c r="QC206" s="12"/>
      <c r="QD206" s="12"/>
      <c r="QE206" s="12"/>
      <c r="QF206" s="12"/>
      <c r="QG206" s="12"/>
      <c r="QH206" s="12"/>
      <c r="QI206" s="12"/>
      <c r="QJ206" s="12"/>
      <c r="QK206" s="12"/>
      <c r="QL206" s="12"/>
      <c r="QM206" s="12"/>
      <c r="QN206" s="12"/>
      <c r="QO206" s="12"/>
      <c r="QP206" s="12"/>
      <c r="QQ206" s="12"/>
      <c r="QR206" s="12"/>
      <c r="QS206" s="12"/>
      <c r="QT206" s="12"/>
      <c r="QU206" s="12"/>
      <c r="QV206" s="12"/>
      <c r="QW206" s="12"/>
      <c r="QX206" s="12"/>
      <c r="QY206" s="12"/>
      <c r="QZ206" s="12"/>
      <c r="RA206" s="12"/>
      <c r="RB206" s="12"/>
      <c r="RC206" s="12"/>
      <c r="RD206" s="12"/>
      <c r="RE206" s="12"/>
      <c r="RF206" s="12"/>
      <c r="RG206" s="12"/>
      <c r="RH206" s="12"/>
      <c r="RI206" s="12"/>
      <c r="RJ206" s="12"/>
      <c r="RK206" s="12"/>
      <c r="RL206" s="12"/>
      <c r="RM206" s="12"/>
      <c r="RN206" s="12"/>
      <c r="RO206" s="12"/>
      <c r="RP206" s="12"/>
      <c r="RQ206" s="12"/>
      <c r="RR206" s="12"/>
      <c r="RS206" s="12"/>
      <c r="RT206" s="12"/>
      <c r="RU206" s="12"/>
      <c r="RV206" s="12"/>
      <c r="RW206" s="12"/>
      <c r="RX206" s="12"/>
      <c r="RY206" s="12"/>
      <c r="RZ206" s="12"/>
      <c r="SA206" s="12"/>
      <c r="SB206" s="12"/>
      <c r="SC206" s="12"/>
      <c r="SD206" s="12"/>
      <c r="SE206" s="12"/>
      <c r="SF206" s="12"/>
      <c r="SG206" s="12"/>
      <c r="SH206" s="11"/>
      <c r="SI206" s="11"/>
      <c r="SJ206" s="11"/>
      <c r="SK206" s="11"/>
      <c r="SL206" s="11"/>
      <c r="SM206" s="11"/>
      <c r="SN206" s="11"/>
      <c r="SO206" s="11"/>
      <c r="SP206" s="11"/>
      <c r="SQ206" s="11"/>
      <c r="SR206" s="11"/>
      <c r="SS206" s="11"/>
      <c r="ST206" s="11"/>
      <c r="SU206" s="11"/>
      <c r="SV206" s="11"/>
      <c r="SW206" s="11"/>
      <c r="SX206" s="11"/>
      <c r="SY206" s="11"/>
      <c r="SZ206" s="11"/>
      <c r="TA206" s="11"/>
      <c r="TB206" s="11"/>
      <c r="TC206" s="11"/>
      <c r="TD206" s="11"/>
      <c r="TE206" s="11"/>
      <c r="TF206" s="11"/>
      <c r="TG206" s="11"/>
      <c r="TH206" s="11"/>
      <c r="TI206" s="11"/>
      <c r="TJ206" s="11"/>
      <c r="TK206" s="11"/>
      <c r="TL206" s="11"/>
    </row>
    <row r="207" spans="1:532" x14ac:dyDescent="0.2">
      <c r="A207" s="10" t="s">
        <v>206</v>
      </c>
      <c r="B207" s="12">
        <v>14.51</v>
      </c>
      <c r="C207" s="11">
        <v>0</v>
      </c>
      <c r="D207" s="11">
        <v>0.48509219348534771</v>
      </c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  <c r="CO207" s="12"/>
      <c r="CP207" s="12"/>
      <c r="CQ207" s="12"/>
      <c r="CR207" s="12"/>
      <c r="CS207" s="12"/>
      <c r="CT207" s="12"/>
      <c r="CU207" s="12"/>
      <c r="CV207" s="12"/>
      <c r="CW207" s="12"/>
      <c r="CX207" s="12"/>
      <c r="CY207" s="12"/>
      <c r="CZ207" s="12"/>
      <c r="DA207" s="12"/>
      <c r="DB207" s="12"/>
      <c r="DC207" s="12"/>
      <c r="DD207" s="12"/>
      <c r="DE207" s="12"/>
      <c r="DF207" s="12"/>
      <c r="DG207" s="12"/>
      <c r="DH207" s="12"/>
      <c r="DI207" s="12"/>
      <c r="DJ207" s="12"/>
      <c r="DK207" s="12"/>
      <c r="DL207" s="12"/>
      <c r="DM207" s="12"/>
      <c r="DN207" s="12"/>
      <c r="DO207" s="12"/>
      <c r="DP207" s="12"/>
      <c r="DQ207" s="12"/>
      <c r="DR207" s="12"/>
      <c r="DS207" s="12"/>
      <c r="DT207" s="12"/>
      <c r="DU207" s="12"/>
      <c r="DV207" s="12"/>
      <c r="DW207" s="12"/>
      <c r="DX207" s="12"/>
      <c r="DY207" s="12"/>
      <c r="DZ207" s="12"/>
      <c r="EA207" s="12"/>
      <c r="EB207" s="12"/>
      <c r="EC207" s="12"/>
      <c r="ED207" s="12"/>
      <c r="EE207" s="12"/>
      <c r="EF207" s="12"/>
      <c r="EG207" s="12"/>
      <c r="EH207" s="12"/>
      <c r="EI207" s="12"/>
      <c r="EJ207" s="12"/>
      <c r="EK207" s="12"/>
      <c r="EL207" s="12"/>
      <c r="EM207" s="12"/>
      <c r="EN207" s="12"/>
      <c r="EO207" s="12"/>
      <c r="EP207" s="12"/>
      <c r="EQ207" s="12"/>
      <c r="ER207" s="12"/>
      <c r="ES207" s="12"/>
      <c r="ET207" s="12"/>
      <c r="EU207" s="12"/>
      <c r="EV207" s="12"/>
      <c r="EW207" s="12"/>
      <c r="EX207" s="12"/>
      <c r="EY207" s="12"/>
      <c r="EZ207" s="12"/>
      <c r="FA207" s="12"/>
      <c r="FB207" s="12"/>
      <c r="FC207" s="12"/>
      <c r="FD207" s="12"/>
      <c r="FE207" s="12"/>
      <c r="FF207" s="12"/>
      <c r="FG207" s="12"/>
      <c r="FH207" s="12"/>
      <c r="FI207" s="12"/>
      <c r="FJ207" s="12"/>
      <c r="FK207" s="12"/>
      <c r="FL207" s="12"/>
      <c r="FM207" s="12"/>
      <c r="FN207" s="12"/>
      <c r="FO207" s="12"/>
      <c r="FP207" s="12"/>
      <c r="FQ207" s="12"/>
      <c r="FR207" s="12"/>
      <c r="FS207" s="12"/>
      <c r="FT207" s="12"/>
      <c r="FU207" s="12"/>
      <c r="FV207" s="12"/>
      <c r="FW207" s="12"/>
      <c r="FX207" s="12"/>
      <c r="FY207" s="12"/>
      <c r="FZ207" s="12"/>
      <c r="GA207" s="12"/>
      <c r="GB207" s="12"/>
      <c r="GC207" s="12"/>
      <c r="GD207" s="12"/>
      <c r="GE207" s="12"/>
      <c r="GF207" s="12"/>
      <c r="GG207" s="12"/>
      <c r="GH207" s="12"/>
      <c r="GI207" s="12"/>
      <c r="GJ207" s="12"/>
      <c r="GK207" s="12"/>
      <c r="GL207" s="12"/>
      <c r="GM207" s="12"/>
      <c r="GN207" s="12"/>
      <c r="GO207" s="12"/>
      <c r="GP207" s="12"/>
      <c r="GQ207" s="12"/>
      <c r="GR207" s="12"/>
      <c r="GS207" s="12"/>
      <c r="GT207" s="12"/>
      <c r="GU207" s="12"/>
      <c r="GV207" s="12"/>
      <c r="GW207" s="12"/>
      <c r="GX207" s="12"/>
      <c r="GY207" s="12"/>
      <c r="GZ207" s="12"/>
      <c r="HA207" s="12"/>
      <c r="HB207" s="12"/>
      <c r="HC207" s="12"/>
      <c r="HD207" s="12"/>
      <c r="HE207" s="12"/>
      <c r="HF207" s="12"/>
      <c r="HG207" s="12"/>
      <c r="HH207" s="12"/>
      <c r="HI207" s="12"/>
      <c r="HJ207" s="12"/>
      <c r="HK207" s="12"/>
      <c r="HL207" s="12"/>
      <c r="HM207" s="12"/>
      <c r="HN207" s="12"/>
      <c r="HO207" s="12"/>
      <c r="HP207" s="12"/>
      <c r="HQ207" s="12"/>
      <c r="HR207" s="12"/>
      <c r="HS207" s="12"/>
      <c r="HT207" s="12"/>
      <c r="HU207" s="12"/>
      <c r="HV207" s="12"/>
      <c r="HW207" s="12"/>
      <c r="HX207" s="12"/>
      <c r="HY207" s="12"/>
      <c r="HZ207" s="12"/>
      <c r="IA207" s="12"/>
      <c r="IB207" s="12"/>
      <c r="IC207" s="12"/>
      <c r="ID207" s="12"/>
      <c r="IE207" s="12"/>
      <c r="IF207" s="12"/>
      <c r="IG207" s="12"/>
      <c r="IH207" s="12"/>
      <c r="II207" s="12"/>
      <c r="IJ207" s="12"/>
      <c r="IK207" s="12"/>
      <c r="IL207" s="12"/>
      <c r="IM207" s="12"/>
      <c r="IN207" s="12"/>
      <c r="IO207" s="12"/>
      <c r="IP207" s="12"/>
      <c r="IQ207" s="12"/>
      <c r="IR207" s="12"/>
      <c r="IS207" s="12"/>
      <c r="IT207" s="12"/>
      <c r="IU207" s="12"/>
      <c r="IV207" s="12"/>
      <c r="IW207" s="12"/>
      <c r="IX207" s="12"/>
      <c r="IY207" s="12"/>
      <c r="IZ207" s="12"/>
      <c r="JA207" s="12"/>
      <c r="JB207" s="12"/>
      <c r="JC207" s="12"/>
      <c r="JD207" s="12"/>
      <c r="JE207" s="12"/>
      <c r="JF207" s="12"/>
      <c r="JG207" s="12"/>
      <c r="JH207" s="12"/>
      <c r="JI207" s="12"/>
      <c r="JJ207" s="12"/>
      <c r="JK207" s="12"/>
      <c r="JL207" s="12"/>
      <c r="JM207" s="12"/>
      <c r="JN207" s="12"/>
      <c r="JO207" s="12"/>
      <c r="JP207" s="12"/>
      <c r="JQ207" s="12"/>
      <c r="JR207" s="12"/>
      <c r="JS207" s="12"/>
      <c r="JT207" s="12"/>
      <c r="JU207" s="12"/>
      <c r="JV207" s="12"/>
      <c r="JW207" s="12"/>
      <c r="JX207" s="12"/>
      <c r="JY207" s="12"/>
      <c r="JZ207" s="12"/>
      <c r="KA207" s="12"/>
      <c r="KB207" s="12"/>
      <c r="KC207" s="12"/>
      <c r="KD207" s="12"/>
      <c r="KE207" s="12"/>
      <c r="KF207" s="12"/>
      <c r="KG207" s="12"/>
      <c r="KH207" s="12"/>
      <c r="KI207" s="12"/>
      <c r="KJ207" s="12"/>
      <c r="KK207" s="12"/>
      <c r="KL207" s="12"/>
      <c r="KM207" s="12"/>
      <c r="KN207" s="12"/>
      <c r="KO207" s="12"/>
      <c r="KP207" s="12"/>
      <c r="KQ207" s="12"/>
      <c r="KR207" s="12"/>
      <c r="KS207" s="12"/>
      <c r="KT207" s="12"/>
      <c r="KU207" s="12"/>
      <c r="KV207" s="12"/>
      <c r="KW207" s="12"/>
      <c r="KX207" s="12"/>
      <c r="KY207" s="12"/>
      <c r="KZ207" s="12"/>
      <c r="LA207" s="12"/>
      <c r="LB207" s="12"/>
      <c r="LC207" s="12"/>
      <c r="LD207" s="12"/>
      <c r="LE207" s="12"/>
      <c r="LF207" s="12"/>
      <c r="LG207" s="12"/>
      <c r="LH207" s="12"/>
      <c r="LI207" s="12"/>
      <c r="LJ207" s="12"/>
      <c r="LK207" s="12"/>
      <c r="LL207" s="12"/>
      <c r="LM207" s="12"/>
      <c r="LN207" s="12"/>
      <c r="LO207" s="12"/>
      <c r="LP207" s="12"/>
      <c r="LQ207" s="12"/>
      <c r="LR207" s="12"/>
      <c r="LS207" s="12"/>
      <c r="LT207" s="12"/>
      <c r="LU207" s="12"/>
      <c r="LV207" s="12"/>
      <c r="LW207" s="12"/>
      <c r="LX207" s="12"/>
      <c r="LY207" s="12"/>
      <c r="LZ207" s="12"/>
      <c r="MA207" s="12"/>
      <c r="MB207" s="12"/>
      <c r="MC207" s="12"/>
      <c r="MD207" s="12"/>
      <c r="ME207" s="12"/>
      <c r="MF207" s="12"/>
      <c r="MG207" s="12"/>
      <c r="MH207" s="12"/>
      <c r="MI207" s="12"/>
      <c r="MJ207" s="12"/>
      <c r="MK207" s="12"/>
      <c r="ML207" s="12"/>
      <c r="MM207" s="12"/>
      <c r="MN207" s="12"/>
      <c r="MO207" s="12"/>
      <c r="MP207" s="12"/>
      <c r="MQ207" s="12"/>
      <c r="MR207" s="12"/>
      <c r="MS207" s="12"/>
      <c r="MT207" s="12"/>
      <c r="MU207" s="12"/>
      <c r="MV207" s="12"/>
      <c r="MW207" s="12"/>
      <c r="MX207" s="12"/>
      <c r="MY207" s="12"/>
      <c r="MZ207" s="12"/>
      <c r="NA207" s="12"/>
      <c r="NB207" s="12"/>
      <c r="NC207" s="12"/>
      <c r="ND207" s="12"/>
      <c r="NE207" s="12"/>
      <c r="NF207" s="12"/>
      <c r="NG207" s="12"/>
      <c r="NH207" s="12"/>
      <c r="NI207" s="12"/>
      <c r="NJ207" s="12"/>
      <c r="NK207" s="12"/>
      <c r="NL207" s="12"/>
      <c r="NM207" s="12"/>
      <c r="NN207" s="12"/>
      <c r="NO207" s="12"/>
      <c r="NP207" s="12"/>
      <c r="NQ207" s="12"/>
      <c r="NR207" s="12"/>
      <c r="NS207" s="12"/>
      <c r="NT207" s="12"/>
      <c r="NU207" s="12"/>
      <c r="NV207" s="12"/>
      <c r="NW207" s="12"/>
      <c r="NX207" s="12"/>
      <c r="NY207" s="12"/>
      <c r="NZ207" s="12"/>
      <c r="OA207" s="12"/>
      <c r="OB207" s="12"/>
      <c r="OC207" s="12"/>
      <c r="OD207" s="12"/>
      <c r="OE207" s="12"/>
      <c r="OF207" s="12"/>
      <c r="OG207" s="12"/>
      <c r="OH207" s="12"/>
      <c r="OI207" s="12"/>
      <c r="OJ207" s="12"/>
      <c r="OK207" s="12"/>
      <c r="OL207" s="12"/>
      <c r="OM207" s="12"/>
      <c r="ON207" s="12"/>
      <c r="OO207" s="12"/>
      <c r="OP207" s="12"/>
      <c r="OQ207" s="12"/>
      <c r="OR207" s="12"/>
      <c r="OS207" s="12"/>
      <c r="OT207" s="12"/>
      <c r="OU207" s="12"/>
      <c r="OV207" s="12"/>
      <c r="OW207" s="12"/>
      <c r="OX207" s="12"/>
      <c r="OY207" s="12"/>
      <c r="OZ207" s="12"/>
      <c r="PA207" s="12"/>
      <c r="PB207" s="12"/>
      <c r="PC207" s="12"/>
      <c r="PD207" s="12"/>
      <c r="PE207" s="12"/>
      <c r="PF207" s="12"/>
      <c r="PG207" s="12"/>
      <c r="PH207" s="12"/>
      <c r="PI207" s="12"/>
      <c r="PJ207" s="12"/>
      <c r="PK207" s="12"/>
      <c r="PL207" s="12"/>
      <c r="PM207" s="12"/>
      <c r="PN207" s="12"/>
      <c r="PO207" s="12"/>
      <c r="PP207" s="12"/>
      <c r="PQ207" s="12"/>
      <c r="PR207" s="12"/>
      <c r="PS207" s="12"/>
      <c r="PT207" s="12"/>
      <c r="PU207" s="12"/>
      <c r="PV207" s="12"/>
      <c r="PW207" s="12"/>
      <c r="PX207" s="12"/>
      <c r="PY207" s="12"/>
      <c r="PZ207" s="12"/>
      <c r="QA207" s="12"/>
      <c r="QB207" s="12"/>
      <c r="QC207" s="12"/>
      <c r="QD207" s="12"/>
      <c r="QE207" s="12"/>
      <c r="QF207" s="12"/>
      <c r="QG207" s="12"/>
      <c r="QH207" s="12"/>
      <c r="QI207" s="12"/>
      <c r="QJ207" s="12"/>
      <c r="QK207" s="12"/>
      <c r="QL207" s="12"/>
      <c r="QM207" s="12"/>
      <c r="QN207" s="12"/>
      <c r="QO207" s="12"/>
      <c r="QP207" s="12"/>
      <c r="QQ207" s="12"/>
      <c r="QR207" s="12"/>
      <c r="QS207" s="12"/>
      <c r="QT207" s="12"/>
      <c r="QU207" s="12"/>
      <c r="QV207" s="12"/>
      <c r="QW207" s="12"/>
      <c r="QX207" s="12"/>
      <c r="QY207" s="12"/>
      <c r="QZ207" s="12"/>
      <c r="RA207" s="12"/>
      <c r="RB207" s="12"/>
      <c r="RC207" s="12"/>
      <c r="RD207" s="12"/>
      <c r="RE207" s="12"/>
      <c r="RF207" s="12"/>
      <c r="RG207" s="12"/>
      <c r="RH207" s="12"/>
      <c r="RI207" s="12"/>
      <c r="RJ207" s="12"/>
      <c r="RK207" s="12"/>
      <c r="RL207" s="12"/>
      <c r="RM207" s="12"/>
      <c r="RN207" s="12"/>
      <c r="RO207" s="12"/>
      <c r="RP207" s="12"/>
      <c r="RQ207" s="12"/>
      <c r="RR207" s="12"/>
      <c r="RS207" s="12"/>
      <c r="RT207" s="12"/>
      <c r="RU207" s="12"/>
      <c r="RV207" s="12"/>
      <c r="RW207" s="12"/>
      <c r="RX207" s="12"/>
      <c r="RY207" s="12"/>
      <c r="RZ207" s="12"/>
      <c r="SA207" s="12"/>
      <c r="SB207" s="12"/>
      <c r="SC207" s="12"/>
      <c r="SD207" s="12"/>
      <c r="SE207" s="12"/>
      <c r="SF207" s="12"/>
      <c r="SG207" s="12"/>
      <c r="SH207" s="11"/>
      <c r="SI207" s="11"/>
      <c r="SJ207" s="11"/>
      <c r="SK207" s="11"/>
      <c r="SL207" s="11"/>
      <c r="SM207" s="11"/>
      <c r="SN207" s="11"/>
      <c r="SO207" s="11"/>
      <c r="SP207" s="11"/>
      <c r="SQ207" s="11"/>
      <c r="SR207" s="11"/>
      <c r="SS207" s="11"/>
      <c r="ST207" s="11"/>
      <c r="SU207" s="11"/>
      <c r="SV207" s="11"/>
      <c r="SW207" s="11"/>
      <c r="SX207" s="11"/>
      <c r="SY207" s="11"/>
      <c r="SZ207" s="11"/>
      <c r="TA207" s="11"/>
      <c r="TB207" s="11"/>
      <c r="TC207" s="11"/>
      <c r="TD207" s="11"/>
      <c r="TE207" s="11"/>
      <c r="TF207" s="11"/>
      <c r="TG207" s="11"/>
      <c r="TH207" s="11"/>
      <c r="TI207" s="11"/>
      <c r="TJ207" s="11"/>
      <c r="TK207" s="11"/>
      <c r="TL207" s="11"/>
    </row>
    <row r="208" spans="1:532" x14ac:dyDescent="0.2">
      <c r="A208" s="10" t="s">
        <v>207</v>
      </c>
      <c r="B208" s="12">
        <v>13.56</v>
      </c>
      <c r="C208" s="11">
        <v>0</v>
      </c>
      <c r="D208" s="11">
        <v>1.4255770584059198</v>
      </c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  <c r="CO208" s="12"/>
      <c r="CP208" s="12"/>
      <c r="CQ208" s="12"/>
      <c r="CR208" s="12"/>
      <c r="CS208" s="12"/>
      <c r="CT208" s="12"/>
      <c r="CU208" s="12"/>
      <c r="CV208" s="12"/>
      <c r="CW208" s="12"/>
      <c r="CX208" s="12"/>
      <c r="CY208" s="12"/>
      <c r="CZ208" s="12"/>
      <c r="DA208" s="12"/>
      <c r="DB208" s="12"/>
      <c r="DC208" s="12"/>
      <c r="DD208" s="12"/>
      <c r="DE208" s="12"/>
      <c r="DF208" s="12"/>
      <c r="DG208" s="12"/>
      <c r="DH208" s="12"/>
      <c r="DI208" s="12"/>
      <c r="DJ208" s="12"/>
      <c r="DK208" s="12"/>
      <c r="DL208" s="12"/>
      <c r="DM208" s="12"/>
      <c r="DN208" s="12"/>
      <c r="DO208" s="12"/>
      <c r="DP208" s="12"/>
      <c r="DQ208" s="12"/>
      <c r="DR208" s="12"/>
      <c r="DS208" s="12"/>
      <c r="DT208" s="12"/>
      <c r="DU208" s="12"/>
      <c r="DV208" s="12"/>
      <c r="DW208" s="12"/>
      <c r="DX208" s="12"/>
      <c r="DY208" s="12"/>
      <c r="DZ208" s="12"/>
      <c r="EA208" s="12"/>
      <c r="EB208" s="12"/>
      <c r="EC208" s="12"/>
      <c r="ED208" s="12"/>
      <c r="EE208" s="12"/>
      <c r="EF208" s="12"/>
      <c r="EG208" s="12"/>
      <c r="EH208" s="12"/>
      <c r="EI208" s="12"/>
      <c r="EJ208" s="12"/>
      <c r="EK208" s="12"/>
      <c r="EL208" s="12"/>
      <c r="EM208" s="12"/>
      <c r="EN208" s="12"/>
      <c r="EO208" s="12"/>
      <c r="EP208" s="12"/>
      <c r="EQ208" s="12"/>
      <c r="ER208" s="12"/>
      <c r="ES208" s="12"/>
      <c r="ET208" s="12"/>
      <c r="EU208" s="12"/>
      <c r="EV208" s="12"/>
      <c r="EW208" s="12"/>
      <c r="EX208" s="12"/>
      <c r="EY208" s="12"/>
      <c r="EZ208" s="12"/>
      <c r="FA208" s="12"/>
      <c r="FB208" s="12"/>
      <c r="FC208" s="12"/>
      <c r="FD208" s="12"/>
      <c r="FE208" s="12"/>
      <c r="FF208" s="12"/>
      <c r="FG208" s="12"/>
      <c r="FH208" s="12"/>
      <c r="FI208" s="12"/>
      <c r="FJ208" s="12"/>
      <c r="FK208" s="12"/>
      <c r="FL208" s="12"/>
      <c r="FM208" s="12"/>
      <c r="FN208" s="12"/>
      <c r="FO208" s="12"/>
      <c r="FP208" s="12"/>
      <c r="FQ208" s="12"/>
      <c r="FR208" s="12"/>
      <c r="FS208" s="12"/>
      <c r="FT208" s="12"/>
      <c r="FU208" s="12"/>
      <c r="FV208" s="12"/>
      <c r="FW208" s="12"/>
      <c r="FX208" s="12"/>
      <c r="FY208" s="12"/>
      <c r="FZ208" s="12"/>
      <c r="GA208" s="12"/>
      <c r="GB208" s="12"/>
      <c r="GC208" s="12"/>
      <c r="GD208" s="12"/>
      <c r="GE208" s="12"/>
      <c r="GF208" s="12"/>
      <c r="GG208" s="12"/>
      <c r="GH208" s="12"/>
      <c r="GI208" s="12"/>
      <c r="GJ208" s="12"/>
      <c r="GK208" s="12"/>
      <c r="GL208" s="12"/>
      <c r="GM208" s="12"/>
      <c r="GN208" s="12"/>
      <c r="GO208" s="12"/>
      <c r="GP208" s="12"/>
      <c r="GQ208" s="12"/>
      <c r="GR208" s="12"/>
      <c r="GS208" s="12"/>
      <c r="GT208" s="12"/>
      <c r="GU208" s="12"/>
      <c r="GV208" s="12"/>
      <c r="GW208" s="12"/>
      <c r="GX208" s="12"/>
      <c r="GY208" s="12"/>
      <c r="GZ208" s="12"/>
      <c r="HA208" s="12"/>
      <c r="HB208" s="12"/>
      <c r="HC208" s="12"/>
      <c r="HD208" s="12"/>
      <c r="HE208" s="12"/>
      <c r="HF208" s="12"/>
      <c r="HG208" s="12"/>
      <c r="HH208" s="12"/>
      <c r="HI208" s="12"/>
      <c r="HJ208" s="12"/>
      <c r="HK208" s="12"/>
      <c r="HL208" s="12"/>
      <c r="HM208" s="12"/>
      <c r="HN208" s="12"/>
      <c r="HO208" s="12"/>
      <c r="HP208" s="12"/>
      <c r="HQ208" s="12"/>
      <c r="HR208" s="12"/>
      <c r="HS208" s="12"/>
      <c r="HT208" s="12"/>
      <c r="HU208" s="12"/>
      <c r="HV208" s="12"/>
      <c r="HW208" s="12"/>
      <c r="HX208" s="12"/>
      <c r="HY208" s="12"/>
      <c r="HZ208" s="12"/>
      <c r="IA208" s="12"/>
      <c r="IB208" s="12"/>
      <c r="IC208" s="12"/>
      <c r="ID208" s="12"/>
      <c r="IE208" s="12"/>
      <c r="IF208" s="12"/>
      <c r="IG208" s="12"/>
      <c r="IH208" s="12"/>
      <c r="II208" s="12"/>
      <c r="IJ208" s="12"/>
      <c r="IK208" s="12"/>
      <c r="IL208" s="12"/>
      <c r="IM208" s="12"/>
      <c r="IN208" s="12"/>
      <c r="IO208" s="12"/>
      <c r="IP208" s="12"/>
      <c r="IQ208" s="12"/>
      <c r="IR208" s="12"/>
      <c r="IS208" s="12"/>
      <c r="IT208" s="12"/>
      <c r="IU208" s="12"/>
      <c r="IV208" s="12"/>
      <c r="IW208" s="12"/>
      <c r="IX208" s="12"/>
      <c r="IY208" s="12"/>
      <c r="IZ208" s="12"/>
      <c r="JA208" s="12"/>
      <c r="JB208" s="12"/>
      <c r="JC208" s="12"/>
      <c r="JD208" s="12"/>
      <c r="JE208" s="12"/>
      <c r="JF208" s="12"/>
      <c r="JG208" s="12"/>
      <c r="JH208" s="12"/>
      <c r="JI208" s="12"/>
      <c r="JJ208" s="12"/>
      <c r="JK208" s="12"/>
      <c r="JL208" s="12"/>
      <c r="JM208" s="12"/>
      <c r="JN208" s="12"/>
      <c r="JO208" s="12"/>
      <c r="JP208" s="12"/>
      <c r="JQ208" s="12"/>
      <c r="JR208" s="12"/>
      <c r="JS208" s="12"/>
      <c r="JT208" s="12"/>
      <c r="JU208" s="12"/>
      <c r="JV208" s="12"/>
      <c r="JW208" s="12"/>
      <c r="JX208" s="12"/>
      <c r="JY208" s="12"/>
      <c r="JZ208" s="12"/>
      <c r="KA208" s="12"/>
      <c r="KB208" s="12"/>
      <c r="KC208" s="12"/>
      <c r="KD208" s="12"/>
      <c r="KE208" s="12"/>
      <c r="KF208" s="12"/>
      <c r="KG208" s="12"/>
      <c r="KH208" s="12"/>
      <c r="KI208" s="12"/>
      <c r="KJ208" s="12"/>
      <c r="KK208" s="12"/>
      <c r="KL208" s="12"/>
      <c r="KM208" s="12"/>
      <c r="KN208" s="12"/>
      <c r="KO208" s="12"/>
      <c r="KP208" s="12"/>
      <c r="KQ208" s="12"/>
      <c r="KR208" s="12"/>
      <c r="KS208" s="12"/>
      <c r="KT208" s="12"/>
      <c r="KU208" s="12"/>
      <c r="KV208" s="12"/>
      <c r="KW208" s="12"/>
      <c r="KX208" s="12"/>
      <c r="KY208" s="12"/>
      <c r="KZ208" s="12"/>
      <c r="LA208" s="12"/>
      <c r="LB208" s="12"/>
      <c r="LC208" s="12"/>
      <c r="LD208" s="12"/>
      <c r="LE208" s="12"/>
      <c r="LF208" s="12"/>
      <c r="LG208" s="12"/>
      <c r="LH208" s="12"/>
      <c r="LI208" s="12"/>
      <c r="LJ208" s="12"/>
      <c r="LK208" s="12"/>
      <c r="LL208" s="12"/>
      <c r="LM208" s="12"/>
      <c r="LN208" s="12"/>
      <c r="LO208" s="12"/>
      <c r="LP208" s="12"/>
      <c r="LQ208" s="12"/>
      <c r="LR208" s="12"/>
      <c r="LS208" s="12"/>
      <c r="LT208" s="12"/>
      <c r="LU208" s="12"/>
      <c r="LV208" s="12"/>
      <c r="LW208" s="12"/>
      <c r="LX208" s="12"/>
      <c r="LY208" s="12"/>
      <c r="LZ208" s="12"/>
      <c r="MA208" s="12"/>
      <c r="MB208" s="12"/>
      <c r="MC208" s="12"/>
      <c r="MD208" s="12"/>
      <c r="ME208" s="12"/>
      <c r="MF208" s="12"/>
      <c r="MG208" s="12"/>
      <c r="MH208" s="12"/>
      <c r="MI208" s="12"/>
      <c r="MJ208" s="12"/>
      <c r="MK208" s="12"/>
      <c r="ML208" s="12"/>
      <c r="MM208" s="12"/>
      <c r="MN208" s="12"/>
      <c r="MO208" s="12"/>
      <c r="MP208" s="12"/>
      <c r="MQ208" s="12"/>
      <c r="MR208" s="12"/>
      <c r="MS208" s="12"/>
      <c r="MT208" s="12"/>
      <c r="MU208" s="12"/>
      <c r="MV208" s="12"/>
      <c r="MW208" s="12"/>
      <c r="MX208" s="12"/>
      <c r="MY208" s="12"/>
      <c r="MZ208" s="12"/>
      <c r="NA208" s="12"/>
      <c r="NB208" s="12"/>
      <c r="NC208" s="12"/>
      <c r="ND208" s="12"/>
      <c r="NE208" s="12"/>
      <c r="NF208" s="12"/>
      <c r="NG208" s="12"/>
      <c r="NH208" s="12"/>
      <c r="NI208" s="12"/>
      <c r="NJ208" s="12"/>
      <c r="NK208" s="12"/>
      <c r="NL208" s="12"/>
      <c r="NM208" s="12"/>
      <c r="NN208" s="12"/>
      <c r="NO208" s="12"/>
      <c r="NP208" s="12"/>
      <c r="NQ208" s="12"/>
      <c r="NR208" s="12"/>
      <c r="NS208" s="12"/>
      <c r="NT208" s="12"/>
      <c r="NU208" s="12"/>
      <c r="NV208" s="12"/>
      <c r="NW208" s="12"/>
      <c r="NX208" s="12"/>
      <c r="NY208" s="12"/>
      <c r="NZ208" s="12"/>
      <c r="OA208" s="12"/>
      <c r="OB208" s="12"/>
      <c r="OC208" s="12"/>
      <c r="OD208" s="12"/>
      <c r="OE208" s="12"/>
      <c r="OF208" s="12"/>
      <c r="OG208" s="12"/>
      <c r="OH208" s="12"/>
      <c r="OI208" s="12"/>
      <c r="OJ208" s="12"/>
      <c r="OK208" s="12"/>
      <c r="OL208" s="12"/>
      <c r="OM208" s="12"/>
      <c r="ON208" s="12"/>
      <c r="OO208" s="12"/>
      <c r="OP208" s="12"/>
      <c r="OQ208" s="12"/>
      <c r="OR208" s="12"/>
      <c r="OS208" s="12"/>
      <c r="OT208" s="12"/>
      <c r="OU208" s="12"/>
      <c r="OV208" s="12"/>
      <c r="OW208" s="12"/>
      <c r="OX208" s="12"/>
      <c r="OY208" s="12"/>
      <c r="OZ208" s="12"/>
      <c r="PA208" s="12"/>
      <c r="PB208" s="12"/>
      <c r="PC208" s="12"/>
      <c r="PD208" s="12"/>
      <c r="PE208" s="12"/>
      <c r="PF208" s="12"/>
      <c r="PG208" s="12"/>
      <c r="PH208" s="12"/>
      <c r="PI208" s="12"/>
      <c r="PJ208" s="12"/>
      <c r="PK208" s="12"/>
      <c r="PL208" s="12"/>
      <c r="PM208" s="12"/>
      <c r="PN208" s="12"/>
      <c r="PO208" s="12"/>
      <c r="PP208" s="12"/>
      <c r="PQ208" s="12"/>
      <c r="PR208" s="12"/>
      <c r="PS208" s="12"/>
      <c r="PT208" s="12"/>
      <c r="PU208" s="12"/>
      <c r="PV208" s="12"/>
      <c r="PW208" s="12"/>
      <c r="PX208" s="12"/>
      <c r="PY208" s="12"/>
      <c r="PZ208" s="12"/>
      <c r="QA208" s="12"/>
      <c r="QB208" s="12"/>
      <c r="QC208" s="12"/>
      <c r="QD208" s="12"/>
      <c r="QE208" s="12"/>
      <c r="QF208" s="12"/>
      <c r="QG208" s="12"/>
      <c r="QH208" s="12"/>
      <c r="QI208" s="12"/>
      <c r="QJ208" s="12"/>
      <c r="QK208" s="12"/>
      <c r="QL208" s="12"/>
      <c r="QM208" s="12"/>
      <c r="QN208" s="12"/>
      <c r="QO208" s="12"/>
      <c r="QP208" s="12"/>
      <c r="QQ208" s="12"/>
      <c r="QR208" s="12"/>
      <c r="QS208" s="12"/>
      <c r="QT208" s="12"/>
      <c r="QU208" s="12"/>
      <c r="QV208" s="12"/>
      <c r="QW208" s="12"/>
      <c r="QX208" s="12"/>
      <c r="QY208" s="12"/>
      <c r="QZ208" s="12"/>
      <c r="RA208" s="12"/>
      <c r="RB208" s="12"/>
      <c r="RC208" s="12"/>
      <c r="RD208" s="12"/>
      <c r="RE208" s="12"/>
      <c r="RF208" s="12"/>
      <c r="RG208" s="12"/>
      <c r="RH208" s="12"/>
      <c r="RI208" s="12"/>
      <c r="RJ208" s="12"/>
      <c r="RK208" s="12"/>
      <c r="RL208" s="12"/>
      <c r="RM208" s="12"/>
      <c r="RN208" s="12"/>
      <c r="RO208" s="12"/>
      <c r="RP208" s="12"/>
      <c r="RQ208" s="12"/>
      <c r="RR208" s="12"/>
      <c r="RS208" s="12"/>
      <c r="RT208" s="12"/>
      <c r="RU208" s="12"/>
      <c r="RV208" s="12"/>
      <c r="RW208" s="12"/>
      <c r="RX208" s="12"/>
      <c r="RY208" s="12"/>
      <c r="RZ208" s="12"/>
      <c r="SA208" s="12"/>
      <c r="SB208" s="12"/>
      <c r="SC208" s="12"/>
      <c r="SD208" s="12"/>
      <c r="SE208" s="12"/>
      <c r="SF208" s="12"/>
      <c r="SG208" s="12"/>
      <c r="SH208" s="11"/>
      <c r="SI208" s="11"/>
      <c r="SJ208" s="11"/>
      <c r="SK208" s="11"/>
      <c r="SL208" s="11"/>
      <c r="SM208" s="11"/>
      <c r="SN208" s="11"/>
      <c r="SO208" s="11"/>
      <c r="SP208" s="11"/>
      <c r="SQ208" s="11"/>
      <c r="SR208" s="11"/>
      <c r="SS208" s="11"/>
      <c r="ST208" s="11"/>
      <c r="SU208" s="11"/>
      <c r="SV208" s="11"/>
      <c r="SW208" s="11"/>
      <c r="SX208" s="11"/>
      <c r="SY208" s="11"/>
      <c r="SZ208" s="11"/>
      <c r="TA208" s="11"/>
      <c r="TB208" s="11"/>
      <c r="TC208" s="11"/>
      <c r="TD208" s="11"/>
      <c r="TE208" s="11"/>
      <c r="TF208" s="11"/>
      <c r="TG208" s="11"/>
      <c r="TH208" s="11"/>
      <c r="TI208" s="11"/>
      <c r="TJ208" s="11"/>
      <c r="TK208" s="11"/>
      <c r="TL208" s="11"/>
    </row>
    <row r="209" spans="1:532" x14ac:dyDescent="0.2">
      <c r="A209" s="10" t="s">
        <v>208</v>
      </c>
      <c r="B209" s="12">
        <v>14.68</v>
      </c>
      <c r="C209" s="11">
        <v>0</v>
      </c>
      <c r="D209" s="11">
        <v>0.3167949018679822</v>
      </c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  <c r="EO209" s="12"/>
      <c r="EP209" s="12"/>
      <c r="EQ209" s="12"/>
      <c r="ER209" s="12"/>
      <c r="ES209" s="12"/>
      <c r="ET209" s="12"/>
      <c r="EU209" s="12"/>
      <c r="EV209" s="12"/>
      <c r="EW209" s="12"/>
      <c r="EX209" s="12"/>
      <c r="EY209" s="12"/>
      <c r="EZ209" s="12"/>
      <c r="FA209" s="12"/>
      <c r="FB209" s="12"/>
      <c r="FC209" s="12"/>
      <c r="FD209" s="12"/>
      <c r="FE209" s="12"/>
      <c r="FF209" s="12"/>
      <c r="FG209" s="12"/>
      <c r="FH209" s="12"/>
      <c r="FI209" s="12"/>
      <c r="FJ209" s="12"/>
      <c r="FK209" s="12"/>
      <c r="FL209" s="12"/>
      <c r="FM209" s="12"/>
      <c r="FN209" s="12"/>
      <c r="FO209" s="12"/>
      <c r="FP209" s="12"/>
      <c r="FQ209" s="12"/>
      <c r="FR209" s="12"/>
      <c r="FS209" s="12"/>
      <c r="FT209" s="12"/>
      <c r="FU209" s="12"/>
      <c r="FV209" s="12"/>
      <c r="FW209" s="12"/>
      <c r="FX209" s="12"/>
      <c r="FY209" s="12"/>
      <c r="FZ209" s="12"/>
      <c r="GA209" s="12"/>
      <c r="GB209" s="12"/>
      <c r="GC209" s="12"/>
      <c r="GD209" s="12"/>
      <c r="GE209" s="12"/>
      <c r="GF209" s="12"/>
      <c r="GG209" s="12"/>
      <c r="GH209" s="12"/>
      <c r="GI209" s="12"/>
      <c r="GJ209" s="12"/>
      <c r="GK209" s="12"/>
      <c r="GL209" s="12"/>
      <c r="GM209" s="12"/>
      <c r="GN209" s="12"/>
      <c r="GO209" s="12"/>
      <c r="GP209" s="12"/>
      <c r="GQ209" s="12"/>
      <c r="GR209" s="12"/>
      <c r="GS209" s="12"/>
      <c r="GT209" s="12"/>
      <c r="GU209" s="12"/>
      <c r="GV209" s="12"/>
      <c r="GW209" s="12"/>
      <c r="GX209" s="12"/>
      <c r="GY209" s="12"/>
      <c r="GZ209" s="12"/>
      <c r="HA209" s="12"/>
      <c r="HB209" s="12"/>
      <c r="HC209" s="12"/>
      <c r="HD209" s="12"/>
      <c r="HE209" s="12"/>
      <c r="HF209" s="12"/>
      <c r="HG209" s="12"/>
      <c r="HH209" s="12"/>
      <c r="HI209" s="12"/>
      <c r="HJ209" s="12"/>
      <c r="HK209" s="12"/>
      <c r="HL209" s="12"/>
      <c r="HM209" s="12"/>
      <c r="HN209" s="12"/>
      <c r="HO209" s="12"/>
      <c r="HP209" s="12"/>
      <c r="HQ209" s="12"/>
      <c r="HR209" s="12"/>
      <c r="HS209" s="12"/>
      <c r="HT209" s="12"/>
      <c r="HU209" s="12"/>
      <c r="HV209" s="12"/>
      <c r="HW209" s="12"/>
      <c r="HX209" s="12"/>
      <c r="HY209" s="12"/>
      <c r="HZ209" s="12"/>
      <c r="IA209" s="12"/>
      <c r="IB209" s="12"/>
      <c r="IC209" s="12"/>
      <c r="ID209" s="12"/>
      <c r="IE209" s="12"/>
      <c r="IF209" s="12"/>
      <c r="IG209" s="12"/>
      <c r="IH209" s="12"/>
      <c r="II209" s="12"/>
      <c r="IJ209" s="12"/>
      <c r="IK209" s="12"/>
      <c r="IL209" s="12"/>
      <c r="IM209" s="12"/>
      <c r="IN209" s="12"/>
      <c r="IO209" s="12"/>
      <c r="IP209" s="12"/>
      <c r="IQ209" s="12"/>
      <c r="IR209" s="12"/>
      <c r="IS209" s="12"/>
      <c r="IT209" s="12"/>
      <c r="IU209" s="12"/>
      <c r="IV209" s="12"/>
      <c r="IW209" s="12"/>
      <c r="IX209" s="12"/>
      <c r="IY209" s="12"/>
      <c r="IZ209" s="12"/>
      <c r="JA209" s="12"/>
      <c r="JB209" s="12"/>
      <c r="JC209" s="12"/>
      <c r="JD209" s="12"/>
      <c r="JE209" s="12"/>
      <c r="JF209" s="12"/>
      <c r="JG209" s="12"/>
      <c r="JH209" s="12"/>
      <c r="JI209" s="12"/>
      <c r="JJ209" s="12"/>
      <c r="JK209" s="12"/>
      <c r="JL209" s="12"/>
      <c r="JM209" s="12"/>
      <c r="JN209" s="12"/>
      <c r="JO209" s="12"/>
      <c r="JP209" s="12"/>
      <c r="JQ209" s="12"/>
      <c r="JR209" s="12"/>
      <c r="JS209" s="12"/>
      <c r="JT209" s="12"/>
      <c r="JU209" s="12"/>
      <c r="JV209" s="12"/>
      <c r="JW209" s="12"/>
      <c r="JX209" s="12"/>
      <c r="JY209" s="12"/>
      <c r="JZ209" s="12"/>
      <c r="KA209" s="12"/>
      <c r="KB209" s="12"/>
      <c r="KC209" s="12"/>
      <c r="KD209" s="12"/>
      <c r="KE209" s="12"/>
      <c r="KF209" s="12"/>
      <c r="KG209" s="12"/>
      <c r="KH209" s="12"/>
      <c r="KI209" s="12"/>
      <c r="KJ209" s="12"/>
      <c r="KK209" s="12"/>
      <c r="KL209" s="12"/>
      <c r="KM209" s="12"/>
      <c r="KN209" s="12"/>
      <c r="KO209" s="12"/>
      <c r="KP209" s="12"/>
      <c r="KQ209" s="12"/>
      <c r="KR209" s="12"/>
      <c r="KS209" s="12"/>
      <c r="KT209" s="12"/>
      <c r="KU209" s="12"/>
      <c r="KV209" s="12"/>
      <c r="KW209" s="12"/>
      <c r="KX209" s="12"/>
      <c r="KY209" s="12"/>
      <c r="KZ209" s="12"/>
      <c r="LA209" s="12"/>
      <c r="LB209" s="12"/>
      <c r="LC209" s="12"/>
      <c r="LD209" s="12"/>
      <c r="LE209" s="12"/>
      <c r="LF209" s="12"/>
      <c r="LG209" s="12"/>
      <c r="LH209" s="12"/>
      <c r="LI209" s="12"/>
      <c r="LJ209" s="12"/>
      <c r="LK209" s="12"/>
      <c r="LL209" s="12"/>
      <c r="LM209" s="12"/>
      <c r="LN209" s="12"/>
      <c r="LO209" s="12"/>
      <c r="LP209" s="12"/>
      <c r="LQ209" s="12"/>
      <c r="LR209" s="12"/>
      <c r="LS209" s="12"/>
      <c r="LT209" s="12"/>
      <c r="LU209" s="12"/>
      <c r="LV209" s="12"/>
      <c r="LW209" s="12"/>
      <c r="LX209" s="12"/>
      <c r="LY209" s="12"/>
      <c r="LZ209" s="12"/>
      <c r="MA209" s="12"/>
      <c r="MB209" s="12"/>
      <c r="MC209" s="12"/>
      <c r="MD209" s="12"/>
      <c r="ME209" s="12"/>
      <c r="MF209" s="12"/>
      <c r="MG209" s="12"/>
      <c r="MH209" s="12"/>
      <c r="MI209" s="12"/>
      <c r="MJ209" s="12"/>
      <c r="MK209" s="12"/>
      <c r="ML209" s="12"/>
      <c r="MM209" s="12"/>
      <c r="MN209" s="12"/>
      <c r="MO209" s="12"/>
      <c r="MP209" s="12"/>
      <c r="MQ209" s="12"/>
      <c r="MR209" s="12"/>
      <c r="MS209" s="12"/>
      <c r="MT209" s="12"/>
      <c r="MU209" s="12"/>
      <c r="MV209" s="12"/>
      <c r="MW209" s="12"/>
      <c r="MX209" s="12"/>
      <c r="MY209" s="12"/>
      <c r="MZ209" s="12"/>
      <c r="NA209" s="12"/>
      <c r="NB209" s="12"/>
      <c r="NC209" s="12"/>
      <c r="ND209" s="12"/>
      <c r="NE209" s="12"/>
      <c r="NF209" s="12"/>
      <c r="NG209" s="12"/>
      <c r="NH209" s="12"/>
      <c r="NI209" s="12"/>
      <c r="NJ209" s="12"/>
      <c r="NK209" s="12"/>
      <c r="NL209" s="12"/>
      <c r="NM209" s="12"/>
      <c r="NN209" s="12"/>
      <c r="NO209" s="12"/>
      <c r="NP209" s="12"/>
      <c r="NQ209" s="12"/>
      <c r="NR209" s="12"/>
      <c r="NS209" s="12"/>
      <c r="NT209" s="12"/>
      <c r="NU209" s="12"/>
      <c r="NV209" s="12"/>
      <c r="NW209" s="12"/>
      <c r="NX209" s="12"/>
      <c r="NY209" s="12"/>
      <c r="NZ209" s="12"/>
      <c r="OA209" s="12"/>
      <c r="OB209" s="12"/>
      <c r="OC209" s="12"/>
      <c r="OD209" s="12"/>
      <c r="OE209" s="12"/>
      <c r="OF209" s="12"/>
      <c r="OG209" s="12"/>
      <c r="OH209" s="12"/>
      <c r="OI209" s="12"/>
      <c r="OJ209" s="12"/>
      <c r="OK209" s="12"/>
      <c r="OL209" s="12"/>
      <c r="OM209" s="12"/>
      <c r="ON209" s="12"/>
      <c r="OO209" s="12"/>
      <c r="OP209" s="12"/>
      <c r="OQ209" s="12"/>
      <c r="OR209" s="12"/>
      <c r="OS209" s="12"/>
      <c r="OT209" s="12"/>
      <c r="OU209" s="12"/>
      <c r="OV209" s="12"/>
      <c r="OW209" s="12"/>
      <c r="OX209" s="12"/>
      <c r="OY209" s="12"/>
      <c r="OZ209" s="12"/>
      <c r="PA209" s="12"/>
      <c r="PB209" s="12"/>
      <c r="PC209" s="12"/>
      <c r="PD209" s="12"/>
      <c r="PE209" s="12"/>
      <c r="PF209" s="12"/>
      <c r="PG209" s="12"/>
      <c r="PH209" s="12"/>
      <c r="PI209" s="12"/>
      <c r="PJ209" s="12"/>
      <c r="PK209" s="12"/>
      <c r="PL209" s="12"/>
      <c r="PM209" s="12"/>
      <c r="PN209" s="12"/>
      <c r="PO209" s="12"/>
      <c r="PP209" s="12"/>
      <c r="PQ209" s="12"/>
      <c r="PR209" s="12"/>
      <c r="PS209" s="12"/>
      <c r="PT209" s="12"/>
      <c r="PU209" s="12"/>
      <c r="PV209" s="12"/>
      <c r="PW209" s="12"/>
      <c r="PX209" s="12"/>
      <c r="PY209" s="12"/>
      <c r="PZ209" s="12"/>
      <c r="QA209" s="12"/>
      <c r="QB209" s="12"/>
      <c r="QC209" s="12"/>
      <c r="QD209" s="12"/>
      <c r="QE209" s="12"/>
      <c r="QF209" s="12"/>
      <c r="QG209" s="12"/>
      <c r="QH209" s="12"/>
      <c r="QI209" s="12"/>
      <c r="QJ209" s="12"/>
      <c r="QK209" s="12"/>
      <c r="QL209" s="12"/>
      <c r="QM209" s="12"/>
      <c r="QN209" s="12"/>
      <c r="QO209" s="12"/>
      <c r="QP209" s="12"/>
      <c r="QQ209" s="12"/>
      <c r="QR209" s="12"/>
      <c r="QS209" s="12"/>
      <c r="QT209" s="12"/>
      <c r="QU209" s="12"/>
      <c r="QV209" s="12"/>
      <c r="QW209" s="12"/>
      <c r="QX209" s="12"/>
      <c r="QY209" s="12"/>
      <c r="QZ209" s="12"/>
      <c r="RA209" s="12"/>
      <c r="RB209" s="12"/>
      <c r="RC209" s="12"/>
      <c r="RD209" s="12"/>
      <c r="RE209" s="12"/>
      <c r="RF209" s="12"/>
      <c r="RG209" s="12"/>
      <c r="RH209" s="12"/>
      <c r="RI209" s="12"/>
      <c r="RJ209" s="12"/>
      <c r="RK209" s="12"/>
      <c r="RL209" s="12"/>
      <c r="RM209" s="12"/>
      <c r="RN209" s="12"/>
      <c r="RO209" s="12"/>
      <c r="RP209" s="12"/>
      <c r="RQ209" s="12"/>
      <c r="RR209" s="12"/>
      <c r="RS209" s="12"/>
      <c r="RT209" s="12"/>
      <c r="RU209" s="12"/>
      <c r="RV209" s="12"/>
      <c r="RW209" s="12"/>
      <c r="RX209" s="12"/>
      <c r="RY209" s="12"/>
      <c r="RZ209" s="12"/>
      <c r="SA209" s="12"/>
      <c r="SB209" s="12"/>
      <c r="SC209" s="12"/>
      <c r="SD209" s="12"/>
      <c r="SE209" s="12"/>
      <c r="SF209" s="12"/>
      <c r="SG209" s="12"/>
      <c r="SH209" s="11"/>
      <c r="SI209" s="11"/>
      <c r="SJ209" s="11"/>
      <c r="SK209" s="11"/>
      <c r="SL209" s="11"/>
      <c r="SM209" s="11"/>
      <c r="SN209" s="11"/>
      <c r="SO209" s="11"/>
      <c r="SP209" s="11"/>
      <c r="SQ209" s="11"/>
      <c r="SR209" s="11"/>
      <c r="SS209" s="11"/>
      <c r="ST209" s="11"/>
      <c r="SU209" s="11"/>
      <c r="SV209" s="11"/>
      <c r="SW209" s="11"/>
      <c r="SX209" s="11"/>
      <c r="SY209" s="11"/>
      <c r="SZ209" s="11"/>
      <c r="TA209" s="11"/>
      <c r="TB209" s="11"/>
      <c r="TC209" s="11"/>
      <c r="TD209" s="11"/>
      <c r="TE209" s="11"/>
      <c r="TF209" s="11"/>
      <c r="TG209" s="11"/>
      <c r="TH209" s="11"/>
      <c r="TI209" s="11"/>
      <c r="TJ209" s="11"/>
      <c r="TK209" s="11"/>
      <c r="TL209" s="11"/>
    </row>
    <row r="210" spans="1:532" x14ac:dyDescent="0.2">
      <c r="A210" s="10" t="s">
        <v>209</v>
      </c>
      <c r="B210" s="12">
        <v>14.12</v>
      </c>
      <c r="C210" s="11">
        <v>0</v>
      </c>
      <c r="D210" s="11">
        <v>0.87118598013695103</v>
      </c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  <c r="CO210" s="12"/>
      <c r="CP210" s="12"/>
      <c r="CQ210" s="12"/>
      <c r="CR210" s="12"/>
      <c r="CS210" s="12"/>
      <c r="CT210" s="12"/>
      <c r="CU210" s="12"/>
      <c r="CV210" s="12"/>
      <c r="CW210" s="12"/>
      <c r="CX210" s="12"/>
      <c r="CY210" s="12"/>
      <c r="CZ210" s="12"/>
      <c r="DA210" s="12"/>
      <c r="DB210" s="12"/>
      <c r="DC210" s="12"/>
      <c r="DD210" s="12"/>
      <c r="DE210" s="12"/>
      <c r="DF210" s="12"/>
      <c r="DG210" s="12"/>
      <c r="DH210" s="12"/>
      <c r="DI210" s="12"/>
      <c r="DJ210" s="12"/>
      <c r="DK210" s="12"/>
      <c r="DL210" s="12"/>
      <c r="DM210" s="12"/>
      <c r="DN210" s="12"/>
      <c r="DO210" s="12"/>
      <c r="DP210" s="12"/>
      <c r="DQ210" s="12"/>
      <c r="DR210" s="12"/>
      <c r="DS210" s="12"/>
      <c r="DT210" s="12"/>
      <c r="DU210" s="12"/>
      <c r="DV210" s="12"/>
      <c r="DW210" s="12"/>
      <c r="DX210" s="12"/>
      <c r="DY210" s="12"/>
      <c r="DZ210" s="12"/>
      <c r="EA210" s="12"/>
      <c r="EB210" s="12"/>
      <c r="EC210" s="12"/>
      <c r="ED210" s="12"/>
      <c r="EE210" s="12"/>
      <c r="EF210" s="12"/>
      <c r="EG210" s="12"/>
      <c r="EH210" s="12"/>
      <c r="EI210" s="12"/>
      <c r="EJ210" s="12"/>
      <c r="EK210" s="12"/>
      <c r="EL210" s="12"/>
      <c r="EM210" s="12"/>
      <c r="EN210" s="12"/>
      <c r="EO210" s="12"/>
      <c r="EP210" s="12"/>
      <c r="EQ210" s="12"/>
      <c r="ER210" s="12"/>
      <c r="ES210" s="12"/>
      <c r="ET210" s="12"/>
      <c r="EU210" s="12"/>
      <c r="EV210" s="12"/>
      <c r="EW210" s="12"/>
      <c r="EX210" s="12"/>
      <c r="EY210" s="12"/>
      <c r="EZ210" s="12"/>
      <c r="FA210" s="12"/>
      <c r="FB210" s="12"/>
      <c r="FC210" s="12"/>
      <c r="FD210" s="12"/>
      <c r="FE210" s="12"/>
      <c r="FF210" s="12"/>
      <c r="FG210" s="12"/>
      <c r="FH210" s="12"/>
      <c r="FI210" s="12"/>
      <c r="FJ210" s="12"/>
      <c r="FK210" s="12"/>
      <c r="FL210" s="12"/>
      <c r="FM210" s="12"/>
      <c r="FN210" s="12"/>
      <c r="FO210" s="12"/>
      <c r="FP210" s="12"/>
      <c r="FQ210" s="12"/>
      <c r="FR210" s="12"/>
      <c r="FS210" s="12"/>
      <c r="FT210" s="12"/>
      <c r="FU210" s="12"/>
      <c r="FV210" s="12"/>
      <c r="FW210" s="12"/>
      <c r="FX210" s="12"/>
      <c r="FY210" s="12"/>
      <c r="FZ210" s="12"/>
      <c r="GA210" s="12"/>
      <c r="GB210" s="12"/>
      <c r="GC210" s="12"/>
      <c r="GD210" s="12"/>
      <c r="GE210" s="12"/>
      <c r="GF210" s="12"/>
      <c r="GG210" s="12"/>
      <c r="GH210" s="12"/>
      <c r="GI210" s="12"/>
      <c r="GJ210" s="12"/>
      <c r="GK210" s="12"/>
      <c r="GL210" s="12"/>
      <c r="GM210" s="12"/>
      <c r="GN210" s="12"/>
      <c r="GO210" s="12"/>
      <c r="GP210" s="12"/>
      <c r="GQ210" s="12"/>
      <c r="GR210" s="12"/>
      <c r="GS210" s="12"/>
      <c r="GT210" s="12"/>
      <c r="GU210" s="12"/>
      <c r="GV210" s="12"/>
      <c r="GW210" s="12"/>
      <c r="GX210" s="12"/>
      <c r="GY210" s="12"/>
      <c r="GZ210" s="12"/>
      <c r="HA210" s="12"/>
      <c r="HB210" s="12"/>
      <c r="HC210" s="12"/>
      <c r="HD210" s="12"/>
      <c r="HE210" s="12"/>
      <c r="HF210" s="12"/>
      <c r="HG210" s="12"/>
      <c r="HH210" s="12"/>
      <c r="HI210" s="12"/>
      <c r="HJ210" s="12"/>
      <c r="HK210" s="12"/>
      <c r="HL210" s="12"/>
      <c r="HM210" s="12"/>
      <c r="HN210" s="12"/>
      <c r="HO210" s="12"/>
      <c r="HP210" s="12"/>
      <c r="HQ210" s="12"/>
      <c r="HR210" s="12"/>
      <c r="HS210" s="12"/>
      <c r="HT210" s="12"/>
      <c r="HU210" s="12"/>
      <c r="HV210" s="12"/>
      <c r="HW210" s="12"/>
      <c r="HX210" s="12"/>
      <c r="HY210" s="12"/>
      <c r="HZ210" s="12"/>
      <c r="IA210" s="12"/>
      <c r="IB210" s="12"/>
      <c r="IC210" s="12"/>
      <c r="ID210" s="12"/>
      <c r="IE210" s="12"/>
      <c r="IF210" s="12"/>
      <c r="IG210" s="12"/>
      <c r="IH210" s="12"/>
      <c r="II210" s="12"/>
      <c r="IJ210" s="12"/>
      <c r="IK210" s="12"/>
      <c r="IL210" s="12"/>
      <c r="IM210" s="12"/>
      <c r="IN210" s="12"/>
      <c r="IO210" s="12"/>
      <c r="IP210" s="12"/>
      <c r="IQ210" s="12"/>
      <c r="IR210" s="12"/>
      <c r="IS210" s="12"/>
      <c r="IT210" s="12"/>
      <c r="IU210" s="12"/>
      <c r="IV210" s="12"/>
      <c r="IW210" s="12"/>
      <c r="IX210" s="12"/>
      <c r="IY210" s="12"/>
      <c r="IZ210" s="12"/>
      <c r="JA210" s="12"/>
      <c r="JB210" s="12"/>
      <c r="JC210" s="12"/>
      <c r="JD210" s="12"/>
      <c r="JE210" s="12"/>
      <c r="JF210" s="12"/>
      <c r="JG210" s="12"/>
      <c r="JH210" s="12"/>
      <c r="JI210" s="12"/>
      <c r="JJ210" s="12"/>
      <c r="JK210" s="12"/>
      <c r="JL210" s="12"/>
      <c r="JM210" s="12"/>
      <c r="JN210" s="12"/>
      <c r="JO210" s="12"/>
      <c r="JP210" s="12"/>
      <c r="JQ210" s="12"/>
      <c r="JR210" s="12"/>
      <c r="JS210" s="12"/>
      <c r="JT210" s="12"/>
      <c r="JU210" s="12"/>
      <c r="JV210" s="12"/>
      <c r="JW210" s="12"/>
      <c r="JX210" s="12"/>
      <c r="JY210" s="12"/>
      <c r="JZ210" s="12"/>
      <c r="KA210" s="12"/>
      <c r="KB210" s="12"/>
      <c r="KC210" s="12"/>
      <c r="KD210" s="12"/>
      <c r="KE210" s="12"/>
      <c r="KF210" s="12"/>
      <c r="KG210" s="12"/>
      <c r="KH210" s="12"/>
      <c r="KI210" s="12"/>
      <c r="KJ210" s="12"/>
      <c r="KK210" s="12"/>
      <c r="KL210" s="12"/>
      <c r="KM210" s="12"/>
      <c r="KN210" s="12"/>
      <c r="KO210" s="12"/>
      <c r="KP210" s="12"/>
      <c r="KQ210" s="12"/>
      <c r="KR210" s="12"/>
      <c r="KS210" s="12"/>
      <c r="KT210" s="12"/>
      <c r="KU210" s="12"/>
      <c r="KV210" s="12"/>
      <c r="KW210" s="12"/>
      <c r="KX210" s="12"/>
      <c r="KY210" s="12"/>
      <c r="KZ210" s="12"/>
      <c r="LA210" s="12"/>
      <c r="LB210" s="12"/>
      <c r="LC210" s="12"/>
      <c r="LD210" s="12"/>
      <c r="LE210" s="12"/>
      <c r="LF210" s="12"/>
      <c r="LG210" s="12"/>
      <c r="LH210" s="12"/>
      <c r="LI210" s="12"/>
      <c r="LJ210" s="12"/>
      <c r="LK210" s="12"/>
      <c r="LL210" s="12"/>
      <c r="LM210" s="12"/>
      <c r="LN210" s="12"/>
      <c r="LO210" s="12"/>
      <c r="LP210" s="12"/>
      <c r="LQ210" s="12"/>
      <c r="LR210" s="12"/>
      <c r="LS210" s="12"/>
      <c r="LT210" s="12"/>
      <c r="LU210" s="12"/>
      <c r="LV210" s="12"/>
      <c r="LW210" s="12"/>
      <c r="LX210" s="12"/>
      <c r="LY210" s="12"/>
      <c r="LZ210" s="12"/>
      <c r="MA210" s="12"/>
      <c r="MB210" s="12"/>
      <c r="MC210" s="12"/>
      <c r="MD210" s="12"/>
      <c r="ME210" s="12"/>
      <c r="MF210" s="12"/>
      <c r="MG210" s="12"/>
      <c r="MH210" s="12"/>
      <c r="MI210" s="12"/>
      <c r="MJ210" s="12"/>
      <c r="MK210" s="12"/>
      <c r="ML210" s="12"/>
      <c r="MM210" s="12"/>
      <c r="MN210" s="12"/>
      <c r="MO210" s="12"/>
      <c r="MP210" s="12"/>
      <c r="MQ210" s="12"/>
      <c r="MR210" s="12"/>
      <c r="MS210" s="12"/>
      <c r="MT210" s="12"/>
      <c r="MU210" s="12"/>
      <c r="MV210" s="12"/>
      <c r="MW210" s="12"/>
      <c r="MX210" s="12"/>
      <c r="MY210" s="12"/>
      <c r="MZ210" s="12"/>
      <c r="NA210" s="12"/>
      <c r="NB210" s="12"/>
      <c r="NC210" s="12"/>
      <c r="ND210" s="12"/>
      <c r="NE210" s="12"/>
      <c r="NF210" s="12"/>
      <c r="NG210" s="12"/>
      <c r="NH210" s="12"/>
      <c r="NI210" s="12"/>
      <c r="NJ210" s="12"/>
      <c r="NK210" s="12"/>
      <c r="NL210" s="12"/>
      <c r="NM210" s="12"/>
      <c r="NN210" s="12"/>
      <c r="NO210" s="12"/>
      <c r="NP210" s="12"/>
      <c r="NQ210" s="12"/>
      <c r="NR210" s="12"/>
      <c r="NS210" s="12"/>
      <c r="NT210" s="12"/>
      <c r="NU210" s="12"/>
      <c r="NV210" s="12"/>
      <c r="NW210" s="12"/>
      <c r="NX210" s="12"/>
      <c r="NY210" s="12"/>
      <c r="NZ210" s="12"/>
      <c r="OA210" s="12"/>
      <c r="OB210" s="12"/>
      <c r="OC210" s="12"/>
      <c r="OD210" s="12"/>
      <c r="OE210" s="12"/>
      <c r="OF210" s="12"/>
      <c r="OG210" s="12"/>
      <c r="OH210" s="12"/>
      <c r="OI210" s="12"/>
      <c r="OJ210" s="12"/>
      <c r="OK210" s="12"/>
      <c r="OL210" s="12"/>
      <c r="OM210" s="12"/>
      <c r="ON210" s="12"/>
      <c r="OO210" s="12"/>
      <c r="OP210" s="12"/>
      <c r="OQ210" s="12"/>
      <c r="OR210" s="12"/>
      <c r="OS210" s="12"/>
      <c r="OT210" s="12"/>
      <c r="OU210" s="12"/>
      <c r="OV210" s="12"/>
      <c r="OW210" s="12"/>
      <c r="OX210" s="12"/>
      <c r="OY210" s="12"/>
      <c r="OZ210" s="12"/>
      <c r="PA210" s="12"/>
      <c r="PB210" s="12"/>
      <c r="PC210" s="12"/>
      <c r="PD210" s="12"/>
      <c r="PE210" s="12"/>
      <c r="PF210" s="12"/>
      <c r="PG210" s="12"/>
      <c r="PH210" s="12"/>
      <c r="PI210" s="12"/>
      <c r="PJ210" s="12"/>
      <c r="PK210" s="12"/>
      <c r="PL210" s="12"/>
      <c r="PM210" s="12"/>
      <c r="PN210" s="12"/>
      <c r="PO210" s="12"/>
      <c r="PP210" s="12"/>
      <c r="PQ210" s="12"/>
      <c r="PR210" s="12"/>
      <c r="PS210" s="12"/>
      <c r="PT210" s="12"/>
      <c r="PU210" s="12"/>
      <c r="PV210" s="12"/>
      <c r="PW210" s="12"/>
      <c r="PX210" s="12"/>
      <c r="PY210" s="12"/>
      <c r="PZ210" s="12"/>
      <c r="QA210" s="12"/>
      <c r="QB210" s="12"/>
      <c r="QC210" s="12"/>
      <c r="QD210" s="12"/>
      <c r="QE210" s="12"/>
      <c r="QF210" s="12"/>
      <c r="QG210" s="12"/>
      <c r="QH210" s="12"/>
      <c r="QI210" s="12"/>
      <c r="QJ210" s="12"/>
      <c r="QK210" s="12"/>
      <c r="QL210" s="12"/>
      <c r="QM210" s="12"/>
      <c r="QN210" s="12"/>
      <c r="QO210" s="12"/>
      <c r="QP210" s="12"/>
      <c r="QQ210" s="12"/>
      <c r="QR210" s="12"/>
      <c r="QS210" s="12"/>
      <c r="QT210" s="12"/>
      <c r="QU210" s="12"/>
      <c r="QV210" s="12"/>
      <c r="QW210" s="12"/>
      <c r="QX210" s="12"/>
      <c r="QY210" s="12"/>
      <c r="QZ210" s="12"/>
      <c r="RA210" s="12"/>
      <c r="RB210" s="12"/>
      <c r="RC210" s="12"/>
      <c r="RD210" s="12"/>
      <c r="RE210" s="12"/>
      <c r="RF210" s="12"/>
      <c r="RG210" s="12"/>
      <c r="RH210" s="12"/>
      <c r="RI210" s="12"/>
      <c r="RJ210" s="12"/>
      <c r="RK210" s="12"/>
      <c r="RL210" s="12"/>
      <c r="RM210" s="12"/>
      <c r="RN210" s="12"/>
      <c r="RO210" s="12"/>
      <c r="RP210" s="12"/>
      <c r="RQ210" s="12"/>
      <c r="RR210" s="12"/>
      <c r="RS210" s="12"/>
      <c r="RT210" s="12"/>
      <c r="RU210" s="12"/>
      <c r="RV210" s="12"/>
      <c r="RW210" s="12"/>
      <c r="RX210" s="12"/>
      <c r="RY210" s="12"/>
      <c r="RZ210" s="12"/>
      <c r="SA210" s="12"/>
      <c r="SB210" s="12"/>
      <c r="SC210" s="12"/>
      <c r="SD210" s="12"/>
      <c r="SE210" s="12"/>
      <c r="SF210" s="12"/>
      <c r="SG210" s="12"/>
      <c r="SH210" s="11"/>
      <c r="SI210" s="11"/>
      <c r="SJ210" s="11"/>
      <c r="SK210" s="11"/>
      <c r="SL210" s="11"/>
      <c r="SM210" s="11"/>
      <c r="SN210" s="11"/>
      <c r="SO210" s="11"/>
      <c r="SP210" s="11"/>
      <c r="SQ210" s="11"/>
      <c r="SR210" s="11"/>
      <c r="SS210" s="11"/>
      <c r="ST210" s="11"/>
      <c r="SU210" s="11"/>
      <c r="SV210" s="11"/>
      <c r="SW210" s="11"/>
      <c r="SX210" s="11"/>
      <c r="SY210" s="11"/>
      <c r="SZ210" s="11"/>
      <c r="TA210" s="11"/>
      <c r="TB210" s="11"/>
      <c r="TC210" s="11"/>
      <c r="TD210" s="11"/>
      <c r="TE210" s="11"/>
      <c r="TF210" s="11"/>
      <c r="TG210" s="11"/>
      <c r="TH210" s="11"/>
      <c r="TI210" s="11"/>
      <c r="TJ210" s="11"/>
      <c r="TK210" s="11"/>
      <c r="TL210" s="11"/>
    </row>
    <row r="211" spans="1:532" x14ac:dyDescent="0.2">
      <c r="A211" s="10" t="s">
        <v>210</v>
      </c>
      <c r="B211" s="12">
        <v>14.04</v>
      </c>
      <c r="C211" s="11">
        <v>0</v>
      </c>
      <c r="D211" s="11">
        <v>0.9503847056039465</v>
      </c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  <c r="CO211" s="12"/>
      <c r="CP211" s="12"/>
      <c r="CQ211" s="12"/>
      <c r="CR211" s="12"/>
      <c r="CS211" s="12"/>
      <c r="CT211" s="12"/>
      <c r="CU211" s="12"/>
      <c r="CV211" s="12"/>
      <c r="CW211" s="12"/>
      <c r="CX211" s="12"/>
      <c r="CY211" s="12"/>
      <c r="CZ211" s="12"/>
      <c r="DA211" s="12"/>
      <c r="DB211" s="12"/>
      <c r="DC211" s="12"/>
      <c r="DD211" s="12"/>
      <c r="DE211" s="12"/>
      <c r="DF211" s="12"/>
      <c r="DG211" s="12"/>
      <c r="DH211" s="12"/>
      <c r="DI211" s="12"/>
      <c r="DJ211" s="12"/>
      <c r="DK211" s="12"/>
      <c r="DL211" s="12"/>
      <c r="DM211" s="12"/>
      <c r="DN211" s="12"/>
      <c r="DO211" s="12"/>
      <c r="DP211" s="12"/>
      <c r="DQ211" s="12"/>
      <c r="DR211" s="12"/>
      <c r="DS211" s="12"/>
      <c r="DT211" s="12"/>
      <c r="DU211" s="12"/>
      <c r="DV211" s="12"/>
      <c r="DW211" s="12"/>
      <c r="DX211" s="12"/>
      <c r="DY211" s="12"/>
      <c r="DZ211" s="12"/>
      <c r="EA211" s="12"/>
      <c r="EB211" s="12"/>
      <c r="EC211" s="12"/>
      <c r="ED211" s="12"/>
      <c r="EE211" s="12"/>
      <c r="EF211" s="12"/>
      <c r="EG211" s="12"/>
      <c r="EH211" s="12"/>
      <c r="EI211" s="12"/>
      <c r="EJ211" s="12"/>
      <c r="EK211" s="12"/>
      <c r="EL211" s="12"/>
      <c r="EM211" s="12"/>
      <c r="EN211" s="12"/>
      <c r="EO211" s="12"/>
      <c r="EP211" s="12"/>
      <c r="EQ211" s="12"/>
      <c r="ER211" s="12"/>
      <c r="ES211" s="12"/>
      <c r="ET211" s="12"/>
      <c r="EU211" s="12"/>
      <c r="EV211" s="12"/>
      <c r="EW211" s="12"/>
      <c r="EX211" s="12"/>
      <c r="EY211" s="12"/>
      <c r="EZ211" s="12"/>
      <c r="FA211" s="12"/>
      <c r="FB211" s="12"/>
      <c r="FC211" s="12"/>
      <c r="FD211" s="12"/>
      <c r="FE211" s="12"/>
      <c r="FF211" s="12"/>
      <c r="FG211" s="12"/>
      <c r="FH211" s="12"/>
      <c r="FI211" s="12"/>
      <c r="FJ211" s="12"/>
      <c r="FK211" s="12"/>
      <c r="FL211" s="12"/>
      <c r="FM211" s="12"/>
      <c r="FN211" s="12"/>
      <c r="FO211" s="12"/>
      <c r="FP211" s="12"/>
      <c r="FQ211" s="12"/>
      <c r="FR211" s="12"/>
      <c r="FS211" s="12"/>
      <c r="FT211" s="12"/>
      <c r="FU211" s="12"/>
      <c r="FV211" s="12"/>
      <c r="FW211" s="12"/>
      <c r="FX211" s="12"/>
      <c r="FY211" s="12"/>
      <c r="FZ211" s="12"/>
      <c r="GA211" s="12"/>
      <c r="GB211" s="12"/>
      <c r="GC211" s="12"/>
      <c r="GD211" s="12"/>
      <c r="GE211" s="12"/>
      <c r="GF211" s="12"/>
      <c r="GG211" s="12"/>
      <c r="GH211" s="12"/>
      <c r="GI211" s="12"/>
      <c r="GJ211" s="12"/>
      <c r="GK211" s="12"/>
      <c r="GL211" s="12"/>
      <c r="GM211" s="12"/>
      <c r="GN211" s="12"/>
      <c r="GO211" s="12"/>
      <c r="GP211" s="12"/>
      <c r="GQ211" s="12"/>
      <c r="GR211" s="12"/>
      <c r="GS211" s="12"/>
      <c r="GT211" s="12"/>
      <c r="GU211" s="12"/>
      <c r="GV211" s="12"/>
      <c r="GW211" s="12"/>
      <c r="GX211" s="12"/>
      <c r="GY211" s="12"/>
      <c r="GZ211" s="12"/>
      <c r="HA211" s="12"/>
      <c r="HB211" s="12"/>
      <c r="HC211" s="12"/>
      <c r="HD211" s="12"/>
      <c r="HE211" s="12"/>
      <c r="HF211" s="12"/>
      <c r="HG211" s="12"/>
      <c r="HH211" s="12"/>
      <c r="HI211" s="12"/>
      <c r="HJ211" s="12"/>
      <c r="HK211" s="12"/>
      <c r="HL211" s="12"/>
      <c r="HM211" s="12"/>
      <c r="HN211" s="12"/>
      <c r="HO211" s="12"/>
      <c r="HP211" s="12"/>
      <c r="HQ211" s="12"/>
      <c r="HR211" s="12"/>
      <c r="HS211" s="12"/>
      <c r="HT211" s="12"/>
      <c r="HU211" s="12"/>
      <c r="HV211" s="12"/>
      <c r="HW211" s="12"/>
      <c r="HX211" s="12"/>
      <c r="HY211" s="12"/>
      <c r="HZ211" s="12"/>
      <c r="IA211" s="12"/>
      <c r="IB211" s="12"/>
      <c r="IC211" s="12"/>
      <c r="ID211" s="12"/>
      <c r="IE211" s="12"/>
      <c r="IF211" s="12"/>
      <c r="IG211" s="12"/>
      <c r="IH211" s="12"/>
      <c r="II211" s="12"/>
      <c r="IJ211" s="12"/>
      <c r="IK211" s="12"/>
      <c r="IL211" s="12"/>
      <c r="IM211" s="12"/>
      <c r="IN211" s="12"/>
      <c r="IO211" s="12"/>
      <c r="IP211" s="12"/>
      <c r="IQ211" s="12"/>
      <c r="IR211" s="12"/>
      <c r="IS211" s="12"/>
      <c r="IT211" s="12"/>
      <c r="IU211" s="12"/>
      <c r="IV211" s="12"/>
      <c r="IW211" s="12"/>
      <c r="IX211" s="12"/>
      <c r="IY211" s="12"/>
      <c r="IZ211" s="12"/>
      <c r="JA211" s="12"/>
      <c r="JB211" s="12"/>
      <c r="JC211" s="12"/>
      <c r="JD211" s="12"/>
      <c r="JE211" s="12"/>
      <c r="JF211" s="12"/>
      <c r="JG211" s="12"/>
      <c r="JH211" s="12"/>
      <c r="JI211" s="12"/>
      <c r="JJ211" s="12"/>
      <c r="JK211" s="12"/>
      <c r="JL211" s="12"/>
      <c r="JM211" s="12"/>
      <c r="JN211" s="12"/>
      <c r="JO211" s="12"/>
      <c r="JP211" s="12"/>
      <c r="JQ211" s="12"/>
      <c r="JR211" s="12"/>
      <c r="JS211" s="12"/>
      <c r="JT211" s="12"/>
      <c r="JU211" s="12"/>
      <c r="JV211" s="12"/>
      <c r="JW211" s="12"/>
      <c r="JX211" s="12"/>
      <c r="JY211" s="12"/>
      <c r="JZ211" s="12"/>
      <c r="KA211" s="12"/>
      <c r="KB211" s="12"/>
      <c r="KC211" s="12"/>
      <c r="KD211" s="12"/>
      <c r="KE211" s="12"/>
      <c r="KF211" s="12"/>
      <c r="KG211" s="12"/>
      <c r="KH211" s="12"/>
      <c r="KI211" s="12"/>
      <c r="KJ211" s="12"/>
      <c r="KK211" s="12"/>
      <c r="KL211" s="12"/>
      <c r="KM211" s="12"/>
      <c r="KN211" s="12"/>
      <c r="KO211" s="12"/>
      <c r="KP211" s="12"/>
      <c r="KQ211" s="12"/>
      <c r="KR211" s="12"/>
      <c r="KS211" s="12"/>
      <c r="KT211" s="12"/>
      <c r="KU211" s="12"/>
      <c r="KV211" s="12"/>
      <c r="KW211" s="12"/>
      <c r="KX211" s="12"/>
      <c r="KY211" s="12"/>
      <c r="KZ211" s="12"/>
      <c r="LA211" s="12"/>
      <c r="LB211" s="12"/>
      <c r="LC211" s="12"/>
      <c r="LD211" s="12"/>
      <c r="LE211" s="12"/>
      <c r="LF211" s="12"/>
      <c r="LG211" s="12"/>
      <c r="LH211" s="12"/>
      <c r="LI211" s="12"/>
      <c r="LJ211" s="12"/>
      <c r="LK211" s="12"/>
      <c r="LL211" s="12"/>
      <c r="LM211" s="12"/>
      <c r="LN211" s="12"/>
      <c r="LO211" s="12"/>
      <c r="LP211" s="12"/>
      <c r="LQ211" s="12"/>
      <c r="LR211" s="12"/>
      <c r="LS211" s="12"/>
      <c r="LT211" s="12"/>
      <c r="LU211" s="12"/>
      <c r="LV211" s="12"/>
      <c r="LW211" s="12"/>
      <c r="LX211" s="12"/>
      <c r="LY211" s="12"/>
      <c r="LZ211" s="12"/>
      <c r="MA211" s="12"/>
      <c r="MB211" s="12"/>
      <c r="MC211" s="12"/>
      <c r="MD211" s="12"/>
      <c r="ME211" s="12"/>
      <c r="MF211" s="12"/>
      <c r="MG211" s="12"/>
      <c r="MH211" s="12"/>
      <c r="MI211" s="12"/>
      <c r="MJ211" s="12"/>
      <c r="MK211" s="12"/>
      <c r="ML211" s="12"/>
      <c r="MM211" s="12"/>
      <c r="MN211" s="12"/>
      <c r="MO211" s="12"/>
      <c r="MP211" s="12"/>
      <c r="MQ211" s="12"/>
      <c r="MR211" s="12"/>
      <c r="MS211" s="12"/>
      <c r="MT211" s="12"/>
      <c r="MU211" s="12"/>
      <c r="MV211" s="12"/>
      <c r="MW211" s="12"/>
      <c r="MX211" s="12"/>
      <c r="MY211" s="12"/>
      <c r="MZ211" s="12"/>
      <c r="NA211" s="12"/>
      <c r="NB211" s="12"/>
      <c r="NC211" s="12"/>
      <c r="ND211" s="12"/>
      <c r="NE211" s="12"/>
      <c r="NF211" s="12"/>
      <c r="NG211" s="12"/>
      <c r="NH211" s="12"/>
      <c r="NI211" s="12"/>
      <c r="NJ211" s="12"/>
      <c r="NK211" s="12"/>
      <c r="NL211" s="12"/>
      <c r="NM211" s="12"/>
      <c r="NN211" s="12"/>
      <c r="NO211" s="12"/>
      <c r="NP211" s="12"/>
      <c r="NQ211" s="12"/>
      <c r="NR211" s="12"/>
      <c r="NS211" s="12"/>
      <c r="NT211" s="12"/>
      <c r="NU211" s="12"/>
      <c r="NV211" s="12"/>
      <c r="NW211" s="12"/>
      <c r="NX211" s="12"/>
      <c r="NY211" s="12"/>
      <c r="NZ211" s="12"/>
      <c r="OA211" s="12"/>
      <c r="OB211" s="12"/>
      <c r="OC211" s="12"/>
      <c r="OD211" s="12"/>
      <c r="OE211" s="12"/>
      <c r="OF211" s="12"/>
      <c r="OG211" s="12"/>
      <c r="OH211" s="12"/>
      <c r="OI211" s="12"/>
      <c r="OJ211" s="12"/>
      <c r="OK211" s="12"/>
      <c r="OL211" s="12"/>
      <c r="OM211" s="12"/>
      <c r="ON211" s="12"/>
      <c r="OO211" s="12"/>
      <c r="OP211" s="12"/>
      <c r="OQ211" s="12"/>
      <c r="OR211" s="12"/>
      <c r="OS211" s="12"/>
      <c r="OT211" s="12"/>
      <c r="OU211" s="12"/>
      <c r="OV211" s="12"/>
      <c r="OW211" s="12"/>
      <c r="OX211" s="12"/>
      <c r="OY211" s="12"/>
      <c r="OZ211" s="12"/>
      <c r="PA211" s="12"/>
      <c r="PB211" s="12"/>
      <c r="PC211" s="12"/>
      <c r="PD211" s="12"/>
      <c r="PE211" s="12"/>
      <c r="PF211" s="12"/>
      <c r="PG211" s="12"/>
      <c r="PH211" s="12"/>
      <c r="PI211" s="12"/>
      <c r="PJ211" s="12"/>
      <c r="PK211" s="12"/>
      <c r="PL211" s="12"/>
      <c r="PM211" s="12"/>
      <c r="PN211" s="12"/>
      <c r="PO211" s="12"/>
      <c r="PP211" s="12"/>
      <c r="PQ211" s="12"/>
      <c r="PR211" s="12"/>
      <c r="PS211" s="12"/>
      <c r="PT211" s="12"/>
      <c r="PU211" s="12"/>
      <c r="PV211" s="12"/>
      <c r="PW211" s="12"/>
      <c r="PX211" s="12"/>
      <c r="PY211" s="12"/>
      <c r="PZ211" s="12"/>
      <c r="QA211" s="12"/>
      <c r="QB211" s="12"/>
      <c r="QC211" s="12"/>
      <c r="QD211" s="12"/>
      <c r="QE211" s="12"/>
      <c r="QF211" s="12"/>
      <c r="QG211" s="12"/>
      <c r="QH211" s="12"/>
      <c r="QI211" s="12"/>
      <c r="QJ211" s="12"/>
      <c r="QK211" s="12"/>
      <c r="QL211" s="12"/>
      <c r="QM211" s="12"/>
      <c r="QN211" s="12"/>
      <c r="QO211" s="12"/>
      <c r="QP211" s="12"/>
      <c r="QQ211" s="12"/>
      <c r="QR211" s="12"/>
      <c r="QS211" s="12"/>
      <c r="QT211" s="12"/>
      <c r="QU211" s="12"/>
      <c r="QV211" s="12"/>
      <c r="QW211" s="12"/>
      <c r="QX211" s="12"/>
      <c r="QY211" s="12"/>
      <c r="QZ211" s="12"/>
      <c r="RA211" s="12"/>
      <c r="RB211" s="12"/>
      <c r="RC211" s="12"/>
      <c r="RD211" s="12"/>
      <c r="RE211" s="12"/>
      <c r="RF211" s="12"/>
      <c r="RG211" s="12"/>
      <c r="RH211" s="12"/>
      <c r="RI211" s="12"/>
      <c r="RJ211" s="12"/>
      <c r="RK211" s="12"/>
      <c r="RL211" s="12"/>
      <c r="RM211" s="12"/>
      <c r="RN211" s="12"/>
      <c r="RO211" s="12"/>
      <c r="RP211" s="12"/>
      <c r="RQ211" s="12"/>
      <c r="RR211" s="12"/>
      <c r="RS211" s="12"/>
      <c r="RT211" s="12"/>
      <c r="RU211" s="12"/>
      <c r="RV211" s="12"/>
      <c r="RW211" s="12"/>
      <c r="RX211" s="12"/>
      <c r="RY211" s="12"/>
      <c r="RZ211" s="12"/>
      <c r="SA211" s="12"/>
      <c r="SB211" s="12"/>
      <c r="SC211" s="12"/>
      <c r="SD211" s="12"/>
      <c r="SE211" s="12"/>
      <c r="SF211" s="12"/>
      <c r="SG211" s="12"/>
      <c r="SH211" s="11"/>
      <c r="SI211" s="11"/>
      <c r="SJ211" s="11"/>
      <c r="SK211" s="11"/>
      <c r="SL211" s="11"/>
      <c r="SM211" s="11"/>
      <c r="SN211" s="11"/>
      <c r="SO211" s="11"/>
      <c r="SP211" s="11"/>
      <c r="SQ211" s="11"/>
      <c r="SR211" s="11"/>
      <c r="SS211" s="11"/>
      <c r="ST211" s="11"/>
      <c r="SU211" s="11"/>
      <c r="SV211" s="11"/>
      <c r="SW211" s="11"/>
      <c r="SX211" s="11"/>
      <c r="SY211" s="11"/>
      <c r="SZ211" s="11"/>
      <c r="TA211" s="11"/>
      <c r="TB211" s="11"/>
      <c r="TC211" s="11"/>
      <c r="TD211" s="11"/>
      <c r="TE211" s="11"/>
      <c r="TF211" s="11"/>
      <c r="TG211" s="11"/>
      <c r="TH211" s="11"/>
      <c r="TI211" s="11"/>
      <c r="TJ211" s="11"/>
      <c r="TK211" s="11"/>
      <c r="TL211" s="11"/>
    </row>
    <row r="212" spans="1:532" x14ac:dyDescent="0.2">
      <c r="A212" s="10" t="s">
        <v>211</v>
      </c>
      <c r="B212" s="12">
        <v>13.88</v>
      </c>
      <c r="C212" s="11">
        <v>0</v>
      </c>
      <c r="D212" s="11">
        <v>1.1087821565379379</v>
      </c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12"/>
      <c r="EP212" s="12"/>
      <c r="EQ212" s="12"/>
      <c r="ER212" s="12"/>
      <c r="ES212" s="12"/>
      <c r="ET212" s="12"/>
      <c r="EU212" s="12"/>
      <c r="EV212" s="12"/>
      <c r="EW212" s="12"/>
      <c r="EX212" s="12"/>
      <c r="EY212" s="12"/>
      <c r="EZ212" s="12"/>
      <c r="FA212" s="12"/>
      <c r="FB212" s="12"/>
      <c r="FC212" s="12"/>
      <c r="FD212" s="12"/>
      <c r="FE212" s="12"/>
      <c r="FF212" s="12"/>
      <c r="FG212" s="12"/>
      <c r="FH212" s="12"/>
      <c r="FI212" s="12"/>
      <c r="FJ212" s="12"/>
      <c r="FK212" s="12"/>
      <c r="FL212" s="12"/>
      <c r="FM212" s="12"/>
      <c r="FN212" s="12"/>
      <c r="FO212" s="12"/>
      <c r="FP212" s="12"/>
      <c r="FQ212" s="12"/>
      <c r="FR212" s="12"/>
      <c r="FS212" s="12"/>
      <c r="FT212" s="12"/>
      <c r="FU212" s="12"/>
      <c r="FV212" s="12"/>
      <c r="FW212" s="12"/>
      <c r="FX212" s="12"/>
      <c r="FY212" s="12"/>
      <c r="FZ212" s="12"/>
      <c r="GA212" s="12"/>
      <c r="GB212" s="12"/>
      <c r="GC212" s="12"/>
      <c r="GD212" s="12"/>
      <c r="GE212" s="12"/>
      <c r="GF212" s="12"/>
      <c r="GG212" s="12"/>
      <c r="GH212" s="12"/>
      <c r="GI212" s="12"/>
      <c r="GJ212" s="12"/>
      <c r="GK212" s="12"/>
      <c r="GL212" s="12"/>
      <c r="GM212" s="12"/>
      <c r="GN212" s="12"/>
      <c r="GO212" s="12"/>
      <c r="GP212" s="12"/>
      <c r="GQ212" s="12"/>
      <c r="GR212" s="12"/>
      <c r="GS212" s="12"/>
      <c r="GT212" s="12"/>
      <c r="GU212" s="12"/>
      <c r="GV212" s="12"/>
      <c r="GW212" s="12"/>
      <c r="GX212" s="12"/>
      <c r="GY212" s="12"/>
      <c r="GZ212" s="12"/>
      <c r="HA212" s="12"/>
      <c r="HB212" s="12"/>
      <c r="HC212" s="12"/>
      <c r="HD212" s="12"/>
      <c r="HE212" s="12"/>
      <c r="HF212" s="12"/>
      <c r="HG212" s="12"/>
      <c r="HH212" s="12"/>
      <c r="HI212" s="12"/>
      <c r="HJ212" s="12"/>
      <c r="HK212" s="12"/>
      <c r="HL212" s="12"/>
      <c r="HM212" s="12"/>
      <c r="HN212" s="12"/>
      <c r="HO212" s="12"/>
      <c r="HP212" s="12"/>
      <c r="HQ212" s="12"/>
      <c r="HR212" s="12"/>
      <c r="HS212" s="12"/>
      <c r="HT212" s="12"/>
      <c r="HU212" s="12"/>
      <c r="HV212" s="12"/>
      <c r="HW212" s="12"/>
      <c r="HX212" s="12"/>
      <c r="HY212" s="12"/>
      <c r="HZ212" s="12"/>
      <c r="IA212" s="12"/>
      <c r="IB212" s="12"/>
      <c r="IC212" s="12"/>
      <c r="ID212" s="12"/>
      <c r="IE212" s="12"/>
      <c r="IF212" s="12"/>
      <c r="IG212" s="12"/>
      <c r="IH212" s="12"/>
      <c r="II212" s="12"/>
      <c r="IJ212" s="12"/>
      <c r="IK212" s="12"/>
      <c r="IL212" s="12"/>
      <c r="IM212" s="12"/>
      <c r="IN212" s="12"/>
      <c r="IO212" s="12"/>
      <c r="IP212" s="12"/>
      <c r="IQ212" s="12"/>
      <c r="IR212" s="12"/>
      <c r="IS212" s="12"/>
      <c r="IT212" s="12"/>
      <c r="IU212" s="12"/>
      <c r="IV212" s="12"/>
      <c r="IW212" s="12"/>
      <c r="IX212" s="12"/>
      <c r="IY212" s="12"/>
      <c r="IZ212" s="12"/>
      <c r="JA212" s="12"/>
      <c r="JB212" s="12"/>
      <c r="JC212" s="12"/>
      <c r="JD212" s="12"/>
      <c r="JE212" s="12"/>
      <c r="JF212" s="12"/>
      <c r="JG212" s="12"/>
      <c r="JH212" s="12"/>
      <c r="JI212" s="12"/>
      <c r="JJ212" s="12"/>
      <c r="JK212" s="12"/>
      <c r="JL212" s="12"/>
      <c r="JM212" s="12"/>
      <c r="JN212" s="12"/>
      <c r="JO212" s="12"/>
      <c r="JP212" s="12"/>
      <c r="JQ212" s="12"/>
      <c r="JR212" s="12"/>
      <c r="JS212" s="12"/>
      <c r="JT212" s="12"/>
      <c r="JU212" s="12"/>
      <c r="JV212" s="12"/>
      <c r="JW212" s="12"/>
      <c r="JX212" s="12"/>
      <c r="JY212" s="12"/>
      <c r="JZ212" s="12"/>
      <c r="KA212" s="12"/>
      <c r="KB212" s="12"/>
      <c r="KC212" s="12"/>
      <c r="KD212" s="12"/>
      <c r="KE212" s="12"/>
      <c r="KF212" s="12"/>
      <c r="KG212" s="12"/>
      <c r="KH212" s="12"/>
      <c r="KI212" s="12"/>
      <c r="KJ212" s="12"/>
      <c r="KK212" s="12"/>
      <c r="KL212" s="12"/>
      <c r="KM212" s="12"/>
      <c r="KN212" s="12"/>
      <c r="KO212" s="12"/>
      <c r="KP212" s="12"/>
      <c r="KQ212" s="12"/>
      <c r="KR212" s="12"/>
      <c r="KS212" s="12"/>
      <c r="KT212" s="12"/>
      <c r="KU212" s="12"/>
      <c r="KV212" s="12"/>
      <c r="KW212" s="12"/>
      <c r="KX212" s="12"/>
      <c r="KY212" s="12"/>
      <c r="KZ212" s="12"/>
      <c r="LA212" s="12"/>
      <c r="LB212" s="12"/>
      <c r="LC212" s="12"/>
      <c r="LD212" s="12"/>
      <c r="LE212" s="12"/>
      <c r="LF212" s="12"/>
      <c r="LG212" s="12"/>
      <c r="LH212" s="12"/>
      <c r="LI212" s="12"/>
      <c r="LJ212" s="12"/>
      <c r="LK212" s="12"/>
      <c r="LL212" s="12"/>
      <c r="LM212" s="12"/>
      <c r="LN212" s="12"/>
      <c r="LO212" s="12"/>
      <c r="LP212" s="12"/>
      <c r="LQ212" s="12"/>
      <c r="LR212" s="12"/>
      <c r="LS212" s="12"/>
      <c r="LT212" s="12"/>
      <c r="LU212" s="12"/>
      <c r="LV212" s="12"/>
      <c r="LW212" s="12"/>
      <c r="LX212" s="12"/>
      <c r="LY212" s="12"/>
      <c r="LZ212" s="12"/>
      <c r="MA212" s="12"/>
      <c r="MB212" s="12"/>
      <c r="MC212" s="12"/>
      <c r="MD212" s="12"/>
      <c r="ME212" s="12"/>
      <c r="MF212" s="12"/>
      <c r="MG212" s="12"/>
      <c r="MH212" s="12"/>
      <c r="MI212" s="12"/>
      <c r="MJ212" s="12"/>
      <c r="MK212" s="12"/>
      <c r="ML212" s="12"/>
      <c r="MM212" s="12"/>
      <c r="MN212" s="12"/>
      <c r="MO212" s="12"/>
      <c r="MP212" s="12"/>
      <c r="MQ212" s="12"/>
      <c r="MR212" s="12"/>
      <c r="MS212" s="12"/>
      <c r="MT212" s="12"/>
      <c r="MU212" s="12"/>
      <c r="MV212" s="12"/>
      <c r="MW212" s="12"/>
      <c r="MX212" s="12"/>
      <c r="MY212" s="12"/>
      <c r="MZ212" s="12"/>
      <c r="NA212" s="12"/>
      <c r="NB212" s="12"/>
      <c r="NC212" s="12"/>
      <c r="ND212" s="12"/>
      <c r="NE212" s="12"/>
      <c r="NF212" s="12"/>
      <c r="NG212" s="12"/>
      <c r="NH212" s="12"/>
      <c r="NI212" s="12"/>
      <c r="NJ212" s="12"/>
      <c r="NK212" s="12"/>
      <c r="NL212" s="12"/>
      <c r="NM212" s="12"/>
      <c r="NN212" s="12"/>
      <c r="NO212" s="12"/>
      <c r="NP212" s="12"/>
      <c r="NQ212" s="12"/>
      <c r="NR212" s="12"/>
      <c r="NS212" s="12"/>
      <c r="NT212" s="12"/>
      <c r="NU212" s="12"/>
      <c r="NV212" s="12"/>
      <c r="NW212" s="12"/>
      <c r="NX212" s="12"/>
      <c r="NY212" s="12"/>
      <c r="NZ212" s="12"/>
      <c r="OA212" s="12"/>
      <c r="OB212" s="12"/>
      <c r="OC212" s="12"/>
      <c r="OD212" s="12"/>
      <c r="OE212" s="12"/>
      <c r="OF212" s="12"/>
      <c r="OG212" s="12"/>
      <c r="OH212" s="12"/>
      <c r="OI212" s="12"/>
      <c r="OJ212" s="12"/>
      <c r="OK212" s="12"/>
      <c r="OL212" s="12"/>
      <c r="OM212" s="12"/>
      <c r="ON212" s="12"/>
      <c r="OO212" s="12"/>
      <c r="OP212" s="12"/>
      <c r="OQ212" s="12"/>
      <c r="OR212" s="12"/>
      <c r="OS212" s="12"/>
      <c r="OT212" s="12"/>
      <c r="OU212" s="12"/>
      <c r="OV212" s="12"/>
      <c r="OW212" s="12"/>
      <c r="OX212" s="12"/>
      <c r="OY212" s="12"/>
      <c r="OZ212" s="12"/>
      <c r="PA212" s="12"/>
      <c r="PB212" s="12"/>
      <c r="PC212" s="12"/>
      <c r="PD212" s="12"/>
      <c r="PE212" s="12"/>
      <c r="PF212" s="12"/>
      <c r="PG212" s="12"/>
      <c r="PH212" s="12"/>
      <c r="PI212" s="12"/>
      <c r="PJ212" s="12"/>
      <c r="PK212" s="12"/>
      <c r="PL212" s="12"/>
      <c r="PM212" s="12"/>
      <c r="PN212" s="12"/>
      <c r="PO212" s="12"/>
      <c r="PP212" s="12"/>
      <c r="PQ212" s="12"/>
      <c r="PR212" s="12"/>
      <c r="PS212" s="12"/>
      <c r="PT212" s="12"/>
      <c r="PU212" s="12"/>
      <c r="PV212" s="12"/>
      <c r="PW212" s="12"/>
      <c r="PX212" s="12"/>
      <c r="PY212" s="12"/>
      <c r="PZ212" s="12"/>
      <c r="QA212" s="12"/>
      <c r="QB212" s="12"/>
      <c r="QC212" s="12"/>
      <c r="QD212" s="12"/>
      <c r="QE212" s="12"/>
      <c r="QF212" s="12"/>
      <c r="QG212" s="12"/>
      <c r="QH212" s="12"/>
      <c r="QI212" s="12"/>
      <c r="QJ212" s="12"/>
      <c r="QK212" s="12"/>
      <c r="QL212" s="12"/>
      <c r="QM212" s="12"/>
      <c r="QN212" s="12"/>
      <c r="QO212" s="12"/>
      <c r="QP212" s="12"/>
      <c r="QQ212" s="12"/>
      <c r="QR212" s="12"/>
      <c r="QS212" s="12"/>
      <c r="QT212" s="12"/>
      <c r="QU212" s="12"/>
      <c r="QV212" s="12"/>
      <c r="QW212" s="12"/>
      <c r="QX212" s="12"/>
      <c r="QY212" s="12"/>
      <c r="QZ212" s="12"/>
      <c r="RA212" s="12"/>
      <c r="RB212" s="12"/>
      <c r="RC212" s="12"/>
      <c r="RD212" s="12"/>
      <c r="RE212" s="12"/>
      <c r="RF212" s="12"/>
      <c r="RG212" s="12"/>
      <c r="RH212" s="12"/>
      <c r="RI212" s="12"/>
      <c r="RJ212" s="12"/>
      <c r="RK212" s="12"/>
      <c r="RL212" s="12"/>
      <c r="RM212" s="12"/>
      <c r="RN212" s="12"/>
      <c r="RO212" s="12"/>
      <c r="RP212" s="12"/>
      <c r="RQ212" s="12"/>
      <c r="RR212" s="12"/>
      <c r="RS212" s="12"/>
      <c r="RT212" s="12"/>
      <c r="RU212" s="12"/>
      <c r="RV212" s="12"/>
      <c r="RW212" s="12"/>
      <c r="RX212" s="12"/>
      <c r="RY212" s="12"/>
      <c r="RZ212" s="12"/>
      <c r="SA212" s="12"/>
      <c r="SB212" s="12"/>
      <c r="SC212" s="12"/>
      <c r="SD212" s="12"/>
      <c r="SE212" s="12"/>
      <c r="SF212" s="12"/>
      <c r="SG212" s="12"/>
      <c r="SH212" s="11"/>
      <c r="SI212" s="11"/>
      <c r="SJ212" s="11"/>
      <c r="SK212" s="11"/>
      <c r="SL212" s="11"/>
      <c r="SM212" s="11"/>
      <c r="SN212" s="11"/>
      <c r="SO212" s="11"/>
      <c r="SP212" s="11"/>
      <c r="SQ212" s="11"/>
      <c r="SR212" s="11"/>
      <c r="SS212" s="11"/>
      <c r="ST212" s="11"/>
      <c r="SU212" s="11"/>
      <c r="SV212" s="11"/>
      <c r="SW212" s="11"/>
      <c r="SX212" s="11"/>
      <c r="SY212" s="11"/>
      <c r="SZ212" s="11"/>
      <c r="TA212" s="11"/>
      <c r="TB212" s="11"/>
      <c r="TC212" s="11"/>
      <c r="TD212" s="11"/>
      <c r="TE212" s="11"/>
      <c r="TF212" s="11"/>
      <c r="TG212" s="11"/>
      <c r="TH212" s="11"/>
      <c r="TI212" s="11"/>
      <c r="TJ212" s="11"/>
      <c r="TK212" s="11"/>
      <c r="TL212" s="11"/>
    </row>
    <row r="213" spans="1:532" x14ac:dyDescent="0.2">
      <c r="A213" s="10" t="s">
        <v>212</v>
      </c>
      <c r="B213" s="12">
        <v>13.79</v>
      </c>
      <c r="C213" s="11">
        <v>0</v>
      </c>
      <c r="D213" s="11">
        <v>1.1978807226883077</v>
      </c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  <c r="CO213" s="12"/>
      <c r="CP213" s="12"/>
      <c r="CQ213" s="12"/>
      <c r="CR213" s="12"/>
      <c r="CS213" s="12"/>
      <c r="CT213" s="12"/>
      <c r="CU213" s="12"/>
      <c r="CV213" s="12"/>
      <c r="CW213" s="12"/>
      <c r="CX213" s="12"/>
      <c r="CY213" s="12"/>
      <c r="CZ213" s="12"/>
      <c r="DA213" s="12"/>
      <c r="DB213" s="12"/>
      <c r="DC213" s="12"/>
      <c r="DD213" s="12"/>
      <c r="DE213" s="12"/>
      <c r="DF213" s="12"/>
      <c r="DG213" s="12"/>
      <c r="DH213" s="12"/>
      <c r="DI213" s="12"/>
      <c r="DJ213" s="12"/>
      <c r="DK213" s="12"/>
      <c r="DL213" s="12"/>
      <c r="DM213" s="12"/>
      <c r="DN213" s="12"/>
      <c r="DO213" s="12"/>
      <c r="DP213" s="12"/>
      <c r="DQ213" s="12"/>
      <c r="DR213" s="12"/>
      <c r="DS213" s="12"/>
      <c r="DT213" s="12"/>
      <c r="DU213" s="12"/>
      <c r="DV213" s="12"/>
      <c r="DW213" s="12"/>
      <c r="DX213" s="12"/>
      <c r="DY213" s="12"/>
      <c r="DZ213" s="12"/>
      <c r="EA213" s="12"/>
      <c r="EB213" s="12"/>
      <c r="EC213" s="12"/>
      <c r="ED213" s="12"/>
      <c r="EE213" s="12"/>
      <c r="EF213" s="12"/>
      <c r="EG213" s="12"/>
      <c r="EH213" s="12"/>
      <c r="EI213" s="12"/>
      <c r="EJ213" s="12"/>
      <c r="EK213" s="12"/>
      <c r="EL213" s="12"/>
      <c r="EM213" s="12"/>
      <c r="EN213" s="12"/>
      <c r="EO213" s="12"/>
      <c r="EP213" s="12"/>
      <c r="EQ213" s="12"/>
      <c r="ER213" s="12"/>
      <c r="ES213" s="12"/>
      <c r="ET213" s="12"/>
      <c r="EU213" s="12"/>
      <c r="EV213" s="12"/>
      <c r="EW213" s="12"/>
      <c r="EX213" s="12"/>
      <c r="EY213" s="12"/>
      <c r="EZ213" s="12"/>
      <c r="FA213" s="12"/>
      <c r="FB213" s="12"/>
      <c r="FC213" s="12"/>
      <c r="FD213" s="12"/>
      <c r="FE213" s="12"/>
      <c r="FF213" s="12"/>
      <c r="FG213" s="12"/>
      <c r="FH213" s="12"/>
      <c r="FI213" s="12"/>
      <c r="FJ213" s="12"/>
      <c r="FK213" s="12"/>
      <c r="FL213" s="12"/>
      <c r="FM213" s="12"/>
      <c r="FN213" s="12"/>
      <c r="FO213" s="12"/>
      <c r="FP213" s="12"/>
      <c r="FQ213" s="12"/>
      <c r="FR213" s="12"/>
      <c r="FS213" s="12"/>
      <c r="FT213" s="12"/>
      <c r="FU213" s="12"/>
      <c r="FV213" s="12"/>
      <c r="FW213" s="12"/>
      <c r="FX213" s="12"/>
      <c r="FY213" s="12"/>
      <c r="FZ213" s="12"/>
      <c r="GA213" s="12"/>
      <c r="GB213" s="12"/>
      <c r="GC213" s="12"/>
      <c r="GD213" s="12"/>
      <c r="GE213" s="12"/>
      <c r="GF213" s="12"/>
      <c r="GG213" s="12"/>
      <c r="GH213" s="12"/>
      <c r="GI213" s="12"/>
      <c r="GJ213" s="12"/>
      <c r="GK213" s="12"/>
      <c r="GL213" s="12"/>
      <c r="GM213" s="12"/>
      <c r="GN213" s="12"/>
      <c r="GO213" s="12"/>
      <c r="GP213" s="12"/>
      <c r="GQ213" s="12"/>
      <c r="GR213" s="12"/>
      <c r="GS213" s="12"/>
      <c r="GT213" s="12"/>
      <c r="GU213" s="12"/>
      <c r="GV213" s="12"/>
      <c r="GW213" s="12"/>
      <c r="GX213" s="12"/>
      <c r="GY213" s="12"/>
      <c r="GZ213" s="12"/>
      <c r="HA213" s="12"/>
      <c r="HB213" s="12"/>
      <c r="HC213" s="12"/>
      <c r="HD213" s="12"/>
      <c r="HE213" s="12"/>
      <c r="HF213" s="12"/>
      <c r="HG213" s="12"/>
      <c r="HH213" s="12"/>
      <c r="HI213" s="12"/>
      <c r="HJ213" s="12"/>
      <c r="HK213" s="12"/>
      <c r="HL213" s="12"/>
      <c r="HM213" s="12"/>
      <c r="HN213" s="12"/>
      <c r="HO213" s="12"/>
      <c r="HP213" s="12"/>
      <c r="HQ213" s="12"/>
      <c r="HR213" s="12"/>
      <c r="HS213" s="12"/>
      <c r="HT213" s="12"/>
      <c r="HU213" s="12"/>
      <c r="HV213" s="12"/>
      <c r="HW213" s="12"/>
      <c r="HX213" s="12"/>
      <c r="HY213" s="12"/>
      <c r="HZ213" s="12"/>
      <c r="IA213" s="12"/>
      <c r="IB213" s="12"/>
      <c r="IC213" s="12"/>
      <c r="ID213" s="12"/>
      <c r="IE213" s="12"/>
      <c r="IF213" s="12"/>
      <c r="IG213" s="12"/>
      <c r="IH213" s="12"/>
      <c r="II213" s="12"/>
      <c r="IJ213" s="12"/>
      <c r="IK213" s="12"/>
      <c r="IL213" s="12"/>
      <c r="IM213" s="12"/>
      <c r="IN213" s="12"/>
      <c r="IO213" s="12"/>
      <c r="IP213" s="12"/>
      <c r="IQ213" s="12"/>
      <c r="IR213" s="12"/>
      <c r="IS213" s="12"/>
      <c r="IT213" s="12"/>
      <c r="IU213" s="12"/>
      <c r="IV213" s="12"/>
      <c r="IW213" s="12"/>
      <c r="IX213" s="12"/>
      <c r="IY213" s="12"/>
      <c r="IZ213" s="12"/>
      <c r="JA213" s="12"/>
      <c r="JB213" s="12"/>
      <c r="JC213" s="12"/>
      <c r="JD213" s="12"/>
      <c r="JE213" s="12"/>
      <c r="JF213" s="12"/>
      <c r="JG213" s="12"/>
      <c r="JH213" s="12"/>
      <c r="JI213" s="12"/>
      <c r="JJ213" s="12"/>
      <c r="JK213" s="12"/>
      <c r="JL213" s="12"/>
      <c r="JM213" s="12"/>
      <c r="JN213" s="12"/>
      <c r="JO213" s="12"/>
      <c r="JP213" s="12"/>
      <c r="JQ213" s="12"/>
      <c r="JR213" s="12"/>
      <c r="JS213" s="12"/>
      <c r="JT213" s="12"/>
      <c r="JU213" s="12"/>
      <c r="JV213" s="12"/>
      <c r="JW213" s="12"/>
      <c r="JX213" s="12"/>
      <c r="JY213" s="12"/>
      <c r="JZ213" s="12"/>
      <c r="KA213" s="12"/>
      <c r="KB213" s="12"/>
      <c r="KC213" s="12"/>
      <c r="KD213" s="12"/>
      <c r="KE213" s="12"/>
      <c r="KF213" s="12"/>
      <c r="KG213" s="12"/>
      <c r="KH213" s="12"/>
      <c r="KI213" s="12"/>
      <c r="KJ213" s="12"/>
      <c r="KK213" s="12"/>
      <c r="KL213" s="12"/>
      <c r="KM213" s="12"/>
      <c r="KN213" s="12"/>
      <c r="KO213" s="12"/>
      <c r="KP213" s="12"/>
      <c r="KQ213" s="12"/>
      <c r="KR213" s="12"/>
      <c r="KS213" s="12"/>
      <c r="KT213" s="12"/>
      <c r="KU213" s="12"/>
      <c r="KV213" s="12"/>
      <c r="KW213" s="12"/>
      <c r="KX213" s="12"/>
      <c r="KY213" s="12"/>
      <c r="KZ213" s="12"/>
      <c r="LA213" s="12"/>
      <c r="LB213" s="12"/>
      <c r="LC213" s="12"/>
      <c r="LD213" s="12"/>
      <c r="LE213" s="12"/>
      <c r="LF213" s="12"/>
      <c r="LG213" s="12"/>
      <c r="LH213" s="12"/>
      <c r="LI213" s="12"/>
      <c r="LJ213" s="12"/>
      <c r="LK213" s="12"/>
      <c r="LL213" s="12"/>
      <c r="LM213" s="12"/>
      <c r="LN213" s="12"/>
      <c r="LO213" s="12"/>
      <c r="LP213" s="12"/>
      <c r="LQ213" s="12"/>
      <c r="LR213" s="12"/>
      <c r="LS213" s="12"/>
      <c r="LT213" s="12"/>
      <c r="LU213" s="12"/>
      <c r="LV213" s="12"/>
      <c r="LW213" s="12"/>
      <c r="LX213" s="12"/>
      <c r="LY213" s="12"/>
      <c r="LZ213" s="12"/>
      <c r="MA213" s="12"/>
      <c r="MB213" s="12"/>
      <c r="MC213" s="12"/>
      <c r="MD213" s="12"/>
      <c r="ME213" s="12"/>
      <c r="MF213" s="12"/>
      <c r="MG213" s="12"/>
      <c r="MH213" s="12"/>
      <c r="MI213" s="12"/>
      <c r="MJ213" s="12"/>
      <c r="MK213" s="12"/>
      <c r="ML213" s="12"/>
      <c r="MM213" s="12"/>
      <c r="MN213" s="12"/>
      <c r="MO213" s="12"/>
      <c r="MP213" s="12"/>
      <c r="MQ213" s="12"/>
      <c r="MR213" s="12"/>
      <c r="MS213" s="12"/>
      <c r="MT213" s="12"/>
      <c r="MU213" s="12"/>
      <c r="MV213" s="12"/>
      <c r="MW213" s="12"/>
      <c r="MX213" s="12"/>
      <c r="MY213" s="12"/>
      <c r="MZ213" s="12"/>
      <c r="NA213" s="12"/>
      <c r="NB213" s="12"/>
      <c r="NC213" s="12"/>
      <c r="ND213" s="12"/>
      <c r="NE213" s="12"/>
      <c r="NF213" s="12"/>
      <c r="NG213" s="12"/>
      <c r="NH213" s="12"/>
      <c r="NI213" s="12"/>
      <c r="NJ213" s="12"/>
      <c r="NK213" s="12"/>
      <c r="NL213" s="12"/>
      <c r="NM213" s="12"/>
      <c r="NN213" s="12"/>
      <c r="NO213" s="12"/>
      <c r="NP213" s="12"/>
      <c r="NQ213" s="12"/>
      <c r="NR213" s="12"/>
      <c r="NS213" s="12"/>
      <c r="NT213" s="12"/>
      <c r="NU213" s="12"/>
      <c r="NV213" s="12"/>
      <c r="NW213" s="12"/>
      <c r="NX213" s="12"/>
      <c r="NY213" s="12"/>
      <c r="NZ213" s="12"/>
      <c r="OA213" s="12"/>
      <c r="OB213" s="12"/>
      <c r="OC213" s="12"/>
      <c r="OD213" s="12"/>
      <c r="OE213" s="12"/>
      <c r="OF213" s="12"/>
      <c r="OG213" s="12"/>
      <c r="OH213" s="12"/>
      <c r="OI213" s="12"/>
      <c r="OJ213" s="12"/>
      <c r="OK213" s="12"/>
      <c r="OL213" s="12"/>
      <c r="OM213" s="12"/>
      <c r="ON213" s="12"/>
      <c r="OO213" s="12"/>
      <c r="OP213" s="12"/>
      <c r="OQ213" s="12"/>
      <c r="OR213" s="12"/>
      <c r="OS213" s="12"/>
      <c r="OT213" s="12"/>
      <c r="OU213" s="12"/>
      <c r="OV213" s="12"/>
      <c r="OW213" s="12"/>
      <c r="OX213" s="12"/>
      <c r="OY213" s="12"/>
      <c r="OZ213" s="12"/>
      <c r="PA213" s="12"/>
      <c r="PB213" s="12"/>
      <c r="PC213" s="12"/>
      <c r="PD213" s="12"/>
      <c r="PE213" s="12"/>
      <c r="PF213" s="12"/>
      <c r="PG213" s="12"/>
      <c r="PH213" s="12"/>
      <c r="PI213" s="12"/>
      <c r="PJ213" s="12"/>
      <c r="PK213" s="12"/>
      <c r="PL213" s="12"/>
      <c r="PM213" s="12"/>
      <c r="PN213" s="12"/>
      <c r="PO213" s="12"/>
      <c r="PP213" s="12"/>
      <c r="PQ213" s="12"/>
      <c r="PR213" s="12"/>
      <c r="PS213" s="12"/>
      <c r="PT213" s="12"/>
      <c r="PU213" s="12"/>
      <c r="PV213" s="12"/>
      <c r="PW213" s="12"/>
      <c r="PX213" s="12"/>
      <c r="PY213" s="12"/>
      <c r="PZ213" s="12"/>
      <c r="QA213" s="12"/>
      <c r="QB213" s="12"/>
      <c r="QC213" s="12"/>
      <c r="QD213" s="12"/>
      <c r="QE213" s="12"/>
      <c r="QF213" s="12"/>
      <c r="QG213" s="12"/>
      <c r="QH213" s="12"/>
      <c r="QI213" s="12"/>
      <c r="QJ213" s="12"/>
      <c r="QK213" s="12"/>
      <c r="QL213" s="12"/>
      <c r="QM213" s="12"/>
      <c r="QN213" s="12"/>
      <c r="QO213" s="12"/>
      <c r="QP213" s="12"/>
      <c r="QQ213" s="12"/>
      <c r="QR213" s="12"/>
      <c r="QS213" s="12"/>
      <c r="QT213" s="12"/>
      <c r="QU213" s="12"/>
      <c r="QV213" s="12"/>
      <c r="QW213" s="12"/>
      <c r="QX213" s="12"/>
      <c r="QY213" s="12"/>
      <c r="QZ213" s="12"/>
      <c r="RA213" s="12"/>
      <c r="RB213" s="12"/>
      <c r="RC213" s="12"/>
      <c r="RD213" s="12"/>
      <c r="RE213" s="12"/>
      <c r="RF213" s="12"/>
      <c r="RG213" s="12"/>
      <c r="RH213" s="12"/>
      <c r="RI213" s="12"/>
      <c r="RJ213" s="12"/>
      <c r="RK213" s="12"/>
      <c r="RL213" s="12"/>
      <c r="RM213" s="12"/>
      <c r="RN213" s="12"/>
      <c r="RO213" s="12"/>
      <c r="RP213" s="12"/>
      <c r="RQ213" s="12"/>
      <c r="RR213" s="12"/>
      <c r="RS213" s="12"/>
      <c r="RT213" s="12"/>
      <c r="RU213" s="12"/>
      <c r="RV213" s="12"/>
      <c r="RW213" s="12"/>
      <c r="RX213" s="12"/>
      <c r="RY213" s="12"/>
      <c r="RZ213" s="12"/>
      <c r="SA213" s="12"/>
      <c r="SB213" s="12"/>
      <c r="SC213" s="12"/>
      <c r="SD213" s="12"/>
      <c r="SE213" s="12"/>
      <c r="SF213" s="12"/>
      <c r="SG213" s="12"/>
      <c r="SH213" s="11"/>
      <c r="SI213" s="11"/>
      <c r="SJ213" s="11"/>
      <c r="SK213" s="11"/>
      <c r="SL213" s="11"/>
      <c r="SM213" s="11"/>
      <c r="SN213" s="11"/>
      <c r="SO213" s="11"/>
      <c r="SP213" s="11"/>
      <c r="SQ213" s="11"/>
      <c r="SR213" s="11"/>
      <c r="SS213" s="11"/>
      <c r="ST213" s="11"/>
      <c r="SU213" s="11"/>
      <c r="SV213" s="11"/>
      <c r="SW213" s="11"/>
      <c r="SX213" s="11"/>
      <c r="SY213" s="11"/>
      <c r="SZ213" s="11"/>
      <c r="TA213" s="11"/>
      <c r="TB213" s="11"/>
      <c r="TC213" s="11"/>
      <c r="TD213" s="11"/>
      <c r="TE213" s="11"/>
      <c r="TF213" s="11"/>
      <c r="TG213" s="11"/>
      <c r="TH213" s="11"/>
      <c r="TI213" s="11"/>
      <c r="TJ213" s="11"/>
      <c r="TK213" s="11"/>
      <c r="TL213" s="11"/>
    </row>
    <row r="214" spans="1:532" x14ac:dyDescent="0.2">
      <c r="A214" s="10" t="s">
        <v>213</v>
      </c>
      <c r="B214" s="12">
        <v>12.06</v>
      </c>
      <c r="C214" s="11">
        <v>0</v>
      </c>
      <c r="D214" s="11">
        <v>2.9105531609120865</v>
      </c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/>
      <c r="BC214" s="1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  <c r="CO214" s="12"/>
      <c r="CP214" s="12"/>
      <c r="CQ214" s="12"/>
      <c r="CR214" s="12"/>
      <c r="CS214" s="12"/>
      <c r="CT214" s="12"/>
      <c r="CU214" s="12"/>
      <c r="CV214" s="12"/>
      <c r="CW214" s="12"/>
      <c r="CX214" s="12"/>
      <c r="CY214" s="12"/>
      <c r="CZ214" s="12"/>
      <c r="DA214" s="12"/>
      <c r="DB214" s="12"/>
      <c r="DC214" s="12"/>
      <c r="DD214" s="12"/>
      <c r="DE214" s="12"/>
      <c r="DF214" s="12"/>
      <c r="DG214" s="12"/>
      <c r="DH214" s="12"/>
      <c r="DI214" s="12"/>
      <c r="DJ214" s="12"/>
      <c r="DK214" s="12"/>
      <c r="DL214" s="12"/>
      <c r="DM214" s="12"/>
      <c r="DN214" s="12"/>
      <c r="DO214" s="12"/>
      <c r="DP214" s="12"/>
      <c r="DQ214" s="12"/>
      <c r="DR214" s="12"/>
      <c r="DS214" s="12"/>
      <c r="DT214" s="12"/>
      <c r="DU214" s="12"/>
      <c r="DV214" s="12"/>
      <c r="DW214" s="12"/>
      <c r="DX214" s="12"/>
      <c r="DY214" s="12"/>
      <c r="DZ214" s="12"/>
      <c r="EA214" s="12"/>
      <c r="EB214" s="12"/>
      <c r="EC214" s="12"/>
      <c r="ED214" s="12"/>
      <c r="EE214" s="12"/>
      <c r="EF214" s="12"/>
      <c r="EG214" s="12"/>
      <c r="EH214" s="12"/>
      <c r="EI214" s="12"/>
      <c r="EJ214" s="12"/>
      <c r="EK214" s="12"/>
      <c r="EL214" s="12"/>
      <c r="EM214" s="12"/>
      <c r="EN214" s="12"/>
      <c r="EO214" s="12"/>
      <c r="EP214" s="12"/>
      <c r="EQ214" s="12"/>
      <c r="ER214" s="12"/>
      <c r="ES214" s="12"/>
      <c r="ET214" s="12"/>
      <c r="EU214" s="12"/>
      <c r="EV214" s="12"/>
      <c r="EW214" s="12"/>
      <c r="EX214" s="12"/>
      <c r="EY214" s="12"/>
      <c r="EZ214" s="12"/>
      <c r="FA214" s="12"/>
      <c r="FB214" s="12"/>
      <c r="FC214" s="12"/>
      <c r="FD214" s="12"/>
      <c r="FE214" s="12"/>
      <c r="FF214" s="12"/>
      <c r="FG214" s="12"/>
      <c r="FH214" s="12"/>
      <c r="FI214" s="12"/>
      <c r="FJ214" s="12"/>
      <c r="FK214" s="12"/>
      <c r="FL214" s="12"/>
      <c r="FM214" s="12"/>
      <c r="FN214" s="12"/>
      <c r="FO214" s="12"/>
      <c r="FP214" s="12"/>
      <c r="FQ214" s="12"/>
      <c r="FR214" s="12"/>
      <c r="FS214" s="12"/>
      <c r="FT214" s="12"/>
      <c r="FU214" s="12"/>
      <c r="FV214" s="12"/>
      <c r="FW214" s="12"/>
      <c r="FX214" s="12"/>
      <c r="FY214" s="12"/>
      <c r="FZ214" s="12"/>
      <c r="GA214" s="12"/>
      <c r="GB214" s="12"/>
      <c r="GC214" s="12"/>
      <c r="GD214" s="12"/>
      <c r="GE214" s="12"/>
      <c r="GF214" s="12"/>
      <c r="GG214" s="12"/>
      <c r="GH214" s="12"/>
      <c r="GI214" s="12"/>
      <c r="GJ214" s="12"/>
      <c r="GK214" s="12"/>
      <c r="GL214" s="12"/>
      <c r="GM214" s="12"/>
      <c r="GN214" s="12"/>
      <c r="GO214" s="12"/>
      <c r="GP214" s="12"/>
      <c r="GQ214" s="12"/>
      <c r="GR214" s="12"/>
      <c r="GS214" s="12"/>
      <c r="GT214" s="12"/>
      <c r="GU214" s="12"/>
      <c r="GV214" s="12"/>
      <c r="GW214" s="12"/>
      <c r="GX214" s="12"/>
      <c r="GY214" s="12"/>
      <c r="GZ214" s="12"/>
      <c r="HA214" s="12"/>
      <c r="HB214" s="12"/>
      <c r="HC214" s="12"/>
      <c r="HD214" s="12"/>
      <c r="HE214" s="12"/>
      <c r="HF214" s="12"/>
      <c r="HG214" s="12"/>
      <c r="HH214" s="12"/>
      <c r="HI214" s="12"/>
      <c r="HJ214" s="12"/>
      <c r="HK214" s="12"/>
      <c r="HL214" s="12"/>
      <c r="HM214" s="12"/>
      <c r="HN214" s="12"/>
      <c r="HO214" s="12"/>
      <c r="HP214" s="12"/>
      <c r="HQ214" s="12"/>
      <c r="HR214" s="12"/>
      <c r="HS214" s="12"/>
      <c r="HT214" s="12"/>
      <c r="HU214" s="12"/>
      <c r="HV214" s="12"/>
      <c r="HW214" s="12"/>
      <c r="HX214" s="12"/>
      <c r="HY214" s="12"/>
      <c r="HZ214" s="12"/>
      <c r="IA214" s="12"/>
      <c r="IB214" s="12"/>
      <c r="IC214" s="12"/>
      <c r="ID214" s="12"/>
      <c r="IE214" s="12"/>
      <c r="IF214" s="12"/>
      <c r="IG214" s="12"/>
      <c r="IH214" s="12"/>
      <c r="II214" s="12"/>
      <c r="IJ214" s="12"/>
      <c r="IK214" s="12"/>
      <c r="IL214" s="12"/>
      <c r="IM214" s="12"/>
      <c r="IN214" s="12"/>
      <c r="IO214" s="12"/>
      <c r="IP214" s="12"/>
      <c r="IQ214" s="12"/>
      <c r="IR214" s="12"/>
      <c r="IS214" s="12"/>
      <c r="IT214" s="12"/>
      <c r="IU214" s="12"/>
      <c r="IV214" s="12"/>
      <c r="IW214" s="12"/>
      <c r="IX214" s="12"/>
      <c r="IY214" s="12"/>
      <c r="IZ214" s="12"/>
      <c r="JA214" s="12"/>
      <c r="JB214" s="12"/>
      <c r="JC214" s="12"/>
      <c r="JD214" s="12"/>
      <c r="JE214" s="12"/>
      <c r="JF214" s="12"/>
      <c r="JG214" s="12"/>
      <c r="JH214" s="12"/>
      <c r="JI214" s="12"/>
      <c r="JJ214" s="12"/>
      <c r="JK214" s="12"/>
      <c r="JL214" s="12"/>
      <c r="JM214" s="12"/>
      <c r="JN214" s="12"/>
      <c r="JO214" s="12"/>
      <c r="JP214" s="12"/>
      <c r="JQ214" s="12"/>
      <c r="JR214" s="12"/>
      <c r="JS214" s="12"/>
      <c r="JT214" s="12"/>
      <c r="JU214" s="12"/>
      <c r="JV214" s="12"/>
      <c r="JW214" s="12"/>
      <c r="JX214" s="12"/>
      <c r="JY214" s="12"/>
      <c r="JZ214" s="12"/>
      <c r="KA214" s="12"/>
      <c r="KB214" s="12"/>
      <c r="KC214" s="12"/>
      <c r="KD214" s="12"/>
      <c r="KE214" s="12"/>
      <c r="KF214" s="12"/>
      <c r="KG214" s="12"/>
      <c r="KH214" s="12"/>
      <c r="KI214" s="12"/>
      <c r="KJ214" s="12"/>
      <c r="KK214" s="12"/>
      <c r="KL214" s="12"/>
      <c r="KM214" s="12"/>
      <c r="KN214" s="12"/>
      <c r="KO214" s="12"/>
      <c r="KP214" s="12"/>
      <c r="KQ214" s="12"/>
      <c r="KR214" s="12"/>
      <c r="KS214" s="12"/>
      <c r="KT214" s="12"/>
      <c r="KU214" s="12"/>
      <c r="KV214" s="12"/>
      <c r="KW214" s="12"/>
      <c r="KX214" s="12"/>
      <c r="KY214" s="12"/>
      <c r="KZ214" s="12"/>
      <c r="LA214" s="12"/>
      <c r="LB214" s="12"/>
      <c r="LC214" s="12"/>
      <c r="LD214" s="12"/>
      <c r="LE214" s="12"/>
      <c r="LF214" s="12"/>
      <c r="LG214" s="12"/>
      <c r="LH214" s="12"/>
      <c r="LI214" s="12"/>
      <c r="LJ214" s="12"/>
      <c r="LK214" s="12"/>
      <c r="LL214" s="12"/>
      <c r="LM214" s="12"/>
      <c r="LN214" s="12"/>
      <c r="LO214" s="12"/>
      <c r="LP214" s="12"/>
      <c r="LQ214" s="12"/>
      <c r="LR214" s="12"/>
      <c r="LS214" s="12"/>
      <c r="LT214" s="12"/>
      <c r="LU214" s="12"/>
      <c r="LV214" s="12"/>
      <c r="LW214" s="12"/>
      <c r="LX214" s="12"/>
      <c r="LY214" s="12"/>
      <c r="LZ214" s="12"/>
      <c r="MA214" s="12"/>
      <c r="MB214" s="12"/>
      <c r="MC214" s="12"/>
      <c r="MD214" s="12"/>
      <c r="ME214" s="12"/>
      <c r="MF214" s="12"/>
      <c r="MG214" s="12"/>
      <c r="MH214" s="12"/>
      <c r="MI214" s="12"/>
      <c r="MJ214" s="12"/>
      <c r="MK214" s="12"/>
      <c r="ML214" s="12"/>
      <c r="MM214" s="12"/>
      <c r="MN214" s="12"/>
      <c r="MO214" s="12"/>
      <c r="MP214" s="12"/>
      <c r="MQ214" s="12"/>
      <c r="MR214" s="12"/>
      <c r="MS214" s="12"/>
      <c r="MT214" s="12"/>
      <c r="MU214" s="12"/>
      <c r="MV214" s="12"/>
      <c r="MW214" s="12"/>
      <c r="MX214" s="12"/>
      <c r="MY214" s="12"/>
      <c r="MZ214" s="12"/>
      <c r="NA214" s="12"/>
      <c r="NB214" s="12"/>
      <c r="NC214" s="12"/>
      <c r="ND214" s="12"/>
      <c r="NE214" s="12"/>
      <c r="NF214" s="12"/>
      <c r="NG214" s="12"/>
      <c r="NH214" s="12"/>
      <c r="NI214" s="12"/>
      <c r="NJ214" s="12"/>
      <c r="NK214" s="12"/>
      <c r="NL214" s="12"/>
      <c r="NM214" s="12"/>
      <c r="NN214" s="12"/>
      <c r="NO214" s="12"/>
      <c r="NP214" s="12"/>
      <c r="NQ214" s="12"/>
      <c r="NR214" s="12"/>
      <c r="NS214" s="12"/>
      <c r="NT214" s="12"/>
      <c r="NU214" s="12"/>
      <c r="NV214" s="12"/>
      <c r="NW214" s="12"/>
      <c r="NX214" s="12"/>
      <c r="NY214" s="12"/>
      <c r="NZ214" s="12"/>
      <c r="OA214" s="12"/>
      <c r="OB214" s="12"/>
      <c r="OC214" s="12"/>
      <c r="OD214" s="12"/>
      <c r="OE214" s="12"/>
      <c r="OF214" s="12"/>
      <c r="OG214" s="12"/>
      <c r="OH214" s="12"/>
      <c r="OI214" s="12"/>
      <c r="OJ214" s="12"/>
      <c r="OK214" s="12"/>
      <c r="OL214" s="12"/>
      <c r="OM214" s="12"/>
      <c r="ON214" s="12"/>
      <c r="OO214" s="12"/>
      <c r="OP214" s="12"/>
      <c r="OQ214" s="12"/>
      <c r="OR214" s="12"/>
      <c r="OS214" s="12"/>
      <c r="OT214" s="12"/>
      <c r="OU214" s="12"/>
      <c r="OV214" s="12"/>
      <c r="OW214" s="12"/>
      <c r="OX214" s="12"/>
      <c r="OY214" s="12"/>
      <c r="OZ214" s="12"/>
      <c r="PA214" s="12"/>
      <c r="PB214" s="12"/>
      <c r="PC214" s="12"/>
      <c r="PD214" s="12"/>
      <c r="PE214" s="12"/>
      <c r="PF214" s="12"/>
      <c r="PG214" s="12"/>
      <c r="PH214" s="12"/>
      <c r="PI214" s="12"/>
      <c r="PJ214" s="12"/>
      <c r="PK214" s="12"/>
      <c r="PL214" s="12"/>
      <c r="PM214" s="12"/>
      <c r="PN214" s="12"/>
      <c r="PO214" s="12"/>
      <c r="PP214" s="12"/>
      <c r="PQ214" s="12"/>
      <c r="PR214" s="12"/>
      <c r="PS214" s="12"/>
      <c r="PT214" s="12"/>
      <c r="PU214" s="12"/>
      <c r="PV214" s="12"/>
      <c r="PW214" s="12"/>
      <c r="PX214" s="12"/>
      <c r="PY214" s="12"/>
      <c r="PZ214" s="12"/>
      <c r="QA214" s="12"/>
      <c r="QB214" s="12"/>
      <c r="QC214" s="12"/>
      <c r="QD214" s="12"/>
      <c r="QE214" s="12"/>
      <c r="QF214" s="12"/>
      <c r="QG214" s="12"/>
      <c r="QH214" s="12"/>
      <c r="QI214" s="12"/>
      <c r="QJ214" s="12"/>
      <c r="QK214" s="12"/>
      <c r="QL214" s="12"/>
      <c r="QM214" s="12"/>
      <c r="QN214" s="12"/>
      <c r="QO214" s="12"/>
      <c r="QP214" s="12"/>
      <c r="QQ214" s="12"/>
      <c r="QR214" s="12"/>
      <c r="QS214" s="12"/>
      <c r="QT214" s="12"/>
      <c r="QU214" s="12"/>
      <c r="QV214" s="12"/>
      <c r="QW214" s="12"/>
      <c r="QX214" s="12"/>
      <c r="QY214" s="12"/>
      <c r="QZ214" s="12"/>
      <c r="RA214" s="12"/>
      <c r="RB214" s="12"/>
      <c r="RC214" s="12"/>
      <c r="RD214" s="12"/>
      <c r="RE214" s="12"/>
      <c r="RF214" s="12"/>
      <c r="RG214" s="12"/>
      <c r="RH214" s="12"/>
      <c r="RI214" s="12"/>
      <c r="RJ214" s="12"/>
      <c r="RK214" s="12"/>
      <c r="RL214" s="12"/>
      <c r="RM214" s="12"/>
      <c r="RN214" s="12"/>
      <c r="RO214" s="12"/>
      <c r="RP214" s="12"/>
      <c r="RQ214" s="12"/>
      <c r="RR214" s="12"/>
      <c r="RS214" s="12"/>
      <c r="RT214" s="12"/>
      <c r="RU214" s="12"/>
      <c r="RV214" s="12"/>
      <c r="RW214" s="12"/>
      <c r="RX214" s="12"/>
      <c r="RY214" s="12"/>
      <c r="RZ214" s="12"/>
      <c r="SA214" s="12"/>
      <c r="SB214" s="12"/>
      <c r="SC214" s="12"/>
      <c r="SD214" s="12"/>
      <c r="SE214" s="12"/>
      <c r="SF214" s="12"/>
      <c r="SG214" s="12"/>
      <c r="SH214" s="11"/>
      <c r="SI214" s="11"/>
      <c r="SJ214" s="11"/>
      <c r="SK214" s="11"/>
      <c r="SL214" s="11"/>
      <c r="SM214" s="11"/>
      <c r="SN214" s="11"/>
      <c r="SO214" s="11"/>
      <c r="SP214" s="11"/>
      <c r="SQ214" s="11"/>
      <c r="SR214" s="11"/>
      <c r="SS214" s="11"/>
      <c r="ST214" s="11"/>
      <c r="SU214" s="11"/>
      <c r="SV214" s="11"/>
      <c r="SW214" s="11"/>
      <c r="SX214" s="11"/>
      <c r="SY214" s="11"/>
      <c r="SZ214" s="11"/>
      <c r="TA214" s="11"/>
      <c r="TB214" s="11"/>
      <c r="TC214" s="11"/>
      <c r="TD214" s="11"/>
      <c r="TE214" s="11"/>
      <c r="TF214" s="11"/>
      <c r="TG214" s="11"/>
      <c r="TH214" s="11"/>
      <c r="TI214" s="11"/>
      <c r="TJ214" s="11"/>
      <c r="TK214" s="11"/>
      <c r="TL214" s="11"/>
    </row>
    <row r="215" spans="1:532" x14ac:dyDescent="0.2">
      <c r="A215" s="10" t="s">
        <v>214</v>
      </c>
      <c r="B215" s="12">
        <v>12.99</v>
      </c>
      <c r="C215" s="11">
        <v>0</v>
      </c>
      <c r="D215" s="11">
        <v>1.9898679773582628</v>
      </c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/>
      <c r="BC215" s="1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  <c r="CO215" s="12"/>
      <c r="CP215" s="12"/>
      <c r="CQ215" s="12"/>
      <c r="CR215" s="12"/>
      <c r="CS215" s="12"/>
      <c r="CT215" s="12"/>
      <c r="CU215" s="12"/>
      <c r="CV215" s="12"/>
      <c r="CW215" s="12"/>
      <c r="CX215" s="12"/>
      <c r="CY215" s="12"/>
      <c r="CZ215" s="12"/>
      <c r="DA215" s="12"/>
      <c r="DB215" s="12"/>
      <c r="DC215" s="12"/>
      <c r="DD215" s="12"/>
      <c r="DE215" s="12"/>
      <c r="DF215" s="12"/>
      <c r="DG215" s="12"/>
      <c r="DH215" s="12"/>
      <c r="DI215" s="12"/>
      <c r="DJ215" s="12"/>
      <c r="DK215" s="12"/>
      <c r="DL215" s="12"/>
      <c r="DM215" s="12"/>
      <c r="DN215" s="12"/>
      <c r="DO215" s="12"/>
      <c r="DP215" s="12"/>
      <c r="DQ215" s="12"/>
      <c r="DR215" s="12"/>
      <c r="DS215" s="12"/>
      <c r="DT215" s="12"/>
      <c r="DU215" s="12"/>
      <c r="DV215" s="12"/>
      <c r="DW215" s="12"/>
      <c r="DX215" s="12"/>
      <c r="DY215" s="12"/>
      <c r="DZ215" s="12"/>
      <c r="EA215" s="12"/>
      <c r="EB215" s="12"/>
      <c r="EC215" s="12"/>
      <c r="ED215" s="12"/>
      <c r="EE215" s="12"/>
      <c r="EF215" s="12"/>
      <c r="EG215" s="12"/>
      <c r="EH215" s="12"/>
      <c r="EI215" s="12"/>
      <c r="EJ215" s="12"/>
      <c r="EK215" s="12"/>
      <c r="EL215" s="12"/>
      <c r="EM215" s="12"/>
      <c r="EN215" s="12"/>
      <c r="EO215" s="12"/>
      <c r="EP215" s="12"/>
      <c r="EQ215" s="12"/>
      <c r="ER215" s="12"/>
      <c r="ES215" s="12"/>
      <c r="ET215" s="12"/>
      <c r="EU215" s="12"/>
      <c r="EV215" s="12"/>
      <c r="EW215" s="12"/>
      <c r="EX215" s="12"/>
      <c r="EY215" s="12"/>
      <c r="EZ215" s="12"/>
      <c r="FA215" s="12"/>
      <c r="FB215" s="12"/>
      <c r="FC215" s="12"/>
      <c r="FD215" s="12"/>
      <c r="FE215" s="12"/>
      <c r="FF215" s="12"/>
      <c r="FG215" s="12"/>
      <c r="FH215" s="12"/>
      <c r="FI215" s="12"/>
      <c r="FJ215" s="12"/>
      <c r="FK215" s="12"/>
      <c r="FL215" s="12"/>
      <c r="FM215" s="12"/>
      <c r="FN215" s="12"/>
      <c r="FO215" s="12"/>
      <c r="FP215" s="12"/>
      <c r="FQ215" s="12"/>
      <c r="FR215" s="12"/>
      <c r="FS215" s="12"/>
      <c r="FT215" s="12"/>
      <c r="FU215" s="12"/>
      <c r="FV215" s="12"/>
      <c r="FW215" s="12"/>
      <c r="FX215" s="12"/>
      <c r="FY215" s="12"/>
      <c r="FZ215" s="12"/>
      <c r="GA215" s="12"/>
      <c r="GB215" s="12"/>
      <c r="GC215" s="12"/>
      <c r="GD215" s="12"/>
      <c r="GE215" s="12"/>
      <c r="GF215" s="12"/>
      <c r="GG215" s="12"/>
      <c r="GH215" s="12"/>
      <c r="GI215" s="12"/>
      <c r="GJ215" s="12"/>
      <c r="GK215" s="12"/>
      <c r="GL215" s="12"/>
      <c r="GM215" s="12"/>
      <c r="GN215" s="12"/>
      <c r="GO215" s="12"/>
      <c r="GP215" s="12"/>
      <c r="GQ215" s="12"/>
      <c r="GR215" s="12"/>
      <c r="GS215" s="12"/>
      <c r="GT215" s="12"/>
      <c r="GU215" s="12"/>
      <c r="GV215" s="12"/>
      <c r="GW215" s="12"/>
      <c r="GX215" s="12"/>
      <c r="GY215" s="12"/>
      <c r="GZ215" s="12"/>
      <c r="HA215" s="12"/>
      <c r="HB215" s="12"/>
      <c r="HC215" s="12"/>
      <c r="HD215" s="12"/>
      <c r="HE215" s="12"/>
      <c r="HF215" s="12"/>
      <c r="HG215" s="12"/>
      <c r="HH215" s="12"/>
      <c r="HI215" s="12"/>
      <c r="HJ215" s="12"/>
      <c r="HK215" s="12"/>
      <c r="HL215" s="12"/>
      <c r="HM215" s="12"/>
      <c r="HN215" s="12"/>
      <c r="HO215" s="12"/>
      <c r="HP215" s="12"/>
      <c r="HQ215" s="12"/>
      <c r="HR215" s="12"/>
      <c r="HS215" s="12"/>
      <c r="HT215" s="12"/>
      <c r="HU215" s="12"/>
      <c r="HV215" s="12"/>
      <c r="HW215" s="12"/>
      <c r="HX215" s="12"/>
      <c r="HY215" s="12"/>
      <c r="HZ215" s="12"/>
      <c r="IA215" s="12"/>
      <c r="IB215" s="12"/>
      <c r="IC215" s="12"/>
      <c r="ID215" s="12"/>
      <c r="IE215" s="12"/>
      <c r="IF215" s="12"/>
      <c r="IG215" s="12"/>
      <c r="IH215" s="12"/>
      <c r="II215" s="12"/>
      <c r="IJ215" s="12"/>
      <c r="IK215" s="12"/>
      <c r="IL215" s="12"/>
      <c r="IM215" s="12"/>
      <c r="IN215" s="12"/>
      <c r="IO215" s="12"/>
      <c r="IP215" s="12"/>
      <c r="IQ215" s="12"/>
      <c r="IR215" s="12"/>
      <c r="IS215" s="12"/>
      <c r="IT215" s="12"/>
      <c r="IU215" s="12"/>
      <c r="IV215" s="12"/>
      <c r="IW215" s="12"/>
      <c r="IX215" s="12"/>
      <c r="IY215" s="12"/>
      <c r="IZ215" s="12"/>
      <c r="JA215" s="12"/>
      <c r="JB215" s="12"/>
      <c r="JC215" s="12"/>
      <c r="JD215" s="12"/>
      <c r="JE215" s="12"/>
      <c r="JF215" s="12"/>
      <c r="JG215" s="12"/>
      <c r="JH215" s="12"/>
      <c r="JI215" s="12"/>
      <c r="JJ215" s="12"/>
      <c r="JK215" s="12"/>
      <c r="JL215" s="12"/>
      <c r="JM215" s="12"/>
      <c r="JN215" s="12"/>
      <c r="JO215" s="12"/>
      <c r="JP215" s="12"/>
      <c r="JQ215" s="12"/>
      <c r="JR215" s="12"/>
      <c r="JS215" s="12"/>
      <c r="JT215" s="12"/>
      <c r="JU215" s="12"/>
      <c r="JV215" s="12"/>
      <c r="JW215" s="12"/>
      <c r="JX215" s="12"/>
      <c r="JY215" s="12"/>
      <c r="JZ215" s="12"/>
      <c r="KA215" s="12"/>
      <c r="KB215" s="12"/>
      <c r="KC215" s="12"/>
      <c r="KD215" s="12"/>
      <c r="KE215" s="12"/>
      <c r="KF215" s="12"/>
      <c r="KG215" s="12"/>
      <c r="KH215" s="12"/>
      <c r="KI215" s="12"/>
      <c r="KJ215" s="12"/>
      <c r="KK215" s="12"/>
      <c r="KL215" s="12"/>
      <c r="KM215" s="12"/>
      <c r="KN215" s="12"/>
      <c r="KO215" s="12"/>
      <c r="KP215" s="12"/>
      <c r="KQ215" s="12"/>
      <c r="KR215" s="12"/>
      <c r="KS215" s="12"/>
      <c r="KT215" s="12"/>
      <c r="KU215" s="12"/>
      <c r="KV215" s="12"/>
      <c r="KW215" s="12"/>
      <c r="KX215" s="12"/>
      <c r="KY215" s="12"/>
      <c r="KZ215" s="12"/>
      <c r="LA215" s="12"/>
      <c r="LB215" s="12"/>
      <c r="LC215" s="12"/>
      <c r="LD215" s="12"/>
      <c r="LE215" s="12"/>
      <c r="LF215" s="12"/>
      <c r="LG215" s="12"/>
      <c r="LH215" s="12"/>
      <c r="LI215" s="12"/>
      <c r="LJ215" s="12"/>
      <c r="LK215" s="12"/>
      <c r="LL215" s="12"/>
      <c r="LM215" s="12"/>
      <c r="LN215" s="12"/>
      <c r="LO215" s="12"/>
      <c r="LP215" s="12"/>
      <c r="LQ215" s="12"/>
      <c r="LR215" s="12"/>
      <c r="LS215" s="12"/>
      <c r="LT215" s="12"/>
      <c r="LU215" s="12"/>
      <c r="LV215" s="12"/>
      <c r="LW215" s="12"/>
      <c r="LX215" s="12"/>
      <c r="LY215" s="12"/>
      <c r="LZ215" s="12"/>
      <c r="MA215" s="12"/>
      <c r="MB215" s="12"/>
      <c r="MC215" s="12"/>
      <c r="MD215" s="12"/>
      <c r="ME215" s="12"/>
      <c r="MF215" s="12"/>
      <c r="MG215" s="12"/>
      <c r="MH215" s="12"/>
      <c r="MI215" s="12"/>
      <c r="MJ215" s="12"/>
      <c r="MK215" s="12"/>
      <c r="ML215" s="12"/>
      <c r="MM215" s="12"/>
      <c r="MN215" s="12"/>
      <c r="MO215" s="12"/>
      <c r="MP215" s="12"/>
      <c r="MQ215" s="12"/>
      <c r="MR215" s="12"/>
      <c r="MS215" s="12"/>
      <c r="MT215" s="12"/>
      <c r="MU215" s="12"/>
      <c r="MV215" s="12"/>
      <c r="MW215" s="12"/>
      <c r="MX215" s="12"/>
      <c r="MY215" s="12"/>
      <c r="MZ215" s="12"/>
      <c r="NA215" s="12"/>
      <c r="NB215" s="12"/>
      <c r="NC215" s="12"/>
      <c r="ND215" s="12"/>
      <c r="NE215" s="12"/>
      <c r="NF215" s="12"/>
      <c r="NG215" s="12"/>
      <c r="NH215" s="12"/>
      <c r="NI215" s="12"/>
      <c r="NJ215" s="12"/>
      <c r="NK215" s="12"/>
      <c r="NL215" s="12"/>
      <c r="NM215" s="12"/>
      <c r="NN215" s="12"/>
      <c r="NO215" s="12"/>
      <c r="NP215" s="12"/>
      <c r="NQ215" s="12"/>
      <c r="NR215" s="12"/>
      <c r="NS215" s="12"/>
      <c r="NT215" s="12"/>
      <c r="NU215" s="12"/>
      <c r="NV215" s="12"/>
      <c r="NW215" s="12"/>
      <c r="NX215" s="12"/>
      <c r="NY215" s="12"/>
      <c r="NZ215" s="12"/>
      <c r="OA215" s="12"/>
      <c r="OB215" s="12"/>
      <c r="OC215" s="12"/>
      <c r="OD215" s="12"/>
      <c r="OE215" s="12"/>
      <c r="OF215" s="12"/>
      <c r="OG215" s="12"/>
      <c r="OH215" s="12"/>
      <c r="OI215" s="12"/>
      <c r="OJ215" s="12"/>
      <c r="OK215" s="12"/>
      <c r="OL215" s="12"/>
      <c r="OM215" s="12"/>
      <c r="ON215" s="12"/>
      <c r="OO215" s="12"/>
      <c r="OP215" s="12"/>
      <c r="OQ215" s="12"/>
      <c r="OR215" s="12"/>
      <c r="OS215" s="12"/>
      <c r="OT215" s="12"/>
      <c r="OU215" s="12"/>
      <c r="OV215" s="12"/>
      <c r="OW215" s="12"/>
      <c r="OX215" s="12"/>
      <c r="OY215" s="12"/>
      <c r="OZ215" s="12"/>
      <c r="PA215" s="12"/>
      <c r="PB215" s="12"/>
      <c r="PC215" s="12"/>
      <c r="PD215" s="12"/>
      <c r="PE215" s="12"/>
      <c r="PF215" s="12"/>
      <c r="PG215" s="12"/>
      <c r="PH215" s="12"/>
      <c r="PI215" s="12"/>
      <c r="PJ215" s="12"/>
      <c r="PK215" s="12"/>
      <c r="PL215" s="12"/>
      <c r="PM215" s="12"/>
      <c r="PN215" s="12"/>
      <c r="PO215" s="12"/>
      <c r="PP215" s="12"/>
      <c r="PQ215" s="12"/>
      <c r="PR215" s="12"/>
      <c r="PS215" s="12"/>
      <c r="PT215" s="12"/>
      <c r="PU215" s="12"/>
      <c r="PV215" s="12"/>
      <c r="PW215" s="12"/>
      <c r="PX215" s="12"/>
      <c r="PY215" s="12"/>
      <c r="PZ215" s="12"/>
      <c r="QA215" s="12"/>
      <c r="QB215" s="12"/>
      <c r="QC215" s="12"/>
      <c r="QD215" s="12"/>
      <c r="QE215" s="12"/>
      <c r="QF215" s="12"/>
      <c r="QG215" s="12"/>
      <c r="QH215" s="12"/>
      <c r="QI215" s="12"/>
      <c r="QJ215" s="12"/>
      <c r="QK215" s="12"/>
      <c r="QL215" s="12"/>
      <c r="QM215" s="12"/>
      <c r="QN215" s="12"/>
      <c r="QO215" s="12"/>
      <c r="QP215" s="12"/>
      <c r="QQ215" s="12"/>
      <c r="QR215" s="12"/>
      <c r="QS215" s="12"/>
      <c r="QT215" s="12"/>
      <c r="QU215" s="12"/>
      <c r="QV215" s="12"/>
      <c r="QW215" s="12"/>
      <c r="QX215" s="12"/>
      <c r="QY215" s="12"/>
      <c r="QZ215" s="12"/>
      <c r="RA215" s="12"/>
      <c r="RB215" s="12"/>
      <c r="RC215" s="12"/>
      <c r="RD215" s="12"/>
      <c r="RE215" s="12"/>
      <c r="RF215" s="12"/>
      <c r="RG215" s="12"/>
      <c r="RH215" s="12"/>
      <c r="RI215" s="12"/>
      <c r="RJ215" s="12"/>
      <c r="RK215" s="12"/>
      <c r="RL215" s="12"/>
      <c r="RM215" s="12"/>
      <c r="RN215" s="12"/>
      <c r="RO215" s="12"/>
      <c r="RP215" s="12"/>
      <c r="RQ215" s="12"/>
      <c r="RR215" s="12"/>
      <c r="RS215" s="12"/>
      <c r="RT215" s="12"/>
      <c r="RU215" s="12"/>
      <c r="RV215" s="12"/>
      <c r="RW215" s="12"/>
      <c r="RX215" s="12"/>
      <c r="RY215" s="12"/>
      <c r="RZ215" s="12"/>
      <c r="SA215" s="12"/>
      <c r="SB215" s="12"/>
      <c r="SC215" s="12"/>
      <c r="SD215" s="12"/>
      <c r="SE215" s="12"/>
      <c r="SF215" s="12"/>
      <c r="SG215" s="12"/>
      <c r="SH215" s="11"/>
      <c r="SI215" s="11"/>
      <c r="SJ215" s="11"/>
      <c r="SK215" s="11"/>
      <c r="SL215" s="11"/>
      <c r="SM215" s="11"/>
      <c r="SN215" s="11"/>
      <c r="SO215" s="11"/>
      <c r="SP215" s="11"/>
      <c r="SQ215" s="11"/>
      <c r="SR215" s="11"/>
      <c r="SS215" s="11"/>
      <c r="ST215" s="11"/>
      <c r="SU215" s="11"/>
      <c r="SV215" s="11"/>
      <c r="SW215" s="11"/>
      <c r="SX215" s="11"/>
      <c r="SY215" s="11"/>
      <c r="SZ215" s="11"/>
      <c r="TA215" s="11"/>
      <c r="TB215" s="11"/>
      <c r="TC215" s="11"/>
      <c r="TD215" s="11"/>
      <c r="TE215" s="11"/>
      <c r="TF215" s="11"/>
      <c r="TG215" s="11"/>
      <c r="TH215" s="11"/>
      <c r="TI215" s="11"/>
      <c r="TJ215" s="11"/>
      <c r="TK215" s="11"/>
      <c r="TL215" s="11"/>
    </row>
    <row r="216" spans="1:532" x14ac:dyDescent="0.2">
      <c r="A216" s="10" t="s">
        <v>215</v>
      </c>
      <c r="B216" s="12">
        <v>16.3</v>
      </c>
      <c r="C216" s="11">
        <v>1.2869792888386777</v>
      </c>
      <c r="D216" s="11">
        <v>0</v>
      </c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  <c r="CO216" s="12"/>
      <c r="CP216" s="12"/>
      <c r="CQ216" s="12"/>
      <c r="CR216" s="12"/>
      <c r="CS216" s="12"/>
      <c r="CT216" s="12"/>
      <c r="CU216" s="12"/>
      <c r="CV216" s="12"/>
      <c r="CW216" s="12"/>
      <c r="CX216" s="12"/>
      <c r="CY216" s="12"/>
      <c r="CZ216" s="12"/>
      <c r="DA216" s="12"/>
      <c r="DB216" s="12"/>
      <c r="DC216" s="12"/>
      <c r="DD216" s="12"/>
      <c r="DE216" s="12"/>
      <c r="DF216" s="12"/>
      <c r="DG216" s="12"/>
      <c r="DH216" s="12"/>
      <c r="DI216" s="12"/>
      <c r="DJ216" s="12"/>
      <c r="DK216" s="12"/>
      <c r="DL216" s="12"/>
      <c r="DM216" s="12"/>
      <c r="DN216" s="12"/>
      <c r="DO216" s="12"/>
      <c r="DP216" s="12"/>
      <c r="DQ216" s="12"/>
      <c r="DR216" s="12"/>
      <c r="DS216" s="12"/>
      <c r="DT216" s="12"/>
      <c r="DU216" s="12"/>
      <c r="DV216" s="12"/>
      <c r="DW216" s="12"/>
      <c r="DX216" s="12"/>
      <c r="DY216" s="12"/>
      <c r="DZ216" s="12"/>
      <c r="EA216" s="12"/>
      <c r="EB216" s="12"/>
      <c r="EC216" s="12"/>
      <c r="ED216" s="12"/>
      <c r="EE216" s="12"/>
      <c r="EF216" s="12"/>
      <c r="EG216" s="12"/>
      <c r="EH216" s="12"/>
      <c r="EI216" s="12"/>
      <c r="EJ216" s="12"/>
      <c r="EK216" s="12"/>
      <c r="EL216" s="12"/>
      <c r="EM216" s="12"/>
      <c r="EN216" s="12"/>
      <c r="EO216" s="12"/>
      <c r="EP216" s="12"/>
      <c r="EQ216" s="12"/>
      <c r="ER216" s="12"/>
      <c r="ES216" s="12"/>
      <c r="ET216" s="12"/>
      <c r="EU216" s="12"/>
      <c r="EV216" s="12"/>
      <c r="EW216" s="12"/>
      <c r="EX216" s="12"/>
      <c r="EY216" s="12"/>
      <c r="EZ216" s="12"/>
      <c r="FA216" s="12"/>
      <c r="FB216" s="12"/>
      <c r="FC216" s="12"/>
      <c r="FD216" s="12"/>
      <c r="FE216" s="12"/>
      <c r="FF216" s="12"/>
      <c r="FG216" s="12"/>
      <c r="FH216" s="12"/>
      <c r="FI216" s="12"/>
      <c r="FJ216" s="12"/>
      <c r="FK216" s="12"/>
      <c r="FL216" s="12"/>
      <c r="FM216" s="12"/>
      <c r="FN216" s="12"/>
      <c r="FO216" s="12"/>
      <c r="FP216" s="12"/>
      <c r="FQ216" s="12"/>
      <c r="FR216" s="12"/>
      <c r="FS216" s="12"/>
      <c r="FT216" s="12"/>
      <c r="FU216" s="12"/>
      <c r="FV216" s="12"/>
      <c r="FW216" s="12"/>
      <c r="FX216" s="12"/>
      <c r="FY216" s="12"/>
      <c r="FZ216" s="12"/>
      <c r="GA216" s="12"/>
      <c r="GB216" s="12"/>
      <c r="GC216" s="12"/>
      <c r="GD216" s="12"/>
      <c r="GE216" s="12"/>
      <c r="GF216" s="12"/>
      <c r="GG216" s="12"/>
      <c r="GH216" s="12"/>
      <c r="GI216" s="12"/>
      <c r="GJ216" s="12"/>
      <c r="GK216" s="12"/>
      <c r="GL216" s="12"/>
      <c r="GM216" s="12"/>
      <c r="GN216" s="12"/>
      <c r="GO216" s="12"/>
      <c r="GP216" s="12"/>
      <c r="GQ216" s="12"/>
      <c r="GR216" s="12"/>
      <c r="GS216" s="12"/>
      <c r="GT216" s="12"/>
      <c r="GU216" s="12"/>
      <c r="GV216" s="12"/>
      <c r="GW216" s="12"/>
      <c r="GX216" s="12"/>
      <c r="GY216" s="12"/>
      <c r="GZ216" s="12"/>
      <c r="HA216" s="12"/>
      <c r="HB216" s="12"/>
      <c r="HC216" s="12"/>
      <c r="HD216" s="12"/>
      <c r="HE216" s="12"/>
      <c r="HF216" s="12"/>
      <c r="HG216" s="12"/>
      <c r="HH216" s="12"/>
      <c r="HI216" s="12"/>
      <c r="HJ216" s="12"/>
      <c r="HK216" s="12"/>
      <c r="HL216" s="12"/>
      <c r="HM216" s="12"/>
      <c r="HN216" s="12"/>
      <c r="HO216" s="12"/>
      <c r="HP216" s="12"/>
      <c r="HQ216" s="12"/>
      <c r="HR216" s="12"/>
      <c r="HS216" s="12"/>
      <c r="HT216" s="12"/>
      <c r="HU216" s="12"/>
      <c r="HV216" s="12"/>
      <c r="HW216" s="12"/>
      <c r="HX216" s="12"/>
      <c r="HY216" s="12"/>
      <c r="HZ216" s="12"/>
      <c r="IA216" s="12"/>
      <c r="IB216" s="12"/>
      <c r="IC216" s="12"/>
      <c r="ID216" s="12"/>
      <c r="IE216" s="12"/>
      <c r="IF216" s="12"/>
      <c r="IG216" s="12"/>
      <c r="IH216" s="12"/>
      <c r="II216" s="12"/>
      <c r="IJ216" s="12"/>
      <c r="IK216" s="12"/>
      <c r="IL216" s="12"/>
      <c r="IM216" s="12"/>
      <c r="IN216" s="12"/>
      <c r="IO216" s="12"/>
      <c r="IP216" s="12"/>
      <c r="IQ216" s="12"/>
      <c r="IR216" s="12"/>
      <c r="IS216" s="12"/>
      <c r="IT216" s="12"/>
      <c r="IU216" s="12"/>
      <c r="IV216" s="12"/>
      <c r="IW216" s="12"/>
      <c r="IX216" s="12"/>
      <c r="IY216" s="12"/>
      <c r="IZ216" s="12"/>
      <c r="JA216" s="12"/>
      <c r="JB216" s="12"/>
      <c r="JC216" s="12"/>
      <c r="JD216" s="12"/>
      <c r="JE216" s="12"/>
      <c r="JF216" s="12"/>
      <c r="JG216" s="12"/>
      <c r="JH216" s="12"/>
      <c r="JI216" s="12"/>
      <c r="JJ216" s="12"/>
      <c r="JK216" s="12"/>
      <c r="JL216" s="12"/>
      <c r="JM216" s="12"/>
      <c r="JN216" s="12"/>
      <c r="JO216" s="12"/>
      <c r="JP216" s="12"/>
      <c r="JQ216" s="12"/>
      <c r="JR216" s="12"/>
      <c r="JS216" s="12"/>
      <c r="JT216" s="12"/>
      <c r="JU216" s="12"/>
      <c r="JV216" s="12"/>
      <c r="JW216" s="12"/>
      <c r="JX216" s="12"/>
      <c r="JY216" s="12"/>
      <c r="JZ216" s="12"/>
      <c r="KA216" s="12"/>
      <c r="KB216" s="12"/>
      <c r="KC216" s="12"/>
      <c r="KD216" s="12"/>
      <c r="KE216" s="12"/>
      <c r="KF216" s="12"/>
      <c r="KG216" s="12"/>
      <c r="KH216" s="12"/>
      <c r="KI216" s="12"/>
      <c r="KJ216" s="12"/>
      <c r="KK216" s="12"/>
      <c r="KL216" s="12"/>
      <c r="KM216" s="12"/>
      <c r="KN216" s="12"/>
      <c r="KO216" s="12"/>
      <c r="KP216" s="12"/>
      <c r="KQ216" s="12"/>
      <c r="KR216" s="12"/>
      <c r="KS216" s="12"/>
      <c r="KT216" s="12"/>
      <c r="KU216" s="12"/>
      <c r="KV216" s="12"/>
      <c r="KW216" s="12"/>
      <c r="KX216" s="12"/>
      <c r="KY216" s="12"/>
      <c r="KZ216" s="12"/>
      <c r="LA216" s="12"/>
      <c r="LB216" s="12"/>
      <c r="LC216" s="12"/>
      <c r="LD216" s="12"/>
      <c r="LE216" s="12"/>
      <c r="LF216" s="12"/>
      <c r="LG216" s="12"/>
      <c r="LH216" s="12"/>
      <c r="LI216" s="12"/>
      <c r="LJ216" s="12"/>
      <c r="LK216" s="12"/>
      <c r="LL216" s="12"/>
      <c r="LM216" s="12"/>
      <c r="LN216" s="12"/>
      <c r="LO216" s="12"/>
      <c r="LP216" s="12"/>
      <c r="LQ216" s="12"/>
      <c r="LR216" s="12"/>
      <c r="LS216" s="12"/>
      <c r="LT216" s="12"/>
      <c r="LU216" s="12"/>
      <c r="LV216" s="12"/>
      <c r="LW216" s="12"/>
      <c r="LX216" s="12"/>
      <c r="LY216" s="12"/>
      <c r="LZ216" s="12"/>
      <c r="MA216" s="12"/>
      <c r="MB216" s="12"/>
      <c r="MC216" s="12"/>
      <c r="MD216" s="12"/>
      <c r="ME216" s="12"/>
      <c r="MF216" s="12"/>
      <c r="MG216" s="12"/>
      <c r="MH216" s="12"/>
      <c r="MI216" s="12"/>
      <c r="MJ216" s="12"/>
      <c r="MK216" s="12"/>
      <c r="ML216" s="12"/>
      <c r="MM216" s="12"/>
      <c r="MN216" s="12"/>
      <c r="MO216" s="12"/>
      <c r="MP216" s="12"/>
      <c r="MQ216" s="12"/>
      <c r="MR216" s="12"/>
      <c r="MS216" s="12"/>
      <c r="MT216" s="12"/>
      <c r="MU216" s="12"/>
      <c r="MV216" s="12"/>
      <c r="MW216" s="12"/>
      <c r="MX216" s="12"/>
      <c r="MY216" s="12"/>
      <c r="MZ216" s="12"/>
      <c r="NA216" s="12"/>
      <c r="NB216" s="12"/>
      <c r="NC216" s="12"/>
      <c r="ND216" s="12"/>
      <c r="NE216" s="12"/>
      <c r="NF216" s="12"/>
      <c r="NG216" s="12"/>
      <c r="NH216" s="12"/>
      <c r="NI216" s="12"/>
      <c r="NJ216" s="12"/>
      <c r="NK216" s="12"/>
      <c r="NL216" s="12"/>
      <c r="NM216" s="12"/>
      <c r="NN216" s="12"/>
      <c r="NO216" s="12"/>
      <c r="NP216" s="12"/>
      <c r="NQ216" s="12"/>
      <c r="NR216" s="12"/>
      <c r="NS216" s="12"/>
      <c r="NT216" s="12"/>
      <c r="NU216" s="12"/>
      <c r="NV216" s="12"/>
      <c r="NW216" s="12"/>
      <c r="NX216" s="12"/>
      <c r="NY216" s="12"/>
      <c r="NZ216" s="12"/>
      <c r="OA216" s="12"/>
      <c r="OB216" s="12"/>
      <c r="OC216" s="12"/>
      <c r="OD216" s="12"/>
      <c r="OE216" s="12"/>
      <c r="OF216" s="12"/>
      <c r="OG216" s="12"/>
      <c r="OH216" s="12"/>
      <c r="OI216" s="12"/>
      <c r="OJ216" s="12"/>
      <c r="OK216" s="12"/>
      <c r="OL216" s="12"/>
      <c r="OM216" s="12"/>
      <c r="ON216" s="12"/>
      <c r="OO216" s="12"/>
      <c r="OP216" s="12"/>
      <c r="OQ216" s="12"/>
      <c r="OR216" s="12"/>
      <c r="OS216" s="12"/>
      <c r="OT216" s="12"/>
      <c r="OU216" s="12"/>
      <c r="OV216" s="12"/>
      <c r="OW216" s="12"/>
      <c r="OX216" s="12"/>
      <c r="OY216" s="12"/>
      <c r="OZ216" s="12"/>
      <c r="PA216" s="12"/>
      <c r="PB216" s="12"/>
      <c r="PC216" s="12"/>
      <c r="PD216" s="12"/>
      <c r="PE216" s="12"/>
      <c r="PF216" s="12"/>
      <c r="PG216" s="12"/>
      <c r="PH216" s="12"/>
      <c r="PI216" s="12"/>
      <c r="PJ216" s="12"/>
      <c r="PK216" s="12"/>
      <c r="PL216" s="12"/>
      <c r="PM216" s="12"/>
      <c r="PN216" s="12"/>
      <c r="PO216" s="12"/>
      <c r="PP216" s="12"/>
      <c r="PQ216" s="12"/>
      <c r="PR216" s="12"/>
      <c r="PS216" s="12"/>
      <c r="PT216" s="12"/>
      <c r="PU216" s="12"/>
      <c r="PV216" s="12"/>
      <c r="PW216" s="12"/>
      <c r="PX216" s="12"/>
      <c r="PY216" s="12"/>
      <c r="PZ216" s="12"/>
      <c r="QA216" s="12"/>
      <c r="QB216" s="12"/>
      <c r="QC216" s="12"/>
      <c r="QD216" s="12"/>
      <c r="QE216" s="12"/>
      <c r="QF216" s="12"/>
      <c r="QG216" s="12"/>
      <c r="QH216" s="12"/>
      <c r="QI216" s="12"/>
      <c r="QJ216" s="12"/>
      <c r="QK216" s="12"/>
      <c r="QL216" s="12"/>
      <c r="QM216" s="12"/>
      <c r="QN216" s="12"/>
      <c r="QO216" s="12"/>
      <c r="QP216" s="12"/>
      <c r="QQ216" s="12"/>
      <c r="QR216" s="12"/>
      <c r="QS216" s="12"/>
      <c r="QT216" s="12"/>
      <c r="QU216" s="12"/>
      <c r="QV216" s="12"/>
      <c r="QW216" s="12"/>
      <c r="QX216" s="12"/>
      <c r="QY216" s="12"/>
      <c r="QZ216" s="12"/>
      <c r="RA216" s="12"/>
      <c r="RB216" s="12"/>
      <c r="RC216" s="12"/>
      <c r="RD216" s="12"/>
      <c r="RE216" s="12"/>
      <c r="RF216" s="12"/>
      <c r="RG216" s="12"/>
      <c r="RH216" s="12"/>
      <c r="RI216" s="12"/>
      <c r="RJ216" s="12"/>
      <c r="RK216" s="12"/>
      <c r="RL216" s="12"/>
      <c r="RM216" s="12"/>
      <c r="RN216" s="12"/>
      <c r="RO216" s="12"/>
      <c r="RP216" s="12"/>
      <c r="RQ216" s="12"/>
      <c r="RR216" s="12"/>
      <c r="RS216" s="12"/>
      <c r="RT216" s="12"/>
      <c r="RU216" s="12"/>
      <c r="RV216" s="12"/>
      <c r="RW216" s="12"/>
      <c r="RX216" s="12"/>
      <c r="RY216" s="12"/>
      <c r="RZ216" s="12"/>
      <c r="SA216" s="12"/>
      <c r="SB216" s="12"/>
      <c r="SC216" s="12"/>
      <c r="SD216" s="12"/>
      <c r="SE216" s="12"/>
      <c r="SF216" s="12"/>
      <c r="SG216" s="12"/>
      <c r="SH216" s="11"/>
      <c r="SI216" s="11"/>
      <c r="SJ216" s="11"/>
      <c r="SK216" s="11"/>
      <c r="SL216" s="11"/>
      <c r="SM216" s="11"/>
      <c r="SN216" s="11"/>
      <c r="SO216" s="11"/>
      <c r="SP216" s="11"/>
      <c r="SQ216" s="11"/>
      <c r="SR216" s="11"/>
      <c r="SS216" s="11"/>
      <c r="ST216" s="11"/>
      <c r="SU216" s="11"/>
      <c r="SV216" s="11"/>
      <c r="SW216" s="11"/>
      <c r="SX216" s="11"/>
      <c r="SY216" s="11"/>
      <c r="SZ216" s="11"/>
      <c r="TA216" s="11"/>
      <c r="TB216" s="11"/>
      <c r="TC216" s="11"/>
      <c r="TD216" s="11"/>
      <c r="TE216" s="11"/>
      <c r="TF216" s="11"/>
      <c r="TG216" s="11"/>
      <c r="TH216" s="11"/>
      <c r="TI216" s="11"/>
      <c r="TJ216" s="11"/>
      <c r="TK216" s="11"/>
      <c r="TL216" s="11"/>
    </row>
    <row r="217" spans="1:532" x14ac:dyDescent="0.2">
      <c r="A217" s="10" t="s">
        <v>216</v>
      </c>
      <c r="B217" s="12">
        <v>13.72</v>
      </c>
      <c r="C217" s="11">
        <v>0</v>
      </c>
      <c r="D217" s="11">
        <v>1.2671796074719288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  <c r="CO217" s="12"/>
      <c r="CP217" s="12"/>
      <c r="CQ217" s="12"/>
      <c r="CR217" s="12"/>
      <c r="CS217" s="12"/>
      <c r="CT217" s="12"/>
      <c r="CU217" s="12"/>
      <c r="CV217" s="12"/>
      <c r="CW217" s="12"/>
      <c r="CX217" s="12"/>
      <c r="CY217" s="12"/>
      <c r="CZ217" s="12"/>
      <c r="DA217" s="12"/>
      <c r="DB217" s="12"/>
      <c r="DC217" s="12"/>
      <c r="DD217" s="12"/>
      <c r="DE217" s="12"/>
      <c r="DF217" s="12"/>
      <c r="DG217" s="12"/>
      <c r="DH217" s="12"/>
      <c r="DI217" s="12"/>
      <c r="DJ217" s="12"/>
      <c r="DK217" s="12"/>
      <c r="DL217" s="12"/>
      <c r="DM217" s="12"/>
      <c r="DN217" s="12"/>
      <c r="DO217" s="12"/>
      <c r="DP217" s="12"/>
      <c r="DQ217" s="12"/>
      <c r="DR217" s="12"/>
      <c r="DS217" s="12"/>
      <c r="DT217" s="12"/>
      <c r="DU217" s="12"/>
      <c r="DV217" s="12"/>
      <c r="DW217" s="12"/>
      <c r="DX217" s="12"/>
      <c r="DY217" s="12"/>
      <c r="DZ217" s="12"/>
      <c r="EA217" s="12"/>
      <c r="EB217" s="12"/>
      <c r="EC217" s="12"/>
      <c r="ED217" s="12"/>
      <c r="EE217" s="12"/>
      <c r="EF217" s="12"/>
      <c r="EG217" s="12"/>
      <c r="EH217" s="12"/>
      <c r="EI217" s="12"/>
      <c r="EJ217" s="12"/>
      <c r="EK217" s="12"/>
      <c r="EL217" s="12"/>
      <c r="EM217" s="12"/>
      <c r="EN217" s="12"/>
      <c r="EO217" s="12"/>
      <c r="EP217" s="12"/>
      <c r="EQ217" s="12"/>
      <c r="ER217" s="12"/>
      <c r="ES217" s="12"/>
      <c r="ET217" s="12"/>
      <c r="EU217" s="12"/>
      <c r="EV217" s="12"/>
      <c r="EW217" s="12"/>
      <c r="EX217" s="12"/>
      <c r="EY217" s="12"/>
      <c r="EZ217" s="12"/>
      <c r="FA217" s="12"/>
      <c r="FB217" s="12"/>
      <c r="FC217" s="12"/>
      <c r="FD217" s="12"/>
      <c r="FE217" s="12"/>
      <c r="FF217" s="12"/>
      <c r="FG217" s="12"/>
      <c r="FH217" s="12"/>
      <c r="FI217" s="12"/>
      <c r="FJ217" s="12"/>
      <c r="FK217" s="12"/>
      <c r="FL217" s="12"/>
      <c r="FM217" s="12"/>
      <c r="FN217" s="12"/>
      <c r="FO217" s="12"/>
      <c r="FP217" s="12"/>
      <c r="FQ217" s="12"/>
      <c r="FR217" s="12"/>
      <c r="FS217" s="12"/>
      <c r="FT217" s="12"/>
      <c r="FU217" s="12"/>
      <c r="FV217" s="12"/>
      <c r="FW217" s="12"/>
      <c r="FX217" s="12"/>
      <c r="FY217" s="12"/>
      <c r="FZ217" s="12"/>
      <c r="GA217" s="12"/>
      <c r="GB217" s="12"/>
      <c r="GC217" s="12"/>
      <c r="GD217" s="12"/>
      <c r="GE217" s="12"/>
      <c r="GF217" s="12"/>
      <c r="GG217" s="12"/>
      <c r="GH217" s="12"/>
      <c r="GI217" s="12"/>
      <c r="GJ217" s="12"/>
      <c r="GK217" s="12"/>
      <c r="GL217" s="12"/>
      <c r="GM217" s="12"/>
      <c r="GN217" s="12"/>
      <c r="GO217" s="12"/>
      <c r="GP217" s="12"/>
      <c r="GQ217" s="12"/>
      <c r="GR217" s="12"/>
      <c r="GS217" s="12"/>
      <c r="GT217" s="12"/>
      <c r="GU217" s="12"/>
      <c r="GV217" s="12"/>
      <c r="GW217" s="12"/>
      <c r="GX217" s="12"/>
      <c r="GY217" s="12"/>
      <c r="GZ217" s="12"/>
      <c r="HA217" s="12"/>
      <c r="HB217" s="12"/>
      <c r="HC217" s="12"/>
      <c r="HD217" s="12"/>
      <c r="HE217" s="12"/>
      <c r="HF217" s="12"/>
      <c r="HG217" s="12"/>
      <c r="HH217" s="12"/>
      <c r="HI217" s="12"/>
      <c r="HJ217" s="12"/>
      <c r="HK217" s="12"/>
      <c r="HL217" s="12"/>
      <c r="HM217" s="12"/>
      <c r="HN217" s="12"/>
      <c r="HO217" s="12"/>
      <c r="HP217" s="12"/>
      <c r="HQ217" s="12"/>
      <c r="HR217" s="12"/>
      <c r="HS217" s="12"/>
      <c r="HT217" s="12"/>
      <c r="HU217" s="12"/>
      <c r="HV217" s="12"/>
      <c r="HW217" s="12"/>
      <c r="HX217" s="12"/>
      <c r="HY217" s="12"/>
      <c r="HZ217" s="12"/>
      <c r="IA217" s="12"/>
      <c r="IB217" s="12"/>
      <c r="IC217" s="12"/>
      <c r="ID217" s="12"/>
      <c r="IE217" s="12"/>
      <c r="IF217" s="12"/>
      <c r="IG217" s="12"/>
      <c r="IH217" s="12"/>
      <c r="II217" s="12"/>
      <c r="IJ217" s="12"/>
      <c r="IK217" s="12"/>
      <c r="IL217" s="12"/>
      <c r="IM217" s="12"/>
      <c r="IN217" s="12"/>
      <c r="IO217" s="12"/>
      <c r="IP217" s="12"/>
      <c r="IQ217" s="12"/>
      <c r="IR217" s="12"/>
      <c r="IS217" s="12"/>
      <c r="IT217" s="12"/>
      <c r="IU217" s="12"/>
      <c r="IV217" s="12"/>
      <c r="IW217" s="12"/>
      <c r="IX217" s="12"/>
      <c r="IY217" s="12"/>
      <c r="IZ217" s="12"/>
      <c r="JA217" s="12"/>
      <c r="JB217" s="12"/>
      <c r="JC217" s="12"/>
      <c r="JD217" s="12"/>
      <c r="JE217" s="12"/>
      <c r="JF217" s="12"/>
      <c r="JG217" s="12"/>
      <c r="JH217" s="12"/>
      <c r="JI217" s="12"/>
      <c r="JJ217" s="12"/>
      <c r="JK217" s="12"/>
      <c r="JL217" s="12"/>
      <c r="JM217" s="12"/>
      <c r="JN217" s="12"/>
      <c r="JO217" s="12"/>
      <c r="JP217" s="12"/>
      <c r="JQ217" s="12"/>
      <c r="JR217" s="12"/>
      <c r="JS217" s="12"/>
      <c r="JT217" s="12"/>
      <c r="JU217" s="12"/>
      <c r="JV217" s="12"/>
      <c r="JW217" s="12"/>
      <c r="JX217" s="12"/>
      <c r="JY217" s="12"/>
      <c r="JZ217" s="12"/>
      <c r="KA217" s="12"/>
      <c r="KB217" s="12"/>
      <c r="KC217" s="12"/>
      <c r="KD217" s="12"/>
      <c r="KE217" s="12"/>
      <c r="KF217" s="12"/>
      <c r="KG217" s="12"/>
      <c r="KH217" s="12"/>
      <c r="KI217" s="12"/>
      <c r="KJ217" s="12"/>
      <c r="KK217" s="12"/>
      <c r="KL217" s="12"/>
      <c r="KM217" s="12"/>
      <c r="KN217" s="12"/>
      <c r="KO217" s="12"/>
      <c r="KP217" s="12"/>
      <c r="KQ217" s="12"/>
      <c r="KR217" s="12"/>
      <c r="KS217" s="12"/>
      <c r="KT217" s="12"/>
      <c r="KU217" s="12"/>
      <c r="KV217" s="12"/>
      <c r="KW217" s="12"/>
      <c r="KX217" s="12"/>
      <c r="KY217" s="12"/>
      <c r="KZ217" s="12"/>
      <c r="LA217" s="12"/>
      <c r="LB217" s="12"/>
      <c r="LC217" s="12"/>
      <c r="LD217" s="12"/>
      <c r="LE217" s="12"/>
      <c r="LF217" s="12"/>
      <c r="LG217" s="12"/>
      <c r="LH217" s="12"/>
      <c r="LI217" s="12"/>
      <c r="LJ217" s="12"/>
      <c r="LK217" s="12"/>
      <c r="LL217" s="12"/>
      <c r="LM217" s="12"/>
      <c r="LN217" s="12"/>
      <c r="LO217" s="12"/>
      <c r="LP217" s="12"/>
      <c r="LQ217" s="12"/>
      <c r="LR217" s="12"/>
      <c r="LS217" s="12"/>
      <c r="LT217" s="12"/>
      <c r="LU217" s="12"/>
      <c r="LV217" s="12"/>
      <c r="LW217" s="12"/>
      <c r="LX217" s="12"/>
      <c r="LY217" s="12"/>
      <c r="LZ217" s="12"/>
      <c r="MA217" s="12"/>
      <c r="MB217" s="12"/>
      <c r="MC217" s="12"/>
      <c r="MD217" s="12"/>
      <c r="ME217" s="12"/>
      <c r="MF217" s="12"/>
      <c r="MG217" s="12"/>
      <c r="MH217" s="12"/>
      <c r="MI217" s="12"/>
      <c r="MJ217" s="12"/>
      <c r="MK217" s="12"/>
      <c r="ML217" s="12"/>
      <c r="MM217" s="12"/>
      <c r="MN217" s="12"/>
      <c r="MO217" s="12"/>
      <c r="MP217" s="12"/>
      <c r="MQ217" s="12"/>
      <c r="MR217" s="12"/>
      <c r="MS217" s="12"/>
      <c r="MT217" s="12"/>
      <c r="MU217" s="12"/>
      <c r="MV217" s="12"/>
      <c r="MW217" s="12"/>
      <c r="MX217" s="12"/>
      <c r="MY217" s="12"/>
      <c r="MZ217" s="12"/>
      <c r="NA217" s="12"/>
      <c r="NB217" s="12"/>
      <c r="NC217" s="12"/>
      <c r="ND217" s="12"/>
      <c r="NE217" s="12"/>
      <c r="NF217" s="12"/>
      <c r="NG217" s="12"/>
      <c r="NH217" s="12"/>
      <c r="NI217" s="12"/>
      <c r="NJ217" s="12"/>
      <c r="NK217" s="12"/>
      <c r="NL217" s="12"/>
      <c r="NM217" s="12"/>
      <c r="NN217" s="12"/>
      <c r="NO217" s="12"/>
      <c r="NP217" s="12"/>
      <c r="NQ217" s="12"/>
      <c r="NR217" s="12"/>
      <c r="NS217" s="12"/>
      <c r="NT217" s="12"/>
      <c r="NU217" s="12"/>
      <c r="NV217" s="12"/>
      <c r="NW217" s="12"/>
      <c r="NX217" s="12"/>
      <c r="NY217" s="12"/>
      <c r="NZ217" s="12"/>
      <c r="OA217" s="12"/>
      <c r="OB217" s="12"/>
      <c r="OC217" s="12"/>
      <c r="OD217" s="12"/>
      <c r="OE217" s="12"/>
      <c r="OF217" s="12"/>
      <c r="OG217" s="12"/>
      <c r="OH217" s="12"/>
      <c r="OI217" s="12"/>
      <c r="OJ217" s="12"/>
      <c r="OK217" s="12"/>
      <c r="OL217" s="12"/>
      <c r="OM217" s="12"/>
      <c r="ON217" s="12"/>
      <c r="OO217" s="12"/>
      <c r="OP217" s="12"/>
      <c r="OQ217" s="12"/>
      <c r="OR217" s="12"/>
      <c r="OS217" s="12"/>
      <c r="OT217" s="12"/>
      <c r="OU217" s="12"/>
      <c r="OV217" s="12"/>
      <c r="OW217" s="12"/>
      <c r="OX217" s="12"/>
      <c r="OY217" s="12"/>
      <c r="OZ217" s="12"/>
      <c r="PA217" s="12"/>
      <c r="PB217" s="12"/>
      <c r="PC217" s="12"/>
      <c r="PD217" s="12"/>
      <c r="PE217" s="12"/>
      <c r="PF217" s="12"/>
      <c r="PG217" s="12"/>
      <c r="PH217" s="12"/>
      <c r="PI217" s="12"/>
      <c r="PJ217" s="12"/>
      <c r="PK217" s="12"/>
      <c r="PL217" s="12"/>
      <c r="PM217" s="12"/>
      <c r="PN217" s="12"/>
      <c r="PO217" s="12"/>
      <c r="PP217" s="12"/>
      <c r="PQ217" s="12"/>
      <c r="PR217" s="12"/>
      <c r="PS217" s="12"/>
      <c r="PT217" s="12"/>
      <c r="PU217" s="12"/>
      <c r="PV217" s="12"/>
      <c r="PW217" s="12"/>
      <c r="PX217" s="12"/>
      <c r="PY217" s="12"/>
      <c r="PZ217" s="12"/>
      <c r="QA217" s="12"/>
      <c r="QB217" s="12"/>
      <c r="QC217" s="12"/>
      <c r="QD217" s="12"/>
      <c r="QE217" s="12"/>
      <c r="QF217" s="12"/>
      <c r="QG217" s="12"/>
      <c r="QH217" s="12"/>
      <c r="QI217" s="12"/>
      <c r="QJ217" s="12"/>
      <c r="QK217" s="12"/>
      <c r="QL217" s="12"/>
      <c r="QM217" s="12"/>
      <c r="QN217" s="12"/>
      <c r="QO217" s="12"/>
      <c r="QP217" s="12"/>
      <c r="QQ217" s="12"/>
      <c r="QR217" s="12"/>
      <c r="QS217" s="12"/>
      <c r="QT217" s="12"/>
      <c r="QU217" s="12"/>
      <c r="QV217" s="12"/>
      <c r="QW217" s="12"/>
      <c r="QX217" s="12"/>
      <c r="QY217" s="12"/>
      <c r="QZ217" s="12"/>
      <c r="RA217" s="12"/>
      <c r="RB217" s="12"/>
      <c r="RC217" s="12"/>
      <c r="RD217" s="12"/>
      <c r="RE217" s="12"/>
      <c r="RF217" s="12"/>
      <c r="RG217" s="12"/>
      <c r="RH217" s="12"/>
      <c r="RI217" s="12"/>
      <c r="RJ217" s="12"/>
      <c r="RK217" s="12"/>
      <c r="RL217" s="12"/>
      <c r="RM217" s="12"/>
      <c r="RN217" s="12"/>
      <c r="RO217" s="12"/>
      <c r="RP217" s="12"/>
      <c r="RQ217" s="12"/>
      <c r="RR217" s="12"/>
      <c r="RS217" s="12"/>
      <c r="RT217" s="12"/>
      <c r="RU217" s="12"/>
      <c r="RV217" s="12"/>
      <c r="RW217" s="12"/>
      <c r="RX217" s="12"/>
      <c r="RY217" s="12"/>
      <c r="RZ217" s="12"/>
      <c r="SA217" s="12"/>
      <c r="SB217" s="12"/>
      <c r="SC217" s="12"/>
      <c r="SD217" s="12"/>
      <c r="SE217" s="12"/>
      <c r="SF217" s="12"/>
      <c r="SG217" s="12"/>
      <c r="SH217" s="11"/>
      <c r="SI217" s="11"/>
      <c r="SJ217" s="11"/>
      <c r="SK217" s="11"/>
      <c r="SL217" s="11"/>
      <c r="SM217" s="11"/>
      <c r="SN217" s="11"/>
      <c r="SO217" s="11"/>
      <c r="SP217" s="11"/>
      <c r="SQ217" s="11"/>
      <c r="SR217" s="11"/>
      <c r="SS217" s="11"/>
      <c r="ST217" s="11"/>
      <c r="SU217" s="11"/>
      <c r="SV217" s="11"/>
      <c r="SW217" s="11"/>
      <c r="SX217" s="11"/>
      <c r="SY217" s="11"/>
      <c r="SZ217" s="11"/>
      <c r="TA217" s="11"/>
      <c r="TB217" s="11"/>
      <c r="TC217" s="11"/>
      <c r="TD217" s="11"/>
      <c r="TE217" s="11"/>
      <c r="TF217" s="11"/>
      <c r="TG217" s="11"/>
      <c r="TH217" s="11"/>
      <c r="TI217" s="11"/>
      <c r="TJ217" s="11"/>
      <c r="TK217" s="11"/>
      <c r="TL217" s="11"/>
    </row>
    <row r="218" spans="1:532" x14ac:dyDescent="0.2">
      <c r="A218" s="10" t="s">
        <v>217</v>
      </c>
      <c r="B218" s="12">
        <v>14.07</v>
      </c>
      <c r="C218" s="11">
        <v>0</v>
      </c>
      <c r="D218" s="11">
        <v>0.92068518355382334</v>
      </c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  <c r="CO218" s="12"/>
      <c r="CP218" s="12"/>
      <c r="CQ218" s="12"/>
      <c r="CR218" s="12"/>
      <c r="CS218" s="12"/>
      <c r="CT218" s="12"/>
      <c r="CU218" s="12"/>
      <c r="CV218" s="12"/>
      <c r="CW218" s="12"/>
      <c r="CX218" s="12"/>
      <c r="CY218" s="12"/>
      <c r="CZ218" s="12"/>
      <c r="DA218" s="12"/>
      <c r="DB218" s="12"/>
      <c r="DC218" s="12"/>
      <c r="DD218" s="12"/>
      <c r="DE218" s="12"/>
      <c r="DF218" s="12"/>
      <c r="DG218" s="12"/>
      <c r="DH218" s="12"/>
      <c r="DI218" s="12"/>
      <c r="DJ218" s="12"/>
      <c r="DK218" s="12"/>
      <c r="DL218" s="12"/>
      <c r="DM218" s="12"/>
      <c r="DN218" s="12"/>
      <c r="DO218" s="12"/>
      <c r="DP218" s="12"/>
      <c r="DQ218" s="12"/>
      <c r="DR218" s="12"/>
      <c r="DS218" s="12"/>
      <c r="DT218" s="12"/>
      <c r="DU218" s="12"/>
      <c r="DV218" s="12"/>
      <c r="DW218" s="12"/>
      <c r="DX218" s="12"/>
      <c r="DY218" s="12"/>
      <c r="DZ218" s="12"/>
      <c r="EA218" s="12"/>
      <c r="EB218" s="12"/>
      <c r="EC218" s="12"/>
      <c r="ED218" s="12"/>
      <c r="EE218" s="12"/>
      <c r="EF218" s="12"/>
      <c r="EG218" s="12"/>
      <c r="EH218" s="12"/>
      <c r="EI218" s="12"/>
      <c r="EJ218" s="12"/>
      <c r="EK218" s="12"/>
      <c r="EL218" s="12"/>
      <c r="EM218" s="12"/>
      <c r="EN218" s="12"/>
      <c r="EO218" s="12"/>
      <c r="EP218" s="12"/>
      <c r="EQ218" s="12"/>
      <c r="ER218" s="12"/>
      <c r="ES218" s="12"/>
      <c r="ET218" s="12"/>
      <c r="EU218" s="12"/>
      <c r="EV218" s="12"/>
      <c r="EW218" s="12"/>
      <c r="EX218" s="12"/>
      <c r="EY218" s="12"/>
      <c r="EZ218" s="12"/>
      <c r="FA218" s="12"/>
      <c r="FB218" s="12"/>
      <c r="FC218" s="12"/>
      <c r="FD218" s="12"/>
      <c r="FE218" s="12"/>
      <c r="FF218" s="12"/>
      <c r="FG218" s="12"/>
      <c r="FH218" s="12"/>
      <c r="FI218" s="12"/>
      <c r="FJ218" s="12"/>
      <c r="FK218" s="12"/>
      <c r="FL218" s="12"/>
      <c r="FM218" s="12"/>
      <c r="FN218" s="12"/>
      <c r="FO218" s="12"/>
      <c r="FP218" s="12"/>
      <c r="FQ218" s="12"/>
      <c r="FR218" s="12"/>
      <c r="FS218" s="12"/>
      <c r="FT218" s="12"/>
      <c r="FU218" s="12"/>
      <c r="FV218" s="12"/>
      <c r="FW218" s="12"/>
      <c r="FX218" s="12"/>
      <c r="FY218" s="12"/>
      <c r="FZ218" s="12"/>
      <c r="GA218" s="12"/>
      <c r="GB218" s="12"/>
      <c r="GC218" s="12"/>
      <c r="GD218" s="12"/>
      <c r="GE218" s="12"/>
      <c r="GF218" s="12"/>
      <c r="GG218" s="12"/>
      <c r="GH218" s="12"/>
      <c r="GI218" s="12"/>
      <c r="GJ218" s="12"/>
      <c r="GK218" s="12"/>
      <c r="GL218" s="12"/>
      <c r="GM218" s="12"/>
      <c r="GN218" s="12"/>
      <c r="GO218" s="12"/>
      <c r="GP218" s="12"/>
      <c r="GQ218" s="12"/>
      <c r="GR218" s="12"/>
      <c r="GS218" s="12"/>
      <c r="GT218" s="12"/>
      <c r="GU218" s="12"/>
      <c r="GV218" s="12"/>
      <c r="GW218" s="12"/>
      <c r="GX218" s="12"/>
      <c r="GY218" s="12"/>
      <c r="GZ218" s="12"/>
      <c r="HA218" s="12"/>
      <c r="HB218" s="12"/>
      <c r="HC218" s="12"/>
      <c r="HD218" s="12"/>
      <c r="HE218" s="12"/>
      <c r="HF218" s="12"/>
      <c r="HG218" s="12"/>
      <c r="HH218" s="12"/>
      <c r="HI218" s="12"/>
      <c r="HJ218" s="12"/>
      <c r="HK218" s="12"/>
      <c r="HL218" s="12"/>
      <c r="HM218" s="12"/>
      <c r="HN218" s="12"/>
      <c r="HO218" s="12"/>
      <c r="HP218" s="12"/>
      <c r="HQ218" s="12"/>
      <c r="HR218" s="12"/>
      <c r="HS218" s="12"/>
      <c r="HT218" s="12"/>
      <c r="HU218" s="12"/>
      <c r="HV218" s="12"/>
      <c r="HW218" s="12"/>
      <c r="HX218" s="12"/>
      <c r="HY218" s="12"/>
      <c r="HZ218" s="12"/>
      <c r="IA218" s="12"/>
      <c r="IB218" s="12"/>
      <c r="IC218" s="12"/>
      <c r="ID218" s="12"/>
      <c r="IE218" s="12"/>
      <c r="IF218" s="12"/>
      <c r="IG218" s="12"/>
      <c r="IH218" s="12"/>
      <c r="II218" s="12"/>
      <c r="IJ218" s="12"/>
      <c r="IK218" s="12"/>
      <c r="IL218" s="12"/>
      <c r="IM218" s="12"/>
      <c r="IN218" s="12"/>
      <c r="IO218" s="12"/>
      <c r="IP218" s="12"/>
      <c r="IQ218" s="12"/>
      <c r="IR218" s="12"/>
      <c r="IS218" s="12"/>
      <c r="IT218" s="12"/>
      <c r="IU218" s="12"/>
      <c r="IV218" s="12"/>
      <c r="IW218" s="12"/>
      <c r="IX218" s="12"/>
      <c r="IY218" s="12"/>
      <c r="IZ218" s="12"/>
      <c r="JA218" s="12"/>
      <c r="JB218" s="12"/>
      <c r="JC218" s="12"/>
      <c r="JD218" s="12"/>
      <c r="JE218" s="12"/>
      <c r="JF218" s="12"/>
      <c r="JG218" s="12"/>
      <c r="JH218" s="12"/>
      <c r="JI218" s="12"/>
      <c r="JJ218" s="12"/>
      <c r="JK218" s="12"/>
      <c r="JL218" s="12"/>
      <c r="JM218" s="12"/>
      <c r="JN218" s="12"/>
      <c r="JO218" s="12"/>
      <c r="JP218" s="12"/>
      <c r="JQ218" s="12"/>
      <c r="JR218" s="12"/>
      <c r="JS218" s="12"/>
      <c r="JT218" s="12"/>
      <c r="JU218" s="12"/>
      <c r="JV218" s="12"/>
      <c r="JW218" s="12"/>
      <c r="JX218" s="12"/>
      <c r="JY218" s="12"/>
      <c r="JZ218" s="12"/>
      <c r="KA218" s="12"/>
      <c r="KB218" s="12"/>
      <c r="KC218" s="12"/>
      <c r="KD218" s="12"/>
      <c r="KE218" s="12"/>
      <c r="KF218" s="12"/>
      <c r="KG218" s="12"/>
      <c r="KH218" s="12"/>
      <c r="KI218" s="12"/>
      <c r="KJ218" s="12"/>
      <c r="KK218" s="12"/>
      <c r="KL218" s="12"/>
      <c r="KM218" s="12"/>
      <c r="KN218" s="12"/>
      <c r="KO218" s="12"/>
      <c r="KP218" s="12"/>
      <c r="KQ218" s="12"/>
      <c r="KR218" s="12"/>
      <c r="KS218" s="12"/>
      <c r="KT218" s="12"/>
      <c r="KU218" s="12"/>
      <c r="KV218" s="12"/>
      <c r="KW218" s="12"/>
      <c r="KX218" s="12"/>
      <c r="KY218" s="12"/>
      <c r="KZ218" s="12"/>
      <c r="LA218" s="12"/>
      <c r="LB218" s="12"/>
      <c r="LC218" s="12"/>
      <c r="LD218" s="12"/>
      <c r="LE218" s="12"/>
      <c r="LF218" s="12"/>
      <c r="LG218" s="12"/>
      <c r="LH218" s="12"/>
      <c r="LI218" s="12"/>
      <c r="LJ218" s="12"/>
      <c r="LK218" s="12"/>
      <c r="LL218" s="12"/>
      <c r="LM218" s="12"/>
      <c r="LN218" s="12"/>
      <c r="LO218" s="12"/>
      <c r="LP218" s="12"/>
      <c r="LQ218" s="12"/>
      <c r="LR218" s="12"/>
      <c r="LS218" s="12"/>
      <c r="LT218" s="12"/>
      <c r="LU218" s="12"/>
      <c r="LV218" s="12"/>
      <c r="LW218" s="12"/>
      <c r="LX218" s="12"/>
      <c r="LY218" s="12"/>
      <c r="LZ218" s="12"/>
      <c r="MA218" s="12"/>
      <c r="MB218" s="12"/>
      <c r="MC218" s="12"/>
      <c r="MD218" s="12"/>
      <c r="ME218" s="12"/>
      <c r="MF218" s="12"/>
      <c r="MG218" s="12"/>
      <c r="MH218" s="12"/>
      <c r="MI218" s="12"/>
      <c r="MJ218" s="12"/>
      <c r="MK218" s="12"/>
      <c r="ML218" s="12"/>
      <c r="MM218" s="12"/>
      <c r="MN218" s="12"/>
      <c r="MO218" s="12"/>
      <c r="MP218" s="12"/>
      <c r="MQ218" s="12"/>
      <c r="MR218" s="12"/>
      <c r="MS218" s="12"/>
      <c r="MT218" s="12"/>
      <c r="MU218" s="12"/>
      <c r="MV218" s="12"/>
      <c r="MW218" s="12"/>
      <c r="MX218" s="12"/>
      <c r="MY218" s="12"/>
      <c r="MZ218" s="12"/>
      <c r="NA218" s="12"/>
      <c r="NB218" s="12"/>
      <c r="NC218" s="12"/>
      <c r="ND218" s="12"/>
      <c r="NE218" s="12"/>
      <c r="NF218" s="12"/>
      <c r="NG218" s="12"/>
      <c r="NH218" s="12"/>
      <c r="NI218" s="12"/>
      <c r="NJ218" s="12"/>
      <c r="NK218" s="12"/>
      <c r="NL218" s="12"/>
      <c r="NM218" s="12"/>
      <c r="NN218" s="12"/>
      <c r="NO218" s="12"/>
      <c r="NP218" s="12"/>
      <c r="NQ218" s="12"/>
      <c r="NR218" s="12"/>
      <c r="NS218" s="12"/>
      <c r="NT218" s="12"/>
      <c r="NU218" s="12"/>
      <c r="NV218" s="12"/>
      <c r="NW218" s="12"/>
      <c r="NX218" s="12"/>
      <c r="NY218" s="12"/>
      <c r="NZ218" s="12"/>
      <c r="OA218" s="12"/>
      <c r="OB218" s="12"/>
      <c r="OC218" s="12"/>
      <c r="OD218" s="12"/>
      <c r="OE218" s="12"/>
      <c r="OF218" s="12"/>
      <c r="OG218" s="12"/>
      <c r="OH218" s="12"/>
      <c r="OI218" s="12"/>
      <c r="OJ218" s="12"/>
      <c r="OK218" s="12"/>
      <c r="OL218" s="12"/>
      <c r="OM218" s="12"/>
      <c r="ON218" s="12"/>
      <c r="OO218" s="12"/>
      <c r="OP218" s="12"/>
      <c r="OQ218" s="12"/>
      <c r="OR218" s="12"/>
      <c r="OS218" s="12"/>
      <c r="OT218" s="12"/>
      <c r="OU218" s="12"/>
      <c r="OV218" s="12"/>
      <c r="OW218" s="12"/>
      <c r="OX218" s="12"/>
      <c r="OY218" s="12"/>
      <c r="OZ218" s="12"/>
      <c r="PA218" s="12"/>
      <c r="PB218" s="12"/>
      <c r="PC218" s="12"/>
      <c r="PD218" s="12"/>
      <c r="PE218" s="12"/>
      <c r="PF218" s="12"/>
      <c r="PG218" s="12"/>
      <c r="PH218" s="12"/>
      <c r="PI218" s="12"/>
      <c r="PJ218" s="12"/>
      <c r="PK218" s="12"/>
      <c r="PL218" s="12"/>
      <c r="PM218" s="12"/>
      <c r="PN218" s="12"/>
      <c r="PO218" s="12"/>
      <c r="PP218" s="12"/>
      <c r="PQ218" s="12"/>
      <c r="PR218" s="12"/>
      <c r="PS218" s="12"/>
      <c r="PT218" s="12"/>
      <c r="PU218" s="12"/>
      <c r="PV218" s="12"/>
      <c r="PW218" s="12"/>
      <c r="PX218" s="12"/>
      <c r="PY218" s="12"/>
      <c r="PZ218" s="12"/>
      <c r="QA218" s="12"/>
      <c r="QB218" s="12"/>
      <c r="QC218" s="12"/>
      <c r="QD218" s="12"/>
      <c r="QE218" s="12"/>
      <c r="QF218" s="12"/>
      <c r="QG218" s="12"/>
      <c r="QH218" s="12"/>
      <c r="QI218" s="12"/>
      <c r="QJ218" s="12"/>
      <c r="QK218" s="12"/>
      <c r="QL218" s="12"/>
      <c r="QM218" s="12"/>
      <c r="QN218" s="12"/>
      <c r="QO218" s="12"/>
      <c r="QP218" s="12"/>
      <c r="QQ218" s="12"/>
      <c r="QR218" s="12"/>
      <c r="QS218" s="12"/>
      <c r="QT218" s="12"/>
      <c r="QU218" s="12"/>
      <c r="QV218" s="12"/>
      <c r="QW218" s="12"/>
      <c r="QX218" s="12"/>
      <c r="QY218" s="12"/>
      <c r="QZ218" s="12"/>
      <c r="RA218" s="12"/>
      <c r="RB218" s="12"/>
      <c r="RC218" s="12"/>
      <c r="RD218" s="12"/>
      <c r="RE218" s="12"/>
      <c r="RF218" s="12"/>
      <c r="RG218" s="12"/>
      <c r="RH218" s="12"/>
      <c r="RI218" s="12"/>
      <c r="RJ218" s="12"/>
      <c r="RK218" s="12"/>
      <c r="RL218" s="12"/>
      <c r="RM218" s="12"/>
      <c r="RN218" s="12"/>
      <c r="RO218" s="12"/>
      <c r="RP218" s="12"/>
      <c r="RQ218" s="12"/>
      <c r="RR218" s="12"/>
      <c r="RS218" s="12"/>
      <c r="RT218" s="12"/>
      <c r="RU218" s="12"/>
      <c r="RV218" s="12"/>
      <c r="RW218" s="12"/>
      <c r="RX218" s="12"/>
      <c r="RY218" s="12"/>
      <c r="RZ218" s="12"/>
      <c r="SA218" s="12"/>
      <c r="SB218" s="12"/>
      <c r="SC218" s="12"/>
      <c r="SD218" s="12"/>
      <c r="SE218" s="12"/>
      <c r="SF218" s="12"/>
      <c r="SG218" s="12"/>
      <c r="SH218" s="11"/>
      <c r="SI218" s="11"/>
      <c r="SJ218" s="11"/>
      <c r="SK218" s="11"/>
      <c r="SL218" s="11"/>
      <c r="SM218" s="11"/>
      <c r="SN218" s="11"/>
      <c r="SO218" s="11"/>
      <c r="SP218" s="11"/>
      <c r="SQ218" s="11"/>
      <c r="SR218" s="11"/>
      <c r="SS218" s="11"/>
      <c r="ST218" s="11"/>
      <c r="SU218" s="11"/>
      <c r="SV218" s="11"/>
      <c r="SW218" s="11"/>
      <c r="SX218" s="11"/>
      <c r="SY218" s="11"/>
      <c r="SZ218" s="11"/>
      <c r="TA218" s="11"/>
      <c r="TB218" s="11"/>
      <c r="TC218" s="11"/>
      <c r="TD218" s="11"/>
      <c r="TE218" s="11"/>
      <c r="TF218" s="11"/>
      <c r="TG218" s="11"/>
      <c r="TH218" s="11"/>
      <c r="TI218" s="11"/>
      <c r="TJ218" s="11"/>
      <c r="TK218" s="11"/>
      <c r="TL218" s="11"/>
    </row>
    <row r="219" spans="1:532" x14ac:dyDescent="0.2">
      <c r="A219" s="10" t="s">
        <v>218</v>
      </c>
      <c r="B219" s="12">
        <v>14.26</v>
      </c>
      <c r="C219" s="11">
        <v>0</v>
      </c>
      <c r="D219" s="11">
        <v>0.7325882105697088</v>
      </c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12"/>
      <c r="EP219" s="12"/>
      <c r="EQ219" s="12"/>
      <c r="ER219" s="12"/>
      <c r="ES219" s="12"/>
      <c r="ET219" s="12"/>
      <c r="EU219" s="12"/>
      <c r="EV219" s="12"/>
      <c r="EW219" s="12"/>
      <c r="EX219" s="12"/>
      <c r="EY219" s="12"/>
      <c r="EZ219" s="12"/>
      <c r="FA219" s="12"/>
      <c r="FB219" s="12"/>
      <c r="FC219" s="12"/>
      <c r="FD219" s="12"/>
      <c r="FE219" s="12"/>
      <c r="FF219" s="12"/>
      <c r="FG219" s="12"/>
      <c r="FH219" s="12"/>
      <c r="FI219" s="12"/>
      <c r="FJ219" s="12"/>
      <c r="FK219" s="12"/>
      <c r="FL219" s="12"/>
      <c r="FM219" s="12"/>
      <c r="FN219" s="12"/>
      <c r="FO219" s="12"/>
      <c r="FP219" s="12"/>
      <c r="FQ219" s="12"/>
      <c r="FR219" s="12"/>
      <c r="FS219" s="12"/>
      <c r="FT219" s="12"/>
      <c r="FU219" s="12"/>
      <c r="FV219" s="12"/>
      <c r="FW219" s="12"/>
      <c r="FX219" s="12"/>
      <c r="FY219" s="12"/>
      <c r="FZ219" s="12"/>
      <c r="GA219" s="12"/>
      <c r="GB219" s="12"/>
      <c r="GC219" s="12"/>
      <c r="GD219" s="12"/>
      <c r="GE219" s="12"/>
      <c r="GF219" s="12"/>
      <c r="GG219" s="12"/>
      <c r="GH219" s="12"/>
      <c r="GI219" s="12"/>
      <c r="GJ219" s="12"/>
      <c r="GK219" s="12"/>
      <c r="GL219" s="12"/>
      <c r="GM219" s="12"/>
      <c r="GN219" s="12"/>
      <c r="GO219" s="12"/>
      <c r="GP219" s="12"/>
      <c r="GQ219" s="12"/>
      <c r="GR219" s="12"/>
      <c r="GS219" s="12"/>
      <c r="GT219" s="12"/>
      <c r="GU219" s="12"/>
      <c r="GV219" s="12"/>
      <c r="GW219" s="12"/>
      <c r="GX219" s="12"/>
      <c r="GY219" s="12"/>
      <c r="GZ219" s="12"/>
      <c r="HA219" s="12"/>
      <c r="HB219" s="12"/>
      <c r="HC219" s="12"/>
      <c r="HD219" s="12"/>
      <c r="HE219" s="12"/>
      <c r="HF219" s="12"/>
      <c r="HG219" s="12"/>
      <c r="HH219" s="12"/>
      <c r="HI219" s="12"/>
      <c r="HJ219" s="12"/>
      <c r="HK219" s="12"/>
      <c r="HL219" s="12"/>
      <c r="HM219" s="12"/>
      <c r="HN219" s="12"/>
      <c r="HO219" s="12"/>
      <c r="HP219" s="12"/>
      <c r="HQ219" s="12"/>
      <c r="HR219" s="12"/>
      <c r="HS219" s="12"/>
      <c r="HT219" s="12"/>
      <c r="HU219" s="12"/>
      <c r="HV219" s="12"/>
      <c r="HW219" s="12"/>
      <c r="HX219" s="12"/>
      <c r="HY219" s="12"/>
      <c r="HZ219" s="12"/>
      <c r="IA219" s="12"/>
      <c r="IB219" s="12"/>
      <c r="IC219" s="12"/>
      <c r="ID219" s="12"/>
      <c r="IE219" s="12"/>
      <c r="IF219" s="12"/>
      <c r="IG219" s="12"/>
      <c r="IH219" s="12"/>
      <c r="II219" s="12"/>
      <c r="IJ219" s="12"/>
      <c r="IK219" s="12"/>
      <c r="IL219" s="12"/>
      <c r="IM219" s="12"/>
      <c r="IN219" s="12"/>
      <c r="IO219" s="12"/>
      <c r="IP219" s="12"/>
      <c r="IQ219" s="12"/>
      <c r="IR219" s="12"/>
      <c r="IS219" s="12"/>
      <c r="IT219" s="12"/>
      <c r="IU219" s="12"/>
      <c r="IV219" s="12"/>
      <c r="IW219" s="12"/>
      <c r="IX219" s="12"/>
      <c r="IY219" s="12"/>
      <c r="IZ219" s="12"/>
      <c r="JA219" s="12"/>
      <c r="JB219" s="12"/>
      <c r="JC219" s="12"/>
      <c r="JD219" s="12"/>
      <c r="JE219" s="12"/>
      <c r="JF219" s="12"/>
      <c r="JG219" s="12"/>
      <c r="JH219" s="12"/>
      <c r="JI219" s="12"/>
      <c r="JJ219" s="12"/>
      <c r="JK219" s="12"/>
      <c r="JL219" s="12"/>
      <c r="JM219" s="12"/>
      <c r="JN219" s="12"/>
      <c r="JO219" s="12"/>
      <c r="JP219" s="12"/>
      <c r="JQ219" s="12"/>
      <c r="JR219" s="12"/>
      <c r="JS219" s="12"/>
      <c r="JT219" s="12"/>
      <c r="JU219" s="12"/>
      <c r="JV219" s="12"/>
      <c r="JW219" s="12"/>
      <c r="JX219" s="12"/>
      <c r="JY219" s="12"/>
      <c r="JZ219" s="12"/>
      <c r="KA219" s="12"/>
      <c r="KB219" s="12"/>
      <c r="KC219" s="12"/>
      <c r="KD219" s="12"/>
      <c r="KE219" s="12"/>
      <c r="KF219" s="12"/>
      <c r="KG219" s="12"/>
      <c r="KH219" s="12"/>
      <c r="KI219" s="12"/>
      <c r="KJ219" s="12"/>
      <c r="KK219" s="12"/>
      <c r="KL219" s="12"/>
      <c r="KM219" s="12"/>
      <c r="KN219" s="12"/>
      <c r="KO219" s="12"/>
      <c r="KP219" s="12"/>
      <c r="KQ219" s="12"/>
      <c r="KR219" s="12"/>
      <c r="KS219" s="12"/>
      <c r="KT219" s="12"/>
      <c r="KU219" s="12"/>
      <c r="KV219" s="12"/>
      <c r="KW219" s="12"/>
      <c r="KX219" s="12"/>
      <c r="KY219" s="12"/>
      <c r="KZ219" s="12"/>
      <c r="LA219" s="12"/>
      <c r="LB219" s="12"/>
      <c r="LC219" s="12"/>
      <c r="LD219" s="12"/>
      <c r="LE219" s="12"/>
      <c r="LF219" s="12"/>
      <c r="LG219" s="12"/>
      <c r="LH219" s="12"/>
      <c r="LI219" s="12"/>
      <c r="LJ219" s="12"/>
      <c r="LK219" s="12"/>
      <c r="LL219" s="12"/>
      <c r="LM219" s="12"/>
      <c r="LN219" s="12"/>
      <c r="LO219" s="12"/>
      <c r="LP219" s="12"/>
      <c r="LQ219" s="12"/>
      <c r="LR219" s="12"/>
      <c r="LS219" s="12"/>
      <c r="LT219" s="12"/>
      <c r="LU219" s="12"/>
      <c r="LV219" s="12"/>
      <c r="LW219" s="12"/>
      <c r="LX219" s="12"/>
      <c r="LY219" s="12"/>
      <c r="LZ219" s="12"/>
      <c r="MA219" s="12"/>
      <c r="MB219" s="12"/>
      <c r="MC219" s="12"/>
      <c r="MD219" s="12"/>
      <c r="ME219" s="12"/>
      <c r="MF219" s="12"/>
      <c r="MG219" s="12"/>
      <c r="MH219" s="12"/>
      <c r="MI219" s="12"/>
      <c r="MJ219" s="12"/>
      <c r="MK219" s="12"/>
      <c r="ML219" s="12"/>
      <c r="MM219" s="12"/>
      <c r="MN219" s="12"/>
      <c r="MO219" s="12"/>
      <c r="MP219" s="12"/>
      <c r="MQ219" s="12"/>
      <c r="MR219" s="12"/>
      <c r="MS219" s="12"/>
      <c r="MT219" s="12"/>
      <c r="MU219" s="12"/>
      <c r="MV219" s="12"/>
      <c r="MW219" s="12"/>
      <c r="MX219" s="12"/>
      <c r="MY219" s="12"/>
      <c r="MZ219" s="12"/>
      <c r="NA219" s="12"/>
      <c r="NB219" s="12"/>
      <c r="NC219" s="12"/>
      <c r="ND219" s="12"/>
      <c r="NE219" s="12"/>
      <c r="NF219" s="12"/>
      <c r="NG219" s="12"/>
      <c r="NH219" s="12"/>
      <c r="NI219" s="12"/>
      <c r="NJ219" s="12"/>
      <c r="NK219" s="12"/>
      <c r="NL219" s="12"/>
      <c r="NM219" s="12"/>
      <c r="NN219" s="12"/>
      <c r="NO219" s="12"/>
      <c r="NP219" s="12"/>
      <c r="NQ219" s="12"/>
      <c r="NR219" s="12"/>
      <c r="NS219" s="12"/>
      <c r="NT219" s="12"/>
      <c r="NU219" s="12"/>
      <c r="NV219" s="12"/>
      <c r="NW219" s="12"/>
      <c r="NX219" s="12"/>
      <c r="NY219" s="12"/>
      <c r="NZ219" s="12"/>
      <c r="OA219" s="12"/>
      <c r="OB219" s="12"/>
      <c r="OC219" s="12"/>
      <c r="OD219" s="12"/>
      <c r="OE219" s="12"/>
      <c r="OF219" s="12"/>
      <c r="OG219" s="12"/>
      <c r="OH219" s="12"/>
      <c r="OI219" s="12"/>
      <c r="OJ219" s="12"/>
      <c r="OK219" s="12"/>
      <c r="OL219" s="12"/>
      <c r="OM219" s="12"/>
      <c r="ON219" s="12"/>
      <c r="OO219" s="12"/>
      <c r="OP219" s="12"/>
      <c r="OQ219" s="12"/>
      <c r="OR219" s="12"/>
      <c r="OS219" s="12"/>
      <c r="OT219" s="12"/>
      <c r="OU219" s="12"/>
      <c r="OV219" s="12"/>
      <c r="OW219" s="12"/>
      <c r="OX219" s="12"/>
      <c r="OY219" s="12"/>
      <c r="OZ219" s="12"/>
      <c r="PA219" s="12"/>
      <c r="PB219" s="12"/>
      <c r="PC219" s="12"/>
      <c r="PD219" s="12"/>
      <c r="PE219" s="12"/>
      <c r="PF219" s="12"/>
      <c r="PG219" s="12"/>
      <c r="PH219" s="12"/>
      <c r="PI219" s="12"/>
      <c r="PJ219" s="12"/>
      <c r="PK219" s="12"/>
      <c r="PL219" s="12"/>
      <c r="PM219" s="12"/>
      <c r="PN219" s="12"/>
      <c r="PO219" s="12"/>
      <c r="PP219" s="12"/>
      <c r="PQ219" s="12"/>
      <c r="PR219" s="12"/>
      <c r="PS219" s="12"/>
      <c r="PT219" s="12"/>
      <c r="PU219" s="12"/>
      <c r="PV219" s="12"/>
      <c r="PW219" s="12"/>
      <c r="PX219" s="12"/>
      <c r="PY219" s="12"/>
      <c r="PZ219" s="12"/>
      <c r="QA219" s="12"/>
      <c r="QB219" s="12"/>
      <c r="QC219" s="12"/>
      <c r="QD219" s="12"/>
      <c r="QE219" s="12"/>
      <c r="QF219" s="12"/>
      <c r="QG219" s="12"/>
      <c r="QH219" s="12"/>
      <c r="QI219" s="12"/>
      <c r="QJ219" s="12"/>
      <c r="QK219" s="12"/>
      <c r="QL219" s="12"/>
      <c r="QM219" s="12"/>
      <c r="QN219" s="12"/>
      <c r="QO219" s="12"/>
      <c r="QP219" s="12"/>
      <c r="QQ219" s="12"/>
      <c r="QR219" s="12"/>
      <c r="QS219" s="12"/>
      <c r="QT219" s="12"/>
      <c r="QU219" s="12"/>
      <c r="QV219" s="12"/>
      <c r="QW219" s="12"/>
      <c r="QX219" s="12"/>
      <c r="QY219" s="12"/>
      <c r="QZ219" s="12"/>
      <c r="RA219" s="12"/>
      <c r="RB219" s="12"/>
      <c r="RC219" s="12"/>
      <c r="RD219" s="12"/>
      <c r="RE219" s="12"/>
      <c r="RF219" s="12"/>
      <c r="RG219" s="12"/>
      <c r="RH219" s="12"/>
      <c r="RI219" s="12"/>
      <c r="RJ219" s="12"/>
      <c r="RK219" s="12"/>
      <c r="RL219" s="12"/>
      <c r="RM219" s="12"/>
      <c r="RN219" s="12"/>
      <c r="RO219" s="12"/>
      <c r="RP219" s="12"/>
      <c r="RQ219" s="12"/>
      <c r="RR219" s="12"/>
      <c r="RS219" s="12"/>
      <c r="RT219" s="12"/>
      <c r="RU219" s="12"/>
      <c r="RV219" s="12"/>
      <c r="RW219" s="12"/>
      <c r="RX219" s="12"/>
      <c r="RY219" s="12"/>
      <c r="RZ219" s="12"/>
      <c r="SA219" s="12"/>
      <c r="SB219" s="12"/>
      <c r="SC219" s="12"/>
      <c r="SD219" s="12"/>
      <c r="SE219" s="12"/>
      <c r="SF219" s="12"/>
      <c r="SG219" s="12"/>
      <c r="SH219" s="11"/>
      <c r="SI219" s="11"/>
      <c r="SJ219" s="11"/>
      <c r="SK219" s="11"/>
      <c r="SL219" s="11"/>
      <c r="SM219" s="11"/>
      <c r="SN219" s="11"/>
      <c r="SO219" s="11"/>
      <c r="SP219" s="11"/>
      <c r="SQ219" s="11"/>
      <c r="SR219" s="11"/>
      <c r="SS219" s="11"/>
      <c r="ST219" s="11"/>
      <c r="SU219" s="11"/>
      <c r="SV219" s="11"/>
      <c r="SW219" s="11"/>
      <c r="SX219" s="11"/>
      <c r="SY219" s="11"/>
      <c r="SZ219" s="11"/>
      <c r="TA219" s="11"/>
      <c r="TB219" s="11"/>
      <c r="TC219" s="11"/>
      <c r="TD219" s="11"/>
      <c r="TE219" s="11"/>
      <c r="TF219" s="11"/>
      <c r="TG219" s="11"/>
      <c r="TH219" s="11"/>
      <c r="TI219" s="11"/>
      <c r="TJ219" s="11"/>
      <c r="TK219" s="11"/>
      <c r="TL219" s="11"/>
    </row>
    <row r="220" spans="1:532" x14ac:dyDescent="0.2">
      <c r="A220" s="10" t="s">
        <v>219</v>
      </c>
      <c r="B220" s="12">
        <v>15.63</v>
      </c>
      <c r="C220" s="11">
        <v>0.62368996305258995</v>
      </c>
      <c r="D220" s="11">
        <v>0</v>
      </c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  <c r="CO220" s="12"/>
      <c r="CP220" s="12"/>
      <c r="CQ220" s="12"/>
      <c r="CR220" s="12"/>
      <c r="CS220" s="12"/>
      <c r="CT220" s="12"/>
      <c r="CU220" s="12"/>
      <c r="CV220" s="12"/>
      <c r="CW220" s="12"/>
      <c r="CX220" s="12"/>
      <c r="CY220" s="12"/>
      <c r="CZ220" s="12"/>
      <c r="DA220" s="12"/>
      <c r="DB220" s="12"/>
      <c r="DC220" s="12"/>
      <c r="DD220" s="12"/>
      <c r="DE220" s="12"/>
      <c r="DF220" s="12"/>
      <c r="DG220" s="12"/>
      <c r="DH220" s="12"/>
      <c r="DI220" s="12"/>
      <c r="DJ220" s="12"/>
      <c r="DK220" s="12"/>
      <c r="DL220" s="12"/>
      <c r="DM220" s="12"/>
      <c r="DN220" s="12"/>
      <c r="DO220" s="12"/>
      <c r="DP220" s="12"/>
      <c r="DQ220" s="12"/>
      <c r="DR220" s="12"/>
      <c r="DS220" s="12"/>
      <c r="DT220" s="12"/>
      <c r="DU220" s="12"/>
      <c r="DV220" s="12"/>
      <c r="DW220" s="12"/>
      <c r="DX220" s="12"/>
      <c r="DY220" s="12"/>
      <c r="DZ220" s="12"/>
      <c r="EA220" s="12"/>
      <c r="EB220" s="12"/>
      <c r="EC220" s="12"/>
      <c r="ED220" s="12"/>
      <c r="EE220" s="12"/>
      <c r="EF220" s="12"/>
      <c r="EG220" s="12"/>
      <c r="EH220" s="12"/>
      <c r="EI220" s="12"/>
      <c r="EJ220" s="12"/>
      <c r="EK220" s="12"/>
      <c r="EL220" s="12"/>
      <c r="EM220" s="12"/>
      <c r="EN220" s="12"/>
      <c r="EO220" s="12"/>
      <c r="EP220" s="12"/>
      <c r="EQ220" s="12"/>
      <c r="ER220" s="12"/>
      <c r="ES220" s="12"/>
      <c r="ET220" s="12"/>
      <c r="EU220" s="12"/>
      <c r="EV220" s="12"/>
      <c r="EW220" s="12"/>
      <c r="EX220" s="12"/>
      <c r="EY220" s="12"/>
      <c r="EZ220" s="12"/>
      <c r="FA220" s="12"/>
      <c r="FB220" s="12"/>
      <c r="FC220" s="12"/>
      <c r="FD220" s="12"/>
      <c r="FE220" s="12"/>
      <c r="FF220" s="12"/>
      <c r="FG220" s="12"/>
      <c r="FH220" s="12"/>
      <c r="FI220" s="12"/>
      <c r="FJ220" s="12"/>
      <c r="FK220" s="12"/>
      <c r="FL220" s="12"/>
      <c r="FM220" s="12"/>
      <c r="FN220" s="12"/>
      <c r="FO220" s="12"/>
      <c r="FP220" s="12"/>
      <c r="FQ220" s="12"/>
      <c r="FR220" s="12"/>
      <c r="FS220" s="12"/>
      <c r="FT220" s="12"/>
      <c r="FU220" s="12"/>
      <c r="FV220" s="12"/>
      <c r="FW220" s="12"/>
      <c r="FX220" s="12"/>
      <c r="FY220" s="12"/>
      <c r="FZ220" s="12"/>
      <c r="GA220" s="12"/>
      <c r="GB220" s="12"/>
      <c r="GC220" s="12"/>
      <c r="GD220" s="12"/>
      <c r="GE220" s="12"/>
      <c r="GF220" s="12"/>
      <c r="GG220" s="12"/>
      <c r="GH220" s="12"/>
      <c r="GI220" s="12"/>
      <c r="GJ220" s="12"/>
      <c r="GK220" s="12"/>
      <c r="GL220" s="12"/>
      <c r="GM220" s="12"/>
      <c r="GN220" s="12"/>
      <c r="GO220" s="12"/>
      <c r="GP220" s="12"/>
      <c r="GQ220" s="12"/>
      <c r="GR220" s="12"/>
      <c r="GS220" s="12"/>
      <c r="GT220" s="12"/>
      <c r="GU220" s="12"/>
      <c r="GV220" s="12"/>
      <c r="GW220" s="12"/>
      <c r="GX220" s="12"/>
      <c r="GY220" s="12"/>
      <c r="GZ220" s="12"/>
      <c r="HA220" s="12"/>
      <c r="HB220" s="12"/>
      <c r="HC220" s="12"/>
      <c r="HD220" s="12"/>
      <c r="HE220" s="12"/>
      <c r="HF220" s="12"/>
      <c r="HG220" s="12"/>
      <c r="HH220" s="12"/>
      <c r="HI220" s="12"/>
      <c r="HJ220" s="12"/>
      <c r="HK220" s="12"/>
      <c r="HL220" s="12"/>
      <c r="HM220" s="12"/>
      <c r="HN220" s="12"/>
      <c r="HO220" s="12"/>
      <c r="HP220" s="12"/>
      <c r="HQ220" s="12"/>
      <c r="HR220" s="12"/>
      <c r="HS220" s="12"/>
      <c r="HT220" s="12"/>
      <c r="HU220" s="12"/>
      <c r="HV220" s="12"/>
      <c r="HW220" s="12"/>
      <c r="HX220" s="12"/>
      <c r="HY220" s="12"/>
      <c r="HZ220" s="12"/>
      <c r="IA220" s="12"/>
      <c r="IB220" s="12"/>
      <c r="IC220" s="12"/>
      <c r="ID220" s="12"/>
      <c r="IE220" s="12"/>
      <c r="IF220" s="12"/>
      <c r="IG220" s="12"/>
      <c r="IH220" s="12"/>
      <c r="II220" s="12"/>
      <c r="IJ220" s="12"/>
      <c r="IK220" s="12"/>
      <c r="IL220" s="12"/>
      <c r="IM220" s="12"/>
      <c r="IN220" s="12"/>
      <c r="IO220" s="12"/>
      <c r="IP220" s="12"/>
      <c r="IQ220" s="12"/>
      <c r="IR220" s="12"/>
      <c r="IS220" s="12"/>
      <c r="IT220" s="12"/>
      <c r="IU220" s="12"/>
      <c r="IV220" s="12"/>
      <c r="IW220" s="12"/>
      <c r="IX220" s="12"/>
      <c r="IY220" s="12"/>
      <c r="IZ220" s="12"/>
      <c r="JA220" s="12"/>
      <c r="JB220" s="12"/>
      <c r="JC220" s="12"/>
      <c r="JD220" s="12"/>
      <c r="JE220" s="12"/>
      <c r="JF220" s="12"/>
      <c r="JG220" s="12"/>
      <c r="JH220" s="12"/>
      <c r="JI220" s="12"/>
      <c r="JJ220" s="12"/>
      <c r="JK220" s="12"/>
      <c r="JL220" s="12"/>
      <c r="JM220" s="12"/>
      <c r="JN220" s="12"/>
      <c r="JO220" s="12"/>
      <c r="JP220" s="12"/>
      <c r="JQ220" s="12"/>
      <c r="JR220" s="12"/>
      <c r="JS220" s="12"/>
      <c r="JT220" s="12"/>
      <c r="JU220" s="12"/>
      <c r="JV220" s="12"/>
      <c r="JW220" s="12"/>
      <c r="JX220" s="12"/>
      <c r="JY220" s="12"/>
      <c r="JZ220" s="12"/>
      <c r="KA220" s="12"/>
      <c r="KB220" s="12"/>
      <c r="KC220" s="12"/>
      <c r="KD220" s="12"/>
      <c r="KE220" s="12"/>
      <c r="KF220" s="12"/>
      <c r="KG220" s="12"/>
      <c r="KH220" s="12"/>
      <c r="KI220" s="12"/>
      <c r="KJ220" s="12"/>
      <c r="KK220" s="12"/>
      <c r="KL220" s="12"/>
      <c r="KM220" s="12"/>
      <c r="KN220" s="12"/>
      <c r="KO220" s="12"/>
      <c r="KP220" s="12"/>
      <c r="KQ220" s="12"/>
      <c r="KR220" s="12"/>
      <c r="KS220" s="12"/>
      <c r="KT220" s="12"/>
      <c r="KU220" s="12"/>
      <c r="KV220" s="12"/>
      <c r="KW220" s="12"/>
      <c r="KX220" s="12"/>
      <c r="KY220" s="12"/>
      <c r="KZ220" s="12"/>
      <c r="LA220" s="12"/>
      <c r="LB220" s="12"/>
      <c r="LC220" s="12"/>
      <c r="LD220" s="12"/>
      <c r="LE220" s="12"/>
      <c r="LF220" s="12"/>
      <c r="LG220" s="12"/>
      <c r="LH220" s="12"/>
      <c r="LI220" s="12"/>
      <c r="LJ220" s="12"/>
      <c r="LK220" s="12"/>
      <c r="LL220" s="12"/>
      <c r="LM220" s="12"/>
      <c r="LN220" s="12"/>
      <c r="LO220" s="12"/>
      <c r="LP220" s="12"/>
      <c r="LQ220" s="12"/>
      <c r="LR220" s="12"/>
      <c r="LS220" s="12"/>
      <c r="LT220" s="12"/>
      <c r="LU220" s="12"/>
      <c r="LV220" s="12"/>
      <c r="LW220" s="12"/>
      <c r="LX220" s="12"/>
      <c r="LY220" s="12"/>
      <c r="LZ220" s="12"/>
      <c r="MA220" s="12"/>
      <c r="MB220" s="12"/>
      <c r="MC220" s="12"/>
      <c r="MD220" s="12"/>
      <c r="ME220" s="12"/>
      <c r="MF220" s="12"/>
      <c r="MG220" s="12"/>
      <c r="MH220" s="12"/>
      <c r="MI220" s="12"/>
      <c r="MJ220" s="12"/>
      <c r="MK220" s="12"/>
      <c r="ML220" s="12"/>
      <c r="MM220" s="12"/>
      <c r="MN220" s="12"/>
      <c r="MO220" s="12"/>
      <c r="MP220" s="12"/>
      <c r="MQ220" s="12"/>
      <c r="MR220" s="12"/>
      <c r="MS220" s="12"/>
      <c r="MT220" s="12"/>
      <c r="MU220" s="12"/>
      <c r="MV220" s="12"/>
      <c r="MW220" s="12"/>
      <c r="MX220" s="12"/>
      <c r="MY220" s="12"/>
      <c r="MZ220" s="12"/>
      <c r="NA220" s="12"/>
      <c r="NB220" s="12"/>
      <c r="NC220" s="12"/>
      <c r="ND220" s="12"/>
      <c r="NE220" s="12"/>
      <c r="NF220" s="12"/>
      <c r="NG220" s="12"/>
      <c r="NH220" s="12"/>
      <c r="NI220" s="12"/>
      <c r="NJ220" s="12"/>
      <c r="NK220" s="12"/>
      <c r="NL220" s="12"/>
      <c r="NM220" s="12"/>
      <c r="NN220" s="12"/>
      <c r="NO220" s="12"/>
      <c r="NP220" s="12"/>
      <c r="NQ220" s="12"/>
      <c r="NR220" s="12"/>
      <c r="NS220" s="12"/>
      <c r="NT220" s="12"/>
      <c r="NU220" s="12"/>
      <c r="NV220" s="12"/>
      <c r="NW220" s="12"/>
      <c r="NX220" s="12"/>
      <c r="NY220" s="12"/>
      <c r="NZ220" s="12"/>
      <c r="OA220" s="12"/>
      <c r="OB220" s="12"/>
      <c r="OC220" s="12"/>
      <c r="OD220" s="12"/>
      <c r="OE220" s="12"/>
      <c r="OF220" s="12"/>
      <c r="OG220" s="12"/>
      <c r="OH220" s="12"/>
      <c r="OI220" s="12"/>
      <c r="OJ220" s="12"/>
      <c r="OK220" s="12"/>
      <c r="OL220" s="12"/>
      <c r="OM220" s="12"/>
      <c r="ON220" s="12"/>
      <c r="OO220" s="12"/>
      <c r="OP220" s="12"/>
      <c r="OQ220" s="12"/>
      <c r="OR220" s="12"/>
      <c r="OS220" s="12"/>
      <c r="OT220" s="12"/>
      <c r="OU220" s="12"/>
      <c r="OV220" s="12"/>
      <c r="OW220" s="12"/>
      <c r="OX220" s="12"/>
      <c r="OY220" s="12"/>
      <c r="OZ220" s="12"/>
      <c r="PA220" s="12"/>
      <c r="PB220" s="12"/>
      <c r="PC220" s="12"/>
      <c r="PD220" s="12"/>
      <c r="PE220" s="12"/>
      <c r="PF220" s="12"/>
      <c r="PG220" s="12"/>
      <c r="PH220" s="12"/>
      <c r="PI220" s="12"/>
      <c r="PJ220" s="12"/>
      <c r="PK220" s="12"/>
      <c r="PL220" s="12"/>
      <c r="PM220" s="12"/>
      <c r="PN220" s="12"/>
      <c r="PO220" s="12"/>
      <c r="PP220" s="12"/>
      <c r="PQ220" s="12"/>
      <c r="PR220" s="12"/>
      <c r="PS220" s="12"/>
      <c r="PT220" s="12"/>
      <c r="PU220" s="12"/>
      <c r="PV220" s="12"/>
      <c r="PW220" s="12"/>
      <c r="PX220" s="12"/>
      <c r="PY220" s="12"/>
      <c r="PZ220" s="12"/>
      <c r="QA220" s="12"/>
      <c r="QB220" s="12"/>
      <c r="QC220" s="12"/>
      <c r="QD220" s="12"/>
      <c r="QE220" s="12"/>
      <c r="QF220" s="12"/>
      <c r="QG220" s="12"/>
      <c r="QH220" s="12"/>
      <c r="QI220" s="12"/>
      <c r="QJ220" s="12"/>
      <c r="QK220" s="12"/>
      <c r="QL220" s="12"/>
      <c r="QM220" s="12"/>
      <c r="QN220" s="12"/>
      <c r="QO220" s="12"/>
      <c r="QP220" s="12"/>
      <c r="QQ220" s="12"/>
      <c r="QR220" s="12"/>
      <c r="QS220" s="12"/>
      <c r="QT220" s="12"/>
      <c r="QU220" s="12"/>
      <c r="QV220" s="12"/>
      <c r="QW220" s="12"/>
      <c r="QX220" s="12"/>
      <c r="QY220" s="12"/>
      <c r="QZ220" s="12"/>
      <c r="RA220" s="12"/>
      <c r="RB220" s="12"/>
      <c r="RC220" s="12"/>
      <c r="RD220" s="12"/>
      <c r="RE220" s="12"/>
      <c r="RF220" s="12"/>
      <c r="RG220" s="12"/>
      <c r="RH220" s="12"/>
      <c r="RI220" s="12"/>
      <c r="RJ220" s="12"/>
      <c r="RK220" s="12"/>
      <c r="RL220" s="12"/>
      <c r="RM220" s="12"/>
      <c r="RN220" s="12"/>
      <c r="RO220" s="12"/>
      <c r="RP220" s="12"/>
      <c r="RQ220" s="12"/>
      <c r="RR220" s="12"/>
      <c r="RS220" s="12"/>
      <c r="RT220" s="12"/>
      <c r="RU220" s="12"/>
      <c r="RV220" s="12"/>
      <c r="RW220" s="12"/>
      <c r="RX220" s="12"/>
      <c r="RY220" s="12"/>
      <c r="RZ220" s="12"/>
      <c r="SA220" s="12"/>
      <c r="SB220" s="12"/>
      <c r="SC220" s="12"/>
      <c r="SD220" s="12"/>
      <c r="SE220" s="12"/>
      <c r="SF220" s="12"/>
      <c r="SG220" s="12"/>
      <c r="SH220" s="11"/>
      <c r="SI220" s="11"/>
      <c r="SJ220" s="11"/>
      <c r="SK220" s="11"/>
      <c r="SL220" s="11"/>
      <c r="SM220" s="11"/>
      <c r="SN220" s="11"/>
      <c r="SO220" s="11"/>
      <c r="SP220" s="11"/>
      <c r="SQ220" s="11"/>
      <c r="SR220" s="11"/>
      <c r="SS220" s="11"/>
      <c r="ST220" s="11"/>
      <c r="SU220" s="11"/>
      <c r="SV220" s="11"/>
      <c r="SW220" s="11"/>
      <c r="SX220" s="11"/>
      <c r="SY220" s="11"/>
      <c r="SZ220" s="11"/>
      <c r="TA220" s="11"/>
      <c r="TB220" s="11"/>
      <c r="TC220" s="11"/>
      <c r="TD220" s="11"/>
      <c r="TE220" s="11"/>
      <c r="TF220" s="11"/>
      <c r="TG220" s="11"/>
      <c r="TH220" s="11"/>
      <c r="TI220" s="11"/>
      <c r="TJ220" s="11"/>
      <c r="TK220" s="11"/>
      <c r="TL220" s="11"/>
    </row>
    <row r="221" spans="1:532" x14ac:dyDescent="0.2">
      <c r="A221" s="10" t="s">
        <v>220</v>
      </c>
      <c r="B221" s="12">
        <v>12</v>
      </c>
      <c r="C221" s="11">
        <v>0</v>
      </c>
      <c r="D221" s="11">
        <v>2.969952205012333</v>
      </c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G221" s="12"/>
      <c r="DH221" s="12"/>
      <c r="DI221" s="12"/>
      <c r="DJ221" s="12"/>
      <c r="DK221" s="12"/>
      <c r="DL221" s="12"/>
      <c r="DM221" s="12"/>
      <c r="DN221" s="12"/>
      <c r="DO221" s="12"/>
      <c r="DP221" s="12"/>
      <c r="DQ221" s="12"/>
      <c r="DR221" s="12"/>
      <c r="DS221" s="12"/>
      <c r="DT221" s="12"/>
      <c r="DU221" s="12"/>
      <c r="DV221" s="12"/>
      <c r="DW221" s="12"/>
      <c r="DX221" s="12"/>
      <c r="DY221" s="12"/>
      <c r="DZ221" s="12"/>
      <c r="EA221" s="12"/>
      <c r="EB221" s="12"/>
      <c r="EC221" s="12"/>
      <c r="ED221" s="12"/>
      <c r="EE221" s="12"/>
      <c r="EF221" s="12"/>
      <c r="EG221" s="12"/>
      <c r="EH221" s="12"/>
      <c r="EI221" s="12"/>
      <c r="EJ221" s="12"/>
      <c r="EK221" s="12"/>
      <c r="EL221" s="12"/>
      <c r="EM221" s="12"/>
      <c r="EN221" s="12"/>
      <c r="EO221" s="12"/>
      <c r="EP221" s="12"/>
      <c r="EQ221" s="12"/>
      <c r="ER221" s="12"/>
      <c r="ES221" s="12"/>
      <c r="ET221" s="12"/>
      <c r="EU221" s="12"/>
      <c r="EV221" s="12"/>
      <c r="EW221" s="12"/>
      <c r="EX221" s="12"/>
      <c r="EY221" s="12"/>
      <c r="EZ221" s="12"/>
      <c r="FA221" s="12"/>
      <c r="FB221" s="12"/>
      <c r="FC221" s="12"/>
      <c r="FD221" s="12"/>
      <c r="FE221" s="12"/>
      <c r="FF221" s="12"/>
      <c r="FG221" s="12"/>
      <c r="FH221" s="12"/>
      <c r="FI221" s="12"/>
      <c r="FJ221" s="12"/>
      <c r="FK221" s="12"/>
      <c r="FL221" s="12"/>
      <c r="FM221" s="12"/>
      <c r="FN221" s="12"/>
      <c r="FO221" s="12"/>
      <c r="FP221" s="12"/>
      <c r="FQ221" s="12"/>
      <c r="FR221" s="12"/>
      <c r="FS221" s="12"/>
      <c r="FT221" s="12"/>
      <c r="FU221" s="12"/>
      <c r="FV221" s="12"/>
      <c r="FW221" s="12"/>
      <c r="FX221" s="12"/>
      <c r="FY221" s="12"/>
      <c r="FZ221" s="12"/>
      <c r="GA221" s="12"/>
      <c r="GB221" s="12"/>
      <c r="GC221" s="12"/>
      <c r="GD221" s="12"/>
      <c r="GE221" s="12"/>
      <c r="GF221" s="12"/>
      <c r="GG221" s="12"/>
      <c r="GH221" s="12"/>
      <c r="GI221" s="12"/>
      <c r="GJ221" s="12"/>
      <c r="GK221" s="12"/>
      <c r="GL221" s="12"/>
      <c r="GM221" s="12"/>
      <c r="GN221" s="12"/>
      <c r="GO221" s="12"/>
      <c r="GP221" s="12"/>
      <c r="GQ221" s="12"/>
      <c r="GR221" s="12"/>
      <c r="GS221" s="12"/>
      <c r="GT221" s="12"/>
      <c r="GU221" s="12"/>
      <c r="GV221" s="12"/>
      <c r="GW221" s="12"/>
      <c r="GX221" s="12"/>
      <c r="GY221" s="12"/>
      <c r="GZ221" s="12"/>
      <c r="HA221" s="12"/>
      <c r="HB221" s="12"/>
      <c r="HC221" s="12"/>
      <c r="HD221" s="12"/>
      <c r="HE221" s="12"/>
      <c r="HF221" s="12"/>
      <c r="HG221" s="12"/>
      <c r="HH221" s="12"/>
      <c r="HI221" s="12"/>
      <c r="HJ221" s="12"/>
      <c r="HK221" s="12"/>
      <c r="HL221" s="12"/>
      <c r="HM221" s="12"/>
      <c r="HN221" s="12"/>
      <c r="HO221" s="12"/>
      <c r="HP221" s="12"/>
      <c r="HQ221" s="12"/>
      <c r="HR221" s="12"/>
      <c r="HS221" s="12"/>
      <c r="HT221" s="12"/>
      <c r="HU221" s="12"/>
      <c r="HV221" s="12"/>
      <c r="HW221" s="12"/>
      <c r="HX221" s="12"/>
      <c r="HY221" s="12"/>
      <c r="HZ221" s="12"/>
      <c r="IA221" s="12"/>
      <c r="IB221" s="12"/>
      <c r="IC221" s="12"/>
      <c r="ID221" s="12"/>
      <c r="IE221" s="12"/>
      <c r="IF221" s="12"/>
      <c r="IG221" s="12"/>
      <c r="IH221" s="12"/>
      <c r="II221" s="12"/>
      <c r="IJ221" s="12"/>
      <c r="IK221" s="12"/>
      <c r="IL221" s="12"/>
      <c r="IM221" s="12"/>
      <c r="IN221" s="12"/>
      <c r="IO221" s="12"/>
      <c r="IP221" s="12"/>
      <c r="IQ221" s="12"/>
      <c r="IR221" s="12"/>
      <c r="IS221" s="12"/>
      <c r="IT221" s="12"/>
      <c r="IU221" s="12"/>
      <c r="IV221" s="12"/>
      <c r="IW221" s="12"/>
      <c r="IX221" s="12"/>
      <c r="IY221" s="12"/>
      <c r="IZ221" s="12"/>
      <c r="JA221" s="12"/>
      <c r="JB221" s="12"/>
      <c r="JC221" s="12"/>
      <c r="JD221" s="12"/>
      <c r="JE221" s="12"/>
      <c r="JF221" s="12"/>
      <c r="JG221" s="12"/>
      <c r="JH221" s="12"/>
      <c r="JI221" s="12"/>
      <c r="JJ221" s="12"/>
      <c r="JK221" s="12"/>
      <c r="JL221" s="12"/>
      <c r="JM221" s="12"/>
      <c r="JN221" s="12"/>
      <c r="JO221" s="12"/>
      <c r="JP221" s="12"/>
      <c r="JQ221" s="12"/>
      <c r="JR221" s="12"/>
      <c r="JS221" s="12"/>
      <c r="JT221" s="12"/>
      <c r="JU221" s="12"/>
      <c r="JV221" s="12"/>
      <c r="JW221" s="12"/>
      <c r="JX221" s="12"/>
      <c r="JY221" s="12"/>
      <c r="JZ221" s="12"/>
      <c r="KA221" s="12"/>
      <c r="KB221" s="12"/>
      <c r="KC221" s="12"/>
      <c r="KD221" s="12"/>
      <c r="KE221" s="12"/>
      <c r="KF221" s="12"/>
      <c r="KG221" s="12"/>
      <c r="KH221" s="12"/>
      <c r="KI221" s="12"/>
      <c r="KJ221" s="12"/>
      <c r="KK221" s="12"/>
      <c r="KL221" s="12"/>
      <c r="KM221" s="12"/>
      <c r="KN221" s="12"/>
      <c r="KO221" s="12"/>
      <c r="KP221" s="12"/>
      <c r="KQ221" s="12"/>
      <c r="KR221" s="12"/>
      <c r="KS221" s="12"/>
      <c r="KT221" s="12"/>
      <c r="KU221" s="12"/>
      <c r="KV221" s="12"/>
      <c r="KW221" s="12"/>
      <c r="KX221" s="12"/>
      <c r="KY221" s="12"/>
      <c r="KZ221" s="12"/>
      <c r="LA221" s="12"/>
      <c r="LB221" s="12"/>
      <c r="LC221" s="12"/>
      <c r="LD221" s="12"/>
      <c r="LE221" s="12"/>
      <c r="LF221" s="12"/>
      <c r="LG221" s="12"/>
      <c r="LH221" s="12"/>
      <c r="LI221" s="12"/>
      <c r="LJ221" s="12"/>
      <c r="LK221" s="12"/>
      <c r="LL221" s="12"/>
      <c r="LM221" s="12"/>
      <c r="LN221" s="12"/>
      <c r="LO221" s="12"/>
      <c r="LP221" s="12"/>
      <c r="LQ221" s="12"/>
      <c r="LR221" s="12"/>
      <c r="LS221" s="12"/>
      <c r="LT221" s="12"/>
      <c r="LU221" s="12"/>
      <c r="LV221" s="12"/>
      <c r="LW221" s="12"/>
      <c r="LX221" s="12"/>
      <c r="LY221" s="12"/>
      <c r="LZ221" s="12"/>
      <c r="MA221" s="12"/>
      <c r="MB221" s="12"/>
      <c r="MC221" s="12"/>
      <c r="MD221" s="12"/>
      <c r="ME221" s="12"/>
      <c r="MF221" s="12"/>
      <c r="MG221" s="12"/>
      <c r="MH221" s="12"/>
      <c r="MI221" s="12"/>
      <c r="MJ221" s="12"/>
      <c r="MK221" s="12"/>
      <c r="ML221" s="12"/>
      <c r="MM221" s="12"/>
      <c r="MN221" s="12"/>
      <c r="MO221" s="12"/>
      <c r="MP221" s="12"/>
      <c r="MQ221" s="12"/>
      <c r="MR221" s="12"/>
      <c r="MS221" s="12"/>
      <c r="MT221" s="12"/>
      <c r="MU221" s="12"/>
      <c r="MV221" s="12"/>
      <c r="MW221" s="12"/>
      <c r="MX221" s="12"/>
      <c r="MY221" s="12"/>
      <c r="MZ221" s="12"/>
      <c r="NA221" s="12"/>
      <c r="NB221" s="12"/>
      <c r="NC221" s="12"/>
      <c r="ND221" s="12"/>
      <c r="NE221" s="12"/>
      <c r="NF221" s="12"/>
      <c r="NG221" s="12"/>
      <c r="NH221" s="12"/>
      <c r="NI221" s="12"/>
      <c r="NJ221" s="12"/>
      <c r="NK221" s="12"/>
      <c r="NL221" s="12"/>
      <c r="NM221" s="12"/>
      <c r="NN221" s="12"/>
      <c r="NO221" s="12"/>
      <c r="NP221" s="12"/>
      <c r="NQ221" s="12"/>
      <c r="NR221" s="12"/>
      <c r="NS221" s="12"/>
      <c r="NT221" s="12"/>
      <c r="NU221" s="12"/>
      <c r="NV221" s="12"/>
      <c r="NW221" s="12"/>
      <c r="NX221" s="12"/>
      <c r="NY221" s="12"/>
      <c r="NZ221" s="12"/>
      <c r="OA221" s="12"/>
      <c r="OB221" s="12"/>
      <c r="OC221" s="12"/>
      <c r="OD221" s="12"/>
      <c r="OE221" s="12"/>
      <c r="OF221" s="12"/>
      <c r="OG221" s="12"/>
      <c r="OH221" s="12"/>
      <c r="OI221" s="12"/>
      <c r="OJ221" s="12"/>
      <c r="OK221" s="12"/>
      <c r="OL221" s="12"/>
      <c r="OM221" s="12"/>
      <c r="ON221" s="12"/>
      <c r="OO221" s="12"/>
      <c r="OP221" s="12"/>
      <c r="OQ221" s="12"/>
      <c r="OR221" s="12"/>
      <c r="OS221" s="12"/>
      <c r="OT221" s="12"/>
      <c r="OU221" s="12"/>
      <c r="OV221" s="12"/>
      <c r="OW221" s="12"/>
      <c r="OX221" s="12"/>
      <c r="OY221" s="12"/>
      <c r="OZ221" s="12"/>
      <c r="PA221" s="12"/>
      <c r="PB221" s="12"/>
      <c r="PC221" s="12"/>
      <c r="PD221" s="12"/>
      <c r="PE221" s="12"/>
      <c r="PF221" s="12"/>
      <c r="PG221" s="12"/>
      <c r="PH221" s="12"/>
      <c r="PI221" s="12"/>
      <c r="PJ221" s="12"/>
      <c r="PK221" s="12"/>
      <c r="PL221" s="12"/>
      <c r="PM221" s="12"/>
      <c r="PN221" s="12"/>
      <c r="PO221" s="12"/>
      <c r="PP221" s="12"/>
      <c r="PQ221" s="12"/>
      <c r="PR221" s="12"/>
      <c r="PS221" s="12"/>
      <c r="PT221" s="12"/>
      <c r="PU221" s="12"/>
      <c r="PV221" s="12"/>
      <c r="PW221" s="12"/>
      <c r="PX221" s="12"/>
      <c r="PY221" s="12"/>
      <c r="PZ221" s="12"/>
      <c r="QA221" s="12"/>
      <c r="QB221" s="12"/>
      <c r="QC221" s="12"/>
      <c r="QD221" s="12"/>
      <c r="QE221" s="12"/>
      <c r="QF221" s="12"/>
      <c r="QG221" s="12"/>
      <c r="QH221" s="12"/>
      <c r="QI221" s="12"/>
      <c r="QJ221" s="12"/>
      <c r="QK221" s="12"/>
      <c r="QL221" s="12"/>
      <c r="QM221" s="12"/>
      <c r="QN221" s="12"/>
      <c r="QO221" s="12"/>
      <c r="QP221" s="12"/>
      <c r="QQ221" s="12"/>
      <c r="QR221" s="12"/>
      <c r="QS221" s="12"/>
      <c r="QT221" s="12"/>
      <c r="QU221" s="12"/>
      <c r="QV221" s="12"/>
      <c r="QW221" s="12"/>
      <c r="QX221" s="12"/>
      <c r="QY221" s="12"/>
      <c r="QZ221" s="12"/>
      <c r="RA221" s="12"/>
      <c r="RB221" s="12"/>
      <c r="RC221" s="12"/>
      <c r="RD221" s="12"/>
      <c r="RE221" s="12"/>
      <c r="RF221" s="12"/>
      <c r="RG221" s="12"/>
      <c r="RH221" s="12"/>
      <c r="RI221" s="12"/>
      <c r="RJ221" s="12"/>
      <c r="RK221" s="12"/>
      <c r="RL221" s="12"/>
      <c r="RM221" s="12"/>
      <c r="RN221" s="12"/>
      <c r="RO221" s="12"/>
      <c r="RP221" s="12"/>
      <c r="RQ221" s="12"/>
      <c r="RR221" s="12"/>
      <c r="RS221" s="12"/>
      <c r="RT221" s="12"/>
      <c r="RU221" s="12"/>
      <c r="RV221" s="12"/>
      <c r="RW221" s="12"/>
      <c r="RX221" s="12"/>
      <c r="RY221" s="12"/>
      <c r="RZ221" s="12"/>
      <c r="SA221" s="12"/>
      <c r="SB221" s="12"/>
      <c r="SC221" s="12"/>
      <c r="SD221" s="12"/>
      <c r="SE221" s="12"/>
      <c r="SF221" s="12"/>
      <c r="SG221" s="12"/>
      <c r="SH221" s="11"/>
      <c r="SI221" s="11"/>
      <c r="SJ221" s="11"/>
      <c r="SK221" s="11"/>
      <c r="SL221" s="11"/>
      <c r="SM221" s="11"/>
      <c r="SN221" s="11"/>
      <c r="SO221" s="11"/>
      <c r="SP221" s="11"/>
      <c r="SQ221" s="11"/>
      <c r="SR221" s="11"/>
      <c r="SS221" s="11"/>
      <c r="ST221" s="11"/>
      <c r="SU221" s="11"/>
      <c r="SV221" s="11"/>
      <c r="SW221" s="11"/>
      <c r="SX221" s="11"/>
      <c r="SY221" s="11"/>
      <c r="SZ221" s="11"/>
      <c r="TA221" s="11"/>
      <c r="TB221" s="11"/>
      <c r="TC221" s="11"/>
      <c r="TD221" s="11"/>
      <c r="TE221" s="11"/>
      <c r="TF221" s="11"/>
      <c r="TG221" s="11"/>
      <c r="TH221" s="11"/>
      <c r="TI221" s="11"/>
      <c r="TJ221" s="11"/>
      <c r="TK221" s="11"/>
      <c r="TL221" s="11"/>
    </row>
    <row r="222" spans="1:532" x14ac:dyDescent="0.2">
      <c r="A222" s="10" t="s">
        <v>221</v>
      </c>
      <c r="B222" s="12">
        <v>14.14</v>
      </c>
      <c r="C222" s="11">
        <v>0</v>
      </c>
      <c r="D222" s="11">
        <v>0.85138629877020211</v>
      </c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12"/>
      <c r="DE222" s="12"/>
      <c r="DF222" s="12"/>
      <c r="DG222" s="12"/>
      <c r="DH222" s="12"/>
      <c r="DI222" s="12"/>
      <c r="DJ222" s="12"/>
      <c r="DK222" s="12"/>
      <c r="DL222" s="12"/>
      <c r="DM222" s="12"/>
      <c r="DN222" s="12"/>
      <c r="DO222" s="12"/>
      <c r="DP222" s="12"/>
      <c r="DQ222" s="12"/>
      <c r="DR222" s="12"/>
      <c r="DS222" s="12"/>
      <c r="DT222" s="12"/>
      <c r="DU222" s="12"/>
      <c r="DV222" s="12"/>
      <c r="DW222" s="12"/>
      <c r="DX222" s="12"/>
      <c r="DY222" s="12"/>
      <c r="DZ222" s="12"/>
      <c r="EA222" s="12"/>
      <c r="EB222" s="12"/>
      <c r="EC222" s="12"/>
      <c r="ED222" s="12"/>
      <c r="EE222" s="12"/>
      <c r="EF222" s="12"/>
      <c r="EG222" s="12"/>
      <c r="EH222" s="12"/>
      <c r="EI222" s="12"/>
      <c r="EJ222" s="12"/>
      <c r="EK222" s="12"/>
      <c r="EL222" s="12"/>
      <c r="EM222" s="12"/>
      <c r="EN222" s="12"/>
      <c r="EO222" s="12"/>
      <c r="EP222" s="12"/>
      <c r="EQ222" s="12"/>
      <c r="ER222" s="12"/>
      <c r="ES222" s="12"/>
      <c r="ET222" s="12"/>
      <c r="EU222" s="12"/>
      <c r="EV222" s="12"/>
      <c r="EW222" s="12"/>
      <c r="EX222" s="12"/>
      <c r="EY222" s="12"/>
      <c r="EZ222" s="12"/>
      <c r="FA222" s="12"/>
      <c r="FB222" s="12"/>
      <c r="FC222" s="12"/>
      <c r="FD222" s="12"/>
      <c r="FE222" s="12"/>
      <c r="FF222" s="12"/>
      <c r="FG222" s="12"/>
      <c r="FH222" s="12"/>
      <c r="FI222" s="12"/>
      <c r="FJ222" s="12"/>
      <c r="FK222" s="12"/>
      <c r="FL222" s="12"/>
      <c r="FM222" s="12"/>
      <c r="FN222" s="12"/>
      <c r="FO222" s="12"/>
      <c r="FP222" s="12"/>
      <c r="FQ222" s="12"/>
      <c r="FR222" s="12"/>
      <c r="FS222" s="12"/>
      <c r="FT222" s="12"/>
      <c r="FU222" s="12"/>
      <c r="FV222" s="12"/>
      <c r="FW222" s="12"/>
      <c r="FX222" s="12"/>
      <c r="FY222" s="12"/>
      <c r="FZ222" s="12"/>
      <c r="GA222" s="12"/>
      <c r="GB222" s="12"/>
      <c r="GC222" s="12"/>
      <c r="GD222" s="12"/>
      <c r="GE222" s="12"/>
      <c r="GF222" s="12"/>
      <c r="GG222" s="12"/>
      <c r="GH222" s="12"/>
      <c r="GI222" s="12"/>
      <c r="GJ222" s="12"/>
      <c r="GK222" s="12"/>
      <c r="GL222" s="12"/>
      <c r="GM222" s="12"/>
      <c r="GN222" s="12"/>
      <c r="GO222" s="12"/>
      <c r="GP222" s="12"/>
      <c r="GQ222" s="12"/>
      <c r="GR222" s="12"/>
      <c r="GS222" s="12"/>
      <c r="GT222" s="12"/>
      <c r="GU222" s="12"/>
      <c r="GV222" s="12"/>
      <c r="GW222" s="12"/>
      <c r="GX222" s="12"/>
      <c r="GY222" s="12"/>
      <c r="GZ222" s="12"/>
      <c r="HA222" s="12"/>
      <c r="HB222" s="12"/>
      <c r="HC222" s="12"/>
      <c r="HD222" s="12"/>
      <c r="HE222" s="12"/>
      <c r="HF222" s="12"/>
      <c r="HG222" s="12"/>
      <c r="HH222" s="12"/>
      <c r="HI222" s="12"/>
      <c r="HJ222" s="12"/>
      <c r="HK222" s="12"/>
      <c r="HL222" s="12"/>
      <c r="HM222" s="12"/>
      <c r="HN222" s="12"/>
      <c r="HO222" s="12"/>
      <c r="HP222" s="12"/>
      <c r="HQ222" s="12"/>
      <c r="HR222" s="12"/>
      <c r="HS222" s="12"/>
      <c r="HT222" s="12"/>
      <c r="HU222" s="12"/>
      <c r="HV222" s="12"/>
      <c r="HW222" s="12"/>
      <c r="HX222" s="12"/>
      <c r="HY222" s="12"/>
      <c r="HZ222" s="12"/>
      <c r="IA222" s="12"/>
      <c r="IB222" s="12"/>
      <c r="IC222" s="12"/>
      <c r="ID222" s="12"/>
      <c r="IE222" s="12"/>
      <c r="IF222" s="12"/>
      <c r="IG222" s="12"/>
      <c r="IH222" s="12"/>
      <c r="II222" s="12"/>
      <c r="IJ222" s="12"/>
      <c r="IK222" s="12"/>
      <c r="IL222" s="12"/>
      <c r="IM222" s="12"/>
      <c r="IN222" s="12"/>
      <c r="IO222" s="12"/>
      <c r="IP222" s="12"/>
      <c r="IQ222" s="12"/>
      <c r="IR222" s="12"/>
      <c r="IS222" s="12"/>
      <c r="IT222" s="12"/>
      <c r="IU222" s="12"/>
      <c r="IV222" s="12"/>
      <c r="IW222" s="12"/>
      <c r="IX222" s="12"/>
      <c r="IY222" s="12"/>
      <c r="IZ222" s="12"/>
      <c r="JA222" s="12"/>
      <c r="JB222" s="12"/>
      <c r="JC222" s="12"/>
      <c r="JD222" s="12"/>
      <c r="JE222" s="12"/>
      <c r="JF222" s="12"/>
      <c r="JG222" s="12"/>
      <c r="JH222" s="12"/>
      <c r="JI222" s="12"/>
      <c r="JJ222" s="12"/>
      <c r="JK222" s="12"/>
      <c r="JL222" s="12"/>
      <c r="JM222" s="12"/>
      <c r="JN222" s="12"/>
      <c r="JO222" s="12"/>
      <c r="JP222" s="12"/>
      <c r="JQ222" s="12"/>
      <c r="JR222" s="12"/>
      <c r="JS222" s="12"/>
      <c r="JT222" s="12"/>
      <c r="JU222" s="12"/>
      <c r="JV222" s="12"/>
      <c r="JW222" s="12"/>
      <c r="JX222" s="12"/>
      <c r="JY222" s="12"/>
      <c r="JZ222" s="12"/>
      <c r="KA222" s="12"/>
      <c r="KB222" s="12"/>
      <c r="KC222" s="12"/>
      <c r="KD222" s="12"/>
      <c r="KE222" s="12"/>
      <c r="KF222" s="12"/>
      <c r="KG222" s="12"/>
      <c r="KH222" s="12"/>
      <c r="KI222" s="12"/>
      <c r="KJ222" s="12"/>
      <c r="KK222" s="12"/>
      <c r="KL222" s="12"/>
      <c r="KM222" s="12"/>
      <c r="KN222" s="12"/>
      <c r="KO222" s="12"/>
      <c r="KP222" s="12"/>
      <c r="KQ222" s="12"/>
      <c r="KR222" s="12"/>
      <c r="KS222" s="12"/>
      <c r="KT222" s="12"/>
      <c r="KU222" s="12"/>
      <c r="KV222" s="12"/>
      <c r="KW222" s="12"/>
      <c r="KX222" s="12"/>
      <c r="KY222" s="12"/>
      <c r="KZ222" s="12"/>
      <c r="LA222" s="12"/>
      <c r="LB222" s="12"/>
      <c r="LC222" s="12"/>
      <c r="LD222" s="12"/>
      <c r="LE222" s="12"/>
      <c r="LF222" s="12"/>
      <c r="LG222" s="12"/>
      <c r="LH222" s="12"/>
      <c r="LI222" s="12"/>
      <c r="LJ222" s="12"/>
      <c r="LK222" s="12"/>
      <c r="LL222" s="12"/>
      <c r="LM222" s="12"/>
      <c r="LN222" s="12"/>
      <c r="LO222" s="12"/>
      <c r="LP222" s="12"/>
      <c r="LQ222" s="12"/>
      <c r="LR222" s="12"/>
      <c r="LS222" s="12"/>
      <c r="LT222" s="12"/>
      <c r="LU222" s="12"/>
      <c r="LV222" s="12"/>
      <c r="LW222" s="12"/>
      <c r="LX222" s="12"/>
      <c r="LY222" s="12"/>
      <c r="LZ222" s="12"/>
      <c r="MA222" s="12"/>
      <c r="MB222" s="12"/>
      <c r="MC222" s="12"/>
      <c r="MD222" s="12"/>
      <c r="ME222" s="12"/>
      <c r="MF222" s="12"/>
      <c r="MG222" s="12"/>
      <c r="MH222" s="12"/>
      <c r="MI222" s="12"/>
      <c r="MJ222" s="12"/>
      <c r="MK222" s="12"/>
      <c r="ML222" s="12"/>
      <c r="MM222" s="12"/>
      <c r="MN222" s="12"/>
      <c r="MO222" s="12"/>
      <c r="MP222" s="12"/>
      <c r="MQ222" s="12"/>
      <c r="MR222" s="12"/>
      <c r="MS222" s="12"/>
      <c r="MT222" s="12"/>
      <c r="MU222" s="12"/>
      <c r="MV222" s="12"/>
      <c r="MW222" s="12"/>
      <c r="MX222" s="12"/>
      <c r="MY222" s="12"/>
      <c r="MZ222" s="12"/>
      <c r="NA222" s="12"/>
      <c r="NB222" s="12"/>
      <c r="NC222" s="12"/>
      <c r="ND222" s="12"/>
      <c r="NE222" s="12"/>
      <c r="NF222" s="12"/>
      <c r="NG222" s="12"/>
      <c r="NH222" s="12"/>
      <c r="NI222" s="12"/>
      <c r="NJ222" s="12"/>
      <c r="NK222" s="12"/>
      <c r="NL222" s="12"/>
      <c r="NM222" s="12"/>
      <c r="NN222" s="12"/>
      <c r="NO222" s="12"/>
      <c r="NP222" s="12"/>
      <c r="NQ222" s="12"/>
      <c r="NR222" s="12"/>
      <c r="NS222" s="12"/>
      <c r="NT222" s="12"/>
      <c r="NU222" s="12"/>
      <c r="NV222" s="12"/>
      <c r="NW222" s="12"/>
      <c r="NX222" s="12"/>
      <c r="NY222" s="12"/>
      <c r="NZ222" s="12"/>
      <c r="OA222" s="12"/>
      <c r="OB222" s="12"/>
      <c r="OC222" s="12"/>
      <c r="OD222" s="12"/>
      <c r="OE222" s="12"/>
      <c r="OF222" s="12"/>
      <c r="OG222" s="12"/>
      <c r="OH222" s="12"/>
      <c r="OI222" s="12"/>
      <c r="OJ222" s="12"/>
      <c r="OK222" s="12"/>
      <c r="OL222" s="12"/>
      <c r="OM222" s="12"/>
      <c r="ON222" s="12"/>
      <c r="OO222" s="12"/>
      <c r="OP222" s="12"/>
      <c r="OQ222" s="12"/>
      <c r="OR222" s="12"/>
      <c r="OS222" s="12"/>
      <c r="OT222" s="12"/>
      <c r="OU222" s="12"/>
      <c r="OV222" s="12"/>
      <c r="OW222" s="12"/>
      <c r="OX222" s="12"/>
      <c r="OY222" s="12"/>
      <c r="OZ222" s="12"/>
      <c r="PA222" s="12"/>
      <c r="PB222" s="12"/>
      <c r="PC222" s="12"/>
      <c r="PD222" s="12"/>
      <c r="PE222" s="12"/>
      <c r="PF222" s="12"/>
      <c r="PG222" s="12"/>
      <c r="PH222" s="12"/>
      <c r="PI222" s="12"/>
      <c r="PJ222" s="12"/>
      <c r="PK222" s="12"/>
      <c r="PL222" s="12"/>
      <c r="PM222" s="12"/>
      <c r="PN222" s="12"/>
      <c r="PO222" s="12"/>
      <c r="PP222" s="12"/>
      <c r="PQ222" s="12"/>
      <c r="PR222" s="12"/>
      <c r="PS222" s="12"/>
      <c r="PT222" s="12"/>
      <c r="PU222" s="12"/>
      <c r="PV222" s="12"/>
      <c r="PW222" s="12"/>
      <c r="PX222" s="12"/>
      <c r="PY222" s="12"/>
      <c r="PZ222" s="12"/>
      <c r="QA222" s="12"/>
      <c r="QB222" s="12"/>
      <c r="QC222" s="12"/>
      <c r="QD222" s="12"/>
      <c r="QE222" s="12"/>
      <c r="QF222" s="12"/>
      <c r="QG222" s="12"/>
      <c r="QH222" s="12"/>
      <c r="QI222" s="12"/>
      <c r="QJ222" s="12"/>
      <c r="QK222" s="12"/>
      <c r="QL222" s="12"/>
      <c r="QM222" s="12"/>
      <c r="QN222" s="12"/>
      <c r="QO222" s="12"/>
      <c r="QP222" s="12"/>
      <c r="QQ222" s="12"/>
      <c r="QR222" s="12"/>
      <c r="QS222" s="12"/>
      <c r="QT222" s="12"/>
      <c r="QU222" s="12"/>
      <c r="QV222" s="12"/>
      <c r="QW222" s="12"/>
      <c r="QX222" s="12"/>
      <c r="QY222" s="12"/>
      <c r="QZ222" s="12"/>
      <c r="RA222" s="12"/>
      <c r="RB222" s="12"/>
      <c r="RC222" s="12"/>
      <c r="RD222" s="12"/>
      <c r="RE222" s="12"/>
      <c r="RF222" s="12"/>
      <c r="RG222" s="12"/>
      <c r="RH222" s="12"/>
      <c r="RI222" s="12"/>
      <c r="RJ222" s="12"/>
      <c r="RK222" s="12"/>
      <c r="RL222" s="12"/>
      <c r="RM222" s="12"/>
      <c r="RN222" s="12"/>
      <c r="RO222" s="12"/>
      <c r="RP222" s="12"/>
      <c r="RQ222" s="12"/>
      <c r="RR222" s="12"/>
      <c r="RS222" s="12"/>
      <c r="RT222" s="12"/>
      <c r="RU222" s="12"/>
      <c r="RV222" s="12"/>
      <c r="RW222" s="12"/>
      <c r="RX222" s="12"/>
      <c r="RY222" s="12"/>
      <c r="RZ222" s="12"/>
      <c r="SA222" s="12"/>
      <c r="SB222" s="12"/>
      <c r="SC222" s="12"/>
      <c r="SD222" s="12"/>
      <c r="SE222" s="12"/>
      <c r="SF222" s="12"/>
      <c r="SG222" s="12"/>
      <c r="SH222" s="11"/>
      <c r="SI222" s="11"/>
      <c r="SJ222" s="11"/>
      <c r="SK222" s="11"/>
      <c r="SL222" s="11"/>
      <c r="SM222" s="11"/>
      <c r="SN222" s="11"/>
      <c r="SO222" s="11"/>
      <c r="SP222" s="11"/>
      <c r="SQ222" s="11"/>
      <c r="SR222" s="11"/>
      <c r="SS222" s="11"/>
      <c r="ST222" s="11"/>
      <c r="SU222" s="11"/>
      <c r="SV222" s="11"/>
      <c r="SW222" s="11"/>
      <c r="SX222" s="11"/>
      <c r="SY222" s="11"/>
      <c r="SZ222" s="11"/>
      <c r="TA222" s="11"/>
      <c r="TB222" s="11"/>
      <c r="TC222" s="11"/>
      <c r="TD222" s="11"/>
      <c r="TE222" s="11"/>
      <c r="TF222" s="11"/>
      <c r="TG222" s="11"/>
      <c r="TH222" s="11"/>
      <c r="TI222" s="11"/>
      <c r="TJ222" s="11"/>
      <c r="TK222" s="11"/>
      <c r="TL222" s="11"/>
    </row>
    <row r="223" spans="1:532" x14ac:dyDescent="0.2">
      <c r="A223" s="10" t="s">
        <v>222</v>
      </c>
      <c r="B223" s="12">
        <v>14.76</v>
      </c>
      <c r="C223" s="11">
        <v>0</v>
      </c>
      <c r="D223" s="11">
        <v>0.23759617640098663</v>
      </c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  <c r="CO223" s="12"/>
      <c r="CP223" s="12"/>
      <c r="CQ223" s="12"/>
      <c r="CR223" s="12"/>
      <c r="CS223" s="12"/>
      <c r="CT223" s="12"/>
      <c r="CU223" s="12"/>
      <c r="CV223" s="12"/>
      <c r="CW223" s="12"/>
      <c r="CX223" s="12"/>
      <c r="CY223" s="12"/>
      <c r="CZ223" s="12"/>
      <c r="DA223" s="12"/>
      <c r="DB223" s="12"/>
      <c r="DC223" s="12"/>
      <c r="DD223" s="12"/>
      <c r="DE223" s="12"/>
      <c r="DF223" s="12"/>
      <c r="DG223" s="12"/>
      <c r="DH223" s="12"/>
      <c r="DI223" s="12"/>
      <c r="DJ223" s="12"/>
      <c r="DK223" s="12"/>
      <c r="DL223" s="12"/>
      <c r="DM223" s="12"/>
      <c r="DN223" s="12"/>
      <c r="DO223" s="12"/>
      <c r="DP223" s="12"/>
      <c r="DQ223" s="12"/>
      <c r="DR223" s="12"/>
      <c r="DS223" s="12"/>
      <c r="DT223" s="12"/>
      <c r="DU223" s="12"/>
      <c r="DV223" s="12"/>
      <c r="DW223" s="12"/>
      <c r="DX223" s="12"/>
      <c r="DY223" s="12"/>
      <c r="DZ223" s="12"/>
      <c r="EA223" s="12"/>
      <c r="EB223" s="12"/>
      <c r="EC223" s="12"/>
      <c r="ED223" s="12"/>
      <c r="EE223" s="12"/>
      <c r="EF223" s="12"/>
      <c r="EG223" s="12"/>
      <c r="EH223" s="12"/>
      <c r="EI223" s="12"/>
      <c r="EJ223" s="12"/>
      <c r="EK223" s="12"/>
      <c r="EL223" s="12"/>
      <c r="EM223" s="12"/>
      <c r="EN223" s="12"/>
      <c r="EO223" s="12"/>
      <c r="EP223" s="12"/>
      <c r="EQ223" s="12"/>
      <c r="ER223" s="12"/>
      <c r="ES223" s="12"/>
      <c r="ET223" s="12"/>
      <c r="EU223" s="12"/>
      <c r="EV223" s="12"/>
      <c r="EW223" s="12"/>
      <c r="EX223" s="12"/>
      <c r="EY223" s="12"/>
      <c r="EZ223" s="12"/>
      <c r="FA223" s="12"/>
      <c r="FB223" s="12"/>
      <c r="FC223" s="12"/>
      <c r="FD223" s="12"/>
      <c r="FE223" s="12"/>
      <c r="FF223" s="12"/>
      <c r="FG223" s="12"/>
      <c r="FH223" s="12"/>
      <c r="FI223" s="12"/>
      <c r="FJ223" s="12"/>
      <c r="FK223" s="12"/>
      <c r="FL223" s="12"/>
      <c r="FM223" s="12"/>
      <c r="FN223" s="12"/>
      <c r="FO223" s="12"/>
      <c r="FP223" s="12"/>
      <c r="FQ223" s="12"/>
      <c r="FR223" s="12"/>
      <c r="FS223" s="12"/>
      <c r="FT223" s="12"/>
      <c r="FU223" s="12"/>
      <c r="FV223" s="12"/>
      <c r="FW223" s="12"/>
      <c r="FX223" s="12"/>
      <c r="FY223" s="12"/>
      <c r="FZ223" s="12"/>
      <c r="GA223" s="12"/>
      <c r="GB223" s="12"/>
      <c r="GC223" s="12"/>
      <c r="GD223" s="12"/>
      <c r="GE223" s="12"/>
      <c r="GF223" s="12"/>
      <c r="GG223" s="12"/>
      <c r="GH223" s="12"/>
      <c r="GI223" s="12"/>
      <c r="GJ223" s="12"/>
      <c r="GK223" s="12"/>
      <c r="GL223" s="12"/>
      <c r="GM223" s="12"/>
      <c r="GN223" s="12"/>
      <c r="GO223" s="12"/>
      <c r="GP223" s="12"/>
      <c r="GQ223" s="12"/>
      <c r="GR223" s="12"/>
      <c r="GS223" s="12"/>
      <c r="GT223" s="12"/>
      <c r="GU223" s="12"/>
      <c r="GV223" s="12"/>
      <c r="GW223" s="12"/>
      <c r="GX223" s="12"/>
      <c r="GY223" s="12"/>
      <c r="GZ223" s="12"/>
      <c r="HA223" s="12"/>
      <c r="HB223" s="12"/>
      <c r="HC223" s="12"/>
      <c r="HD223" s="12"/>
      <c r="HE223" s="12"/>
      <c r="HF223" s="12"/>
      <c r="HG223" s="12"/>
      <c r="HH223" s="12"/>
      <c r="HI223" s="12"/>
      <c r="HJ223" s="12"/>
      <c r="HK223" s="12"/>
      <c r="HL223" s="12"/>
      <c r="HM223" s="12"/>
      <c r="HN223" s="12"/>
      <c r="HO223" s="12"/>
      <c r="HP223" s="12"/>
      <c r="HQ223" s="12"/>
      <c r="HR223" s="12"/>
      <c r="HS223" s="12"/>
      <c r="HT223" s="12"/>
      <c r="HU223" s="12"/>
      <c r="HV223" s="12"/>
      <c r="HW223" s="12"/>
      <c r="HX223" s="12"/>
      <c r="HY223" s="12"/>
      <c r="HZ223" s="12"/>
      <c r="IA223" s="12"/>
      <c r="IB223" s="12"/>
      <c r="IC223" s="12"/>
      <c r="ID223" s="12"/>
      <c r="IE223" s="12"/>
      <c r="IF223" s="12"/>
      <c r="IG223" s="12"/>
      <c r="IH223" s="12"/>
      <c r="II223" s="12"/>
      <c r="IJ223" s="12"/>
      <c r="IK223" s="12"/>
      <c r="IL223" s="12"/>
      <c r="IM223" s="12"/>
      <c r="IN223" s="12"/>
      <c r="IO223" s="12"/>
      <c r="IP223" s="12"/>
      <c r="IQ223" s="12"/>
      <c r="IR223" s="12"/>
      <c r="IS223" s="12"/>
      <c r="IT223" s="12"/>
      <c r="IU223" s="12"/>
      <c r="IV223" s="12"/>
      <c r="IW223" s="12"/>
      <c r="IX223" s="12"/>
      <c r="IY223" s="12"/>
      <c r="IZ223" s="12"/>
      <c r="JA223" s="12"/>
      <c r="JB223" s="12"/>
      <c r="JC223" s="12"/>
      <c r="JD223" s="12"/>
      <c r="JE223" s="12"/>
      <c r="JF223" s="12"/>
      <c r="JG223" s="12"/>
      <c r="JH223" s="12"/>
      <c r="JI223" s="12"/>
      <c r="JJ223" s="12"/>
      <c r="JK223" s="12"/>
      <c r="JL223" s="12"/>
      <c r="JM223" s="12"/>
      <c r="JN223" s="12"/>
      <c r="JO223" s="12"/>
      <c r="JP223" s="12"/>
      <c r="JQ223" s="12"/>
      <c r="JR223" s="12"/>
      <c r="JS223" s="12"/>
      <c r="JT223" s="12"/>
      <c r="JU223" s="12"/>
      <c r="JV223" s="12"/>
      <c r="JW223" s="12"/>
      <c r="JX223" s="12"/>
      <c r="JY223" s="12"/>
      <c r="JZ223" s="12"/>
      <c r="KA223" s="12"/>
      <c r="KB223" s="12"/>
      <c r="KC223" s="12"/>
      <c r="KD223" s="12"/>
      <c r="KE223" s="12"/>
      <c r="KF223" s="12"/>
      <c r="KG223" s="12"/>
      <c r="KH223" s="12"/>
      <c r="KI223" s="12"/>
      <c r="KJ223" s="12"/>
      <c r="KK223" s="12"/>
      <c r="KL223" s="12"/>
      <c r="KM223" s="12"/>
      <c r="KN223" s="12"/>
      <c r="KO223" s="12"/>
      <c r="KP223" s="12"/>
      <c r="KQ223" s="12"/>
      <c r="KR223" s="12"/>
      <c r="KS223" s="12"/>
      <c r="KT223" s="12"/>
      <c r="KU223" s="12"/>
      <c r="KV223" s="12"/>
      <c r="KW223" s="12"/>
      <c r="KX223" s="12"/>
      <c r="KY223" s="12"/>
      <c r="KZ223" s="12"/>
      <c r="LA223" s="12"/>
      <c r="LB223" s="12"/>
      <c r="LC223" s="12"/>
      <c r="LD223" s="12"/>
      <c r="LE223" s="12"/>
      <c r="LF223" s="12"/>
      <c r="LG223" s="12"/>
      <c r="LH223" s="12"/>
      <c r="LI223" s="12"/>
      <c r="LJ223" s="12"/>
      <c r="LK223" s="12"/>
      <c r="LL223" s="12"/>
      <c r="LM223" s="12"/>
      <c r="LN223" s="12"/>
      <c r="LO223" s="12"/>
      <c r="LP223" s="12"/>
      <c r="LQ223" s="12"/>
      <c r="LR223" s="12"/>
      <c r="LS223" s="12"/>
      <c r="LT223" s="12"/>
      <c r="LU223" s="12"/>
      <c r="LV223" s="12"/>
      <c r="LW223" s="12"/>
      <c r="LX223" s="12"/>
      <c r="LY223" s="12"/>
      <c r="LZ223" s="12"/>
      <c r="MA223" s="12"/>
      <c r="MB223" s="12"/>
      <c r="MC223" s="12"/>
      <c r="MD223" s="12"/>
      <c r="ME223" s="12"/>
      <c r="MF223" s="12"/>
      <c r="MG223" s="12"/>
      <c r="MH223" s="12"/>
      <c r="MI223" s="12"/>
      <c r="MJ223" s="12"/>
      <c r="MK223" s="12"/>
      <c r="ML223" s="12"/>
      <c r="MM223" s="12"/>
      <c r="MN223" s="12"/>
      <c r="MO223" s="12"/>
      <c r="MP223" s="12"/>
      <c r="MQ223" s="12"/>
      <c r="MR223" s="12"/>
      <c r="MS223" s="12"/>
      <c r="MT223" s="12"/>
      <c r="MU223" s="12"/>
      <c r="MV223" s="12"/>
      <c r="MW223" s="12"/>
      <c r="MX223" s="12"/>
      <c r="MY223" s="12"/>
      <c r="MZ223" s="12"/>
      <c r="NA223" s="12"/>
      <c r="NB223" s="12"/>
      <c r="NC223" s="12"/>
      <c r="ND223" s="12"/>
      <c r="NE223" s="12"/>
      <c r="NF223" s="12"/>
      <c r="NG223" s="12"/>
      <c r="NH223" s="12"/>
      <c r="NI223" s="12"/>
      <c r="NJ223" s="12"/>
      <c r="NK223" s="12"/>
      <c r="NL223" s="12"/>
      <c r="NM223" s="12"/>
      <c r="NN223" s="12"/>
      <c r="NO223" s="12"/>
      <c r="NP223" s="12"/>
      <c r="NQ223" s="12"/>
      <c r="NR223" s="12"/>
      <c r="NS223" s="12"/>
      <c r="NT223" s="12"/>
      <c r="NU223" s="12"/>
      <c r="NV223" s="12"/>
      <c r="NW223" s="12"/>
      <c r="NX223" s="12"/>
      <c r="NY223" s="12"/>
      <c r="NZ223" s="12"/>
      <c r="OA223" s="12"/>
      <c r="OB223" s="12"/>
      <c r="OC223" s="12"/>
      <c r="OD223" s="12"/>
      <c r="OE223" s="12"/>
      <c r="OF223" s="12"/>
      <c r="OG223" s="12"/>
      <c r="OH223" s="12"/>
      <c r="OI223" s="12"/>
      <c r="OJ223" s="12"/>
      <c r="OK223" s="12"/>
      <c r="OL223" s="12"/>
      <c r="OM223" s="12"/>
      <c r="ON223" s="12"/>
      <c r="OO223" s="12"/>
      <c r="OP223" s="12"/>
      <c r="OQ223" s="12"/>
      <c r="OR223" s="12"/>
      <c r="OS223" s="12"/>
      <c r="OT223" s="12"/>
      <c r="OU223" s="12"/>
      <c r="OV223" s="12"/>
      <c r="OW223" s="12"/>
      <c r="OX223" s="12"/>
      <c r="OY223" s="12"/>
      <c r="OZ223" s="12"/>
      <c r="PA223" s="12"/>
      <c r="PB223" s="12"/>
      <c r="PC223" s="12"/>
      <c r="PD223" s="12"/>
      <c r="PE223" s="12"/>
      <c r="PF223" s="12"/>
      <c r="PG223" s="12"/>
      <c r="PH223" s="12"/>
      <c r="PI223" s="12"/>
      <c r="PJ223" s="12"/>
      <c r="PK223" s="12"/>
      <c r="PL223" s="12"/>
      <c r="PM223" s="12"/>
      <c r="PN223" s="12"/>
      <c r="PO223" s="12"/>
      <c r="PP223" s="12"/>
      <c r="PQ223" s="12"/>
      <c r="PR223" s="12"/>
      <c r="PS223" s="12"/>
      <c r="PT223" s="12"/>
      <c r="PU223" s="12"/>
      <c r="PV223" s="12"/>
      <c r="PW223" s="12"/>
      <c r="PX223" s="12"/>
      <c r="PY223" s="12"/>
      <c r="PZ223" s="12"/>
      <c r="QA223" s="12"/>
      <c r="QB223" s="12"/>
      <c r="QC223" s="12"/>
      <c r="QD223" s="12"/>
      <c r="QE223" s="12"/>
      <c r="QF223" s="12"/>
      <c r="QG223" s="12"/>
      <c r="QH223" s="12"/>
      <c r="QI223" s="12"/>
      <c r="QJ223" s="12"/>
      <c r="QK223" s="12"/>
      <c r="QL223" s="12"/>
      <c r="QM223" s="12"/>
      <c r="QN223" s="12"/>
      <c r="QO223" s="12"/>
      <c r="QP223" s="12"/>
      <c r="QQ223" s="12"/>
      <c r="QR223" s="12"/>
      <c r="QS223" s="12"/>
      <c r="QT223" s="12"/>
      <c r="QU223" s="12"/>
      <c r="QV223" s="12"/>
      <c r="QW223" s="12"/>
      <c r="QX223" s="12"/>
      <c r="QY223" s="12"/>
      <c r="QZ223" s="12"/>
      <c r="RA223" s="12"/>
      <c r="RB223" s="12"/>
      <c r="RC223" s="12"/>
      <c r="RD223" s="12"/>
      <c r="RE223" s="12"/>
      <c r="RF223" s="12"/>
      <c r="RG223" s="12"/>
      <c r="RH223" s="12"/>
      <c r="RI223" s="12"/>
      <c r="RJ223" s="12"/>
      <c r="RK223" s="12"/>
      <c r="RL223" s="12"/>
      <c r="RM223" s="12"/>
      <c r="RN223" s="12"/>
      <c r="RO223" s="12"/>
      <c r="RP223" s="12"/>
      <c r="RQ223" s="12"/>
      <c r="RR223" s="12"/>
      <c r="RS223" s="12"/>
      <c r="RT223" s="12"/>
      <c r="RU223" s="12"/>
      <c r="RV223" s="12"/>
      <c r="RW223" s="12"/>
      <c r="RX223" s="12"/>
      <c r="RY223" s="12"/>
      <c r="RZ223" s="12"/>
      <c r="SA223" s="12"/>
      <c r="SB223" s="12"/>
      <c r="SC223" s="12"/>
      <c r="SD223" s="12"/>
      <c r="SE223" s="12"/>
      <c r="SF223" s="12"/>
      <c r="SG223" s="12"/>
      <c r="SH223" s="11"/>
      <c r="SI223" s="11"/>
      <c r="SJ223" s="11"/>
      <c r="SK223" s="11"/>
      <c r="SL223" s="11"/>
      <c r="SM223" s="11"/>
      <c r="SN223" s="11"/>
      <c r="SO223" s="11"/>
      <c r="SP223" s="11"/>
      <c r="SQ223" s="11"/>
      <c r="SR223" s="11"/>
      <c r="SS223" s="11"/>
      <c r="ST223" s="11"/>
      <c r="SU223" s="11"/>
      <c r="SV223" s="11"/>
      <c r="SW223" s="11"/>
      <c r="SX223" s="11"/>
      <c r="SY223" s="11"/>
      <c r="SZ223" s="11"/>
      <c r="TA223" s="11"/>
      <c r="TB223" s="11"/>
      <c r="TC223" s="11"/>
      <c r="TD223" s="11"/>
      <c r="TE223" s="11"/>
      <c r="TF223" s="11"/>
      <c r="TG223" s="11"/>
      <c r="TH223" s="11"/>
      <c r="TI223" s="11"/>
      <c r="TJ223" s="11"/>
      <c r="TK223" s="11"/>
      <c r="TL223" s="11"/>
    </row>
    <row r="224" spans="1:532" x14ac:dyDescent="0.2">
      <c r="A224" s="10" t="s">
        <v>223</v>
      </c>
      <c r="B224" s="12">
        <v>13.56</v>
      </c>
      <c r="C224" s="11">
        <v>0</v>
      </c>
      <c r="D224" s="11">
        <v>1.4255770584059198</v>
      </c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  <c r="CO224" s="12"/>
      <c r="CP224" s="12"/>
      <c r="CQ224" s="12"/>
      <c r="CR224" s="12"/>
      <c r="CS224" s="12"/>
      <c r="CT224" s="12"/>
      <c r="CU224" s="12"/>
      <c r="CV224" s="12"/>
      <c r="CW224" s="12"/>
      <c r="CX224" s="12"/>
      <c r="CY224" s="12"/>
      <c r="CZ224" s="12"/>
      <c r="DA224" s="12"/>
      <c r="DB224" s="12"/>
      <c r="DC224" s="12"/>
      <c r="DD224" s="12"/>
      <c r="DE224" s="12"/>
      <c r="DF224" s="12"/>
      <c r="DG224" s="12"/>
      <c r="DH224" s="12"/>
      <c r="DI224" s="12"/>
      <c r="DJ224" s="12"/>
      <c r="DK224" s="12"/>
      <c r="DL224" s="12"/>
      <c r="DM224" s="12"/>
      <c r="DN224" s="12"/>
      <c r="DO224" s="12"/>
      <c r="DP224" s="12"/>
      <c r="DQ224" s="12"/>
      <c r="DR224" s="12"/>
      <c r="DS224" s="12"/>
      <c r="DT224" s="12"/>
      <c r="DU224" s="12"/>
      <c r="DV224" s="12"/>
      <c r="DW224" s="12"/>
      <c r="DX224" s="12"/>
      <c r="DY224" s="12"/>
      <c r="DZ224" s="12"/>
      <c r="EA224" s="12"/>
      <c r="EB224" s="12"/>
      <c r="EC224" s="12"/>
      <c r="ED224" s="12"/>
      <c r="EE224" s="12"/>
      <c r="EF224" s="12"/>
      <c r="EG224" s="12"/>
      <c r="EH224" s="12"/>
      <c r="EI224" s="12"/>
      <c r="EJ224" s="12"/>
      <c r="EK224" s="12"/>
      <c r="EL224" s="12"/>
      <c r="EM224" s="12"/>
      <c r="EN224" s="12"/>
      <c r="EO224" s="12"/>
      <c r="EP224" s="12"/>
      <c r="EQ224" s="12"/>
      <c r="ER224" s="12"/>
      <c r="ES224" s="12"/>
      <c r="ET224" s="12"/>
      <c r="EU224" s="12"/>
      <c r="EV224" s="12"/>
      <c r="EW224" s="12"/>
      <c r="EX224" s="12"/>
      <c r="EY224" s="12"/>
      <c r="EZ224" s="12"/>
      <c r="FA224" s="12"/>
      <c r="FB224" s="12"/>
      <c r="FC224" s="12"/>
      <c r="FD224" s="12"/>
      <c r="FE224" s="12"/>
      <c r="FF224" s="12"/>
      <c r="FG224" s="12"/>
      <c r="FH224" s="12"/>
      <c r="FI224" s="12"/>
      <c r="FJ224" s="12"/>
      <c r="FK224" s="12"/>
      <c r="FL224" s="12"/>
      <c r="FM224" s="12"/>
      <c r="FN224" s="12"/>
      <c r="FO224" s="12"/>
      <c r="FP224" s="12"/>
      <c r="FQ224" s="12"/>
      <c r="FR224" s="12"/>
      <c r="FS224" s="12"/>
      <c r="FT224" s="12"/>
      <c r="FU224" s="12"/>
      <c r="FV224" s="12"/>
      <c r="FW224" s="12"/>
      <c r="FX224" s="12"/>
      <c r="FY224" s="12"/>
      <c r="FZ224" s="12"/>
      <c r="GA224" s="12"/>
      <c r="GB224" s="12"/>
      <c r="GC224" s="12"/>
      <c r="GD224" s="12"/>
      <c r="GE224" s="12"/>
      <c r="GF224" s="12"/>
      <c r="GG224" s="12"/>
      <c r="GH224" s="12"/>
      <c r="GI224" s="12"/>
      <c r="GJ224" s="12"/>
      <c r="GK224" s="12"/>
      <c r="GL224" s="12"/>
      <c r="GM224" s="12"/>
      <c r="GN224" s="12"/>
      <c r="GO224" s="12"/>
      <c r="GP224" s="12"/>
      <c r="GQ224" s="12"/>
      <c r="GR224" s="12"/>
      <c r="GS224" s="12"/>
      <c r="GT224" s="12"/>
      <c r="GU224" s="12"/>
      <c r="GV224" s="12"/>
      <c r="GW224" s="12"/>
      <c r="GX224" s="12"/>
      <c r="GY224" s="12"/>
      <c r="GZ224" s="12"/>
      <c r="HA224" s="12"/>
      <c r="HB224" s="12"/>
      <c r="HC224" s="12"/>
      <c r="HD224" s="12"/>
      <c r="HE224" s="12"/>
      <c r="HF224" s="12"/>
      <c r="HG224" s="12"/>
      <c r="HH224" s="12"/>
      <c r="HI224" s="12"/>
      <c r="HJ224" s="12"/>
      <c r="HK224" s="12"/>
      <c r="HL224" s="12"/>
      <c r="HM224" s="12"/>
      <c r="HN224" s="12"/>
      <c r="HO224" s="12"/>
      <c r="HP224" s="12"/>
      <c r="HQ224" s="12"/>
      <c r="HR224" s="12"/>
      <c r="HS224" s="12"/>
      <c r="HT224" s="12"/>
      <c r="HU224" s="12"/>
      <c r="HV224" s="12"/>
      <c r="HW224" s="12"/>
      <c r="HX224" s="12"/>
      <c r="HY224" s="12"/>
      <c r="HZ224" s="12"/>
      <c r="IA224" s="12"/>
      <c r="IB224" s="12"/>
      <c r="IC224" s="12"/>
      <c r="ID224" s="12"/>
      <c r="IE224" s="12"/>
      <c r="IF224" s="12"/>
      <c r="IG224" s="12"/>
      <c r="IH224" s="12"/>
      <c r="II224" s="12"/>
      <c r="IJ224" s="12"/>
      <c r="IK224" s="12"/>
      <c r="IL224" s="12"/>
      <c r="IM224" s="12"/>
      <c r="IN224" s="12"/>
      <c r="IO224" s="12"/>
      <c r="IP224" s="12"/>
      <c r="IQ224" s="12"/>
      <c r="IR224" s="12"/>
      <c r="IS224" s="12"/>
      <c r="IT224" s="12"/>
      <c r="IU224" s="12"/>
      <c r="IV224" s="12"/>
      <c r="IW224" s="12"/>
      <c r="IX224" s="12"/>
      <c r="IY224" s="12"/>
      <c r="IZ224" s="12"/>
      <c r="JA224" s="12"/>
      <c r="JB224" s="12"/>
      <c r="JC224" s="12"/>
      <c r="JD224" s="12"/>
      <c r="JE224" s="12"/>
      <c r="JF224" s="12"/>
      <c r="JG224" s="12"/>
      <c r="JH224" s="12"/>
      <c r="JI224" s="12"/>
      <c r="JJ224" s="12"/>
      <c r="JK224" s="12"/>
      <c r="JL224" s="12"/>
      <c r="JM224" s="12"/>
      <c r="JN224" s="12"/>
      <c r="JO224" s="12"/>
      <c r="JP224" s="12"/>
      <c r="JQ224" s="12"/>
      <c r="JR224" s="12"/>
      <c r="JS224" s="12"/>
      <c r="JT224" s="12"/>
      <c r="JU224" s="12"/>
      <c r="JV224" s="12"/>
      <c r="JW224" s="12"/>
      <c r="JX224" s="12"/>
      <c r="JY224" s="12"/>
      <c r="JZ224" s="12"/>
      <c r="KA224" s="12"/>
      <c r="KB224" s="12"/>
      <c r="KC224" s="12"/>
      <c r="KD224" s="12"/>
      <c r="KE224" s="12"/>
      <c r="KF224" s="12"/>
      <c r="KG224" s="12"/>
      <c r="KH224" s="12"/>
      <c r="KI224" s="12"/>
      <c r="KJ224" s="12"/>
      <c r="KK224" s="12"/>
      <c r="KL224" s="12"/>
      <c r="KM224" s="12"/>
      <c r="KN224" s="12"/>
      <c r="KO224" s="12"/>
      <c r="KP224" s="12"/>
      <c r="KQ224" s="12"/>
      <c r="KR224" s="12"/>
      <c r="KS224" s="12"/>
      <c r="KT224" s="12"/>
      <c r="KU224" s="12"/>
      <c r="KV224" s="12"/>
      <c r="KW224" s="12"/>
      <c r="KX224" s="12"/>
      <c r="KY224" s="12"/>
      <c r="KZ224" s="12"/>
      <c r="LA224" s="12"/>
      <c r="LB224" s="12"/>
      <c r="LC224" s="12"/>
      <c r="LD224" s="12"/>
      <c r="LE224" s="12"/>
      <c r="LF224" s="12"/>
      <c r="LG224" s="12"/>
      <c r="LH224" s="12"/>
      <c r="LI224" s="12"/>
      <c r="LJ224" s="12"/>
      <c r="LK224" s="12"/>
      <c r="LL224" s="12"/>
      <c r="LM224" s="12"/>
      <c r="LN224" s="12"/>
      <c r="LO224" s="12"/>
      <c r="LP224" s="12"/>
      <c r="LQ224" s="12"/>
      <c r="LR224" s="12"/>
      <c r="LS224" s="12"/>
      <c r="LT224" s="12"/>
      <c r="LU224" s="12"/>
      <c r="LV224" s="12"/>
      <c r="LW224" s="12"/>
      <c r="LX224" s="12"/>
      <c r="LY224" s="12"/>
      <c r="LZ224" s="12"/>
      <c r="MA224" s="12"/>
      <c r="MB224" s="12"/>
      <c r="MC224" s="12"/>
      <c r="MD224" s="12"/>
      <c r="ME224" s="12"/>
      <c r="MF224" s="12"/>
      <c r="MG224" s="12"/>
      <c r="MH224" s="12"/>
      <c r="MI224" s="12"/>
      <c r="MJ224" s="12"/>
      <c r="MK224" s="12"/>
      <c r="ML224" s="12"/>
      <c r="MM224" s="12"/>
      <c r="MN224" s="12"/>
      <c r="MO224" s="12"/>
      <c r="MP224" s="12"/>
      <c r="MQ224" s="12"/>
      <c r="MR224" s="12"/>
      <c r="MS224" s="12"/>
      <c r="MT224" s="12"/>
      <c r="MU224" s="12"/>
      <c r="MV224" s="12"/>
      <c r="MW224" s="12"/>
      <c r="MX224" s="12"/>
      <c r="MY224" s="12"/>
      <c r="MZ224" s="12"/>
      <c r="NA224" s="12"/>
      <c r="NB224" s="12"/>
      <c r="NC224" s="12"/>
      <c r="ND224" s="12"/>
      <c r="NE224" s="12"/>
      <c r="NF224" s="12"/>
      <c r="NG224" s="12"/>
      <c r="NH224" s="12"/>
      <c r="NI224" s="12"/>
      <c r="NJ224" s="12"/>
      <c r="NK224" s="12"/>
      <c r="NL224" s="12"/>
      <c r="NM224" s="12"/>
      <c r="NN224" s="12"/>
      <c r="NO224" s="12"/>
      <c r="NP224" s="12"/>
      <c r="NQ224" s="12"/>
      <c r="NR224" s="12"/>
      <c r="NS224" s="12"/>
      <c r="NT224" s="12"/>
      <c r="NU224" s="12"/>
      <c r="NV224" s="12"/>
      <c r="NW224" s="12"/>
      <c r="NX224" s="12"/>
      <c r="NY224" s="12"/>
      <c r="NZ224" s="12"/>
      <c r="OA224" s="12"/>
      <c r="OB224" s="12"/>
      <c r="OC224" s="12"/>
      <c r="OD224" s="12"/>
      <c r="OE224" s="12"/>
      <c r="OF224" s="12"/>
      <c r="OG224" s="12"/>
      <c r="OH224" s="12"/>
      <c r="OI224" s="12"/>
      <c r="OJ224" s="12"/>
      <c r="OK224" s="12"/>
      <c r="OL224" s="12"/>
      <c r="OM224" s="12"/>
      <c r="ON224" s="12"/>
      <c r="OO224" s="12"/>
      <c r="OP224" s="12"/>
      <c r="OQ224" s="12"/>
      <c r="OR224" s="12"/>
      <c r="OS224" s="12"/>
      <c r="OT224" s="12"/>
      <c r="OU224" s="12"/>
      <c r="OV224" s="12"/>
      <c r="OW224" s="12"/>
      <c r="OX224" s="12"/>
      <c r="OY224" s="12"/>
      <c r="OZ224" s="12"/>
      <c r="PA224" s="12"/>
      <c r="PB224" s="12"/>
      <c r="PC224" s="12"/>
      <c r="PD224" s="12"/>
      <c r="PE224" s="12"/>
      <c r="PF224" s="12"/>
      <c r="PG224" s="12"/>
      <c r="PH224" s="12"/>
      <c r="PI224" s="12"/>
      <c r="PJ224" s="12"/>
      <c r="PK224" s="12"/>
      <c r="PL224" s="12"/>
      <c r="PM224" s="12"/>
      <c r="PN224" s="12"/>
      <c r="PO224" s="12"/>
      <c r="PP224" s="12"/>
      <c r="PQ224" s="12"/>
      <c r="PR224" s="12"/>
      <c r="PS224" s="12"/>
      <c r="PT224" s="12"/>
      <c r="PU224" s="12"/>
      <c r="PV224" s="12"/>
      <c r="PW224" s="12"/>
      <c r="PX224" s="12"/>
      <c r="PY224" s="12"/>
      <c r="PZ224" s="12"/>
      <c r="QA224" s="12"/>
      <c r="QB224" s="12"/>
      <c r="QC224" s="12"/>
      <c r="QD224" s="12"/>
      <c r="QE224" s="12"/>
      <c r="QF224" s="12"/>
      <c r="QG224" s="12"/>
      <c r="QH224" s="12"/>
      <c r="QI224" s="12"/>
      <c r="QJ224" s="12"/>
      <c r="QK224" s="12"/>
      <c r="QL224" s="12"/>
      <c r="QM224" s="12"/>
      <c r="QN224" s="12"/>
      <c r="QO224" s="12"/>
      <c r="QP224" s="12"/>
      <c r="QQ224" s="12"/>
      <c r="QR224" s="12"/>
      <c r="QS224" s="12"/>
      <c r="QT224" s="12"/>
      <c r="QU224" s="12"/>
      <c r="QV224" s="12"/>
      <c r="QW224" s="12"/>
      <c r="QX224" s="12"/>
      <c r="QY224" s="12"/>
      <c r="QZ224" s="12"/>
      <c r="RA224" s="12"/>
      <c r="RB224" s="12"/>
      <c r="RC224" s="12"/>
      <c r="RD224" s="12"/>
      <c r="RE224" s="12"/>
      <c r="RF224" s="12"/>
      <c r="RG224" s="12"/>
      <c r="RH224" s="12"/>
      <c r="RI224" s="12"/>
      <c r="RJ224" s="12"/>
      <c r="RK224" s="12"/>
      <c r="RL224" s="12"/>
      <c r="RM224" s="12"/>
      <c r="RN224" s="12"/>
      <c r="RO224" s="12"/>
      <c r="RP224" s="12"/>
      <c r="RQ224" s="12"/>
      <c r="RR224" s="12"/>
      <c r="RS224" s="12"/>
      <c r="RT224" s="12"/>
      <c r="RU224" s="12"/>
      <c r="RV224" s="12"/>
      <c r="RW224" s="12"/>
      <c r="RX224" s="12"/>
      <c r="RY224" s="12"/>
      <c r="RZ224" s="12"/>
      <c r="SA224" s="12"/>
      <c r="SB224" s="12"/>
      <c r="SC224" s="12"/>
      <c r="SD224" s="12"/>
      <c r="SE224" s="12"/>
      <c r="SF224" s="12"/>
      <c r="SG224" s="12"/>
      <c r="SH224" s="11"/>
      <c r="SI224" s="11"/>
      <c r="SJ224" s="11"/>
      <c r="SK224" s="11"/>
      <c r="SL224" s="11"/>
      <c r="SM224" s="11"/>
      <c r="SN224" s="11"/>
      <c r="SO224" s="11"/>
      <c r="SP224" s="11"/>
      <c r="SQ224" s="11"/>
      <c r="SR224" s="11"/>
      <c r="SS224" s="11"/>
      <c r="ST224" s="11"/>
      <c r="SU224" s="11"/>
      <c r="SV224" s="11"/>
      <c r="SW224" s="11"/>
      <c r="SX224" s="11"/>
      <c r="SY224" s="11"/>
      <c r="SZ224" s="11"/>
      <c r="TA224" s="11"/>
      <c r="TB224" s="11"/>
      <c r="TC224" s="11"/>
      <c r="TD224" s="11"/>
      <c r="TE224" s="11"/>
      <c r="TF224" s="11"/>
      <c r="TG224" s="11"/>
      <c r="TH224" s="11"/>
      <c r="TI224" s="11"/>
      <c r="TJ224" s="11"/>
      <c r="TK224" s="11"/>
      <c r="TL224" s="11"/>
    </row>
    <row r="225" spans="1:532" x14ac:dyDescent="0.2">
      <c r="A225" s="10" t="s">
        <v>224</v>
      </c>
      <c r="B225" s="12">
        <v>13.55</v>
      </c>
      <c r="C225" s="11">
        <v>0</v>
      </c>
      <c r="D225" s="11">
        <v>1.4354768990892943</v>
      </c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  <c r="CO225" s="12"/>
      <c r="CP225" s="12"/>
      <c r="CQ225" s="12"/>
      <c r="CR225" s="12"/>
      <c r="CS225" s="12"/>
      <c r="CT225" s="12"/>
      <c r="CU225" s="12"/>
      <c r="CV225" s="12"/>
      <c r="CW225" s="12"/>
      <c r="CX225" s="12"/>
      <c r="CY225" s="12"/>
      <c r="CZ225" s="12"/>
      <c r="DA225" s="12"/>
      <c r="DB225" s="12"/>
      <c r="DC225" s="12"/>
      <c r="DD225" s="12"/>
      <c r="DE225" s="12"/>
      <c r="DF225" s="12"/>
      <c r="DG225" s="12"/>
      <c r="DH225" s="12"/>
      <c r="DI225" s="12"/>
      <c r="DJ225" s="12"/>
      <c r="DK225" s="12"/>
      <c r="DL225" s="12"/>
      <c r="DM225" s="12"/>
      <c r="DN225" s="12"/>
      <c r="DO225" s="12"/>
      <c r="DP225" s="12"/>
      <c r="DQ225" s="12"/>
      <c r="DR225" s="12"/>
      <c r="DS225" s="12"/>
      <c r="DT225" s="12"/>
      <c r="DU225" s="12"/>
      <c r="DV225" s="12"/>
      <c r="DW225" s="12"/>
      <c r="DX225" s="12"/>
      <c r="DY225" s="12"/>
      <c r="DZ225" s="12"/>
      <c r="EA225" s="12"/>
      <c r="EB225" s="12"/>
      <c r="EC225" s="12"/>
      <c r="ED225" s="12"/>
      <c r="EE225" s="12"/>
      <c r="EF225" s="12"/>
      <c r="EG225" s="12"/>
      <c r="EH225" s="12"/>
      <c r="EI225" s="12"/>
      <c r="EJ225" s="12"/>
      <c r="EK225" s="12"/>
      <c r="EL225" s="12"/>
      <c r="EM225" s="12"/>
      <c r="EN225" s="12"/>
      <c r="EO225" s="12"/>
      <c r="EP225" s="12"/>
      <c r="EQ225" s="12"/>
      <c r="ER225" s="12"/>
      <c r="ES225" s="12"/>
      <c r="ET225" s="12"/>
      <c r="EU225" s="12"/>
      <c r="EV225" s="12"/>
      <c r="EW225" s="12"/>
      <c r="EX225" s="12"/>
      <c r="EY225" s="12"/>
      <c r="EZ225" s="12"/>
      <c r="FA225" s="12"/>
      <c r="FB225" s="12"/>
      <c r="FC225" s="12"/>
      <c r="FD225" s="12"/>
      <c r="FE225" s="12"/>
      <c r="FF225" s="12"/>
      <c r="FG225" s="12"/>
      <c r="FH225" s="12"/>
      <c r="FI225" s="12"/>
      <c r="FJ225" s="12"/>
      <c r="FK225" s="12"/>
      <c r="FL225" s="12"/>
      <c r="FM225" s="12"/>
      <c r="FN225" s="12"/>
      <c r="FO225" s="12"/>
      <c r="FP225" s="12"/>
      <c r="FQ225" s="12"/>
      <c r="FR225" s="12"/>
      <c r="FS225" s="12"/>
      <c r="FT225" s="12"/>
      <c r="FU225" s="12"/>
      <c r="FV225" s="12"/>
      <c r="FW225" s="12"/>
      <c r="FX225" s="12"/>
      <c r="FY225" s="12"/>
      <c r="FZ225" s="12"/>
      <c r="GA225" s="12"/>
      <c r="GB225" s="12"/>
      <c r="GC225" s="12"/>
      <c r="GD225" s="12"/>
      <c r="GE225" s="12"/>
      <c r="GF225" s="12"/>
      <c r="GG225" s="12"/>
      <c r="GH225" s="12"/>
      <c r="GI225" s="12"/>
      <c r="GJ225" s="12"/>
      <c r="GK225" s="12"/>
      <c r="GL225" s="12"/>
      <c r="GM225" s="12"/>
      <c r="GN225" s="12"/>
      <c r="GO225" s="12"/>
      <c r="GP225" s="12"/>
      <c r="GQ225" s="12"/>
      <c r="GR225" s="12"/>
      <c r="GS225" s="12"/>
      <c r="GT225" s="12"/>
      <c r="GU225" s="12"/>
      <c r="GV225" s="12"/>
      <c r="GW225" s="12"/>
      <c r="GX225" s="12"/>
      <c r="GY225" s="12"/>
      <c r="GZ225" s="12"/>
      <c r="HA225" s="12"/>
      <c r="HB225" s="12"/>
      <c r="HC225" s="12"/>
      <c r="HD225" s="12"/>
      <c r="HE225" s="12"/>
      <c r="HF225" s="12"/>
      <c r="HG225" s="12"/>
      <c r="HH225" s="12"/>
      <c r="HI225" s="12"/>
      <c r="HJ225" s="12"/>
      <c r="HK225" s="12"/>
      <c r="HL225" s="12"/>
      <c r="HM225" s="12"/>
      <c r="HN225" s="12"/>
      <c r="HO225" s="12"/>
      <c r="HP225" s="12"/>
      <c r="HQ225" s="12"/>
      <c r="HR225" s="12"/>
      <c r="HS225" s="12"/>
      <c r="HT225" s="12"/>
      <c r="HU225" s="12"/>
      <c r="HV225" s="12"/>
      <c r="HW225" s="12"/>
      <c r="HX225" s="12"/>
      <c r="HY225" s="12"/>
      <c r="HZ225" s="12"/>
      <c r="IA225" s="12"/>
      <c r="IB225" s="12"/>
      <c r="IC225" s="12"/>
      <c r="ID225" s="12"/>
      <c r="IE225" s="12"/>
      <c r="IF225" s="12"/>
      <c r="IG225" s="12"/>
      <c r="IH225" s="12"/>
      <c r="II225" s="12"/>
      <c r="IJ225" s="12"/>
      <c r="IK225" s="12"/>
      <c r="IL225" s="12"/>
      <c r="IM225" s="12"/>
      <c r="IN225" s="12"/>
      <c r="IO225" s="12"/>
      <c r="IP225" s="12"/>
      <c r="IQ225" s="12"/>
      <c r="IR225" s="12"/>
      <c r="IS225" s="12"/>
      <c r="IT225" s="12"/>
      <c r="IU225" s="12"/>
      <c r="IV225" s="12"/>
      <c r="IW225" s="12"/>
      <c r="IX225" s="12"/>
      <c r="IY225" s="12"/>
      <c r="IZ225" s="12"/>
      <c r="JA225" s="12"/>
      <c r="JB225" s="12"/>
      <c r="JC225" s="12"/>
      <c r="JD225" s="12"/>
      <c r="JE225" s="12"/>
      <c r="JF225" s="12"/>
      <c r="JG225" s="12"/>
      <c r="JH225" s="12"/>
      <c r="JI225" s="12"/>
      <c r="JJ225" s="12"/>
      <c r="JK225" s="12"/>
      <c r="JL225" s="12"/>
      <c r="JM225" s="12"/>
      <c r="JN225" s="12"/>
      <c r="JO225" s="12"/>
      <c r="JP225" s="12"/>
      <c r="JQ225" s="12"/>
      <c r="JR225" s="12"/>
      <c r="JS225" s="12"/>
      <c r="JT225" s="12"/>
      <c r="JU225" s="12"/>
      <c r="JV225" s="12"/>
      <c r="JW225" s="12"/>
      <c r="JX225" s="12"/>
      <c r="JY225" s="12"/>
      <c r="JZ225" s="12"/>
      <c r="KA225" s="12"/>
      <c r="KB225" s="12"/>
      <c r="KC225" s="12"/>
      <c r="KD225" s="12"/>
      <c r="KE225" s="12"/>
      <c r="KF225" s="12"/>
      <c r="KG225" s="12"/>
      <c r="KH225" s="12"/>
      <c r="KI225" s="12"/>
      <c r="KJ225" s="12"/>
      <c r="KK225" s="12"/>
      <c r="KL225" s="12"/>
      <c r="KM225" s="12"/>
      <c r="KN225" s="12"/>
      <c r="KO225" s="12"/>
      <c r="KP225" s="12"/>
      <c r="KQ225" s="12"/>
      <c r="KR225" s="12"/>
      <c r="KS225" s="12"/>
      <c r="KT225" s="12"/>
      <c r="KU225" s="12"/>
      <c r="KV225" s="12"/>
      <c r="KW225" s="12"/>
      <c r="KX225" s="12"/>
      <c r="KY225" s="12"/>
      <c r="KZ225" s="12"/>
      <c r="LA225" s="12"/>
      <c r="LB225" s="12"/>
      <c r="LC225" s="12"/>
      <c r="LD225" s="12"/>
      <c r="LE225" s="12"/>
      <c r="LF225" s="12"/>
      <c r="LG225" s="12"/>
      <c r="LH225" s="12"/>
      <c r="LI225" s="12"/>
      <c r="LJ225" s="12"/>
      <c r="LK225" s="12"/>
      <c r="LL225" s="12"/>
      <c r="LM225" s="12"/>
      <c r="LN225" s="12"/>
      <c r="LO225" s="12"/>
      <c r="LP225" s="12"/>
      <c r="LQ225" s="12"/>
      <c r="LR225" s="12"/>
      <c r="LS225" s="12"/>
      <c r="LT225" s="12"/>
      <c r="LU225" s="12"/>
      <c r="LV225" s="12"/>
      <c r="LW225" s="12"/>
      <c r="LX225" s="12"/>
      <c r="LY225" s="12"/>
      <c r="LZ225" s="12"/>
      <c r="MA225" s="12"/>
      <c r="MB225" s="12"/>
      <c r="MC225" s="12"/>
      <c r="MD225" s="12"/>
      <c r="ME225" s="12"/>
      <c r="MF225" s="12"/>
      <c r="MG225" s="12"/>
      <c r="MH225" s="12"/>
      <c r="MI225" s="12"/>
      <c r="MJ225" s="12"/>
      <c r="MK225" s="12"/>
      <c r="ML225" s="12"/>
      <c r="MM225" s="12"/>
      <c r="MN225" s="12"/>
      <c r="MO225" s="12"/>
      <c r="MP225" s="12"/>
      <c r="MQ225" s="12"/>
      <c r="MR225" s="12"/>
      <c r="MS225" s="12"/>
      <c r="MT225" s="12"/>
      <c r="MU225" s="12"/>
      <c r="MV225" s="12"/>
      <c r="MW225" s="12"/>
      <c r="MX225" s="12"/>
      <c r="MY225" s="12"/>
      <c r="MZ225" s="12"/>
      <c r="NA225" s="12"/>
      <c r="NB225" s="12"/>
      <c r="NC225" s="12"/>
      <c r="ND225" s="12"/>
      <c r="NE225" s="12"/>
      <c r="NF225" s="12"/>
      <c r="NG225" s="12"/>
      <c r="NH225" s="12"/>
      <c r="NI225" s="12"/>
      <c r="NJ225" s="12"/>
      <c r="NK225" s="12"/>
      <c r="NL225" s="12"/>
      <c r="NM225" s="12"/>
      <c r="NN225" s="12"/>
      <c r="NO225" s="12"/>
      <c r="NP225" s="12"/>
      <c r="NQ225" s="12"/>
      <c r="NR225" s="12"/>
      <c r="NS225" s="12"/>
      <c r="NT225" s="12"/>
      <c r="NU225" s="12"/>
      <c r="NV225" s="12"/>
      <c r="NW225" s="12"/>
      <c r="NX225" s="12"/>
      <c r="NY225" s="12"/>
      <c r="NZ225" s="12"/>
      <c r="OA225" s="12"/>
      <c r="OB225" s="12"/>
      <c r="OC225" s="12"/>
      <c r="OD225" s="12"/>
      <c r="OE225" s="12"/>
      <c r="OF225" s="12"/>
      <c r="OG225" s="12"/>
      <c r="OH225" s="12"/>
      <c r="OI225" s="12"/>
      <c r="OJ225" s="12"/>
      <c r="OK225" s="12"/>
      <c r="OL225" s="12"/>
      <c r="OM225" s="12"/>
      <c r="ON225" s="12"/>
      <c r="OO225" s="12"/>
      <c r="OP225" s="12"/>
      <c r="OQ225" s="12"/>
      <c r="OR225" s="12"/>
      <c r="OS225" s="12"/>
      <c r="OT225" s="12"/>
      <c r="OU225" s="12"/>
      <c r="OV225" s="12"/>
      <c r="OW225" s="12"/>
      <c r="OX225" s="12"/>
      <c r="OY225" s="12"/>
      <c r="OZ225" s="12"/>
      <c r="PA225" s="12"/>
      <c r="PB225" s="12"/>
      <c r="PC225" s="12"/>
      <c r="PD225" s="12"/>
      <c r="PE225" s="12"/>
      <c r="PF225" s="12"/>
      <c r="PG225" s="12"/>
      <c r="PH225" s="12"/>
      <c r="PI225" s="12"/>
      <c r="PJ225" s="12"/>
      <c r="PK225" s="12"/>
      <c r="PL225" s="12"/>
      <c r="PM225" s="12"/>
      <c r="PN225" s="12"/>
      <c r="PO225" s="12"/>
      <c r="PP225" s="12"/>
      <c r="PQ225" s="12"/>
      <c r="PR225" s="12"/>
      <c r="PS225" s="12"/>
      <c r="PT225" s="12"/>
      <c r="PU225" s="12"/>
      <c r="PV225" s="12"/>
      <c r="PW225" s="12"/>
      <c r="PX225" s="12"/>
      <c r="PY225" s="12"/>
      <c r="PZ225" s="12"/>
      <c r="QA225" s="12"/>
      <c r="QB225" s="12"/>
      <c r="QC225" s="12"/>
      <c r="QD225" s="12"/>
      <c r="QE225" s="12"/>
      <c r="QF225" s="12"/>
      <c r="QG225" s="12"/>
      <c r="QH225" s="12"/>
      <c r="QI225" s="12"/>
      <c r="QJ225" s="12"/>
      <c r="QK225" s="12"/>
      <c r="QL225" s="12"/>
      <c r="QM225" s="12"/>
      <c r="QN225" s="12"/>
      <c r="QO225" s="12"/>
      <c r="QP225" s="12"/>
      <c r="QQ225" s="12"/>
      <c r="QR225" s="12"/>
      <c r="QS225" s="12"/>
      <c r="QT225" s="12"/>
      <c r="QU225" s="12"/>
      <c r="QV225" s="12"/>
      <c r="QW225" s="12"/>
      <c r="QX225" s="12"/>
      <c r="QY225" s="12"/>
      <c r="QZ225" s="12"/>
      <c r="RA225" s="12"/>
      <c r="RB225" s="12"/>
      <c r="RC225" s="12"/>
      <c r="RD225" s="12"/>
      <c r="RE225" s="12"/>
      <c r="RF225" s="12"/>
      <c r="RG225" s="12"/>
      <c r="RH225" s="12"/>
      <c r="RI225" s="12"/>
      <c r="RJ225" s="12"/>
      <c r="RK225" s="12"/>
      <c r="RL225" s="12"/>
      <c r="RM225" s="12"/>
      <c r="RN225" s="12"/>
      <c r="RO225" s="12"/>
      <c r="RP225" s="12"/>
      <c r="RQ225" s="12"/>
      <c r="RR225" s="12"/>
      <c r="RS225" s="12"/>
      <c r="RT225" s="12"/>
      <c r="RU225" s="12"/>
      <c r="RV225" s="12"/>
      <c r="RW225" s="12"/>
      <c r="RX225" s="12"/>
      <c r="RY225" s="12"/>
      <c r="RZ225" s="12"/>
      <c r="SA225" s="12"/>
      <c r="SB225" s="12"/>
      <c r="SC225" s="12"/>
      <c r="SD225" s="12"/>
      <c r="SE225" s="12"/>
      <c r="SF225" s="12"/>
      <c r="SG225" s="12"/>
      <c r="SH225" s="11"/>
      <c r="SI225" s="11"/>
      <c r="SJ225" s="11"/>
      <c r="SK225" s="11"/>
      <c r="SL225" s="11"/>
      <c r="SM225" s="11"/>
      <c r="SN225" s="11"/>
      <c r="SO225" s="11"/>
      <c r="SP225" s="11"/>
      <c r="SQ225" s="11"/>
      <c r="SR225" s="11"/>
      <c r="SS225" s="11"/>
      <c r="ST225" s="11"/>
      <c r="SU225" s="11"/>
      <c r="SV225" s="11"/>
      <c r="SW225" s="11"/>
      <c r="SX225" s="11"/>
      <c r="SY225" s="11"/>
      <c r="SZ225" s="11"/>
      <c r="TA225" s="11"/>
      <c r="TB225" s="11"/>
      <c r="TC225" s="11"/>
      <c r="TD225" s="11"/>
      <c r="TE225" s="11"/>
      <c r="TF225" s="11"/>
      <c r="TG225" s="11"/>
      <c r="TH225" s="11"/>
      <c r="TI225" s="11"/>
      <c r="TJ225" s="11"/>
      <c r="TK225" s="11"/>
      <c r="TL225" s="11"/>
    </row>
    <row r="226" spans="1:532" x14ac:dyDescent="0.2">
      <c r="A226" s="10" t="s">
        <v>225</v>
      </c>
      <c r="B226" s="12">
        <v>14.5</v>
      </c>
      <c r="C226" s="11">
        <v>0</v>
      </c>
      <c r="D226" s="11">
        <v>0.49499203416872217</v>
      </c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12"/>
      <c r="EP226" s="12"/>
      <c r="EQ226" s="12"/>
      <c r="ER226" s="12"/>
      <c r="ES226" s="12"/>
      <c r="ET226" s="12"/>
      <c r="EU226" s="12"/>
      <c r="EV226" s="12"/>
      <c r="EW226" s="12"/>
      <c r="EX226" s="12"/>
      <c r="EY226" s="12"/>
      <c r="EZ226" s="12"/>
      <c r="FA226" s="12"/>
      <c r="FB226" s="12"/>
      <c r="FC226" s="12"/>
      <c r="FD226" s="12"/>
      <c r="FE226" s="12"/>
      <c r="FF226" s="12"/>
      <c r="FG226" s="12"/>
      <c r="FH226" s="12"/>
      <c r="FI226" s="12"/>
      <c r="FJ226" s="12"/>
      <c r="FK226" s="12"/>
      <c r="FL226" s="12"/>
      <c r="FM226" s="12"/>
      <c r="FN226" s="12"/>
      <c r="FO226" s="12"/>
      <c r="FP226" s="12"/>
      <c r="FQ226" s="12"/>
      <c r="FR226" s="12"/>
      <c r="FS226" s="12"/>
      <c r="FT226" s="12"/>
      <c r="FU226" s="12"/>
      <c r="FV226" s="12"/>
      <c r="FW226" s="12"/>
      <c r="FX226" s="12"/>
      <c r="FY226" s="12"/>
      <c r="FZ226" s="12"/>
      <c r="GA226" s="12"/>
      <c r="GB226" s="12"/>
      <c r="GC226" s="12"/>
      <c r="GD226" s="12"/>
      <c r="GE226" s="12"/>
      <c r="GF226" s="12"/>
      <c r="GG226" s="12"/>
      <c r="GH226" s="12"/>
      <c r="GI226" s="12"/>
      <c r="GJ226" s="12"/>
      <c r="GK226" s="12"/>
      <c r="GL226" s="12"/>
      <c r="GM226" s="12"/>
      <c r="GN226" s="12"/>
      <c r="GO226" s="12"/>
      <c r="GP226" s="12"/>
      <c r="GQ226" s="12"/>
      <c r="GR226" s="12"/>
      <c r="GS226" s="12"/>
      <c r="GT226" s="12"/>
      <c r="GU226" s="12"/>
      <c r="GV226" s="12"/>
      <c r="GW226" s="12"/>
      <c r="GX226" s="12"/>
      <c r="GY226" s="12"/>
      <c r="GZ226" s="12"/>
      <c r="HA226" s="12"/>
      <c r="HB226" s="12"/>
      <c r="HC226" s="12"/>
      <c r="HD226" s="12"/>
      <c r="HE226" s="12"/>
      <c r="HF226" s="12"/>
      <c r="HG226" s="12"/>
      <c r="HH226" s="12"/>
      <c r="HI226" s="12"/>
      <c r="HJ226" s="12"/>
      <c r="HK226" s="12"/>
      <c r="HL226" s="12"/>
      <c r="HM226" s="12"/>
      <c r="HN226" s="12"/>
      <c r="HO226" s="12"/>
      <c r="HP226" s="12"/>
      <c r="HQ226" s="12"/>
      <c r="HR226" s="12"/>
      <c r="HS226" s="12"/>
      <c r="HT226" s="12"/>
      <c r="HU226" s="12"/>
      <c r="HV226" s="12"/>
      <c r="HW226" s="12"/>
      <c r="HX226" s="12"/>
      <c r="HY226" s="12"/>
      <c r="HZ226" s="12"/>
      <c r="IA226" s="12"/>
      <c r="IB226" s="12"/>
      <c r="IC226" s="12"/>
      <c r="ID226" s="12"/>
      <c r="IE226" s="12"/>
      <c r="IF226" s="12"/>
      <c r="IG226" s="12"/>
      <c r="IH226" s="12"/>
      <c r="II226" s="12"/>
      <c r="IJ226" s="12"/>
      <c r="IK226" s="12"/>
      <c r="IL226" s="12"/>
      <c r="IM226" s="12"/>
      <c r="IN226" s="12"/>
      <c r="IO226" s="12"/>
      <c r="IP226" s="12"/>
      <c r="IQ226" s="12"/>
      <c r="IR226" s="12"/>
      <c r="IS226" s="12"/>
      <c r="IT226" s="12"/>
      <c r="IU226" s="12"/>
      <c r="IV226" s="12"/>
      <c r="IW226" s="12"/>
      <c r="IX226" s="12"/>
      <c r="IY226" s="12"/>
      <c r="IZ226" s="12"/>
      <c r="JA226" s="12"/>
      <c r="JB226" s="12"/>
      <c r="JC226" s="12"/>
      <c r="JD226" s="12"/>
      <c r="JE226" s="12"/>
      <c r="JF226" s="12"/>
      <c r="JG226" s="12"/>
      <c r="JH226" s="12"/>
      <c r="JI226" s="12"/>
      <c r="JJ226" s="12"/>
      <c r="JK226" s="12"/>
      <c r="JL226" s="12"/>
      <c r="JM226" s="12"/>
      <c r="JN226" s="12"/>
      <c r="JO226" s="12"/>
      <c r="JP226" s="12"/>
      <c r="JQ226" s="12"/>
      <c r="JR226" s="12"/>
      <c r="JS226" s="12"/>
      <c r="JT226" s="12"/>
      <c r="JU226" s="12"/>
      <c r="JV226" s="12"/>
      <c r="JW226" s="12"/>
      <c r="JX226" s="12"/>
      <c r="JY226" s="12"/>
      <c r="JZ226" s="12"/>
      <c r="KA226" s="12"/>
      <c r="KB226" s="12"/>
      <c r="KC226" s="12"/>
      <c r="KD226" s="12"/>
      <c r="KE226" s="12"/>
      <c r="KF226" s="12"/>
      <c r="KG226" s="12"/>
      <c r="KH226" s="12"/>
      <c r="KI226" s="12"/>
      <c r="KJ226" s="12"/>
      <c r="KK226" s="12"/>
      <c r="KL226" s="12"/>
      <c r="KM226" s="12"/>
      <c r="KN226" s="12"/>
      <c r="KO226" s="12"/>
      <c r="KP226" s="12"/>
      <c r="KQ226" s="12"/>
      <c r="KR226" s="12"/>
      <c r="KS226" s="12"/>
      <c r="KT226" s="12"/>
      <c r="KU226" s="12"/>
      <c r="KV226" s="12"/>
      <c r="KW226" s="12"/>
      <c r="KX226" s="12"/>
      <c r="KY226" s="12"/>
      <c r="KZ226" s="12"/>
      <c r="LA226" s="12"/>
      <c r="LB226" s="12"/>
      <c r="LC226" s="12"/>
      <c r="LD226" s="12"/>
      <c r="LE226" s="12"/>
      <c r="LF226" s="12"/>
      <c r="LG226" s="12"/>
      <c r="LH226" s="12"/>
      <c r="LI226" s="12"/>
      <c r="LJ226" s="12"/>
      <c r="LK226" s="12"/>
      <c r="LL226" s="12"/>
      <c r="LM226" s="12"/>
      <c r="LN226" s="12"/>
      <c r="LO226" s="12"/>
      <c r="LP226" s="12"/>
      <c r="LQ226" s="12"/>
      <c r="LR226" s="12"/>
      <c r="LS226" s="12"/>
      <c r="LT226" s="12"/>
      <c r="LU226" s="12"/>
      <c r="LV226" s="12"/>
      <c r="LW226" s="12"/>
      <c r="LX226" s="12"/>
      <c r="LY226" s="12"/>
      <c r="LZ226" s="12"/>
      <c r="MA226" s="12"/>
      <c r="MB226" s="12"/>
      <c r="MC226" s="12"/>
      <c r="MD226" s="12"/>
      <c r="ME226" s="12"/>
      <c r="MF226" s="12"/>
      <c r="MG226" s="12"/>
      <c r="MH226" s="12"/>
      <c r="MI226" s="12"/>
      <c r="MJ226" s="12"/>
      <c r="MK226" s="12"/>
      <c r="ML226" s="12"/>
      <c r="MM226" s="12"/>
      <c r="MN226" s="12"/>
      <c r="MO226" s="12"/>
      <c r="MP226" s="12"/>
      <c r="MQ226" s="12"/>
      <c r="MR226" s="12"/>
      <c r="MS226" s="12"/>
      <c r="MT226" s="12"/>
      <c r="MU226" s="12"/>
      <c r="MV226" s="12"/>
      <c r="MW226" s="12"/>
      <c r="MX226" s="12"/>
      <c r="MY226" s="12"/>
      <c r="MZ226" s="12"/>
      <c r="NA226" s="12"/>
      <c r="NB226" s="12"/>
      <c r="NC226" s="12"/>
      <c r="ND226" s="12"/>
      <c r="NE226" s="12"/>
      <c r="NF226" s="12"/>
      <c r="NG226" s="12"/>
      <c r="NH226" s="12"/>
      <c r="NI226" s="12"/>
      <c r="NJ226" s="12"/>
      <c r="NK226" s="12"/>
      <c r="NL226" s="12"/>
      <c r="NM226" s="12"/>
      <c r="NN226" s="12"/>
      <c r="NO226" s="12"/>
      <c r="NP226" s="12"/>
      <c r="NQ226" s="12"/>
      <c r="NR226" s="12"/>
      <c r="NS226" s="12"/>
      <c r="NT226" s="12"/>
      <c r="NU226" s="12"/>
      <c r="NV226" s="12"/>
      <c r="NW226" s="12"/>
      <c r="NX226" s="12"/>
      <c r="NY226" s="12"/>
      <c r="NZ226" s="12"/>
      <c r="OA226" s="12"/>
      <c r="OB226" s="12"/>
      <c r="OC226" s="12"/>
      <c r="OD226" s="12"/>
      <c r="OE226" s="12"/>
      <c r="OF226" s="12"/>
      <c r="OG226" s="12"/>
      <c r="OH226" s="12"/>
      <c r="OI226" s="12"/>
      <c r="OJ226" s="12"/>
      <c r="OK226" s="12"/>
      <c r="OL226" s="12"/>
      <c r="OM226" s="12"/>
      <c r="ON226" s="12"/>
      <c r="OO226" s="12"/>
      <c r="OP226" s="12"/>
      <c r="OQ226" s="12"/>
      <c r="OR226" s="12"/>
      <c r="OS226" s="12"/>
      <c r="OT226" s="12"/>
      <c r="OU226" s="12"/>
      <c r="OV226" s="12"/>
      <c r="OW226" s="12"/>
      <c r="OX226" s="12"/>
      <c r="OY226" s="12"/>
      <c r="OZ226" s="12"/>
      <c r="PA226" s="12"/>
      <c r="PB226" s="12"/>
      <c r="PC226" s="12"/>
      <c r="PD226" s="12"/>
      <c r="PE226" s="12"/>
      <c r="PF226" s="12"/>
      <c r="PG226" s="12"/>
      <c r="PH226" s="12"/>
      <c r="PI226" s="12"/>
      <c r="PJ226" s="12"/>
      <c r="PK226" s="12"/>
      <c r="PL226" s="12"/>
      <c r="PM226" s="12"/>
      <c r="PN226" s="12"/>
      <c r="PO226" s="12"/>
      <c r="PP226" s="12"/>
      <c r="PQ226" s="12"/>
      <c r="PR226" s="12"/>
      <c r="PS226" s="12"/>
      <c r="PT226" s="12"/>
      <c r="PU226" s="12"/>
      <c r="PV226" s="12"/>
      <c r="PW226" s="12"/>
      <c r="PX226" s="12"/>
      <c r="PY226" s="12"/>
      <c r="PZ226" s="12"/>
      <c r="QA226" s="12"/>
      <c r="QB226" s="12"/>
      <c r="QC226" s="12"/>
      <c r="QD226" s="12"/>
      <c r="QE226" s="12"/>
      <c r="QF226" s="12"/>
      <c r="QG226" s="12"/>
      <c r="QH226" s="12"/>
      <c r="QI226" s="12"/>
      <c r="QJ226" s="12"/>
      <c r="QK226" s="12"/>
      <c r="QL226" s="12"/>
      <c r="QM226" s="12"/>
      <c r="QN226" s="12"/>
      <c r="QO226" s="12"/>
      <c r="QP226" s="12"/>
      <c r="QQ226" s="12"/>
      <c r="QR226" s="12"/>
      <c r="QS226" s="12"/>
      <c r="QT226" s="12"/>
      <c r="QU226" s="12"/>
      <c r="QV226" s="12"/>
      <c r="QW226" s="12"/>
      <c r="QX226" s="12"/>
      <c r="QY226" s="12"/>
      <c r="QZ226" s="12"/>
      <c r="RA226" s="12"/>
      <c r="RB226" s="12"/>
      <c r="RC226" s="12"/>
      <c r="RD226" s="12"/>
      <c r="RE226" s="12"/>
      <c r="RF226" s="12"/>
      <c r="RG226" s="12"/>
      <c r="RH226" s="12"/>
      <c r="RI226" s="12"/>
      <c r="RJ226" s="12"/>
      <c r="RK226" s="12"/>
      <c r="RL226" s="12"/>
      <c r="RM226" s="12"/>
      <c r="RN226" s="12"/>
      <c r="RO226" s="12"/>
      <c r="RP226" s="12"/>
      <c r="RQ226" s="12"/>
      <c r="RR226" s="12"/>
      <c r="RS226" s="12"/>
      <c r="RT226" s="12"/>
      <c r="RU226" s="12"/>
      <c r="RV226" s="12"/>
      <c r="RW226" s="12"/>
      <c r="RX226" s="12"/>
      <c r="RY226" s="12"/>
      <c r="RZ226" s="12"/>
      <c r="SA226" s="12"/>
      <c r="SB226" s="12"/>
      <c r="SC226" s="12"/>
      <c r="SD226" s="12"/>
      <c r="SE226" s="12"/>
      <c r="SF226" s="12"/>
      <c r="SG226" s="12"/>
      <c r="SH226" s="11"/>
      <c r="SI226" s="11"/>
      <c r="SJ226" s="11"/>
      <c r="SK226" s="11"/>
      <c r="SL226" s="11"/>
      <c r="SM226" s="11"/>
      <c r="SN226" s="11"/>
      <c r="SO226" s="11"/>
      <c r="SP226" s="11"/>
      <c r="SQ226" s="11"/>
      <c r="SR226" s="11"/>
      <c r="SS226" s="11"/>
      <c r="ST226" s="11"/>
      <c r="SU226" s="11"/>
      <c r="SV226" s="11"/>
      <c r="SW226" s="11"/>
      <c r="SX226" s="11"/>
      <c r="SY226" s="11"/>
      <c r="SZ226" s="11"/>
      <c r="TA226" s="11"/>
      <c r="TB226" s="11"/>
      <c r="TC226" s="11"/>
      <c r="TD226" s="11"/>
      <c r="TE226" s="11"/>
      <c r="TF226" s="11"/>
      <c r="TG226" s="11"/>
      <c r="TH226" s="11"/>
      <c r="TI226" s="11"/>
      <c r="TJ226" s="11"/>
      <c r="TK226" s="11"/>
      <c r="TL226" s="11"/>
    </row>
    <row r="227" spans="1:532" x14ac:dyDescent="0.2">
      <c r="A227" s="10" t="s">
        <v>226</v>
      </c>
      <c r="B227" s="12">
        <v>12.96</v>
      </c>
      <c r="C227" s="11">
        <v>0</v>
      </c>
      <c r="D227" s="11">
        <v>2.0195674994083865</v>
      </c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12"/>
      <c r="EP227" s="12"/>
      <c r="EQ227" s="12"/>
      <c r="ER227" s="12"/>
      <c r="ES227" s="12"/>
      <c r="ET227" s="12"/>
      <c r="EU227" s="12"/>
      <c r="EV227" s="12"/>
      <c r="EW227" s="12"/>
      <c r="EX227" s="12"/>
      <c r="EY227" s="12"/>
      <c r="EZ227" s="12"/>
      <c r="FA227" s="12"/>
      <c r="FB227" s="12"/>
      <c r="FC227" s="12"/>
      <c r="FD227" s="12"/>
      <c r="FE227" s="12"/>
      <c r="FF227" s="12"/>
      <c r="FG227" s="12"/>
      <c r="FH227" s="12"/>
      <c r="FI227" s="12"/>
      <c r="FJ227" s="12"/>
      <c r="FK227" s="12"/>
      <c r="FL227" s="12"/>
      <c r="FM227" s="12"/>
      <c r="FN227" s="12"/>
      <c r="FO227" s="12"/>
      <c r="FP227" s="12"/>
      <c r="FQ227" s="12"/>
      <c r="FR227" s="12"/>
      <c r="FS227" s="12"/>
      <c r="FT227" s="12"/>
      <c r="FU227" s="12"/>
      <c r="FV227" s="12"/>
      <c r="FW227" s="12"/>
      <c r="FX227" s="12"/>
      <c r="FY227" s="12"/>
      <c r="FZ227" s="12"/>
      <c r="GA227" s="12"/>
      <c r="GB227" s="12"/>
      <c r="GC227" s="12"/>
      <c r="GD227" s="12"/>
      <c r="GE227" s="12"/>
      <c r="GF227" s="12"/>
      <c r="GG227" s="12"/>
      <c r="GH227" s="12"/>
      <c r="GI227" s="12"/>
      <c r="GJ227" s="12"/>
      <c r="GK227" s="12"/>
      <c r="GL227" s="12"/>
      <c r="GM227" s="12"/>
      <c r="GN227" s="12"/>
      <c r="GO227" s="12"/>
      <c r="GP227" s="12"/>
      <c r="GQ227" s="12"/>
      <c r="GR227" s="12"/>
      <c r="GS227" s="12"/>
      <c r="GT227" s="12"/>
      <c r="GU227" s="12"/>
      <c r="GV227" s="12"/>
      <c r="GW227" s="12"/>
      <c r="GX227" s="12"/>
      <c r="GY227" s="12"/>
      <c r="GZ227" s="12"/>
      <c r="HA227" s="12"/>
      <c r="HB227" s="12"/>
      <c r="HC227" s="12"/>
      <c r="HD227" s="12"/>
      <c r="HE227" s="12"/>
      <c r="HF227" s="12"/>
      <c r="HG227" s="12"/>
      <c r="HH227" s="12"/>
      <c r="HI227" s="12"/>
      <c r="HJ227" s="12"/>
      <c r="HK227" s="12"/>
      <c r="HL227" s="12"/>
      <c r="HM227" s="12"/>
      <c r="HN227" s="12"/>
      <c r="HO227" s="12"/>
      <c r="HP227" s="12"/>
      <c r="HQ227" s="12"/>
      <c r="HR227" s="12"/>
      <c r="HS227" s="12"/>
      <c r="HT227" s="12"/>
      <c r="HU227" s="12"/>
      <c r="HV227" s="12"/>
      <c r="HW227" s="12"/>
      <c r="HX227" s="12"/>
      <c r="HY227" s="12"/>
      <c r="HZ227" s="12"/>
      <c r="IA227" s="12"/>
      <c r="IB227" s="12"/>
      <c r="IC227" s="12"/>
      <c r="ID227" s="12"/>
      <c r="IE227" s="12"/>
      <c r="IF227" s="12"/>
      <c r="IG227" s="12"/>
      <c r="IH227" s="12"/>
      <c r="II227" s="12"/>
      <c r="IJ227" s="12"/>
      <c r="IK227" s="12"/>
      <c r="IL227" s="12"/>
      <c r="IM227" s="12"/>
      <c r="IN227" s="12"/>
      <c r="IO227" s="12"/>
      <c r="IP227" s="12"/>
      <c r="IQ227" s="12"/>
      <c r="IR227" s="12"/>
      <c r="IS227" s="12"/>
      <c r="IT227" s="12"/>
      <c r="IU227" s="12"/>
      <c r="IV227" s="12"/>
      <c r="IW227" s="12"/>
      <c r="IX227" s="12"/>
      <c r="IY227" s="12"/>
      <c r="IZ227" s="12"/>
      <c r="JA227" s="12"/>
      <c r="JB227" s="12"/>
      <c r="JC227" s="12"/>
      <c r="JD227" s="12"/>
      <c r="JE227" s="12"/>
      <c r="JF227" s="12"/>
      <c r="JG227" s="12"/>
      <c r="JH227" s="12"/>
      <c r="JI227" s="12"/>
      <c r="JJ227" s="12"/>
      <c r="JK227" s="12"/>
      <c r="JL227" s="12"/>
      <c r="JM227" s="12"/>
      <c r="JN227" s="12"/>
      <c r="JO227" s="12"/>
      <c r="JP227" s="12"/>
      <c r="JQ227" s="12"/>
      <c r="JR227" s="12"/>
      <c r="JS227" s="12"/>
      <c r="JT227" s="12"/>
      <c r="JU227" s="12"/>
      <c r="JV227" s="12"/>
      <c r="JW227" s="12"/>
      <c r="JX227" s="12"/>
      <c r="JY227" s="12"/>
      <c r="JZ227" s="12"/>
      <c r="KA227" s="12"/>
      <c r="KB227" s="12"/>
      <c r="KC227" s="12"/>
      <c r="KD227" s="12"/>
      <c r="KE227" s="12"/>
      <c r="KF227" s="12"/>
      <c r="KG227" s="12"/>
      <c r="KH227" s="12"/>
      <c r="KI227" s="12"/>
      <c r="KJ227" s="12"/>
      <c r="KK227" s="12"/>
      <c r="KL227" s="12"/>
      <c r="KM227" s="12"/>
      <c r="KN227" s="12"/>
      <c r="KO227" s="12"/>
      <c r="KP227" s="12"/>
      <c r="KQ227" s="12"/>
      <c r="KR227" s="12"/>
      <c r="KS227" s="12"/>
      <c r="KT227" s="12"/>
      <c r="KU227" s="12"/>
      <c r="KV227" s="12"/>
      <c r="KW227" s="12"/>
      <c r="KX227" s="12"/>
      <c r="KY227" s="12"/>
      <c r="KZ227" s="12"/>
      <c r="LA227" s="12"/>
      <c r="LB227" s="12"/>
      <c r="LC227" s="12"/>
      <c r="LD227" s="12"/>
      <c r="LE227" s="12"/>
      <c r="LF227" s="12"/>
      <c r="LG227" s="12"/>
      <c r="LH227" s="12"/>
      <c r="LI227" s="12"/>
      <c r="LJ227" s="12"/>
      <c r="LK227" s="12"/>
      <c r="LL227" s="12"/>
      <c r="LM227" s="12"/>
      <c r="LN227" s="12"/>
      <c r="LO227" s="12"/>
      <c r="LP227" s="12"/>
      <c r="LQ227" s="12"/>
      <c r="LR227" s="12"/>
      <c r="LS227" s="12"/>
      <c r="LT227" s="12"/>
      <c r="LU227" s="12"/>
      <c r="LV227" s="12"/>
      <c r="LW227" s="12"/>
      <c r="LX227" s="12"/>
      <c r="LY227" s="12"/>
      <c r="LZ227" s="12"/>
      <c r="MA227" s="12"/>
      <c r="MB227" s="12"/>
      <c r="MC227" s="12"/>
      <c r="MD227" s="12"/>
      <c r="ME227" s="12"/>
      <c r="MF227" s="12"/>
      <c r="MG227" s="12"/>
      <c r="MH227" s="12"/>
      <c r="MI227" s="12"/>
      <c r="MJ227" s="12"/>
      <c r="MK227" s="12"/>
      <c r="ML227" s="12"/>
      <c r="MM227" s="12"/>
      <c r="MN227" s="12"/>
      <c r="MO227" s="12"/>
      <c r="MP227" s="12"/>
      <c r="MQ227" s="12"/>
      <c r="MR227" s="12"/>
      <c r="MS227" s="12"/>
      <c r="MT227" s="12"/>
      <c r="MU227" s="12"/>
      <c r="MV227" s="12"/>
      <c r="MW227" s="12"/>
      <c r="MX227" s="12"/>
      <c r="MY227" s="12"/>
      <c r="MZ227" s="12"/>
      <c r="NA227" s="12"/>
      <c r="NB227" s="12"/>
      <c r="NC227" s="12"/>
      <c r="ND227" s="12"/>
      <c r="NE227" s="12"/>
      <c r="NF227" s="12"/>
      <c r="NG227" s="12"/>
      <c r="NH227" s="12"/>
      <c r="NI227" s="12"/>
      <c r="NJ227" s="12"/>
      <c r="NK227" s="12"/>
      <c r="NL227" s="12"/>
      <c r="NM227" s="12"/>
      <c r="NN227" s="12"/>
      <c r="NO227" s="12"/>
      <c r="NP227" s="12"/>
      <c r="NQ227" s="12"/>
      <c r="NR227" s="12"/>
      <c r="NS227" s="12"/>
      <c r="NT227" s="12"/>
      <c r="NU227" s="12"/>
      <c r="NV227" s="12"/>
      <c r="NW227" s="12"/>
      <c r="NX227" s="12"/>
      <c r="NY227" s="12"/>
      <c r="NZ227" s="12"/>
      <c r="OA227" s="12"/>
      <c r="OB227" s="12"/>
      <c r="OC227" s="12"/>
      <c r="OD227" s="12"/>
      <c r="OE227" s="12"/>
      <c r="OF227" s="12"/>
      <c r="OG227" s="12"/>
      <c r="OH227" s="12"/>
      <c r="OI227" s="12"/>
      <c r="OJ227" s="12"/>
      <c r="OK227" s="12"/>
      <c r="OL227" s="12"/>
      <c r="OM227" s="12"/>
      <c r="ON227" s="12"/>
      <c r="OO227" s="12"/>
      <c r="OP227" s="12"/>
      <c r="OQ227" s="12"/>
      <c r="OR227" s="12"/>
      <c r="OS227" s="12"/>
      <c r="OT227" s="12"/>
      <c r="OU227" s="12"/>
      <c r="OV227" s="12"/>
      <c r="OW227" s="12"/>
      <c r="OX227" s="12"/>
      <c r="OY227" s="12"/>
      <c r="OZ227" s="12"/>
      <c r="PA227" s="12"/>
      <c r="PB227" s="12"/>
      <c r="PC227" s="12"/>
      <c r="PD227" s="12"/>
      <c r="PE227" s="12"/>
      <c r="PF227" s="12"/>
      <c r="PG227" s="12"/>
      <c r="PH227" s="12"/>
      <c r="PI227" s="12"/>
      <c r="PJ227" s="12"/>
      <c r="PK227" s="12"/>
      <c r="PL227" s="12"/>
      <c r="PM227" s="12"/>
      <c r="PN227" s="12"/>
      <c r="PO227" s="12"/>
      <c r="PP227" s="12"/>
      <c r="PQ227" s="12"/>
      <c r="PR227" s="12"/>
      <c r="PS227" s="12"/>
      <c r="PT227" s="12"/>
      <c r="PU227" s="12"/>
      <c r="PV227" s="12"/>
      <c r="PW227" s="12"/>
      <c r="PX227" s="12"/>
      <c r="PY227" s="12"/>
      <c r="PZ227" s="12"/>
      <c r="QA227" s="12"/>
      <c r="QB227" s="12"/>
      <c r="QC227" s="12"/>
      <c r="QD227" s="12"/>
      <c r="QE227" s="12"/>
      <c r="QF227" s="12"/>
      <c r="QG227" s="12"/>
      <c r="QH227" s="12"/>
      <c r="QI227" s="12"/>
      <c r="QJ227" s="12"/>
      <c r="QK227" s="12"/>
      <c r="QL227" s="12"/>
      <c r="QM227" s="12"/>
      <c r="QN227" s="12"/>
      <c r="QO227" s="12"/>
      <c r="QP227" s="12"/>
      <c r="QQ227" s="12"/>
      <c r="QR227" s="12"/>
      <c r="QS227" s="12"/>
      <c r="QT227" s="12"/>
      <c r="QU227" s="12"/>
      <c r="QV227" s="12"/>
      <c r="QW227" s="12"/>
      <c r="QX227" s="12"/>
      <c r="QY227" s="12"/>
      <c r="QZ227" s="12"/>
      <c r="RA227" s="12"/>
      <c r="RB227" s="12"/>
      <c r="RC227" s="12"/>
      <c r="RD227" s="12"/>
      <c r="RE227" s="12"/>
      <c r="RF227" s="12"/>
      <c r="RG227" s="12"/>
      <c r="RH227" s="12"/>
      <c r="RI227" s="12"/>
      <c r="RJ227" s="12"/>
      <c r="RK227" s="12"/>
      <c r="RL227" s="12"/>
      <c r="RM227" s="12"/>
      <c r="RN227" s="12"/>
      <c r="RO227" s="12"/>
      <c r="RP227" s="12"/>
      <c r="RQ227" s="12"/>
      <c r="RR227" s="12"/>
      <c r="RS227" s="12"/>
      <c r="RT227" s="12"/>
      <c r="RU227" s="12"/>
      <c r="RV227" s="12"/>
      <c r="RW227" s="12"/>
      <c r="RX227" s="12"/>
      <c r="RY227" s="12"/>
      <c r="RZ227" s="12"/>
      <c r="SA227" s="12"/>
      <c r="SB227" s="12"/>
      <c r="SC227" s="12"/>
      <c r="SD227" s="12"/>
      <c r="SE227" s="12"/>
      <c r="SF227" s="12"/>
      <c r="SG227" s="12"/>
      <c r="SH227" s="11"/>
      <c r="SI227" s="11"/>
      <c r="SJ227" s="11"/>
      <c r="SK227" s="11"/>
      <c r="SL227" s="11"/>
      <c r="SM227" s="11"/>
      <c r="SN227" s="11"/>
      <c r="SO227" s="11"/>
      <c r="SP227" s="11"/>
      <c r="SQ227" s="11"/>
      <c r="SR227" s="11"/>
      <c r="SS227" s="11"/>
      <c r="ST227" s="11"/>
      <c r="SU227" s="11"/>
      <c r="SV227" s="11"/>
      <c r="SW227" s="11"/>
      <c r="SX227" s="11"/>
      <c r="SY227" s="11"/>
      <c r="SZ227" s="11"/>
      <c r="TA227" s="11"/>
      <c r="TB227" s="11"/>
      <c r="TC227" s="11"/>
      <c r="TD227" s="11"/>
      <c r="TE227" s="11"/>
      <c r="TF227" s="11"/>
      <c r="TG227" s="11"/>
      <c r="TH227" s="11"/>
      <c r="TI227" s="11"/>
      <c r="TJ227" s="11"/>
      <c r="TK227" s="11"/>
      <c r="TL227" s="11"/>
    </row>
    <row r="228" spans="1:532" x14ac:dyDescent="0.2">
      <c r="A228" s="10" t="s">
        <v>227</v>
      </c>
      <c r="B228" s="12">
        <v>14.81</v>
      </c>
      <c r="C228" s="11">
        <v>0</v>
      </c>
      <c r="D228" s="11">
        <v>0.18809697298411443</v>
      </c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  <c r="DA228" s="12"/>
      <c r="DB228" s="12"/>
      <c r="DC228" s="12"/>
      <c r="DD228" s="12"/>
      <c r="DE228" s="12"/>
      <c r="DF228" s="12"/>
      <c r="DG228" s="12"/>
      <c r="DH228" s="12"/>
      <c r="DI228" s="12"/>
      <c r="DJ228" s="12"/>
      <c r="DK228" s="12"/>
      <c r="DL228" s="12"/>
      <c r="DM228" s="12"/>
      <c r="DN228" s="12"/>
      <c r="DO228" s="12"/>
      <c r="DP228" s="12"/>
      <c r="DQ228" s="12"/>
      <c r="DR228" s="12"/>
      <c r="DS228" s="12"/>
      <c r="DT228" s="12"/>
      <c r="DU228" s="12"/>
      <c r="DV228" s="12"/>
      <c r="DW228" s="12"/>
      <c r="DX228" s="12"/>
      <c r="DY228" s="12"/>
      <c r="DZ228" s="12"/>
      <c r="EA228" s="12"/>
      <c r="EB228" s="12"/>
      <c r="EC228" s="12"/>
      <c r="ED228" s="12"/>
      <c r="EE228" s="12"/>
      <c r="EF228" s="12"/>
      <c r="EG228" s="12"/>
      <c r="EH228" s="12"/>
      <c r="EI228" s="12"/>
      <c r="EJ228" s="12"/>
      <c r="EK228" s="12"/>
      <c r="EL228" s="12"/>
      <c r="EM228" s="12"/>
      <c r="EN228" s="12"/>
      <c r="EO228" s="12"/>
      <c r="EP228" s="12"/>
      <c r="EQ228" s="12"/>
      <c r="ER228" s="12"/>
      <c r="ES228" s="12"/>
      <c r="ET228" s="12"/>
      <c r="EU228" s="12"/>
      <c r="EV228" s="12"/>
      <c r="EW228" s="12"/>
      <c r="EX228" s="12"/>
      <c r="EY228" s="12"/>
      <c r="EZ228" s="12"/>
      <c r="FA228" s="12"/>
      <c r="FB228" s="12"/>
      <c r="FC228" s="12"/>
      <c r="FD228" s="12"/>
      <c r="FE228" s="12"/>
      <c r="FF228" s="12"/>
      <c r="FG228" s="12"/>
      <c r="FH228" s="12"/>
      <c r="FI228" s="12"/>
      <c r="FJ228" s="12"/>
      <c r="FK228" s="12"/>
      <c r="FL228" s="12"/>
      <c r="FM228" s="12"/>
      <c r="FN228" s="12"/>
      <c r="FO228" s="12"/>
      <c r="FP228" s="12"/>
      <c r="FQ228" s="12"/>
      <c r="FR228" s="12"/>
      <c r="FS228" s="12"/>
      <c r="FT228" s="12"/>
      <c r="FU228" s="12"/>
      <c r="FV228" s="12"/>
      <c r="FW228" s="12"/>
      <c r="FX228" s="12"/>
      <c r="FY228" s="12"/>
      <c r="FZ228" s="12"/>
      <c r="GA228" s="12"/>
      <c r="GB228" s="12"/>
      <c r="GC228" s="12"/>
      <c r="GD228" s="12"/>
      <c r="GE228" s="12"/>
      <c r="GF228" s="12"/>
      <c r="GG228" s="12"/>
      <c r="GH228" s="12"/>
      <c r="GI228" s="12"/>
      <c r="GJ228" s="12"/>
      <c r="GK228" s="12"/>
      <c r="GL228" s="12"/>
      <c r="GM228" s="12"/>
      <c r="GN228" s="12"/>
      <c r="GO228" s="12"/>
      <c r="GP228" s="12"/>
      <c r="GQ228" s="12"/>
      <c r="GR228" s="12"/>
      <c r="GS228" s="12"/>
      <c r="GT228" s="12"/>
      <c r="GU228" s="12"/>
      <c r="GV228" s="12"/>
      <c r="GW228" s="12"/>
      <c r="GX228" s="12"/>
      <c r="GY228" s="12"/>
      <c r="GZ228" s="12"/>
      <c r="HA228" s="12"/>
      <c r="HB228" s="12"/>
      <c r="HC228" s="12"/>
      <c r="HD228" s="12"/>
      <c r="HE228" s="12"/>
      <c r="HF228" s="12"/>
      <c r="HG228" s="12"/>
      <c r="HH228" s="12"/>
      <c r="HI228" s="12"/>
      <c r="HJ228" s="12"/>
      <c r="HK228" s="12"/>
      <c r="HL228" s="12"/>
      <c r="HM228" s="12"/>
      <c r="HN228" s="12"/>
      <c r="HO228" s="12"/>
      <c r="HP228" s="12"/>
      <c r="HQ228" s="12"/>
      <c r="HR228" s="12"/>
      <c r="HS228" s="12"/>
      <c r="HT228" s="12"/>
      <c r="HU228" s="12"/>
      <c r="HV228" s="12"/>
      <c r="HW228" s="12"/>
      <c r="HX228" s="12"/>
      <c r="HY228" s="12"/>
      <c r="HZ228" s="12"/>
      <c r="IA228" s="12"/>
      <c r="IB228" s="12"/>
      <c r="IC228" s="12"/>
      <c r="ID228" s="12"/>
      <c r="IE228" s="12"/>
      <c r="IF228" s="12"/>
      <c r="IG228" s="12"/>
      <c r="IH228" s="12"/>
      <c r="II228" s="12"/>
      <c r="IJ228" s="12"/>
      <c r="IK228" s="12"/>
      <c r="IL228" s="12"/>
      <c r="IM228" s="12"/>
      <c r="IN228" s="12"/>
      <c r="IO228" s="12"/>
      <c r="IP228" s="12"/>
      <c r="IQ228" s="12"/>
      <c r="IR228" s="12"/>
      <c r="IS228" s="12"/>
      <c r="IT228" s="12"/>
      <c r="IU228" s="12"/>
      <c r="IV228" s="12"/>
      <c r="IW228" s="12"/>
      <c r="IX228" s="12"/>
      <c r="IY228" s="12"/>
      <c r="IZ228" s="12"/>
      <c r="JA228" s="12"/>
      <c r="JB228" s="12"/>
      <c r="JC228" s="12"/>
      <c r="JD228" s="12"/>
      <c r="JE228" s="12"/>
      <c r="JF228" s="12"/>
      <c r="JG228" s="12"/>
      <c r="JH228" s="12"/>
      <c r="JI228" s="12"/>
      <c r="JJ228" s="12"/>
      <c r="JK228" s="12"/>
      <c r="JL228" s="12"/>
      <c r="JM228" s="12"/>
      <c r="JN228" s="12"/>
      <c r="JO228" s="12"/>
      <c r="JP228" s="12"/>
      <c r="JQ228" s="12"/>
      <c r="JR228" s="12"/>
      <c r="JS228" s="12"/>
      <c r="JT228" s="12"/>
      <c r="JU228" s="12"/>
      <c r="JV228" s="12"/>
      <c r="JW228" s="12"/>
      <c r="JX228" s="12"/>
      <c r="JY228" s="12"/>
      <c r="JZ228" s="12"/>
      <c r="KA228" s="12"/>
      <c r="KB228" s="12"/>
      <c r="KC228" s="12"/>
      <c r="KD228" s="12"/>
      <c r="KE228" s="12"/>
      <c r="KF228" s="12"/>
      <c r="KG228" s="12"/>
      <c r="KH228" s="12"/>
      <c r="KI228" s="12"/>
      <c r="KJ228" s="12"/>
      <c r="KK228" s="12"/>
      <c r="KL228" s="12"/>
      <c r="KM228" s="12"/>
      <c r="KN228" s="12"/>
      <c r="KO228" s="12"/>
      <c r="KP228" s="12"/>
      <c r="KQ228" s="12"/>
      <c r="KR228" s="12"/>
      <c r="KS228" s="12"/>
      <c r="KT228" s="12"/>
      <c r="KU228" s="12"/>
      <c r="KV228" s="12"/>
      <c r="KW228" s="12"/>
      <c r="KX228" s="12"/>
      <c r="KY228" s="12"/>
      <c r="KZ228" s="12"/>
      <c r="LA228" s="12"/>
      <c r="LB228" s="12"/>
      <c r="LC228" s="12"/>
      <c r="LD228" s="12"/>
      <c r="LE228" s="12"/>
      <c r="LF228" s="12"/>
      <c r="LG228" s="12"/>
      <c r="LH228" s="12"/>
      <c r="LI228" s="12"/>
      <c r="LJ228" s="12"/>
      <c r="LK228" s="12"/>
      <c r="LL228" s="12"/>
      <c r="LM228" s="12"/>
      <c r="LN228" s="12"/>
      <c r="LO228" s="12"/>
      <c r="LP228" s="12"/>
      <c r="LQ228" s="12"/>
      <c r="LR228" s="12"/>
      <c r="LS228" s="12"/>
      <c r="LT228" s="12"/>
      <c r="LU228" s="12"/>
      <c r="LV228" s="12"/>
      <c r="LW228" s="12"/>
      <c r="LX228" s="12"/>
      <c r="LY228" s="12"/>
      <c r="LZ228" s="12"/>
      <c r="MA228" s="12"/>
      <c r="MB228" s="12"/>
      <c r="MC228" s="12"/>
      <c r="MD228" s="12"/>
      <c r="ME228" s="12"/>
      <c r="MF228" s="12"/>
      <c r="MG228" s="12"/>
      <c r="MH228" s="12"/>
      <c r="MI228" s="12"/>
      <c r="MJ228" s="12"/>
      <c r="MK228" s="12"/>
      <c r="ML228" s="12"/>
      <c r="MM228" s="12"/>
      <c r="MN228" s="12"/>
      <c r="MO228" s="12"/>
      <c r="MP228" s="12"/>
      <c r="MQ228" s="12"/>
      <c r="MR228" s="12"/>
      <c r="MS228" s="12"/>
      <c r="MT228" s="12"/>
      <c r="MU228" s="12"/>
      <c r="MV228" s="12"/>
      <c r="MW228" s="12"/>
      <c r="MX228" s="12"/>
      <c r="MY228" s="12"/>
      <c r="MZ228" s="12"/>
      <c r="NA228" s="12"/>
      <c r="NB228" s="12"/>
      <c r="NC228" s="12"/>
      <c r="ND228" s="12"/>
      <c r="NE228" s="12"/>
      <c r="NF228" s="12"/>
      <c r="NG228" s="12"/>
      <c r="NH228" s="12"/>
      <c r="NI228" s="12"/>
      <c r="NJ228" s="12"/>
      <c r="NK228" s="12"/>
      <c r="NL228" s="12"/>
      <c r="NM228" s="12"/>
      <c r="NN228" s="12"/>
      <c r="NO228" s="12"/>
      <c r="NP228" s="12"/>
      <c r="NQ228" s="12"/>
      <c r="NR228" s="12"/>
      <c r="NS228" s="12"/>
      <c r="NT228" s="12"/>
      <c r="NU228" s="12"/>
      <c r="NV228" s="12"/>
      <c r="NW228" s="12"/>
      <c r="NX228" s="12"/>
      <c r="NY228" s="12"/>
      <c r="NZ228" s="12"/>
      <c r="OA228" s="12"/>
      <c r="OB228" s="12"/>
      <c r="OC228" s="12"/>
      <c r="OD228" s="12"/>
      <c r="OE228" s="12"/>
      <c r="OF228" s="12"/>
      <c r="OG228" s="12"/>
      <c r="OH228" s="12"/>
      <c r="OI228" s="12"/>
      <c r="OJ228" s="12"/>
      <c r="OK228" s="12"/>
      <c r="OL228" s="12"/>
      <c r="OM228" s="12"/>
      <c r="ON228" s="12"/>
      <c r="OO228" s="12"/>
      <c r="OP228" s="12"/>
      <c r="OQ228" s="12"/>
      <c r="OR228" s="12"/>
      <c r="OS228" s="12"/>
      <c r="OT228" s="12"/>
      <c r="OU228" s="12"/>
      <c r="OV228" s="12"/>
      <c r="OW228" s="12"/>
      <c r="OX228" s="12"/>
      <c r="OY228" s="12"/>
      <c r="OZ228" s="12"/>
      <c r="PA228" s="12"/>
      <c r="PB228" s="12"/>
      <c r="PC228" s="12"/>
      <c r="PD228" s="12"/>
      <c r="PE228" s="12"/>
      <c r="PF228" s="12"/>
      <c r="PG228" s="12"/>
      <c r="PH228" s="12"/>
      <c r="PI228" s="12"/>
      <c r="PJ228" s="12"/>
      <c r="PK228" s="12"/>
      <c r="PL228" s="12"/>
      <c r="PM228" s="12"/>
      <c r="PN228" s="12"/>
      <c r="PO228" s="12"/>
      <c r="PP228" s="12"/>
      <c r="PQ228" s="12"/>
      <c r="PR228" s="12"/>
      <c r="PS228" s="12"/>
      <c r="PT228" s="12"/>
      <c r="PU228" s="12"/>
      <c r="PV228" s="12"/>
      <c r="PW228" s="12"/>
      <c r="PX228" s="12"/>
      <c r="PY228" s="12"/>
      <c r="PZ228" s="12"/>
      <c r="QA228" s="12"/>
      <c r="QB228" s="12"/>
      <c r="QC228" s="12"/>
      <c r="QD228" s="12"/>
      <c r="QE228" s="12"/>
      <c r="QF228" s="12"/>
      <c r="QG228" s="12"/>
      <c r="QH228" s="12"/>
      <c r="QI228" s="12"/>
      <c r="QJ228" s="12"/>
      <c r="QK228" s="12"/>
      <c r="QL228" s="12"/>
      <c r="QM228" s="12"/>
      <c r="QN228" s="12"/>
      <c r="QO228" s="12"/>
      <c r="QP228" s="12"/>
      <c r="QQ228" s="12"/>
      <c r="QR228" s="12"/>
      <c r="QS228" s="12"/>
      <c r="QT228" s="12"/>
      <c r="QU228" s="12"/>
      <c r="QV228" s="12"/>
      <c r="QW228" s="12"/>
      <c r="QX228" s="12"/>
      <c r="QY228" s="12"/>
      <c r="QZ228" s="12"/>
      <c r="RA228" s="12"/>
      <c r="RB228" s="12"/>
      <c r="RC228" s="12"/>
      <c r="RD228" s="12"/>
      <c r="RE228" s="12"/>
      <c r="RF228" s="12"/>
      <c r="RG228" s="12"/>
      <c r="RH228" s="12"/>
      <c r="RI228" s="12"/>
      <c r="RJ228" s="12"/>
      <c r="RK228" s="12"/>
      <c r="RL228" s="12"/>
      <c r="RM228" s="12"/>
      <c r="RN228" s="12"/>
      <c r="RO228" s="12"/>
      <c r="RP228" s="12"/>
      <c r="RQ228" s="12"/>
      <c r="RR228" s="12"/>
      <c r="RS228" s="12"/>
      <c r="RT228" s="12"/>
      <c r="RU228" s="12"/>
      <c r="RV228" s="12"/>
      <c r="RW228" s="12"/>
      <c r="RX228" s="12"/>
      <c r="RY228" s="12"/>
      <c r="RZ228" s="12"/>
      <c r="SA228" s="12"/>
      <c r="SB228" s="12"/>
      <c r="SC228" s="12"/>
      <c r="SD228" s="12"/>
      <c r="SE228" s="12"/>
      <c r="SF228" s="12"/>
      <c r="SG228" s="12"/>
      <c r="SH228" s="11"/>
      <c r="SI228" s="11"/>
      <c r="SJ228" s="11"/>
      <c r="SK228" s="11"/>
      <c r="SL228" s="11"/>
      <c r="SM228" s="11"/>
      <c r="SN228" s="11"/>
      <c r="SO228" s="11"/>
      <c r="SP228" s="11"/>
      <c r="SQ228" s="11"/>
      <c r="SR228" s="11"/>
      <c r="SS228" s="11"/>
      <c r="ST228" s="11"/>
      <c r="SU228" s="11"/>
      <c r="SV228" s="11"/>
      <c r="SW228" s="11"/>
      <c r="SX228" s="11"/>
      <c r="SY228" s="11"/>
      <c r="SZ228" s="11"/>
      <c r="TA228" s="11"/>
      <c r="TB228" s="11"/>
      <c r="TC228" s="11"/>
      <c r="TD228" s="11"/>
      <c r="TE228" s="11"/>
      <c r="TF228" s="11"/>
      <c r="TG228" s="11"/>
      <c r="TH228" s="11"/>
      <c r="TI228" s="11"/>
      <c r="TJ228" s="11"/>
      <c r="TK228" s="11"/>
      <c r="TL228" s="11"/>
    </row>
    <row r="229" spans="1:532" x14ac:dyDescent="0.2">
      <c r="A229" s="10" t="s">
        <v>228</v>
      </c>
      <c r="B229" s="12">
        <v>12.97</v>
      </c>
      <c r="C229" s="11">
        <v>0</v>
      </c>
      <c r="D229" s="11">
        <v>2.0096676587250117</v>
      </c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  <c r="DA229" s="12"/>
      <c r="DB229" s="12"/>
      <c r="DC229" s="12"/>
      <c r="DD229" s="12"/>
      <c r="DE229" s="12"/>
      <c r="DF229" s="12"/>
      <c r="DG229" s="12"/>
      <c r="DH229" s="12"/>
      <c r="DI229" s="12"/>
      <c r="DJ229" s="12"/>
      <c r="DK229" s="12"/>
      <c r="DL229" s="12"/>
      <c r="DM229" s="12"/>
      <c r="DN229" s="12"/>
      <c r="DO229" s="12"/>
      <c r="DP229" s="12"/>
      <c r="DQ229" s="12"/>
      <c r="DR229" s="12"/>
      <c r="DS229" s="12"/>
      <c r="DT229" s="12"/>
      <c r="DU229" s="12"/>
      <c r="DV229" s="12"/>
      <c r="DW229" s="12"/>
      <c r="DX229" s="12"/>
      <c r="DY229" s="12"/>
      <c r="DZ229" s="12"/>
      <c r="EA229" s="12"/>
      <c r="EB229" s="12"/>
      <c r="EC229" s="12"/>
      <c r="ED229" s="12"/>
      <c r="EE229" s="12"/>
      <c r="EF229" s="12"/>
      <c r="EG229" s="12"/>
      <c r="EH229" s="12"/>
      <c r="EI229" s="12"/>
      <c r="EJ229" s="12"/>
      <c r="EK229" s="12"/>
      <c r="EL229" s="12"/>
      <c r="EM229" s="12"/>
      <c r="EN229" s="12"/>
      <c r="EO229" s="12"/>
      <c r="EP229" s="12"/>
      <c r="EQ229" s="12"/>
      <c r="ER229" s="12"/>
      <c r="ES229" s="12"/>
      <c r="ET229" s="12"/>
      <c r="EU229" s="12"/>
      <c r="EV229" s="12"/>
      <c r="EW229" s="12"/>
      <c r="EX229" s="12"/>
      <c r="EY229" s="12"/>
      <c r="EZ229" s="12"/>
      <c r="FA229" s="12"/>
      <c r="FB229" s="12"/>
      <c r="FC229" s="12"/>
      <c r="FD229" s="12"/>
      <c r="FE229" s="12"/>
      <c r="FF229" s="12"/>
      <c r="FG229" s="12"/>
      <c r="FH229" s="12"/>
      <c r="FI229" s="12"/>
      <c r="FJ229" s="12"/>
      <c r="FK229" s="12"/>
      <c r="FL229" s="12"/>
      <c r="FM229" s="12"/>
      <c r="FN229" s="12"/>
      <c r="FO229" s="12"/>
      <c r="FP229" s="12"/>
      <c r="FQ229" s="12"/>
      <c r="FR229" s="12"/>
      <c r="FS229" s="12"/>
      <c r="FT229" s="12"/>
      <c r="FU229" s="12"/>
      <c r="FV229" s="12"/>
      <c r="FW229" s="12"/>
      <c r="FX229" s="12"/>
      <c r="FY229" s="12"/>
      <c r="FZ229" s="12"/>
      <c r="GA229" s="12"/>
      <c r="GB229" s="12"/>
      <c r="GC229" s="12"/>
      <c r="GD229" s="12"/>
      <c r="GE229" s="12"/>
      <c r="GF229" s="12"/>
      <c r="GG229" s="12"/>
      <c r="GH229" s="12"/>
      <c r="GI229" s="12"/>
      <c r="GJ229" s="12"/>
      <c r="GK229" s="12"/>
      <c r="GL229" s="12"/>
      <c r="GM229" s="12"/>
      <c r="GN229" s="12"/>
      <c r="GO229" s="12"/>
      <c r="GP229" s="12"/>
      <c r="GQ229" s="12"/>
      <c r="GR229" s="12"/>
      <c r="GS229" s="12"/>
      <c r="GT229" s="12"/>
      <c r="GU229" s="12"/>
      <c r="GV229" s="12"/>
      <c r="GW229" s="12"/>
      <c r="GX229" s="12"/>
      <c r="GY229" s="12"/>
      <c r="GZ229" s="12"/>
      <c r="HA229" s="12"/>
      <c r="HB229" s="12"/>
      <c r="HC229" s="12"/>
      <c r="HD229" s="12"/>
      <c r="HE229" s="12"/>
      <c r="HF229" s="12"/>
      <c r="HG229" s="12"/>
      <c r="HH229" s="12"/>
      <c r="HI229" s="12"/>
      <c r="HJ229" s="12"/>
      <c r="HK229" s="12"/>
      <c r="HL229" s="12"/>
      <c r="HM229" s="12"/>
      <c r="HN229" s="12"/>
      <c r="HO229" s="12"/>
      <c r="HP229" s="12"/>
      <c r="HQ229" s="12"/>
      <c r="HR229" s="12"/>
      <c r="HS229" s="12"/>
      <c r="HT229" s="12"/>
      <c r="HU229" s="12"/>
      <c r="HV229" s="12"/>
      <c r="HW229" s="12"/>
      <c r="HX229" s="12"/>
      <c r="HY229" s="12"/>
      <c r="HZ229" s="12"/>
      <c r="IA229" s="12"/>
      <c r="IB229" s="12"/>
      <c r="IC229" s="12"/>
      <c r="ID229" s="12"/>
      <c r="IE229" s="12"/>
      <c r="IF229" s="12"/>
      <c r="IG229" s="12"/>
      <c r="IH229" s="12"/>
      <c r="II229" s="12"/>
      <c r="IJ229" s="12"/>
      <c r="IK229" s="12"/>
      <c r="IL229" s="12"/>
      <c r="IM229" s="12"/>
      <c r="IN229" s="12"/>
      <c r="IO229" s="12"/>
      <c r="IP229" s="12"/>
      <c r="IQ229" s="12"/>
      <c r="IR229" s="12"/>
      <c r="IS229" s="12"/>
      <c r="IT229" s="12"/>
      <c r="IU229" s="12"/>
      <c r="IV229" s="12"/>
      <c r="IW229" s="12"/>
      <c r="IX229" s="12"/>
      <c r="IY229" s="12"/>
      <c r="IZ229" s="12"/>
      <c r="JA229" s="12"/>
      <c r="JB229" s="12"/>
      <c r="JC229" s="12"/>
      <c r="JD229" s="12"/>
      <c r="JE229" s="12"/>
      <c r="JF229" s="12"/>
      <c r="JG229" s="12"/>
      <c r="JH229" s="12"/>
      <c r="JI229" s="12"/>
      <c r="JJ229" s="12"/>
      <c r="JK229" s="12"/>
      <c r="JL229" s="12"/>
      <c r="JM229" s="12"/>
      <c r="JN229" s="12"/>
      <c r="JO229" s="12"/>
      <c r="JP229" s="12"/>
      <c r="JQ229" s="12"/>
      <c r="JR229" s="12"/>
      <c r="JS229" s="12"/>
      <c r="JT229" s="12"/>
      <c r="JU229" s="12"/>
      <c r="JV229" s="12"/>
      <c r="JW229" s="12"/>
      <c r="JX229" s="12"/>
      <c r="JY229" s="12"/>
      <c r="JZ229" s="12"/>
      <c r="KA229" s="12"/>
      <c r="KB229" s="12"/>
      <c r="KC229" s="12"/>
      <c r="KD229" s="12"/>
      <c r="KE229" s="12"/>
      <c r="KF229" s="12"/>
      <c r="KG229" s="12"/>
      <c r="KH229" s="12"/>
      <c r="KI229" s="12"/>
      <c r="KJ229" s="12"/>
      <c r="KK229" s="12"/>
      <c r="KL229" s="12"/>
      <c r="KM229" s="12"/>
      <c r="KN229" s="12"/>
      <c r="KO229" s="12"/>
      <c r="KP229" s="12"/>
      <c r="KQ229" s="12"/>
      <c r="KR229" s="12"/>
      <c r="KS229" s="12"/>
      <c r="KT229" s="12"/>
      <c r="KU229" s="12"/>
      <c r="KV229" s="12"/>
      <c r="KW229" s="12"/>
      <c r="KX229" s="12"/>
      <c r="KY229" s="12"/>
      <c r="KZ229" s="12"/>
      <c r="LA229" s="12"/>
      <c r="LB229" s="12"/>
      <c r="LC229" s="12"/>
      <c r="LD229" s="12"/>
      <c r="LE229" s="12"/>
      <c r="LF229" s="12"/>
      <c r="LG229" s="12"/>
      <c r="LH229" s="12"/>
      <c r="LI229" s="12"/>
      <c r="LJ229" s="12"/>
      <c r="LK229" s="12"/>
      <c r="LL229" s="12"/>
      <c r="LM229" s="12"/>
      <c r="LN229" s="12"/>
      <c r="LO229" s="12"/>
      <c r="LP229" s="12"/>
      <c r="LQ229" s="12"/>
      <c r="LR229" s="12"/>
      <c r="LS229" s="12"/>
      <c r="LT229" s="12"/>
      <c r="LU229" s="12"/>
      <c r="LV229" s="12"/>
      <c r="LW229" s="12"/>
      <c r="LX229" s="12"/>
      <c r="LY229" s="12"/>
      <c r="LZ229" s="12"/>
      <c r="MA229" s="12"/>
      <c r="MB229" s="12"/>
      <c r="MC229" s="12"/>
      <c r="MD229" s="12"/>
      <c r="ME229" s="12"/>
      <c r="MF229" s="12"/>
      <c r="MG229" s="12"/>
      <c r="MH229" s="12"/>
      <c r="MI229" s="12"/>
      <c r="MJ229" s="12"/>
      <c r="MK229" s="12"/>
      <c r="ML229" s="12"/>
      <c r="MM229" s="12"/>
      <c r="MN229" s="12"/>
      <c r="MO229" s="12"/>
      <c r="MP229" s="12"/>
      <c r="MQ229" s="12"/>
      <c r="MR229" s="12"/>
      <c r="MS229" s="12"/>
      <c r="MT229" s="12"/>
      <c r="MU229" s="12"/>
      <c r="MV229" s="12"/>
      <c r="MW229" s="12"/>
      <c r="MX229" s="12"/>
      <c r="MY229" s="12"/>
      <c r="MZ229" s="12"/>
      <c r="NA229" s="12"/>
      <c r="NB229" s="12"/>
      <c r="NC229" s="12"/>
      <c r="ND229" s="12"/>
      <c r="NE229" s="12"/>
      <c r="NF229" s="12"/>
      <c r="NG229" s="12"/>
      <c r="NH229" s="12"/>
      <c r="NI229" s="12"/>
      <c r="NJ229" s="12"/>
      <c r="NK229" s="12"/>
      <c r="NL229" s="12"/>
      <c r="NM229" s="12"/>
      <c r="NN229" s="12"/>
      <c r="NO229" s="12"/>
      <c r="NP229" s="12"/>
      <c r="NQ229" s="12"/>
      <c r="NR229" s="12"/>
      <c r="NS229" s="12"/>
      <c r="NT229" s="12"/>
      <c r="NU229" s="12"/>
      <c r="NV229" s="12"/>
      <c r="NW229" s="12"/>
      <c r="NX229" s="12"/>
      <c r="NY229" s="12"/>
      <c r="NZ229" s="12"/>
      <c r="OA229" s="12"/>
      <c r="OB229" s="12"/>
      <c r="OC229" s="12"/>
      <c r="OD229" s="12"/>
      <c r="OE229" s="12"/>
      <c r="OF229" s="12"/>
      <c r="OG229" s="12"/>
      <c r="OH229" s="12"/>
      <c r="OI229" s="12"/>
      <c r="OJ229" s="12"/>
      <c r="OK229" s="12"/>
      <c r="OL229" s="12"/>
      <c r="OM229" s="12"/>
      <c r="ON229" s="12"/>
      <c r="OO229" s="12"/>
      <c r="OP229" s="12"/>
      <c r="OQ229" s="12"/>
      <c r="OR229" s="12"/>
      <c r="OS229" s="12"/>
      <c r="OT229" s="12"/>
      <c r="OU229" s="12"/>
      <c r="OV229" s="12"/>
      <c r="OW229" s="12"/>
      <c r="OX229" s="12"/>
      <c r="OY229" s="12"/>
      <c r="OZ229" s="12"/>
      <c r="PA229" s="12"/>
      <c r="PB229" s="12"/>
      <c r="PC229" s="12"/>
      <c r="PD229" s="12"/>
      <c r="PE229" s="12"/>
      <c r="PF229" s="12"/>
      <c r="PG229" s="12"/>
      <c r="PH229" s="12"/>
      <c r="PI229" s="12"/>
      <c r="PJ229" s="12"/>
      <c r="PK229" s="12"/>
      <c r="PL229" s="12"/>
      <c r="PM229" s="12"/>
      <c r="PN229" s="12"/>
      <c r="PO229" s="12"/>
      <c r="PP229" s="12"/>
      <c r="PQ229" s="12"/>
      <c r="PR229" s="12"/>
      <c r="PS229" s="12"/>
      <c r="PT229" s="12"/>
      <c r="PU229" s="12"/>
      <c r="PV229" s="12"/>
      <c r="PW229" s="12"/>
      <c r="PX229" s="12"/>
      <c r="PY229" s="12"/>
      <c r="PZ229" s="12"/>
      <c r="QA229" s="12"/>
      <c r="QB229" s="12"/>
      <c r="QC229" s="12"/>
      <c r="QD229" s="12"/>
      <c r="QE229" s="12"/>
      <c r="QF229" s="12"/>
      <c r="QG229" s="12"/>
      <c r="QH229" s="12"/>
      <c r="QI229" s="12"/>
      <c r="QJ229" s="12"/>
      <c r="QK229" s="12"/>
      <c r="QL229" s="12"/>
      <c r="QM229" s="12"/>
      <c r="QN229" s="12"/>
      <c r="QO229" s="12"/>
      <c r="QP229" s="12"/>
      <c r="QQ229" s="12"/>
      <c r="QR229" s="12"/>
      <c r="QS229" s="12"/>
      <c r="QT229" s="12"/>
      <c r="QU229" s="12"/>
      <c r="QV229" s="12"/>
      <c r="QW229" s="12"/>
      <c r="QX229" s="12"/>
      <c r="QY229" s="12"/>
      <c r="QZ229" s="12"/>
      <c r="RA229" s="12"/>
      <c r="RB229" s="12"/>
      <c r="RC229" s="12"/>
      <c r="RD229" s="12"/>
      <c r="RE229" s="12"/>
      <c r="RF229" s="12"/>
      <c r="RG229" s="12"/>
      <c r="RH229" s="12"/>
      <c r="RI229" s="12"/>
      <c r="RJ229" s="12"/>
      <c r="RK229" s="12"/>
      <c r="RL229" s="12"/>
      <c r="RM229" s="12"/>
      <c r="RN229" s="12"/>
      <c r="RO229" s="12"/>
      <c r="RP229" s="12"/>
      <c r="RQ229" s="12"/>
      <c r="RR229" s="12"/>
      <c r="RS229" s="12"/>
      <c r="RT229" s="12"/>
      <c r="RU229" s="12"/>
      <c r="RV229" s="12"/>
      <c r="RW229" s="12"/>
      <c r="RX229" s="12"/>
      <c r="RY229" s="12"/>
      <c r="RZ229" s="12"/>
      <c r="SA229" s="12"/>
      <c r="SB229" s="12"/>
      <c r="SC229" s="12"/>
      <c r="SD229" s="12"/>
      <c r="SE229" s="12"/>
      <c r="SF229" s="12"/>
      <c r="SG229" s="12"/>
      <c r="SH229" s="11"/>
      <c r="SI229" s="11"/>
      <c r="SJ229" s="11"/>
      <c r="SK229" s="11"/>
      <c r="SL229" s="11"/>
      <c r="SM229" s="11"/>
      <c r="SN229" s="11"/>
      <c r="SO229" s="11"/>
      <c r="SP229" s="11"/>
      <c r="SQ229" s="11"/>
      <c r="SR229" s="11"/>
      <c r="SS229" s="11"/>
      <c r="ST229" s="11"/>
      <c r="SU229" s="11"/>
      <c r="SV229" s="11"/>
      <c r="SW229" s="11"/>
      <c r="SX229" s="11"/>
      <c r="SY229" s="11"/>
      <c r="SZ229" s="11"/>
      <c r="TA229" s="11"/>
      <c r="TB229" s="11"/>
      <c r="TC229" s="11"/>
      <c r="TD229" s="11"/>
      <c r="TE229" s="11"/>
      <c r="TF229" s="11"/>
      <c r="TG229" s="11"/>
      <c r="TH229" s="11"/>
      <c r="TI229" s="11"/>
      <c r="TJ229" s="11"/>
      <c r="TK229" s="11"/>
      <c r="TL229" s="11"/>
    </row>
    <row r="230" spans="1:532" x14ac:dyDescent="0.2">
      <c r="A230" s="10" t="s">
        <v>229</v>
      </c>
      <c r="B230" s="12">
        <v>12.19</v>
      </c>
      <c r="C230" s="11">
        <v>0</v>
      </c>
      <c r="D230" s="11">
        <v>2.7818552320282186</v>
      </c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12"/>
      <c r="DL230" s="12"/>
      <c r="DM230" s="12"/>
      <c r="DN230" s="12"/>
      <c r="DO230" s="12"/>
      <c r="DP230" s="12"/>
      <c r="DQ230" s="12"/>
      <c r="DR230" s="12"/>
      <c r="DS230" s="12"/>
      <c r="DT230" s="12"/>
      <c r="DU230" s="12"/>
      <c r="DV230" s="12"/>
      <c r="DW230" s="12"/>
      <c r="DX230" s="12"/>
      <c r="DY230" s="12"/>
      <c r="DZ230" s="12"/>
      <c r="EA230" s="12"/>
      <c r="EB230" s="12"/>
      <c r="EC230" s="12"/>
      <c r="ED230" s="12"/>
      <c r="EE230" s="12"/>
      <c r="EF230" s="12"/>
      <c r="EG230" s="12"/>
      <c r="EH230" s="12"/>
      <c r="EI230" s="12"/>
      <c r="EJ230" s="12"/>
      <c r="EK230" s="12"/>
      <c r="EL230" s="12"/>
      <c r="EM230" s="12"/>
      <c r="EN230" s="12"/>
      <c r="EO230" s="12"/>
      <c r="EP230" s="12"/>
      <c r="EQ230" s="12"/>
      <c r="ER230" s="12"/>
      <c r="ES230" s="12"/>
      <c r="ET230" s="12"/>
      <c r="EU230" s="12"/>
      <c r="EV230" s="12"/>
      <c r="EW230" s="12"/>
      <c r="EX230" s="12"/>
      <c r="EY230" s="12"/>
      <c r="EZ230" s="12"/>
      <c r="FA230" s="12"/>
      <c r="FB230" s="12"/>
      <c r="FC230" s="12"/>
      <c r="FD230" s="12"/>
      <c r="FE230" s="12"/>
      <c r="FF230" s="12"/>
      <c r="FG230" s="12"/>
      <c r="FH230" s="12"/>
      <c r="FI230" s="12"/>
      <c r="FJ230" s="12"/>
      <c r="FK230" s="12"/>
      <c r="FL230" s="12"/>
      <c r="FM230" s="12"/>
      <c r="FN230" s="12"/>
      <c r="FO230" s="12"/>
      <c r="FP230" s="12"/>
      <c r="FQ230" s="12"/>
      <c r="FR230" s="12"/>
      <c r="FS230" s="12"/>
      <c r="FT230" s="12"/>
      <c r="FU230" s="12"/>
      <c r="FV230" s="12"/>
      <c r="FW230" s="12"/>
      <c r="FX230" s="12"/>
      <c r="FY230" s="12"/>
      <c r="FZ230" s="12"/>
      <c r="GA230" s="12"/>
      <c r="GB230" s="12"/>
      <c r="GC230" s="12"/>
      <c r="GD230" s="12"/>
      <c r="GE230" s="12"/>
      <c r="GF230" s="12"/>
      <c r="GG230" s="12"/>
      <c r="GH230" s="12"/>
      <c r="GI230" s="12"/>
      <c r="GJ230" s="12"/>
      <c r="GK230" s="12"/>
      <c r="GL230" s="12"/>
      <c r="GM230" s="12"/>
      <c r="GN230" s="12"/>
      <c r="GO230" s="12"/>
      <c r="GP230" s="12"/>
      <c r="GQ230" s="12"/>
      <c r="GR230" s="12"/>
      <c r="GS230" s="12"/>
      <c r="GT230" s="12"/>
      <c r="GU230" s="12"/>
      <c r="GV230" s="12"/>
      <c r="GW230" s="12"/>
      <c r="GX230" s="12"/>
      <c r="GY230" s="12"/>
      <c r="GZ230" s="12"/>
      <c r="HA230" s="12"/>
      <c r="HB230" s="12"/>
      <c r="HC230" s="12"/>
      <c r="HD230" s="12"/>
      <c r="HE230" s="12"/>
      <c r="HF230" s="12"/>
      <c r="HG230" s="12"/>
      <c r="HH230" s="12"/>
      <c r="HI230" s="12"/>
      <c r="HJ230" s="12"/>
      <c r="HK230" s="12"/>
      <c r="HL230" s="12"/>
      <c r="HM230" s="12"/>
      <c r="HN230" s="12"/>
      <c r="HO230" s="12"/>
      <c r="HP230" s="12"/>
      <c r="HQ230" s="12"/>
      <c r="HR230" s="12"/>
      <c r="HS230" s="12"/>
      <c r="HT230" s="12"/>
      <c r="HU230" s="12"/>
      <c r="HV230" s="12"/>
      <c r="HW230" s="12"/>
      <c r="HX230" s="12"/>
      <c r="HY230" s="12"/>
      <c r="HZ230" s="12"/>
      <c r="IA230" s="12"/>
      <c r="IB230" s="12"/>
      <c r="IC230" s="12"/>
      <c r="ID230" s="12"/>
      <c r="IE230" s="12"/>
      <c r="IF230" s="12"/>
      <c r="IG230" s="12"/>
      <c r="IH230" s="12"/>
      <c r="II230" s="12"/>
      <c r="IJ230" s="12"/>
      <c r="IK230" s="12"/>
      <c r="IL230" s="12"/>
      <c r="IM230" s="12"/>
      <c r="IN230" s="12"/>
      <c r="IO230" s="12"/>
      <c r="IP230" s="12"/>
      <c r="IQ230" s="12"/>
      <c r="IR230" s="12"/>
      <c r="IS230" s="12"/>
      <c r="IT230" s="12"/>
      <c r="IU230" s="12"/>
      <c r="IV230" s="12"/>
      <c r="IW230" s="12"/>
      <c r="IX230" s="12"/>
      <c r="IY230" s="12"/>
      <c r="IZ230" s="12"/>
      <c r="JA230" s="12"/>
      <c r="JB230" s="12"/>
      <c r="JC230" s="12"/>
      <c r="JD230" s="12"/>
      <c r="JE230" s="12"/>
      <c r="JF230" s="12"/>
      <c r="JG230" s="12"/>
      <c r="JH230" s="12"/>
      <c r="JI230" s="12"/>
      <c r="JJ230" s="12"/>
      <c r="JK230" s="12"/>
      <c r="JL230" s="12"/>
      <c r="JM230" s="12"/>
      <c r="JN230" s="12"/>
      <c r="JO230" s="12"/>
      <c r="JP230" s="12"/>
      <c r="JQ230" s="12"/>
      <c r="JR230" s="12"/>
      <c r="JS230" s="12"/>
      <c r="JT230" s="12"/>
      <c r="JU230" s="12"/>
      <c r="JV230" s="12"/>
      <c r="JW230" s="12"/>
      <c r="JX230" s="12"/>
      <c r="JY230" s="12"/>
      <c r="JZ230" s="12"/>
      <c r="KA230" s="12"/>
      <c r="KB230" s="12"/>
      <c r="KC230" s="12"/>
      <c r="KD230" s="12"/>
      <c r="KE230" s="12"/>
      <c r="KF230" s="12"/>
      <c r="KG230" s="12"/>
      <c r="KH230" s="12"/>
      <c r="KI230" s="12"/>
      <c r="KJ230" s="12"/>
      <c r="KK230" s="12"/>
      <c r="KL230" s="12"/>
      <c r="KM230" s="12"/>
      <c r="KN230" s="12"/>
      <c r="KO230" s="12"/>
      <c r="KP230" s="12"/>
      <c r="KQ230" s="12"/>
      <c r="KR230" s="12"/>
      <c r="KS230" s="12"/>
      <c r="KT230" s="12"/>
      <c r="KU230" s="12"/>
      <c r="KV230" s="12"/>
      <c r="KW230" s="12"/>
      <c r="KX230" s="12"/>
      <c r="KY230" s="12"/>
      <c r="KZ230" s="12"/>
      <c r="LA230" s="12"/>
      <c r="LB230" s="12"/>
      <c r="LC230" s="12"/>
      <c r="LD230" s="12"/>
      <c r="LE230" s="12"/>
      <c r="LF230" s="12"/>
      <c r="LG230" s="12"/>
      <c r="LH230" s="12"/>
      <c r="LI230" s="12"/>
      <c r="LJ230" s="12"/>
      <c r="LK230" s="12"/>
      <c r="LL230" s="12"/>
      <c r="LM230" s="12"/>
      <c r="LN230" s="12"/>
      <c r="LO230" s="12"/>
      <c r="LP230" s="12"/>
      <c r="LQ230" s="12"/>
      <c r="LR230" s="12"/>
      <c r="LS230" s="12"/>
      <c r="LT230" s="12"/>
      <c r="LU230" s="12"/>
      <c r="LV230" s="12"/>
      <c r="LW230" s="12"/>
      <c r="LX230" s="12"/>
      <c r="LY230" s="12"/>
      <c r="LZ230" s="12"/>
      <c r="MA230" s="12"/>
      <c r="MB230" s="12"/>
      <c r="MC230" s="12"/>
      <c r="MD230" s="12"/>
      <c r="ME230" s="12"/>
      <c r="MF230" s="12"/>
      <c r="MG230" s="12"/>
      <c r="MH230" s="12"/>
      <c r="MI230" s="12"/>
      <c r="MJ230" s="12"/>
      <c r="MK230" s="12"/>
      <c r="ML230" s="12"/>
      <c r="MM230" s="12"/>
      <c r="MN230" s="12"/>
      <c r="MO230" s="12"/>
      <c r="MP230" s="12"/>
      <c r="MQ230" s="12"/>
      <c r="MR230" s="12"/>
      <c r="MS230" s="12"/>
      <c r="MT230" s="12"/>
      <c r="MU230" s="12"/>
      <c r="MV230" s="12"/>
      <c r="MW230" s="12"/>
      <c r="MX230" s="12"/>
      <c r="MY230" s="12"/>
      <c r="MZ230" s="12"/>
      <c r="NA230" s="12"/>
      <c r="NB230" s="12"/>
      <c r="NC230" s="12"/>
      <c r="ND230" s="12"/>
      <c r="NE230" s="12"/>
      <c r="NF230" s="12"/>
      <c r="NG230" s="12"/>
      <c r="NH230" s="12"/>
      <c r="NI230" s="12"/>
      <c r="NJ230" s="12"/>
      <c r="NK230" s="12"/>
      <c r="NL230" s="12"/>
      <c r="NM230" s="12"/>
      <c r="NN230" s="12"/>
      <c r="NO230" s="12"/>
      <c r="NP230" s="12"/>
      <c r="NQ230" s="12"/>
      <c r="NR230" s="12"/>
      <c r="NS230" s="12"/>
      <c r="NT230" s="12"/>
      <c r="NU230" s="12"/>
      <c r="NV230" s="12"/>
      <c r="NW230" s="12"/>
      <c r="NX230" s="12"/>
      <c r="NY230" s="12"/>
      <c r="NZ230" s="12"/>
      <c r="OA230" s="12"/>
      <c r="OB230" s="12"/>
      <c r="OC230" s="12"/>
      <c r="OD230" s="12"/>
      <c r="OE230" s="12"/>
      <c r="OF230" s="12"/>
      <c r="OG230" s="12"/>
      <c r="OH230" s="12"/>
      <c r="OI230" s="12"/>
      <c r="OJ230" s="12"/>
      <c r="OK230" s="12"/>
      <c r="OL230" s="12"/>
      <c r="OM230" s="12"/>
      <c r="ON230" s="12"/>
      <c r="OO230" s="12"/>
      <c r="OP230" s="12"/>
      <c r="OQ230" s="12"/>
      <c r="OR230" s="12"/>
      <c r="OS230" s="12"/>
      <c r="OT230" s="12"/>
      <c r="OU230" s="12"/>
      <c r="OV230" s="12"/>
      <c r="OW230" s="12"/>
      <c r="OX230" s="12"/>
      <c r="OY230" s="12"/>
      <c r="OZ230" s="12"/>
      <c r="PA230" s="12"/>
      <c r="PB230" s="12"/>
      <c r="PC230" s="12"/>
      <c r="PD230" s="12"/>
      <c r="PE230" s="12"/>
      <c r="PF230" s="12"/>
      <c r="PG230" s="12"/>
      <c r="PH230" s="12"/>
      <c r="PI230" s="12"/>
      <c r="PJ230" s="12"/>
      <c r="PK230" s="12"/>
      <c r="PL230" s="12"/>
      <c r="PM230" s="12"/>
      <c r="PN230" s="12"/>
      <c r="PO230" s="12"/>
      <c r="PP230" s="12"/>
      <c r="PQ230" s="12"/>
      <c r="PR230" s="12"/>
      <c r="PS230" s="12"/>
      <c r="PT230" s="12"/>
      <c r="PU230" s="12"/>
      <c r="PV230" s="12"/>
      <c r="PW230" s="12"/>
      <c r="PX230" s="12"/>
      <c r="PY230" s="12"/>
      <c r="PZ230" s="12"/>
      <c r="QA230" s="12"/>
      <c r="QB230" s="12"/>
      <c r="QC230" s="12"/>
      <c r="QD230" s="12"/>
      <c r="QE230" s="12"/>
      <c r="QF230" s="12"/>
      <c r="QG230" s="12"/>
      <c r="QH230" s="12"/>
      <c r="QI230" s="12"/>
      <c r="QJ230" s="12"/>
      <c r="QK230" s="12"/>
      <c r="QL230" s="12"/>
      <c r="QM230" s="12"/>
      <c r="QN230" s="12"/>
      <c r="QO230" s="12"/>
      <c r="QP230" s="12"/>
      <c r="QQ230" s="12"/>
      <c r="QR230" s="12"/>
      <c r="QS230" s="12"/>
      <c r="QT230" s="12"/>
      <c r="QU230" s="12"/>
      <c r="QV230" s="12"/>
      <c r="QW230" s="12"/>
      <c r="QX230" s="12"/>
      <c r="QY230" s="12"/>
      <c r="QZ230" s="12"/>
      <c r="RA230" s="12"/>
      <c r="RB230" s="12"/>
      <c r="RC230" s="12"/>
      <c r="RD230" s="12"/>
      <c r="RE230" s="12"/>
      <c r="RF230" s="12"/>
      <c r="RG230" s="12"/>
      <c r="RH230" s="12"/>
      <c r="RI230" s="12"/>
      <c r="RJ230" s="12"/>
      <c r="RK230" s="12"/>
      <c r="RL230" s="12"/>
      <c r="RM230" s="12"/>
      <c r="RN230" s="12"/>
      <c r="RO230" s="12"/>
      <c r="RP230" s="12"/>
      <c r="RQ230" s="12"/>
      <c r="RR230" s="12"/>
      <c r="RS230" s="12"/>
      <c r="RT230" s="12"/>
      <c r="RU230" s="12"/>
      <c r="RV230" s="12"/>
      <c r="RW230" s="12"/>
      <c r="RX230" s="12"/>
      <c r="RY230" s="12"/>
      <c r="RZ230" s="12"/>
      <c r="SA230" s="12"/>
      <c r="SB230" s="12"/>
      <c r="SC230" s="12"/>
      <c r="SD230" s="12"/>
      <c r="SE230" s="12"/>
      <c r="SF230" s="12"/>
      <c r="SG230" s="12"/>
      <c r="SH230" s="11"/>
      <c r="SI230" s="11"/>
      <c r="SJ230" s="11"/>
      <c r="SK230" s="11"/>
      <c r="SL230" s="11"/>
      <c r="SM230" s="11"/>
      <c r="SN230" s="11"/>
      <c r="SO230" s="11"/>
      <c r="SP230" s="11"/>
      <c r="SQ230" s="11"/>
      <c r="SR230" s="11"/>
      <c r="SS230" s="11"/>
      <c r="ST230" s="11"/>
      <c r="SU230" s="11"/>
      <c r="SV230" s="11"/>
      <c r="SW230" s="11"/>
      <c r="SX230" s="11"/>
      <c r="SY230" s="11"/>
      <c r="SZ230" s="11"/>
      <c r="TA230" s="11"/>
      <c r="TB230" s="11"/>
      <c r="TC230" s="11"/>
      <c r="TD230" s="11"/>
      <c r="TE230" s="11"/>
      <c r="TF230" s="11"/>
      <c r="TG230" s="11"/>
      <c r="TH230" s="11"/>
      <c r="TI230" s="11"/>
      <c r="TJ230" s="11"/>
      <c r="TK230" s="11"/>
      <c r="TL230" s="11"/>
    </row>
    <row r="231" spans="1:532" x14ac:dyDescent="0.2">
      <c r="A231" s="10" t="s">
        <v>230</v>
      </c>
      <c r="B231" s="12">
        <v>13.04</v>
      </c>
      <c r="C231" s="11">
        <v>0</v>
      </c>
      <c r="D231" s="11">
        <v>1.9403687739413908</v>
      </c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12"/>
      <c r="EP231" s="12"/>
      <c r="EQ231" s="12"/>
      <c r="ER231" s="12"/>
      <c r="ES231" s="12"/>
      <c r="ET231" s="12"/>
      <c r="EU231" s="12"/>
      <c r="EV231" s="12"/>
      <c r="EW231" s="12"/>
      <c r="EX231" s="12"/>
      <c r="EY231" s="12"/>
      <c r="EZ231" s="12"/>
      <c r="FA231" s="12"/>
      <c r="FB231" s="12"/>
      <c r="FC231" s="12"/>
      <c r="FD231" s="12"/>
      <c r="FE231" s="12"/>
      <c r="FF231" s="12"/>
      <c r="FG231" s="12"/>
      <c r="FH231" s="12"/>
      <c r="FI231" s="12"/>
      <c r="FJ231" s="12"/>
      <c r="FK231" s="12"/>
      <c r="FL231" s="12"/>
      <c r="FM231" s="12"/>
      <c r="FN231" s="12"/>
      <c r="FO231" s="12"/>
      <c r="FP231" s="12"/>
      <c r="FQ231" s="12"/>
      <c r="FR231" s="12"/>
      <c r="FS231" s="12"/>
      <c r="FT231" s="12"/>
      <c r="FU231" s="12"/>
      <c r="FV231" s="12"/>
      <c r="FW231" s="12"/>
      <c r="FX231" s="12"/>
      <c r="FY231" s="12"/>
      <c r="FZ231" s="12"/>
      <c r="GA231" s="12"/>
      <c r="GB231" s="12"/>
      <c r="GC231" s="12"/>
      <c r="GD231" s="12"/>
      <c r="GE231" s="12"/>
      <c r="GF231" s="12"/>
      <c r="GG231" s="12"/>
      <c r="GH231" s="12"/>
      <c r="GI231" s="12"/>
      <c r="GJ231" s="12"/>
      <c r="GK231" s="12"/>
      <c r="GL231" s="12"/>
      <c r="GM231" s="12"/>
      <c r="GN231" s="12"/>
      <c r="GO231" s="12"/>
      <c r="GP231" s="12"/>
      <c r="GQ231" s="12"/>
      <c r="GR231" s="12"/>
      <c r="GS231" s="12"/>
      <c r="GT231" s="12"/>
      <c r="GU231" s="12"/>
      <c r="GV231" s="12"/>
      <c r="GW231" s="12"/>
      <c r="GX231" s="12"/>
      <c r="GY231" s="12"/>
      <c r="GZ231" s="12"/>
      <c r="HA231" s="12"/>
      <c r="HB231" s="12"/>
      <c r="HC231" s="12"/>
      <c r="HD231" s="12"/>
      <c r="HE231" s="12"/>
      <c r="HF231" s="12"/>
      <c r="HG231" s="12"/>
      <c r="HH231" s="12"/>
      <c r="HI231" s="12"/>
      <c r="HJ231" s="12"/>
      <c r="HK231" s="12"/>
      <c r="HL231" s="12"/>
      <c r="HM231" s="12"/>
      <c r="HN231" s="12"/>
      <c r="HO231" s="12"/>
      <c r="HP231" s="12"/>
      <c r="HQ231" s="12"/>
      <c r="HR231" s="12"/>
      <c r="HS231" s="12"/>
      <c r="HT231" s="12"/>
      <c r="HU231" s="12"/>
      <c r="HV231" s="12"/>
      <c r="HW231" s="12"/>
      <c r="HX231" s="12"/>
      <c r="HY231" s="12"/>
      <c r="HZ231" s="12"/>
      <c r="IA231" s="12"/>
      <c r="IB231" s="12"/>
      <c r="IC231" s="12"/>
      <c r="ID231" s="12"/>
      <c r="IE231" s="12"/>
      <c r="IF231" s="12"/>
      <c r="IG231" s="12"/>
      <c r="IH231" s="12"/>
      <c r="II231" s="12"/>
      <c r="IJ231" s="12"/>
      <c r="IK231" s="12"/>
      <c r="IL231" s="12"/>
      <c r="IM231" s="12"/>
      <c r="IN231" s="12"/>
      <c r="IO231" s="12"/>
      <c r="IP231" s="12"/>
      <c r="IQ231" s="12"/>
      <c r="IR231" s="12"/>
      <c r="IS231" s="12"/>
      <c r="IT231" s="12"/>
      <c r="IU231" s="12"/>
      <c r="IV231" s="12"/>
      <c r="IW231" s="12"/>
      <c r="IX231" s="12"/>
      <c r="IY231" s="12"/>
      <c r="IZ231" s="12"/>
      <c r="JA231" s="12"/>
      <c r="JB231" s="12"/>
      <c r="JC231" s="12"/>
      <c r="JD231" s="12"/>
      <c r="JE231" s="12"/>
      <c r="JF231" s="12"/>
      <c r="JG231" s="12"/>
      <c r="JH231" s="12"/>
      <c r="JI231" s="12"/>
      <c r="JJ231" s="12"/>
      <c r="JK231" s="12"/>
      <c r="JL231" s="12"/>
      <c r="JM231" s="12"/>
      <c r="JN231" s="12"/>
      <c r="JO231" s="12"/>
      <c r="JP231" s="12"/>
      <c r="JQ231" s="12"/>
      <c r="JR231" s="12"/>
      <c r="JS231" s="12"/>
      <c r="JT231" s="12"/>
      <c r="JU231" s="12"/>
      <c r="JV231" s="12"/>
      <c r="JW231" s="12"/>
      <c r="JX231" s="12"/>
      <c r="JY231" s="12"/>
      <c r="JZ231" s="12"/>
      <c r="KA231" s="12"/>
      <c r="KB231" s="12"/>
      <c r="KC231" s="12"/>
      <c r="KD231" s="12"/>
      <c r="KE231" s="12"/>
      <c r="KF231" s="12"/>
      <c r="KG231" s="12"/>
      <c r="KH231" s="12"/>
      <c r="KI231" s="12"/>
      <c r="KJ231" s="12"/>
      <c r="KK231" s="12"/>
      <c r="KL231" s="12"/>
      <c r="KM231" s="12"/>
      <c r="KN231" s="12"/>
      <c r="KO231" s="12"/>
      <c r="KP231" s="12"/>
      <c r="KQ231" s="12"/>
      <c r="KR231" s="12"/>
      <c r="KS231" s="12"/>
      <c r="KT231" s="12"/>
      <c r="KU231" s="12"/>
      <c r="KV231" s="12"/>
      <c r="KW231" s="12"/>
      <c r="KX231" s="12"/>
      <c r="KY231" s="12"/>
      <c r="KZ231" s="12"/>
      <c r="LA231" s="12"/>
      <c r="LB231" s="12"/>
      <c r="LC231" s="12"/>
      <c r="LD231" s="12"/>
      <c r="LE231" s="12"/>
      <c r="LF231" s="12"/>
      <c r="LG231" s="12"/>
      <c r="LH231" s="12"/>
      <c r="LI231" s="12"/>
      <c r="LJ231" s="12"/>
      <c r="LK231" s="12"/>
      <c r="LL231" s="12"/>
      <c r="LM231" s="12"/>
      <c r="LN231" s="12"/>
      <c r="LO231" s="12"/>
      <c r="LP231" s="12"/>
      <c r="LQ231" s="12"/>
      <c r="LR231" s="12"/>
      <c r="LS231" s="12"/>
      <c r="LT231" s="12"/>
      <c r="LU231" s="12"/>
      <c r="LV231" s="12"/>
      <c r="LW231" s="12"/>
      <c r="LX231" s="12"/>
      <c r="LY231" s="12"/>
      <c r="LZ231" s="12"/>
      <c r="MA231" s="12"/>
      <c r="MB231" s="12"/>
      <c r="MC231" s="12"/>
      <c r="MD231" s="12"/>
      <c r="ME231" s="12"/>
      <c r="MF231" s="12"/>
      <c r="MG231" s="12"/>
      <c r="MH231" s="12"/>
      <c r="MI231" s="12"/>
      <c r="MJ231" s="12"/>
      <c r="MK231" s="12"/>
      <c r="ML231" s="12"/>
      <c r="MM231" s="12"/>
      <c r="MN231" s="12"/>
      <c r="MO231" s="12"/>
      <c r="MP231" s="12"/>
      <c r="MQ231" s="12"/>
      <c r="MR231" s="12"/>
      <c r="MS231" s="12"/>
      <c r="MT231" s="12"/>
      <c r="MU231" s="12"/>
      <c r="MV231" s="12"/>
      <c r="MW231" s="12"/>
      <c r="MX231" s="12"/>
      <c r="MY231" s="12"/>
      <c r="MZ231" s="12"/>
      <c r="NA231" s="12"/>
      <c r="NB231" s="12"/>
      <c r="NC231" s="12"/>
      <c r="ND231" s="12"/>
      <c r="NE231" s="12"/>
      <c r="NF231" s="12"/>
      <c r="NG231" s="12"/>
      <c r="NH231" s="12"/>
      <c r="NI231" s="12"/>
      <c r="NJ231" s="12"/>
      <c r="NK231" s="12"/>
      <c r="NL231" s="12"/>
      <c r="NM231" s="12"/>
      <c r="NN231" s="12"/>
      <c r="NO231" s="12"/>
      <c r="NP231" s="12"/>
      <c r="NQ231" s="12"/>
      <c r="NR231" s="12"/>
      <c r="NS231" s="12"/>
      <c r="NT231" s="12"/>
      <c r="NU231" s="12"/>
      <c r="NV231" s="12"/>
      <c r="NW231" s="12"/>
      <c r="NX231" s="12"/>
      <c r="NY231" s="12"/>
      <c r="NZ231" s="12"/>
      <c r="OA231" s="12"/>
      <c r="OB231" s="12"/>
      <c r="OC231" s="12"/>
      <c r="OD231" s="12"/>
      <c r="OE231" s="12"/>
      <c r="OF231" s="12"/>
      <c r="OG231" s="12"/>
      <c r="OH231" s="12"/>
      <c r="OI231" s="12"/>
      <c r="OJ231" s="12"/>
      <c r="OK231" s="12"/>
      <c r="OL231" s="12"/>
      <c r="OM231" s="12"/>
      <c r="ON231" s="12"/>
      <c r="OO231" s="12"/>
      <c r="OP231" s="12"/>
      <c r="OQ231" s="12"/>
      <c r="OR231" s="12"/>
      <c r="OS231" s="12"/>
      <c r="OT231" s="12"/>
      <c r="OU231" s="12"/>
      <c r="OV231" s="12"/>
      <c r="OW231" s="12"/>
      <c r="OX231" s="12"/>
      <c r="OY231" s="12"/>
      <c r="OZ231" s="12"/>
      <c r="PA231" s="12"/>
      <c r="PB231" s="12"/>
      <c r="PC231" s="12"/>
      <c r="PD231" s="12"/>
      <c r="PE231" s="12"/>
      <c r="PF231" s="12"/>
      <c r="PG231" s="12"/>
      <c r="PH231" s="12"/>
      <c r="PI231" s="12"/>
      <c r="PJ231" s="12"/>
      <c r="PK231" s="12"/>
      <c r="PL231" s="12"/>
      <c r="PM231" s="12"/>
      <c r="PN231" s="12"/>
      <c r="PO231" s="12"/>
      <c r="PP231" s="12"/>
      <c r="PQ231" s="12"/>
      <c r="PR231" s="12"/>
      <c r="PS231" s="12"/>
      <c r="PT231" s="12"/>
      <c r="PU231" s="12"/>
      <c r="PV231" s="12"/>
      <c r="PW231" s="12"/>
      <c r="PX231" s="12"/>
      <c r="PY231" s="12"/>
      <c r="PZ231" s="12"/>
      <c r="QA231" s="12"/>
      <c r="QB231" s="12"/>
      <c r="QC231" s="12"/>
      <c r="QD231" s="12"/>
      <c r="QE231" s="12"/>
      <c r="QF231" s="12"/>
      <c r="QG231" s="12"/>
      <c r="QH231" s="12"/>
      <c r="QI231" s="12"/>
      <c r="QJ231" s="12"/>
      <c r="QK231" s="12"/>
      <c r="QL231" s="12"/>
      <c r="QM231" s="12"/>
      <c r="QN231" s="12"/>
      <c r="QO231" s="12"/>
      <c r="QP231" s="12"/>
      <c r="QQ231" s="12"/>
      <c r="QR231" s="12"/>
      <c r="QS231" s="12"/>
      <c r="QT231" s="12"/>
      <c r="QU231" s="12"/>
      <c r="QV231" s="12"/>
      <c r="QW231" s="12"/>
      <c r="QX231" s="12"/>
      <c r="QY231" s="12"/>
      <c r="QZ231" s="12"/>
      <c r="RA231" s="12"/>
      <c r="RB231" s="12"/>
      <c r="RC231" s="12"/>
      <c r="RD231" s="12"/>
      <c r="RE231" s="12"/>
      <c r="RF231" s="12"/>
      <c r="RG231" s="12"/>
      <c r="RH231" s="12"/>
      <c r="RI231" s="12"/>
      <c r="RJ231" s="12"/>
      <c r="RK231" s="12"/>
      <c r="RL231" s="12"/>
      <c r="RM231" s="12"/>
      <c r="RN231" s="12"/>
      <c r="RO231" s="12"/>
      <c r="RP231" s="12"/>
      <c r="RQ231" s="12"/>
      <c r="RR231" s="12"/>
      <c r="RS231" s="12"/>
      <c r="RT231" s="12"/>
      <c r="RU231" s="12"/>
      <c r="RV231" s="12"/>
      <c r="RW231" s="12"/>
      <c r="RX231" s="12"/>
      <c r="RY231" s="12"/>
      <c r="RZ231" s="12"/>
      <c r="SA231" s="12"/>
      <c r="SB231" s="12"/>
      <c r="SC231" s="12"/>
      <c r="SD231" s="12"/>
      <c r="SE231" s="12"/>
      <c r="SF231" s="12"/>
      <c r="SG231" s="12"/>
      <c r="SH231" s="11"/>
      <c r="SI231" s="11"/>
      <c r="SJ231" s="11"/>
      <c r="SK231" s="11"/>
      <c r="SL231" s="11"/>
      <c r="SM231" s="11"/>
      <c r="SN231" s="11"/>
      <c r="SO231" s="11"/>
      <c r="SP231" s="11"/>
      <c r="SQ231" s="11"/>
      <c r="SR231" s="11"/>
      <c r="SS231" s="11"/>
      <c r="ST231" s="11"/>
      <c r="SU231" s="11"/>
      <c r="SV231" s="11"/>
      <c r="SW231" s="11"/>
      <c r="SX231" s="11"/>
      <c r="SY231" s="11"/>
      <c r="SZ231" s="11"/>
      <c r="TA231" s="11"/>
      <c r="TB231" s="11"/>
      <c r="TC231" s="11"/>
      <c r="TD231" s="11"/>
      <c r="TE231" s="11"/>
      <c r="TF231" s="11"/>
      <c r="TG231" s="11"/>
      <c r="TH231" s="11"/>
      <c r="TI231" s="11"/>
      <c r="TJ231" s="11"/>
      <c r="TK231" s="11"/>
      <c r="TL231" s="11"/>
    </row>
    <row r="232" spans="1:532" x14ac:dyDescent="0.2">
      <c r="A232" s="10" t="s">
        <v>231</v>
      </c>
      <c r="B232" s="12">
        <v>13.4</v>
      </c>
      <c r="C232" s="11">
        <v>0</v>
      </c>
      <c r="D232" s="11">
        <v>1.5839745093399111</v>
      </c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12"/>
      <c r="EP232" s="12"/>
      <c r="EQ232" s="12"/>
      <c r="ER232" s="12"/>
      <c r="ES232" s="12"/>
      <c r="ET232" s="12"/>
      <c r="EU232" s="12"/>
      <c r="EV232" s="12"/>
      <c r="EW232" s="12"/>
      <c r="EX232" s="12"/>
      <c r="EY232" s="12"/>
      <c r="EZ232" s="12"/>
      <c r="FA232" s="12"/>
      <c r="FB232" s="12"/>
      <c r="FC232" s="12"/>
      <c r="FD232" s="12"/>
      <c r="FE232" s="12"/>
      <c r="FF232" s="12"/>
      <c r="FG232" s="12"/>
      <c r="FH232" s="12"/>
      <c r="FI232" s="12"/>
      <c r="FJ232" s="12"/>
      <c r="FK232" s="12"/>
      <c r="FL232" s="12"/>
      <c r="FM232" s="12"/>
      <c r="FN232" s="12"/>
      <c r="FO232" s="12"/>
      <c r="FP232" s="12"/>
      <c r="FQ232" s="12"/>
      <c r="FR232" s="12"/>
      <c r="FS232" s="12"/>
      <c r="FT232" s="12"/>
      <c r="FU232" s="12"/>
      <c r="FV232" s="12"/>
      <c r="FW232" s="12"/>
      <c r="FX232" s="12"/>
      <c r="FY232" s="12"/>
      <c r="FZ232" s="12"/>
      <c r="GA232" s="12"/>
      <c r="GB232" s="12"/>
      <c r="GC232" s="12"/>
      <c r="GD232" s="12"/>
      <c r="GE232" s="12"/>
      <c r="GF232" s="12"/>
      <c r="GG232" s="12"/>
      <c r="GH232" s="12"/>
      <c r="GI232" s="12"/>
      <c r="GJ232" s="12"/>
      <c r="GK232" s="12"/>
      <c r="GL232" s="12"/>
      <c r="GM232" s="12"/>
      <c r="GN232" s="12"/>
      <c r="GO232" s="12"/>
      <c r="GP232" s="12"/>
      <c r="GQ232" s="12"/>
      <c r="GR232" s="12"/>
      <c r="GS232" s="12"/>
      <c r="GT232" s="12"/>
      <c r="GU232" s="12"/>
      <c r="GV232" s="12"/>
      <c r="GW232" s="12"/>
      <c r="GX232" s="12"/>
      <c r="GY232" s="12"/>
      <c r="GZ232" s="12"/>
      <c r="HA232" s="12"/>
      <c r="HB232" s="12"/>
      <c r="HC232" s="12"/>
      <c r="HD232" s="12"/>
      <c r="HE232" s="12"/>
      <c r="HF232" s="12"/>
      <c r="HG232" s="12"/>
      <c r="HH232" s="12"/>
      <c r="HI232" s="12"/>
      <c r="HJ232" s="12"/>
      <c r="HK232" s="12"/>
      <c r="HL232" s="12"/>
      <c r="HM232" s="12"/>
      <c r="HN232" s="12"/>
      <c r="HO232" s="12"/>
      <c r="HP232" s="12"/>
      <c r="HQ232" s="12"/>
      <c r="HR232" s="12"/>
      <c r="HS232" s="12"/>
      <c r="HT232" s="12"/>
      <c r="HU232" s="12"/>
      <c r="HV232" s="12"/>
      <c r="HW232" s="12"/>
      <c r="HX232" s="12"/>
      <c r="HY232" s="12"/>
      <c r="HZ232" s="12"/>
      <c r="IA232" s="12"/>
      <c r="IB232" s="12"/>
      <c r="IC232" s="12"/>
      <c r="ID232" s="12"/>
      <c r="IE232" s="12"/>
      <c r="IF232" s="12"/>
      <c r="IG232" s="12"/>
      <c r="IH232" s="12"/>
      <c r="II232" s="12"/>
      <c r="IJ232" s="12"/>
      <c r="IK232" s="12"/>
      <c r="IL232" s="12"/>
      <c r="IM232" s="12"/>
      <c r="IN232" s="12"/>
      <c r="IO232" s="12"/>
      <c r="IP232" s="12"/>
      <c r="IQ232" s="12"/>
      <c r="IR232" s="12"/>
      <c r="IS232" s="12"/>
      <c r="IT232" s="12"/>
      <c r="IU232" s="12"/>
      <c r="IV232" s="12"/>
      <c r="IW232" s="12"/>
      <c r="IX232" s="12"/>
      <c r="IY232" s="12"/>
      <c r="IZ232" s="12"/>
      <c r="JA232" s="12"/>
      <c r="JB232" s="12"/>
      <c r="JC232" s="12"/>
      <c r="JD232" s="12"/>
      <c r="JE232" s="12"/>
      <c r="JF232" s="12"/>
      <c r="JG232" s="12"/>
      <c r="JH232" s="12"/>
      <c r="JI232" s="12"/>
      <c r="JJ232" s="12"/>
      <c r="JK232" s="12"/>
      <c r="JL232" s="12"/>
      <c r="JM232" s="12"/>
      <c r="JN232" s="12"/>
      <c r="JO232" s="12"/>
      <c r="JP232" s="12"/>
      <c r="JQ232" s="12"/>
      <c r="JR232" s="12"/>
      <c r="JS232" s="12"/>
      <c r="JT232" s="12"/>
      <c r="JU232" s="12"/>
      <c r="JV232" s="12"/>
      <c r="JW232" s="12"/>
      <c r="JX232" s="12"/>
      <c r="JY232" s="12"/>
      <c r="JZ232" s="12"/>
      <c r="KA232" s="12"/>
      <c r="KB232" s="12"/>
      <c r="KC232" s="12"/>
      <c r="KD232" s="12"/>
      <c r="KE232" s="12"/>
      <c r="KF232" s="12"/>
      <c r="KG232" s="12"/>
      <c r="KH232" s="12"/>
      <c r="KI232" s="12"/>
      <c r="KJ232" s="12"/>
      <c r="KK232" s="12"/>
      <c r="KL232" s="12"/>
      <c r="KM232" s="12"/>
      <c r="KN232" s="12"/>
      <c r="KO232" s="12"/>
      <c r="KP232" s="12"/>
      <c r="KQ232" s="12"/>
      <c r="KR232" s="12"/>
      <c r="KS232" s="12"/>
      <c r="KT232" s="12"/>
      <c r="KU232" s="12"/>
      <c r="KV232" s="12"/>
      <c r="KW232" s="12"/>
      <c r="KX232" s="12"/>
      <c r="KY232" s="12"/>
      <c r="KZ232" s="12"/>
      <c r="LA232" s="12"/>
      <c r="LB232" s="12"/>
      <c r="LC232" s="12"/>
      <c r="LD232" s="12"/>
      <c r="LE232" s="12"/>
      <c r="LF232" s="12"/>
      <c r="LG232" s="12"/>
      <c r="LH232" s="12"/>
      <c r="LI232" s="12"/>
      <c r="LJ232" s="12"/>
      <c r="LK232" s="12"/>
      <c r="LL232" s="12"/>
      <c r="LM232" s="12"/>
      <c r="LN232" s="12"/>
      <c r="LO232" s="12"/>
      <c r="LP232" s="12"/>
      <c r="LQ232" s="12"/>
      <c r="LR232" s="12"/>
      <c r="LS232" s="12"/>
      <c r="LT232" s="12"/>
      <c r="LU232" s="12"/>
      <c r="LV232" s="12"/>
      <c r="LW232" s="12"/>
      <c r="LX232" s="12"/>
      <c r="LY232" s="12"/>
      <c r="LZ232" s="12"/>
      <c r="MA232" s="12"/>
      <c r="MB232" s="12"/>
      <c r="MC232" s="12"/>
      <c r="MD232" s="12"/>
      <c r="ME232" s="12"/>
      <c r="MF232" s="12"/>
      <c r="MG232" s="12"/>
      <c r="MH232" s="12"/>
      <c r="MI232" s="12"/>
      <c r="MJ232" s="12"/>
      <c r="MK232" s="12"/>
      <c r="ML232" s="12"/>
      <c r="MM232" s="12"/>
      <c r="MN232" s="12"/>
      <c r="MO232" s="12"/>
      <c r="MP232" s="12"/>
      <c r="MQ232" s="12"/>
      <c r="MR232" s="12"/>
      <c r="MS232" s="12"/>
      <c r="MT232" s="12"/>
      <c r="MU232" s="12"/>
      <c r="MV232" s="12"/>
      <c r="MW232" s="12"/>
      <c r="MX232" s="12"/>
      <c r="MY232" s="12"/>
      <c r="MZ232" s="12"/>
      <c r="NA232" s="12"/>
      <c r="NB232" s="12"/>
      <c r="NC232" s="12"/>
      <c r="ND232" s="12"/>
      <c r="NE232" s="12"/>
      <c r="NF232" s="12"/>
      <c r="NG232" s="12"/>
      <c r="NH232" s="12"/>
      <c r="NI232" s="12"/>
      <c r="NJ232" s="12"/>
      <c r="NK232" s="12"/>
      <c r="NL232" s="12"/>
      <c r="NM232" s="12"/>
      <c r="NN232" s="12"/>
      <c r="NO232" s="12"/>
      <c r="NP232" s="12"/>
      <c r="NQ232" s="12"/>
      <c r="NR232" s="12"/>
      <c r="NS232" s="12"/>
      <c r="NT232" s="12"/>
      <c r="NU232" s="12"/>
      <c r="NV232" s="12"/>
      <c r="NW232" s="12"/>
      <c r="NX232" s="12"/>
      <c r="NY232" s="12"/>
      <c r="NZ232" s="12"/>
      <c r="OA232" s="12"/>
      <c r="OB232" s="12"/>
      <c r="OC232" s="12"/>
      <c r="OD232" s="12"/>
      <c r="OE232" s="12"/>
      <c r="OF232" s="12"/>
      <c r="OG232" s="12"/>
      <c r="OH232" s="12"/>
      <c r="OI232" s="12"/>
      <c r="OJ232" s="12"/>
      <c r="OK232" s="12"/>
      <c r="OL232" s="12"/>
      <c r="OM232" s="12"/>
      <c r="ON232" s="12"/>
      <c r="OO232" s="12"/>
      <c r="OP232" s="12"/>
      <c r="OQ232" s="12"/>
      <c r="OR232" s="12"/>
      <c r="OS232" s="12"/>
      <c r="OT232" s="12"/>
      <c r="OU232" s="12"/>
      <c r="OV232" s="12"/>
      <c r="OW232" s="12"/>
      <c r="OX232" s="12"/>
      <c r="OY232" s="12"/>
      <c r="OZ232" s="12"/>
      <c r="PA232" s="12"/>
      <c r="PB232" s="12"/>
      <c r="PC232" s="12"/>
      <c r="PD232" s="12"/>
      <c r="PE232" s="12"/>
      <c r="PF232" s="12"/>
      <c r="PG232" s="12"/>
      <c r="PH232" s="12"/>
      <c r="PI232" s="12"/>
      <c r="PJ232" s="12"/>
      <c r="PK232" s="12"/>
      <c r="PL232" s="12"/>
      <c r="PM232" s="12"/>
      <c r="PN232" s="12"/>
      <c r="PO232" s="12"/>
      <c r="PP232" s="12"/>
      <c r="PQ232" s="12"/>
      <c r="PR232" s="12"/>
      <c r="PS232" s="12"/>
      <c r="PT232" s="12"/>
      <c r="PU232" s="12"/>
      <c r="PV232" s="12"/>
      <c r="PW232" s="12"/>
      <c r="PX232" s="12"/>
      <c r="PY232" s="12"/>
      <c r="PZ232" s="12"/>
      <c r="QA232" s="12"/>
      <c r="QB232" s="12"/>
      <c r="QC232" s="12"/>
      <c r="QD232" s="12"/>
      <c r="QE232" s="12"/>
      <c r="QF232" s="12"/>
      <c r="QG232" s="12"/>
      <c r="QH232" s="12"/>
      <c r="QI232" s="12"/>
      <c r="QJ232" s="12"/>
      <c r="QK232" s="12"/>
      <c r="QL232" s="12"/>
      <c r="QM232" s="12"/>
      <c r="QN232" s="12"/>
      <c r="QO232" s="12"/>
      <c r="QP232" s="12"/>
      <c r="QQ232" s="12"/>
      <c r="QR232" s="12"/>
      <c r="QS232" s="12"/>
      <c r="QT232" s="12"/>
      <c r="QU232" s="12"/>
      <c r="QV232" s="12"/>
      <c r="QW232" s="12"/>
      <c r="QX232" s="12"/>
      <c r="QY232" s="12"/>
      <c r="QZ232" s="12"/>
      <c r="RA232" s="12"/>
      <c r="RB232" s="12"/>
      <c r="RC232" s="12"/>
      <c r="RD232" s="12"/>
      <c r="RE232" s="12"/>
      <c r="RF232" s="12"/>
      <c r="RG232" s="12"/>
      <c r="RH232" s="12"/>
      <c r="RI232" s="12"/>
      <c r="RJ232" s="12"/>
      <c r="RK232" s="12"/>
      <c r="RL232" s="12"/>
      <c r="RM232" s="12"/>
      <c r="RN232" s="12"/>
      <c r="RO232" s="12"/>
      <c r="RP232" s="12"/>
      <c r="RQ232" s="12"/>
      <c r="RR232" s="12"/>
      <c r="RS232" s="12"/>
      <c r="RT232" s="12"/>
      <c r="RU232" s="12"/>
      <c r="RV232" s="12"/>
      <c r="RW232" s="12"/>
      <c r="RX232" s="12"/>
      <c r="RY232" s="12"/>
      <c r="RZ232" s="12"/>
      <c r="SA232" s="12"/>
      <c r="SB232" s="12"/>
      <c r="SC232" s="12"/>
      <c r="SD232" s="12"/>
      <c r="SE232" s="12"/>
      <c r="SF232" s="12"/>
      <c r="SG232" s="12"/>
      <c r="SH232" s="11"/>
      <c r="SI232" s="11"/>
      <c r="SJ232" s="11"/>
      <c r="SK232" s="11"/>
      <c r="SL232" s="11"/>
      <c r="SM232" s="11"/>
      <c r="SN232" s="11"/>
      <c r="SO232" s="11"/>
      <c r="SP232" s="11"/>
      <c r="SQ232" s="11"/>
      <c r="SR232" s="11"/>
      <c r="SS232" s="11"/>
      <c r="ST232" s="11"/>
      <c r="SU232" s="11"/>
      <c r="SV232" s="11"/>
      <c r="SW232" s="11"/>
      <c r="SX232" s="11"/>
      <c r="SY232" s="11"/>
      <c r="SZ232" s="11"/>
      <c r="TA232" s="11"/>
      <c r="TB232" s="11"/>
      <c r="TC232" s="11"/>
      <c r="TD232" s="11"/>
      <c r="TE232" s="11"/>
      <c r="TF232" s="11"/>
      <c r="TG232" s="11"/>
      <c r="TH232" s="11"/>
      <c r="TI232" s="11"/>
      <c r="TJ232" s="11"/>
      <c r="TK232" s="11"/>
      <c r="TL232" s="11"/>
    </row>
    <row r="233" spans="1:532" x14ac:dyDescent="0.2">
      <c r="A233" s="10" t="s">
        <v>232</v>
      </c>
      <c r="B233" s="12">
        <v>14.82</v>
      </c>
      <c r="C233" s="11">
        <v>0</v>
      </c>
      <c r="D233" s="11">
        <v>0.17819713230073997</v>
      </c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12"/>
      <c r="CV233" s="12"/>
      <c r="CW233" s="12"/>
      <c r="CX233" s="12"/>
      <c r="CY233" s="12"/>
      <c r="CZ233" s="12"/>
      <c r="DA233" s="12"/>
      <c r="DB233" s="12"/>
      <c r="DC233" s="12"/>
      <c r="DD233" s="12"/>
      <c r="DE233" s="12"/>
      <c r="DF233" s="12"/>
      <c r="DG233" s="12"/>
      <c r="DH233" s="12"/>
      <c r="DI233" s="12"/>
      <c r="DJ233" s="12"/>
      <c r="DK233" s="12"/>
      <c r="DL233" s="12"/>
      <c r="DM233" s="12"/>
      <c r="DN233" s="12"/>
      <c r="DO233" s="12"/>
      <c r="DP233" s="12"/>
      <c r="DQ233" s="12"/>
      <c r="DR233" s="12"/>
      <c r="DS233" s="12"/>
      <c r="DT233" s="12"/>
      <c r="DU233" s="12"/>
      <c r="DV233" s="12"/>
      <c r="DW233" s="12"/>
      <c r="DX233" s="12"/>
      <c r="DY233" s="12"/>
      <c r="DZ233" s="12"/>
      <c r="EA233" s="12"/>
      <c r="EB233" s="12"/>
      <c r="EC233" s="12"/>
      <c r="ED233" s="12"/>
      <c r="EE233" s="12"/>
      <c r="EF233" s="12"/>
      <c r="EG233" s="12"/>
      <c r="EH233" s="12"/>
      <c r="EI233" s="12"/>
      <c r="EJ233" s="12"/>
      <c r="EK233" s="12"/>
      <c r="EL233" s="12"/>
      <c r="EM233" s="12"/>
      <c r="EN233" s="12"/>
      <c r="EO233" s="12"/>
      <c r="EP233" s="12"/>
      <c r="EQ233" s="12"/>
      <c r="ER233" s="12"/>
      <c r="ES233" s="12"/>
      <c r="ET233" s="12"/>
      <c r="EU233" s="12"/>
      <c r="EV233" s="12"/>
      <c r="EW233" s="12"/>
      <c r="EX233" s="12"/>
      <c r="EY233" s="12"/>
      <c r="EZ233" s="12"/>
      <c r="FA233" s="12"/>
      <c r="FB233" s="12"/>
      <c r="FC233" s="12"/>
      <c r="FD233" s="12"/>
      <c r="FE233" s="12"/>
      <c r="FF233" s="12"/>
      <c r="FG233" s="12"/>
      <c r="FH233" s="12"/>
      <c r="FI233" s="12"/>
      <c r="FJ233" s="12"/>
      <c r="FK233" s="12"/>
      <c r="FL233" s="12"/>
      <c r="FM233" s="12"/>
      <c r="FN233" s="12"/>
      <c r="FO233" s="12"/>
      <c r="FP233" s="12"/>
      <c r="FQ233" s="12"/>
      <c r="FR233" s="12"/>
      <c r="FS233" s="12"/>
      <c r="FT233" s="12"/>
      <c r="FU233" s="12"/>
      <c r="FV233" s="12"/>
      <c r="FW233" s="12"/>
      <c r="FX233" s="12"/>
      <c r="FY233" s="12"/>
      <c r="FZ233" s="12"/>
      <c r="GA233" s="12"/>
      <c r="GB233" s="12"/>
      <c r="GC233" s="12"/>
      <c r="GD233" s="12"/>
      <c r="GE233" s="12"/>
      <c r="GF233" s="12"/>
      <c r="GG233" s="12"/>
      <c r="GH233" s="12"/>
      <c r="GI233" s="12"/>
      <c r="GJ233" s="12"/>
      <c r="GK233" s="12"/>
      <c r="GL233" s="12"/>
      <c r="GM233" s="12"/>
      <c r="GN233" s="12"/>
      <c r="GO233" s="12"/>
      <c r="GP233" s="12"/>
      <c r="GQ233" s="12"/>
      <c r="GR233" s="12"/>
      <c r="GS233" s="12"/>
      <c r="GT233" s="12"/>
      <c r="GU233" s="12"/>
      <c r="GV233" s="12"/>
      <c r="GW233" s="12"/>
      <c r="GX233" s="12"/>
      <c r="GY233" s="12"/>
      <c r="GZ233" s="12"/>
      <c r="HA233" s="12"/>
      <c r="HB233" s="12"/>
      <c r="HC233" s="12"/>
      <c r="HD233" s="12"/>
      <c r="HE233" s="12"/>
      <c r="HF233" s="12"/>
      <c r="HG233" s="12"/>
      <c r="HH233" s="12"/>
      <c r="HI233" s="12"/>
      <c r="HJ233" s="12"/>
      <c r="HK233" s="12"/>
      <c r="HL233" s="12"/>
      <c r="HM233" s="12"/>
      <c r="HN233" s="12"/>
      <c r="HO233" s="12"/>
      <c r="HP233" s="12"/>
      <c r="HQ233" s="12"/>
      <c r="HR233" s="12"/>
      <c r="HS233" s="12"/>
      <c r="HT233" s="12"/>
      <c r="HU233" s="12"/>
      <c r="HV233" s="12"/>
      <c r="HW233" s="12"/>
      <c r="HX233" s="12"/>
      <c r="HY233" s="12"/>
      <c r="HZ233" s="12"/>
      <c r="IA233" s="12"/>
      <c r="IB233" s="12"/>
      <c r="IC233" s="12"/>
      <c r="ID233" s="12"/>
      <c r="IE233" s="12"/>
      <c r="IF233" s="12"/>
      <c r="IG233" s="12"/>
      <c r="IH233" s="12"/>
      <c r="II233" s="12"/>
      <c r="IJ233" s="12"/>
      <c r="IK233" s="12"/>
      <c r="IL233" s="12"/>
      <c r="IM233" s="12"/>
      <c r="IN233" s="12"/>
      <c r="IO233" s="12"/>
      <c r="IP233" s="12"/>
      <c r="IQ233" s="12"/>
      <c r="IR233" s="12"/>
      <c r="IS233" s="12"/>
      <c r="IT233" s="12"/>
      <c r="IU233" s="12"/>
      <c r="IV233" s="12"/>
      <c r="IW233" s="12"/>
      <c r="IX233" s="12"/>
      <c r="IY233" s="12"/>
      <c r="IZ233" s="12"/>
      <c r="JA233" s="12"/>
      <c r="JB233" s="12"/>
      <c r="JC233" s="12"/>
      <c r="JD233" s="12"/>
      <c r="JE233" s="12"/>
      <c r="JF233" s="12"/>
      <c r="JG233" s="12"/>
      <c r="JH233" s="12"/>
      <c r="JI233" s="12"/>
      <c r="JJ233" s="12"/>
      <c r="JK233" s="12"/>
      <c r="JL233" s="12"/>
      <c r="JM233" s="12"/>
      <c r="JN233" s="12"/>
      <c r="JO233" s="12"/>
      <c r="JP233" s="12"/>
      <c r="JQ233" s="12"/>
      <c r="JR233" s="12"/>
      <c r="JS233" s="12"/>
      <c r="JT233" s="12"/>
      <c r="JU233" s="12"/>
      <c r="JV233" s="12"/>
      <c r="JW233" s="12"/>
      <c r="JX233" s="12"/>
      <c r="JY233" s="12"/>
      <c r="JZ233" s="12"/>
      <c r="KA233" s="12"/>
      <c r="KB233" s="12"/>
      <c r="KC233" s="12"/>
      <c r="KD233" s="12"/>
      <c r="KE233" s="12"/>
      <c r="KF233" s="12"/>
      <c r="KG233" s="12"/>
      <c r="KH233" s="12"/>
      <c r="KI233" s="12"/>
      <c r="KJ233" s="12"/>
      <c r="KK233" s="12"/>
      <c r="KL233" s="12"/>
      <c r="KM233" s="12"/>
      <c r="KN233" s="12"/>
      <c r="KO233" s="12"/>
      <c r="KP233" s="12"/>
      <c r="KQ233" s="12"/>
      <c r="KR233" s="12"/>
      <c r="KS233" s="12"/>
      <c r="KT233" s="12"/>
      <c r="KU233" s="12"/>
      <c r="KV233" s="12"/>
      <c r="KW233" s="12"/>
      <c r="KX233" s="12"/>
      <c r="KY233" s="12"/>
      <c r="KZ233" s="12"/>
      <c r="LA233" s="12"/>
      <c r="LB233" s="12"/>
      <c r="LC233" s="12"/>
      <c r="LD233" s="12"/>
      <c r="LE233" s="12"/>
      <c r="LF233" s="12"/>
      <c r="LG233" s="12"/>
      <c r="LH233" s="12"/>
      <c r="LI233" s="12"/>
      <c r="LJ233" s="12"/>
      <c r="LK233" s="12"/>
      <c r="LL233" s="12"/>
      <c r="LM233" s="12"/>
      <c r="LN233" s="12"/>
      <c r="LO233" s="12"/>
      <c r="LP233" s="12"/>
      <c r="LQ233" s="12"/>
      <c r="LR233" s="12"/>
      <c r="LS233" s="12"/>
      <c r="LT233" s="12"/>
      <c r="LU233" s="12"/>
      <c r="LV233" s="12"/>
      <c r="LW233" s="12"/>
      <c r="LX233" s="12"/>
      <c r="LY233" s="12"/>
      <c r="LZ233" s="12"/>
      <c r="MA233" s="12"/>
      <c r="MB233" s="12"/>
      <c r="MC233" s="12"/>
      <c r="MD233" s="12"/>
      <c r="ME233" s="12"/>
      <c r="MF233" s="12"/>
      <c r="MG233" s="12"/>
      <c r="MH233" s="12"/>
      <c r="MI233" s="12"/>
      <c r="MJ233" s="12"/>
      <c r="MK233" s="12"/>
      <c r="ML233" s="12"/>
      <c r="MM233" s="12"/>
      <c r="MN233" s="12"/>
      <c r="MO233" s="12"/>
      <c r="MP233" s="12"/>
      <c r="MQ233" s="12"/>
      <c r="MR233" s="12"/>
      <c r="MS233" s="12"/>
      <c r="MT233" s="12"/>
      <c r="MU233" s="12"/>
      <c r="MV233" s="12"/>
      <c r="MW233" s="12"/>
      <c r="MX233" s="12"/>
      <c r="MY233" s="12"/>
      <c r="MZ233" s="12"/>
      <c r="NA233" s="12"/>
      <c r="NB233" s="12"/>
      <c r="NC233" s="12"/>
      <c r="ND233" s="12"/>
      <c r="NE233" s="12"/>
      <c r="NF233" s="12"/>
      <c r="NG233" s="12"/>
      <c r="NH233" s="12"/>
      <c r="NI233" s="12"/>
      <c r="NJ233" s="12"/>
      <c r="NK233" s="12"/>
      <c r="NL233" s="12"/>
      <c r="NM233" s="12"/>
      <c r="NN233" s="12"/>
      <c r="NO233" s="12"/>
      <c r="NP233" s="12"/>
      <c r="NQ233" s="12"/>
      <c r="NR233" s="12"/>
      <c r="NS233" s="12"/>
      <c r="NT233" s="12"/>
      <c r="NU233" s="12"/>
      <c r="NV233" s="12"/>
      <c r="NW233" s="12"/>
      <c r="NX233" s="12"/>
      <c r="NY233" s="12"/>
      <c r="NZ233" s="12"/>
      <c r="OA233" s="12"/>
      <c r="OB233" s="12"/>
      <c r="OC233" s="12"/>
      <c r="OD233" s="12"/>
      <c r="OE233" s="12"/>
      <c r="OF233" s="12"/>
      <c r="OG233" s="12"/>
      <c r="OH233" s="12"/>
      <c r="OI233" s="12"/>
      <c r="OJ233" s="12"/>
      <c r="OK233" s="12"/>
      <c r="OL233" s="12"/>
      <c r="OM233" s="12"/>
      <c r="ON233" s="12"/>
      <c r="OO233" s="12"/>
      <c r="OP233" s="12"/>
      <c r="OQ233" s="12"/>
      <c r="OR233" s="12"/>
      <c r="OS233" s="12"/>
      <c r="OT233" s="12"/>
      <c r="OU233" s="12"/>
      <c r="OV233" s="12"/>
      <c r="OW233" s="12"/>
      <c r="OX233" s="12"/>
      <c r="OY233" s="12"/>
      <c r="OZ233" s="12"/>
      <c r="PA233" s="12"/>
      <c r="PB233" s="12"/>
      <c r="PC233" s="12"/>
      <c r="PD233" s="12"/>
      <c r="PE233" s="12"/>
      <c r="PF233" s="12"/>
      <c r="PG233" s="12"/>
      <c r="PH233" s="12"/>
      <c r="PI233" s="12"/>
      <c r="PJ233" s="12"/>
      <c r="PK233" s="12"/>
      <c r="PL233" s="12"/>
      <c r="PM233" s="12"/>
      <c r="PN233" s="12"/>
      <c r="PO233" s="12"/>
      <c r="PP233" s="12"/>
      <c r="PQ233" s="12"/>
      <c r="PR233" s="12"/>
      <c r="PS233" s="12"/>
      <c r="PT233" s="12"/>
      <c r="PU233" s="12"/>
      <c r="PV233" s="12"/>
      <c r="PW233" s="12"/>
      <c r="PX233" s="12"/>
      <c r="PY233" s="12"/>
      <c r="PZ233" s="12"/>
      <c r="QA233" s="12"/>
      <c r="QB233" s="12"/>
      <c r="QC233" s="12"/>
      <c r="QD233" s="12"/>
      <c r="QE233" s="12"/>
      <c r="QF233" s="12"/>
      <c r="QG233" s="12"/>
      <c r="QH233" s="12"/>
      <c r="QI233" s="12"/>
      <c r="QJ233" s="12"/>
      <c r="QK233" s="12"/>
      <c r="QL233" s="12"/>
      <c r="QM233" s="12"/>
      <c r="QN233" s="12"/>
      <c r="QO233" s="12"/>
      <c r="QP233" s="12"/>
      <c r="QQ233" s="12"/>
      <c r="QR233" s="12"/>
      <c r="QS233" s="12"/>
      <c r="QT233" s="12"/>
      <c r="QU233" s="12"/>
      <c r="QV233" s="12"/>
      <c r="QW233" s="12"/>
      <c r="QX233" s="12"/>
      <c r="QY233" s="12"/>
      <c r="QZ233" s="12"/>
      <c r="RA233" s="12"/>
      <c r="RB233" s="12"/>
      <c r="RC233" s="12"/>
      <c r="RD233" s="12"/>
      <c r="RE233" s="12"/>
      <c r="RF233" s="12"/>
      <c r="RG233" s="12"/>
      <c r="RH233" s="12"/>
      <c r="RI233" s="12"/>
      <c r="RJ233" s="12"/>
      <c r="RK233" s="12"/>
      <c r="RL233" s="12"/>
      <c r="RM233" s="12"/>
      <c r="RN233" s="12"/>
      <c r="RO233" s="12"/>
      <c r="RP233" s="12"/>
      <c r="RQ233" s="12"/>
      <c r="RR233" s="12"/>
      <c r="RS233" s="12"/>
      <c r="RT233" s="12"/>
      <c r="RU233" s="12"/>
      <c r="RV233" s="12"/>
      <c r="RW233" s="12"/>
      <c r="RX233" s="12"/>
      <c r="RY233" s="12"/>
      <c r="RZ233" s="12"/>
      <c r="SA233" s="12"/>
      <c r="SB233" s="12"/>
      <c r="SC233" s="12"/>
      <c r="SD233" s="12"/>
      <c r="SE233" s="12"/>
      <c r="SF233" s="12"/>
      <c r="SG233" s="12"/>
      <c r="SH233" s="11"/>
      <c r="SI233" s="11"/>
      <c r="SJ233" s="11"/>
      <c r="SK233" s="11"/>
      <c r="SL233" s="11"/>
      <c r="SM233" s="11"/>
      <c r="SN233" s="11"/>
      <c r="SO233" s="11"/>
      <c r="SP233" s="11"/>
      <c r="SQ233" s="11"/>
      <c r="SR233" s="11"/>
      <c r="SS233" s="11"/>
      <c r="ST233" s="11"/>
      <c r="SU233" s="11"/>
      <c r="SV233" s="11"/>
      <c r="SW233" s="11"/>
      <c r="SX233" s="11"/>
      <c r="SY233" s="11"/>
      <c r="SZ233" s="11"/>
      <c r="TA233" s="11"/>
      <c r="TB233" s="11"/>
      <c r="TC233" s="11"/>
      <c r="TD233" s="11"/>
      <c r="TE233" s="11"/>
      <c r="TF233" s="11"/>
      <c r="TG233" s="11"/>
      <c r="TH233" s="11"/>
      <c r="TI233" s="11"/>
      <c r="TJ233" s="11"/>
      <c r="TK233" s="11"/>
      <c r="TL233" s="11"/>
    </row>
    <row r="234" spans="1:532" x14ac:dyDescent="0.2">
      <c r="A234" s="10" t="s">
        <v>233</v>
      </c>
      <c r="B234" s="12">
        <v>13.42</v>
      </c>
      <c r="C234" s="11">
        <v>0</v>
      </c>
      <c r="D234" s="11">
        <v>1.5641748279731622</v>
      </c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12"/>
      <c r="EP234" s="12"/>
      <c r="EQ234" s="12"/>
      <c r="ER234" s="12"/>
      <c r="ES234" s="12"/>
      <c r="ET234" s="12"/>
      <c r="EU234" s="12"/>
      <c r="EV234" s="12"/>
      <c r="EW234" s="12"/>
      <c r="EX234" s="12"/>
      <c r="EY234" s="12"/>
      <c r="EZ234" s="12"/>
      <c r="FA234" s="12"/>
      <c r="FB234" s="12"/>
      <c r="FC234" s="12"/>
      <c r="FD234" s="12"/>
      <c r="FE234" s="12"/>
      <c r="FF234" s="12"/>
      <c r="FG234" s="12"/>
      <c r="FH234" s="12"/>
      <c r="FI234" s="12"/>
      <c r="FJ234" s="12"/>
      <c r="FK234" s="12"/>
      <c r="FL234" s="12"/>
      <c r="FM234" s="12"/>
      <c r="FN234" s="12"/>
      <c r="FO234" s="12"/>
      <c r="FP234" s="12"/>
      <c r="FQ234" s="12"/>
      <c r="FR234" s="12"/>
      <c r="FS234" s="12"/>
      <c r="FT234" s="12"/>
      <c r="FU234" s="12"/>
      <c r="FV234" s="12"/>
      <c r="FW234" s="12"/>
      <c r="FX234" s="12"/>
      <c r="FY234" s="12"/>
      <c r="FZ234" s="12"/>
      <c r="GA234" s="12"/>
      <c r="GB234" s="12"/>
      <c r="GC234" s="12"/>
      <c r="GD234" s="12"/>
      <c r="GE234" s="12"/>
      <c r="GF234" s="12"/>
      <c r="GG234" s="12"/>
      <c r="GH234" s="12"/>
      <c r="GI234" s="12"/>
      <c r="GJ234" s="12"/>
      <c r="GK234" s="12"/>
      <c r="GL234" s="12"/>
      <c r="GM234" s="12"/>
      <c r="GN234" s="12"/>
      <c r="GO234" s="12"/>
      <c r="GP234" s="12"/>
      <c r="GQ234" s="12"/>
      <c r="GR234" s="12"/>
      <c r="GS234" s="12"/>
      <c r="GT234" s="12"/>
      <c r="GU234" s="12"/>
      <c r="GV234" s="12"/>
      <c r="GW234" s="12"/>
      <c r="GX234" s="12"/>
      <c r="GY234" s="12"/>
      <c r="GZ234" s="12"/>
      <c r="HA234" s="12"/>
      <c r="HB234" s="12"/>
      <c r="HC234" s="12"/>
      <c r="HD234" s="12"/>
      <c r="HE234" s="12"/>
      <c r="HF234" s="12"/>
      <c r="HG234" s="12"/>
      <c r="HH234" s="12"/>
      <c r="HI234" s="12"/>
      <c r="HJ234" s="12"/>
      <c r="HK234" s="12"/>
      <c r="HL234" s="12"/>
      <c r="HM234" s="12"/>
      <c r="HN234" s="12"/>
      <c r="HO234" s="12"/>
      <c r="HP234" s="12"/>
      <c r="HQ234" s="12"/>
      <c r="HR234" s="12"/>
      <c r="HS234" s="12"/>
      <c r="HT234" s="12"/>
      <c r="HU234" s="12"/>
      <c r="HV234" s="12"/>
      <c r="HW234" s="12"/>
      <c r="HX234" s="12"/>
      <c r="HY234" s="12"/>
      <c r="HZ234" s="12"/>
      <c r="IA234" s="12"/>
      <c r="IB234" s="12"/>
      <c r="IC234" s="12"/>
      <c r="ID234" s="12"/>
      <c r="IE234" s="12"/>
      <c r="IF234" s="12"/>
      <c r="IG234" s="12"/>
      <c r="IH234" s="12"/>
      <c r="II234" s="12"/>
      <c r="IJ234" s="12"/>
      <c r="IK234" s="12"/>
      <c r="IL234" s="12"/>
      <c r="IM234" s="12"/>
      <c r="IN234" s="12"/>
      <c r="IO234" s="12"/>
      <c r="IP234" s="12"/>
      <c r="IQ234" s="12"/>
      <c r="IR234" s="12"/>
      <c r="IS234" s="12"/>
      <c r="IT234" s="12"/>
      <c r="IU234" s="12"/>
      <c r="IV234" s="12"/>
      <c r="IW234" s="12"/>
      <c r="IX234" s="12"/>
      <c r="IY234" s="12"/>
      <c r="IZ234" s="12"/>
      <c r="JA234" s="12"/>
      <c r="JB234" s="12"/>
      <c r="JC234" s="12"/>
      <c r="JD234" s="12"/>
      <c r="JE234" s="12"/>
      <c r="JF234" s="12"/>
      <c r="JG234" s="12"/>
      <c r="JH234" s="12"/>
      <c r="JI234" s="12"/>
      <c r="JJ234" s="12"/>
      <c r="JK234" s="12"/>
      <c r="JL234" s="12"/>
      <c r="JM234" s="12"/>
      <c r="JN234" s="12"/>
      <c r="JO234" s="12"/>
      <c r="JP234" s="12"/>
      <c r="JQ234" s="12"/>
      <c r="JR234" s="12"/>
      <c r="JS234" s="12"/>
      <c r="JT234" s="12"/>
      <c r="JU234" s="12"/>
      <c r="JV234" s="12"/>
      <c r="JW234" s="12"/>
      <c r="JX234" s="12"/>
      <c r="JY234" s="12"/>
      <c r="JZ234" s="12"/>
      <c r="KA234" s="12"/>
      <c r="KB234" s="12"/>
      <c r="KC234" s="12"/>
      <c r="KD234" s="12"/>
      <c r="KE234" s="12"/>
      <c r="KF234" s="12"/>
      <c r="KG234" s="12"/>
      <c r="KH234" s="12"/>
      <c r="KI234" s="12"/>
      <c r="KJ234" s="12"/>
      <c r="KK234" s="12"/>
      <c r="KL234" s="12"/>
      <c r="KM234" s="12"/>
      <c r="KN234" s="12"/>
      <c r="KO234" s="12"/>
      <c r="KP234" s="12"/>
      <c r="KQ234" s="12"/>
      <c r="KR234" s="12"/>
      <c r="KS234" s="12"/>
      <c r="KT234" s="12"/>
      <c r="KU234" s="12"/>
      <c r="KV234" s="12"/>
      <c r="KW234" s="12"/>
      <c r="KX234" s="12"/>
      <c r="KY234" s="12"/>
      <c r="KZ234" s="12"/>
      <c r="LA234" s="12"/>
      <c r="LB234" s="12"/>
      <c r="LC234" s="12"/>
      <c r="LD234" s="12"/>
      <c r="LE234" s="12"/>
      <c r="LF234" s="12"/>
      <c r="LG234" s="12"/>
      <c r="LH234" s="12"/>
      <c r="LI234" s="12"/>
      <c r="LJ234" s="12"/>
      <c r="LK234" s="12"/>
      <c r="LL234" s="12"/>
      <c r="LM234" s="12"/>
      <c r="LN234" s="12"/>
      <c r="LO234" s="12"/>
      <c r="LP234" s="12"/>
      <c r="LQ234" s="12"/>
      <c r="LR234" s="12"/>
      <c r="LS234" s="12"/>
      <c r="LT234" s="12"/>
      <c r="LU234" s="12"/>
      <c r="LV234" s="12"/>
      <c r="LW234" s="12"/>
      <c r="LX234" s="12"/>
      <c r="LY234" s="12"/>
      <c r="LZ234" s="12"/>
      <c r="MA234" s="12"/>
      <c r="MB234" s="12"/>
      <c r="MC234" s="12"/>
      <c r="MD234" s="12"/>
      <c r="ME234" s="12"/>
      <c r="MF234" s="12"/>
      <c r="MG234" s="12"/>
      <c r="MH234" s="12"/>
      <c r="MI234" s="12"/>
      <c r="MJ234" s="12"/>
      <c r="MK234" s="12"/>
      <c r="ML234" s="12"/>
      <c r="MM234" s="12"/>
      <c r="MN234" s="12"/>
      <c r="MO234" s="12"/>
      <c r="MP234" s="12"/>
      <c r="MQ234" s="12"/>
      <c r="MR234" s="12"/>
      <c r="MS234" s="12"/>
      <c r="MT234" s="12"/>
      <c r="MU234" s="12"/>
      <c r="MV234" s="12"/>
      <c r="MW234" s="12"/>
      <c r="MX234" s="12"/>
      <c r="MY234" s="12"/>
      <c r="MZ234" s="12"/>
      <c r="NA234" s="12"/>
      <c r="NB234" s="12"/>
      <c r="NC234" s="12"/>
      <c r="ND234" s="12"/>
      <c r="NE234" s="12"/>
      <c r="NF234" s="12"/>
      <c r="NG234" s="12"/>
      <c r="NH234" s="12"/>
      <c r="NI234" s="12"/>
      <c r="NJ234" s="12"/>
      <c r="NK234" s="12"/>
      <c r="NL234" s="12"/>
      <c r="NM234" s="12"/>
      <c r="NN234" s="12"/>
      <c r="NO234" s="12"/>
      <c r="NP234" s="12"/>
      <c r="NQ234" s="12"/>
      <c r="NR234" s="12"/>
      <c r="NS234" s="12"/>
      <c r="NT234" s="12"/>
      <c r="NU234" s="12"/>
      <c r="NV234" s="12"/>
      <c r="NW234" s="12"/>
      <c r="NX234" s="12"/>
      <c r="NY234" s="12"/>
      <c r="NZ234" s="12"/>
      <c r="OA234" s="12"/>
      <c r="OB234" s="12"/>
      <c r="OC234" s="12"/>
      <c r="OD234" s="12"/>
      <c r="OE234" s="12"/>
      <c r="OF234" s="12"/>
      <c r="OG234" s="12"/>
      <c r="OH234" s="12"/>
      <c r="OI234" s="12"/>
      <c r="OJ234" s="12"/>
      <c r="OK234" s="12"/>
      <c r="OL234" s="12"/>
      <c r="OM234" s="12"/>
      <c r="ON234" s="12"/>
      <c r="OO234" s="12"/>
      <c r="OP234" s="12"/>
      <c r="OQ234" s="12"/>
      <c r="OR234" s="12"/>
      <c r="OS234" s="12"/>
      <c r="OT234" s="12"/>
      <c r="OU234" s="12"/>
      <c r="OV234" s="12"/>
      <c r="OW234" s="12"/>
      <c r="OX234" s="12"/>
      <c r="OY234" s="12"/>
      <c r="OZ234" s="12"/>
      <c r="PA234" s="12"/>
      <c r="PB234" s="12"/>
      <c r="PC234" s="12"/>
      <c r="PD234" s="12"/>
      <c r="PE234" s="12"/>
      <c r="PF234" s="12"/>
      <c r="PG234" s="12"/>
      <c r="PH234" s="12"/>
      <c r="PI234" s="12"/>
      <c r="PJ234" s="12"/>
      <c r="PK234" s="12"/>
      <c r="PL234" s="12"/>
      <c r="PM234" s="12"/>
      <c r="PN234" s="12"/>
      <c r="PO234" s="12"/>
      <c r="PP234" s="12"/>
      <c r="PQ234" s="12"/>
      <c r="PR234" s="12"/>
      <c r="PS234" s="12"/>
      <c r="PT234" s="12"/>
      <c r="PU234" s="12"/>
      <c r="PV234" s="12"/>
      <c r="PW234" s="12"/>
      <c r="PX234" s="12"/>
      <c r="PY234" s="12"/>
      <c r="PZ234" s="12"/>
      <c r="QA234" s="12"/>
      <c r="QB234" s="12"/>
      <c r="QC234" s="12"/>
      <c r="QD234" s="12"/>
      <c r="QE234" s="12"/>
      <c r="QF234" s="12"/>
      <c r="QG234" s="12"/>
      <c r="QH234" s="12"/>
      <c r="QI234" s="12"/>
      <c r="QJ234" s="12"/>
      <c r="QK234" s="12"/>
      <c r="QL234" s="12"/>
      <c r="QM234" s="12"/>
      <c r="QN234" s="12"/>
      <c r="QO234" s="12"/>
      <c r="QP234" s="12"/>
      <c r="QQ234" s="12"/>
      <c r="QR234" s="12"/>
      <c r="QS234" s="12"/>
      <c r="QT234" s="12"/>
      <c r="QU234" s="12"/>
      <c r="QV234" s="12"/>
      <c r="QW234" s="12"/>
      <c r="QX234" s="12"/>
      <c r="QY234" s="12"/>
      <c r="QZ234" s="12"/>
      <c r="RA234" s="12"/>
      <c r="RB234" s="12"/>
      <c r="RC234" s="12"/>
      <c r="RD234" s="12"/>
      <c r="RE234" s="12"/>
      <c r="RF234" s="12"/>
      <c r="RG234" s="12"/>
      <c r="RH234" s="12"/>
      <c r="RI234" s="12"/>
      <c r="RJ234" s="12"/>
      <c r="RK234" s="12"/>
      <c r="RL234" s="12"/>
      <c r="RM234" s="12"/>
      <c r="RN234" s="12"/>
      <c r="RO234" s="12"/>
      <c r="RP234" s="12"/>
      <c r="RQ234" s="12"/>
      <c r="RR234" s="12"/>
      <c r="RS234" s="12"/>
      <c r="RT234" s="12"/>
      <c r="RU234" s="12"/>
      <c r="RV234" s="12"/>
      <c r="RW234" s="12"/>
      <c r="RX234" s="12"/>
      <c r="RY234" s="12"/>
      <c r="RZ234" s="12"/>
      <c r="SA234" s="12"/>
      <c r="SB234" s="12"/>
      <c r="SC234" s="12"/>
      <c r="SD234" s="12"/>
      <c r="SE234" s="12"/>
      <c r="SF234" s="12"/>
      <c r="SG234" s="12"/>
      <c r="SH234" s="11"/>
      <c r="SI234" s="11"/>
      <c r="SJ234" s="11"/>
      <c r="SK234" s="11"/>
      <c r="SL234" s="11"/>
      <c r="SM234" s="11"/>
      <c r="SN234" s="11"/>
      <c r="SO234" s="11"/>
      <c r="SP234" s="11"/>
      <c r="SQ234" s="11"/>
      <c r="SR234" s="11"/>
      <c r="SS234" s="11"/>
      <c r="ST234" s="11"/>
      <c r="SU234" s="11"/>
      <c r="SV234" s="11"/>
      <c r="SW234" s="11"/>
      <c r="SX234" s="11"/>
      <c r="SY234" s="11"/>
      <c r="SZ234" s="11"/>
      <c r="TA234" s="11"/>
      <c r="TB234" s="11"/>
      <c r="TC234" s="11"/>
      <c r="TD234" s="11"/>
      <c r="TE234" s="11"/>
      <c r="TF234" s="11"/>
      <c r="TG234" s="11"/>
      <c r="TH234" s="11"/>
      <c r="TI234" s="11"/>
      <c r="TJ234" s="11"/>
      <c r="TK234" s="11"/>
      <c r="TL234" s="11"/>
    </row>
    <row r="235" spans="1:532" x14ac:dyDescent="0.2">
      <c r="A235" s="10" t="s">
        <v>234</v>
      </c>
      <c r="B235" s="12">
        <v>13.2</v>
      </c>
      <c r="C235" s="11">
        <v>0</v>
      </c>
      <c r="D235" s="11">
        <v>1.7819713230073999</v>
      </c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  <c r="EO235" s="12"/>
      <c r="EP235" s="12"/>
      <c r="EQ235" s="12"/>
      <c r="ER235" s="12"/>
      <c r="ES235" s="12"/>
      <c r="ET235" s="12"/>
      <c r="EU235" s="12"/>
      <c r="EV235" s="12"/>
      <c r="EW235" s="12"/>
      <c r="EX235" s="12"/>
      <c r="EY235" s="12"/>
      <c r="EZ235" s="12"/>
      <c r="FA235" s="12"/>
      <c r="FB235" s="12"/>
      <c r="FC235" s="12"/>
      <c r="FD235" s="12"/>
      <c r="FE235" s="12"/>
      <c r="FF235" s="12"/>
      <c r="FG235" s="12"/>
      <c r="FH235" s="12"/>
      <c r="FI235" s="12"/>
      <c r="FJ235" s="12"/>
      <c r="FK235" s="12"/>
      <c r="FL235" s="12"/>
      <c r="FM235" s="12"/>
      <c r="FN235" s="12"/>
      <c r="FO235" s="12"/>
      <c r="FP235" s="12"/>
      <c r="FQ235" s="12"/>
      <c r="FR235" s="12"/>
      <c r="FS235" s="12"/>
      <c r="FT235" s="12"/>
      <c r="FU235" s="12"/>
      <c r="FV235" s="12"/>
      <c r="FW235" s="12"/>
      <c r="FX235" s="12"/>
      <c r="FY235" s="12"/>
      <c r="FZ235" s="12"/>
      <c r="GA235" s="12"/>
      <c r="GB235" s="12"/>
      <c r="GC235" s="12"/>
      <c r="GD235" s="12"/>
      <c r="GE235" s="12"/>
      <c r="GF235" s="12"/>
      <c r="GG235" s="12"/>
      <c r="GH235" s="12"/>
      <c r="GI235" s="12"/>
      <c r="GJ235" s="12"/>
      <c r="GK235" s="12"/>
      <c r="GL235" s="12"/>
      <c r="GM235" s="12"/>
      <c r="GN235" s="12"/>
      <c r="GO235" s="12"/>
      <c r="GP235" s="12"/>
      <c r="GQ235" s="12"/>
      <c r="GR235" s="12"/>
      <c r="GS235" s="12"/>
      <c r="GT235" s="12"/>
      <c r="GU235" s="12"/>
      <c r="GV235" s="12"/>
      <c r="GW235" s="12"/>
      <c r="GX235" s="12"/>
      <c r="GY235" s="12"/>
      <c r="GZ235" s="12"/>
      <c r="HA235" s="12"/>
      <c r="HB235" s="12"/>
      <c r="HC235" s="12"/>
      <c r="HD235" s="12"/>
      <c r="HE235" s="12"/>
      <c r="HF235" s="12"/>
      <c r="HG235" s="12"/>
      <c r="HH235" s="12"/>
      <c r="HI235" s="12"/>
      <c r="HJ235" s="12"/>
      <c r="HK235" s="12"/>
      <c r="HL235" s="12"/>
      <c r="HM235" s="12"/>
      <c r="HN235" s="12"/>
      <c r="HO235" s="12"/>
      <c r="HP235" s="12"/>
      <c r="HQ235" s="12"/>
      <c r="HR235" s="12"/>
      <c r="HS235" s="12"/>
      <c r="HT235" s="12"/>
      <c r="HU235" s="12"/>
      <c r="HV235" s="12"/>
      <c r="HW235" s="12"/>
      <c r="HX235" s="12"/>
      <c r="HY235" s="12"/>
      <c r="HZ235" s="12"/>
      <c r="IA235" s="12"/>
      <c r="IB235" s="12"/>
      <c r="IC235" s="12"/>
      <c r="ID235" s="12"/>
      <c r="IE235" s="12"/>
      <c r="IF235" s="12"/>
      <c r="IG235" s="12"/>
      <c r="IH235" s="12"/>
      <c r="II235" s="12"/>
      <c r="IJ235" s="12"/>
      <c r="IK235" s="12"/>
      <c r="IL235" s="12"/>
      <c r="IM235" s="12"/>
      <c r="IN235" s="12"/>
      <c r="IO235" s="12"/>
      <c r="IP235" s="12"/>
      <c r="IQ235" s="12"/>
      <c r="IR235" s="12"/>
      <c r="IS235" s="12"/>
      <c r="IT235" s="12"/>
      <c r="IU235" s="12"/>
      <c r="IV235" s="12"/>
      <c r="IW235" s="12"/>
      <c r="IX235" s="12"/>
      <c r="IY235" s="12"/>
      <c r="IZ235" s="12"/>
      <c r="JA235" s="12"/>
      <c r="JB235" s="12"/>
      <c r="JC235" s="12"/>
      <c r="JD235" s="12"/>
      <c r="JE235" s="12"/>
      <c r="JF235" s="12"/>
      <c r="JG235" s="12"/>
      <c r="JH235" s="12"/>
      <c r="JI235" s="12"/>
      <c r="JJ235" s="12"/>
      <c r="JK235" s="12"/>
      <c r="JL235" s="12"/>
      <c r="JM235" s="12"/>
      <c r="JN235" s="12"/>
      <c r="JO235" s="12"/>
      <c r="JP235" s="12"/>
      <c r="JQ235" s="12"/>
      <c r="JR235" s="12"/>
      <c r="JS235" s="12"/>
      <c r="JT235" s="12"/>
      <c r="JU235" s="12"/>
      <c r="JV235" s="12"/>
      <c r="JW235" s="12"/>
      <c r="JX235" s="12"/>
      <c r="JY235" s="12"/>
      <c r="JZ235" s="12"/>
      <c r="KA235" s="12"/>
      <c r="KB235" s="12"/>
      <c r="KC235" s="12"/>
      <c r="KD235" s="12"/>
      <c r="KE235" s="12"/>
      <c r="KF235" s="12"/>
      <c r="KG235" s="12"/>
      <c r="KH235" s="12"/>
      <c r="KI235" s="12"/>
      <c r="KJ235" s="12"/>
      <c r="KK235" s="12"/>
      <c r="KL235" s="12"/>
      <c r="KM235" s="12"/>
      <c r="KN235" s="12"/>
      <c r="KO235" s="12"/>
      <c r="KP235" s="12"/>
      <c r="KQ235" s="12"/>
      <c r="KR235" s="12"/>
      <c r="KS235" s="12"/>
      <c r="KT235" s="12"/>
      <c r="KU235" s="12"/>
      <c r="KV235" s="12"/>
      <c r="KW235" s="12"/>
      <c r="KX235" s="12"/>
      <c r="KY235" s="12"/>
      <c r="KZ235" s="12"/>
      <c r="LA235" s="12"/>
      <c r="LB235" s="12"/>
      <c r="LC235" s="12"/>
      <c r="LD235" s="12"/>
      <c r="LE235" s="12"/>
      <c r="LF235" s="12"/>
      <c r="LG235" s="12"/>
      <c r="LH235" s="12"/>
      <c r="LI235" s="12"/>
      <c r="LJ235" s="12"/>
      <c r="LK235" s="12"/>
      <c r="LL235" s="12"/>
      <c r="LM235" s="12"/>
      <c r="LN235" s="12"/>
      <c r="LO235" s="12"/>
      <c r="LP235" s="12"/>
      <c r="LQ235" s="12"/>
      <c r="LR235" s="12"/>
      <c r="LS235" s="12"/>
      <c r="LT235" s="12"/>
      <c r="LU235" s="12"/>
      <c r="LV235" s="12"/>
      <c r="LW235" s="12"/>
      <c r="LX235" s="12"/>
      <c r="LY235" s="12"/>
      <c r="LZ235" s="12"/>
      <c r="MA235" s="12"/>
      <c r="MB235" s="12"/>
      <c r="MC235" s="12"/>
      <c r="MD235" s="12"/>
      <c r="ME235" s="12"/>
      <c r="MF235" s="12"/>
      <c r="MG235" s="12"/>
      <c r="MH235" s="12"/>
      <c r="MI235" s="12"/>
      <c r="MJ235" s="12"/>
      <c r="MK235" s="12"/>
      <c r="ML235" s="12"/>
      <c r="MM235" s="12"/>
      <c r="MN235" s="12"/>
      <c r="MO235" s="12"/>
      <c r="MP235" s="12"/>
      <c r="MQ235" s="12"/>
      <c r="MR235" s="12"/>
      <c r="MS235" s="12"/>
      <c r="MT235" s="12"/>
      <c r="MU235" s="12"/>
      <c r="MV235" s="12"/>
      <c r="MW235" s="12"/>
      <c r="MX235" s="12"/>
      <c r="MY235" s="12"/>
      <c r="MZ235" s="12"/>
      <c r="NA235" s="12"/>
      <c r="NB235" s="12"/>
      <c r="NC235" s="12"/>
      <c r="ND235" s="12"/>
      <c r="NE235" s="12"/>
      <c r="NF235" s="12"/>
      <c r="NG235" s="12"/>
      <c r="NH235" s="12"/>
      <c r="NI235" s="12"/>
      <c r="NJ235" s="12"/>
      <c r="NK235" s="12"/>
      <c r="NL235" s="12"/>
      <c r="NM235" s="12"/>
      <c r="NN235" s="12"/>
      <c r="NO235" s="12"/>
      <c r="NP235" s="12"/>
      <c r="NQ235" s="12"/>
      <c r="NR235" s="12"/>
      <c r="NS235" s="12"/>
      <c r="NT235" s="12"/>
      <c r="NU235" s="12"/>
      <c r="NV235" s="12"/>
      <c r="NW235" s="12"/>
      <c r="NX235" s="12"/>
      <c r="NY235" s="12"/>
      <c r="NZ235" s="12"/>
      <c r="OA235" s="12"/>
      <c r="OB235" s="12"/>
      <c r="OC235" s="12"/>
      <c r="OD235" s="12"/>
      <c r="OE235" s="12"/>
      <c r="OF235" s="12"/>
      <c r="OG235" s="12"/>
      <c r="OH235" s="12"/>
      <c r="OI235" s="12"/>
      <c r="OJ235" s="12"/>
      <c r="OK235" s="12"/>
      <c r="OL235" s="12"/>
      <c r="OM235" s="12"/>
      <c r="ON235" s="12"/>
      <c r="OO235" s="12"/>
      <c r="OP235" s="12"/>
      <c r="OQ235" s="12"/>
      <c r="OR235" s="12"/>
      <c r="OS235" s="12"/>
      <c r="OT235" s="12"/>
      <c r="OU235" s="12"/>
      <c r="OV235" s="12"/>
      <c r="OW235" s="12"/>
      <c r="OX235" s="12"/>
      <c r="OY235" s="12"/>
      <c r="OZ235" s="12"/>
      <c r="PA235" s="12"/>
      <c r="PB235" s="12"/>
      <c r="PC235" s="12"/>
      <c r="PD235" s="12"/>
      <c r="PE235" s="12"/>
      <c r="PF235" s="12"/>
      <c r="PG235" s="12"/>
      <c r="PH235" s="12"/>
      <c r="PI235" s="12"/>
      <c r="PJ235" s="12"/>
      <c r="PK235" s="12"/>
      <c r="PL235" s="12"/>
      <c r="PM235" s="12"/>
      <c r="PN235" s="12"/>
      <c r="PO235" s="12"/>
      <c r="PP235" s="12"/>
      <c r="PQ235" s="12"/>
      <c r="PR235" s="12"/>
      <c r="PS235" s="12"/>
      <c r="PT235" s="12"/>
      <c r="PU235" s="12"/>
      <c r="PV235" s="12"/>
      <c r="PW235" s="12"/>
      <c r="PX235" s="12"/>
      <c r="PY235" s="12"/>
      <c r="PZ235" s="12"/>
      <c r="QA235" s="12"/>
      <c r="QB235" s="12"/>
      <c r="QC235" s="12"/>
      <c r="QD235" s="12"/>
      <c r="QE235" s="12"/>
      <c r="QF235" s="12"/>
      <c r="QG235" s="12"/>
      <c r="QH235" s="12"/>
      <c r="QI235" s="12"/>
      <c r="QJ235" s="12"/>
      <c r="QK235" s="12"/>
      <c r="QL235" s="12"/>
      <c r="QM235" s="12"/>
      <c r="QN235" s="12"/>
      <c r="QO235" s="12"/>
      <c r="QP235" s="12"/>
      <c r="QQ235" s="12"/>
      <c r="QR235" s="12"/>
      <c r="QS235" s="12"/>
      <c r="QT235" s="12"/>
      <c r="QU235" s="12"/>
      <c r="QV235" s="12"/>
      <c r="QW235" s="12"/>
      <c r="QX235" s="12"/>
      <c r="QY235" s="12"/>
      <c r="QZ235" s="12"/>
      <c r="RA235" s="12"/>
      <c r="RB235" s="12"/>
      <c r="RC235" s="12"/>
      <c r="RD235" s="12"/>
      <c r="RE235" s="12"/>
      <c r="RF235" s="12"/>
      <c r="RG235" s="12"/>
      <c r="RH235" s="12"/>
      <c r="RI235" s="12"/>
      <c r="RJ235" s="12"/>
      <c r="RK235" s="12"/>
      <c r="RL235" s="12"/>
      <c r="RM235" s="12"/>
      <c r="RN235" s="12"/>
      <c r="RO235" s="12"/>
      <c r="RP235" s="12"/>
      <c r="RQ235" s="12"/>
      <c r="RR235" s="12"/>
      <c r="RS235" s="12"/>
      <c r="RT235" s="12"/>
      <c r="RU235" s="12"/>
      <c r="RV235" s="12"/>
      <c r="RW235" s="12"/>
      <c r="RX235" s="12"/>
      <c r="RY235" s="12"/>
      <c r="RZ235" s="12"/>
      <c r="SA235" s="12"/>
      <c r="SB235" s="12"/>
      <c r="SC235" s="12"/>
      <c r="SD235" s="12"/>
      <c r="SE235" s="12"/>
      <c r="SF235" s="12"/>
      <c r="SG235" s="12"/>
      <c r="SH235" s="11"/>
      <c r="SI235" s="11"/>
      <c r="SJ235" s="11"/>
      <c r="SK235" s="11"/>
      <c r="SL235" s="11"/>
      <c r="SM235" s="11"/>
      <c r="SN235" s="11"/>
      <c r="SO235" s="11"/>
      <c r="SP235" s="11"/>
      <c r="SQ235" s="11"/>
      <c r="SR235" s="11"/>
      <c r="SS235" s="11"/>
      <c r="ST235" s="11"/>
      <c r="SU235" s="11"/>
      <c r="SV235" s="11"/>
      <c r="SW235" s="11"/>
      <c r="SX235" s="11"/>
      <c r="SY235" s="11"/>
      <c r="SZ235" s="11"/>
      <c r="TA235" s="11"/>
      <c r="TB235" s="11"/>
      <c r="TC235" s="11"/>
      <c r="TD235" s="11"/>
      <c r="TE235" s="11"/>
      <c r="TF235" s="11"/>
      <c r="TG235" s="11"/>
      <c r="TH235" s="11"/>
      <c r="TI235" s="11"/>
      <c r="TJ235" s="11"/>
      <c r="TK235" s="11"/>
      <c r="TL235" s="11"/>
    </row>
    <row r="236" spans="1:532" x14ac:dyDescent="0.2">
      <c r="A236" s="10" t="s">
        <v>235</v>
      </c>
      <c r="B236" s="12">
        <v>15.02</v>
      </c>
      <c r="C236" s="11">
        <v>1.9799681366748888E-2</v>
      </c>
      <c r="D236" s="11">
        <v>0</v>
      </c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  <c r="CO236" s="12"/>
      <c r="CP236" s="12"/>
      <c r="CQ236" s="12"/>
      <c r="CR236" s="12"/>
      <c r="CS236" s="12"/>
      <c r="CT236" s="12"/>
      <c r="CU236" s="12"/>
      <c r="CV236" s="12"/>
      <c r="CW236" s="12"/>
      <c r="CX236" s="12"/>
      <c r="CY236" s="12"/>
      <c r="CZ236" s="12"/>
      <c r="DA236" s="12"/>
      <c r="DB236" s="12"/>
      <c r="DC236" s="12"/>
      <c r="DD236" s="12"/>
      <c r="DE236" s="12"/>
      <c r="DF236" s="12"/>
      <c r="DG236" s="12"/>
      <c r="DH236" s="12"/>
      <c r="DI236" s="12"/>
      <c r="DJ236" s="12"/>
      <c r="DK236" s="12"/>
      <c r="DL236" s="12"/>
      <c r="DM236" s="12"/>
      <c r="DN236" s="12"/>
      <c r="DO236" s="12"/>
      <c r="DP236" s="12"/>
      <c r="DQ236" s="12"/>
      <c r="DR236" s="12"/>
      <c r="DS236" s="12"/>
      <c r="DT236" s="12"/>
      <c r="DU236" s="12"/>
      <c r="DV236" s="12"/>
      <c r="DW236" s="12"/>
      <c r="DX236" s="12"/>
      <c r="DY236" s="12"/>
      <c r="DZ236" s="12"/>
      <c r="EA236" s="12"/>
      <c r="EB236" s="12"/>
      <c r="EC236" s="12"/>
      <c r="ED236" s="12"/>
      <c r="EE236" s="12"/>
      <c r="EF236" s="12"/>
      <c r="EG236" s="12"/>
      <c r="EH236" s="12"/>
      <c r="EI236" s="12"/>
      <c r="EJ236" s="12"/>
      <c r="EK236" s="12"/>
      <c r="EL236" s="12"/>
      <c r="EM236" s="12"/>
      <c r="EN236" s="12"/>
      <c r="EO236" s="12"/>
      <c r="EP236" s="12"/>
      <c r="EQ236" s="12"/>
      <c r="ER236" s="12"/>
      <c r="ES236" s="12"/>
      <c r="ET236" s="12"/>
      <c r="EU236" s="12"/>
      <c r="EV236" s="12"/>
      <c r="EW236" s="12"/>
      <c r="EX236" s="12"/>
      <c r="EY236" s="12"/>
      <c r="EZ236" s="12"/>
      <c r="FA236" s="12"/>
      <c r="FB236" s="12"/>
      <c r="FC236" s="12"/>
      <c r="FD236" s="12"/>
      <c r="FE236" s="12"/>
      <c r="FF236" s="12"/>
      <c r="FG236" s="12"/>
      <c r="FH236" s="12"/>
      <c r="FI236" s="12"/>
      <c r="FJ236" s="12"/>
      <c r="FK236" s="12"/>
      <c r="FL236" s="12"/>
      <c r="FM236" s="12"/>
      <c r="FN236" s="12"/>
      <c r="FO236" s="12"/>
      <c r="FP236" s="12"/>
      <c r="FQ236" s="12"/>
      <c r="FR236" s="12"/>
      <c r="FS236" s="12"/>
      <c r="FT236" s="12"/>
      <c r="FU236" s="12"/>
      <c r="FV236" s="12"/>
      <c r="FW236" s="12"/>
      <c r="FX236" s="12"/>
      <c r="FY236" s="12"/>
      <c r="FZ236" s="12"/>
      <c r="GA236" s="12"/>
      <c r="GB236" s="12"/>
      <c r="GC236" s="12"/>
      <c r="GD236" s="12"/>
      <c r="GE236" s="12"/>
      <c r="GF236" s="12"/>
      <c r="GG236" s="12"/>
      <c r="GH236" s="12"/>
      <c r="GI236" s="12"/>
      <c r="GJ236" s="12"/>
      <c r="GK236" s="12"/>
      <c r="GL236" s="12"/>
      <c r="GM236" s="12"/>
      <c r="GN236" s="12"/>
      <c r="GO236" s="12"/>
      <c r="GP236" s="12"/>
      <c r="GQ236" s="12"/>
      <c r="GR236" s="12"/>
      <c r="GS236" s="12"/>
      <c r="GT236" s="12"/>
      <c r="GU236" s="12"/>
      <c r="GV236" s="12"/>
      <c r="GW236" s="12"/>
      <c r="GX236" s="12"/>
      <c r="GY236" s="12"/>
      <c r="GZ236" s="12"/>
      <c r="HA236" s="12"/>
      <c r="HB236" s="12"/>
      <c r="HC236" s="12"/>
      <c r="HD236" s="12"/>
      <c r="HE236" s="12"/>
      <c r="HF236" s="12"/>
      <c r="HG236" s="12"/>
      <c r="HH236" s="12"/>
      <c r="HI236" s="12"/>
      <c r="HJ236" s="12"/>
      <c r="HK236" s="12"/>
      <c r="HL236" s="12"/>
      <c r="HM236" s="12"/>
      <c r="HN236" s="12"/>
      <c r="HO236" s="12"/>
      <c r="HP236" s="12"/>
      <c r="HQ236" s="12"/>
      <c r="HR236" s="12"/>
      <c r="HS236" s="12"/>
      <c r="HT236" s="12"/>
      <c r="HU236" s="12"/>
      <c r="HV236" s="12"/>
      <c r="HW236" s="12"/>
      <c r="HX236" s="12"/>
      <c r="HY236" s="12"/>
      <c r="HZ236" s="12"/>
      <c r="IA236" s="12"/>
      <c r="IB236" s="12"/>
      <c r="IC236" s="12"/>
      <c r="ID236" s="12"/>
      <c r="IE236" s="12"/>
      <c r="IF236" s="12"/>
      <c r="IG236" s="12"/>
      <c r="IH236" s="12"/>
      <c r="II236" s="12"/>
      <c r="IJ236" s="12"/>
      <c r="IK236" s="12"/>
      <c r="IL236" s="12"/>
      <c r="IM236" s="12"/>
      <c r="IN236" s="12"/>
      <c r="IO236" s="12"/>
      <c r="IP236" s="12"/>
      <c r="IQ236" s="12"/>
      <c r="IR236" s="12"/>
      <c r="IS236" s="12"/>
      <c r="IT236" s="12"/>
      <c r="IU236" s="12"/>
      <c r="IV236" s="12"/>
      <c r="IW236" s="12"/>
      <c r="IX236" s="12"/>
      <c r="IY236" s="12"/>
      <c r="IZ236" s="12"/>
      <c r="JA236" s="12"/>
      <c r="JB236" s="12"/>
      <c r="JC236" s="12"/>
      <c r="JD236" s="12"/>
      <c r="JE236" s="12"/>
      <c r="JF236" s="12"/>
      <c r="JG236" s="12"/>
      <c r="JH236" s="12"/>
      <c r="JI236" s="12"/>
      <c r="JJ236" s="12"/>
      <c r="JK236" s="12"/>
      <c r="JL236" s="12"/>
      <c r="JM236" s="12"/>
      <c r="JN236" s="12"/>
      <c r="JO236" s="12"/>
      <c r="JP236" s="12"/>
      <c r="JQ236" s="12"/>
      <c r="JR236" s="12"/>
      <c r="JS236" s="12"/>
      <c r="JT236" s="12"/>
      <c r="JU236" s="12"/>
      <c r="JV236" s="12"/>
      <c r="JW236" s="12"/>
      <c r="JX236" s="12"/>
      <c r="JY236" s="12"/>
      <c r="JZ236" s="12"/>
      <c r="KA236" s="12"/>
      <c r="KB236" s="12"/>
      <c r="KC236" s="12"/>
      <c r="KD236" s="12"/>
      <c r="KE236" s="12"/>
      <c r="KF236" s="12"/>
      <c r="KG236" s="12"/>
      <c r="KH236" s="12"/>
      <c r="KI236" s="12"/>
      <c r="KJ236" s="12"/>
      <c r="KK236" s="12"/>
      <c r="KL236" s="12"/>
      <c r="KM236" s="12"/>
      <c r="KN236" s="12"/>
      <c r="KO236" s="12"/>
      <c r="KP236" s="12"/>
      <c r="KQ236" s="12"/>
      <c r="KR236" s="12"/>
      <c r="KS236" s="12"/>
      <c r="KT236" s="12"/>
      <c r="KU236" s="12"/>
      <c r="KV236" s="12"/>
      <c r="KW236" s="12"/>
      <c r="KX236" s="12"/>
      <c r="KY236" s="12"/>
      <c r="KZ236" s="12"/>
      <c r="LA236" s="12"/>
      <c r="LB236" s="12"/>
      <c r="LC236" s="12"/>
      <c r="LD236" s="12"/>
      <c r="LE236" s="12"/>
      <c r="LF236" s="12"/>
      <c r="LG236" s="12"/>
      <c r="LH236" s="12"/>
      <c r="LI236" s="12"/>
      <c r="LJ236" s="12"/>
      <c r="LK236" s="12"/>
      <c r="LL236" s="12"/>
      <c r="LM236" s="12"/>
      <c r="LN236" s="12"/>
      <c r="LO236" s="12"/>
      <c r="LP236" s="12"/>
      <c r="LQ236" s="12"/>
      <c r="LR236" s="12"/>
      <c r="LS236" s="12"/>
      <c r="LT236" s="12"/>
      <c r="LU236" s="12"/>
      <c r="LV236" s="12"/>
      <c r="LW236" s="12"/>
      <c r="LX236" s="12"/>
      <c r="LY236" s="12"/>
      <c r="LZ236" s="12"/>
      <c r="MA236" s="12"/>
      <c r="MB236" s="12"/>
      <c r="MC236" s="12"/>
      <c r="MD236" s="12"/>
      <c r="ME236" s="12"/>
      <c r="MF236" s="12"/>
      <c r="MG236" s="12"/>
      <c r="MH236" s="12"/>
      <c r="MI236" s="12"/>
      <c r="MJ236" s="12"/>
      <c r="MK236" s="12"/>
      <c r="ML236" s="12"/>
      <c r="MM236" s="12"/>
      <c r="MN236" s="12"/>
      <c r="MO236" s="12"/>
      <c r="MP236" s="12"/>
      <c r="MQ236" s="12"/>
      <c r="MR236" s="12"/>
      <c r="MS236" s="12"/>
      <c r="MT236" s="12"/>
      <c r="MU236" s="12"/>
      <c r="MV236" s="12"/>
      <c r="MW236" s="12"/>
      <c r="MX236" s="12"/>
      <c r="MY236" s="12"/>
      <c r="MZ236" s="12"/>
      <c r="NA236" s="12"/>
      <c r="NB236" s="12"/>
      <c r="NC236" s="12"/>
      <c r="ND236" s="12"/>
      <c r="NE236" s="12"/>
      <c r="NF236" s="12"/>
      <c r="NG236" s="12"/>
      <c r="NH236" s="12"/>
      <c r="NI236" s="12"/>
      <c r="NJ236" s="12"/>
      <c r="NK236" s="12"/>
      <c r="NL236" s="12"/>
      <c r="NM236" s="12"/>
      <c r="NN236" s="12"/>
      <c r="NO236" s="12"/>
      <c r="NP236" s="12"/>
      <c r="NQ236" s="12"/>
      <c r="NR236" s="12"/>
      <c r="NS236" s="12"/>
      <c r="NT236" s="12"/>
      <c r="NU236" s="12"/>
      <c r="NV236" s="12"/>
      <c r="NW236" s="12"/>
      <c r="NX236" s="12"/>
      <c r="NY236" s="12"/>
      <c r="NZ236" s="12"/>
      <c r="OA236" s="12"/>
      <c r="OB236" s="12"/>
      <c r="OC236" s="12"/>
      <c r="OD236" s="12"/>
      <c r="OE236" s="12"/>
      <c r="OF236" s="12"/>
      <c r="OG236" s="12"/>
      <c r="OH236" s="12"/>
      <c r="OI236" s="12"/>
      <c r="OJ236" s="12"/>
      <c r="OK236" s="12"/>
      <c r="OL236" s="12"/>
      <c r="OM236" s="12"/>
      <c r="ON236" s="12"/>
      <c r="OO236" s="12"/>
      <c r="OP236" s="12"/>
      <c r="OQ236" s="12"/>
      <c r="OR236" s="12"/>
      <c r="OS236" s="12"/>
      <c r="OT236" s="12"/>
      <c r="OU236" s="12"/>
      <c r="OV236" s="12"/>
      <c r="OW236" s="12"/>
      <c r="OX236" s="12"/>
      <c r="OY236" s="12"/>
      <c r="OZ236" s="12"/>
      <c r="PA236" s="12"/>
      <c r="PB236" s="12"/>
      <c r="PC236" s="12"/>
      <c r="PD236" s="12"/>
      <c r="PE236" s="12"/>
      <c r="PF236" s="12"/>
      <c r="PG236" s="12"/>
      <c r="PH236" s="12"/>
      <c r="PI236" s="12"/>
      <c r="PJ236" s="12"/>
      <c r="PK236" s="12"/>
      <c r="PL236" s="12"/>
      <c r="PM236" s="12"/>
      <c r="PN236" s="12"/>
      <c r="PO236" s="12"/>
      <c r="PP236" s="12"/>
      <c r="PQ236" s="12"/>
      <c r="PR236" s="12"/>
      <c r="PS236" s="12"/>
      <c r="PT236" s="12"/>
      <c r="PU236" s="12"/>
      <c r="PV236" s="12"/>
      <c r="PW236" s="12"/>
      <c r="PX236" s="12"/>
      <c r="PY236" s="12"/>
      <c r="PZ236" s="12"/>
      <c r="QA236" s="12"/>
      <c r="QB236" s="12"/>
      <c r="QC236" s="12"/>
      <c r="QD236" s="12"/>
      <c r="QE236" s="12"/>
      <c r="QF236" s="12"/>
      <c r="QG236" s="12"/>
      <c r="QH236" s="12"/>
      <c r="QI236" s="12"/>
      <c r="QJ236" s="12"/>
      <c r="QK236" s="12"/>
      <c r="QL236" s="12"/>
      <c r="QM236" s="12"/>
      <c r="QN236" s="12"/>
      <c r="QO236" s="12"/>
      <c r="QP236" s="12"/>
      <c r="QQ236" s="12"/>
      <c r="QR236" s="12"/>
      <c r="QS236" s="12"/>
      <c r="QT236" s="12"/>
      <c r="QU236" s="12"/>
      <c r="QV236" s="12"/>
      <c r="QW236" s="12"/>
      <c r="QX236" s="12"/>
      <c r="QY236" s="12"/>
      <c r="QZ236" s="12"/>
      <c r="RA236" s="12"/>
      <c r="RB236" s="12"/>
      <c r="RC236" s="12"/>
      <c r="RD236" s="12"/>
      <c r="RE236" s="12"/>
      <c r="RF236" s="12"/>
      <c r="RG236" s="12"/>
      <c r="RH236" s="12"/>
      <c r="RI236" s="12"/>
      <c r="RJ236" s="12"/>
      <c r="RK236" s="12"/>
      <c r="RL236" s="12"/>
      <c r="RM236" s="12"/>
      <c r="RN236" s="12"/>
      <c r="RO236" s="12"/>
      <c r="RP236" s="12"/>
      <c r="RQ236" s="12"/>
      <c r="RR236" s="12"/>
      <c r="RS236" s="12"/>
      <c r="RT236" s="12"/>
      <c r="RU236" s="12"/>
      <c r="RV236" s="12"/>
      <c r="RW236" s="12"/>
      <c r="RX236" s="12"/>
      <c r="RY236" s="12"/>
      <c r="RZ236" s="12"/>
      <c r="SA236" s="12"/>
      <c r="SB236" s="12"/>
      <c r="SC236" s="12"/>
      <c r="SD236" s="12"/>
      <c r="SE236" s="12"/>
      <c r="SF236" s="12"/>
      <c r="SG236" s="12"/>
      <c r="SH236" s="11"/>
      <c r="SI236" s="11"/>
      <c r="SJ236" s="11"/>
      <c r="SK236" s="11"/>
      <c r="SL236" s="11"/>
      <c r="SM236" s="11"/>
      <c r="SN236" s="11"/>
      <c r="SO236" s="11"/>
      <c r="SP236" s="11"/>
      <c r="SQ236" s="11"/>
      <c r="SR236" s="11"/>
      <c r="SS236" s="11"/>
      <c r="ST236" s="11"/>
      <c r="SU236" s="11"/>
      <c r="SV236" s="11"/>
      <c r="SW236" s="11"/>
      <c r="SX236" s="11"/>
      <c r="SY236" s="11"/>
      <c r="SZ236" s="11"/>
      <c r="TA236" s="11"/>
      <c r="TB236" s="11"/>
      <c r="TC236" s="11"/>
      <c r="TD236" s="11"/>
      <c r="TE236" s="11"/>
      <c r="TF236" s="11"/>
      <c r="TG236" s="11"/>
      <c r="TH236" s="11"/>
      <c r="TI236" s="11"/>
      <c r="TJ236" s="11"/>
      <c r="TK236" s="11"/>
      <c r="TL236" s="11"/>
    </row>
    <row r="237" spans="1:532" x14ac:dyDescent="0.2">
      <c r="A237" s="10" t="s">
        <v>236</v>
      </c>
      <c r="B237" s="12">
        <v>15.71</v>
      </c>
      <c r="C237" s="11">
        <v>0.70288868851958541</v>
      </c>
      <c r="D237" s="11">
        <v>0</v>
      </c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12"/>
      <c r="DM237" s="12"/>
      <c r="DN237" s="12"/>
      <c r="DO237" s="12"/>
      <c r="DP237" s="12"/>
      <c r="DQ237" s="12"/>
      <c r="DR237" s="12"/>
      <c r="DS237" s="12"/>
      <c r="DT237" s="12"/>
      <c r="DU237" s="12"/>
      <c r="DV237" s="12"/>
      <c r="DW237" s="12"/>
      <c r="DX237" s="12"/>
      <c r="DY237" s="12"/>
      <c r="DZ237" s="12"/>
      <c r="EA237" s="12"/>
      <c r="EB237" s="12"/>
      <c r="EC237" s="12"/>
      <c r="ED237" s="12"/>
      <c r="EE237" s="12"/>
      <c r="EF237" s="12"/>
      <c r="EG237" s="12"/>
      <c r="EH237" s="12"/>
      <c r="EI237" s="12"/>
      <c r="EJ237" s="12"/>
      <c r="EK237" s="12"/>
      <c r="EL237" s="12"/>
      <c r="EM237" s="12"/>
      <c r="EN237" s="12"/>
      <c r="EO237" s="12"/>
      <c r="EP237" s="12"/>
      <c r="EQ237" s="12"/>
      <c r="ER237" s="12"/>
      <c r="ES237" s="12"/>
      <c r="ET237" s="12"/>
      <c r="EU237" s="12"/>
      <c r="EV237" s="12"/>
      <c r="EW237" s="12"/>
      <c r="EX237" s="12"/>
      <c r="EY237" s="12"/>
      <c r="EZ237" s="12"/>
      <c r="FA237" s="12"/>
      <c r="FB237" s="12"/>
      <c r="FC237" s="12"/>
      <c r="FD237" s="12"/>
      <c r="FE237" s="12"/>
      <c r="FF237" s="12"/>
      <c r="FG237" s="12"/>
      <c r="FH237" s="12"/>
      <c r="FI237" s="12"/>
      <c r="FJ237" s="12"/>
      <c r="FK237" s="12"/>
      <c r="FL237" s="12"/>
      <c r="FM237" s="12"/>
      <c r="FN237" s="12"/>
      <c r="FO237" s="12"/>
      <c r="FP237" s="12"/>
      <c r="FQ237" s="12"/>
      <c r="FR237" s="12"/>
      <c r="FS237" s="12"/>
      <c r="FT237" s="12"/>
      <c r="FU237" s="12"/>
      <c r="FV237" s="12"/>
      <c r="FW237" s="12"/>
      <c r="FX237" s="12"/>
      <c r="FY237" s="12"/>
      <c r="FZ237" s="12"/>
      <c r="GA237" s="12"/>
      <c r="GB237" s="12"/>
      <c r="GC237" s="12"/>
      <c r="GD237" s="12"/>
      <c r="GE237" s="12"/>
      <c r="GF237" s="12"/>
      <c r="GG237" s="12"/>
      <c r="GH237" s="12"/>
      <c r="GI237" s="12"/>
      <c r="GJ237" s="12"/>
      <c r="GK237" s="12"/>
      <c r="GL237" s="12"/>
      <c r="GM237" s="12"/>
      <c r="GN237" s="12"/>
      <c r="GO237" s="12"/>
      <c r="GP237" s="12"/>
      <c r="GQ237" s="12"/>
      <c r="GR237" s="12"/>
      <c r="GS237" s="12"/>
      <c r="GT237" s="12"/>
      <c r="GU237" s="12"/>
      <c r="GV237" s="12"/>
      <c r="GW237" s="12"/>
      <c r="GX237" s="12"/>
      <c r="GY237" s="12"/>
      <c r="GZ237" s="12"/>
      <c r="HA237" s="12"/>
      <c r="HB237" s="12"/>
      <c r="HC237" s="12"/>
      <c r="HD237" s="12"/>
      <c r="HE237" s="12"/>
      <c r="HF237" s="12"/>
      <c r="HG237" s="12"/>
      <c r="HH237" s="12"/>
      <c r="HI237" s="12"/>
      <c r="HJ237" s="12"/>
      <c r="HK237" s="12"/>
      <c r="HL237" s="12"/>
      <c r="HM237" s="12"/>
      <c r="HN237" s="12"/>
      <c r="HO237" s="12"/>
      <c r="HP237" s="12"/>
      <c r="HQ237" s="12"/>
      <c r="HR237" s="12"/>
      <c r="HS237" s="12"/>
      <c r="HT237" s="12"/>
      <c r="HU237" s="12"/>
      <c r="HV237" s="12"/>
      <c r="HW237" s="12"/>
      <c r="HX237" s="12"/>
      <c r="HY237" s="12"/>
      <c r="HZ237" s="12"/>
      <c r="IA237" s="12"/>
      <c r="IB237" s="12"/>
      <c r="IC237" s="12"/>
      <c r="ID237" s="12"/>
      <c r="IE237" s="12"/>
      <c r="IF237" s="12"/>
      <c r="IG237" s="12"/>
      <c r="IH237" s="12"/>
      <c r="II237" s="12"/>
      <c r="IJ237" s="12"/>
      <c r="IK237" s="12"/>
      <c r="IL237" s="12"/>
      <c r="IM237" s="12"/>
      <c r="IN237" s="12"/>
      <c r="IO237" s="12"/>
      <c r="IP237" s="12"/>
      <c r="IQ237" s="12"/>
      <c r="IR237" s="12"/>
      <c r="IS237" s="12"/>
      <c r="IT237" s="12"/>
      <c r="IU237" s="12"/>
      <c r="IV237" s="12"/>
      <c r="IW237" s="12"/>
      <c r="IX237" s="12"/>
      <c r="IY237" s="12"/>
      <c r="IZ237" s="12"/>
      <c r="JA237" s="12"/>
      <c r="JB237" s="12"/>
      <c r="JC237" s="12"/>
      <c r="JD237" s="12"/>
      <c r="JE237" s="12"/>
      <c r="JF237" s="12"/>
      <c r="JG237" s="12"/>
      <c r="JH237" s="12"/>
      <c r="JI237" s="12"/>
      <c r="JJ237" s="12"/>
      <c r="JK237" s="12"/>
      <c r="JL237" s="12"/>
      <c r="JM237" s="12"/>
      <c r="JN237" s="12"/>
      <c r="JO237" s="12"/>
      <c r="JP237" s="12"/>
      <c r="JQ237" s="12"/>
      <c r="JR237" s="12"/>
      <c r="JS237" s="12"/>
      <c r="JT237" s="12"/>
      <c r="JU237" s="12"/>
      <c r="JV237" s="12"/>
      <c r="JW237" s="12"/>
      <c r="JX237" s="12"/>
      <c r="JY237" s="12"/>
      <c r="JZ237" s="12"/>
      <c r="KA237" s="12"/>
      <c r="KB237" s="12"/>
      <c r="KC237" s="12"/>
      <c r="KD237" s="12"/>
      <c r="KE237" s="12"/>
      <c r="KF237" s="12"/>
      <c r="KG237" s="12"/>
      <c r="KH237" s="12"/>
      <c r="KI237" s="12"/>
      <c r="KJ237" s="12"/>
      <c r="KK237" s="12"/>
      <c r="KL237" s="12"/>
      <c r="KM237" s="12"/>
      <c r="KN237" s="12"/>
      <c r="KO237" s="12"/>
      <c r="KP237" s="12"/>
      <c r="KQ237" s="12"/>
      <c r="KR237" s="12"/>
      <c r="KS237" s="12"/>
      <c r="KT237" s="12"/>
      <c r="KU237" s="12"/>
      <c r="KV237" s="12"/>
      <c r="KW237" s="12"/>
      <c r="KX237" s="12"/>
      <c r="KY237" s="12"/>
      <c r="KZ237" s="12"/>
      <c r="LA237" s="12"/>
      <c r="LB237" s="12"/>
      <c r="LC237" s="12"/>
      <c r="LD237" s="12"/>
      <c r="LE237" s="12"/>
      <c r="LF237" s="12"/>
      <c r="LG237" s="12"/>
      <c r="LH237" s="12"/>
      <c r="LI237" s="12"/>
      <c r="LJ237" s="12"/>
      <c r="LK237" s="12"/>
      <c r="LL237" s="12"/>
      <c r="LM237" s="12"/>
      <c r="LN237" s="12"/>
      <c r="LO237" s="12"/>
      <c r="LP237" s="12"/>
      <c r="LQ237" s="12"/>
      <c r="LR237" s="12"/>
      <c r="LS237" s="12"/>
      <c r="LT237" s="12"/>
      <c r="LU237" s="12"/>
      <c r="LV237" s="12"/>
      <c r="LW237" s="12"/>
      <c r="LX237" s="12"/>
      <c r="LY237" s="12"/>
      <c r="LZ237" s="12"/>
      <c r="MA237" s="12"/>
      <c r="MB237" s="12"/>
      <c r="MC237" s="12"/>
      <c r="MD237" s="12"/>
      <c r="ME237" s="12"/>
      <c r="MF237" s="12"/>
      <c r="MG237" s="12"/>
      <c r="MH237" s="12"/>
      <c r="MI237" s="12"/>
      <c r="MJ237" s="12"/>
      <c r="MK237" s="12"/>
      <c r="ML237" s="12"/>
      <c r="MM237" s="12"/>
      <c r="MN237" s="12"/>
      <c r="MO237" s="12"/>
      <c r="MP237" s="12"/>
      <c r="MQ237" s="12"/>
      <c r="MR237" s="12"/>
      <c r="MS237" s="12"/>
      <c r="MT237" s="12"/>
      <c r="MU237" s="12"/>
      <c r="MV237" s="12"/>
      <c r="MW237" s="12"/>
      <c r="MX237" s="12"/>
      <c r="MY237" s="12"/>
      <c r="MZ237" s="12"/>
      <c r="NA237" s="12"/>
      <c r="NB237" s="12"/>
      <c r="NC237" s="12"/>
      <c r="ND237" s="12"/>
      <c r="NE237" s="12"/>
      <c r="NF237" s="12"/>
      <c r="NG237" s="12"/>
      <c r="NH237" s="12"/>
      <c r="NI237" s="12"/>
      <c r="NJ237" s="12"/>
      <c r="NK237" s="12"/>
      <c r="NL237" s="12"/>
      <c r="NM237" s="12"/>
      <c r="NN237" s="12"/>
      <c r="NO237" s="12"/>
      <c r="NP237" s="12"/>
      <c r="NQ237" s="12"/>
      <c r="NR237" s="12"/>
      <c r="NS237" s="12"/>
      <c r="NT237" s="12"/>
      <c r="NU237" s="12"/>
      <c r="NV237" s="12"/>
      <c r="NW237" s="12"/>
      <c r="NX237" s="12"/>
      <c r="NY237" s="12"/>
      <c r="NZ237" s="12"/>
      <c r="OA237" s="12"/>
      <c r="OB237" s="12"/>
      <c r="OC237" s="12"/>
      <c r="OD237" s="12"/>
      <c r="OE237" s="12"/>
      <c r="OF237" s="12"/>
      <c r="OG237" s="12"/>
      <c r="OH237" s="12"/>
      <c r="OI237" s="12"/>
      <c r="OJ237" s="12"/>
      <c r="OK237" s="12"/>
      <c r="OL237" s="12"/>
      <c r="OM237" s="12"/>
      <c r="ON237" s="12"/>
      <c r="OO237" s="12"/>
      <c r="OP237" s="12"/>
      <c r="OQ237" s="12"/>
      <c r="OR237" s="12"/>
      <c r="OS237" s="12"/>
      <c r="OT237" s="12"/>
      <c r="OU237" s="12"/>
      <c r="OV237" s="12"/>
      <c r="OW237" s="12"/>
      <c r="OX237" s="12"/>
      <c r="OY237" s="12"/>
      <c r="OZ237" s="12"/>
      <c r="PA237" s="12"/>
      <c r="PB237" s="12"/>
      <c r="PC237" s="12"/>
      <c r="PD237" s="12"/>
      <c r="PE237" s="12"/>
      <c r="PF237" s="12"/>
      <c r="PG237" s="12"/>
      <c r="PH237" s="12"/>
      <c r="PI237" s="12"/>
      <c r="PJ237" s="12"/>
      <c r="PK237" s="12"/>
      <c r="PL237" s="12"/>
      <c r="PM237" s="12"/>
      <c r="PN237" s="12"/>
      <c r="PO237" s="12"/>
      <c r="PP237" s="12"/>
      <c r="PQ237" s="12"/>
      <c r="PR237" s="12"/>
      <c r="PS237" s="12"/>
      <c r="PT237" s="12"/>
      <c r="PU237" s="12"/>
      <c r="PV237" s="12"/>
      <c r="PW237" s="12"/>
      <c r="PX237" s="12"/>
      <c r="PY237" s="12"/>
      <c r="PZ237" s="12"/>
      <c r="QA237" s="12"/>
      <c r="QB237" s="12"/>
      <c r="QC237" s="12"/>
      <c r="QD237" s="12"/>
      <c r="QE237" s="12"/>
      <c r="QF237" s="12"/>
      <c r="QG237" s="12"/>
      <c r="QH237" s="12"/>
      <c r="QI237" s="12"/>
      <c r="QJ237" s="12"/>
      <c r="QK237" s="12"/>
      <c r="QL237" s="12"/>
      <c r="QM237" s="12"/>
      <c r="QN237" s="12"/>
      <c r="QO237" s="12"/>
      <c r="QP237" s="12"/>
      <c r="QQ237" s="12"/>
      <c r="QR237" s="12"/>
      <c r="QS237" s="12"/>
      <c r="QT237" s="12"/>
      <c r="QU237" s="12"/>
      <c r="QV237" s="12"/>
      <c r="QW237" s="12"/>
      <c r="QX237" s="12"/>
      <c r="QY237" s="12"/>
      <c r="QZ237" s="12"/>
      <c r="RA237" s="12"/>
      <c r="RB237" s="12"/>
      <c r="RC237" s="12"/>
      <c r="RD237" s="12"/>
      <c r="RE237" s="12"/>
      <c r="RF237" s="12"/>
      <c r="RG237" s="12"/>
      <c r="RH237" s="12"/>
      <c r="RI237" s="12"/>
      <c r="RJ237" s="12"/>
      <c r="RK237" s="12"/>
      <c r="RL237" s="12"/>
      <c r="RM237" s="12"/>
      <c r="RN237" s="12"/>
      <c r="RO237" s="12"/>
      <c r="RP237" s="12"/>
      <c r="RQ237" s="12"/>
      <c r="RR237" s="12"/>
      <c r="RS237" s="12"/>
      <c r="RT237" s="12"/>
      <c r="RU237" s="12"/>
      <c r="RV237" s="12"/>
      <c r="RW237" s="12"/>
      <c r="RX237" s="12"/>
      <c r="RY237" s="12"/>
      <c r="RZ237" s="12"/>
      <c r="SA237" s="12"/>
      <c r="SB237" s="12"/>
      <c r="SC237" s="12"/>
      <c r="SD237" s="12"/>
      <c r="SE237" s="12"/>
      <c r="SF237" s="12"/>
      <c r="SG237" s="12"/>
      <c r="SH237" s="11"/>
      <c r="SI237" s="11"/>
      <c r="SJ237" s="11"/>
      <c r="SK237" s="11"/>
      <c r="SL237" s="11"/>
      <c r="SM237" s="11"/>
      <c r="SN237" s="11"/>
      <c r="SO237" s="11"/>
      <c r="SP237" s="11"/>
      <c r="SQ237" s="11"/>
      <c r="SR237" s="11"/>
      <c r="SS237" s="11"/>
      <c r="ST237" s="11"/>
      <c r="SU237" s="11"/>
      <c r="SV237" s="11"/>
      <c r="SW237" s="11"/>
      <c r="SX237" s="11"/>
      <c r="SY237" s="11"/>
      <c r="SZ237" s="11"/>
      <c r="TA237" s="11"/>
      <c r="TB237" s="11"/>
      <c r="TC237" s="11"/>
      <c r="TD237" s="11"/>
      <c r="TE237" s="11"/>
      <c r="TF237" s="11"/>
      <c r="TG237" s="11"/>
      <c r="TH237" s="11"/>
      <c r="TI237" s="11"/>
      <c r="TJ237" s="11"/>
      <c r="TK237" s="11"/>
      <c r="TL237" s="11"/>
    </row>
    <row r="238" spans="1:532" x14ac:dyDescent="0.2">
      <c r="A238" s="10" t="s">
        <v>237</v>
      </c>
      <c r="B238" s="12">
        <v>15.26</v>
      </c>
      <c r="C238" s="11">
        <v>0.25739585776773555</v>
      </c>
      <c r="D238" s="11">
        <v>0</v>
      </c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12"/>
      <c r="DN238" s="12"/>
      <c r="DO238" s="12"/>
      <c r="DP238" s="12"/>
      <c r="DQ238" s="12"/>
      <c r="DR238" s="12"/>
      <c r="DS238" s="12"/>
      <c r="DT238" s="12"/>
      <c r="DU238" s="12"/>
      <c r="DV238" s="12"/>
      <c r="DW238" s="12"/>
      <c r="DX238" s="12"/>
      <c r="DY238" s="12"/>
      <c r="DZ238" s="12"/>
      <c r="EA238" s="12"/>
      <c r="EB238" s="12"/>
      <c r="EC238" s="12"/>
      <c r="ED238" s="12"/>
      <c r="EE238" s="12"/>
      <c r="EF238" s="12"/>
      <c r="EG238" s="12"/>
      <c r="EH238" s="12"/>
      <c r="EI238" s="12"/>
      <c r="EJ238" s="12"/>
      <c r="EK238" s="12"/>
      <c r="EL238" s="12"/>
      <c r="EM238" s="12"/>
      <c r="EN238" s="12"/>
      <c r="EO238" s="12"/>
      <c r="EP238" s="12"/>
      <c r="EQ238" s="12"/>
      <c r="ER238" s="12"/>
      <c r="ES238" s="12"/>
      <c r="ET238" s="12"/>
      <c r="EU238" s="12"/>
      <c r="EV238" s="12"/>
      <c r="EW238" s="12"/>
      <c r="EX238" s="12"/>
      <c r="EY238" s="12"/>
      <c r="EZ238" s="12"/>
      <c r="FA238" s="12"/>
      <c r="FB238" s="12"/>
      <c r="FC238" s="12"/>
      <c r="FD238" s="12"/>
      <c r="FE238" s="12"/>
      <c r="FF238" s="12"/>
      <c r="FG238" s="12"/>
      <c r="FH238" s="12"/>
      <c r="FI238" s="12"/>
      <c r="FJ238" s="12"/>
      <c r="FK238" s="12"/>
      <c r="FL238" s="12"/>
      <c r="FM238" s="12"/>
      <c r="FN238" s="12"/>
      <c r="FO238" s="12"/>
      <c r="FP238" s="12"/>
      <c r="FQ238" s="12"/>
      <c r="FR238" s="12"/>
      <c r="FS238" s="12"/>
      <c r="FT238" s="12"/>
      <c r="FU238" s="12"/>
      <c r="FV238" s="12"/>
      <c r="FW238" s="12"/>
      <c r="FX238" s="12"/>
      <c r="FY238" s="12"/>
      <c r="FZ238" s="12"/>
      <c r="GA238" s="12"/>
      <c r="GB238" s="12"/>
      <c r="GC238" s="12"/>
      <c r="GD238" s="12"/>
      <c r="GE238" s="12"/>
      <c r="GF238" s="12"/>
      <c r="GG238" s="12"/>
      <c r="GH238" s="12"/>
      <c r="GI238" s="12"/>
      <c r="GJ238" s="12"/>
      <c r="GK238" s="12"/>
      <c r="GL238" s="12"/>
      <c r="GM238" s="12"/>
      <c r="GN238" s="12"/>
      <c r="GO238" s="12"/>
      <c r="GP238" s="12"/>
      <c r="GQ238" s="12"/>
      <c r="GR238" s="12"/>
      <c r="GS238" s="12"/>
      <c r="GT238" s="12"/>
      <c r="GU238" s="12"/>
      <c r="GV238" s="12"/>
      <c r="GW238" s="12"/>
      <c r="GX238" s="12"/>
      <c r="GY238" s="12"/>
      <c r="GZ238" s="12"/>
      <c r="HA238" s="12"/>
      <c r="HB238" s="12"/>
      <c r="HC238" s="12"/>
      <c r="HD238" s="12"/>
      <c r="HE238" s="12"/>
      <c r="HF238" s="12"/>
      <c r="HG238" s="12"/>
      <c r="HH238" s="12"/>
      <c r="HI238" s="12"/>
      <c r="HJ238" s="12"/>
      <c r="HK238" s="12"/>
      <c r="HL238" s="12"/>
      <c r="HM238" s="12"/>
      <c r="HN238" s="12"/>
      <c r="HO238" s="12"/>
      <c r="HP238" s="12"/>
      <c r="HQ238" s="12"/>
      <c r="HR238" s="12"/>
      <c r="HS238" s="12"/>
      <c r="HT238" s="12"/>
      <c r="HU238" s="12"/>
      <c r="HV238" s="12"/>
      <c r="HW238" s="12"/>
      <c r="HX238" s="12"/>
      <c r="HY238" s="12"/>
      <c r="HZ238" s="12"/>
      <c r="IA238" s="12"/>
      <c r="IB238" s="12"/>
      <c r="IC238" s="12"/>
      <c r="ID238" s="12"/>
      <c r="IE238" s="12"/>
      <c r="IF238" s="12"/>
      <c r="IG238" s="12"/>
      <c r="IH238" s="12"/>
      <c r="II238" s="12"/>
      <c r="IJ238" s="12"/>
      <c r="IK238" s="12"/>
      <c r="IL238" s="12"/>
      <c r="IM238" s="12"/>
      <c r="IN238" s="12"/>
      <c r="IO238" s="12"/>
      <c r="IP238" s="12"/>
      <c r="IQ238" s="12"/>
      <c r="IR238" s="12"/>
      <c r="IS238" s="12"/>
      <c r="IT238" s="12"/>
      <c r="IU238" s="12"/>
      <c r="IV238" s="12"/>
      <c r="IW238" s="12"/>
      <c r="IX238" s="12"/>
      <c r="IY238" s="12"/>
      <c r="IZ238" s="12"/>
      <c r="JA238" s="12"/>
      <c r="JB238" s="12"/>
      <c r="JC238" s="12"/>
      <c r="JD238" s="12"/>
      <c r="JE238" s="12"/>
      <c r="JF238" s="12"/>
      <c r="JG238" s="12"/>
      <c r="JH238" s="12"/>
      <c r="JI238" s="12"/>
      <c r="JJ238" s="12"/>
      <c r="JK238" s="12"/>
      <c r="JL238" s="12"/>
      <c r="JM238" s="12"/>
      <c r="JN238" s="12"/>
      <c r="JO238" s="12"/>
      <c r="JP238" s="12"/>
      <c r="JQ238" s="12"/>
      <c r="JR238" s="12"/>
      <c r="JS238" s="12"/>
      <c r="JT238" s="12"/>
      <c r="JU238" s="12"/>
      <c r="JV238" s="12"/>
      <c r="JW238" s="12"/>
      <c r="JX238" s="12"/>
      <c r="JY238" s="12"/>
      <c r="JZ238" s="12"/>
      <c r="KA238" s="12"/>
      <c r="KB238" s="12"/>
      <c r="KC238" s="12"/>
      <c r="KD238" s="12"/>
      <c r="KE238" s="12"/>
      <c r="KF238" s="12"/>
      <c r="KG238" s="12"/>
      <c r="KH238" s="12"/>
      <c r="KI238" s="12"/>
      <c r="KJ238" s="12"/>
      <c r="KK238" s="12"/>
      <c r="KL238" s="12"/>
      <c r="KM238" s="12"/>
      <c r="KN238" s="12"/>
      <c r="KO238" s="12"/>
      <c r="KP238" s="12"/>
      <c r="KQ238" s="12"/>
      <c r="KR238" s="12"/>
      <c r="KS238" s="12"/>
      <c r="KT238" s="12"/>
      <c r="KU238" s="12"/>
      <c r="KV238" s="12"/>
      <c r="KW238" s="12"/>
      <c r="KX238" s="12"/>
      <c r="KY238" s="12"/>
      <c r="KZ238" s="12"/>
      <c r="LA238" s="12"/>
      <c r="LB238" s="12"/>
      <c r="LC238" s="12"/>
      <c r="LD238" s="12"/>
      <c r="LE238" s="12"/>
      <c r="LF238" s="12"/>
      <c r="LG238" s="12"/>
      <c r="LH238" s="12"/>
      <c r="LI238" s="12"/>
      <c r="LJ238" s="12"/>
      <c r="LK238" s="12"/>
      <c r="LL238" s="12"/>
      <c r="LM238" s="12"/>
      <c r="LN238" s="12"/>
      <c r="LO238" s="12"/>
      <c r="LP238" s="12"/>
      <c r="LQ238" s="12"/>
      <c r="LR238" s="12"/>
      <c r="LS238" s="12"/>
      <c r="LT238" s="12"/>
      <c r="LU238" s="12"/>
      <c r="LV238" s="12"/>
      <c r="LW238" s="12"/>
      <c r="LX238" s="12"/>
      <c r="LY238" s="12"/>
      <c r="LZ238" s="12"/>
      <c r="MA238" s="12"/>
      <c r="MB238" s="12"/>
      <c r="MC238" s="12"/>
      <c r="MD238" s="12"/>
      <c r="ME238" s="12"/>
      <c r="MF238" s="12"/>
      <c r="MG238" s="12"/>
      <c r="MH238" s="12"/>
      <c r="MI238" s="12"/>
      <c r="MJ238" s="12"/>
      <c r="MK238" s="12"/>
      <c r="ML238" s="12"/>
      <c r="MM238" s="12"/>
      <c r="MN238" s="12"/>
      <c r="MO238" s="12"/>
      <c r="MP238" s="12"/>
      <c r="MQ238" s="12"/>
      <c r="MR238" s="12"/>
      <c r="MS238" s="12"/>
      <c r="MT238" s="12"/>
      <c r="MU238" s="12"/>
      <c r="MV238" s="12"/>
      <c r="MW238" s="12"/>
      <c r="MX238" s="12"/>
      <c r="MY238" s="12"/>
      <c r="MZ238" s="12"/>
      <c r="NA238" s="12"/>
      <c r="NB238" s="12"/>
      <c r="NC238" s="12"/>
      <c r="ND238" s="12"/>
      <c r="NE238" s="12"/>
      <c r="NF238" s="12"/>
      <c r="NG238" s="12"/>
      <c r="NH238" s="12"/>
      <c r="NI238" s="12"/>
      <c r="NJ238" s="12"/>
      <c r="NK238" s="12"/>
      <c r="NL238" s="12"/>
      <c r="NM238" s="12"/>
      <c r="NN238" s="12"/>
      <c r="NO238" s="12"/>
      <c r="NP238" s="12"/>
      <c r="NQ238" s="12"/>
      <c r="NR238" s="12"/>
      <c r="NS238" s="12"/>
      <c r="NT238" s="12"/>
      <c r="NU238" s="12"/>
      <c r="NV238" s="12"/>
      <c r="NW238" s="12"/>
      <c r="NX238" s="12"/>
      <c r="NY238" s="12"/>
      <c r="NZ238" s="12"/>
      <c r="OA238" s="12"/>
      <c r="OB238" s="12"/>
      <c r="OC238" s="12"/>
      <c r="OD238" s="12"/>
      <c r="OE238" s="12"/>
      <c r="OF238" s="12"/>
      <c r="OG238" s="12"/>
      <c r="OH238" s="12"/>
      <c r="OI238" s="12"/>
      <c r="OJ238" s="12"/>
      <c r="OK238" s="12"/>
      <c r="OL238" s="12"/>
      <c r="OM238" s="12"/>
      <c r="ON238" s="12"/>
      <c r="OO238" s="12"/>
      <c r="OP238" s="12"/>
      <c r="OQ238" s="12"/>
      <c r="OR238" s="12"/>
      <c r="OS238" s="12"/>
      <c r="OT238" s="12"/>
      <c r="OU238" s="12"/>
      <c r="OV238" s="12"/>
      <c r="OW238" s="12"/>
      <c r="OX238" s="12"/>
      <c r="OY238" s="12"/>
      <c r="OZ238" s="12"/>
      <c r="PA238" s="12"/>
      <c r="PB238" s="12"/>
      <c r="PC238" s="12"/>
      <c r="PD238" s="12"/>
      <c r="PE238" s="12"/>
      <c r="PF238" s="12"/>
      <c r="PG238" s="12"/>
      <c r="PH238" s="12"/>
      <c r="PI238" s="12"/>
      <c r="PJ238" s="12"/>
      <c r="PK238" s="12"/>
      <c r="PL238" s="12"/>
      <c r="PM238" s="12"/>
      <c r="PN238" s="12"/>
      <c r="PO238" s="12"/>
      <c r="PP238" s="12"/>
      <c r="PQ238" s="12"/>
      <c r="PR238" s="12"/>
      <c r="PS238" s="12"/>
      <c r="PT238" s="12"/>
      <c r="PU238" s="12"/>
      <c r="PV238" s="12"/>
      <c r="PW238" s="12"/>
      <c r="PX238" s="12"/>
      <c r="PY238" s="12"/>
      <c r="PZ238" s="12"/>
      <c r="QA238" s="12"/>
      <c r="QB238" s="12"/>
      <c r="QC238" s="12"/>
      <c r="QD238" s="12"/>
      <c r="QE238" s="12"/>
      <c r="QF238" s="12"/>
      <c r="QG238" s="12"/>
      <c r="QH238" s="12"/>
      <c r="QI238" s="12"/>
      <c r="QJ238" s="12"/>
      <c r="QK238" s="12"/>
      <c r="QL238" s="12"/>
      <c r="QM238" s="12"/>
      <c r="QN238" s="12"/>
      <c r="QO238" s="12"/>
      <c r="QP238" s="12"/>
      <c r="QQ238" s="12"/>
      <c r="QR238" s="12"/>
      <c r="QS238" s="12"/>
      <c r="QT238" s="12"/>
      <c r="QU238" s="12"/>
      <c r="QV238" s="12"/>
      <c r="QW238" s="12"/>
      <c r="QX238" s="12"/>
      <c r="QY238" s="12"/>
      <c r="QZ238" s="12"/>
      <c r="RA238" s="12"/>
      <c r="RB238" s="12"/>
      <c r="RC238" s="12"/>
      <c r="RD238" s="12"/>
      <c r="RE238" s="12"/>
      <c r="RF238" s="12"/>
      <c r="RG238" s="12"/>
      <c r="RH238" s="12"/>
      <c r="RI238" s="12"/>
      <c r="RJ238" s="12"/>
      <c r="RK238" s="12"/>
      <c r="RL238" s="12"/>
      <c r="RM238" s="12"/>
      <c r="RN238" s="12"/>
      <c r="RO238" s="12"/>
      <c r="RP238" s="12"/>
      <c r="RQ238" s="12"/>
      <c r="RR238" s="12"/>
      <c r="RS238" s="12"/>
      <c r="RT238" s="12"/>
      <c r="RU238" s="12"/>
      <c r="RV238" s="12"/>
      <c r="RW238" s="12"/>
      <c r="RX238" s="12"/>
      <c r="RY238" s="12"/>
      <c r="RZ238" s="12"/>
      <c r="SA238" s="12"/>
      <c r="SB238" s="12"/>
      <c r="SC238" s="12"/>
      <c r="SD238" s="12"/>
      <c r="SE238" s="12"/>
      <c r="SF238" s="12"/>
      <c r="SG238" s="12"/>
      <c r="SH238" s="11"/>
      <c r="SI238" s="11"/>
      <c r="SJ238" s="11"/>
      <c r="SK238" s="11"/>
      <c r="SL238" s="11"/>
      <c r="SM238" s="11"/>
      <c r="SN238" s="11"/>
      <c r="SO238" s="11"/>
      <c r="SP238" s="11"/>
      <c r="SQ238" s="11"/>
      <c r="SR238" s="11"/>
      <c r="SS238" s="11"/>
      <c r="ST238" s="11"/>
      <c r="SU238" s="11"/>
      <c r="SV238" s="11"/>
      <c r="SW238" s="11"/>
      <c r="SX238" s="11"/>
      <c r="SY238" s="11"/>
      <c r="SZ238" s="11"/>
      <c r="TA238" s="11"/>
      <c r="TB238" s="11"/>
      <c r="TC238" s="11"/>
      <c r="TD238" s="11"/>
      <c r="TE238" s="11"/>
      <c r="TF238" s="11"/>
      <c r="TG238" s="11"/>
      <c r="TH238" s="11"/>
      <c r="TI238" s="11"/>
      <c r="TJ238" s="11"/>
      <c r="TK238" s="11"/>
      <c r="TL238" s="11"/>
    </row>
    <row r="239" spans="1:532" x14ac:dyDescent="0.2">
      <c r="A239" s="10" t="s">
        <v>238</v>
      </c>
      <c r="B239" s="12">
        <v>13.79</v>
      </c>
      <c r="C239" s="11">
        <v>0</v>
      </c>
      <c r="D239" s="11">
        <v>1.1978807226883077</v>
      </c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12"/>
      <c r="CY239" s="12"/>
      <c r="CZ239" s="12"/>
      <c r="DA239" s="12"/>
      <c r="DB239" s="12"/>
      <c r="DC239" s="12"/>
      <c r="DD239" s="12"/>
      <c r="DE239" s="12"/>
      <c r="DF239" s="12"/>
      <c r="DG239" s="12"/>
      <c r="DH239" s="12"/>
      <c r="DI239" s="12"/>
      <c r="DJ239" s="12"/>
      <c r="DK239" s="12"/>
      <c r="DL239" s="12"/>
      <c r="DM239" s="12"/>
      <c r="DN239" s="12"/>
      <c r="DO239" s="12"/>
      <c r="DP239" s="12"/>
      <c r="DQ239" s="12"/>
      <c r="DR239" s="12"/>
      <c r="DS239" s="12"/>
      <c r="DT239" s="12"/>
      <c r="DU239" s="12"/>
      <c r="DV239" s="12"/>
      <c r="DW239" s="12"/>
      <c r="DX239" s="12"/>
      <c r="DY239" s="12"/>
      <c r="DZ239" s="12"/>
      <c r="EA239" s="12"/>
      <c r="EB239" s="12"/>
      <c r="EC239" s="12"/>
      <c r="ED239" s="12"/>
      <c r="EE239" s="12"/>
      <c r="EF239" s="12"/>
      <c r="EG239" s="12"/>
      <c r="EH239" s="12"/>
      <c r="EI239" s="12"/>
      <c r="EJ239" s="12"/>
      <c r="EK239" s="12"/>
      <c r="EL239" s="12"/>
      <c r="EM239" s="12"/>
      <c r="EN239" s="12"/>
      <c r="EO239" s="12"/>
      <c r="EP239" s="12"/>
      <c r="EQ239" s="12"/>
      <c r="ER239" s="12"/>
      <c r="ES239" s="12"/>
      <c r="ET239" s="12"/>
      <c r="EU239" s="12"/>
      <c r="EV239" s="12"/>
      <c r="EW239" s="12"/>
      <c r="EX239" s="12"/>
      <c r="EY239" s="12"/>
      <c r="EZ239" s="12"/>
      <c r="FA239" s="12"/>
      <c r="FB239" s="12"/>
      <c r="FC239" s="12"/>
      <c r="FD239" s="12"/>
      <c r="FE239" s="12"/>
      <c r="FF239" s="12"/>
      <c r="FG239" s="12"/>
      <c r="FH239" s="12"/>
      <c r="FI239" s="12"/>
      <c r="FJ239" s="12"/>
      <c r="FK239" s="12"/>
      <c r="FL239" s="12"/>
      <c r="FM239" s="12"/>
      <c r="FN239" s="12"/>
      <c r="FO239" s="12"/>
      <c r="FP239" s="12"/>
      <c r="FQ239" s="12"/>
      <c r="FR239" s="12"/>
      <c r="FS239" s="12"/>
      <c r="FT239" s="12"/>
      <c r="FU239" s="12"/>
      <c r="FV239" s="12"/>
      <c r="FW239" s="12"/>
      <c r="FX239" s="12"/>
      <c r="FY239" s="12"/>
      <c r="FZ239" s="12"/>
      <c r="GA239" s="12"/>
      <c r="GB239" s="12"/>
      <c r="GC239" s="12"/>
      <c r="GD239" s="12"/>
      <c r="GE239" s="12"/>
      <c r="GF239" s="12"/>
      <c r="GG239" s="12"/>
      <c r="GH239" s="12"/>
      <c r="GI239" s="12"/>
      <c r="GJ239" s="12"/>
      <c r="GK239" s="12"/>
      <c r="GL239" s="12"/>
      <c r="GM239" s="12"/>
      <c r="GN239" s="12"/>
      <c r="GO239" s="12"/>
      <c r="GP239" s="12"/>
      <c r="GQ239" s="12"/>
      <c r="GR239" s="12"/>
      <c r="GS239" s="12"/>
      <c r="GT239" s="12"/>
      <c r="GU239" s="12"/>
      <c r="GV239" s="12"/>
      <c r="GW239" s="12"/>
      <c r="GX239" s="12"/>
      <c r="GY239" s="12"/>
      <c r="GZ239" s="12"/>
      <c r="HA239" s="12"/>
      <c r="HB239" s="12"/>
      <c r="HC239" s="12"/>
      <c r="HD239" s="12"/>
      <c r="HE239" s="12"/>
      <c r="HF239" s="12"/>
      <c r="HG239" s="12"/>
      <c r="HH239" s="12"/>
      <c r="HI239" s="12"/>
      <c r="HJ239" s="12"/>
      <c r="HK239" s="12"/>
      <c r="HL239" s="12"/>
      <c r="HM239" s="12"/>
      <c r="HN239" s="12"/>
      <c r="HO239" s="12"/>
      <c r="HP239" s="12"/>
      <c r="HQ239" s="12"/>
      <c r="HR239" s="12"/>
      <c r="HS239" s="12"/>
      <c r="HT239" s="12"/>
      <c r="HU239" s="12"/>
      <c r="HV239" s="12"/>
      <c r="HW239" s="12"/>
      <c r="HX239" s="12"/>
      <c r="HY239" s="12"/>
      <c r="HZ239" s="12"/>
      <c r="IA239" s="12"/>
      <c r="IB239" s="12"/>
      <c r="IC239" s="12"/>
      <c r="ID239" s="12"/>
      <c r="IE239" s="12"/>
      <c r="IF239" s="12"/>
      <c r="IG239" s="12"/>
      <c r="IH239" s="12"/>
      <c r="II239" s="12"/>
      <c r="IJ239" s="12"/>
      <c r="IK239" s="12"/>
      <c r="IL239" s="12"/>
      <c r="IM239" s="12"/>
      <c r="IN239" s="12"/>
      <c r="IO239" s="12"/>
      <c r="IP239" s="12"/>
      <c r="IQ239" s="12"/>
      <c r="IR239" s="12"/>
      <c r="IS239" s="12"/>
      <c r="IT239" s="12"/>
      <c r="IU239" s="12"/>
      <c r="IV239" s="12"/>
      <c r="IW239" s="12"/>
      <c r="IX239" s="12"/>
      <c r="IY239" s="12"/>
      <c r="IZ239" s="12"/>
      <c r="JA239" s="12"/>
      <c r="JB239" s="12"/>
      <c r="JC239" s="12"/>
      <c r="JD239" s="12"/>
      <c r="JE239" s="12"/>
      <c r="JF239" s="12"/>
      <c r="JG239" s="12"/>
      <c r="JH239" s="12"/>
      <c r="JI239" s="12"/>
      <c r="JJ239" s="12"/>
      <c r="JK239" s="12"/>
      <c r="JL239" s="12"/>
      <c r="JM239" s="12"/>
      <c r="JN239" s="12"/>
      <c r="JO239" s="12"/>
      <c r="JP239" s="12"/>
      <c r="JQ239" s="12"/>
      <c r="JR239" s="12"/>
      <c r="JS239" s="12"/>
      <c r="JT239" s="12"/>
      <c r="JU239" s="12"/>
      <c r="JV239" s="12"/>
      <c r="JW239" s="12"/>
      <c r="JX239" s="12"/>
      <c r="JY239" s="12"/>
      <c r="JZ239" s="12"/>
      <c r="KA239" s="12"/>
      <c r="KB239" s="12"/>
      <c r="KC239" s="12"/>
      <c r="KD239" s="12"/>
      <c r="KE239" s="12"/>
      <c r="KF239" s="12"/>
      <c r="KG239" s="12"/>
      <c r="KH239" s="12"/>
      <c r="KI239" s="12"/>
      <c r="KJ239" s="12"/>
      <c r="KK239" s="12"/>
      <c r="KL239" s="12"/>
      <c r="KM239" s="12"/>
      <c r="KN239" s="12"/>
      <c r="KO239" s="12"/>
      <c r="KP239" s="12"/>
      <c r="KQ239" s="12"/>
      <c r="KR239" s="12"/>
      <c r="KS239" s="12"/>
      <c r="KT239" s="12"/>
      <c r="KU239" s="12"/>
      <c r="KV239" s="12"/>
      <c r="KW239" s="12"/>
      <c r="KX239" s="12"/>
      <c r="KY239" s="12"/>
      <c r="KZ239" s="12"/>
      <c r="LA239" s="12"/>
      <c r="LB239" s="12"/>
      <c r="LC239" s="12"/>
      <c r="LD239" s="12"/>
      <c r="LE239" s="12"/>
      <c r="LF239" s="12"/>
      <c r="LG239" s="12"/>
      <c r="LH239" s="12"/>
      <c r="LI239" s="12"/>
      <c r="LJ239" s="12"/>
      <c r="LK239" s="12"/>
      <c r="LL239" s="12"/>
      <c r="LM239" s="12"/>
      <c r="LN239" s="12"/>
      <c r="LO239" s="12"/>
      <c r="LP239" s="12"/>
      <c r="LQ239" s="12"/>
      <c r="LR239" s="12"/>
      <c r="LS239" s="12"/>
      <c r="LT239" s="12"/>
      <c r="LU239" s="12"/>
      <c r="LV239" s="12"/>
      <c r="LW239" s="12"/>
      <c r="LX239" s="12"/>
      <c r="LY239" s="12"/>
      <c r="LZ239" s="12"/>
      <c r="MA239" s="12"/>
      <c r="MB239" s="12"/>
      <c r="MC239" s="12"/>
      <c r="MD239" s="12"/>
      <c r="ME239" s="12"/>
      <c r="MF239" s="12"/>
      <c r="MG239" s="12"/>
      <c r="MH239" s="12"/>
      <c r="MI239" s="12"/>
      <c r="MJ239" s="12"/>
      <c r="MK239" s="12"/>
      <c r="ML239" s="12"/>
      <c r="MM239" s="12"/>
      <c r="MN239" s="12"/>
      <c r="MO239" s="12"/>
      <c r="MP239" s="12"/>
      <c r="MQ239" s="12"/>
      <c r="MR239" s="12"/>
      <c r="MS239" s="12"/>
      <c r="MT239" s="12"/>
      <c r="MU239" s="12"/>
      <c r="MV239" s="12"/>
      <c r="MW239" s="12"/>
      <c r="MX239" s="12"/>
      <c r="MY239" s="12"/>
      <c r="MZ239" s="12"/>
      <c r="NA239" s="12"/>
      <c r="NB239" s="12"/>
      <c r="NC239" s="12"/>
      <c r="ND239" s="12"/>
      <c r="NE239" s="12"/>
      <c r="NF239" s="12"/>
      <c r="NG239" s="12"/>
      <c r="NH239" s="12"/>
      <c r="NI239" s="12"/>
      <c r="NJ239" s="12"/>
      <c r="NK239" s="12"/>
      <c r="NL239" s="12"/>
      <c r="NM239" s="12"/>
      <c r="NN239" s="12"/>
      <c r="NO239" s="12"/>
      <c r="NP239" s="12"/>
      <c r="NQ239" s="12"/>
      <c r="NR239" s="12"/>
      <c r="NS239" s="12"/>
      <c r="NT239" s="12"/>
      <c r="NU239" s="12"/>
      <c r="NV239" s="12"/>
      <c r="NW239" s="12"/>
      <c r="NX239" s="12"/>
      <c r="NY239" s="12"/>
      <c r="NZ239" s="12"/>
      <c r="OA239" s="12"/>
      <c r="OB239" s="12"/>
      <c r="OC239" s="12"/>
      <c r="OD239" s="12"/>
      <c r="OE239" s="12"/>
      <c r="OF239" s="12"/>
      <c r="OG239" s="12"/>
      <c r="OH239" s="12"/>
      <c r="OI239" s="12"/>
      <c r="OJ239" s="12"/>
      <c r="OK239" s="12"/>
      <c r="OL239" s="12"/>
      <c r="OM239" s="12"/>
      <c r="ON239" s="12"/>
      <c r="OO239" s="12"/>
      <c r="OP239" s="12"/>
      <c r="OQ239" s="12"/>
      <c r="OR239" s="12"/>
      <c r="OS239" s="12"/>
      <c r="OT239" s="12"/>
      <c r="OU239" s="12"/>
      <c r="OV239" s="12"/>
      <c r="OW239" s="12"/>
      <c r="OX239" s="12"/>
      <c r="OY239" s="12"/>
      <c r="OZ239" s="12"/>
      <c r="PA239" s="12"/>
      <c r="PB239" s="12"/>
      <c r="PC239" s="12"/>
      <c r="PD239" s="12"/>
      <c r="PE239" s="12"/>
      <c r="PF239" s="12"/>
      <c r="PG239" s="12"/>
      <c r="PH239" s="12"/>
      <c r="PI239" s="12"/>
      <c r="PJ239" s="12"/>
      <c r="PK239" s="12"/>
      <c r="PL239" s="12"/>
      <c r="PM239" s="12"/>
      <c r="PN239" s="12"/>
      <c r="PO239" s="12"/>
      <c r="PP239" s="12"/>
      <c r="PQ239" s="12"/>
      <c r="PR239" s="12"/>
      <c r="PS239" s="12"/>
      <c r="PT239" s="12"/>
      <c r="PU239" s="12"/>
      <c r="PV239" s="12"/>
      <c r="PW239" s="12"/>
      <c r="PX239" s="12"/>
      <c r="PY239" s="12"/>
      <c r="PZ239" s="12"/>
      <c r="QA239" s="12"/>
      <c r="QB239" s="12"/>
      <c r="QC239" s="12"/>
      <c r="QD239" s="12"/>
      <c r="QE239" s="12"/>
      <c r="QF239" s="12"/>
      <c r="QG239" s="12"/>
      <c r="QH239" s="12"/>
      <c r="QI239" s="12"/>
      <c r="QJ239" s="12"/>
      <c r="QK239" s="12"/>
      <c r="QL239" s="12"/>
      <c r="QM239" s="12"/>
      <c r="QN239" s="12"/>
      <c r="QO239" s="12"/>
      <c r="QP239" s="12"/>
      <c r="QQ239" s="12"/>
      <c r="QR239" s="12"/>
      <c r="QS239" s="12"/>
      <c r="QT239" s="12"/>
      <c r="QU239" s="12"/>
      <c r="QV239" s="12"/>
      <c r="QW239" s="12"/>
      <c r="QX239" s="12"/>
      <c r="QY239" s="12"/>
      <c r="QZ239" s="12"/>
      <c r="RA239" s="12"/>
      <c r="RB239" s="12"/>
      <c r="RC239" s="12"/>
      <c r="RD239" s="12"/>
      <c r="RE239" s="12"/>
      <c r="RF239" s="12"/>
      <c r="RG239" s="12"/>
      <c r="RH239" s="12"/>
      <c r="RI239" s="12"/>
      <c r="RJ239" s="12"/>
      <c r="RK239" s="12"/>
      <c r="RL239" s="12"/>
      <c r="RM239" s="12"/>
      <c r="RN239" s="12"/>
      <c r="RO239" s="12"/>
      <c r="RP239" s="12"/>
      <c r="RQ239" s="12"/>
      <c r="RR239" s="12"/>
      <c r="RS239" s="12"/>
      <c r="RT239" s="12"/>
      <c r="RU239" s="12"/>
      <c r="RV239" s="12"/>
      <c r="RW239" s="12"/>
      <c r="RX239" s="12"/>
      <c r="RY239" s="12"/>
      <c r="RZ239" s="12"/>
      <c r="SA239" s="12"/>
      <c r="SB239" s="12"/>
      <c r="SC239" s="12"/>
      <c r="SD239" s="12"/>
      <c r="SE239" s="12"/>
      <c r="SF239" s="12"/>
      <c r="SG239" s="12"/>
      <c r="SH239" s="11"/>
      <c r="SI239" s="11"/>
      <c r="SJ239" s="11"/>
      <c r="SK239" s="11"/>
      <c r="SL239" s="11"/>
      <c r="SM239" s="11"/>
      <c r="SN239" s="11"/>
      <c r="SO239" s="11"/>
      <c r="SP239" s="11"/>
      <c r="SQ239" s="11"/>
      <c r="SR239" s="11"/>
      <c r="SS239" s="11"/>
      <c r="ST239" s="11"/>
      <c r="SU239" s="11"/>
      <c r="SV239" s="11"/>
      <c r="SW239" s="11"/>
      <c r="SX239" s="11"/>
      <c r="SY239" s="11"/>
      <c r="SZ239" s="11"/>
      <c r="TA239" s="11"/>
      <c r="TB239" s="11"/>
      <c r="TC239" s="11"/>
      <c r="TD239" s="11"/>
      <c r="TE239" s="11"/>
      <c r="TF239" s="11"/>
      <c r="TG239" s="11"/>
      <c r="TH239" s="11"/>
      <c r="TI239" s="11"/>
      <c r="TJ239" s="11"/>
      <c r="TK239" s="11"/>
      <c r="TL239" s="11"/>
    </row>
    <row r="240" spans="1:532" x14ac:dyDescent="0.2">
      <c r="A240" s="10" t="s">
        <v>239</v>
      </c>
      <c r="B240" s="12">
        <v>12.07</v>
      </c>
      <c r="C240" s="11">
        <v>0</v>
      </c>
      <c r="D240" s="11">
        <v>2.9006533202287121</v>
      </c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  <c r="BW240" s="12"/>
      <c r="BX240" s="12"/>
      <c r="BY240" s="12"/>
      <c r="BZ240" s="12"/>
      <c r="CA240" s="12"/>
      <c r="CB240" s="12"/>
      <c r="CC240" s="12"/>
      <c r="CD240" s="12"/>
      <c r="CE240" s="12"/>
      <c r="CF240" s="12"/>
      <c r="CG240" s="12"/>
      <c r="CH240" s="12"/>
      <c r="CI240" s="12"/>
      <c r="CJ240" s="12"/>
      <c r="CK240" s="12"/>
      <c r="CL240" s="12"/>
      <c r="CM240" s="12"/>
      <c r="CN240" s="12"/>
      <c r="CO240" s="12"/>
      <c r="CP240" s="12"/>
      <c r="CQ240" s="12"/>
      <c r="CR240" s="12"/>
      <c r="CS240" s="12"/>
      <c r="CT240" s="12"/>
      <c r="CU240" s="12"/>
      <c r="CV240" s="12"/>
      <c r="CW240" s="12"/>
      <c r="CX240" s="12"/>
      <c r="CY240" s="12"/>
      <c r="CZ240" s="12"/>
      <c r="DA240" s="12"/>
      <c r="DB240" s="12"/>
      <c r="DC240" s="12"/>
      <c r="DD240" s="12"/>
      <c r="DE240" s="12"/>
      <c r="DF240" s="12"/>
      <c r="DG240" s="12"/>
      <c r="DH240" s="12"/>
      <c r="DI240" s="12"/>
      <c r="DJ240" s="12"/>
      <c r="DK240" s="12"/>
      <c r="DL240" s="12"/>
      <c r="DM240" s="12"/>
      <c r="DN240" s="12"/>
      <c r="DO240" s="12"/>
      <c r="DP240" s="12"/>
      <c r="DQ240" s="12"/>
      <c r="DR240" s="12"/>
      <c r="DS240" s="12"/>
      <c r="DT240" s="12"/>
      <c r="DU240" s="12"/>
      <c r="DV240" s="12"/>
      <c r="DW240" s="12"/>
      <c r="DX240" s="12"/>
      <c r="DY240" s="12"/>
      <c r="DZ240" s="12"/>
      <c r="EA240" s="12"/>
      <c r="EB240" s="12"/>
      <c r="EC240" s="12"/>
      <c r="ED240" s="12"/>
      <c r="EE240" s="12"/>
      <c r="EF240" s="12"/>
      <c r="EG240" s="12"/>
      <c r="EH240" s="12"/>
      <c r="EI240" s="12"/>
      <c r="EJ240" s="12"/>
      <c r="EK240" s="12"/>
      <c r="EL240" s="12"/>
      <c r="EM240" s="12"/>
      <c r="EN240" s="12"/>
      <c r="EO240" s="12"/>
      <c r="EP240" s="12"/>
      <c r="EQ240" s="12"/>
      <c r="ER240" s="12"/>
      <c r="ES240" s="12"/>
      <c r="ET240" s="12"/>
      <c r="EU240" s="12"/>
      <c r="EV240" s="12"/>
      <c r="EW240" s="12"/>
      <c r="EX240" s="12"/>
      <c r="EY240" s="12"/>
      <c r="EZ240" s="12"/>
      <c r="FA240" s="12"/>
      <c r="FB240" s="12"/>
      <c r="FC240" s="12"/>
      <c r="FD240" s="12"/>
      <c r="FE240" s="12"/>
      <c r="FF240" s="12"/>
      <c r="FG240" s="12"/>
      <c r="FH240" s="12"/>
      <c r="FI240" s="12"/>
      <c r="FJ240" s="12"/>
      <c r="FK240" s="12"/>
      <c r="FL240" s="12"/>
      <c r="FM240" s="12"/>
      <c r="FN240" s="12"/>
      <c r="FO240" s="12"/>
      <c r="FP240" s="12"/>
      <c r="FQ240" s="12"/>
      <c r="FR240" s="12"/>
      <c r="FS240" s="12"/>
      <c r="FT240" s="12"/>
      <c r="FU240" s="12"/>
      <c r="FV240" s="12"/>
      <c r="FW240" s="12"/>
      <c r="FX240" s="12"/>
      <c r="FY240" s="12"/>
      <c r="FZ240" s="12"/>
      <c r="GA240" s="12"/>
      <c r="GB240" s="12"/>
      <c r="GC240" s="12"/>
      <c r="GD240" s="12"/>
      <c r="GE240" s="12"/>
      <c r="GF240" s="12"/>
      <c r="GG240" s="12"/>
      <c r="GH240" s="12"/>
      <c r="GI240" s="12"/>
      <c r="GJ240" s="12"/>
      <c r="GK240" s="12"/>
      <c r="GL240" s="12"/>
      <c r="GM240" s="12"/>
      <c r="GN240" s="12"/>
      <c r="GO240" s="12"/>
      <c r="GP240" s="12"/>
      <c r="GQ240" s="12"/>
      <c r="GR240" s="12"/>
      <c r="GS240" s="12"/>
      <c r="GT240" s="12"/>
      <c r="GU240" s="12"/>
      <c r="GV240" s="12"/>
      <c r="GW240" s="12"/>
      <c r="GX240" s="12"/>
      <c r="GY240" s="12"/>
      <c r="GZ240" s="12"/>
      <c r="HA240" s="12"/>
      <c r="HB240" s="12"/>
      <c r="HC240" s="12"/>
      <c r="HD240" s="12"/>
      <c r="HE240" s="12"/>
      <c r="HF240" s="12"/>
      <c r="HG240" s="12"/>
      <c r="HH240" s="12"/>
      <c r="HI240" s="12"/>
      <c r="HJ240" s="12"/>
      <c r="HK240" s="12"/>
      <c r="HL240" s="12"/>
      <c r="HM240" s="12"/>
      <c r="HN240" s="12"/>
      <c r="HO240" s="12"/>
      <c r="HP240" s="12"/>
      <c r="HQ240" s="12"/>
      <c r="HR240" s="12"/>
      <c r="HS240" s="12"/>
      <c r="HT240" s="12"/>
      <c r="HU240" s="12"/>
      <c r="HV240" s="12"/>
      <c r="HW240" s="12"/>
      <c r="HX240" s="12"/>
      <c r="HY240" s="12"/>
      <c r="HZ240" s="12"/>
      <c r="IA240" s="12"/>
      <c r="IB240" s="12"/>
      <c r="IC240" s="12"/>
      <c r="ID240" s="12"/>
      <c r="IE240" s="12"/>
      <c r="IF240" s="12"/>
      <c r="IG240" s="12"/>
      <c r="IH240" s="12"/>
      <c r="II240" s="12"/>
      <c r="IJ240" s="12"/>
      <c r="IK240" s="12"/>
      <c r="IL240" s="12"/>
      <c r="IM240" s="12"/>
      <c r="IN240" s="12"/>
      <c r="IO240" s="12"/>
      <c r="IP240" s="12"/>
      <c r="IQ240" s="12"/>
      <c r="IR240" s="12"/>
      <c r="IS240" s="12"/>
      <c r="IT240" s="12"/>
      <c r="IU240" s="12"/>
      <c r="IV240" s="12"/>
      <c r="IW240" s="12"/>
      <c r="IX240" s="12"/>
      <c r="IY240" s="12"/>
      <c r="IZ240" s="12"/>
      <c r="JA240" s="12"/>
      <c r="JB240" s="12"/>
      <c r="JC240" s="12"/>
      <c r="JD240" s="12"/>
      <c r="JE240" s="12"/>
      <c r="JF240" s="12"/>
      <c r="JG240" s="12"/>
      <c r="JH240" s="12"/>
      <c r="JI240" s="12"/>
      <c r="JJ240" s="12"/>
      <c r="JK240" s="12"/>
      <c r="JL240" s="12"/>
      <c r="JM240" s="12"/>
      <c r="JN240" s="12"/>
      <c r="JO240" s="12"/>
      <c r="JP240" s="12"/>
      <c r="JQ240" s="12"/>
      <c r="JR240" s="12"/>
      <c r="JS240" s="12"/>
      <c r="JT240" s="12"/>
      <c r="JU240" s="12"/>
      <c r="JV240" s="12"/>
      <c r="JW240" s="12"/>
      <c r="JX240" s="12"/>
      <c r="JY240" s="12"/>
      <c r="JZ240" s="12"/>
      <c r="KA240" s="12"/>
      <c r="KB240" s="12"/>
      <c r="KC240" s="12"/>
      <c r="KD240" s="12"/>
      <c r="KE240" s="12"/>
      <c r="KF240" s="12"/>
      <c r="KG240" s="12"/>
      <c r="KH240" s="12"/>
      <c r="KI240" s="12"/>
      <c r="KJ240" s="12"/>
      <c r="KK240" s="12"/>
      <c r="KL240" s="12"/>
      <c r="KM240" s="12"/>
      <c r="KN240" s="12"/>
      <c r="KO240" s="12"/>
      <c r="KP240" s="12"/>
      <c r="KQ240" s="12"/>
      <c r="KR240" s="12"/>
      <c r="KS240" s="12"/>
      <c r="KT240" s="12"/>
      <c r="KU240" s="12"/>
      <c r="KV240" s="12"/>
      <c r="KW240" s="12"/>
      <c r="KX240" s="12"/>
      <c r="KY240" s="12"/>
      <c r="KZ240" s="12"/>
      <c r="LA240" s="12"/>
      <c r="LB240" s="12"/>
      <c r="LC240" s="12"/>
      <c r="LD240" s="12"/>
      <c r="LE240" s="12"/>
      <c r="LF240" s="12"/>
      <c r="LG240" s="12"/>
      <c r="LH240" s="12"/>
      <c r="LI240" s="12"/>
      <c r="LJ240" s="12"/>
      <c r="LK240" s="12"/>
      <c r="LL240" s="12"/>
      <c r="LM240" s="12"/>
      <c r="LN240" s="12"/>
      <c r="LO240" s="12"/>
      <c r="LP240" s="12"/>
      <c r="LQ240" s="12"/>
      <c r="LR240" s="12"/>
      <c r="LS240" s="12"/>
      <c r="LT240" s="12"/>
      <c r="LU240" s="12"/>
      <c r="LV240" s="12"/>
      <c r="LW240" s="12"/>
      <c r="LX240" s="12"/>
      <c r="LY240" s="12"/>
      <c r="LZ240" s="12"/>
      <c r="MA240" s="12"/>
      <c r="MB240" s="12"/>
      <c r="MC240" s="12"/>
      <c r="MD240" s="12"/>
      <c r="ME240" s="12"/>
      <c r="MF240" s="12"/>
      <c r="MG240" s="12"/>
      <c r="MH240" s="12"/>
      <c r="MI240" s="12"/>
      <c r="MJ240" s="12"/>
      <c r="MK240" s="12"/>
      <c r="ML240" s="12"/>
      <c r="MM240" s="12"/>
      <c r="MN240" s="12"/>
      <c r="MO240" s="12"/>
      <c r="MP240" s="12"/>
      <c r="MQ240" s="12"/>
      <c r="MR240" s="12"/>
      <c r="MS240" s="12"/>
      <c r="MT240" s="12"/>
      <c r="MU240" s="12"/>
      <c r="MV240" s="12"/>
      <c r="MW240" s="12"/>
      <c r="MX240" s="12"/>
      <c r="MY240" s="12"/>
      <c r="MZ240" s="12"/>
      <c r="NA240" s="12"/>
      <c r="NB240" s="12"/>
      <c r="NC240" s="12"/>
      <c r="ND240" s="12"/>
      <c r="NE240" s="12"/>
      <c r="NF240" s="12"/>
      <c r="NG240" s="12"/>
      <c r="NH240" s="12"/>
      <c r="NI240" s="12"/>
      <c r="NJ240" s="12"/>
      <c r="NK240" s="12"/>
      <c r="NL240" s="12"/>
      <c r="NM240" s="12"/>
      <c r="NN240" s="12"/>
      <c r="NO240" s="12"/>
      <c r="NP240" s="12"/>
      <c r="NQ240" s="12"/>
      <c r="NR240" s="12"/>
      <c r="NS240" s="12"/>
      <c r="NT240" s="12"/>
      <c r="NU240" s="12"/>
      <c r="NV240" s="12"/>
      <c r="NW240" s="12"/>
      <c r="NX240" s="12"/>
      <c r="NY240" s="12"/>
      <c r="NZ240" s="12"/>
      <c r="OA240" s="12"/>
      <c r="OB240" s="12"/>
      <c r="OC240" s="12"/>
      <c r="OD240" s="12"/>
      <c r="OE240" s="12"/>
      <c r="OF240" s="12"/>
      <c r="OG240" s="12"/>
      <c r="OH240" s="12"/>
      <c r="OI240" s="12"/>
      <c r="OJ240" s="12"/>
      <c r="OK240" s="12"/>
      <c r="OL240" s="12"/>
      <c r="OM240" s="12"/>
      <c r="ON240" s="12"/>
      <c r="OO240" s="12"/>
      <c r="OP240" s="12"/>
      <c r="OQ240" s="12"/>
      <c r="OR240" s="12"/>
      <c r="OS240" s="12"/>
      <c r="OT240" s="12"/>
      <c r="OU240" s="12"/>
      <c r="OV240" s="12"/>
      <c r="OW240" s="12"/>
      <c r="OX240" s="12"/>
      <c r="OY240" s="12"/>
      <c r="OZ240" s="12"/>
      <c r="PA240" s="12"/>
      <c r="PB240" s="12"/>
      <c r="PC240" s="12"/>
      <c r="PD240" s="12"/>
      <c r="PE240" s="12"/>
      <c r="PF240" s="12"/>
      <c r="PG240" s="12"/>
      <c r="PH240" s="12"/>
      <c r="PI240" s="12"/>
      <c r="PJ240" s="12"/>
      <c r="PK240" s="12"/>
      <c r="PL240" s="12"/>
      <c r="PM240" s="12"/>
      <c r="PN240" s="12"/>
      <c r="PO240" s="12"/>
      <c r="PP240" s="12"/>
      <c r="PQ240" s="12"/>
      <c r="PR240" s="12"/>
      <c r="PS240" s="12"/>
      <c r="PT240" s="12"/>
      <c r="PU240" s="12"/>
      <c r="PV240" s="12"/>
      <c r="PW240" s="12"/>
      <c r="PX240" s="12"/>
      <c r="PY240" s="12"/>
      <c r="PZ240" s="12"/>
      <c r="QA240" s="12"/>
      <c r="QB240" s="12"/>
      <c r="QC240" s="12"/>
      <c r="QD240" s="12"/>
      <c r="QE240" s="12"/>
      <c r="QF240" s="12"/>
      <c r="QG240" s="12"/>
      <c r="QH240" s="12"/>
      <c r="QI240" s="12"/>
      <c r="QJ240" s="12"/>
      <c r="QK240" s="12"/>
      <c r="QL240" s="12"/>
      <c r="QM240" s="12"/>
      <c r="QN240" s="12"/>
      <c r="QO240" s="12"/>
      <c r="QP240" s="12"/>
      <c r="QQ240" s="12"/>
      <c r="QR240" s="12"/>
      <c r="QS240" s="12"/>
      <c r="QT240" s="12"/>
      <c r="QU240" s="12"/>
      <c r="QV240" s="12"/>
      <c r="QW240" s="12"/>
      <c r="QX240" s="12"/>
      <c r="QY240" s="12"/>
      <c r="QZ240" s="12"/>
      <c r="RA240" s="12"/>
      <c r="RB240" s="12"/>
      <c r="RC240" s="12"/>
      <c r="RD240" s="12"/>
      <c r="RE240" s="12"/>
      <c r="RF240" s="12"/>
      <c r="RG240" s="12"/>
      <c r="RH240" s="12"/>
      <c r="RI240" s="12"/>
      <c r="RJ240" s="12"/>
      <c r="RK240" s="12"/>
      <c r="RL240" s="12"/>
      <c r="RM240" s="12"/>
      <c r="RN240" s="12"/>
      <c r="RO240" s="12"/>
      <c r="RP240" s="12"/>
      <c r="RQ240" s="12"/>
      <c r="RR240" s="12"/>
      <c r="RS240" s="12"/>
      <c r="RT240" s="12"/>
      <c r="RU240" s="12"/>
      <c r="RV240" s="12"/>
      <c r="RW240" s="12"/>
      <c r="RX240" s="12"/>
      <c r="RY240" s="12"/>
      <c r="RZ240" s="12"/>
      <c r="SA240" s="12"/>
      <c r="SB240" s="12"/>
      <c r="SC240" s="12"/>
      <c r="SD240" s="12"/>
      <c r="SE240" s="12"/>
      <c r="SF240" s="12"/>
      <c r="SG240" s="12"/>
      <c r="SH240" s="11"/>
      <c r="SI240" s="11"/>
      <c r="SJ240" s="11"/>
      <c r="SK240" s="11"/>
      <c r="SL240" s="11"/>
      <c r="SM240" s="11"/>
      <c r="SN240" s="11"/>
      <c r="SO240" s="11"/>
      <c r="SP240" s="11"/>
      <c r="SQ240" s="11"/>
      <c r="SR240" s="11"/>
      <c r="SS240" s="11"/>
      <c r="ST240" s="11"/>
      <c r="SU240" s="11"/>
      <c r="SV240" s="11"/>
      <c r="SW240" s="11"/>
      <c r="SX240" s="11"/>
      <c r="SY240" s="11"/>
      <c r="SZ240" s="11"/>
      <c r="TA240" s="11"/>
      <c r="TB240" s="11"/>
      <c r="TC240" s="11"/>
      <c r="TD240" s="11"/>
      <c r="TE240" s="11"/>
      <c r="TF240" s="11"/>
      <c r="TG240" s="11"/>
      <c r="TH240" s="11"/>
      <c r="TI240" s="11"/>
      <c r="TJ240" s="11"/>
      <c r="TK240" s="11"/>
      <c r="TL240" s="11"/>
    </row>
    <row r="241" spans="1:532" x14ac:dyDescent="0.2">
      <c r="A241" s="10" t="s">
        <v>240</v>
      </c>
      <c r="B241" s="12">
        <v>14.55</v>
      </c>
      <c r="C241" s="11">
        <v>0</v>
      </c>
      <c r="D241" s="11">
        <v>0.44549283075184998</v>
      </c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12"/>
      <c r="EP241" s="12"/>
      <c r="EQ241" s="12"/>
      <c r="ER241" s="12"/>
      <c r="ES241" s="12"/>
      <c r="ET241" s="12"/>
      <c r="EU241" s="12"/>
      <c r="EV241" s="12"/>
      <c r="EW241" s="12"/>
      <c r="EX241" s="12"/>
      <c r="EY241" s="12"/>
      <c r="EZ241" s="12"/>
      <c r="FA241" s="12"/>
      <c r="FB241" s="12"/>
      <c r="FC241" s="12"/>
      <c r="FD241" s="12"/>
      <c r="FE241" s="12"/>
      <c r="FF241" s="12"/>
      <c r="FG241" s="12"/>
      <c r="FH241" s="12"/>
      <c r="FI241" s="12"/>
      <c r="FJ241" s="12"/>
      <c r="FK241" s="12"/>
      <c r="FL241" s="12"/>
      <c r="FM241" s="12"/>
      <c r="FN241" s="12"/>
      <c r="FO241" s="12"/>
      <c r="FP241" s="12"/>
      <c r="FQ241" s="12"/>
      <c r="FR241" s="12"/>
      <c r="FS241" s="12"/>
      <c r="FT241" s="12"/>
      <c r="FU241" s="12"/>
      <c r="FV241" s="12"/>
      <c r="FW241" s="12"/>
      <c r="FX241" s="12"/>
      <c r="FY241" s="12"/>
      <c r="FZ241" s="12"/>
      <c r="GA241" s="12"/>
      <c r="GB241" s="12"/>
      <c r="GC241" s="12"/>
      <c r="GD241" s="12"/>
      <c r="GE241" s="12"/>
      <c r="GF241" s="12"/>
      <c r="GG241" s="12"/>
      <c r="GH241" s="12"/>
      <c r="GI241" s="12"/>
      <c r="GJ241" s="12"/>
      <c r="GK241" s="12"/>
      <c r="GL241" s="12"/>
      <c r="GM241" s="12"/>
      <c r="GN241" s="12"/>
      <c r="GO241" s="12"/>
      <c r="GP241" s="12"/>
      <c r="GQ241" s="12"/>
      <c r="GR241" s="12"/>
      <c r="GS241" s="12"/>
      <c r="GT241" s="12"/>
      <c r="GU241" s="12"/>
      <c r="GV241" s="12"/>
      <c r="GW241" s="12"/>
      <c r="GX241" s="12"/>
      <c r="GY241" s="12"/>
      <c r="GZ241" s="12"/>
      <c r="HA241" s="12"/>
      <c r="HB241" s="12"/>
      <c r="HC241" s="12"/>
      <c r="HD241" s="12"/>
      <c r="HE241" s="12"/>
      <c r="HF241" s="12"/>
      <c r="HG241" s="12"/>
      <c r="HH241" s="12"/>
      <c r="HI241" s="12"/>
      <c r="HJ241" s="12"/>
      <c r="HK241" s="12"/>
      <c r="HL241" s="12"/>
      <c r="HM241" s="12"/>
      <c r="HN241" s="12"/>
      <c r="HO241" s="12"/>
      <c r="HP241" s="12"/>
      <c r="HQ241" s="12"/>
      <c r="HR241" s="12"/>
      <c r="HS241" s="12"/>
      <c r="HT241" s="12"/>
      <c r="HU241" s="12"/>
      <c r="HV241" s="12"/>
      <c r="HW241" s="12"/>
      <c r="HX241" s="12"/>
      <c r="HY241" s="12"/>
      <c r="HZ241" s="12"/>
      <c r="IA241" s="12"/>
      <c r="IB241" s="12"/>
      <c r="IC241" s="12"/>
      <c r="ID241" s="12"/>
      <c r="IE241" s="12"/>
      <c r="IF241" s="12"/>
      <c r="IG241" s="12"/>
      <c r="IH241" s="12"/>
      <c r="II241" s="12"/>
      <c r="IJ241" s="12"/>
      <c r="IK241" s="12"/>
      <c r="IL241" s="12"/>
      <c r="IM241" s="12"/>
      <c r="IN241" s="12"/>
      <c r="IO241" s="12"/>
      <c r="IP241" s="12"/>
      <c r="IQ241" s="12"/>
      <c r="IR241" s="12"/>
      <c r="IS241" s="12"/>
      <c r="IT241" s="12"/>
      <c r="IU241" s="12"/>
      <c r="IV241" s="12"/>
      <c r="IW241" s="12"/>
      <c r="IX241" s="12"/>
      <c r="IY241" s="12"/>
      <c r="IZ241" s="12"/>
      <c r="JA241" s="12"/>
      <c r="JB241" s="12"/>
      <c r="JC241" s="12"/>
      <c r="JD241" s="12"/>
      <c r="JE241" s="12"/>
      <c r="JF241" s="12"/>
      <c r="JG241" s="12"/>
      <c r="JH241" s="12"/>
      <c r="JI241" s="12"/>
      <c r="JJ241" s="12"/>
      <c r="JK241" s="12"/>
      <c r="JL241" s="12"/>
      <c r="JM241" s="12"/>
      <c r="JN241" s="12"/>
      <c r="JO241" s="12"/>
      <c r="JP241" s="12"/>
      <c r="JQ241" s="12"/>
      <c r="JR241" s="12"/>
      <c r="JS241" s="12"/>
      <c r="JT241" s="12"/>
      <c r="JU241" s="12"/>
      <c r="JV241" s="12"/>
      <c r="JW241" s="12"/>
      <c r="JX241" s="12"/>
      <c r="JY241" s="12"/>
      <c r="JZ241" s="12"/>
      <c r="KA241" s="12"/>
      <c r="KB241" s="12"/>
      <c r="KC241" s="12"/>
      <c r="KD241" s="12"/>
      <c r="KE241" s="12"/>
      <c r="KF241" s="12"/>
      <c r="KG241" s="12"/>
      <c r="KH241" s="12"/>
      <c r="KI241" s="12"/>
      <c r="KJ241" s="12"/>
      <c r="KK241" s="12"/>
      <c r="KL241" s="12"/>
      <c r="KM241" s="12"/>
      <c r="KN241" s="12"/>
      <c r="KO241" s="12"/>
      <c r="KP241" s="12"/>
      <c r="KQ241" s="12"/>
      <c r="KR241" s="12"/>
      <c r="KS241" s="12"/>
      <c r="KT241" s="12"/>
      <c r="KU241" s="12"/>
      <c r="KV241" s="12"/>
      <c r="KW241" s="12"/>
      <c r="KX241" s="12"/>
      <c r="KY241" s="12"/>
      <c r="KZ241" s="12"/>
      <c r="LA241" s="12"/>
      <c r="LB241" s="12"/>
      <c r="LC241" s="12"/>
      <c r="LD241" s="12"/>
      <c r="LE241" s="12"/>
      <c r="LF241" s="12"/>
      <c r="LG241" s="12"/>
      <c r="LH241" s="12"/>
      <c r="LI241" s="12"/>
      <c r="LJ241" s="12"/>
      <c r="LK241" s="12"/>
      <c r="LL241" s="12"/>
      <c r="LM241" s="12"/>
      <c r="LN241" s="12"/>
      <c r="LO241" s="12"/>
      <c r="LP241" s="12"/>
      <c r="LQ241" s="12"/>
      <c r="LR241" s="12"/>
      <c r="LS241" s="12"/>
      <c r="LT241" s="12"/>
      <c r="LU241" s="12"/>
      <c r="LV241" s="12"/>
      <c r="LW241" s="12"/>
      <c r="LX241" s="12"/>
      <c r="LY241" s="12"/>
      <c r="LZ241" s="12"/>
      <c r="MA241" s="12"/>
      <c r="MB241" s="12"/>
      <c r="MC241" s="12"/>
      <c r="MD241" s="12"/>
      <c r="ME241" s="12"/>
      <c r="MF241" s="12"/>
      <c r="MG241" s="12"/>
      <c r="MH241" s="12"/>
      <c r="MI241" s="12"/>
      <c r="MJ241" s="12"/>
      <c r="MK241" s="12"/>
      <c r="ML241" s="12"/>
      <c r="MM241" s="12"/>
      <c r="MN241" s="12"/>
      <c r="MO241" s="12"/>
      <c r="MP241" s="12"/>
      <c r="MQ241" s="12"/>
      <c r="MR241" s="12"/>
      <c r="MS241" s="12"/>
      <c r="MT241" s="12"/>
      <c r="MU241" s="12"/>
      <c r="MV241" s="12"/>
      <c r="MW241" s="12"/>
      <c r="MX241" s="12"/>
      <c r="MY241" s="12"/>
      <c r="MZ241" s="12"/>
      <c r="NA241" s="12"/>
      <c r="NB241" s="12"/>
      <c r="NC241" s="12"/>
      <c r="ND241" s="12"/>
      <c r="NE241" s="12"/>
      <c r="NF241" s="12"/>
      <c r="NG241" s="12"/>
      <c r="NH241" s="12"/>
      <c r="NI241" s="12"/>
      <c r="NJ241" s="12"/>
      <c r="NK241" s="12"/>
      <c r="NL241" s="12"/>
      <c r="NM241" s="12"/>
      <c r="NN241" s="12"/>
      <c r="NO241" s="12"/>
      <c r="NP241" s="12"/>
      <c r="NQ241" s="12"/>
      <c r="NR241" s="12"/>
      <c r="NS241" s="12"/>
      <c r="NT241" s="12"/>
      <c r="NU241" s="12"/>
      <c r="NV241" s="12"/>
      <c r="NW241" s="12"/>
      <c r="NX241" s="12"/>
      <c r="NY241" s="12"/>
      <c r="NZ241" s="12"/>
      <c r="OA241" s="12"/>
      <c r="OB241" s="12"/>
      <c r="OC241" s="12"/>
      <c r="OD241" s="12"/>
      <c r="OE241" s="12"/>
      <c r="OF241" s="12"/>
      <c r="OG241" s="12"/>
      <c r="OH241" s="12"/>
      <c r="OI241" s="12"/>
      <c r="OJ241" s="12"/>
      <c r="OK241" s="12"/>
      <c r="OL241" s="12"/>
      <c r="OM241" s="12"/>
      <c r="ON241" s="12"/>
      <c r="OO241" s="12"/>
      <c r="OP241" s="12"/>
      <c r="OQ241" s="12"/>
      <c r="OR241" s="12"/>
      <c r="OS241" s="12"/>
      <c r="OT241" s="12"/>
      <c r="OU241" s="12"/>
      <c r="OV241" s="12"/>
      <c r="OW241" s="12"/>
      <c r="OX241" s="12"/>
      <c r="OY241" s="12"/>
      <c r="OZ241" s="12"/>
      <c r="PA241" s="12"/>
      <c r="PB241" s="12"/>
      <c r="PC241" s="12"/>
      <c r="PD241" s="12"/>
      <c r="PE241" s="12"/>
      <c r="PF241" s="12"/>
      <c r="PG241" s="12"/>
      <c r="PH241" s="12"/>
      <c r="PI241" s="12"/>
      <c r="PJ241" s="12"/>
      <c r="PK241" s="12"/>
      <c r="PL241" s="12"/>
      <c r="PM241" s="12"/>
      <c r="PN241" s="12"/>
      <c r="PO241" s="12"/>
      <c r="PP241" s="12"/>
      <c r="PQ241" s="12"/>
      <c r="PR241" s="12"/>
      <c r="PS241" s="12"/>
      <c r="PT241" s="12"/>
      <c r="PU241" s="12"/>
      <c r="PV241" s="12"/>
      <c r="PW241" s="12"/>
      <c r="PX241" s="12"/>
      <c r="PY241" s="12"/>
      <c r="PZ241" s="12"/>
      <c r="QA241" s="12"/>
      <c r="QB241" s="12"/>
      <c r="QC241" s="12"/>
      <c r="QD241" s="12"/>
      <c r="QE241" s="12"/>
      <c r="QF241" s="12"/>
      <c r="QG241" s="12"/>
      <c r="QH241" s="12"/>
      <c r="QI241" s="12"/>
      <c r="QJ241" s="12"/>
      <c r="QK241" s="12"/>
      <c r="QL241" s="12"/>
      <c r="QM241" s="12"/>
      <c r="QN241" s="12"/>
      <c r="QO241" s="12"/>
      <c r="QP241" s="12"/>
      <c r="QQ241" s="12"/>
      <c r="QR241" s="12"/>
      <c r="QS241" s="12"/>
      <c r="QT241" s="12"/>
      <c r="QU241" s="12"/>
      <c r="QV241" s="12"/>
      <c r="QW241" s="12"/>
      <c r="QX241" s="12"/>
      <c r="QY241" s="12"/>
      <c r="QZ241" s="12"/>
      <c r="RA241" s="12"/>
      <c r="RB241" s="12"/>
      <c r="RC241" s="12"/>
      <c r="RD241" s="12"/>
      <c r="RE241" s="12"/>
      <c r="RF241" s="12"/>
      <c r="RG241" s="12"/>
      <c r="RH241" s="12"/>
      <c r="RI241" s="12"/>
      <c r="RJ241" s="12"/>
      <c r="RK241" s="12"/>
      <c r="RL241" s="12"/>
      <c r="RM241" s="12"/>
      <c r="RN241" s="12"/>
      <c r="RO241" s="12"/>
      <c r="RP241" s="12"/>
      <c r="RQ241" s="12"/>
      <c r="RR241" s="12"/>
      <c r="RS241" s="12"/>
      <c r="RT241" s="12"/>
      <c r="RU241" s="12"/>
      <c r="RV241" s="12"/>
      <c r="RW241" s="12"/>
      <c r="RX241" s="12"/>
      <c r="RY241" s="12"/>
      <c r="RZ241" s="12"/>
      <c r="SA241" s="12"/>
      <c r="SB241" s="12"/>
      <c r="SC241" s="12"/>
      <c r="SD241" s="12"/>
      <c r="SE241" s="12"/>
      <c r="SF241" s="12"/>
      <c r="SG241" s="12"/>
      <c r="SH241" s="11"/>
      <c r="SI241" s="11"/>
      <c r="SJ241" s="11"/>
      <c r="SK241" s="11"/>
      <c r="SL241" s="11"/>
      <c r="SM241" s="11"/>
      <c r="SN241" s="11"/>
      <c r="SO241" s="11"/>
      <c r="SP241" s="11"/>
      <c r="SQ241" s="11"/>
      <c r="SR241" s="11"/>
      <c r="SS241" s="11"/>
      <c r="ST241" s="11"/>
      <c r="SU241" s="11"/>
      <c r="SV241" s="11"/>
      <c r="SW241" s="11"/>
      <c r="SX241" s="11"/>
      <c r="SY241" s="11"/>
      <c r="SZ241" s="11"/>
      <c r="TA241" s="11"/>
      <c r="TB241" s="11"/>
      <c r="TC241" s="11"/>
      <c r="TD241" s="11"/>
      <c r="TE241" s="11"/>
      <c r="TF241" s="11"/>
      <c r="TG241" s="11"/>
      <c r="TH241" s="11"/>
      <c r="TI241" s="11"/>
      <c r="TJ241" s="11"/>
      <c r="TK241" s="11"/>
      <c r="TL241" s="11"/>
    </row>
    <row r="242" spans="1:532" x14ac:dyDescent="0.2">
      <c r="A242" s="10" t="s">
        <v>241</v>
      </c>
      <c r="B242" s="12">
        <v>13.67</v>
      </c>
      <c r="C242" s="11">
        <v>0</v>
      </c>
      <c r="D242" s="11">
        <v>1.316678810888801</v>
      </c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  <c r="BW242" s="12"/>
      <c r="BX242" s="12"/>
      <c r="BY242" s="12"/>
      <c r="BZ242" s="12"/>
      <c r="CA242" s="12"/>
      <c r="CB242" s="12"/>
      <c r="CC242" s="12"/>
      <c r="CD242" s="12"/>
      <c r="CE242" s="12"/>
      <c r="CF242" s="12"/>
      <c r="CG242" s="12"/>
      <c r="CH242" s="12"/>
      <c r="CI242" s="12"/>
      <c r="CJ242" s="12"/>
      <c r="CK242" s="12"/>
      <c r="CL242" s="12"/>
      <c r="CM242" s="12"/>
      <c r="CN242" s="12"/>
      <c r="CO242" s="12"/>
      <c r="CP242" s="12"/>
      <c r="CQ242" s="12"/>
      <c r="CR242" s="12"/>
      <c r="CS242" s="12"/>
      <c r="CT242" s="12"/>
      <c r="CU242" s="12"/>
      <c r="CV242" s="12"/>
      <c r="CW242" s="12"/>
      <c r="CX242" s="12"/>
      <c r="CY242" s="12"/>
      <c r="CZ242" s="12"/>
      <c r="DA242" s="12"/>
      <c r="DB242" s="12"/>
      <c r="DC242" s="12"/>
      <c r="DD242" s="12"/>
      <c r="DE242" s="12"/>
      <c r="DF242" s="12"/>
      <c r="DG242" s="12"/>
      <c r="DH242" s="12"/>
      <c r="DI242" s="12"/>
      <c r="DJ242" s="12"/>
      <c r="DK242" s="12"/>
      <c r="DL242" s="12"/>
      <c r="DM242" s="12"/>
      <c r="DN242" s="12"/>
      <c r="DO242" s="12"/>
      <c r="DP242" s="12"/>
      <c r="DQ242" s="12"/>
      <c r="DR242" s="12"/>
      <c r="DS242" s="12"/>
      <c r="DT242" s="12"/>
      <c r="DU242" s="12"/>
      <c r="DV242" s="12"/>
      <c r="DW242" s="12"/>
      <c r="DX242" s="12"/>
      <c r="DY242" s="12"/>
      <c r="DZ242" s="12"/>
      <c r="EA242" s="12"/>
      <c r="EB242" s="12"/>
      <c r="EC242" s="12"/>
      <c r="ED242" s="12"/>
      <c r="EE242" s="12"/>
      <c r="EF242" s="12"/>
      <c r="EG242" s="12"/>
      <c r="EH242" s="12"/>
      <c r="EI242" s="12"/>
      <c r="EJ242" s="12"/>
      <c r="EK242" s="12"/>
      <c r="EL242" s="12"/>
      <c r="EM242" s="12"/>
      <c r="EN242" s="12"/>
      <c r="EO242" s="12"/>
      <c r="EP242" s="12"/>
      <c r="EQ242" s="12"/>
      <c r="ER242" s="12"/>
      <c r="ES242" s="12"/>
      <c r="ET242" s="12"/>
      <c r="EU242" s="12"/>
      <c r="EV242" s="12"/>
      <c r="EW242" s="12"/>
      <c r="EX242" s="12"/>
      <c r="EY242" s="12"/>
      <c r="EZ242" s="12"/>
      <c r="FA242" s="12"/>
      <c r="FB242" s="12"/>
      <c r="FC242" s="12"/>
      <c r="FD242" s="12"/>
      <c r="FE242" s="12"/>
      <c r="FF242" s="12"/>
      <c r="FG242" s="12"/>
      <c r="FH242" s="12"/>
      <c r="FI242" s="12"/>
      <c r="FJ242" s="12"/>
      <c r="FK242" s="12"/>
      <c r="FL242" s="12"/>
      <c r="FM242" s="12"/>
      <c r="FN242" s="12"/>
      <c r="FO242" s="12"/>
      <c r="FP242" s="12"/>
      <c r="FQ242" s="12"/>
      <c r="FR242" s="12"/>
      <c r="FS242" s="12"/>
      <c r="FT242" s="12"/>
      <c r="FU242" s="12"/>
      <c r="FV242" s="12"/>
      <c r="FW242" s="12"/>
      <c r="FX242" s="12"/>
      <c r="FY242" s="12"/>
      <c r="FZ242" s="12"/>
      <c r="GA242" s="12"/>
      <c r="GB242" s="12"/>
      <c r="GC242" s="12"/>
      <c r="GD242" s="12"/>
      <c r="GE242" s="12"/>
      <c r="GF242" s="12"/>
      <c r="GG242" s="12"/>
      <c r="GH242" s="12"/>
      <c r="GI242" s="12"/>
      <c r="GJ242" s="12"/>
      <c r="GK242" s="12"/>
      <c r="GL242" s="12"/>
      <c r="GM242" s="12"/>
      <c r="GN242" s="12"/>
      <c r="GO242" s="12"/>
      <c r="GP242" s="12"/>
      <c r="GQ242" s="12"/>
      <c r="GR242" s="12"/>
      <c r="GS242" s="12"/>
      <c r="GT242" s="12"/>
      <c r="GU242" s="12"/>
      <c r="GV242" s="12"/>
      <c r="GW242" s="12"/>
      <c r="GX242" s="12"/>
      <c r="GY242" s="12"/>
      <c r="GZ242" s="12"/>
      <c r="HA242" s="12"/>
      <c r="HB242" s="12"/>
      <c r="HC242" s="12"/>
      <c r="HD242" s="12"/>
      <c r="HE242" s="12"/>
      <c r="HF242" s="12"/>
      <c r="HG242" s="12"/>
      <c r="HH242" s="12"/>
      <c r="HI242" s="12"/>
      <c r="HJ242" s="12"/>
      <c r="HK242" s="12"/>
      <c r="HL242" s="12"/>
      <c r="HM242" s="12"/>
      <c r="HN242" s="12"/>
      <c r="HO242" s="12"/>
      <c r="HP242" s="12"/>
      <c r="HQ242" s="12"/>
      <c r="HR242" s="12"/>
      <c r="HS242" s="12"/>
      <c r="HT242" s="12"/>
      <c r="HU242" s="12"/>
      <c r="HV242" s="12"/>
      <c r="HW242" s="12"/>
      <c r="HX242" s="12"/>
      <c r="HY242" s="12"/>
      <c r="HZ242" s="12"/>
      <c r="IA242" s="12"/>
      <c r="IB242" s="12"/>
      <c r="IC242" s="12"/>
      <c r="ID242" s="12"/>
      <c r="IE242" s="12"/>
      <c r="IF242" s="12"/>
      <c r="IG242" s="12"/>
      <c r="IH242" s="12"/>
      <c r="II242" s="12"/>
      <c r="IJ242" s="12"/>
      <c r="IK242" s="12"/>
      <c r="IL242" s="12"/>
      <c r="IM242" s="12"/>
      <c r="IN242" s="12"/>
      <c r="IO242" s="12"/>
      <c r="IP242" s="12"/>
      <c r="IQ242" s="12"/>
      <c r="IR242" s="12"/>
      <c r="IS242" s="12"/>
      <c r="IT242" s="12"/>
      <c r="IU242" s="12"/>
      <c r="IV242" s="12"/>
      <c r="IW242" s="12"/>
      <c r="IX242" s="12"/>
      <c r="IY242" s="12"/>
      <c r="IZ242" s="12"/>
      <c r="JA242" s="12"/>
      <c r="JB242" s="12"/>
      <c r="JC242" s="12"/>
      <c r="JD242" s="12"/>
      <c r="JE242" s="12"/>
      <c r="JF242" s="12"/>
      <c r="JG242" s="12"/>
      <c r="JH242" s="12"/>
      <c r="JI242" s="12"/>
      <c r="JJ242" s="12"/>
      <c r="JK242" s="12"/>
      <c r="JL242" s="12"/>
      <c r="JM242" s="12"/>
      <c r="JN242" s="12"/>
      <c r="JO242" s="12"/>
      <c r="JP242" s="12"/>
      <c r="JQ242" s="12"/>
      <c r="JR242" s="12"/>
      <c r="JS242" s="12"/>
      <c r="JT242" s="12"/>
      <c r="JU242" s="12"/>
      <c r="JV242" s="12"/>
      <c r="JW242" s="12"/>
      <c r="JX242" s="12"/>
      <c r="JY242" s="12"/>
      <c r="JZ242" s="12"/>
      <c r="KA242" s="12"/>
      <c r="KB242" s="12"/>
      <c r="KC242" s="12"/>
      <c r="KD242" s="12"/>
      <c r="KE242" s="12"/>
      <c r="KF242" s="12"/>
      <c r="KG242" s="12"/>
      <c r="KH242" s="12"/>
      <c r="KI242" s="12"/>
      <c r="KJ242" s="12"/>
      <c r="KK242" s="12"/>
      <c r="KL242" s="12"/>
      <c r="KM242" s="12"/>
      <c r="KN242" s="12"/>
      <c r="KO242" s="12"/>
      <c r="KP242" s="12"/>
      <c r="KQ242" s="12"/>
      <c r="KR242" s="12"/>
      <c r="KS242" s="12"/>
      <c r="KT242" s="12"/>
      <c r="KU242" s="12"/>
      <c r="KV242" s="12"/>
      <c r="KW242" s="12"/>
      <c r="KX242" s="12"/>
      <c r="KY242" s="12"/>
      <c r="KZ242" s="12"/>
      <c r="LA242" s="12"/>
      <c r="LB242" s="12"/>
      <c r="LC242" s="12"/>
      <c r="LD242" s="12"/>
      <c r="LE242" s="12"/>
      <c r="LF242" s="12"/>
      <c r="LG242" s="12"/>
      <c r="LH242" s="12"/>
      <c r="LI242" s="12"/>
      <c r="LJ242" s="12"/>
      <c r="LK242" s="12"/>
      <c r="LL242" s="12"/>
      <c r="LM242" s="12"/>
      <c r="LN242" s="12"/>
      <c r="LO242" s="12"/>
      <c r="LP242" s="12"/>
      <c r="LQ242" s="12"/>
      <c r="LR242" s="12"/>
      <c r="LS242" s="12"/>
      <c r="LT242" s="12"/>
      <c r="LU242" s="12"/>
      <c r="LV242" s="12"/>
      <c r="LW242" s="12"/>
      <c r="LX242" s="12"/>
      <c r="LY242" s="12"/>
      <c r="LZ242" s="12"/>
      <c r="MA242" s="12"/>
      <c r="MB242" s="12"/>
      <c r="MC242" s="12"/>
      <c r="MD242" s="12"/>
      <c r="ME242" s="12"/>
      <c r="MF242" s="12"/>
      <c r="MG242" s="12"/>
      <c r="MH242" s="12"/>
      <c r="MI242" s="12"/>
      <c r="MJ242" s="12"/>
      <c r="MK242" s="12"/>
      <c r="ML242" s="12"/>
      <c r="MM242" s="12"/>
      <c r="MN242" s="12"/>
      <c r="MO242" s="12"/>
      <c r="MP242" s="12"/>
      <c r="MQ242" s="12"/>
      <c r="MR242" s="12"/>
      <c r="MS242" s="12"/>
      <c r="MT242" s="12"/>
      <c r="MU242" s="12"/>
      <c r="MV242" s="12"/>
      <c r="MW242" s="12"/>
      <c r="MX242" s="12"/>
      <c r="MY242" s="12"/>
      <c r="MZ242" s="12"/>
      <c r="NA242" s="12"/>
      <c r="NB242" s="12"/>
      <c r="NC242" s="12"/>
      <c r="ND242" s="12"/>
      <c r="NE242" s="12"/>
      <c r="NF242" s="12"/>
      <c r="NG242" s="12"/>
      <c r="NH242" s="12"/>
      <c r="NI242" s="12"/>
      <c r="NJ242" s="12"/>
      <c r="NK242" s="12"/>
      <c r="NL242" s="12"/>
      <c r="NM242" s="12"/>
      <c r="NN242" s="12"/>
      <c r="NO242" s="12"/>
      <c r="NP242" s="12"/>
      <c r="NQ242" s="12"/>
      <c r="NR242" s="12"/>
      <c r="NS242" s="12"/>
      <c r="NT242" s="12"/>
      <c r="NU242" s="12"/>
      <c r="NV242" s="12"/>
      <c r="NW242" s="12"/>
      <c r="NX242" s="12"/>
      <c r="NY242" s="12"/>
      <c r="NZ242" s="12"/>
      <c r="OA242" s="12"/>
      <c r="OB242" s="12"/>
      <c r="OC242" s="12"/>
      <c r="OD242" s="12"/>
      <c r="OE242" s="12"/>
      <c r="OF242" s="12"/>
      <c r="OG242" s="12"/>
      <c r="OH242" s="12"/>
      <c r="OI242" s="12"/>
      <c r="OJ242" s="12"/>
      <c r="OK242" s="12"/>
      <c r="OL242" s="12"/>
      <c r="OM242" s="12"/>
      <c r="ON242" s="12"/>
      <c r="OO242" s="12"/>
      <c r="OP242" s="12"/>
      <c r="OQ242" s="12"/>
      <c r="OR242" s="12"/>
      <c r="OS242" s="12"/>
      <c r="OT242" s="12"/>
      <c r="OU242" s="12"/>
      <c r="OV242" s="12"/>
      <c r="OW242" s="12"/>
      <c r="OX242" s="12"/>
      <c r="OY242" s="12"/>
      <c r="OZ242" s="12"/>
      <c r="PA242" s="12"/>
      <c r="PB242" s="12"/>
      <c r="PC242" s="12"/>
      <c r="PD242" s="12"/>
      <c r="PE242" s="12"/>
      <c r="PF242" s="12"/>
      <c r="PG242" s="12"/>
      <c r="PH242" s="12"/>
      <c r="PI242" s="12"/>
      <c r="PJ242" s="12"/>
      <c r="PK242" s="12"/>
      <c r="PL242" s="12"/>
      <c r="PM242" s="12"/>
      <c r="PN242" s="12"/>
      <c r="PO242" s="12"/>
      <c r="PP242" s="12"/>
      <c r="PQ242" s="12"/>
      <c r="PR242" s="12"/>
      <c r="PS242" s="12"/>
      <c r="PT242" s="12"/>
      <c r="PU242" s="12"/>
      <c r="PV242" s="12"/>
      <c r="PW242" s="12"/>
      <c r="PX242" s="12"/>
      <c r="PY242" s="12"/>
      <c r="PZ242" s="12"/>
      <c r="QA242" s="12"/>
      <c r="QB242" s="12"/>
      <c r="QC242" s="12"/>
      <c r="QD242" s="12"/>
      <c r="QE242" s="12"/>
      <c r="QF242" s="12"/>
      <c r="QG242" s="12"/>
      <c r="QH242" s="12"/>
      <c r="QI242" s="12"/>
      <c r="QJ242" s="12"/>
      <c r="QK242" s="12"/>
      <c r="QL242" s="12"/>
      <c r="QM242" s="12"/>
      <c r="QN242" s="12"/>
      <c r="QO242" s="12"/>
      <c r="QP242" s="12"/>
      <c r="QQ242" s="12"/>
      <c r="QR242" s="12"/>
      <c r="QS242" s="12"/>
      <c r="QT242" s="12"/>
      <c r="QU242" s="12"/>
      <c r="QV242" s="12"/>
      <c r="QW242" s="12"/>
      <c r="QX242" s="12"/>
      <c r="QY242" s="12"/>
      <c r="QZ242" s="12"/>
      <c r="RA242" s="12"/>
      <c r="RB242" s="12"/>
      <c r="RC242" s="12"/>
      <c r="RD242" s="12"/>
      <c r="RE242" s="12"/>
      <c r="RF242" s="12"/>
      <c r="RG242" s="12"/>
      <c r="RH242" s="12"/>
      <c r="RI242" s="12"/>
      <c r="RJ242" s="12"/>
      <c r="RK242" s="12"/>
      <c r="RL242" s="12"/>
      <c r="RM242" s="12"/>
      <c r="RN242" s="12"/>
      <c r="RO242" s="12"/>
      <c r="RP242" s="12"/>
      <c r="RQ242" s="12"/>
      <c r="RR242" s="12"/>
      <c r="RS242" s="12"/>
      <c r="RT242" s="12"/>
      <c r="RU242" s="12"/>
      <c r="RV242" s="12"/>
      <c r="RW242" s="12"/>
      <c r="RX242" s="12"/>
      <c r="RY242" s="12"/>
      <c r="RZ242" s="12"/>
      <c r="SA242" s="12"/>
      <c r="SB242" s="12"/>
      <c r="SC242" s="12"/>
      <c r="SD242" s="12"/>
      <c r="SE242" s="12"/>
      <c r="SF242" s="12"/>
      <c r="SG242" s="12"/>
      <c r="SH242" s="11"/>
      <c r="SI242" s="11"/>
      <c r="SJ242" s="11"/>
      <c r="SK242" s="11"/>
      <c r="SL242" s="11"/>
      <c r="SM242" s="11"/>
      <c r="SN242" s="11"/>
      <c r="SO242" s="11"/>
      <c r="SP242" s="11"/>
      <c r="SQ242" s="11"/>
      <c r="SR242" s="11"/>
      <c r="SS242" s="11"/>
      <c r="ST242" s="11"/>
      <c r="SU242" s="11"/>
      <c r="SV242" s="11"/>
      <c r="SW242" s="11"/>
      <c r="SX242" s="11"/>
      <c r="SY242" s="11"/>
      <c r="SZ242" s="11"/>
      <c r="TA242" s="11"/>
      <c r="TB242" s="11"/>
      <c r="TC242" s="11"/>
      <c r="TD242" s="11"/>
      <c r="TE242" s="11"/>
      <c r="TF242" s="11"/>
      <c r="TG242" s="11"/>
      <c r="TH242" s="11"/>
      <c r="TI242" s="11"/>
      <c r="TJ242" s="11"/>
      <c r="TK242" s="11"/>
      <c r="TL242" s="11"/>
    </row>
    <row r="243" spans="1:532" x14ac:dyDescent="0.2">
      <c r="A243" s="10" t="s">
        <v>242</v>
      </c>
      <c r="B243" s="12">
        <v>13.46</v>
      </c>
      <c r="C243" s="11">
        <v>0</v>
      </c>
      <c r="D243" s="11">
        <v>1.5245754652396644</v>
      </c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  <c r="BW243" s="12"/>
      <c r="BX243" s="12"/>
      <c r="BY243" s="12"/>
      <c r="BZ243" s="12"/>
      <c r="CA243" s="12"/>
      <c r="CB243" s="12"/>
      <c r="CC243" s="12"/>
      <c r="CD243" s="12"/>
      <c r="CE243" s="12"/>
      <c r="CF243" s="12"/>
      <c r="CG243" s="12"/>
      <c r="CH243" s="12"/>
      <c r="CI243" s="12"/>
      <c r="CJ243" s="12"/>
      <c r="CK243" s="12"/>
      <c r="CL243" s="12"/>
      <c r="CM243" s="12"/>
      <c r="CN243" s="12"/>
      <c r="CO243" s="12"/>
      <c r="CP243" s="12"/>
      <c r="CQ243" s="12"/>
      <c r="CR243" s="12"/>
      <c r="CS243" s="12"/>
      <c r="CT243" s="12"/>
      <c r="CU243" s="12"/>
      <c r="CV243" s="12"/>
      <c r="CW243" s="12"/>
      <c r="CX243" s="12"/>
      <c r="CY243" s="12"/>
      <c r="CZ243" s="12"/>
      <c r="DA243" s="12"/>
      <c r="DB243" s="12"/>
      <c r="DC243" s="12"/>
      <c r="DD243" s="12"/>
      <c r="DE243" s="12"/>
      <c r="DF243" s="12"/>
      <c r="DG243" s="12"/>
      <c r="DH243" s="12"/>
      <c r="DI243" s="12"/>
      <c r="DJ243" s="12"/>
      <c r="DK243" s="12"/>
      <c r="DL243" s="12"/>
      <c r="DM243" s="12"/>
      <c r="DN243" s="12"/>
      <c r="DO243" s="12"/>
      <c r="DP243" s="12"/>
      <c r="DQ243" s="12"/>
      <c r="DR243" s="12"/>
      <c r="DS243" s="12"/>
      <c r="DT243" s="12"/>
      <c r="DU243" s="12"/>
      <c r="DV243" s="12"/>
      <c r="DW243" s="12"/>
      <c r="DX243" s="12"/>
      <c r="DY243" s="12"/>
      <c r="DZ243" s="12"/>
      <c r="EA243" s="12"/>
      <c r="EB243" s="12"/>
      <c r="EC243" s="12"/>
      <c r="ED243" s="12"/>
      <c r="EE243" s="12"/>
      <c r="EF243" s="12"/>
      <c r="EG243" s="12"/>
      <c r="EH243" s="12"/>
      <c r="EI243" s="12"/>
      <c r="EJ243" s="12"/>
      <c r="EK243" s="12"/>
      <c r="EL243" s="12"/>
      <c r="EM243" s="12"/>
      <c r="EN243" s="12"/>
      <c r="EO243" s="12"/>
      <c r="EP243" s="12"/>
      <c r="EQ243" s="12"/>
      <c r="ER243" s="12"/>
      <c r="ES243" s="12"/>
      <c r="ET243" s="12"/>
      <c r="EU243" s="12"/>
      <c r="EV243" s="12"/>
      <c r="EW243" s="12"/>
      <c r="EX243" s="12"/>
      <c r="EY243" s="12"/>
      <c r="EZ243" s="12"/>
      <c r="FA243" s="12"/>
      <c r="FB243" s="12"/>
      <c r="FC243" s="12"/>
      <c r="FD243" s="12"/>
      <c r="FE243" s="12"/>
      <c r="FF243" s="12"/>
      <c r="FG243" s="12"/>
      <c r="FH243" s="12"/>
      <c r="FI243" s="12"/>
      <c r="FJ243" s="12"/>
      <c r="FK243" s="12"/>
      <c r="FL243" s="12"/>
      <c r="FM243" s="12"/>
      <c r="FN243" s="12"/>
      <c r="FO243" s="12"/>
      <c r="FP243" s="12"/>
      <c r="FQ243" s="12"/>
      <c r="FR243" s="12"/>
      <c r="FS243" s="12"/>
      <c r="FT243" s="12"/>
      <c r="FU243" s="12"/>
      <c r="FV243" s="12"/>
      <c r="FW243" s="12"/>
      <c r="FX243" s="12"/>
      <c r="FY243" s="12"/>
      <c r="FZ243" s="12"/>
      <c r="GA243" s="12"/>
      <c r="GB243" s="12"/>
      <c r="GC243" s="12"/>
      <c r="GD243" s="12"/>
      <c r="GE243" s="12"/>
      <c r="GF243" s="12"/>
      <c r="GG243" s="12"/>
      <c r="GH243" s="12"/>
      <c r="GI243" s="12"/>
      <c r="GJ243" s="12"/>
      <c r="GK243" s="12"/>
      <c r="GL243" s="12"/>
      <c r="GM243" s="12"/>
      <c r="GN243" s="12"/>
      <c r="GO243" s="12"/>
      <c r="GP243" s="12"/>
      <c r="GQ243" s="12"/>
      <c r="GR243" s="12"/>
      <c r="GS243" s="12"/>
      <c r="GT243" s="12"/>
      <c r="GU243" s="12"/>
      <c r="GV243" s="12"/>
      <c r="GW243" s="12"/>
      <c r="GX243" s="12"/>
      <c r="GY243" s="12"/>
      <c r="GZ243" s="12"/>
      <c r="HA243" s="12"/>
      <c r="HB243" s="12"/>
      <c r="HC243" s="12"/>
      <c r="HD243" s="12"/>
      <c r="HE243" s="12"/>
      <c r="HF243" s="12"/>
      <c r="HG243" s="12"/>
      <c r="HH243" s="12"/>
      <c r="HI243" s="12"/>
      <c r="HJ243" s="12"/>
      <c r="HK243" s="12"/>
      <c r="HL243" s="12"/>
      <c r="HM243" s="12"/>
      <c r="HN243" s="12"/>
      <c r="HO243" s="12"/>
      <c r="HP243" s="12"/>
      <c r="HQ243" s="12"/>
      <c r="HR243" s="12"/>
      <c r="HS243" s="12"/>
      <c r="HT243" s="12"/>
      <c r="HU243" s="12"/>
      <c r="HV243" s="12"/>
      <c r="HW243" s="12"/>
      <c r="HX243" s="12"/>
      <c r="HY243" s="12"/>
      <c r="HZ243" s="12"/>
      <c r="IA243" s="12"/>
      <c r="IB243" s="12"/>
      <c r="IC243" s="12"/>
      <c r="ID243" s="12"/>
      <c r="IE243" s="12"/>
      <c r="IF243" s="12"/>
      <c r="IG243" s="12"/>
      <c r="IH243" s="12"/>
      <c r="II243" s="12"/>
      <c r="IJ243" s="12"/>
      <c r="IK243" s="12"/>
      <c r="IL243" s="12"/>
      <c r="IM243" s="12"/>
      <c r="IN243" s="12"/>
      <c r="IO243" s="12"/>
      <c r="IP243" s="12"/>
      <c r="IQ243" s="12"/>
      <c r="IR243" s="12"/>
      <c r="IS243" s="12"/>
      <c r="IT243" s="12"/>
      <c r="IU243" s="12"/>
      <c r="IV243" s="12"/>
      <c r="IW243" s="12"/>
      <c r="IX243" s="12"/>
      <c r="IY243" s="12"/>
      <c r="IZ243" s="12"/>
      <c r="JA243" s="12"/>
      <c r="JB243" s="12"/>
      <c r="JC243" s="12"/>
      <c r="JD243" s="12"/>
      <c r="JE243" s="12"/>
      <c r="JF243" s="12"/>
      <c r="JG243" s="12"/>
      <c r="JH243" s="12"/>
      <c r="JI243" s="12"/>
      <c r="JJ243" s="12"/>
      <c r="JK243" s="12"/>
      <c r="JL243" s="12"/>
      <c r="JM243" s="12"/>
      <c r="JN243" s="12"/>
      <c r="JO243" s="12"/>
      <c r="JP243" s="12"/>
      <c r="JQ243" s="12"/>
      <c r="JR243" s="12"/>
      <c r="JS243" s="12"/>
      <c r="JT243" s="12"/>
      <c r="JU243" s="12"/>
      <c r="JV243" s="12"/>
      <c r="JW243" s="12"/>
      <c r="JX243" s="12"/>
      <c r="JY243" s="12"/>
      <c r="JZ243" s="12"/>
      <c r="KA243" s="12"/>
      <c r="KB243" s="12"/>
      <c r="KC243" s="12"/>
      <c r="KD243" s="12"/>
      <c r="KE243" s="12"/>
      <c r="KF243" s="12"/>
      <c r="KG243" s="12"/>
      <c r="KH243" s="12"/>
      <c r="KI243" s="12"/>
      <c r="KJ243" s="12"/>
      <c r="KK243" s="12"/>
      <c r="KL243" s="12"/>
      <c r="KM243" s="12"/>
      <c r="KN243" s="12"/>
      <c r="KO243" s="12"/>
      <c r="KP243" s="12"/>
      <c r="KQ243" s="12"/>
      <c r="KR243" s="12"/>
      <c r="KS243" s="12"/>
      <c r="KT243" s="12"/>
      <c r="KU243" s="12"/>
      <c r="KV243" s="12"/>
      <c r="KW243" s="12"/>
      <c r="KX243" s="12"/>
      <c r="KY243" s="12"/>
      <c r="KZ243" s="12"/>
      <c r="LA243" s="12"/>
      <c r="LB243" s="12"/>
      <c r="LC243" s="12"/>
      <c r="LD243" s="12"/>
      <c r="LE243" s="12"/>
      <c r="LF243" s="12"/>
      <c r="LG243" s="12"/>
      <c r="LH243" s="12"/>
      <c r="LI243" s="12"/>
      <c r="LJ243" s="12"/>
      <c r="LK243" s="12"/>
      <c r="LL243" s="12"/>
      <c r="LM243" s="12"/>
      <c r="LN243" s="12"/>
      <c r="LO243" s="12"/>
      <c r="LP243" s="12"/>
      <c r="LQ243" s="12"/>
      <c r="LR243" s="12"/>
      <c r="LS243" s="12"/>
      <c r="LT243" s="12"/>
      <c r="LU243" s="12"/>
      <c r="LV243" s="12"/>
      <c r="LW243" s="12"/>
      <c r="LX243" s="12"/>
      <c r="LY243" s="12"/>
      <c r="LZ243" s="12"/>
      <c r="MA243" s="12"/>
      <c r="MB243" s="12"/>
      <c r="MC243" s="12"/>
      <c r="MD243" s="12"/>
      <c r="ME243" s="12"/>
      <c r="MF243" s="12"/>
      <c r="MG243" s="12"/>
      <c r="MH243" s="12"/>
      <c r="MI243" s="12"/>
      <c r="MJ243" s="12"/>
      <c r="MK243" s="12"/>
      <c r="ML243" s="12"/>
      <c r="MM243" s="12"/>
      <c r="MN243" s="12"/>
      <c r="MO243" s="12"/>
      <c r="MP243" s="12"/>
      <c r="MQ243" s="12"/>
      <c r="MR243" s="12"/>
      <c r="MS243" s="12"/>
      <c r="MT243" s="12"/>
      <c r="MU243" s="12"/>
      <c r="MV243" s="12"/>
      <c r="MW243" s="12"/>
      <c r="MX243" s="12"/>
      <c r="MY243" s="12"/>
      <c r="MZ243" s="12"/>
      <c r="NA243" s="12"/>
      <c r="NB243" s="12"/>
      <c r="NC243" s="12"/>
      <c r="ND243" s="12"/>
      <c r="NE243" s="12"/>
      <c r="NF243" s="12"/>
      <c r="NG243" s="12"/>
      <c r="NH243" s="12"/>
      <c r="NI243" s="12"/>
      <c r="NJ243" s="12"/>
      <c r="NK243" s="12"/>
      <c r="NL243" s="12"/>
      <c r="NM243" s="12"/>
      <c r="NN243" s="12"/>
      <c r="NO243" s="12"/>
      <c r="NP243" s="12"/>
      <c r="NQ243" s="12"/>
      <c r="NR243" s="12"/>
      <c r="NS243" s="12"/>
      <c r="NT243" s="12"/>
      <c r="NU243" s="12"/>
      <c r="NV243" s="12"/>
      <c r="NW243" s="12"/>
      <c r="NX243" s="12"/>
      <c r="NY243" s="12"/>
      <c r="NZ243" s="12"/>
      <c r="OA243" s="12"/>
      <c r="OB243" s="12"/>
      <c r="OC243" s="12"/>
      <c r="OD243" s="12"/>
      <c r="OE243" s="12"/>
      <c r="OF243" s="12"/>
      <c r="OG243" s="12"/>
      <c r="OH243" s="12"/>
      <c r="OI243" s="12"/>
      <c r="OJ243" s="12"/>
      <c r="OK243" s="12"/>
      <c r="OL243" s="12"/>
      <c r="OM243" s="12"/>
      <c r="ON243" s="12"/>
      <c r="OO243" s="12"/>
      <c r="OP243" s="12"/>
      <c r="OQ243" s="12"/>
      <c r="OR243" s="12"/>
      <c r="OS243" s="12"/>
      <c r="OT243" s="12"/>
      <c r="OU243" s="12"/>
      <c r="OV243" s="12"/>
      <c r="OW243" s="12"/>
      <c r="OX243" s="12"/>
      <c r="OY243" s="12"/>
      <c r="OZ243" s="12"/>
      <c r="PA243" s="12"/>
      <c r="PB243" s="12"/>
      <c r="PC243" s="12"/>
      <c r="PD243" s="12"/>
      <c r="PE243" s="12"/>
      <c r="PF243" s="12"/>
      <c r="PG243" s="12"/>
      <c r="PH243" s="12"/>
      <c r="PI243" s="12"/>
      <c r="PJ243" s="12"/>
      <c r="PK243" s="12"/>
      <c r="PL243" s="12"/>
      <c r="PM243" s="12"/>
      <c r="PN243" s="12"/>
      <c r="PO243" s="12"/>
      <c r="PP243" s="12"/>
      <c r="PQ243" s="12"/>
      <c r="PR243" s="12"/>
      <c r="PS243" s="12"/>
      <c r="PT243" s="12"/>
      <c r="PU243" s="12"/>
      <c r="PV243" s="12"/>
      <c r="PW243" s="12"/>
      <c r="PX243" s="12"/>
      <c r="PY243" s="12"/>
      <c r="PZ243" s="12"/>
      <c r="QA243" s="12"/>
      <c r="QB243" s="12"/>
      <c r="QC243" s="12"/>
      <c r="QD243" s="12"/>
      <c r="QE243" s="12"/>
      <c r="QF243" s="12"/>
      <c r="QG243" s="12"/>
      <c r="QH243" s="12"/>
      <c r="QI243" s="12"/>
      <c r="QJ243" s="12"/>
      <c r="QK243" s="12"/>
      <c r="QL243" s="12"/>
      <c r="QM243" s="12"/>
      <c r="QN243" s="12"/>
      <c r="QO243" s="12"/>
      <c r="QP243" s="12"/>
      <c r="QQ243" s="12"/>
      <c r="QR243" s="12"/>
      <c r="QS243" s="12"/>
      <c r="QT243" s="12"/>
      <c r="QU243" s="12"/>
      <c r="QV243" s="12"/>
      <c r="QW243" s="12"/>
      <c r="QX243" s="12"/>
      <c r="QY243" s="12"/>
      <c r="QZ243" s="12"/>
      <c r="RA243" s="12"/>
      <c r="RB243" s="12"/>
      <c r="RC243" s="12"/>
      <c r="RD243" s="12"/>
      <c r="RE243" s="12"/>
      <c r="RF243" s="12"/>
      <c r="RG243" s="12"/>
      <c r="RH243" s="12"/>
      <c r="RI243" s="12"/>
      <c r="RJ243" s="12"/>
      <c r="RK243" s="12"/>
      <c r="RL243" s="12"/>
      <c r="RM243" s="12"/>
      <c r="RN243" s="12"/>
      <c r="RO243" s="12"/>
      <c r="RP243" s="12"/>
      <c r="RQ243" s="12"/>
      <c r="RR243" s="12"/>
      <c r="RS243" s="12"/>
      <c r="RT243" s="12"/>
      <c r="RU243" s="12"/>
      <c r="RV243" s="12"/>
      <c r="RW243" s="12"/>
      <c r="RX243" s="12"/>
      <c r="RY243" s="12"/>
      <c r="RZ243" s="12"/>
      <c r="SA243" s="12"/>
      <c r="SB243" s="12"/>
      <c r="SC243" s="12"/>
      <c r="SD243" s="12"/>
      <c r="SE243" s="12"/>
      <c r="SF243" s="12"/>
      <c r="SG243" s="12"/>
      <c r="SH243" s="11"/>
      <c r="SI243" s="11"/>
      <c r="SJ243" s="11"/>
      <c r="SK243" s="11"/>
      <c r="SL243" s="11"/>
      <c r="SM243" s="11"/>
      <c r="SN243" s="11"/>
      <c r="SO243" s="11"/>
      <c r="SP243" s="11"/>
      <c r="SQ243" s="11"/>
      <c r="SR243" s="11"/>
      <c r="SS243" s="11"/>
      <c r="ST243" s="11"/>
      <c r="SU243" s="11"/>
      <c r="SV243" s="11"/>
      <c r="SW243" s="11"/>
      <c r="SX243" s="11"/>
      <c r="SY243" s="11"/>
      <c r="SZ243" s="11"/>
      <c r="TA243" s="11"/>
      <c r="TB243" s="11"/>
      <c r="TC243" s="11"/>
      <c r="TD243" s="11"/>
      <c r="TE243" s="11"/>
      <c r="TF243" s="11"/>
      <c r="TG243" s="11"/>
      <c r="TH243" s="11"/>
      <c r="TI243" s="11"/>
      <c r="TJ243" s="11"/>
      <c r="TK243" s="11"/>
      <c r="TL243" s="11"/>
    </row>
    <row r="244" spans="1:532" x14ac:dyDescent="0.2">
      <c r="A244" s="10" t="s">
        <v>243</v>
      </c>
      <c r="B244" s="12">
        <v>16.78</v>
      </c>
      <c r="C244" s="11">
        <v>1.762171641640651</v>
      </c>
      <c r="D244" s="11">
        <v>0</v>
      </c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/>
      <c r="BC244" s="1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  <c r="BW244" s="12"/>
      <c r="BX244" s="12"/>
      <c r="BY244" s="12"/>
      <c r="BZ244" s="12"/>
      <c r="CA244" s="12"/>
      <c r="CB244" s="12"/>
      <c r="CC244" s="12"/>
      <c r="CD244" s="12"/>
      <c r="CE244" s="12"/>
      <c r="CF244" s="12"/>
      <c r="CG244" s="12"/>
      <c r="CH244" s="12"/>
      <c r="CI244" s="12"/>
      <c r="CJ244" s="12"/>
      <c r="CK244" s="12"/>
      <c r="CL244" s="12"/>
      <c r="CM244" s="12"/>
      <c r="CN244" s="12"/>
      <c r="CO244" s="12"/>
      <c r="CP244" s="12"/>
      <c r="CQ244" s="12"/>
      <c r="CR244" s="12"/>
      <c r="CS244" s="12"/>
      <c r="CT244" s="12"/>
      <c r="CU244" s="12"/>
      <c r="CV244" s="12"/>
      <c r="CW244" s="12"/>
      <c r="CX244" s="12"/>
      <c r="CY244" s="12"/>
      <c r="CZ244" s="12"/>
      <c r="DA244" s="12"/>
      <c r="DB244" s="12"/>
      <c r="DC244" s="12"/>
      <c r="DD244" s="12"/>
      <c r="DE244" s="12"/>
      <c r="DF244" s="12"/>
      <c r="DG244" s="12"/>
      <c r="DH244" s="12"/>
      <c r="DI244" s="12"/>
      <c r="DJ244" s="12"/>
      <c r="DK244" s="12"/>
      <c r="DL244" s="12"/>
      <c r="DM244" s="12"/>
      <c r="DN244" s="12"/>
      <c r="DO244" s="12"/>
      <c r="DP244" s="12"/>
      <c r="DQ244" s="12"/>
      <c r="DR244" s="12"/>
      <c r="DS244" s="12"/>
      <c r="DT244" s="12"/>
      <c r="DU244" s="12"/>
      <c r="DV244" s="12"/>
      <c r="DW244" s="12"/>
      <c r="DX244" s="12"/>
      <c r="DY244" s="12"/>
      <c r="DZ244" s="12"/>
      <c r="EA244" s="12"/>
      <c r="EB244" s="12"/>
      <c r="EC244" s="12"/>
      <c r="ED244" s="12"/>
      <c r="EE244" s="12"/>
      <c r="EF244" s="12"/>
      <c r="EG244" s="12"/>
      <c r="EH244" s="12"/>
      <c r="EI244" s="12"/>
      <c r="EJ244" s="12"/>
      <c r="EK244" s="12"/>
      <c r="EL244" s="12"/>
      <c r="EM244" s="12"/>
      <c r="EN244" s="12"/>
      <c r="EO244" s="12"/>
      <c r="EP244" s="12"/>
      <c r="EQ244" s="12"/>
      <c r="ER244" s="12"/>
      <c r="ES244" s="12"/>
      <c r="ET244" s="12"/>
      <c r="EU244" s="12"/>
      <c r="EV244" s="12"/>
      <c r="EW244" s="12"/>
      <c r="EX244" s="12"/>
      <c r="EY244" s="12"/>
      <c r="EZ244" s="12"/>
      <c r="FA244" s="12"/>
      <c r="FB244" s="12"/>
      <c r="FC244" s="12"/>
      <c r="FD244" s="12"/>
      <c r="FE244" s="12"/>
      <c r="FF244" s="12"/>
      <c r="FG244" s="12"/>
      <c r="FH244" s="12"/>
      <c r="FI244" s="12"/>
      <c r="FJ244" s="12"/>
      <c r="FK244" s="12"/>
      <c r="FL244" s="12"/>
      <c r="FM244" s="12"/>
      <c r="FN244" s="12"/>
      <c r="FO244" s="12"/>
      <c r="FP244" s="12"/>
      <c r="FQ244" s="12"/>
      <c r="FR244" s="12"/>
      <c r="FS244" s="12"/>
      <c r="FT244" s="12"/>
      <c r="FU244" s="12"/>
      <c r="FV244" s="12"/>
      <c r="FW244" s="12"/>
      <c r="FX244" s="12"/>
      <c r="FY244" s="12"/>
      <c r="FZ244" s="12"/>
      <c r="GA244" s="12"/>
      <c r="GB244" s="12"/>
      <c r="GC244" s="12"/>
      <c r="GD244" s="12"/>
      <c r="GE244" s="12"/>
      <c r="GF244" s="12"/>
      <c r="GG244" s="12"/>
      <c r="GH244" s="12"/>
      <c r="GI244" s="12"/>
      <c r="GJ244" s="12"/>
      <c r="GK244" s="12"/>
      <c r="GL244" s="12"/>
      <c r="GM244" s="12"/>
      <c r="GN244" s="12"/>
      <c r="GO244" s="12"/>
      <c r="GP244" s="12"/>
      <c r="GQ244" s="12"/>
      <c r="GR244" s="12"/>
      <c r="GS244" s="12"/>
      <c r="GT244" s="12"/>
      <c r="GU244" s="12"/>
      <c r="GV244" s="12"/>
      <c r="GW244" s="12"/>
      <c r="GX244" s="12"/>
      <c r="GY244" s="12"/>
      <c r="GZ244" s="12"/>
      <c r="HA244" s="12"/>
      <c r="HB244" s="12"/>
      <c r="HC244" s="12"/>
      <c r="HD244" s="12"/>
      <c r="HE244" s="12"/>
      <c r="HF244" s="12"/>
      <c r="HG244" s="12"/>
      <c r="HH244" s="12"/>
      <c r="HI244" s="12"/>
      <c r="HJ244" s="12"/>
      <c r="HK244" s="12"/>
      <c r="HL244" s="12"/>
      <c r="HM244" s="12"/>
      <c r="HN244" s="12"/>
      <c r="HO244" s="12"/>
      <c r="HP244" s="12"/>
      <c r="HQ244" s="12"/>
      <c r="HR244" s="12"/>
      <c r="HS244" s="12"/>
      <c r="HT244" s="12"/>
      <c r="HU244" s="12"/>
      <c r="HV244" s="12"/>
      <c r="HW244" s="12"/>
      <c r="HX244" s="12"/>
      <c r="HY244" s="12"/>
      <c r="HZ244" s="12"/>
      <c r="IA244" s="12"/>
      <c r="IB244" s="12"/>
      <c r="IC244" s="12"/>
      <c r="ID244" s="12"/>
      <c r="IE244" s="12"/>
      <c r="IF244" s="12"/>
      <c r="IG244" s="12"/>
      <c r="IH244" s="12"/>
      <c r="II244" s="12"/>
      <c r="IJ244" s="12"/>
      <c r="IK244" s="12"/>
      <c r="IL244" s="12"/>
      <c r="IM244" s="12"/>
      <c r="IN244" s="12"/>
      <c r="IO244" s="12"/>
      <c r="IP244" s="12"/>
      <c r="IQ244" s="12"/>
      <c r="IR244" s="12"/>
      <c r="IS244" s="12"/>
      <c r="IT244" s="12"/>
      <c r="IU244" s="12"/>
      <c r="IV244" s="12"/>
      <c r="IW244" s="12"/>
      <c r="IX244" s="12"/>
      <c r="IY244" s="12"/>
      <c r="IZ244" s="12"/>
      <c r="JA244" s="12"/>
      <c r="JB244" s="12"/>
      <c r="JC244" s="12"/>
      <c r="JD244" s="12"/>
      <c r="JE244" s="12"/>
      <c r="JF244" s="12"/>
      <c r="JG244" s="12"/>
      <c r="JH244" s="12"/>
      <c r="JI244" s="12"/>
      <c r="JJ244" s="12"/>
      <c r="JK244" s="12"/>
      <c r="JL244" s="12"/>
      <c r="JM244" s="12"/>
      <c r="JN244" s="12"/>
      <c r="JO244" s="12"/>
      <c r="JP244" s="12"/>
      <c r="JQ244" s="12"/>
      <c r="JR244" s="12"/>
      <c r="JS244" s="12"/>
      <c r="JT244" s="12"/>
      <c r="JU244" s="12"/>
      <c r="JV244" s="12"/>
      <c r="JW244" s="12"/>
      <c r="JX244" s="12"/>
      <c r="JY244" s="12"/>
      <c r="JZ244" s="12"/>
      <c r="KA244" s="12"/>
      <c r="KB244" s="12"/>
      <c r="KC244" s="12"/>
      <c r="KD244" s="12"/>
      <c r="KE244" s="12"/>
      <c r="KF244" s="12"/>
      <c r="KG244" s="12"/>
      <c r="KH244" s="12"/>
      <c r="KI244" s="12"/>
      <c r="KJ244" s="12"/>
      <c r="KK244" s="12"/>
      <c r="KL244" s="12"/>
      <c r="KM244" s="12"/>
      <c r="KN244" s="12"/>
      <c r="KO244" s="12"/>
      <c r="KP244" s="12"/>
      <c r="KQ244" s="12"/>
      <c r="KR244" s="12"/>
      <c r="KS244" s="12"/>
      <c r="KT244" s="12"/>
      <c r="KU244" s="12"/>
      <c r="KV244" s="12"/>
      <c r="KW244" s="12"/>
      <c r="KX244" s="12"/>
      <c r="KY244" s="12"/>
      <c r="KZ244" s="12"/>
      <c r="LA244" s="12"/>
      <c r="LB244" s="12"/>
      <c r="LC244" s="12"/>
      <c r="LD244" s="12"/>
      <c r="LE244" s="12"/>
      <c r="LF244" s="12"/>
      <c r="LG244" s="12"/>
      <c r="LH244" s="12"/>
      <c r="LI244" s="12"/>
      <c r="LJ244" s="12"/>
      <c r="LK244" s="12"/>
      <c r="LL244" s="12"/>
      <c r="LM244" s="12"/>
      <c r="LN244" s="12"/>
      <c r="LO244" s="12"/>
      <c r="LP244" s="12"/>
      <c r="LQ244" s="12"/>
      <c r="LR244" s="12"/>
      <c r="LS244" s="12"/>
      <c r="LT244" s="12"/>
      <c r="LU244" s="12"/>
      <c r="LV244" s="12"/>
      <c r="LW244" s="12"/>
      <c r="LX244" s="12"/>
      <c r="LY244" s="12"/>
      <c r="LZ244" s="12"/>
      <c r="MA244" s="12"/>
      <c r="MB244" s="12"/>
      <c r="MC244" s="12"/>
      <c r="MD244" s="12"/>
      <c r="ME244" s="12"/>
      <c r="MF244" s="12"/>
      <c r="MG244" s="12"/>
      <c r="MH244" s="12"/>
      <c r="MI244" s="12"/>
      <c r="MJ244" s="12"/>
      <c r="MK244" s="12"/>
      <c r="ML244" s="12"/>
      <c r="MM244" s="12"/>
      <c r="MN244" s="12"/>
      <c r="MO244" s="12"/>
      <c r="MP244" s="12"/>
      <c r="MQ244" s="12"/>
      <c r="MR244" s="12"/>
      <c r="MS244" s="12"/>
      <c r="MT244" s="12"/>
      <c r="MU244" s="12"/>
      <c r="MV244" s="12"/>
      <c r="MW244" s="12"/>
      <c r="MX244" s="12"/>
      <c r="MY244" s="12"/>
      <c r="MZ244" s="12"/>
      <c r="NA244" s="12"/>
      <c r="NB244" s="12"/>
      <c r="NC244" s="12"/>
      <c r="ND244" s="12"/>
      <c r="NE244" s="12"/>
      <c r="NF244" s="12"/>
      <c r="NG244" s="12"/>
      <c r="NH244" s="12"/>
      <c r="NI244" s="12"/>
      <c r="NJ244" s="12"/>
      <c r="NK244" s="12"/>
      <c r="NL244" s="12"/>
      <c r="NM244" s="12"/>
      <c r="NN244" s="12"/>
      <c r="NO244" s="12"/>
      <c r="NP244" s="12"/>
      <c r="NQ244" s="12"/>
      <c r="NR244" s="12"/>
      <c r="NS244" s="12"/>
      <c r="NT244" s="12"/>
      <c r="NU244" s="12"/>
      <c r="NV244" s="12"/>
      <c r="NW244" s="12"/>
      <c r="NX244" s="12"/>
      <c r="NY244" s="12"/>
      <c r="NZ244" s="12"/>
      <c r="OA244" s="12"/>
      <c r="OB244" s="12"/>
      <c r="OC244" s="12"/>
      <c r="OD244" s="12"/>
      <c r="OE244" s="12"/>
      <c r="OF244" s="12"/>
      <c r="OG244" s="12"/>
      <c r="OH244" s="12"/>
      <c r="OI244" s="12"/>
      <c r="OJ244" s="12"/>
      <c r="OK244" s="12"/>
      <c r="OL244" s="12"/>
      <c r="OM244" s="12"/>
      <c r="ON244" s="12"/>
      <c r="OO244" s="12"/>
      <c r="OP244" s="12"/>
      <c r="OQ244" s="12"/>
      <c r="OR244" s="12"/>
      <c r="OS244" s="12"/>
      <c r="OT244" s="12"/>
      <c r="OU244" s="12"/>
      <c r="OV244" s="12"/>
      <c r="OW244" s="12"/>
      <c r="OX244" s="12"/>
      <c r="OY244" s="12"/>
      <c r="OZ244" s="12"/>
      <c r="PA244" s="12"/>
      <c r="PB244" s="12"/>
      <c r="PC244" s="12"/>
      <c r="PD244" s="12"/>
      <c r="PE244" s="12"/>
      <c r="PF244" s="12"/>
      <c r="PG244" s="12"/>
      <c r="PH244" s="12"/>
      <c r="PI244" s="12"/>
      <c r="PJ244" s="12"/>
      <c r="PK244" s="12"/>
      <c r="PL244" s="12"/>
      <c r="PM244" s="12"/>
      <c r="PN244" s="12"/>
      <c r="PO244" s="12"/>
      <c r="PP244" s="12"/>
      <c r="PQ244" s="12"/>
      <c r="PR244" s="12"/>
      <c r="PS244" s="12"/>
      <c r="PT244" s="12"/>
      <c r="PU244" s="12"/>
      <c r="PV244" s="12"/>
      <c r="PW244" s="12"/>
      <c r="PX244" s="12"/>
      <c r="PY244" s="12"/>
      <c r="PZ244" s="12"/>
      <c r="QA244" s="12"/>
      <c r="QB244" s="12"/>
      <c r="QC244" s="12"/>
      <c r="QD244" s="12"/>
      <c r="QE244" s="12"/>
      <c r="QF244" s="12"/>
      <c r="QG244" s="12"/>
      <c r="QH244" s="12"/>
      <c r="QI244" s="12"/>
      <c r="QJ244" s="12"/>
      <c r="QK244" s="12"/>
      <c r="QL244" s="12"/>
      <c r="QM244" s="12"/>
      <c r="QN244" s="12"/>
      <c r="QO244" s="12"/>
      <c r="QP244" s="12"/>
      <c r="QQ244" s="12"/>
      <c r="QR244" s="12"/>
      <c r="QS244" s="12"/>
      <c r="QT244" s="12"/>
      <c r="QU244" s="12"/>
      <c r="QV244" s="12"/>
      <c r="QW244" s="12"/>
      <c r="QX244" s="12"/>
      <c r="QY244" s="12"/>
      <c r="QZ244" s="12"/>
      <c r="RA244" s="12"/>
      <c r="RB244" s="12"/>
      <c r="RC244" s="12"/>
      <c r="RD244" s="12"/>
      <c r="RE244" s="12"/>
      <c r="RF244" s="12"/>
      <c r="RG244" s="12"/>
      <c r="RH244" s="12"/>
      <c r="RI244" s="12"/>
      <c r="RJ244" s="12"/>
      <c r="RK244" s="12"/>
      <c r="RL244" s="12"/>
      <c r="RM244" s="12"/>
      <c r="RN244" s="12"/>
      <c r="RO244" s="12"/>
      <c r="RP244" s="12"/>
      <c r="RQ244" s="12"/>
      <c r="RR244" s="12"/>
      <c r="RS244" s="12"/>
      <c r="RT244" s="12"/>
      <c r="RU244" s="12"/>
      <c r="RV244" s="12"/>
      <c r="RW244" s="12"/>
      <c r="RX244" s="12"/>
      <c r="RY244" s="12"/>
      <c r="RZ244" s="12"/>
      <c r="SA244" s="12"/>
      <c r="SB244" s="12"/>
      <c r="SC244" s="12"/>
      <c r="SD244" s="12"/>
      <c r="SE244" s="12"/>
      <c r="SF244" s="12"/>
      <c r="SG244" s="12"/>
      <c r="SH244" s="11"/>
      <c r="SI244" s="11"/>
      <c r="SJ244" s="11"/>
      <c r="SK244" s="11"/>
      <c r="SL244" s="11"/>
      <c r="SM244" s="11"/>
      <c r="SN244" s="11"/>
      <c r="SO244" s="11"/>
      <c r="SP244" s="11"/>
      <c r="SQ244" s="11"/>
      <c r="SR244" s="11"/>
      <c r="SS244" s="11"/>
      <c r="ST244" s="11"/>
      <c r="SU244" s="11"/>
      <c r="SV244" s="11"/>
      <c r="SW244" s="11"/>
      <c r="SX244" s="11"/>
      <c r="SY244" s="11"/>
      <c r="SZ244" s="11"/>
      <c r="TA244" s="11"/>
      <c r="TB244" s="11"/>
      <c r="TC244" s="11"/>
      <c r="TD244" s="11"/>
      <c r="TE244" s="11"/>
      <c r="TF244" s="11"/>
      <c r="TG244" s="11"/>
      <c r="TH244" s="11"/>
      <c r="TI244" s="11"/>
      <c r="TJ244" s="11"/>
      <c r="TK244" s="11"/>
      <c r="TL244" s="11"/>
    </row>
    <row r="245" spans="1:532" x14ac:dyDescent="0.2">
      <c r="A245" s="10" t="s">
        <v>244</v>
      </c>
      <c r="B245" s="12">
        <v>13.38</v>
      </c>
      <c r="C245" s="11">
        <v>0</v>
      </c>
      <c r="D245" s="11">
        <v>1.6037741907066601</v>
      </c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  <c r="BW245" s="12"/>
      <c r="BX245" s="12"/>
      <c r="BY245" s="12"/>
      <c r="BZ245" s="12"/>
      <c r="CA245" s="12"/>
      <c r="CB245" s="12"/>
      <c r="CC245" s="12"/>
      <c r="CD245" s="12"/>
      <c r="CE245" s="12"/>
      <c r="CF245" s="12"/>
      <c r="CG245" s="12"/>
      <c r="CH245" s="12"/>
      <c r="CI245" s="12"/>
      <c r="CJ245" s="12"/>
      <c r="CK245" s="12"/>
      <c r="CL245" s="12"/>
      <c r="CM245" s="12"/>
      <c r="CN245" s="12"/>
      <c r="CO245" s="12"/>
      <c r="CP245" s="12"/>
      <c r="CQ245" s="12"/>
      <c r="CR245" s="12"/>
      <c r="CS245" s="12"/>
      <c r="CT245" s="12"/>
      <c r="CU245" s="12"/>
      <c r="CV245" s="12"/>
      <c r="CW245" s="12"/>
      <c r="CX245" s="12"/>
      <c r="CY245" s="12"/>
      <c r="CZ245" s="12"/>
      <c r="DA245" s="12"/>
      <c r="DB245" s="12"/>
      <c r="DC245" s="12"/>
      <c r="DD245" s="12"/>
      <c r="DE245" s="12"/>
      <c r="DF245" s="12"/>
      <c r="DG245" s="12"/>
      <c r="DH245" s="12"/>
      <c r="DI245" s="12"/>
      <c r="DJ245" s="12"/>
      <c r="DK245" s="12"/>
      <c r="DL245" s="12"/>
      <c r="DM245" s="12"/>
      <c r="DN245" s="12"/>
      <c r="DO245" s="12"/>
      <c r="DP245" s="12"/>
      <c r="DQ245" s="12"/>
      <c r="DR245" s="12"/>
      <c r="DS245" s="12"/>
      <c r="DT245" s="12"/>
      <c r="DU245" s="12"/>
      <c r="DV245" s="12"/>
      <c r="DW245" s="12"/>
      <c r="DX245" s="12"/>
      <c r="DY245" s="12"/>
      <c r="DZ245" s="12"/>
      <c r="EA245" s="12"/>
      <c r="EB245" s="12"/>
      <c r="EC245" s="12"/>
      <c r="ED245" s="12"/>
      <c r="EE245" s="12"/>
      <c r="EF245" s="12"/>
      <c r="EG245" s="12"/>
      <c r="EH245" s="12"/>
      <c r="EI245" s="12"/>
      <c r="EJ245" s="12"/>
      <c r="EK245" s="12"/>
      <c r="EL245" s="12"/>
      <c r="EM245" s="12"/>
      <c r="EN245" s="12"/>
      <c r="EO245" s="12"/>
      <c r="EP245" s="12"/>
      <c r="EQ245" s="12"/>
      <c r="ER245" s="12"/>
      <c r="ES245" s="12"/>
      <c r="ET245" s="12"/>
      <c r="EU245" s="12"/>
      <c r="EV245" s="12"/>
      <c r="EW245" s="12"/>
      <c r="EX245" s="12"/>
      <c r="EY245" s="12"/>
      <c r="EZ245" s="12"/>
      <c r="FA245" s="12"/>
      <c r="FB245" s="12"/>
      <c r="FC245" s="12"/>
      <c r="FD245" s="12"/>
      <c r="FE245" s="12"/>
      <c r="FF245" s="12"/>
      <c r="FG245" s="12"/>
      <c r="FH245" s="12"/>
      <c r="FI245" s="12"/>
      <c r="FJ245" s="12"/>
      <c r="FK245" s="12"/>
      <c r="FL245" s="12"/>
      <c r="FM245" s="12"/>
      <c r="FN245" s="12"/>
      <c r="FO245" s="12"/>
      <c r="FP245" s="12"/>
      <c r="FQ245" s="12"/>
      <c r="FR245" s="12"/>
      <c r="FS245" s="12"/>
      <c r="FT245" s="12"/>
      <c r="FU245" s="12"/>
      <c r="FV245" s="12"/>
      <c r="FW245" s="12"/>
      <c r="FX245" s="12"/>
      <c r="FY245" s="12"/>
      <c r="FZ245" s="12"/>
      <c r="GA245" s="12"/>
      <c r="GB245" s="12"/>
      <c r="GC245" s="12"/>
      <c r="GD245" s="12"/>
      <c r="GE245" s="12"/>
      <c r="GF245" s="12"/>
      <c r="GG245" s="12"/>
      <c r="GH245" s="12"/>
      <c r="GI245" s="12"/>
      <c r="GJ245" s="12"/>
      <c r="GK245" s="12"/>
      <c r="GL245" s="12"/>
      <c r="GM245" s="12"/>
      <c r="GN245" s="12"/>
      <c r="GO245" s="12"/>
      <c r="GP245" s="12"/>
      <c r="GQ245" s="12"/>
      <c r="GR245" s="12"/>
      <c r="GS245" s="12"/>
      <c r="GT245" s="12"/>
      <c r="GU245" s="12"/>
      <c r="GV245" s="12"/>
      <c r="GW245" s="12"/>
      <c r="GX245" s="12"/>
      <c r="GY245" s="12"/>
      <c r="GZ245" s="12"/>
      <c r="HA245" s="12"/>
      <c r="HB245" s="12"/>
      <c r="HC245" s="12"/>
      <c r="HD245" s="12"/>
      <c r="HE245" s="12"/>
      <c r="HF245" s="12"/>
      <c r="HG245" s="12"/>
      <c r="HH245" s="12"/>
      <c r="HI245" s="12"/>
      <c r="HJ245" s="12"/>
      <c r="HK245" s="12"/>
      <c r="HL245" s="12"/>
      <c r="HM245" s="12"/>
      <c r="HN245" s="12"/>
      <c r="HO245" s="12"/>
      <c r="HP245" s="12"/>
      <c r="HQ245" s="12"/>
      <c r="HR245" s="12"/>
      <c r="HS245" s="12"/>
      <c r="HT245" s="12"/>
      <c r="HU245" s="12"/>
      <c r="HV245" s="12"/>
      <c r="HW245" s="12"/>
      <c r="HX245" s="12"/>
      <c r="HY245" s="12"/>
      <c r="HZ245" s="12"/>
      <c r="IA245" s="12"/>
      <c r="IB245" s="12"/>
      <c r="IC245" s="12"/>
      <c r="ID245" s="12"/>
      <c r="IE245" s="12"/>
      <c r="IF245" s="12"/>
      <c r="IG245" s="12"/>
      <c r="IH245" s="12"/>
      <c r="II245" s="12"/>
      <c r="IJ245" s="12"/>
      <c r="IK245" s="12"/>
      <c r="IL245" s="12"/>
      <c r="IM245" s="12"/>
      <c r="IN245" s="12"/>
      <c r="IO245" s="12"/>
      <c r="IP245" s="12"/>
      <c r="IQ245" s="12"/>
      <c r="IR245" s="12"/>
      <c r="IS245" s="12"/>
      <c r="IT245" s="12"/>
      <c r="IU245" s="12"/>
      <c r="IV245" s="12"/>
      <c r="IW245" s="12"/>
      <c r="IX245" s="12"/>
      <c r="IY245" s="12"/>
      <c r="IZ245" s="12"/>
      <c r="JA245" s="12"/>
      <c r="JB245" s="12"/>
      <c r="JC245" s="12"/>
      <c r="JD245" s="12"/>
      <c r="JE245" s="12"/>
      <c r="JF245" s="12"/>
      <c r="JG245" s="12"/>
      <c r="JH245" s="12"/>
      <c r="JI245" s="12"/>
      <c r="JJ245" s="12"/>
      <c r="JK245" s="12"/>
      <c r="JL245" s="12"/>
      <c r="JM245" s="12"/>
      <c r="JN245" s="12"/>
      <c r="JO245" s="12"/>
      <c r="JP245" s="12"/>
      <c r="JQ245" s="12"/>
      <c r="JR245" s="12"/>
      <c r="JS245" s="12"/>
      <c r="JT245" s="12"/>
      <c r="JU245" s="12"/>
      <c r="JV245" s="12"/>
      <c r="JW245" s="12"/>
      <c r="JX245" s="12"/>
      <c r="JY245" s="12"/>
      <c r="JZ245" s="12"/>
      <c r="KA245" s="12"/>
      <c r="KB245" s="12"/>
      <c r="KC245" s="12"/>
      <c r="KD245" s="12"/>
      <c r="KE245" s="12"/>
      <c r="KF245" s="12"/>
      <c r="KG245" s="12"/>
      <c r="KH245" s="12"/>
      <c r="KI245" s="12"/>
      <c r="KJ245" s="12"/>
      <c r="KK245" s="12"/>
      <c r="KL245" s="12"/>
      <c r="KM245" s="12"/>
      <c r="KN245" s="12"/>
      <c r="KO245" s="12"/>
      <c r="KP245" s="12"/>
      <c r="KQ245" s="12"/>
      <c r="KR245" s="12"/>
      <c r="KS245" s="12"/>
      <c r="KT245" s="12"/>
      <c r="KU245" s="12"/>
      <c r="KV245" s="12"/>
      <c r="KW245" s="12"/>
      <c r="KX245" s="12"/>
      <c r="KY245" s="12"/>
      <c r="KZ245" s="12"/>
      <c r="LA245" s="12"/>
      <c r="LB245" s="12"/>
      <c r="LC245" s="12"/>
      <c r="LD245" s="12"/>
      <c r="LE245" s="12"/>
      <c r="LF245" s="12"/>
      <c r="LG245" s="12"/>
      <c r="LH245" s="12"/>
      <c r="LI245" s="12"/>
      <c r="LJ245" s="12"/>
      <c r="LK245" s="12"/>
      <c r="LL245" s="12"/>
      <c r="LM245" s="12"/>
      <c r="LN245" s="12"/>
      <c r="LO245" s="12"/>
      <c r="LP245" s="12"/>
      <c r="LQ245" s="12"/>
      <c r="LR245" s="12"/>
      <c r="LS245" s="12"/>
      <c r="LT245" s="12"/>
      <c r="LU245" s="12"/>
      <c r="LV245" s="12"/>
      <c r="LW245" s="12"/>
      <c r="LX245" s="12"/>
      <c r="LY245" s="12"/>
      <c r="LZ245" s="12"/>
      <c r="MA245" s="12"/>
      <c r="MB245" s="12"/>
      <c r="MC245" s="12"/>
      <c r="MD245" s="12"/>
      <c r="ME245" s="12"/>
      <c r="MF245" s="12"/>
      <c r="MG245" s="12"/>
      <c r="MH245" s="12"/>
      <c r="MI245" s="12"/>
      <c r="MJ245" s="12"/>
      <c r="MK245" s="12"/>
      <c r="ML245" s="12"/>
      <c r="MM245" s="12"/>
      <c r="MN245" s="12"/>
      <c r="MO245" s="12"/>
      <c r="MP245" s="12"/>
      <c r="MQ245" s="12"/>
      <c r="MR245" s="12"/>
      <c r="MS245" s="12"/>
      <c r="MT245" s="12"/>
      <c r="MU245" s="12"/>
      <c r="MV245" s="12"/>
      <c r="MW245" s="12"/>
      <c r="MX245" s="12"/>
      <c r="MY245" s="12"/>
      <c r="MZ245" s="12"/>
      <c r="NA245" s="12"/>
      <c r="NB245" s="12"/>
      <c r="NC245" s="12"/>
      <c r="ND245" s="12"/>
      <c r="NE245" s="12"/>
      <c r="NF245" s="12"/>
      <c r="NG245" s="12"/>
      <c r="NH245" s="12"/>
      <c r="NI245" s="12"/>
      <c r="NJ245" s="12"/>
      <c r="NK245" s="12"/>
      <c r="NL245" s="12"/>
      <c r="NM245" s="12"/>
      <c r="NN245" s="12"/>
      <c r="NO245" s="12"/>
      <c r="NP245" s="12"/>
      <c r="NQ245" s="12"/>
      <c r="NR245" s="12"/>
      <c r="NS245" s="12"/>
      <c r="NT245" s="12"/>
      <c r="NU245" s="12"/>
      <c r="NV245" s="12"/>
      <c r="NW245" s="12"/>
      <c r="NX245" s="12"/>
      <c r="NY245" s="12"/>
      <c r="NZ245" s="12"/>
      <c r="OA245" s="12"/>
      <c r="OB245" s="12"/>
      <c r="OC245" s="12"/>
      <c r="OD245" s="12"/>
      <c r="OE245" s="12"/>
      <c r="OF245" s="12"/>
      <c r="OG245" s="12"/>
      <c r="OH245" s="12"/>
      <c r="OI245" s="12"/>
      <c r="OJ245" s="12"/>
      <c r="OK245" s="12"/>
      <c r="OL245" s="12"/>
      <c r="OM245" s="12"/>
      <c r="ON245" s="12"/>
      <c r="OO245" s="12"/>
      <c r="OP245" s="12"/>
      <c r="OQ245" s="12"/>
      <c r="OR245" s="12"/>
      <c r="OS245" s="12"/>
      <c r="OT245" s="12"/>
      <c r="OU245" s="12"/>
      <c r="OV245" s="12"/>
      <c r="OW245" s="12"/>
      <c r="OX245" s="12"/>
      <c r="OY245" s="12"/>
      <c r="OZ245" s="12"/>
      <c r="PA245" s="12"/>
      <c r="PB245" s="12"/>
      <c r="PC245" s="12"/>
      <c r="PD245" s="12"/>
      <c r="PE245" s="12"/>
      <c r="PF245" s="12"/>
      <c r="PG245" s="12"/>
      <c r="PH245" s="12"/>
      <c r="PI245" s="12"/>
      <c r="PJ245" s="12"/>
      <c r="PK245" s="12"/>
      <c r="PL245" s="12"/>
      <c r="PM245" s="12"/>
      <c r="PN245" s="12"/>
      <c r="PO245" s="12"/>
      <c r="PP245" s="12"/>
      <c r="PQ245" s="12"/>
      <c r="PR245" s="12"/>
      <c r="PS245" s="12"/>
      <c r="PT245" s="12"/>
      <c r="PU245" s="12"/>
      <c r="PV245" s="12"/>
      <c r="PW245" s="12"/>
      <c r="PX245" s="12"/>
      <c r="PY245" s="12"/>
      <c r="PZ245" s="12"/>
      <c r="QA245" s="12"/>
      <c r="QB245" s="12"/>
      <c r="QC245" s="12"/>
      <c r="QD245" s="12"/>
      <c r="QE245" s="12"/>
      <c r="QF245" s="12"/>
      <c r="QG245" s="12"/>
      <c r="QH245" s="12"/>
      <c r="QI245" s="12"/>
      <c r="QJ245" s="12"/>
      <c r="QK245" s="12"/>
      <c r="QL245" s="12"/>
      <c r="QM245" s="12"/>
      <c r="QN245" s="12"/>
      <c r="QO245" s="12"/>
      <c r="QP245" s="12"/>
      <c r="QQ245" s="12"/>
      <c r="QR245" s="12"/>
      <c r="QS245" s="12"/>
      <c r="QT245" s="12"/>
      <c r="QU245" s="12"/>
      <c r="QV245" s="12"/>
      <c r="QW245" s="12"/>
      <c r="QX245" s="12"/>
      <c r="QY245" s="12"/>
      <c r="QZ245" s="12"/>
      <c r="RA245" s="12"/>
      <c r="RB245" s="12"/>
      <c r="RC245" s="12"/>
      <c r="RD245" s="12"/>
      <c r="RE245" s="12"/>
      <c r="RF245" s="12"/>
      <c r="RG245" s="12"/>
      <c r="RH245" s="12"/>
      <c r="RI245" s="12"/>
      <c r="RJ245" s="12"/>
      <c r="RK245" s="12"/>
      <c r="RL245" s="12"/>
      <c r="RM245" s="12"/>
      <c r="RN245" s="12"/>
      <c r="RO245" s="12"/>
      <c r="RP245" s="12"/>
      <c r="RQ245" s="12"/>
      <c r="RR245" s="12"/>
      <c r="RS245" s="12"/>
      <c r="RT245" s="12"/>
      <c r="RU245" s="12"/>
      <c r="RV245" s="12"/>
      <c r="RW245" s="12"/>
      <c r="RX245" s="12"/>
      <c r="RY245" s="12"/>
      <c r="RZ245" s="12"/>
      <c r="SA245" s="12"/>
      <c r="SB245" s="12"/>
      <c r="SC245" s="12"/>
      <c r="SD245" s="12"/>
      <c r="SE245" s="12"/>
      <c r="SF245" s="12"/>
      <c r="SG245" s="12"/>
      <c r="SH245" s="11"/>
      <c r="SI245" s="11"/>
      <c r="SJ245" s="11"/>
      <c r="SK245" s="11"/>
      <c r="SL245" s="11"/>
      <c r="SM245" s="11"/>
      <c r="SN245" s="11"/>
      <c r="SO245" s="11"/>
      <c r="SP245" s="11"/>
      <c r="SQ245" s="11"/>
      <c r="SR245" s="11"/>
      <c r="SS245" s="11"/>
      <c r="ST245" s="11"/>
      <c r="SU245" s="11"/>
      <c r="SV245" s="11"/>
      <c r="SW245" s="11"/>
      <c r="SX245" s="11"/>
      <c r="SY245" s="11"/>
      <c r="SZ245" s="11"/>
      <c r="TA245" s="11"/>
      <c r="TB245" s="11"/>
      <c r="TC245" s="11"/>
      <c r="TD245" s="11"/>
      <c r="TE245" s="11"/>
      <c r="TF245" s="11"/>
      <c r="TG245" s="11"/>
      <c r="TH245" s="11"/>
      <c r="TI245" s="11"/>
      <c r="TJ245" s="11"/>
      <c r="TK245" s="11"/>
      <c r="TL245" s="11"/>
    </row>
    <row r="246" spans="1:532" x14ac:dyDescent="0.2">
      <c r="A246" s="10" t="s">
        <v>245</v>
      </c>
      <c r="B246" s="12">
        <v>13.37</v>
      </c>
      <c r="C246" s="11">
        <v>0</v>
      </c>
      <c r="D246" s="11">
        <v>1.6136740313900342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  <c r="BW246" s="12"/>
      <c r="BX246" s="12"/>
      <c r="BY246" s="12"/>
      <c r="BZ246" s="12"/>
      <c r="CA246" s="12"/>
      <c r="CB246" s="12"/>
      <c r="CC246" s="12"/>
      <c r="CD246" s="12"/>
      <c r="CE246" s="12"/>
      <c r="CF246" s="12"/>
      <c r="CG246" s="12"/>
      <c r="CH246" s="12"/>
      <c r="CI246" s="12"/>
      <c r="CJ246" s="12"/>
      <c r="CK246" s="12"/>
      <c r="CL246" s="12"/>
      <c r="CM246" s="12"/>
      <c r="CN246" s="12"/>
      <c r="CO246" s="12"/>
      <c r="CP246" s="12"/>
      <c r="CQ246" s="12"/>
      <c r="CR246" s="12"/>
      <c r="CS246" s="12"/>
      <c r="CT246" s="12"/>
      <c r="CU246" s="12"/>
      <c r="CV246" s="12"/>
      <c r="CW246" s="12"/>
      <c r="CX246" s="12"/>
      <c r="CY246" s="12"/>
      <c r="CZ246" s="12"/>
      <c r="DA246" s="12"/>
      <c r="DB246" s="12"/>
      <c r="DC246" s="12"/>
      <c r="DD246" s="12"/>
      <c r="DE246" s="12"/>
      <c r="DF246" s="12"/>
      <c r="DG246" s="12"/>
      <c r="DH246" s="12"/>
      <c r="DI246" s="12"/>
      <c r="DJ246" s="12"/>
      <c r="DK246" s="12"/>
      <c r="DL246" s="12"/>
      <c r="DM246" s="12"/>
      <c r="DN246" s="12"/>
      <c r="DO246" s="12"/>
      <c r="DP246" s="12"/>
      <c r="DQ246" s="12"/>
      <c r="DR246" s="12"/>
      <c r="DS246" s="12"/>
      <c r="DT246" s="12"/>
      <c r="DU246" s="12"/>
      <c r="DV246" s="12"/>
      <c r="DW246" s="12"/>
      <c r="DX246" s="12"/>
      <c r="DY246" s="12"/>
      <c r="DZ246" s="12"/>
      <c r="EA246" s="12"/>
      <c r="EB246" s="12"/>
      <c r="EC246" s="12"/>
      <c r="ED246" s="12"/>
      <c r="EE246" s="12"/>
      <c r="EF246" s="12"/>
      <c r="EG246" s="12"/>
      <c r="EH246" s="12"/>
      <c r="EI246" s="12"/>
      <c r="EJ246" s="12"/>
      <c r="EK246" s="12"/>
      <c r="EL246" s="12"/>
      <c r="EM246" s="12"/>
      <c r="EN246" s="12"/>
      <c r="EO246" s="12"/>
      <c r="EP246" s="12"/>
      <c r="EQ246" s="12"/>
      <c r="ER246" s="12"/>
      <c r="ES246" s="12"/>
      <c r="ET246" s="12"/>
      <c r="EU246" s="12"/>
      <c r="EV246" s="12"/>
      <c r="EW246" s="12"/>
      <c r="EX246" s="12"/>
      <c r="EY246" s="12"/>
      <c r="EZ246" s="12"/>
      <c r="FA246" s="12"/>
      <c r="FB246" s="12"/>
      <c r="FC246" s="12"/>
      <c r="FD246" s="12"/>
      <c r="FE246" s="12"/>
      <c r="FF246" s="12"/>
      <c r="FG246" s="12"/>
      <c r="FH246" s="12"/>
      <c r="FI246" s="12"/>
      <c r="FJ246" s="12"/>
      <c r="FK246" s="12"/>
      <c r="FL246" s="12"/>
      <c r="FM246" s="12"/>
      <c r="FN246" s="12"/>
      <c r="FO246" s="12"/>
      <c r="FP246" s="12"/>
      <c r="FQ246" s="12"/>
      <c r="FR246" s="12"/>
      <c r="FS246" s="12"/>
      <c r="FT246" s="12"/>
      <c r="FU246" s="12"/>
      <c r="FV246" s="12"/>
      <c r="FW246" s="12"/>
      <c r="FX246" s="12"/>
      <c r="FY246" s="12"/>
      <c r="FZ246" s="12"/>
      <c r="GA246" s="12"/>
      <c r="GB246" s="12"/>
      <c r="GC246" s="12"/>
      <c r="GD246" s="12"/>
      <c r="GE246" s="12"/>
      <c r="GF246" s="12"/>
      <c r="GG246" s="12"/>
      <c r="GH246" s="12"/>
      <c r="GI246" s="12"/>
      <c r="GJ246" s="12"/>
      <c r="GK246" s="12"/>
      <c r="GL246" s="12"/>
      <c r="GM246" s="12"/>
      <c r="GN246" s="12"/>
      <c r="GO246" s="12"/>
      <c r="GP246" s="12"/>
      <c r="GQ246" s="12"/>
      <c r="GR246" s="12"/>
      <c r="GS246" s="12"/>
      <c r="GT246" s="12"/>
      <c r="GU246" s="12"/>
      <c r="GV246" s="12"/>
      <c r="GW246" s="12"/>
      <c r="GX246" s="12"/>
      <c r="GY246" s="12"/>
      <c r="GZ246" s="12"/>
      <c r="HA246" s="12"/>
      <c r="HB246" s="12"/>
      <c r="HC246" s="12"/>
      <c r="HD246" s="12"/>
      <c r="HE246" s="12"/>
      <c r="HF246" s="12"/>
      <c r="HG246" s="12"/>
      <c r="HH246" s="12"/>
      <c r="HI246" s="12"/>
      <c r="HJ246" s="12"/>
      <c r="HK246" s="12"/>
      <c r="HL246" s="12"/>
      <c r="HM246" s="12"/>
      <c r="HN246" s="12"/>
      <c r="HO246" s="12"/>
      <c r="HP246" s="12"/>
      <c r="HQ246" s="12"/>
      <c r="HR246" s="12"/>
      <c r="HS246" s="12"/>
      <c r="HT246" s="12"/>
      <c r="HU246" s="12"/>
      <c r="HV246" s="12"/>
      <c r="HW246" s="12"/>
      <c r="HX246" s="12"/>
      <c r="HY246" s="12"/>
      <c r="HZ246" s="12"/>
      <c r="IA246" s="12"/>
      <c r="IB246" s="12"/>
      <c r="IC246" s="12"/>
      <c r="ID246" s="12"/>
      <c r="IE246" s="12"/>
      <c r="IF246" s="12"/>
      <c r="IG246" s="12"/>
      <c r="IH246" s="12"/>
      <c r="II246" s="12"/>
      <c r="IJ246" s="12"/>
      <c r="IK246" s="12"/>
      <c r="IL246" s="12"/>
      <c r="IM246" s="12"/>
      <c r="IN246" s="12"/>
      <c r="IO246" s="12"/>
      <c r="IP246" s="12"/>
      <c r="IQ246" s="12"/>
      <c r="IR246" s="12"/>
      <c r="IS246" s="12"/>
      <c r="IT246" s="12"/>
      <c r="IU246" s="12"/>
      <c r="IV246" s="12"/>
      <c r="IW246" s="12"/>
      <c r="IX246" s="12"/>
      <c r="IY246" s="12"/>
      <c r="IZ246" s="12"/>
      <c r="JA246" s="12"/>
      <c r="JB246" s="12"/>
      <c r="JC246" s="12"/>
      <c r="JD246" s="12"/>
      <c r="JE246" s="12"/>
      <c r="JF246" s="12"/>
      <c r="JG246" s="12"/>
      <c r="JH246" s="12"/>
      <c r="JI246" s="12"/>
      <c r="JJ246" s="12"/>
      <c r="JK246" s="12"/>
      <c r="JL246" s="12"/>
      <c r="JM246" s="12"/>
      <c r="JN246" s="12"/>
      <c r="JO246" s="12"/>
      <c r="JP246" s="12"/>
      <c r="JQ246" s="12"/>
      <c r="JR246" s="12"/>
      <c r="JS246" s="12"/>
      <c r="JT246" s="12"/>
      <c r="JU246" s="12"/>
      <c r="JV246" s="12"/>
      <c r="JW246" s="12"/>
      <c r="JX246" s="12"/>
      <c r="JY246" s="12"/>
      <c r="JZ246" s="12"/>
      <c r="KA246" s="12"/>
      <c r="KB246" s="12"/>
      <c r="KC246" s="12"/>
      <c r="KD246" s="12"/>
      <c r="KE246" s="12"/>
      <c r="KF246" s="12"/>
      <c r="KG246" s="12"/>
      <c r="KH246" s="12"/>
      <c r="KI246" s="12"/>
      <c r="KJ246" s="12"/>
      <c r="KK246" s="12"/>
      <c r="KL246" s="12"/>
      <c r="KM246" s="12"/>
      <c r="KN246" s="12"/>
      <c r="KO246" s="12"/>
      <c r="KP246" s="12"/>
      <c r="KQ246" s="12"/>
      <c r="KR246" s="12"/>
      <c r="KS246" s="12"/>
      <c r="KT246" s="12"/>
      <c r="KU246" s="12"/>
      <c r="KV246" s="12"/>
      <c r="KW246" s="12"/>
      <c r="KX246" s="12"/>
      <c r="KY246" s="12"/>
      <c r="KZ246" s="12"/>
      <c r="LA246" s="12"/>
      <c r="LB246" s="12"/>
      <c r="LC246" s="12"/>
      <c r="LD246" s="12"/>
      <c r="LE246" s="12"/>
      <c r="LF246" s="12"/>
      <c r="LG246" s="12"/>
      <c r="LH246" s="12"/>
      <c r="LI246" s="12"/>
      <c r="LJ246" s="12"/>
      <c r="LK246" s="12"/>
      <c r="LL246" s="12"/>
      <c r="LM246" s="12"/>
      <c r="LN246" s="12"/>
      <c r="LO246" s="12"/>
      <c r="LP246" s="12"/>
      <c r="LQ246" s="12"/>
      <c r="LR246" s="12"/>
      <c r="LS246" s="12"/>
      <c r="LT246" s="12"/>
      <c r="LU246" s="12"/>
      <c r="LV246" s="12"/>
      <c r="LW246" s="12"/>
      <c r="LX246" s="12"/>
      <c r="LY246" s="12"/>
      <c r="LZ246" s="12"/>
      <c r="MA246" s="12"/>
      <c r="MB246" s="12"/>
      <c r="MC246" s="12"/>
      <c r="MD246" s="12"/>
      <c r="ME246" s="12"/>
      <c r="MF246" s="12"/>
      <c r="MG246" s="12"/>
      <c r="MH246" s="12"/>
      <c r="MI246" s="12"/>
      <c r="MJ246" s="12"/>
      <c r="MK246" s="12"/>
      <c r="ML246" s="12"/>
      <c r="MM246" s="12"/>
      <c r="MN246" s="12"/>
      <c r="MO246" s="12"/>
      <c r="MP246" s="12"/>
      <c r="MQ246" s="12"/>
      <c r="MR246" s="12"/>
      <c r="MS246" s="12"/>
      <c r="MT246" s="12"/>
      <c r="MU246" s="12"/>
      <c r="MV246" s="12"/>
      <c r="MW246" s="12"/>
      <c r="MX246" s="12"/>
      <c r="MY246" s="12"/>
      <c r="MZ246" s="12"/>
      <c r="NA246" s="12"/>
      <c r="NB246" s="12"/>
      <c r="NC246" s="12"/>
      <c r="ND246" s="12"/>
      <c r="NE246" s="12"/>
      <c r="NF246" s="12"/>
      <c r="NG246" s="12"/>
      <c r="NH246" s="12"/>
      <c r="NI246" s="12"/>
      <c r="NJ246" s="12"/>
      <c r="NK246" s="12"/>
      <c r="NL246" s="12"/>
      <c r="NM246" s="12"/>
      <c r="NN246" s="12"/>
      <c r="NO246" s="12"/>
      <c r="NP246" s="12"/>
      <c r="NQ246" s="12"/>
      <c r="NR246" s="12"/>
      <c r="NS246" s="12"/>
      <c r="NT246" s="12"/>
      <c r="NU246" s="12"/>
      <c r="NV246" s="12"/>
      <c r="NW246" s="12"/>
      <c r="NX246" s="12"/>
      <c r="NY246" s="12"/>
      <c r="NZ246" s="12"/>
      <c r="OA246" s="12"/>
      <c r="OB246" s="12"/>
      <c r="OC246" s="12"/>
      <c r="OD246" s="12"/>
      <c r="OE246" s="12"/>
      <c r="OF246" s="12"/>
      <c r="OG246" s="12"/>
      <c r="OH246" s="12"/>
      <c r="OI246" s="12"/>
      <c r="OJ246" s="12"/>
      <c r="OK246" s="12"/>
      <c r="OL246" s="12"/>
      <c r="OM246" s="12"/>
      <c r="ON246" s="12"/>
      <c r="OO246" s="12"/>
      <c r="OP246" s="12"/>
      <c r="OQ246" s="12"/>
      <c r="OR246" s="12"/>
      <c r="OS246" s="12"/>
      <c r="OT246" s="12"/>
      <c r="OU246" s="12"/>
      <c r="OV246" s="12"/>
      <c r="OW246" s="12"/>
      <c r="OX246" s="12"/>
      <c r="OY246" s="12"/>
      <c r="OZ246" s="12"/>
      <c r="PA246" s="12"/>
      <c r="PB246" s="12"/>
      <c r="PC246" s="12"/>
      <c r="PD246" s="12"/>
      <c r="PE246" s="12"/>
      <c r="PF246" s="12"/>
      <c r="PG246" s="12"/>
      <c r="PH246" s="12"/>
      <c r="PI246" s="12"/>
      <c r="PJ246" s="12"/>
      <c r="PK246" s="12"/>
      <c r="PL246" s="12"/>
      <c r="PM246" s="12"/>
      <c r="PN246" s="12"/>
      <c r="PO246" s="12"/>
      <c r="PP246" s="12"/>
      <c r="PQ246" s="12"/>
      <c r="PR246" s="12"/>
      <c r="PS246" s="12"/>
      <c r="PT246" s="12"/>
      <c r="PU246" s="12"/>
      <c r="PV246" s="12"/>
      <c r="PW246" s="12"/>
      <c r="PX246" s="12"/>
      <c r="PY246" s="12"/>
      <c r="PZ246" s="12"/>
      <c r="QA246" s="12"/>
      <c r="QB246" s="12"/>
      <c r="QC246" s="12"/>
      <c r="QD246" s="12"/>
      <c r="QE246" s="12"/>
      <c r="QF246" s="12"/>
      <c r="QG246" s="12"/>
      <c r="QH246" s="12"/>
      <c r="QI246" s="12"/>
      <c r="QJ246" s="12"/>
      <c r="QK246" s="12"/>
      <c r="QL246" s="12"/>
      <c r="QM246" s="12"/>
      <c r="QN246" s="12"/>
      <c r="QO246" s="12"/>
      <c r="QP246" s="12"/>
      <c r="QQ246" s="12"/>
      <c r="QR246" s="12"/>
      <c r="QS246" s="12"/>
      <c r="QT246" s="12"/>
      <c r="QU246" s="12"/>
      <c r="QV246" s="12"/>
      <c r="QW246" s="12"/>
      <c r="QX246" s="12"/>
      <c r="QY246" s="12"/>
      <c r="QZ246" s="12"/>
      <c r="RA246" s="12"/>
      <c r="RB246" s="12"/>
      <c r="RC246" s="12"/>
      <c r="RD246" s="12"/>
      <c r="RE246" s="12"/>
      <c r="RF246" s="12"/>
      <c r="RG246" s="12"/>
      <c r="RH246" s="12"/>
      <c r="RI246" s="12"/>
      <c r="RJ246" s="12"/>
      <c r="RK246" s="12"/>
      <c r="RL246" s="12"/>
      <c r="RM246" s="12"/>
      <c r="RN246" s="12"/>
      <c r="RO246" s="12"/>
      <c r="RP246" s="12"/>
      <c r="RQ246" s="12"/>
      <c r="RR246" s="12"/>
      <c r="RS246" s="12"/>
      <c r="RT246" s="12"/>
      <c r="RU246" s="12"/>
      <c r="RV246" s="12"/>
      <c r="RW246" s="12"/>
      <c r="RX246" s="12"/>
      <c r="RY246" s="12"/>
      <c r="RZ246" s="12"/>
      <c r="SA246" s="12"/>
      <c r="SB246" s="12"/>
      <c r="SC246" s="12"/>
      <c r="SD246" s="12"/>
      <c r="SE246" s="12"/>
      <c r="SF246" s="12"/>
      <c r="SG246" s="12"/>
      <c r="SH246" s="11"/>
      <c r="SI246" s="11"/>
      <c r="SJ246" s="11"/>
      <c r="SK246" s="11"/>
      <c r="SL246" s="11"/>
      <c r="SM246" s="11"/>
      <c r="SN246" s="11"/>
      <c r="SO246" s="11"/>
      <c r="SP246" s="11"/>
      <c r="SQ246" s="11"/>
      <c r="SR246" s="11"/>
      <c r="SS246" s="11"/>
      <c r="ST246" s="11"/>
      <c r="SU246" s="11"/>
      <c r="SV246" s="11"/>
      <c r="SW246" s="11"/>
      <c r="SX246" s="11"/>
      <c r="SY246" s="11"/>
      <c r="SZ246" s="11"/>
      <c r="TA246" s="11"/>
      <c r="TB246" s="11"/>
      <c r="TC246" s="11"/>
      <c r="TD246" s="11"/>
      <c r="TE246" s="11"/>
      <c r="TF246" s="11"/>
      <c r="TG246" s="11"/>
      <c r="TH246" s="11"/>
      <c r="TI246" s="11"/>
      <c r="TJ246" s="11"/>
      <c r="TK246" s="11"/>
      <c r="TL246" s="11"/>
    </row>
    <row r="247" spans="1:532" x14ac:dyDescent="0.2">
      <c r="A247" s="10" t="s">
        <v>246</v>
      </c>
      <c r="B247" s="12">
        <v>13.72</v>
      </c>
      <c r="C247" s="11">
        <v>0</v>
      </c>
      <c r="D247" s="11">
        <v>1.2671796074719288</v>
      </c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  <c r="BW247" s="12"/>
      <c r="BX247" s="12"/>
      <c r="BY247" s="12"/>
      <c r="BZ247" s="12"/>
      <c r="CA247" s="12"/>
      <c r="CB247" s="12"/>
      <c r="CC247" s="12"/>
      <c r="CD247" s="12"/>
      <c r="CE247" s="12"/>
      <c r="CF247" s="12"/>
      <c r="CG247" s="12"/>
      <c r="CH247" s="12"/>
      <c r="CI247" s="12"/>
      <c r="CJ247" s="12"/>
      <c r="CK247" s="12"/>
      <c r="CL247" s="12"/>
      <c r="CM247" s="12"/>
      <c r="CN247" s="12"/>
      <c r="CO247" s="12"/>
      <c r="CP247" s="12"/>
      <c r="CQ247" s="12"/>
      <c r="CR247" s="12"/>
      <c r="CS247" s="12"/>
      <c r="CT247" s="12"/>
      <c r="CU247" s="12"/>
      <c r="CV247" s="12"/>
      <c r="CW247" s="12"/>
      <c r="CX247" s="12"/>
      <c r="CY247" s="12"/>
      <c r="CZ247" s="12"/>
      <c r="DA247" s="12"/>
      <c r="DB247" s="12"/>
      <c r="DC247" s="12"/>
      <c r="DD247" s="12"/>
      <c r="DE247" s="12"/>
      <c r="DF247" s="12"/>
      <c r="DG247" s="12"/>
      <c r="DH247" s="12"/>
      <c r="DI247" s="12"/>
      <c r="DJ247" s="12"/>
      <c r="DK247" s="12"/>
      <c r="DL247" s="12"/>
      <c r="DM247" s="12"/>
      <c r="DN247" s="12"/>
      <c r="DO247" s="12"/>
      <c r="DP247" s="12"/>
      <c r="DQ247" s="12"/>
      <c r="DR247" s="12"/>
      <c r="DS247" s="12"/>
      <c r="DT247" s="12"/>
      <c r="DU247" s="12"/>
      <c r="DV247" s="12"/>
      <c r="DW247" s="12"/>
      <c r="DX247" s="12"/>
      <c r="DY247" s="12"/>
      <c r="DZ247" s="12"/>
      <c r="EA247" s="12"/>
      <c r="EB247" s="12"/>
      <c r="EC247" s="12"/>
      <c r="ED247" s="12"/>
      <c r="EE247" s="12"/>
      <c r="EF247" s="12"/>
      <c r="EG247" s="12"/>
      <c r="EH247" s="12"/>
      <c r="EI247" s="12"/>
      <c r="EJ247" s="12"/>
      <c r="EK247" s="12"/>
      <c r="EL247" s="12"/>
      <c r="EM247" s="12"/>
      <c r="EN247" s="12"/>
      <c r="EO247" s="12"/>
      <c r="EP247" s="12"/>
      <c r="EQ247" s="12"/>
      <c r="ER247" s="12"/>
      <c r="ES247" s="12"/>
      <c r="ET247" s="12"/>
      <c r="EU247" s="12"/>
      <c r="EV247" s="12"/>
      <c r="EW247" s="12"/>
      <c r="EX247" s="12"/>
      <c r="EY247" s="12"/>
      <c r="EZ247" s="12"/>
      <c r="FA247" s="12"/>
      <c r="FB247" s="12"/>
      <c r="FC247" s="12"/>
      <c r="FD247" s="12"/>
      <c r="FE247" s="12"/>
      <c r="FF247" s="12"/>
      <c r="FG247" s="12"/>
      <c r="FH247" s="12"/>
      <c r="FI247" s="12"/>
      <c r="FJ247" s="12"/>
      <c r="FK247" s="12"/>
      <c r="FL247" s="12"/>
      <c r="FM247" s="12"/>
      <c r="FN247" s="12"/>
      <c r="FO247" s="12"/>
      <c r="FP247" s="12"/>
      <c r="FQ247" s="12"/>
      <c r="FR247" s="12"/>
      <c r="FS247" s="12"/>
      <c r="FT247" s="12"/>
      <c r="FU247" s="12"/>
      <c r="FV247" s="12"/>
      <c r="FW247" s="12"/>
      <c r="FX247" s="12"/>
      <c r="FY247" s="12"/>
      <c r="FZ247" s="12"/>
      <c r="GA247" s="12"/>
      <c r="GB247" s="12"/>
      <c r="GC247" s="12"/>
      <c r="GD247" s="12"/>
      <c r="GE247" s="12"/>
      <c r="GF247" s="12"/>
      <c r="GG247" s="12"/>
      <c r="GH247" s="12"/>
      <c r="GI247" s="12"/>
      <c r="GJ247" s="12"/>
      <c r="GK247" s="12"/>
      <c r="GL247" s="12"/>
      <c r="GM247" s="12"/>
      <c r="GN247" s="12"/>
      <c r="GO247" s="12"/>
      <c r="GP247" s="12"/>
      <c r="GQ247" s="12"/>
      <c r="GR247" s="12"/>
      <c r="GS247" s="12"/>
      <c r="GT247" s="12"/>
      <c r="GU247" s="12"/>
      <c r="GV247" s="12"/>
      <c r="GW247" s="12"/>
      <c r="GX247" s="12"/>
      <c r="GY247" s="12"/>
      <c r="GZ247" s="12"/>
      <c r="HA247" s="12"/>
      <c r="HB247" s="12"/>
      <c r="HC247" s="12"/>
      <c r="HD247" s="12"/>
      <c r="HE247" s="12"/>
      <c r="HF247" s="12"/>
      <c r="HG247" s="12"/>
      <c r="HH247" s="12"/>
      <c r="HI247" s="12"/>
      <c r="HJ247" s="12"/>
      <c r="HK247" s="12"/>
      <c r="HL247" s="12"/>
      <c r="HM247" s="12"/>
      <c r="HN247" s="12"/>
      <c r="HO247" s="12"/>
      <c r="HP247" s="12"/>
      <c r="HQ247" s="12"/>
      <c r="HR247" s="12"/>
      <c r="HS247" s="12"/>
      <c r="HT247" s="12"/>
      <c r="HU247" s="12"/>
      <c r="HV247" s="12"/>
      <c r="HW247" s="12"/>
      <c r="HX247" s="12"/>
      <c r="HY247" s="12"/>
      <c r="HZ247" s="12"/>
      <c r="IA247" s="12"/>
      <c r="IB247" s="12"/>
      <c r="IC247" s="12"/>
      <c r="ID247" s="12"/>
      <c r="IE247" s="12"/>
      <c r="IF247" s="12"/>
      <c r="IG247" s="12"/>
      <c r="IH247" s="12"/>
      <c r="II247" s="12"/>
      <c r="IJ247" s="12"/>
      <c r="IK247" s="12"/>
      <c r="IL247" s="12"/>
      <c r="IM247" s="12"/>
      <c r="IN247" s="12"/>
      <c r="IO247" s="12"/>
      <c r="IP247" s="12"/>
      <c r="IQ247" s="12"/>
      <c r="IR247" s="12"/>
      <c r="IS247" s="12"/>
      <c r="IT247" s="12"/>
      <c r="IU247" s="12"/>
      <c r="IV247" s="12"/>
      <c r="IW247" s="12"/>
      <c r="IX247" s="12"/>
      <c r="IY247" s="12"/>
      <c r="IZ247" s="12"/>
      <c r="JA247" s="12"/>
      <c r="JB247" s="12"/>
      <c r="JC247" s="12"/>
      <c r="JD247" s="12"/>
      <c r="JE247" s="12"/>
      <c r="JF247" s="12"/>
      <c r="JG247" s="12"/>
      <c r="JH247" s="12"/>
      <c r="JI247" s="12"/>
      <c r="JJ247" s="12"/>
      <c r="JK247" s="12"/>
      <c r="JL247" s="12"/>
      <c r="JM247" s="12"/>
      <c r="JN247" s="12"/>
      <c r="JO247" s="12"/>
      <c r="JP247" s="12"/>
      <c r="JQ247" s="12"/>
      <c r="JR247" s="12"/>
      <c r="JS247" s="12"/>
      <c r="JT247" s="12"/>
      <c r="JU247" s="12"/>
      <c r="JV247" s="12"/>
      <c r="JW247" s="12"/>
      <c r="JX247" s="12"/>
      <c r="JY247" s="12"/>
      <c r="JZ247" s="12"/>
      <c r="KA247" s="12"/>
      <c r="KB247" s="12"/>
      <c r="KC247" s="12"/>
      <c r="KD247" s="12"/>
      <c r="KE247" s="12"/>
      <c r="KF247" s="12"/>
      <c r="KG247" s="12"/>
      <c r="KH247" s="12"/>
      <c r="KI247" s="12"/>
      <c r="KJ247" s="12"/>
      <c r="KK247" s="12"/>
      <c r="KL247" s="12"/>
      <c r="KM247" s="12"/>
      <c r="KN247" s="12"/>
      <c r="KO247" s="12"/>
      <c r="KP247" s="12"/>
      <c r="KQ247" s="12"/>
      <c r="KR247" s="12"/>
      <c r="KS247" s="12"/>
      <c r="KT247" s="12"/>
      <c r="KU247" s="12"/>
      <c r="KV247" s="12"/>
      <c r="KW247" s="12"/>
      <c r="KX247" s="12"/>
      <c r="KY247" s="12"/>
      <c r="KZ247" s="12"/>
      <c r="LA247" s="12"/>
      <c r="LB247" s="12"/>
      <c r="LC247" s="12"/>
      <c r="LD247" s="12"/>
      <c r="LE247" s="12"/>
      <c r="LF247" s="12"/>
      <c r="LG247" s="12"/>
      <c r="LH247" s="12"/>
      <c r="LI247" s="12"/>
      <c r="LJ247" s="12"/>
      <c r="LK247" s="12"/>
      <c r="LL247" s="12"/>
      <c r="LM247" s="12"/>
      <c r="LN247" s="12"/>
      <c r="LO247" s="12"/>
      <c r="LP247" s="12"/>
      <c r="LQ247" s="12"/>
      <c r="LR247" s="12"/>
      <c r="LS247" s="12"/>
      <c r="LT247" s="12"/>
      <c r="LU247" s="12"/>
      <c r="LV247" s="12"/>
      <c r="LW247" s="12"/>
      <c r="LX247" s="12"/>
      <c r="LY247" s="12"/>
      <c r="LZ247" s="12"/>
      <c r="MA247" s="12"/>
      <c r="MB247" s="12"/>
      <c r="MC247" s="12"/>
      <c r="MD247" s="12"/>
      <c r="ME247" s="12"/>
      <c r="MF247" s="12"/>
      <c r="MG247" s="12"/>
      <c r="MH247" s="12"/>
      <c r="MI247" s="12"/>
      <c r="MJ247" s="12"/>
      <c r="MK247" s="12"/>
      <c r="ML247" s="12"/>
      <c r="MM247" s="12"/>
      <c r="MN247" s="12"/>
      <c r="MO247" s="12"/>
      <c r="MP247" s="12"/>
      <c r="MQ247" s="12"/>
      <c r="MR247" s="12"/>
      <c r="MS247" s="12"/>
      <c r="MT247" s="12"/>
      <c r="MU247" s="12"/>
      <c r="MV247" s="12"/>
      <c r="MW247" s="12"/>
      <c r="MX247" s="12"/>
      <c r="MY247" s="12"/>
      <c r="MZ247" s="12"/>
      <c r="NA247" s="12"/>
      <c r="NB247" s="12"/>
      <c r="NC247" s="12"/>
      <c r="ND247" s="12"/>
      <c r="NE247" s="12"/>
      <c r="NF247" s="12"/>
      <c r="NG247" s="12"/>
      <c r="NH247" s="12"/>
      <c r="NI247" s="12"/>
      <c r="NJ247" s="12"/>
      <c r="NK247" s="12"/>
      <c r="NL247" s="12"/>
      <c r="NM247" s="12"/>
      <c r="NN247" s="12"/>
      <c r="NO247" s="12"/>
      <c r="NP247" s="12"/>
      <c r="NQ247" s="12"/>
      <c r="NR247" s="12"/>
      <c r="NS247" s="12"/>
      <c r="NT247" s="12"/>
      <c r="NU247" s="12"/>
      <c r="NV247" s="12"/>
      <c r="NW247" s="12"/>
      <c r="NX247" s="12"/>
      <c r="NY247" s="12"/>
      <c r="NZ247" s="12"/>
      <c r="OA247" s="12"/>
      <c r="OB247" s="12"/>
      <c r="OC247" s="12"/>
      <c r="OD247" s="12"/>
      <c r="OE247" s="12"/>
      <c r="OF247" s="12"/>
      <c r="OG247" s="12"/>
      <c r="OH247" s="12"/>
      <c r="OI247" s="12"/>
      <c r="OJ247" s="12"/>
      <c r="OK247" s="12"/>
      <c r="OL247" s="12"/>
      <c r="OM247" s="12"/>
      <c r="ON247" s="12"/>
      <c r="OO247" s="12"/>
      <c r="OP247" s="12"/>
      <c r="OQ247" s="12"/>
      <c r="OR247" s="12"/>
      <c r="OS247" s="12"/>
      <c r="OT247" s="12"/>
      <c r="OU247" s="12"/>
      <c r="OV247" s="12"/>
      <c r="OW247" s="12"/>
      <c r="OX247" s="12"/>
      <c r="OY247" s="12"/>
      <c r="OZ247" s="12"/>
      <c r="PA247" s="12"/>
      <c r="PB247" s="12"/>
      <c r="PC247" s="12"/>
      <c r="PD247" s="12"/>
      <c r="PE247" s="12"/>
      <c r="PF247" s="12"/>
      <c r="PG247" s="12"/>
      <c r="PH247" s="12"/>
      <c r="PI247" s="12"/>
      <c r="PJ247" s="12"/>
      <c r="PK247" s="12"/>
      <c r="PL247" s="12"/>
      <c r="PM247" s="12"/>
      <c r="PN247" s="12"/>
      <c r="PO247" s="12"/>
      <c r="PP247" s="12"/>
      <c r="PQ247" s="12"/>
      <c r="PR247" s="12"/>
      <c r="PS247" s="12"/>
      <c r="PT247" s="12"/>
      <c r="PU247" s="12"/>
      <c r="PV247" s="12"/>
      <c r="PW247" s="12"/>
      <c r="PX247" s="12"/>
      <c r="PY247" s="12"/>
      <c r="PZ247" s="12"/>
      <c r="QA247" s="12"/>
      <c r="QB247" s="12"/>
      <c r="QC247" s="12"/>
      <c r="QD247" s="12"/>
      <c r="QE247" s="12"/>
      <c r="QF247" s="12"/>
      <c r="QG247" s="12"/>
      <c r="QH247" s="12"/>
      <c r="QI247" s="12"/>
      <c r="QJ247" s="12"/>
      <c r="QK247" s="12"/>
      <c r="QL247" s="12"/>
      <c r="QM247" s="12"/>
      <c r="QN247" s="12"/>
      <c r="QO247" s="12"/>
      <c r="QP247" s="12"/>
      <c r="QQ247" s="12"/>
      <c r="QR247" s="12"/>
      <c r="QS247" s="12"/>
      <c r="QT247" s="12"/>
      <c r="QU247" s="12"/>
      <c r="QV247" s="12"/>
      <c r="QW247" s="12"/>
      <c r="QX247" s="12"/>
      <c r="QY247" s="12"/>
      <c r="QZ247" s="12"/>
      <c r="RA247" s="12"/>
      <c r="RB247" s="12"/>
      <c r="RC247" s="12"/>
      <c r="RD247" s="12"/>
      <c r="RE247" s="12"/>
      <c r="RF247" s="12"/>
      <c r="RG247" s="12"/>
      <c r="RH247" s="12"/>
      <c r="RI247" s="12"/>
      <c r="RJ247" s="12"/>
      <c r="RK247" s="12"/>
      <c r="RL247" s="12"/>
      <c r="RM247" s="12"/>
      <c r="RN247" s="12"/>
      <c r="RO247" s="12"/>
      <c r="RP247" s="12"/>
      <c r="RQ247" s="12"/>
      <c r="RR247" s="12"/>
      <c r="RS247" s="12"/>
      <c r="RT247" s="12"/>
      <c r="RU247" s="12"/>
      <c r="RV247" s="12"/>
      <c r="RW247" s="12"/>
      <c r="RX247" s="12"/>
      <c r="RY247" s="12"/>
      <c r="RZ247" s="12"/>
      <c r="SA247" s="12"/>
      <c r="SB247" s="12"/>
      <c r="SC247" s="12"/>
      <c r="SD247" s="12"/>
      <c r="SE247" s="12"/>
      <c r="SF247" s="12"/>
      <c r="SG247" s="12"/>
      <c r="SH247" s="11"/>
      <c r="SI247" s="11"/>
      <c r="SJ247" s="11"/>
      <c r="SK247" s="11"/>
      <c r="SL247" s="11"/>
      <c r="SM247" s="11"/>
      <c r="SN247" s="11"/>
      <c r="SO247" s="11"/>
      <c r="SP247" s="11"/>
      <c r="SQ247" s="11"/>
      <c r="SR247" s="11"/>
      <c r="SS247" s="11"/>
      <c r="ST247" s="11"/>
      <c r="SU247" s="11"/>
      <c r="SV247" s="11"/>
      <c r="SW247" s="11"/>
      <c r="SX247" s="11"/>
      <c r="SY247" s="11"/>
      <c r="SZ247" s="11"/>
      <c r="TA247" s="11"/>
      <c r="TB247" s="11"/>
      <c r="TC247" s="11"/>
      <c r="TD247" s="11"/>
      <c r="TE247" s="11"/>
      <c r="TF247" s="11"/>
      <c r="TG247" s="11"/>
      <c r="TH247" s="11"/>
      <c r="TI247" s="11"/>
      <c r="TJ247" s="11"/>
      <c r="TK247" s="11"/>
      <c r="TL247" s="11"/>
    </row>
    <row r="248" spans="1:532" x14ac:dyDescent="0.2">
      <c r="A248" s="10" t="s">
        <v>247</v>
      </c>
      <c r="B248" s="12">
        <v>13.59</v>
      </c>
      <c r="C248" s="11">
        <v>0</v>
      </c>
      <c r="D248" s="11">
        <v>1.3958775363557965</v>
      </c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12"/>
      <c r="EP248" s="12"/>
      <c r="EQ248" s="12"/>
      <c r="ER248" s="12"/>
      <c r="ES248" s="12"/>
      <c r="ET248" s="12"/>
      <c r="EU248" s="12"/>
      <c r="EV248" s="12"/>
      <c r="EW248" s="12"/>
      <c r="EX248" s="12"/>
      <c r="EY248" s="12"/>
      <c r="EZ248" s="12"/>
      <c r="FA248" s="12"/>
      <c r="FB248" s="12"/>
      <c r="FC248" s="12"/>
      <c r="FD248" s="12"/>
      <c r="FE248" s="12"/>
      <c r="FF248" s="12"/>
      <c r="FG248" s="12"/>
      <c r="FH248" s="12"/>
      <c r="FI248" s="12"/>
      <c r="FJ248" s="12"/>
      <c r="FK248" s="12"/>
      <c r="FL248" s="12"/>
      <c r="FM248" s="12"/>
      <c r="FN248" s="12"/>
      <c r="FO248" s="12"/>
      <c r="FP248" s="12"/>
      <c r="FQ248" s="12"/>
      <c r="FR248" s="12"/>
      <c r="FS248" s="12"/>
      <c r="FT248" s="12"/>
      <c r="FU248" s="12"/>
      <c r="FV248" s="12"/>
      <c r="FW248" s="12"/>
      <c r="FX248" s="12"/>
      <c r="FY248" s="12"/>
      <c r="FZ248" s="12"/>
      <c r="GA248" s="12"/>
      <c r="GB248" s="12"/>
      <c r="GC248" s="12"/>
      <c r="GD248" s="12"/>
      <c r="GE248" s="12"/>
      <c r="GF248" s="12"/>
      <c r="GG248" s="12"/>
      <c r="GH248" s="12"/>
      <c r="GI248" s="12"/>
      <c r="GJ248" s="12"/>
      <c r="GK248" s="12"/>
      <c r="GL248" s="12"/>
      <c r="GM248" s="12"/>
      <c r="GN248" s="12"/>
      <c r="GO248" s="12"/>
      <c r="GP248" s="12"/>
      <c r="GQ248" s="12"/>
      <c r="GR248" s="12"/>
      <c r="GS248" s="12"/>
      <c r="GT248" s="12"/>
      <c r="GU248" s="12"/>
      <c r="GV248" s="12"/>
      <c r="GW248" s="12"/>
      <c r="GX248" s="12"/>
      <c r="GY248" s="12"/>
      <c r="GZ248" s="12"/>
      <c r="HA248" s="12"/>
      <c r="HB248" s="12"/>
      <c r="HC248" s="12"/>
      <c r="HD248" s="12"/>
      <c r="HE248" s="12"/>
      <c r="HF248" s="12"/>
      <c r="HG248" s="12"/>
      <c r="HH248" s="12"/>
      <c r="HI248" s="12"/>
      <c r="HJ248" s="12"/>
      <c r="HK248" s="12"/>
      <c r="HL248" s="12"/>
      <c r="HM248" s="12"/>
      <c r="HN248" s="12"/>
      <c r="HO248" s="12"/>
      <c r="HP248" s="12"/>
      <c r="HQ248" s="12"/>
      <c r="HR248" s="12"/>
      <c r="HS248" s="12"/>
      <c r="HT248" s="12"/>
      <c r="HU248" s="12"/>
      <c r="HV248" s="12"/>
      <c r="HW248" s="12"/>
      <c r="HX248" s="12"/>
      <c r="HY248" s="12"/>
      <c r="HZ248" s="12"/>
      <c r="IA248" s="12"/>
      <c r="IB248" s="12"/>
      <c r="IC248" s="12"/>
      <c r="ID248" s="12"/>
      <c r="IE248" s="12"/>
      <c r="IF248" s="12"/>
      <c r="IG248" s="12"/>
      <c r="IH248" s="12"/>
      <c r="II248" s="12"/>
      <c r="IJ248" s="12"/>
      <c r="IK248" s="12"/>
      <c r="IL248" s="12"/>
      <c r="IM248" s="12"/>
      <c r="IN248" s="12"/>
      <c r="IO248" s="12"/>
      <c r="IP248" s="12"/>
      <c r="IQ248" s="12"/>
      <c r="IR248" s="12"/>
      <c r="IS248" s="12"/>
      <c r="IT248" s="12"/>
      <c r="IU248" s="12"/>
      <c r="IV248" s="12"/>
      <c r="IW248" s="12"/>
      <c r="IX248" s="12"/>
      <c r="IY248" s="12"/>
      <c r="IZ248" s="12"/>
      <c r="JA248" s="12"/>
      <c r="JB248" s="12"/>
      <c r="JC248" s="12"/>
      <c r="JD248" s="12"/>
      <c r="JE248" s="12"/>
      <c r="JF248" s="12"/>
      <c r="JG248" s="12"/>
      <c r="JH248" s="12"/>
      <c r="JI248" s="12"/>
      <c r="JJ248" s="12"/>
      <c r="JK248" s="12"/>
      <c r="JL248" s="12"/>
      <c r="JM248" s="12"/>
      <c r="JN248" s="12"/>
      <c r="JO248" s="12"/>
      <c r="JP248" s="12"/>
      <c r="JQ248" s="12"/>
      <c r="JR248" s="12"/>
      <c r="JS248" s="12"/>
      <c r="JT248" s="12"/>
      <c r="JU248" s="12"/>
      <c r="JV248" s="12"/>
      <c r="JW248" s="12"/>
      <c r="JX248" s="12"/>
      <c r="JY248" s="12"/>
      <c r="JZ248" s="12"/>
      <c r="KA248" s="12"/>
      <c r="KB248" s="12"/>
      <c r="KC248" s="12"/>
      <c r="KD248" s="12"/>
      <c r="KE248" s="12"/>
      <c r="KF248" s="12"/>
      <c r="KG248" s="12"/>
      <c r="KH248" s="12"/>
      <c r="KI248" s="12"/>
      <c r="KJ248" s="12"/>
      <c r="KK248" s="12"/>
      <c r="KL248" s="12"/>
      <c r="KM248" s="12"/>
      <c r="KN248" s="12"/>
      <c r="KO248" s="12"/>
      <c r="KP248" s="12"/>
      <c r="KQ248" s="12"/>
      <c r="KR248" s="12"/>
      <c r="KS248" s="12"/>
      <c r="KT248" s="12"/>
      <c r="KU248" s="12"/>
      <c r="KV248" s="12"/>
      <c r="KW248" s="12"/>
      <c r="KX248" s="12"/>
      <c r="KY248" s="12"/>
      <c r="KZ248" s="12"/>
      <c r="LA248" s="12"/>
      <c r="LB248" s="12"/>
      <c r="LC248" s="12"/>
      <c r="LD248" s="12"/>
      <c r="LE248" s="12"/>
      <c r="LF248" s="12"/>
      <c r="LG248" s="12"/>
      <c r="LH248" s="12"/>
      <c r="LI248" s="12"/>
      <c r="LJ248" s="12"/>
      <c r="LK248" s="12"/>
      <c r="LL248" s="12"/>
      <c r="LM248" s="12"/>
      <c r="LN248" s="12"/>
      <c r="LO248" s="12"/>
      <c r="LP248" s="12"/>
      <c r="LQ248" s="12"/>
      <c r="LR248" s="12"/>
      <c r="LS248" s="12"/>
      <c r="LT248" s="12"/>
      <c r="LU248" s="12"/>
      <c r="LV248" s="12"/>
      <c r="LW248" s="12"/>
      <c r="LX248" s="12"/>
      <c r="LY248" s="12"/>
      <c r="LZ248" s="12"/>
      <c r="MA248" s="12"/>
      <c r="MB248" s="12"/>
      <c r="MC248" s="12"/>
      <c r="MD248" s="12"/>
      <c r="ME248" s="12"/>
      <c r="MF248" s="12"/>
      <c r="MG248" s="12"/>
      <c r="MH248" s="12"/>
      <c r="MI248" s="12"/>
      <c r="MJ248" s="12"/>
      <c r="MK248" s="12"/>
      <c r="ML248" s="12"/>
      <c r="MM248" s="12"/>
      <c r="MN248" s="12"/>
      <c r="MO248" s="12"/>
      <c r="MP248" s="12"/>
      <c r="MQ248" s="12"/>
      <c r="MR248" s="12"/>
      <c r="MS248" s="12"/>
      <c r="MT248" s="12"/>
      <c r="MU248" s="12"/>
      <c r="MV248" s="12"/>
      <c r="MW248" s="12"/>
      <c r="MX248" s="12"/>
      <c r="MY248" s="12"/>
      <c r="MZ248" s="12"/>
      <c r="NA248" s="12"/>
      <c r="NB248" s="12"/>
      <c r="NC248" s="12"/>
      <c r="ND248" s="12"/>
      <c r="NE248" s="12"/>
      <c r="NF248" s="12"/>
      <c r="NG248" s="12"/>
      <c r="NH248" s="12"/>
      <c r="NI248" s="12"/>
      <c r="NJ248" s="12"/>
      <c r="NK248" s="12"/>
      <c r="NL248" s="12"/>
      <c r="NM248" s="12"/>
      <c r="NN248" s="12"/>
      <c r="NO248" s="12"/>
      <c r="NP248" s="12"/>
      <c r="NQ248" s="12"/>
      <c r="NR248" s="12"/>
      <c r="NS248" s="12"/>
      <c r="NT248" s="12"/>
      <c r="NU248" s="12"/>
      <c r="NV248" s="12"/>
      <c r="NW248" s="12"/>
      <c r="NX248" s="12"/>
      <c r="NY248" s="12"/>
      <c r="NZ248" s="12"/>
      <c r="OA248" s="12"/>
      <c r="OB248" s="12"/>
      <c r="OC248" s="12"/>
      <c r="OD248" s="12"/>
      <c r="OE248" s="12"/>
      <c r="OF248" s="12"/>
      <c r="OG248" s="12"/>
      <c r="OH248" s="12"/>
      <c r="OI248" s="12"/>
      <c r="OJ248" s="12"/>
      <c r="OK248" s="12"/>
      <c r="OL248" s="12"/>
      <c r="OM248" s="12"/>
      <c r="ON248" s="12"/>
      <c r="OO248" s="12"/>
      <c r="OP248" s="12"/>
      <c r="OQ248" s="12"/>
      <c r="OR248" s="12"/>
      <c r="OS248" s="12"/>
      <c r="OT248" s="12"/>
      <c r="OU248" s="12"/>
      <c r="OV248" s="12"/>
      <c r="OW248" s="12"/>
      <c r="OX248" s="12"/>
      <c r="OY248" s="12"/>
      <c r="OZ248" s="12"/>
      <c r="PA248" s="12"/>
      <c r="PB248" s="12"/>
      <c r="PC248" s="12"/>
      <c r="PD248" s="12"/>
      <c r="PE248" s="12"/>
      <c r="PF248" s="12"/>
      <c r="PG248" s="12"/>
      <c r="PH248" s="12"/>
      <c r="PI248" s="12"/>
      <c r="PJ248" s="12"/>
      <c r="PK248" s="12"/>
      <c r="PL248" s="12"/>
      <c r="PM248" s="12"/>
      <c r="PN248" s="12"/>
      <c r="PO248" s="12"/>
      <c r="PP248" s="12"/>
      <c r="PQ248" s="12"/>
      <c r="PR248" s="12"/>
      <c r="PS248" s="12"/>
      <c r="PT248" s="12"/>
      <c r="PU248" s="12"/>
      <c r="PV248" s="12"/>
      <c r="PW248" s="12"/>
      <c r="PX248" s="12"/>
      <c r="PY248" s="12"/>
      <c r="PZ248" s="12"/>
      <c r="QA248" s="12"/>
      <c r="QB248" s="12"/>
      <c r="QC248" s="12"/>
      <c r="QD248" s="12"/>
      <c r="QE248" s="12"/>
      <c r="QF248" s="12"/>
      <c r="QG248" s="12"/>
      <c r="QH248" s="12"/>
      <c r="QI248" s="12"/>
      <c r="QJ248" s="12"/>
      <c r="QK248" s="12"/>
      <c r="QL248" s="12"/>
      <c r="QM248" s="12"/>
      <c r="QN248" s="12"/>
      <c r="QO248" s="12"/>
      <c r="QP248" s="12"/>
      <c r="QQ248" s="12"/>
      <c r="QR248" s="12"/>
      <c r="QS248" s="12"/>
      <c r="QT248" s="12"/>
      <c r="QU248" s="12"/>
      <c r="QV248" s="12"/>
      <c r="QW248" s="12"/>
      <c r="QX248" s="12"/>
      <c r="QY248" s="12"/>
      <c r="QZ248" s="12"/>
      <c r="RA248" s="12"/>
      <c r="RB248" s="12"/>
      <c r="RC248" s="12"/>
      <c r="RD248" s="12"/>
      <c r="RE248" s="12"/>
      <c r="RF248" s="12"/>
      <c r="RG248" s="12"/>
      <c r="RH248" s="12"/>
      <c r="RI248" s="12"/>
      <c r="RJ248" s="12"/>
      <c r="RK248" s="12"/>
      <c r="RL248" s="12"/>
      <c r="RM248" s="12"/>
      <c r="RN248" s="12"/>
      <c r="RO248" s="12"/>
      <c r="RP248" s="12"/>
      <c r="RQ248" s="12"/>
      <c r="RR248" s="12"/>
      <c r="RS248" s="12"/>
      <c r="RT248" s="12"/>
      <c r="RU248" s="12"/>
      <c r="RV248" s="12"/>
      <c r="RW248" s="12"/>
      <c r="RX248" s="12"/>
      <c r="RY248" s="12"/>
      <c r="RZ248" s="12"/>
      <c r="SA248" s="12"/>
      <c r="SB248" s="12"/>
      <c r="SC248" s="12"/>
      <c r="SD248" s="12"/>
      <c r="SE248" s="12"/>
      <c r="SF248" s="12"/>
      <c r="SG248" s="12"/>
      <c r="SH248" s="11"/>
      <c r="SI248" s="11"/>
      <c r="SJ248" s="11"/>
      <c r="SK248" s="11"/>
      <c r="SL248" s="11"/>
      <c r="SM248" s="11"/>
      <c r="SN248" s="11"/>
      <c r="SO248" s="11"/>
      <c r="SP248" s="11"/>
      <c r="SQ248" s="11"/>
      <c r="SR248" s="11"/>
      <c r="SS248" s="11"/>
      <c r="ST248" s="11"/>
      <c r="SU248" s="11"/>
      <c r="SV248" s="11"/>
      <c r="SW248" s="11"/>
      <c r="SX248" s="11"/>
      <c r="SY248" s="11"/>
      <c r="SZ248" s="11"/>
      <c r="TA248" s="11"/>
      <c r="TB248" s="11"/>
      <c r="TC248" s="11"/>
      <c r="TD248" s="11"/>
      <c r="TE248" s="11"/>
      <c r="TF248" s="11"/>
      <c r="TG248" s="11"/>
      <c r="TH248" s="11"/>
      <c r="TI248" s="11"/>
      <c r="TJ248" s="11"/>
      <c r="TK248" s="11"/>
      <c r="TL248" s="11"/>
    </row>
    <row r="249" spans="1:532" x14ac:dyDescent="0.2">
      <c r="A249" s="10" t="s">
        <v>248</v>
      </c>
      <c r="B249" s="12">
        <v>14.11</v>
      </c>
      <c r="C249" s="11">
        <v>0</v>
      </c>
      <c r="D249" s="11">
        <v>0.88108582082032549</v>
      </c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12"/>
      <c r="EP249" s="12"/>
      <c r="EQ249" s="12"/>
      <c r="ER249" s="12"/>
      <c r="ES249" s="12"/>
      <c r="ET249" s="12"/>
      <c r="EU249" s="12"/>
      <c r="EV249" s="12"/>
      <c r="EW249" s="12"/>
      <c r="EX249" s="12"/>
      <c r="EY249" s="12"/>
      <c r="EZ249" s="12"/>
      <c r="FA249" s="12"/>
      <c r="FB249" s="12"/>
      <c r="FC249" s="12"/>
      <c r="FD249" s="12"/>
      <c r="FE249" s="12"/>
      <c r="FF249" s="12"/>
      <c r="FG249" s="12"/>
      <c r="FH249" s="12"/>
      <c r="FI249" s="12"/>
      <c r="FJ249" s="12"/>
      <c r="FK249" s="12"/>
      <c r="FL249" s="12"/>
      <c r="FM249" s="12"/>
      <c r="FN249" s="12"/>
      <c r="FO249" s="12"/>
      <c r="FP249" s="12"/>
      <c r="FQ249" s="12"/>
      <c r="FR249" s="12"/>
      <c r="FS249" s="12"/>
      <c r="FT249" s="12"/>
      <c r="FU249" s="12"/>
      <c r="FV249" s="12"/>
      <c r="FW249" s="12"/>
      <c r="FX249" s="12"/>
      <c r="FY249" s="12"/>
      <c r="FZ249" s="12"/>
      <c r="GA249" s="12"/>
      <c r="GB249" s="12"/>
      <c r="GC249" s="12"/>
      <c r="GD249" s="12"/>
      <c r="GE249" s="12"/>
      <c r="GF249" s="12"/>
      <c r="GG249" s="12"/>
      <c r="GH249" s="12"/>
      <c r="GI249" s="12"/>
      <c r="GJ249" s="12"/>
      <c r="GK249" s="12"/>
      <c r="GL249" s="12"/>
      <c r="GM249" s="12"/>
      <c r="GN249" s="12"/>
      <c r="GO249" s="12"/>
      <c r="GP249" s="12"/>
      <c r="GQ249" s="12"/>
      <c r="GR249" s="12"/>
      <c r="GS249" s="12"/>
      <c r="GT249" s="12"/>
      <c r="GU249" s="12"/>
      <c r="GV249" s="12"/>
      <c r="GW249" s="12"/>
      <c r="GX249" s="12"/>
      <c r="GY249" s="12"/>
      <c r="GZ249" s="12"/>
      <c r="HA249" s="12"/>
      <c r="HB249" s="12"/>
      <c r="HC249" s="12"/>
      <c r="HD249" s="12"/>
      <c r="HE249" s="12"/>
      <c r="HF249" s="12"/>
      <c r="HG249" s="12"/>
      <c r="HH249" s="12"/>
      <c r="HI249" s="12"/>
      <c r="HJ249" s="12"/>
      <c r="HK249" s="12"/>
      <c r="HL249" s="12"/>
      <c r="HM249" s="12"/>
      <c r="HN249" s="12"/>
      <c r="HO249" s="12"/>
      <c r="HP249" s="12"/>
      <c r="HQ249" s="12"/>
      <c r="HR249" s="12"/>
      <c r="HS249" s="12"/>
      <c r="HT249" s="12"/>
      <c r="HU249" s="12"/>
      <c r="HV249" s="12"/>
      <c r="HW249" s="12"/>
      <c r="HX249" s="12"/>
      <c r="HY249" s="12"/>
      <c r="HZ249" s="12"/>
      <c r="IA249" s="12"/>
      <c r="IB249" s="12"/>
      <c r="IC249" s="12"/>
      <c r="ID249" s="12"/>
      <c r="IE249" s="12"/>
      <c r="IF249" s="12"/>
      <c r="IG249" s="12"/>
      <c r="IH249" s="12"/>
      <c r="II249" s="12"/>
      <c r="IJ249" s="12"/>
      <c r="IK249" s="12"/>
      <c r="IL249" s="12"/>
      <c r="IM249" s="12"/>
      <c r="IN249" s="12"/>
      <c r="IO249" s="12"/>
      <c r="IP249" s="12"/>
      <c r="IQ249" s="12"/>
      <c r="IR249" s="12"/>
      <c r="IS249" s="12"/>
      <c r="IT249" s="12"/>
      <c r="IU249" s="12"/>
      <c r="IV249" s="12"/>
      <c r="IW249" s="12"/>
      <c r="IX249" s="12"/>
      <c r="IY249" s="12"/>
      <c r="IZ249" s="12"/>
      <c r="JA249" s="12"/>
      <c r="JB249" s="12"/>
      <c r="JC249" s="12"/>
      <c r="JD249" s="12"/>
      <c r="JE249" s="12"/>
      <c r="JF249" s="12"/>
      <c r="JG249" s="12"/>
      <c r="JH249" s="12"/>
      <c r="JI249" s="12"/>
      <c r="JJ249" s="12"/>
      <c r="JK249" s="12"/>
      <c r="JL249" s="12"/>
      <c r="JM249" s="12"/>
      <c r="JN249" s="12"/>
      <c r="JO249" s="12"/>
      <c r="JP249" s="12"/>
      <c r="JQ249" s="12"/>
      <c r="JR249" s="12"/>
      <c r="JS249" s="12"/>
      <c r="JT249" s="12"/>
      <c r="JU249" s="12"/>
      <c r="JV249" s="12"/>
      <c r="JW249" s="12"/>
      <c r="JX249" s="12"/>
      <c r="JY249" s="12"/>
      <c r="JZ249" s="12"/>
      <c r="KA249" s="12"/>
      <c r="KB249" s="12"/>
      <c r="KC249" s="12"/>
      <c r="KD249" s="12"/>
      <c r="KE249" s="12"/>
      <c r="KF249" s="12"/>
      <c r="KG249" s="12"/>
      <c r="KH249" s="12"/>
      <c r="KI249" s="12"/>
      <c r="KJ249" s="12"/>
      <c r="KK249" s="12"/>
      <c r="KL249" s="12"/>
      <c r="KM249" s="12"/>
      <c r="KN249" s="12"/>
      <c r="KO249" s="12"/>
      <c r="KP249" s="12"/>
      <c r="KQ249" s="12"/>
      <c r="KR249" s="12"/>
      <c r="KS249" s="12"/>
      <c r="KT249" s="12"/>
      <c r="KU249" s="12"/>
      <c r="KV249" s="12"/>
      <c r="KW249" s="12"/>
      <c r="KX249" s="12"/>
      <c r="KY249" s="12"/>
      <c r="KZ249" s="12"/>
      <c r="LA249" s="12"/>
      <c r="LB249" s="12"/>
      <c r="LC249" s="12"/>
      <c r="LD249" s="12"/>
      <c r="LE249" s="12"/>
      <c r="LF249" s="12"/>
      <c r="LG249" s="12"/>
      <c r="LH249" s="12"/>
      <c r="LI249" s="12"/>
      <c r="LJ249" s="12"/>
      <c r="LK249" s="12"/>
      <c r="LL249" s="12"/>
      <c r="LM249" s="12"/>
      <c r="LN249" s="12"/>
      <c r="LO249" s="12"/>
      <c r="LP249" s="12"/>
      <c r="LQ249" s="12"/>
      <c r="LR249" s="12"/>
      <c r="LS249" s="12"/>
      <c r="LT249" s="12"/>
      <c r="LU249" s="12"/>
      <c r="LV249" s="12"/>
      <c r="LW249" s="12"/>
      <c r="LX249" s="12"/>
      <c r="LY249" s="12"/>
      <c r="LZ249" s="12"/>
      <c r="MA249" s="12"/>
      <c r="MB249" s="12"/>
      <c r="MC249" s="12"/>
      <c r="MD249" s="12"/>
      <c r="ME249" s="12"/>
      <c r="MF249" s="12"/>
      <c r="MG249" s="12"/>
      <c r="MH249" s="12"/>
      <c r="MI249" s="12"/>
      <c r="MJ249" s="12"/>
      <c r="MK249" s="12"/>
      <c r="ML249" s="12"/>
      <c r="MM249" s="12"/>
      <c r="MN249" s="12"/>
      <c r="MO249" s="12"/>
      <c r="MP249" s="12"/>
      <c r="MQ249" s="12"/>
      <c r="MR249" s="12"/>
      <c r="MS249" s="12"/>
      <c r="MT249" s="12"/>
      <c r="MU249" s="12"/>
      <c r="MV249" s="12"/>
      <c r="MW249" s="12"/>
      <c r="MX249" s="12"/>
      <c r="MY249" s="12"/>
      <c r="MZ249" s="12"/>
      <c r="NA249" s="12"/>
      <c r="NB249" s="12"/>
      <c r="NC249" s="12"/>
      <c r="ND249" s="12"/>
      <c r="NE249" s="12"/>
      <c r="NF249" s="12"/>
      <c r="NG249" s="12"/>
      <c r="NH249" s="12"/>
      <c r="NI249" s="12"/>
      <c r="NJ249" s="12"/>
      <c r="NK249" s="12"/>
      <c r="NL249" s="12"/>
      <c r="NM249" s="12"/>
      <c r="NN249" s="12"/>
      <c r="NO249" s="12"/>
      <c r="NP249" s="12"/>
      <c r="NQ249" s="12"/>
      <c r="NR249" s="12"/>
      <c r="NS249" s="12"/>
      <c r="NT249" s="12"/>
      <c r="NU249" s="12"/>
      <c r="NV249" s="12"/>
      <c r="NW249" s="12"/>
      <c r="NX249" s="12"/>
      <c r="NY249" s="12"/>
      <c r="NZ249" s="12"/>
      <c r="OA249" s="12"/>
      <c r="OB249" s="12"/>
      <c r="OC249" s="12"/>
      <c r="OD249" s="12"/>
      <c r="OE249" s="12"/>
      <c r="OF249" s="12"/>
      <c r="OG249" s="12"/>
      <c r="OH249" s="12"/>
      <c r="OI249" s="12"/>
      <c r="OJ249" s="12"/>
      <c r="OK249" s="12"/>
      <c r="OL249" s="12"/>
      <c r="OM249" s="12"/>
      <c r="ON249" s="12"/>
      <c r="OO249" s="12"/>
      <c r="OP249" s="12"/>
      <c r="OQ249" s="12"/>
      <c r="OR249" s="12"/>
      <c r="OS249" s="12"/>
      <c r="OT249" s="12"/>
      <c r="OU249" s="12"/>
      <c r="OV249" s="12"/>
      <c r="OW249" s="12"/>
      <c r="OX249" s="12"/>
      <c r="OY249" s="12"/>
      <c r="OZ249" s="12"/>
      <c r="PA249" s="12"/>
      <c r="PB249" s="12"/>
      <c r="PC249" s="12"/>
      <c r="PD249" s="12"/>
      <c r="PE249" s="12"/>
      <c r="PF249" s="12"/>
      <c r="PG249" s="12"/>
      <c r="PH249" s="12"/>
      <c r="PI249" s="12"/>
      <c r="PJ249" s="12"/>
      <c r="PK249" s="12"/>
      <c r="PL249" s="12"/>
      <c r="PM249" s="12"/>
      <c r="PN249" s="12"/>
      <c r="PO249" s="12"/>
      <c r="PP249" s="12"/>
      <c r="PQ249" s="12"/>
      <c r="PR249" s="12"/>
      <c r="PS249" s="12"/>
      <c r="PT249" s="12"/>
      <c r="PU249" s="12"/>
      <c r="PV249" s="12"/>
      <c r="PW249" s="12"/>
      <c r="PX249" s="12"/>
      <c r="PY249" s="12"/>
      <c r="PZ249" s="12"/>
      <c r="QA249" s="12"/>
      <c r="QB249" s="12"/>
      <c r="QC249" s="12"/>
      <c r="QD249" s="12"/>
      <c r="QE249" s="12"/>
      <c r="QF249" s="12"/>
      <c r="QG249" s="12"/>
      <c r="QH249" s="12"/>
      <c r="QI249" s="12"/>
      <c r="QJ249" s="12"/>
      <c r="QK249" s="12"/>
      <c r="QL249" s="12"/>
      <c r="QM249" s="12"/>
      <c r="QN249" s="12"/>
      <c r="QO249" s="12"/>
      <c r="QP249" s="12"/>
      <c r="QQ249" s="12"/>
      <c r="QR249" s="12"/>
      <c r="QS249" s="12"/>
      <c r="QT249" s="12"/>
      <c r="QU249" s="12"/>
      <c r="QV249" s="12"/>
      <c r="QW249" s="12"/>
      <c r="QX249" s="12"/>
      <c r="QY249" s="12"/>
      <c r="QZ249" s="12"/>
      <c r="RA249" s="12"/>
      <c r="RB249" s="12"/>
      <c r="RC249" s="12"/>
      <c r="RD249" s="12"/>
      <c r="RE249" s="12"/>
      <c r="RF249" s="12"/>
      <c r="RG249" s="12"/>
      <c r="RH249" s="12"/>
      <c r="RI249" s="12"/>
      <c r="RJ249" s="12"/>
      <c r="RK249" s="12"/>
      <c r="RL249" s="12"/>
      <c r="RM249" s="12"/>
      <c r="RN249" s="12"/>
      <c r="RO249" s="12"/>
      <c r="RP249" s="12"/>
      <c r="RQ249" s="12"/>
      <c r="RR249" s="12"/>
      <c r="RS249" s="12"/>
      <c r="RT249" s="12"/>
      <c r="RU249" s="12"/>
      <c r="RV249" s="12"/>
      <c r="RW249" s="12"/>
      <c r="RX249" s="12"/>
      <c r="RY249" s="12"/>
      <c r="RZ249" s="12"/>
      <c r="SA249" s="12"/>
      <c r="SB249" s="12"/>
      <c r="SC249" s="12"/>
      <c r="SD249" s="12"/>
      <c r="SE249" s="12"/>
      <c r="SF249" s="12"/>
      <c r="SG249" s="12"/>
      <c r="SH249" s="11"/>
      <c r="SI249" s="11"/>
      <c r="SJ249" s="11"/>
      <c r="SK249" s="11"/>
      <c r="SL249" s="11"/>
      <c r="SM249" s="11"/>
      <c r="SN249" s="11"/>
      <c r="SO249" s="11"/>
      <c r="SP249" s="11"/>
      <c r="SQ249" s="11"/>
      <c r="SR249" s="11"/>
      <c r="SS249" s="11"/>
      <c r="ST249" s="11"/>
      <c r="SU249" s="11"/>
      <c r="SV249" s="11"/>
      <c r="SW249" s="11"/>
      <c r="SX249" s="11"/>
      <c r="SY249" s="11"/>
      <c r="SZ249" s="11"/>
      <c r="TA249" s="11"/>
      <c r="TB249" s="11"/>
      <c r="TC249" s="11"/>
      <c r="TD249" s="11"/>
      <c r="TE249" s="11"/>
      <c r="TF249" s="11"/>
      <c r="TG249" s="11"/>
      <c r="TH249" s="11"/>
      <c r="TI249" s="11"/>
      <c r="TJ249" s="11"/>
      <c r="TK249" s="11"/>
      <c r="TL249" s="11"/>
    </row>
    <row r="250" spans="1:532" x14ac:dyDescent="0.2">
      <c r="A250" s="10" t="s">
        <v>249</v>
      </c>
      <c r="B250" s="12">
        <v>12.65</v>
      </c>
      <c r="C250" s="11">
        <v>0</v>
      </c>
      <c r="D250" s="11">
        <v>2.3264625605929945</v>
      </c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12"/>
      <c r="EP250" s="12"/>
      <c r="EQ250" s="12"/>
      <c r="ER250" s="12"/>
      <c r="ES250" s="12"/>
      <c r="ET250" s="12"/>
      <c r="EU250" s="12"/>
      <c r="EV250" s="12"/>
      <c r="EW250" s="12"/>
      <c r="EX250" s="12"/>
      <c r="EY250" s="12"/>
      <c r="EZ250" s="12"/>
      <c r="FA250" s="12"/>
      <c r="FB250" s="12"/>
      <c r="FC250" s="12"/>
      <c r="FD250" s="12"/>
      <c r="FE250" s="12"/>
      <c r="FF250" s="12"/>
      <c r="FG250" s="12"/>
      <c r="FH250" s="12"/>
      <c r="FI250" s="12"/>
      <c r="FJ250" s="12"/>
      <c r="FK250" s="12"/>
      <c r="FL250" s="12"/>
      <c r="FM250" s="12"/>
      <c r="FN250" s="12"/>
      <c r="FO250" s="12"/>
      <c r="FP250" s="12"/>
      <c r="FQ250" s="12"/>
      <c r="FR250" s="12"/>
      <c r="FS250" s="12"/>
      <c r="FT250" s="12"/>
      <c r="FU250" s="12"/>
      <c r="FV250" s="12"/>
      <c r="FW250" s="12"/>
      <c r="FX250" s="12"/>
      <c r="FY250" s="12"/>
      <c r="FZ250" s="12"/>
      <c r="GA250" s="12"/>
      <c r="GB250" s="12"/>
      <c r="GC250" s="12"/>
      <c r="GD250" s="12"/>
      <c r="GE250" s="12"/>
      <c r="GF250" s="12"/>
      <c r="GG250" s="12"/>
      <c r="GH250" s="12"/>
      <c r="GI250" s="12"/>
      <c r="GJ250" s="12"/>
      <c r="GK250" s="12"/>
      <c r="GL250" s="12"/>
      <c r="GM250" s="12"/>
      <c r="GN250" s="12"/>
      <c r="GO250" s="12"/>
      <c r="GP250" s="12"/>
      <c r="GQ250" s="12"/>
      <c r="GR250" s="12"/>
      <c r="GS250" s="12"/>
      <c r="GT250" s="12"/>
      <c r="GU250" s="12"/>
      <c r="GV250" s="12"/>
      <c r="GW250" s="12"/>
      <c r="GX250" s="12"/>
      <c r="GY250" s="12"/>
      <c r="GZ250" s="12"/>
      <c r="HA250" s="12"/>
      <c r="HB250" s="12"/>
      <c r="HC250" s="12"/>
      <c r="HD250" s="12"/>
      <c r="HE250" s="12"/>
      <c r="HF250" s="12"/>
      <c r="HG250" s="12"/>
      <c r="HH250" s="12"/>
      <c r="HI250" s="12"/>
      <c r="HJ250" s="12"/>
      <c r="HK250" s="12"/>
      <c r="HL250" s="12"/>
      <c r="HM250" s="12"/>
      <c r="HN250" s="12"/>
      <c r="HO250" s="12"/>
      <c r="HP250" s="12"/>
      <c r="HQ250" s="12"/>
      <c r="HR250" s="12"/>
      <c r="HS250" s="12"/>
      <c r="HT250" s="12"/>
      <c r="HU250" s="12"/>
      <c r="HV250" s="12"/>
      <c r="HW250" s="12"/>
      <c r="HX250" s="12"/>
      <c r="HY250" s="12"/>
      <c r="HZ250" s="12"/>
      <c r="IA250" s="12"/>
      <c r="IB250" s="12"/>
      <c r="IC250" s="12"/>
      <c r="ID250" s="12"/>
      <c r="IE250" s="12"/>
      <c r="IF250" s="12"/>
      <c r="IG250" s="12"/>
      <c r="IH250" s="12"/>
      <c r="II250" s="12"/>
      <c r="IJ250" s="12"/>
      <c r="IK250" s="12"/>
      <c r="IL250" s="12"/>
      <c r="IM250" s="12"/>
      <c r="IN250" s="12"/>
      <c r="IO250" s="12"/>
      <c r="IP250" s="12"/>
      <c r="IQ250" s="12"/>
      <c r="IR250" s="12"/>
      <c r="IS250" s="12"/>
      <c r="IT250" s="12"/>
      <c r="IU250" s="12"/>
      <c r="IV250" s="12"/>
      <c r="IW250" s="12"/>
      <c r="IX250" s="12"/>
      <c r="IY250" s="12"/>
      <c r="IZ250" s="12"/>
      <c r="JA250" s="12"/>
      <c r="JB250" s="12"/>
      <c r="JC250" s="12"/>
      <c r="JD250" s="12"/>
      <c r="JE250" s="12"/>
      <c r="JF250" s="12"/>
      <c r="JG250" s="12"/>
      <c r="JH250" s="12"/>
      <c r="JI250" s="12"/>
      <c r="JJ250" s="12"/>
      <c r="JK250" s="12"/>
      <c r="JL250" s="12"/>
      <c r="JM250" s="12"/>
      <c r="JN250" s="12"/>
      <c r="JO250" s="12"/>
      <c r="JP250" s="12"/>
      <c r="JQ250" s="12"/>
      <c r="JR250" s="12"/>
      <c r="JS250" s="12"/>
      <c r="JT250" s="12"/>
      <c r="JU250" s="12"/>
      <c r="JV250" s="12"/>
      <c r="JW250" s="12"/>
      <c r="JX250" s="12"/>
      <c r="JY250" s="12"/>
      <c r="JZ250" s="12"/>
      <c r="KA250" s="12"/>
      <c r="KB250" s="12"/>
      <c r="KC250" s="12"/>
      <c r="KD250" s="12"/>
      <c r="KE250" s="12"/>
      <c r="KF250" s="12"/>
      <c r="KG250" s="12"/>
      <c r="KH250" s="12"/>
      <c r="KI250" s="12"/>
      <c r="KJ250" s="12"/>
      <c r="KK250" s="12"/>
      <c r="KL250" s="12"/>
      <c r="KM250" s="12"/>
      <c r="KN250" s="12"/>
      <c r="KO250" s="12"/>
      <c r="KP250" s="12"/>
      <c r="KQ250" s="12"/>
      <c r="KR250" s="12"/>
      <c r="KS250" s="12"/>
      <c r="KT250" s="12"/>
      <c r="KU250" s="12"/>
      <c r="KV250" s="12"/>
      <c r="KW250" s="12"/>
      <c r="KX250" s="12"/>
      <c r="KY250" s="12"/>
      <c r="KZ250" s="12"/>
      <c r="LA250" s="12"/>
      <c r="LB250" s="12"/>
      <c r="LC250" s="12"/>
      <c r="LD250" s="12"/>
      <c r="LE250" s="12"/>
      <c r="LF250" s="12"/>
      <c r="LG250" s="12"/>
      <c r="LH250" s="12"/>
      <c r="LI250" s="12"/>
      <c r="LJ250" s="12"/>
      <c r="LK250" s="12"/>
      <c r="LL250" s="12"/>
      <c r="LM250" s="12"/>
      <c r="LN250" s="12"/>
      <c r="LO250" s="12"/>
      <c r="LP250" s="12"/>
      <c r="LQ250" s="12"/>
      <c r="LR250" s="12"/>
      <c r="LS250" s="12"/>
      <c r="LT250" s="12"/>
      <c r="LU250" s="12"/>
      <c r="LV250" s="12"/>
      <c r="LW250" s="12"/>
      <c r="LX250" s="12"/>
      <c r="LY250" s="12"/>
      <c r="LZ250" s="12"/>
      <c r="MA250" s="12"/>
      <c r="MB250" s="12"/>
      <c r="MC250" s="12"/>
      <c r="MD250" s="12"/>
      <c r="ME250" s="12"/>
      <c r="MF250" s="12"/>
      <c r="MG250" s="12"/>
      <c r="MH250" s="12"/>
      <c r="MI250" s="12"/>
      <c r="MJ250" s="12"/>
      <c r="MK250" s="12"/>
      <c r="ML250" s="12"/>
      <c r="MM250" s="12"/>
      <c r="MN250" s="12"/>
      <c r="MO250" s="12"/>
      <c r="MP250" s="12"/>
      <c r="MQ250" s="12"/>
      <c r="MR250" s="12"/>
      <c r="MS250" s="12"/>
      <c r="MT250" s="12"/>
      <c r="MU250" s="12"/>
      <c r="MV250" s="12"/>
      <c r="MW250" s="12"/>
      <c r="MX250" s="12"/>
      <c r="MY250" s="12"/>
      <c r="MZ250" s="12"/>
      <c r="NA250" s="12"/>
      <c r="NB250" s="12"/>
      <c r="NC250" s="12"/>
      <c r="ND250" s="12"/>
      <c r="NE250" s="12"/>
      <c r="NF250" s="12"/>
      <c r="NG250" s="12"/>
      <c r="NH250" s="12"/>
      <c r="NI250" s="12"/>
      <c r="NJ250" s="12"/>
      <c r="NK250" s="12"/>
      <c r="NL250" s="12"/>
      <c r="NM250" s="12"/>
      <c r="NN250" s="12"/>
      <c r="NO250" s="12"/>
      <c r="NP250" s="12"/>
      <c r="NQ250" s="12"/>
      <c r="NR250" s="12"/>
      <c r="NS250" s="12"/>
      <c r="NT250" s="12"/>
      <c r="NU250" s="12"/>
      <c r="NV250" s="12"/>
      <c r="NW250" s="12"/>
      <c r="NX250" s="12"/>
      <c r="NY250" s="12"/>
      <c r="NZ250" s="12"/>
      <c r="OA250" s="12"/>
      <c r="OB250" s="12"/>
      <c r="OC250" s="12"/>
      <c r="OD250" s="12"/>
      <c r="OE250" s="12"/>
      <c r="OF250" s="12"/>
      <c r="OG250" s="12"/>
      <c r="OH250" s="12"/>
      <c r="OI250" s="12"/>
      <c r="OJ250" s="12"/>
      <c r="OK250" s="12"/>
      <c r="OL250" s="12"/>
      <c r="OM250" s="12"/>
      <c r="ON250" s="12"/>
      <c r="OO250" s="12"/>
      <c r="OP250" s="12"/>
      <c r="OQ250" s="12"/>
      <c r="OR250" s="12"/>
      <c r="OS250" s="12"/>
      <c r="OT250" s="12"/>
      <c r="OU250" s="12"/>
      <c r="OV250" s="12"/>
      <c r="OW250" s="12"/>
      <c r="OX250" s="12"/>
      <c r="OY250" s="12"/>
      <c r="OZ250" s="12"/>
      <c r="PA250" s="12"/>
      <c r="PB250" s="12"/>
      <c r="PC250" s="12"/>
      <c r="PD250" s="12"/>
      <c r="PE250" s="12"/>
      <c r="PF250" s="12"/>
      <c r="PG250" s="12"/>
      <c r="PH250" s="12"/>
      <c r="PI250" s="12"/>
      <c r="PJ250" s="12"/>
      <c r="PK250" s="12"/>
      <c r="PL250" s="12"/>
      <c r="PM250" s="12"/>
      <c r="PN250" s="12"/>
      <c r="PO250" s="12"/>
      <c r="PP250" s="12"/>
      <c r="PQ250" s="12"/>
      <c r="PR250" s="12"/>
      <c r="PS250" s="12"/>
      <c r="PT250" s="12"/>
      <c r="PU250" s="12"/>
      <c r="PV250" s="12"/>
      <c r="PW250" s="12"/>
      <c r="PX250" s="12"/>
      <c r="PY250" s="12"/>
      <c r="PZ250" s="12"/>
      <c r="QA250" s="12"/>
      <c r="QB250" s="12"/>
      <c r="QC250" s="12"/>
      <c r="QD250" s="12"/>
      <c r="QE250" s="12"/>
      <c r="QF250" s="12"/>
      <c r="QG250" s="12"/>
      <c r="QH250" s="12"/>
      <c r="QI250" s="12"/>
      <c r="QJ250" s="12"/>
      <c r="QK250" s="12"/>
      <c r="QL250" s="12"/>
      <c r="QM250" s="12"/>
      <c r="QN250" s="12"/>
      <c r="QO250" s="12"/>
      <c r="QP250" s="12"/>
      <c r="QQ250" s="12"/>
      <c r="QR250" s="12"/>
      <c r="QS250" s="12"/>
      <c r="QT250" s="12"/>
      <c r="QU250" s="12"/>
      <c r="QV250" s="12"/>
      <c r="QW250" s="12"/>
      <c r="QX250" s="12"/>
      <c r="QY250" s="12"/>
      <c r="QZ250" s="12"/>
      <c r="RA250" s="12"/>
      <c r="RB250" s="12"/>
      <c r="RC250" s="12"/>
      <c r="RD250" s="12"/>
      <c r="RE250" s="12"/>
      <c r="RF250" s="12"/>
      <c r="RG250" s="12"/>
      <c r="RH250" s="12"/>
      <c r="RI250" s="12"/>
      <c r="RJ250" s="12"/>
      <c r="RK250" s="12"/>
      <c r="RL250" s="12"/>
      <c r="RM250" s="12"/>
      <c r="RN250" s="12"/>
      <c r="RO250" s="12"/>
      <c r="RP250" s="12"/>
      <c r="RQ250" s="12"/>
      <c r="RR250" s="12"/>
      <c r="RS250" s="12"/>
      <c r="RT250" s="12"/>
      <c r="RU250" s="12"/>
      <c r="RV250" s="12"/>
      <c r="RW250" s="12"/>
      <c r="RX250" s="12"/>
      <c r="RY250" s="12"/>
      <c r="RZ250" s="12"/>
      <c r="SA250" s="12"/>
      <c r="SB250" s="12"/>
      <c r="SC250" s="12"/>
      <c r="SD250" s="12"/>
      <c r="SE250" s="12"/>
      <c r="SF250" s="12"/>
      <c r="SG250" s="12"/>
      <c r="SH250" s="11"/>
      <c r="SI250" s="11"/>
      <c r="SJ250" s="11"/>
      <c r="SK250" s="11"/>
      <c r="SL250" s="11"/>
      <c r="SM250" s="11"/>
      <c r="SN250" s="11"/>
      <c r="SO250" s="11"/>
      <c r="SP250" s="11"/>
      <c r="SQ250" s="11"/>
      <c r="SR250" s="11"/>
      <c r="SS250" s="11"/>
      <c r="ST250" s="11"/>
      <c r="SU250" s="11"/>
      <c r="SV250" s="11"/>
      <c r="SW250" s="11"/>
      <c r="SX250" s="11"/>
      <c r="SY250" s="11"/>
      <c r="SZ250" s="11"/>
      <c r="TA250" s="11"/>
      <c r="TB250" s="11"/>
      <c r="TC250" s="11"/>
      <c r="TD250" s="11"/>
      <c r="TE250" s="11"/>
      <c r="TF250" s="11"/>
      <c r="TG250" s="11"/>
      <c r="TH250" s="11"/>
      <c r="TI250" s="11"/>
      <c r="TJ250" s="11"/>
      <c r="TK250" s="11"/>
      <c r="TL250" s="11"/>
    </row>
    <row r="251" spans="1:532" x14ac:dyDescent="0.2">
      <c r="A251" s="10" t="s">
        <v>250</v>
      </c>
      <c r="B251" s="12">
        <v>14.27</v>
      </c>
      <c r="C251" s="11">
        <v>0</v>
      </c>
      <c r="D251" s="11">
        <v>0.72268836988633434</v>
      </c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12"/>
      <c r="EP251" s="12"/>
      <c r="EQ251" s="12"/>
      <c r="ER251" s="12"/>
      <c r="ES251" s="12"/>
      <c r="ET251" s="12"/>
      <c r="EU251" s="12"/>
      <c r="EV251" s="12"/>
      <c r="EW251" s="12"/>
      <c r="EX251" s="12"/>
      <c r="EY251" s="12"/>
      <c r="EZ251" s="12"/>
      <c r="FA251" s="12"/>
      <c r="FB251" s="12"/>
      <c r="FC251" s="12"/>
      <c r="FD251" s="12"/>
      <c r="FE251" s="12"/>
      <c r="FF251" s="12"/>
      <c r="FG251" s="12"/>
      <c r="FH251" s="12"/>
      <c r="FI251" s="12"/>
      <c r="FJ251" s="12"/>
      <c r="FK251" s="12"/>
      <c r="FL251" s="12"/>
      <c r="FM251" s="12"/>
      <c r="FN251" s="12"/>
      <c r="FO251" s="12"/>
      <c r="FP251" s="12"/>
      <c r="FQ251" s="12"/>
      <c r="FR251" s="12"/>
      <c r="FS251" s="12"/>
      <c r="FT251" s="12"/>
      <c r="FU251" s="12"/>
      <c r="FV251" s="12"/>
      <c r="FW251" s="12"/>
      <c r="FX251" s="12"/>
      <c r="FY251" s="12"/>
      <c r="FZ251" s="12"/>
      <c r="GA251" s="12"/>
      <c r="GB251" s="12"/>
      <c r="GC251" s="12"/>
      <c r="GD251" s="12"/>
      <c r="GE251" s="12"/>
      <c r="GF251" s="12"/>
      <c r="GG251" s="12"/>
      <c r="GH251" s="12"/>
      <c r="GI251" s="12"/>
      <c r="GJ251" s="12"/>
      <c r="GK251" s="12"/>
      <c r="GL251" s="12"/>
      <c r="GM251" s="12"/>
      <c r="GN251" s="12"/>
      <c r="GO251" s="12"/>
      <c r="GP251" s="12"/>
      <c r="GQ251" s="12"/>
      <c r="GR251" s="12"/>
      <c r="GS251" s="12"/>
      <c r="GT251" s="12"/>
      <c r="GU251" s="12"/>
      <c r="GV251" s="12"/>
      <c r="GW251" s="12"/>
      <c r="GX251" s="12"/>
      <c r="GY251" s="12"/>
      <c r="GZ251" s="12"/>
      <c r="HA251" s="12"/>
      <c r="HB251" s="12"/>
      <c r="HC251" s="12"/>
      <c r="HD251" s="12"/>
      <c r="HE251" s="12"/>
      <c r="HF251" s="12"/>
      <c r="HG251" s="12"/>
      <c r="HH251" s="12"/>
      <c r="HI251" s="12"/>
      <c r="HJ251" s="12"/>
      <c r="HK251" s="12"/>
      <c r="HL251" s="12"/>
      <c r="HM251" s="12"/>
      <c r="HN251" s="12"/>
      <c r="HO251" s="12"/>
      <c r="HP251" s="12"/>
      <c r="HQ251" s="12"/>
      <c r="HR251" s="12"/>
      <c r="HS251" s="12"/>
      <c r="HT251" s="12"/>
      <c r="HU251" s="12"/>
      <c r="HV251" s="12"/>
      <c r="HW251" s="12"/>
      <c r="HX251" s="12"/>
      <c r="HY251" s="12"/>
      <c r="HZ251" s="12"/>
      <c r="IA251" s="12"/>
      <c r="IB251" s="12"/>
      <c r="IC251" s="12"/>
      <c r="ID251" s="12"/>
      <c r="IE251" s="12"/>
      <c r="IF251" s="12"/>
      <c r="IG251" s="12"/>
      <c r="IH251" s="12"/>
      <c r="II251" s="12"/>
      <c r="IJ251" s="12"/>
      <c r="IK251" s="12"/>
      <c r="IL251" s="12"/>
      <c r="IM251" s="12"/>
      <c r="IN251" s="12"/>
      <c r="IO251" s="12"/>
      <c r="IP251" s="12"/>
      <c r="IQ251" s="12"/>
      <c r="IR251" s="12"/>
      <c r="IS251" s="12"/>
      <c r="IT251" s="12"/>
      <c r="IU251" s="12"/>
      <c r="IV251" s="12"/>
      <c r="IW251" s="12"/>
      <c r="IX251" s="12"/>
      <c r="IY251" s="12"/>
      <c r="IZ251" s="12"/>
      <c r="JA251" s="12"/>
      <c r="JB251" s="12"/>
      <c r="JC251" s="12"/>
      <c r="JD251" s="12"/>
      <c r="JE251" s="12"/>
      <c r="JF251" s="12"/>
      <c r="JG251" s="12"/>
      <c r="JH251" s="12"/>
      <c r="JI251" s="12"/>
      <c r="JJ251" s="12"/>
      <c r="JK251" s="12"/>
      <c r="JL251" s="12"/>
      <c r="JM251" s="12"/>
      <c r="JN251" s="12"/>
      <c r="JO251" s="12"/>
      <c r="JP251" s="12"/>
      <c r="JQ251" s="12"/>
      <c r="JR251" s="12"/>
      <c r="JS251" s="12"/>
      <c r="JT251" s="12"/>
      <c r="JU251" s="12"/>
      <c r="JV251" s="12"/>
      <c r="JW251" s="12"/>
      <c r="JX251" s="12"/>
      <c r="JY251" s="12"/>
      <c r="JZ251" s="12"/>
      <c r="KA251" s="12"/>
      <c r="KB251" s="12"/>
      <c r="KC251" s="12"/>
      <c r="KD251" s="12"/>
      <c r="KE251" s="12"/>
      <c r="KF251" s="12"/>
      <c r="KG251" s="12"/>
      <c r="KH251" s="12"/>
      <c r="KI251" s="12"/>
      <c r="KJ251" s="12"/>
      <c r="KK251" s="12"/>
      <c r="KL251" s="12"/>
      <c r="KM251" s="12"/>
      <c r="KN251" s="12"/>
      <c r="KO251" s="12"/>
      <c r="KP251" s="12"/>
      <c r="KQ251" s="12"/>
      <c r="KR251" s="12"/>
      <c r="KS251" s="12"/>
      <c r="KT251" s="12"/>
      <c r="KU251" s="12"/>
      <c r="KV251" s="12"/>
      <c r="KW251" s="12"/>
      <c r="KX251" s="12"/>
      <c r="KY251" s="12"/>
      <c r="KZ251" s="12"/>
      <c r="LA251" s="12"/>
      <c r="LB251" s="12"/>
      <c r="LC251" s="12"/>
      <c r="LD251" s="12"/>
      <c r="LE251" s="12"/>
      <c r="LF251" s="12"/>
      <c r="LG251" s="12"/>
      <c r="LH251" s="12"/>
      <c r="LI251" s="12"/>
      <c r="LJ251" s="12"/>
      <c r="LK251" s="12"/>
      <c r="LL251" s="12"/>
      <c r="LM251" s="12"/>
      <c r="LN251" s="12"/>
      <c r="LO251" s="12"/>
      <c r="LP251" s="12"/>
      <c r="LQ251" s="12"/>
      <c r="LR251" s="12"/>
      <c r="LS251" s="12"/>
      <c r="LT251" s="12"/>
      <c r="LU251" s="12"/>
      <c r="LV251" s="12"/>
      <c r="LW251" s="12"/>
      <c r="LX251" s="12"/>
      <c r="LY251" s="12"/>
      <c r="LZ251" s="12"/>
      <c r="MA251" s="12"/>
      <c r="MB251" s="12"/>
      <c r="MC251" s="12"/>
      <c r="MD251" s="12"/>
      <c r="ME251" s="12"/>
      <c r="MF251" s="12"/>
      <c r="MG251" s="12"/>
      <c r="MH251" s="12"/>
      <c r="MI251" s="12"/>
      <c r="MJ251" s="12"/>
      <c r="MK251" s="12"/>
      <c r="ML251" s="12"/>
      <c r="MM251" s="12"/>
      <c r="MN251" s="12"/>
      <c r="MO251" s="12"/>
      <c r="MP251" s="12"/>
      <c r="MQ251" s="12"/>
      <c r="MR251" s="12"/>
      <c r="MS251" s="12"/>
      <c r="MT251" s="12"/>
      <c r="MU251" s="12"/>
      <c r="MV251" s="12"/>
      <c r="MW251" s="12"/>
      <c r="MX251" s="12"/>
      <c r="MY251" s="12"/>
      <c r="MZ251" s="12"/>
      <c r="NA251" s="12"/>
      <c r="NB251" s="12"/>
      <c r="NC251" s="12"/>
      <c r="ND251" s="12"/>
      <c r="NE251" s="12"/>
      <c r="NF251" s="12"/>
      <c r="NG251" s="12"/>
      <c r="NH251" s="12"/>
      <c r="NI251" s="12"/>
      <c r="NJ251" s="12"/>
      <c r="NK251" s="12"/>
      <c r="NL251" s="12"/>
      <c r="NM251" s="12"/>
      <c r="NN251" s="12"/>
      <c r="NO251" s="12"/>
      <c r="NP251" s="12"/>
      <c r="NQ251" s="12"/>
      <c r="NR251" s="12"/>
      <c r="NS251" s="12"/>
      <c r="NT251" s="12"/>
      <c r="NU251" s="12"/>
      <c r="NV251" s="12"/>
      <c r="NW251" s="12"/>
      <c r="NX251" s="12"/>
      <c r="NY251" s="12"/>
      <c r="NZ251" s="12"/>
      <c r="OA251" s="12"/>
      <c r="OB251" s="12"/>
      <c r="OC251" s="12"/>
      <c r="OD251" s="12"/>
      <c r="OE251" s="12"/>
      <c r="OF251" s="12"/>
      <c r="OG251" s="12"/>
      <c r="OH251" s="12"/>
      <c r="OI251" s="12"/>
      <c r="OJ251" s="12"/>
      <c r="OK251" s="12"/>
      <c r="OL251" s="12"/>
      <c r="OM251" s="12"/>
      <c r="ON251" s="12"/>
      <c r="OO251" s="12"/>
      <c r="OP251" s="12"/>
      <c r="OQ251" s="12"/>
      <c r="OR251" s="12"/>
      <c r="OS251" s="12"/>
      <c r="OT251" s="12"/>
      <c r="OU251" s="12"/>
      <c r="OV251" s="12"/>
      <c r="OW251" s="12"/>
      <c r="OX251" s="12"/>
      <c r="OY251" s="12"/>
      <c r="OZ251" s="12"/>
      <c r="PA251" s="12"/>
      <c r="PB251" s="12"/>
      <c r="PC251" s="12"/>
      <c r="PD251" s="12"/>
      <c r="PE251" s="12"/>
      <c r="PF251" s="12"/>
      <c r="PG251" s="12"/>
      <c r="PH251" s="12"/>
      <c r="PI251" s="12"/>
      <c r="PJ251" s="12"/>
      <c r="PK251" s="12"/>
      <c r="PL251" s="12"/>
      <c r="PM251" s="12"/>
      <c r="PN251" s="12"/>
      <c r="PO251" s="12"/>
      <c r="PP251" s="12"/>
      <c r="PQ251" s="12"/>
      <c r="PR251" s="12"/>
      <c r="PS251" s="12"/>
      <c r="PT251" s="12"/>
      <c r="PU251" s="12"/>
      <c r="PV251" s="12"/>
      <c r="PW251" s="12"/>
      <c r="PX251" s="12"/>
      <c r="PY251" s="12"/>
      <c r="PZ251" s="12"/>
      <c r="QA251" s="12"/>
      <c r="QB251" s="12"/>
      <c r="QC251" s="12"/>
      <c r="QD251" s="12"/>
      <c r="QE251" s="12"/>
      <c r="QF251" s="12"/>
      <c r="QG251" s="12"/>
      <c r="QH251" s="12"/>
      <c r="QI251" s="12"/>
      <c r="QJ251" s="12"/>
      <c r="QK251" s="12"/>
      <c r="QL251" s="12"/>
      <c r="QM251" s="12"/>
      <c r="QN251" s="12"/>
      <c r="QO251" s="12"/>
      <c r="QP251" s="12"/>
      <c r="QQ251" s="12"/>
      <c r="QR251" s="12"/>
      <c r="QS251" s="12"/>
      <c r="QT251" s="12"/>
      <c r="QU251" s="12"/>
      <c r="QV251" s="12"/>
      <c r="QW251" s="12"/>
      <c r="QX251" s="12"/>
      <c r="QY251" s="12"/>
      <c r="QZ251" s="12"/>
      <c r="RA251" s="12"/>
      <c r="RB251" s="12"/>
      <c r="RC251" s="12"/>
      <c r="RD251" s="12"/>
      <c r="RE251" s="12"/>
      <c r="RF251" s="12"/>
      <c r="RG251" s="12"/>
      <c r="RH251" s="12"/>
      <c r="RI251" s="12"/>
      <c r="RJ251" s="12"/>
      <c r="RK251" s="12"/>
      <c r="RL251" s="12"/>
      <c r="RM251" s="12"/>
      <c r="RN251" s="12"/>
      <c r="RO251" s="12"/>
      <c r="RP251" s="12"/>
      <c r="RQ251" s="12"/>
      <c r="RR251" s="12"/>
      <c r="RS251" s="12"/>
      <c r="RT251" s="12"/>
      <c r="RU251" s="12"/>
      <c r="RV251" s="12"/>
      <c r="RW251" s="12"/>
      <c r="RX251" s="12"/>
      <c r="RY251" s="12"/>
      <c r="RZ251" s="12"/>
      <c r="SA251" s="12"/>
      <c r="SB251" s="12"/>
      <c r="SC251" s="12"/>
      <c r="SD251" s="12"/>
      <c r="SE251" s="12"/>
      <c r="SF251" s="12"/>
      <c r="SG251" s="12"/>
      <c r="SH251" s="11"/>
      <c r="SI251" s="11"/>
      <c r="SJ251" s="11"/>
      <c r="SK251" s="11"/>
      <c r="SL251" s="11"/>
      <c r="SM251" s="11"/>
      <c r="SN251" s="11"/>
      <c r="SO251" s="11"/>
      <c r="SP251" s="11"/>
      <c r="SQ251" s="11"/>
      <c r="SR251" s="11"/>
      <c r="SS251" s="11"/>
      <c r="ST251" s="11"/>
      <c r="SU251" s="11"/>
      <c r="SV251" s="11"/>
      <c r="SW251" s="11"/>
      <c r="SX251" s="11"/>
      <c r="SY251" s="11"/>
      <c r="SZ251" s="11"/>
      <c r="TA251" s="11"/>
      <c r="TB251" s="11"/>
      <c r="TC251" s="11"/>
      <c r="TD251" s="11"/>
      <c r="TE251" s="11"/>
      <c r="TF251" s="11"/>
      <c r="TG251" s="11"/>
      <c r="TH251" s="11"/>
      <c r="TI251" s="11"/>
      <c r="TJ251" s="11"/>
      <c r="TK251" s="11"/>
      <c r="TL251" s="11"/>
    </row>
    <row r="252" spans="1:532" x14ac:dyDescent="0.2">
      <c r="A252" s="10" t="s">
        <v>251</v>
      </c>
      <c r="B252" s="12">
        <v>14.92</v>
      </c>
      <c r="C252" s="11">
        <v>0</v>
      </c>
      <c r="D252" s="11">
        <v>7.9198725466995551E-2</v>
      </c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  <c r="BW252" s="12"/>
      <c r="BX252" s="12"/>
      <c r="BY252" s="12"/>
      <c r="BZ252" s="12"/>
      <c r="CA252" s="12"/>
      <c r="CB252" s="12"/>
      <c r="CC252" s="12"/>
      <c r="CD252" s="12"/>
      <c r="CE252" s="12"/>
      <c r="CF252" s="12"/>
      <c r="CG252" s="12"/>
      <c r="CH252" s="12"/>
      <c r="CI252" s="12"/>
      <c r="CJ252" s="12"/>
      <c r="CK252" s="12"/>
      <c r="CL252" s="12"/>
      <c r="CM252" s="12"/>
      <c r="CN252" s="12"/>
      <c r="CO252" s="12"/>
      <c r="CP252" s="12"/>
      <c r="CQ252" s="12"/>
      <c r="CR252" s="12"/>
      <c r="CS252" s="12"/>
      <c r="CT252" s="12"/>
      <c r="CU252" s="12"/>
      <c r="CV252" s="12"/>
      <c r="CW252" s="12"/>
      <c r="CX252" s="12"/>
      <c r="CY252" s="12"/>
      <c r="CZ252" s="12"/>
      <c r="DA252" s="12"/>
      <c r="DB252" s="12"/>
      <c r="DC252" s="12"/>
      <c r="DD252" s="12"/>
      <c r="DE252" s="12"/>
      <c r="DF252" s="12"/>
      <c r="DG252" s="12"/>
      <c r="DH252" s="12"/>
      <c r="DI252" s="12"/>
      <c r="DJ252" s="12"/>
      <c r="DK252" s="12"/>
      <c r="DL252" s="12"/>
      <c r="DM252" s="12"/>
      <c r="DN252" s="12"/>
      <c r="DO252" s="12"/>
      <c r="DP252" s="12"/>
      <c r="DQ252" s="12"/>
      <c r="DR252" s="12"/>
      <c r="DS252" s="12"/>
      <c r="DT252" s="12"/>
      <c r="DU252" s="12"/>
      <c r="DV252" s="12"/>
      <c r="DW252" s="12"/>
      <c r="DX252" s="12"/>
      <c r="DY252" s="12"/>
      <c r="DZ252" s="12"/>
      <c r="EA252" s="12"/>
      <c r="EB252" s="12"/>
      <c r="EC252" s="12"/>
      <c r="ED252" s="12"/>
      <c r="EE252" s="12"/>
      <c r="EF252" s="12"/>
      <c r="EG252" s="12"/>
      <c r="EH252" s="12"/>
      <c r="EI252" s="12"/>
      <c r="EJ252" s="12"/>
      <c r="EK252" s="12"/>
      <c r="EL252" s="12"/>
      <c r="EM252" s="12"/>
      <c r="EN252" s="12"/>
      <c r="EO252" s="12"/>
      <c r="EP252" s="12"/>
      <c r="EQ252" s="12"/>
      <c r="ER252" s="12"/>
      <c r="ES252" s="12"/>
      <c r="ET252" s="12"/>
      <c r="EU252" s="12"/>
      <c r="EV252" s="12"/>
      <c r="EW252" s="12"/>
      <c r="EX252" s="12"/>
      <c r="EY252" s="12"/>
      <c r="EZ252" s="12"/>
      <c r="FA252" s="12"/>
      <c r="FB252" s="12"/>
      <c r="FC252" s="12"/>
      <c r="FD252" s="12"/>
      <c r="FE252" s="12"/>
      <c r="FF252" s="12"/>
      <c r="FG252" s="12"/>
      <c r="FH252" s="12"/>
      <c r="FI252" s="12"/>
      <c r="FJ252" s="12"/>
      <c r="FK252" s="12"/>
      <c r="FL252" s="12"/>
      <c r="FM252" s="12"/>
      <c r="FN252" s="12"/>
      <c r="FO252" s="12"/>
      <c r="FP252" s="12"/>
      <c r="FQ252" s="12"/>
      <c r="FR252" s="12"/>
      <c r="FS252" s="12"/>
      <c r="FT252" s="12"/>
      <c r="FU252" s="12"/>
      <c r="FV252" s="12"/>
      <c r="FW252" s="12"/>
      <c r="FX252" s="12"/>
      <c r="FY252" s="12"/>
      <c r="FZ252" s="12"/>
      <c r="GA252" s="12"/>
      <c r="GB252" s="12"/>
      <c r="GC252" s="12"/>
      <c r="GD252" s="12"/>
      <c r="GE252" s="12"/>
      <c r="GF252" s="12"/>
      <c r="GG252" s="12"/>
      <c r="GH252" s="12"/>
      <c r="GI252" s="12"/>
      <c r="GJ252" s="12"/>
      <c r="GK252" s="12"/>
      <c r="GL252" s="12"/>
      <c r="GM252" s="12"/>
      <c r="GN252" s="12"/>
      <c r="GO252" s="12"/>
      <c r="GP252" s="12"/>
      <c r="GQ252" s="12"/>
      <c r="GR252" s="12"/>
      <c r="GS252" s="12"/>
      <c r="GT252" s="12"/>
      <c r="GU252" s="12"/>
      <c r="GV252" s="12"/>
      <c r="GW252" s="12"/>
      <c r="GX252" s="12"/>
      <c r="GY252" s="12"/>
      <c r="GZ252" s="12"/>
      <c r="HA252" s="12"/>
      <c r="HB252" s="12"/>
      <c r="HC252" s="12"/>
      <c r="HD252" s="12"/>
      <c r="HE252" s="12"/>
      <c r="HF252" s="12"/>
      <c r="HG252" s="12"/>
      <c r="HH252" s="12"/>
      <c r="HI252" s="12"/>
      <c r="HJ252" s="12"/>
      <c r="HK252" s="12"/>
      <c r="HL252" s="12"/>
      <c r="HM252" s="12"/>
      <c r="HN252" s="12"/>
      <c r="HO252" s="12"/>
      <c r="HP252" s="12"/>
      <c r="HQ252" s="12"/>
      <c r="HR252" s="12"/>
      <c r="HS252" s="12"/>
      <c r="HT252" s="12"/>
      <c r="HU252" s="12"/>
      <c r="HV252" s="12"/>
      <c r="HW252" s="12"/>
      <c r="HX252" s="12"/>
      <c r="HY252" s="12"/>
      <c r="HZ252" s="12"/>
      <c r="IA252" s="12"/>
      <c r="IB252" s="12"/>
      <c r="IC252" s="12"/>
      <c r="ID252" s="12"/>
      <c r="IE252" s="12"/>
      <c r="IF252" s="12"/>
      <c r="IG252" s="12"/>
      <c r="IH252" s="12"/>
      <c r="II252" s="12"/>
      <c r="IJ252" s="12"/>
      <c r="IK252" s="12"/>
      <c r="IL252" s="12"/>
      <c r="IM252" s="12"/>
      <c r="IN252" s="12"/>
      <c r="IO252" s="12"/>
      <c r="IP252" s="12"/>
      <c r="IQ252" s="12"/>
      <c r="IR252" s="12"/>
      <c r="IS252" s="12"/>
      <c r="IT252" s="12"/>
      <c r="IU252" s="12"/>
      <c r="IV252" s="12"/>
      <c r="IW252" s="12"/>
      <c r="IX252" s="12"/>
      <c r="IY252" s="12"/>
      <c r="IZ252" s="12"/>
      <c r="JA252" s="12"/>
      <c r="JB252" s="12"/>
      <c r="JC252" s="12"/>
      <c r="JD252" s="12"/>
      <c r="JE252" s="12"/>
      <c r="JF252" s="12"/>
      <c r="JG252" s="12"/>
      <c r="JH252" s="12"/>
      <c r="JI252" s="12"/>
      <c r="JJ252" s="12"/>
      <c r="JK252" s="12"/>
      <c r="JL252" s="12"/>
      <c r="JM252" s="12"/>
      <c r="JN252" s="12"/>
      <c r="JO252" s="12"/>
      <c r="JP252" s="12"/>
      <c r="JQ252" s="12"/>
      <c r="JR252" s="12"/>
      <c r="JS252" s="12"/>
      <c r="JT252" s="12"/>
      <c r="JU252" s="12"/>
      <c r="JV252" s="12"/>
      <c r="JW252" s="12"/>
      <c r="JX252" s="12"/>
      <c r="JY252" s="12"/>
      <c r="JZ252" s="12"/>
      <c r="KA252" s="12"/>
      <c r="KB252" s="12"/>
      <c r="KC252" s="12"/>
      <c r="KD252" s="12"/>
      <c r="KE252" s="12"/>
      <c r="KF252" s="12"/>
      <c r="KG252" s="12"/>
      <c r="KH252" s="12"/>
      <c r="KI252" s="12"/>
      <c r="KJ252" s="12"/>
      <c r="KK252" s="12"/>
      <c r="KL252" s="12"/>
      <c r="KM252" s="12"/>
      <c r="KN252" s="12"/>
      <c r="KO252" s="12"/>
      <c r="KP252" s="12"/>
      <c r="KQ252" s="12"/>
      <c r="KR252" s="12"/>
      <c r="KS252" s="12"/>
      <c r="KT252" s="12"/>
      <c r="KU252" s="12"/>
      <c r="KV252" s="12"/>
      <c r="KW252" s="12"/>
      <c r="KX252" s="12"/>
      <c r="KY252" s="12"/>
      <c r="KZ252" s="12"/>
      <c r="LA252" s="12"/>
      <c r="LB252" s="12"/>
      <c r="LC252" s="12"/>
      <c r="LD252" s="12"/>
      <c r="LE252" s="12"/>
      <c r="LF252" s="12"/>
      <c r="LG252" s="12"/>
      <c r="LH252" s="12"/>
      <c r="LI252" s="12"/>
      <c r="LJ252" s="12"/>
      <c r="LK252" s="12"/>
      <c r="LL252" s="12"/>
      <c r="LM252" s="12"/>
      <c r="LN252" s="12"/>
      <c r="LO252" s="12"/>
      <c r="LP252" s="12"/>
      <c r="LQ252" s="12"/>
      <c r="LR252" s="12"/>
      <c r="LS252" s="12"/>
      <c r="LT252" s="12"/>
      <c r="LU252" s="12"/>
      <c r="LV252" s="12"/>
      <c r="LW252" s="12"/>
      <c r="LX252" s="12"/>
      <c r="LY252" s="12"/>
      <c r="LZ252" s="12"/>
      <c r="MA252" s="12"/>
      <c r="MB252" s="12"/>
      <c r="MC252" s="12"/>
      <c r="MD252" s="12"/>
      <c r="ME252" s="12"/>
      <c r="MF252" s="12"/>
      <c r="MG252" s="12"/>
      <c r="MH252" s="12"/>
      <c r="MI252" s="12"/>
      <c r="MJ252" s="12"/>
      <c r="MK252" s="12"/>
      <c r="ML252" s="12"/>
      <c r="MM252" s="12"/>
      <c r="MN252" s="12"/>
      <c r="MO252" s="12"/>
      <c r="MP252" s="12"/>
      <c r="MQ252" s="12"/>
      <c r="MR252" s="12"/>
      <c r="MS252" s="12"/>
      <c r="MT252" s="12"/>
      <c r="MU252" s="12"/>
      <c r="MV252" s="12"/>
      <c r="MW252" s="12"/>
      <c r="MX252" s="12"/>
      <c r="MY252" s="12"/>
      <c r="MZ252" s="12"/>
      <c r="NA252" s="12"/>
      <c r="NB252" s="12"/>
      <c r="NC252" s="12"/>
      <c r="ND252" s="12"/>
      <c r="NE252" s="12"/>
      <c r="NF252" s="12"/>
      <c r="NG252" s="12"/>
      <c r="NH252" s="12"/>
      <c r="NI252" s="12"/>
      <c r="NJ252" s="12"/>
      <c r="NK252" s="12"/>
      <c r="NL252" s="12"/>
      <c r="NM252" s="12"/>
      <c r="NN252" s="12"/>
      <c r="NO252" s="12"/>
      <c r="NP252" s="12"/>
      <c r="NQ252" s="12"/>
      <c r="NR252" s="12"/>
      <c r="NS252" s="12"/>
      <c r="NT252" s="12"/>
      <c r="NU252" s="12"/>
      <c r="NV252" s="12"/>
      <c r="NW252" s="12"/>
      <c r="NX252" s="12"/>
      <c r="NY252" s="12"/>
      <c r="NZ252" s="12"/>
      <c r="OA252" s="12"/>
      <c r="OB252" s="12"/>
      <c r="OC252" s="12"/>
      <c r="OD252" s="12"/>
      <c r="OE252" s="12"/>
      <c r="OF252" s="12"/>
      <c r="OG252" s="12"/>
      <c r="OH252" s="12"/>
      <c r="OI252" s="12"/>
      <c r="OJ252" s="12"/>
      <c r="OK252" s="12"/>
      <c r="OL252" s="12"/>
      <c r="OM252" s="12"/>
      <c r="ON252" s="12"/>
      <c r="OO252" s="12"/>
      <c r="OP252" s="12"/>
      <c r="OQ252" s="12"/>
      <c r="OR252" s="12"/>
      <c r="OS252" s="12"/>
      <c r="OT252" s="12"/>
      <c r="OU252" s="12"/>
      <c r="OV252" s="12"/>
      <c r="OW252" s="12"/>
      <c r="OX252" s="12"/>
      <c r="OY252" s="12"/>
      <c r="OZ252" s="12"/>
      <c r="PA252" s="12"/>
      <c r="PB252" s="12"/>
      <c r="PC252" s="12"/>
      <c r="PD252" s="12"/>
      <c r="PE252" s="12"/>
      <c r="PF252" s="12"/>
      <c r="PG252" s="12"/>
      <c r="PH252" s="12"/>
      <c r="PI252" s="12"/>
      <c r="PJ252" s="12"/>
      <c r="PK252" s="12"/>
      <c r="PL252" s="12"/>
      <c r="PM252" s="12"/>
      <c r="PN252" s="12"/>
      <c r="PO252" s="12"/>
      <c r="PP252" s="12"/>
      <c r="PQ252" s="12"/>
      <c r="PR252" s="12"/>
      <c r="PS252" s="12"/>
      <c r="PT252" s="12"/>
      <c r="PU252" s="12"/>
      <c r="PV252" s="12"/>
      <c r="PW252" s="12"/>
      <c r="PX252" s="12"/>
      <c r="PY252" s="12"/>
      <c r="PZ252" s="12"/>
      <c r="QA252" s="12"/>
      <c r="QB252" s="12"/>
      <c r="QC252" s="12"/>
      <c r="QD252" s="12"/>
      <c r="QE252" s="12"/>
      <c r="QF252" s="12"/>
      <c r="QG252" s="12"/>
      <c r="QH252" s="12"/>
      <c r="QI252" s="12"/>
      <c r="QJ252" s="12"/>
      <c r="QK252" s="12"/>
      <c r="QL252" s="12"/>
      <c r="QM252" s="12"/>
      <c r="QN252" s="12"/>
      <c r="QO252" s="12"/>
      <c r="QP252" s="12"/>
      <c r="QQ252" s="12"/>
      <c r="QR252" s="12"/>
      <c r="QS252" s="12"/>
      <c r="QT252" s="12"/>
      <c r="QU252" s="12"/>
      <c r="QV252" s="12"/>
      <c r="QW252" s="12"/>
      <c r="QX252" s="12"/>
      <c r="QY252" s="12"/>
      <c r="QZ252" s="12"/>
      <c r="RA252" s="12"/>
      <c r="RB252" s="12"/>
      <c r="RC252" s="12"/>
      <c r="RD252" s="12"/>
      <c r="RE252" s="12"/>
      <c r="RF252" s="12"/>
      <c r="RG252" s="12"/>
      <c r="RH252" s="12"/>
      <c r="RI252" s="12"/>
      <c r="RJ252" s="12"/>
      <c r="RK252" s="12"/>
      <c r="RL252" s="12"/>
      <c r="RM252" s="12"/>
      <c r="RN252" s="12"/>
      <c r="RO252" s="12"/>
      <c r="RP252" s="12"/>
      <c r="RQ252" s="12"/>
      <c r="RR252" s="12"/>
      <c r="RS252" s="12"/>
      <c r="RT252" s="12"/>
      <c r="RU252" s="12"/>
      <c r="RV252" s="12"/>
      <c r="RW252" s="12"/>
      <c r="RX252" s="12"/>
      <c r="RY252" s="12"/>
      <c r="RZ252" s="12"/>
      <c r="SA252" s="12"/>
      <c r="SB252" s="12"/>
      <c r="SC252" s="12"/>
      <c r="SD252" s="12"/>
      <c r="SE252" s="12"/>
      <c r="SF252" s="12"/>
      <c r="SG252" s="12"/>
      <c r="SH252" s="11"/>
      <c r="SI252" s="11"/>
      <c r="SJ252" s="11"/>
      <c r="SK252" s="11"/>
      <c r="SL252" s="11"/>
      <c r="SM252" s="11"/>
      <c r="SN252" s="11"/>
      <c r="SO252" s="11"/>
      <c r="SP252" s="11"/>
      <c r="SQ252" s="11"/>
      <c r="SR252" s="11"/>
      <c r="SS252" s="11"/>
      <c r="ST252" s="11"/>
      <c r="SU252" s="11"/>
      <c r="SV252" s="11"/>
      <c r="SW252" s="11"/>
      <c r="SX252" s="11"/>
      <c r="SY252" s="11"/>
      <c r="SZ252" s="11"/>
      <c r="TA252" s="11"/>
      <c r="TB252" s="11"/>
      <c r="TC252" s="11"/>
      <c r="TD252" s="11"/>
      <c r="TE252" s="11"/>
      <c r="TF252" s="11"/>
      <c r="TG252" s="11"/>
      <c r="TH252" s="11"/>
      <c r="TI252" s="11"/>
      <c r="TJ252" s="11"/>
      <c r="TK252" s="11"/>
      <c r="TL252" s="11"/>
    </row>
    <row r="253" spans="1:532" x14ac:dyDescent="0.2">
      <c r="A253" s="10" t="s">
        <v>252</v>
      </c>
      <c r="B253" s="12">
        <v>13.34</v>
      </c>
      <c r="C253" s="11">
        <v>0</v>
      </c>
      <c r="D253" s="11">
        <v>1.6433735534401575</v>
      </c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/>
      <c r="BC253" s="1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  <c r="BW253" s="12"/>
      <c r="BX253" s="12"/>
      <c r="BY253" s="12"/>
      <c r="BZ253" s="12"/>
      <c r="CA253" s="12"/>
      <c r="CB253" s="12"/>
      <c r="CC253" s="12"/>
      <c r="CD253" s="12"/>
      <c r="CE253" s="12"/>
      <c r="CF253" s="12"/>
      <c r="CG253" s="12"/>
      <c r="CH253" s="12"/>
      <c r="CI253" s="12"/>
      <c r="CJ253" s="12"/>
      <c r="CK253" s="12"/>
      <c r="CL253" s="12"/>
      <c r="CM253" s="12"/>
      <c r="CN253" s="12"/>
      <c r="CO253" s="12"/>
      <c r="CP253" s="12"/>
      <c r="CQ253" s="12"/>
      <c r="CR253" s="12"/>
      <c r="CS253" s="12"/>
      <c r="CT253" s="12"/>
      <c r="CU253" s="12"/>
      <c r="CV253" s="12"/>
      <c r="CW253" s="12"/>
      <c r="CX253" s="12"/>
      <c r="CY253" s="12"/>
      <c r="CZ253" s="12"/>
      <c r="DA253" s="12"/>
      <c r="DB253" s="12"/>
      <c r="DC253" s="12"/>
      <c r="DD253" s="12"/>
      <c r="DE253" s="12"/>
      <c r="DF253" s="12"/>
      <c r="DG253" s="12"/>
      <c r="DH253" s="12"/>
      <c r="DI253" s="12"/>
      <c r="DJ253" s="12"/>
      <c r="DK253" s="12"/>
      <c r="DL253" s="12"/>
      <c r="DM253" s="12"/>
      <c r="DN253" s="12"/>
      <c r="DO253" s="12"/>
      <c r="DP253" s="12"/>
      <c r="DQ253" s="12"/>
      <c r="DR253" s="12"/>
      <c r="DS253" s="12"/>
      <c r="DT253" s="12"/>
      <c r="DU253" s="12"/>
      <c r="DV253" s="12"/>
      <c r="DW253" s="12"/>
      <c r="DX253" s="12"/>
      <c r="DY253" s="12"/>
      <c r="DZ253" s="12"/>
      <c r="EA253" s="12"/>
      <c r="EB253" s="12"/>
      <c r="EC253" s="12"/>
      <c r="ED253" s="12"/>
      <c r="EE253" s="12"/>
      <c r="EF253" s="12"/>
      <c r="EG253" s="12"/>
      <c r="EH253" s="12"/>
      <c r="EI253" s="12"/>
      <c r="EJ253" s="12"/>
      <c r="EK253" s="12"/>
      <c r="EL253" s="12"/>
      <c r="EM253" s="12"/>
      <c r="EN253" s="12"/>
      <c r="EO253" s="12"/>
      <c r="EP253" s="12"/>
      <c r="EQ253" s="12"/>
      <c r="ER253" s="12"/>
      <c r="ES253" s="12"/>
      <c r="ET253" s="12"/>
      <c r="EU253" s="12"/>
      <c r="EV253" s="12"/>
      <c r="EW253" s="12"/>
      <c r="EX253" s="12"/>
      <c r="EY253" s="12"/>
      <c r="EZ253" s="12"/>
      <c r="FA253" s="12"/>
      <c r="FB253" s="12"/>
      <c r="FC253" s="12"/>
      <c r="FD253" s="12"/>
      <c r="FE253" s="12"/>
      <c r="FF253" s="12"/>
      <c r="FG253" s="12"/>
      <c r="FH253" s="12"/>
      <c r="FI253" s="12"/>
      <c r="FJ253" s="12"/>
      <c r="FK253" s="12"/>
      <c r="FL253" s="12"/>
      <c r="FM253" s="12"/>
      <c r="FN253" s="12"/>
      <c r="FO253" s="12"/>
      <c r="FP253" s="12"/>
      <c r="FQ253" s="12"/>
      <c r="FR253" s="12"/>
      <c r="FS253" s="12"/>
      <c r="FT253" s="12"/>
      <c r="FU253" s="12"/>
      <c r="FV253" s="12"/>
      <c r="FW253" s="12"/>
      <c r="FX253" s="12"/>
      <c r="FY253" s="12"/>
      <c r="FZ253" s="12"/>
      <c r="GA253" s="12"/>
      <c r="GB253" s="12"/>
      <c r="GC253" s="12"/>
      <c r="GD253" s="12"/>
      <c r="GE253" s="12"/>
      <c r="GF253" s="12"/>
      <c r="GG253" s="12"/>
      <c r="GH253" s="12"/>
      <c r="GI253" s="12"/>
      <c r="GJ253" s="12"/>
      <c r="GK253" s="12"/>
      <c r="GL253" s="12"/>
      <c r="GM253" s="12"/>
      <c r="GN253" s="12"/>
      <c r="GO253" s="12"/>
      <c r="GP253" s="12"/>
      <c r="GQ253" s="12"/>
      <c r="GR253" s="12"/>
      <c r="GS253" s="12"/>
      <c r="GT253" s="12"/>
      <c r="GU253" s="12"/>
      <c r="GV253" s="12"/>
      <c r="GW253" s="12"/>
      <c r="GX253" s="12"/>
      <c r="GY253" s="12"/>
      <c r="GZ253" s="12"/>
      <c r="HA253" s="12"/>
      <c r="HB253" s="12"/>
      <c r="HC253" s="12"/>
      <c r="HD253" s="12"/>
      <c r="HE253" s="12"/>
      <c r="HF253" s="12"/>
      <c r="HG253" s="12"/>
      <c r="HH253" s="12"/>
      <c r="HI253" s="12"/>
      <c r="HJ253" s="12"/>
      <c r="HK253" s="12"/>
      <c r="HL253" s="12"/>
      <c r="HM253" s="12"/>
      <c r="HN253" s="12"/>
      <c r="HO253" s="12"/>
      <c r="HP253" s="12"/>
      <c r="HQ253" s="12"/>
      <c r="HR253" s="12"/>
      <c r="HS253" s="12"/>
      <c r="HT253" s="12"/>
      <c r="HU253" s="12"/>
      <c r="HV253" s="12"/>
      <c r="HW253" s="12"/>
      <c r="HX253" s="12"/>
      <c r="HY253" s="12"/>
      <c r="HZ253" s="12"/>
      <c r="IA253" s="12"/>
      <c r="IB253" s="12"/>
      <c r="IC253" s="12"/>
      <c r="ID253" s="12"/>
      <c r="IE253" s="12"/>
      <c r="IF253" s="12"/>
      <c r="IG253" s="12"/>
      <c r="IH253" s="12"/>
      <c r="II253" s="12"/>
      <c r="IJ253" s="12"/>
      <c r="IK253" s="12"/>
      <c r="IL253" s="12"/>
      <c r="IM253" s="12"/>
      <c r="IN253" s="12"/>
      <c r="IO253" s="12"/>
      <c r="IP253" s="12"/>
      <c r="IQ253" s="12"/>
      <c r="IR253" s="12"/>
      <c r="IS253" s="12"/>
      <c r="IT253" s="12"/>
      <c r="IU253" s="12"/>
      <c r="IV253" s="12"/>
      <c r="IW253" s="12"/>
      <c r="IX253" s="12"/>
      <c r="IY253" s="12"/>
      <c r="IZ253" s="12"/>
      <c r="JA253" s="12"/>
      <c r="JB253" s="12"/>
      <c r="JC253" s="12"/>
      <c r="JD253" s="12"/>
      <c r="JE253" s="12"/>
      <c r="JF253" s="12"/>
      <c r="JG253" s="12"/>
      <c r="JH253" s="12"/>
      <c r="JI253" s="12"/>
      <c r="JJ253" s="12"/>
      <c r="JK253" s="12"/>
      <c r="JL253" s="12"/>
      <c r="JM253" s="12"/>
      <c r="JN253" s="12"/>
      <c r="JO253" s="12"/>
      <c r="JP253" s="12"/>
      <c r="JQ253" s="12"/>
      <c r="JR253" s="12"/>
      <c r="JS253" s="12"/>
      <c r="JT253" s="12"/>
      <c r="JU253" s="12"/>
      <c r="JV253" s="12"/>
      <c r="JW253" s="12"/>
      <c r="JX253" s="12"/>
      <c r="JY253" s="12"/>
      <c r="JZ253" s="12"/>
      <c r="KA253" s="12"/>
      <c r="KB253" s="12"/>
      <c r="KC253" s="12"/>
      <c r="KD253" s="12"/>
      <c r="KE253" s="12"/>
      <c r="KF253" s="12"/>
      <c r="KG253" s="12"/>
      <c r="KH253" s="12"/>
      <c r="KI253" s="12"/>
      <c r="KJ253" s="12"/>
      <c r="KK253" s="12"/>
      <c r="KL253" s="12"/>
      <c r="KM253" s="12"/>
      <c r="KN253" s="12"/>
      <c r="KO253" s="12"/>
      <c r="KP253" s="12"/>
      <c r="KQ253" s="12"/>
      <c r="KR253" s="12"/>
      <c r="KS253" s="12"/>
      <c r="KT253" s="12"/>
      <c r="KU253" s="12"/>
      <c r="KV253" s="12"/>
      <c r="KW253" s="12"/>
      <c r="KX253" s="12"/>
      <c r="KY253" s="12"/>
      <c r="KZ253" s="12"/>
      <c r="LA253" s="12"/>
      <c r="LB253" s="12"/>
      <c r="LC253" s="12"/>
      <c r="LD253" s="12"/>
      <c r="LE253" s="12"/>
      <c r="LF253" s="12"/>
      <c r="LG253" s="12"/>
      <c r="LH253" s="12"/>
      <c r="LI253" s="12"/>
      <c r="LJ253" s="12"/>
      <c r="LK253" s="12"/>
      <c r="LL253" s="12"/>
      <c r="LM253" s="12"/>
      <c r="LN253" s="12"/>
      <c r="LO253" s="12"/>
      <c r="LP253" s="12"/>
      <c r="LQ253" s="12"/>
      <c r="LR253" s="12"/>
      <c r="LS253" s="12"/>
      <c r="LT253" s="12"/>
      <c r="LU253" s="12"/>
      <c r="LV253" s="12"/>
      <c r="LW253" s="12"/>
      <c r="LX253" s="12"/>
      <c r="LY253" s="12"/>
      <c r="LZ253" s="12"/>
      <c r="MA253" s="12"/>
      <c r="MB253" s="12"/>
      <c r="MC253" s="12"/>
      <c r="MD253" s="12"/>
      <c r="ME253" s="12"/>
      <c r="MF253" s="12"/>
      <c r="MG253" s="12"/>
      <c r="MH253" s="12"/>
      <c r="MI253" s="12"/>
      <c r="MJ253" s="12"/>
      <c r="MK253" s="12"/>
      <c r="ML253" s="12"/>
      <c r="MM253" s="12"/>
      <c r="MN253" s="12"/>
      <c r="MO253" s="12"/>
      <c r="MP253" s="12"/>
      <c r="MQ253" s="12"/>
      <c r="MR253" s="12"/>
      <c r="MS253" s="12"/>
      <c r="MT253" s="12"/>
      <c r="MU253" s="12"/>
      <c r="MV253" s="12"/>
      <c r="MW253" s="12"/>
      <c r="MX253" s="12"/>
      <c r="MY253" s="12"/>
      <c r="MZ253" s="12"/>
      <c r="NA253" s="12"/>
      <c r="NB253" s="12"/>
      <c r="NC253" s="12"/>
      <c r="ND253" s="12"/>
      <c r="NE253" s="12"/>
      <c r="NF253" s="12"/>
      <c r="NG253" s="12"/>
      <c r="NH253" s="12"/>
      <c r="NI253" s="12"/>
      <c r="NJ253" s="12"/>
      <c r="NK253" s="12"/>
      <c r="NL253" s="12"/>
      <c r="NM253" s="12"/>
      <c r="NN253" s="12"/>
      <c r="NO253" s="12"/>
      <c r="NP253" s="12"/>
      <c r="NQ253" s="12"/>
      <c r="NR253" s="12"/>
      <c r="NS253" s="12"/>
      <c r="NT253" s="12"/>
      <c r="NU253" s="12"/>
      <c r="NV253" s="12"/>
      <c r="NW253" s="12"/>
      <c r="NX253" s="12"/>
      <c r="NY253" s="12"/>
      <c r="NZ253" s="12"/>
      <c r="OA253" s="12"/>
      <c r="OB253" s="12"/>
      <c r="OC253" s="12"/>
      <c r="OD253" s="12"/>
      <c r="OE253" s="12"/>
      <c r="OF253" s="12"/>
      <c r="OG253" s="12"/>
      <c r="OH253" s="12"/>
      <c r="OI253" s="12"/>
      <c r="OJ253" s="12"/>
      <c r="OK253" s="12"/>
      <c r="OL253" s="12"/>
      <c r="OM253" s="12"/>
      <c r="ON253" s="12"/>
      <c r="OO253" s="12"/>
      <c r="OP253" s="12"/>
      <c r="OQ253" s="12"/>
      <c r="OR253" s="12"/>
      <c r="OS253" s="12"/>
      <c r="OT253" s="12"/>
      <c r="OU253" s="12"/>
      <c r="OV253" s="12"/>
      <c r="OW253" s="12"/>
      <c r="OX253" s="12"/>
      <c r="OY253" s="12"/>
      <c r="OZ253" s="12"/>
      <c r="PA253" s="12"/>
      <c r="PB253" s="12"/>
      <c r="PC253" s="12"/>
      <c r="PD253" s="12"/>
      <c r="PE253" s="12"/>
      <c r="PF253" s="12"/>
      <c r="PG253" s="12"/>
      <c r="PH253" s="12"/>
      <c r="PI253" s="12"/>
      <c r="PJ253" s="12"/>
      <c r="PK253" s="12"/>
      <c r="PL253" s="12"/>
      <c r="PM253" s="12"/>
      <c r="PN253" s="12"/>
      <c r="PO253" s="12"/>
      <c r="PP253" s="12"/>
      <c r="PQ253" s="12"/>
      <c r="PR253" s="12"/>
      <c r="PS253" s="12"/>
      <c r="PT253" s="12"/>
      <c r="PU253" s="12"/>
      <c r="PV253" s="12"/>
      <c r="PW253" s="12"/>
      <c r="PX253" s="12"/>
      <c r="PY253" s="12"/>
      <c r="PZ253" s="12"/>
      <c r="QA253" s="12"/>
      <c r="QB253" s="12"/>
      <c r="QC253" s="12"/>
      <c r="QD253" s="12"/>
      <c r="QE253" s="12"/>
      <c r="QF253" s="12"/>
      <c r="QG253" s="12"/>
      <c r="QH253" s="12"/>
      <c r="QI253" s="12"/>
      <c r="QJ253" s="12"/>
      <c r="QK253" s="12"/>
      <c r="QL253" s="12"/>
      <c r="QM253" s="12"/>
      <c r="QN253" s="12"/>
      <c r="QO253" s="12"/>
      <c r="QP253" s="12"/>
      <c r="QQ253" s="12"/>
      <c r="QR253" s="12"/>
      <c r="QS253" s="12"/>
      <c r="QT253" s="12"/>
      <c r="QU253" s="12"/>
      <c r="QV253" s="12"/>
      <c r="QW253" s="12"/>
      <c r="QX253" s="12"/>
      <c r="QY253" s="12"/>
      <c r="QZ253" s="12"/>
      <c r="RA253" s="12"/>
      <c r="RB253" s="12"/>
      <c r="RC253" s="12"/>
      <c r="RD253" s="12"/>
      <c r="RE253" s="12"/>
      <c r="RF253" s="12"/>
      <c r="RG253" s="12"/>
      <c r="RH253" s="12"/>
      <c r="RI253" s="12"/>
      <c r="RJ253" s="12"/>
      <c r="RK253" s="12"/>
      <c r="RL253" s="12"/>
      <c r="RM253" s="12"/>
      <c r="RN253" s="12"/>
      <c r="RO253" s="12"/>
      <c r="RP253" s="12"/>
      <c r="RQ253" s="12"/>
      <c r="RR253" s="12"/>
      <c r="RS253" s="12"/>
      <c r="RT253" s="12"/>
      <c r="RU253" s="12"/>
      <c r="RV253" s="12"/>
      <c r="RW253" s="12"/>
      <c r="RX253" s="12"/>
      <c r="RY253" s="12"/>
      <c r="RZ253" s="12"/>
      <c r="SA253" s="12"/>
      <c r="SB253" s="12"/>
      <c r="SC253" s="12"/>
      <c r="SD253" s="12"/>
      <c r="SE253" s="12"/>
      <c r="SF253" s="12"/>
      <c r="SG253" s="12"/>
      <c r="SH253" s="11"/>
      <c r="SI253" s="11"/>
      <c r="SJ253" s="11"/>
      <c r="SK253" s="11"/>
      <c r="SL253" s="11"/>
      <c r="SM253" s="11"/>
      <c r="SN253" s="11"/>
      <c r="SO253" s="11"/>
      <c r="SP253" s="11"/>
      <c r="SQ253" s="11"/>
      <c r="SR253" s="11"/>
      <c r="SS253" s="11"/>
      <c r="ST253" s="11"/>
      <c r="SU253" s="11"/>
      <c r="SV253" s="11"/>
      <c r="SW253" s="11"/>
      <c r="SX253" s="11"/>
      <c r="SY253" s="11"/>
      <c r="SZ253" s="11"/>
      <c r="TA253" s="11"/>
      <c r="TB253" s="11"/>
      <c r="TC253" s="11"/>
      <c r="TD253" s="11"/>
      <c r="TE253" s="11"/>
      <c r="TF253" s="11"/>
      <c r="TG253" s="11"/>
      <c r="TH253" s="11"/>
      <c r="TI253" s="11"/>
      <c r="TJ253" s="11"/>
      <c r="TK253" s="11"/>
      <c r="TL253" s="11"/>
    </row>
    <row r="254" spans="1:532" x14ac:dyDescent="0.2">
      <c r="A254" s="10" t="s">
        <v>253</v>
      </c>
      <c r="B254" s="12">
        <v>14.09</v>
      </c>
      <c r="C254" s="11">
        <v>0</v>
      </c>
      <c r="D254" s="11">
        <v>0.90088550218707442</v>
      </c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12"/>
      <c r="EP254" s="12"/>
      <c r="EQ254" s="12"/>
      <c r="ER254" s="12"/>
      <c r="ES254" s="12"/>
      <c r="ET254" s="12"/>
      <c r="EU254" s="12"/>
      <c r="EV254" s="12"/>
      <c r="EW254" s="12"/>
      <c r="EX254" s="12"/>
      <c r="EY254" s="12"/>
      <c r="EZ254" s="12"/>
      <c r="FA254" s="12"/>
      <c r="FB254" s="12"/>
      <c r="FC254" s="12"/>
      <c r="FD254" s="12"/>
      <c r="FE254" s="12"/>
      <c r="FF254" s="12"/>
      <c r="FG254" s="12"/>
      <c r="FH254" s="12"/>
      <c r="FI254" s="12"/>
      <c r="FJ254" s="12"/>
      <c r="FK254" s="12"/>
      <c r="FL254" s="12"/>
      <c r="FM254" s="12"/>
      <c r="FN254" s="12"/>
      <c r="FO254" s="12"/>
      <c r="FP254" s="12"/>
      <c r="FQ254" s="12"/>
      <c r="FR254" s="12"/>
      <c r="FS254" s="12"/>
      <c r="FT254" s="12"/>
      <c r="FU254" s="12"/>
      <c r="FV254" s="12"/>
      <c r="FW254" s="12"/>
      <c r="FX254" s="12"/>
      <c r="FY254" s="12"/>
      <c r="FZ254" s="12"/>
      <c r="GA254" s="12"/>
      <c r="GB254" s="12"/>
      <c r="GC254" s="12"/>
      <c r="GD254" s="12"/>
      <c r="GE254" s="12"/>
      <c r="GF254" s="12"/>
      <c r="GG254" s="12"/>
      <c r="GH254" s="12"/>
      <c r="GI254" s="12"/>
      <c r="GJ254" s="12"/>
      <c r="GK254" s="12"/>
      <c r="GL254" s="12"/>
      <c r="GM254" s="12"/>
      <c r="GN254" s="12"/>
      <c r="GO254" s="12"/>
      <c r="GP254" s="12"/>
      <c r="GQ254" s="12"/>
      <c r="GR254" s="12"/>
      <c r="GS254" s="12"/>
      <c r="GT254" s="12"/>
      <c r="GU254" s="12"/>
      <c r="GV254" s="12"/>
      <c r="GW254" s="12"/>
      <c r="GX254" s="12"/>
      <c r="GY254" s="12"/>
      <c r="GZ254" s="12"/>
      <c r="HA254" s="12"/>
      <c r="HB254" s="12"/>
      <c r="HC254" s="12"/>
      <c r="HD254" s="12"/>
      <c r="HE254" s="12"/>
      <c r="HF254" s="12"/>
      <c r="HG254" s="12"/>
      <c r="HH254" s="12"/>
      <c r="HI254" s="12"/>
      <c r="HJ254" s="12"/>
      <c r="HK254" s="12"/>
      <c r="HL254" s="12"/>
      <c r="HM254" s="12"/>
      <c r="HN254" s="12"/>
      <c r="HO254" s="12"/>
      <c r="HP254" s="12"/>
      <c r="HQ254" s="12"/>
      <c r="HR254" s="12"/>
      <c r="HS254" s="12"/>
      <c r="HT254" s="12"/>
      <c r="HU254" s="12"/>
      <c r="HV254" s="12"/>
      <c r="HW254" s="12"/>
      <c r="HX254" s="12"/>
      <c r="HY254" s="12"/>
      <c r="HZ254" s="12"/>
      <c r="IA254" s="12"/>
      <c r="IB254" s="12"/>
      <c r="IC254" s="12"/>
      <c r="ID254" s="12"/>
      <c r="IE254" s="12"/>
      <c r="IF254" s="12"/>
      <c r="IG254" s="12"/>
      <c r="IH254" s="12"/>
      <c r="II254" s="12"/>
      <c r="IJ254" s="12"/>
      <c r="IK254" s="12"/>
      <c r="IL254" s="12"/>
      <c r="IM254" s="12"/>
      <c r="IN254" s="12"/>
      <c r="IO254" s="12"/>
      <c r="IP254" s="12"/>
      <c r="IQ254" s="12"/>
      <c r="IR254" s="12"/>
      <c r="IS254" s="12"/>
      <c r="IT254" s="12"/>
      <c r="IU254" s="12"/>
      <c r="IV254" s="12"/>
      <c r="IW254" s="12"/>
      <c r="IX254" s="12"/>
      <c r="IY254" s="12"/>
      <c r="IZ254" s="12"/>
      <c r="JA254" s="12"/>
      <c r="JB254" s="12"/>
      <c r="JC254" s="12"/>
      <c r="JD254" s="12"/>
      <c r="JE254" s="12"/>
      <c r="JF254" s="12"/>
      <c r="JG254" s="12"/>
      <c r="JH254" s="12"/>
      <c r="JI254" s="12"/>
      <c r="JJ254" s="12"/>
      <c r="JK254" s="12"/>
      <c r="JL254" s="12"/>
      <c r="JM254" s="12"/>
      <c r="JN254" s="12"/>
      <c r="JO254" s="12"/>
      <c r="JP254" s="12"/>
      <c r="JQ254" s="12"/>
      <c r="JR254" s="12"/>
      <c r="JS254" s="12"/>
      <c r="JT254" s="12"/>
      <c r="JU254" s="12"/>
      <c r="JV254" s="12"/>
      <c r="JW254" s="12"/>
      <c r="JX254" s="12"/>
      <c r="JY254" s="12"/>
      <c r="JZ254" s="12"/>
      <c r="KA254" s="12"/>
      <c r="KB254" s="12"/>
      <c r="KC254" s="12"/>
      <c r="KD254" s="12"/>
      <c r="KE254" s="12"/>
      <c r="KF254" s="12"/>
      <c r="KG254" s="12"/>
      <c r="KH254" s="12"/>
      <c r="KI254" s="12"/>
      <c r="KJ254" s="12"/>
      <c r="KK254" s="12"/>
      <c r="KL254" s="12"/>
      <c r="KM254" s="12"/>
      <c r="KN254" s="12"/>
      <c r="KO254" s="12"/>
      <c r="KP254" s="12"/>
      <c r="KQ254" s="12"/>
      <c r="KR254" s="12"/>
      <c r="KS254" s="12"/>
      <c r="KT254" s="12"/>
      <c r="KU254" s="12"/>
      <c r="KV254" s="12"/>
      <c r="KW254" s="12"/>
      <c r="KX254" s="12"/>
      <c r="KY254" s="12"/>
      <c r="KZ254" s="12"/>
      <c r="LA254" s="12"/>
      <c r="LB254" s="12"/>
      <c r="LC254" s="12"/>
      <c r="LD254" s="12"/>
      <c r="LE254" s="12"/>
      <c r="LF254" s="12"/>
      <c r="LG254" s="12"/>
      <c r="LH254" s="12"/>
      <c r="LI254" s="12"/>
      <c r="LJ254" s="12"/>
      <c r="LK254" s="12"/>
      <c r="LL254" s="12"/>
      <c r="LM254" s="12"/>
      <c r="LN254" s="12"/>
      <c r="LO254" s="12"/>
      <c r="LP254" s="12"/>
      <c r="LQ254" s="12"/>
      <c r="LR254" s="12"/>
      <c r="LS254" s="12"/>
      <c r="LT254" s="12"/>
      <c r="LU254" s="12"/>
      <c r="LV254" s="12"/>
      <c r="LW254" s="12"/>
      <c r="LX254" s="12"/>
      <c r="LY254" s="12"/>
      <c r="LZ254" s="12"/>
      <c r="MA254" s="12"/>
      <c r="MB254" s="12"/>
      <c r="MC254" s="12"/>
      <c r="MD254" s="12"/>
      <c r="ME254" s="12"/>
      <c r="MF254" s="12"/>
      <c r="MG254" s="12"/>
      <c r="MH254" s="12"/>
      <c r="MI254" s="12"/>
      <c r="MJ254" s="12"/>
      <c r="MK254" s="12"/>
      <c r="ML254" s="12"/>
      <c r="MM254" s="12"/>
      <c r="MN254" s="12"/>
      <c r="MO254" s="12"/>
      <c r="MP254" s="12"/>
      <c r="MQ254" s="12"/>
      <c r="MR254" s="12"/>
      <c r="MS254" s="12"/>
      <c r="MT254" s="12"/>
      <c r="MU254" s="12"/>
      <c r="MV254" s="12"/>
      <c r="MW254" s="12"/>
      <c r="MX254" s="12"/>
      <c r="MY254" s="12"/>
      <c r="MZ254" s="12"/>
      <c r="NA254" s="12"/>
      <c r="NB254" s="12"/>
      <c r="NC254" s="12"/>
      <c r="ND254" s="12"/>
      <c r="NE254" s="12"/>
      <c r="NF254" s="12"/>
      <c r="NG254" s="12"/>
      <c r="NH254" s="12"/>
      <c r="NI254" s="12"/>
      <c r="NJ254" s="12"/>
      <c r="NK254" s="12"/>
      <c r="NL254" s="12"/>
      <c r="NM254" s="12"/>
      <c r="NN254" s="12"/>
      <c r="NO254" s="12"/>
      <c r="NP254" s="12"/>
      <c r="NQ254" s="12"/>
      <c r="NR254" s="12"/>
      <c r="NS254" s="12"/>
      <c r="NT254" s="12"/>
      <c r="NU254" s="12"/>
      <c r="NV254" s="12"/>
      <c r="NW254" s="12"/>
      <c r="NX254" s="12"/>
      <c r="NY254" s="12"/>
      <c r="NZ254" s="12"/>
      <c r="OA254" s="12"/>
      <c r="OB254" s="12"/>
      <c r="OC254" s="12"/>
      <c r="OD254" s="12"/>
      <c r="OE254" s="12"/>
      <c r="OF254" s="12"/>
      <c r="OG254" s="12"/>
      <c r="OH254" s="12"/>
      <c r="OI254" s="12"/>
      <c r="OJ254" s="12"/>
      <c r="OK254" s="12"/>
      <c r="OL254" s="12"/>
      <c r="OM254" s="12"/>
      <c r="ON254" s="12"/>
      <c r="OO254" s="12"/>
      <c r="OP254" s="12"/>
      <c r="OQ254" s="12"/>
      <c r="OR254" s="12"/>
      <c r="OS254" s="12"/>
      <c r="OT254" s="12"/>
      <c r="OU254" s="12"/>
      <c r="OV254" s="12"/>
      <c r="OW254" s="12"/>
      <c r="OX254" s="12"/>
      <c r="OY254" s="12"/>
      <c r="OZ254" s="12"/>
      <c r="PA254" s="12"/>
      <c r="PB254" s="12"/>
      <c r="PC254" s="12"/>
      <c r="PD254" s="12"/>
      <c r="PE254" s="12"/>
      <c r="PF254" s="12"/>
      <c r="PG254" s="12"/>
      <c r="PH254" s="12"/>
      <c r="PI254" s="12"/>
      <c r="PJ254" s="12"/>
      <c r="PK254" s="12"/>
      <c r="PL254" s="12"/>
      <c r="PM254" s="12"/>
      <c r="PN254" s="12"/>
      <c r="PO254" s="12"/>
      <c r="PP254" s="12"/>
      <c r="PQ254" s="12"/>
      <c r="PR254" s="12"/>
      <c r="PS254" s="12"/>
      <c r="PT254" s="12"/>
      <c r="PU254" s="12"/>
      <c r="PV254" s="12"/>
      <c r="PW254" s="12"/>
      <c r="PX254" s="12"/>
      <c r="PY254" s="12"/>
      <c r="PZ254" s="12"/>
      <c r="QA254" s="12"/>
      <c r="QB254" s="12"/>
      <c r="QC254" s="12"/>
      <c r="QD254" s="12"/>
      <c r="QE254" s="12"/>
      <c r="QF254" s="12"/>
      <c r="QG254" s="12"/>
      <c r="QH254" s="12"/>
      <c r="QI254" s="12"/>
      <c r="QJ254" s="12"/>
      <c r="QK254" s="12"/>
      <c r="QL254" s="12"/>
      <c r="QM254" s="12"/>
      <c r="QN254" s="12"/>
      <c r="QO254" s="12"/>
      <c r="QP254" s="12"/>
      <c r="QQ254" s="12"/>
      <c r="QR254" s="12"/>
      <c r="QS254" s="12"/>
      <c r="QT254" s="12"/>
      <c r="QU254" s="12"/>
      <c r="QV254" s="12"/>
      <c r="QW254" s="12"/>
      <c r="QX254" s="12"/>
      <c r="QY254" s="12"/>
      <c r="QZ254" s="12"/>
      <c r="RA254" s="12"/>
      <c r="RB254" s="12"/>
      <c r="RC254" s="12"/>
      <c r="RD254" s="12"/>
      <c r="RE254" s="12"/>
      <c r="RF254" s="12"/>
      <c r="RG254" s="12"/>
      <c r="RH254" s="12"/>
      <c r="RI254" s="12"/>
      <c r="RJ254" s="12"/>
      <c r="RK254" s="12"/>
      <c r="RL254" s="12"/>
      <c r="RM254" s="12"/>
      <c r="RN254" s="12"/>
      <c r="RO254" s="12"/>
      <c r="RP254" s="12"/>
      <c r="RQ254" s="12"/>
      <c r="RR254" s="12"/>
      <c r="RS254" s="12"/>
      <c r="RT254" s="12"/>
      <c r="RU254" s="12"/>
      <c r="RV254" s="12"/>
      <c r="RW254" s="12"/>
      <c r="RX254" s="12"/>
      <c r="RY254" s="12"/>
      <c r="RZ254" s="12"/>
      <c r="SA254" s="12"/>
      <c r="SB254" s="12"/>
      <c r="SC254" s="12"/>
      <c r="SD254" s="12"/>
      <c r="SE254" s="12"/>
      <c r="SF254" s="12"/>
      <c r="SG254" s="12"/>
      <c r="SH254" s="11"/>
      <c r="SI254" s="11"/>
      <c r="SJ254" s="11"/>
      <c r="SK254" s="11"/>
      <c r="SL254" s="11"/>
      <c r="SM254" s="11"/>
      <c r="SN254" s="11"/>
      <c r="SO254" s="11"/>
      <c r="SP254" s="11"/>
      <c r="SQ254" s="11"/>
      <c r="SR254" s="11"/>
      <c r="SS254" s="11"/>
      <c r="ST254" s="11"/>
      <c r="SU254" s="11"/>
      <c r="SV254" s="11"/>
      <c r="SW254" s="11"/>
      <c r="SX254" s="11"/>
      <c r="SY254" s="11"/>
      <c r="SZ254" s="11"/>
      <c r="TA254" s="11"/>
      <c r="TB254" s="11"/>
      <c r="TC254" s="11"/>
      <c r="TD254" s="11"/>
      <c r="TE254" s="11"/>
      <c r="TF254" s="11"/>
      <c r="TG254" s="11"/>
      <c r="TH254" s="11"/>
      <c r="TI254" s="11"/>
      <c r="TJ254" s="11"/>
      <c r="TK254" s="11"/>
      <c r="TL254" s="11"/>
    </row>
    <row r="255" spans="1:532" x14ac:dyDescent="0.2">
      <c r="A255" s="10" t="s">
        <v>254</v>
      </c>
      <c r="B255" s="12">
        <v>14.01</v>
      </c>
      <c r="C255" s="11">
        <v>0</v>
      </c>
      <c r="D255" s="11">
        <v>0.98008422765406988</v>
      </c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  <c r="BW255" s="12"/>
      <c r="BX255" s="12"/>
      <c r="BY255" s="12"/>
      <c r="BZ255" s="12"/>
      <c r="CA255" s="12"/>
      <c r="CB255" s="12"/>
      <c r="CC255" s="12"/>
      <c r="CD255" s="12"/>
      <c r="CE255" s="12"/>
      <c r="CF255" s="12"/>
      <c r="CG255" s="12"/>
      <c r="CH255" s="12"/>
      <c r="CI255" s="12"/>
      <c r="CJ255" s="12"/>
      <c r="CK255" s="12"/>
      <c r="CL255" s="12"/>
      <c r="CM255" s="12"/>
      <c r="CN255" s="12"/>
      <c r="CO255" s="12"/>
      <c r="CP255" s="12"/>
      <c r="CQ255" s="12"/>
      <c r="CR255" s="12"/>
      <c r="CS255" s="12"/>
      <c r="CT255" s="12"/>
      <c r="CU255" s="12"/>
      <c r="CV255" s="12"/>
      <c r="CW255" s="12"/>
      <c r="CX255" s="12"/>
      <c r="CY255" s="12"/>
      <c r="CZ255" s="12"/>
      <c r="DA255" s="12"/>
      <c r="DB255" s="12"/>
      <c r="DC255" s="12"/>
      <c r="DD255" s="12"/>
      <c r="DE255" s="12"/>
      <c r="DF255" s="12"/>
      <c r="DG255" s="12"/>
      <c r="DH255" s="12"/>
      <c r="DI255" s="12"/>
      <c r="DJ255" s="12"/>
      <c r="DK255" s="12"/>
      <c r="DL255" s="12"/>
      <c r="DM255" s="12"/>
      <c r="DN255" s="12"/>
      <c r="DO255" s="12"/>
      <c r="DP255" s="12"/>
      <c r="DQ255" s="12"/>
      <c r="DR255" s="12"/>
      <c r="DS255" s="12"/>
      <c r="DT255" s="12"/>
      <c r="DU255" s="12"/>
      <c r="DV255" s="12"/>
      <c r="DW255" s="12"/>
      <c r="DX255" s="12"/>
      <c r="DY255" s="12"/>
      <c r="DZ255" s="12"/>
      <c r="EA255" s="12"/>
      <c r="EB255" s="12"/>
      <c r="EC255" s="12"/>
      <c r="ED255" s="12"/>
      <c r="EE255" s="12"/>
      <c r="EF255" s="12"/>
      <c r="EG255" s="12"/>
      <c r="EH255" s="12"/>
      <c r="EI255" s="12"/>
      <c r="EJ255" s="12"/>
      <c r="EK255" s="12"/>
      <c r="EL255" s="12"/>
      <c r="EM255" s="12"/>
      <c r="EN255" s="12"/>
      <c r="EO255" s="12"/>
      <c r="EP255" s="12"/>
      <c r="EQ255" s="12"/>
      <c r="ER255" s="12"/>
      <c r="ES255" s="12"/>
      <c r="ET255" s="12"/>
      <c r="EU255" s="12"/>
      <c r="EV255" s="12"/>
      <c r="EW255" s="12"/>
      <c r="EX255" s="12"/>
      <c r="EY255" s="12"/>
      <c r="EZ255" s="12"/>
      <c r="FA255" s="12"/>
      <c r="FB255" s="12"/>
      <c r="FC255" s="12"/>
      <c r="FD255" s="12"/>
      <c r="FE255" s="12"/>
      <c r="FF255" s="12"/>
      <c r="FG255" s="12"/>
      <c r="FH255" s="12"/>
      <c r="FI255" s="12"/>
      <c r="FJ255" s="12"/>
      <c r="FK255" s="12"/>
      <c r="FL255" s="12"/>
      <c r="FM255" s="12"/>
      <c r="FN255" s="12"/>
      <c r="FO255" s="12"/>
      <c r="FP255" s="12"/>
      <c r="FQ255" s="12"/>
      <c r="FR255" s="12"/>
      <c r="FS255" s="12"/>
      <c r="FT255" s="12"/>
      <c r="FU255" s="12"/>
      <c r="FV255" s="12"/>
      <c r="FW255" s="12"/>
      <c r="FX255" s="12"/>
      <c r="FY255" s="12"/>
      <c r="FZ255" s="12"/>
      <c r="GA255" s="12"/>
      <c r="GB255" s="12"/>
      <c r="GC255" s="12"/>
      <c r="GD255" s="12"/>
      <c r="GE255" s="12"/>
      <c r="GF255" s="12"/>
      <c r="GG255" s="12"/>
      <c r="GH255" s="12"/>
      <c r="GI255" s="12"/>
      <c r="GJ255" s="12"/>
      <c r="GK255" s="12"/>
      <c r="GL255" s="12"/>
      <c r="GM255" s="12"/>
      <c r="GN255" s="12"/>
      <c r="GO255" s="12"/>
      <c r="GP255" s="12"/>
      <c r="GQ255" s="12"/>
      <c r="GR255" s="12"/>
      <c r="GS255" s="12"/>
      <c r="GT255" s="12"/>
      <c r="GU255" s="12"/>
      <c r="GV255" s="12"/>
      <c r="GW255" s="12"/>
      <c r="GX255" s="12"/>
      <c r="GY255" s="12"/>
      <c r="GZ255" s="12"/>
      <c r="HA255" s="12"/>
      <c r="HB255" s="12"/>
      <c r="HC255" s="12"/>
      <c r="HD255" s="12"/>
      <c r="HE255" s="12"/>
      <c r="HF255" s="12"/>
      <c r="HG255" s="12"/>
      <c r="HH255" s="12"/>
      <c r="HI255" s="12"/>
      <c r="HJ255" s="12"/>
      <c r="HK255" s="12"/>
      <c r="HL255" s="12"/>
      <c r="HM255" s="12"/>
      <c r="HN255" s="12"/>
      <c r="HO255" s="12"/>
      <c r="HP255" s="12"/>
      <c r="HQ255" s="12"/>
      <c r="HR255" s="12"/>
      <c r="HS255" s="12"/>
      <c r="HT255" s="12"/>
      <c r="HU255" s="12"/>
      <c r="HV255" s="12"/>
      <c r="HW255" s="12"/>
      <c r="HX255" s="12"/>
      <c r="HY255" s="12"/>
      <c r="HZ255" s="12"/>
      <c r="IA255" s="12"/>
      <c r="IB255" s="12"/>
      <c r="IC255" s="12"/>
      <c r="ID255" s="12"/>
      <c r="IE255" s="12"/>
      <c r="IF255" s="12"/>
      <c r="IG255" s="12"/>
      <c r="IH255" s="12"/>
      <c r="II255" s="12"/>
      <c r="IJ255" s="12"/>
      <c r="IK255" s="12"/>
      <c r="IL255" s="12"/>
      <c r="IM255" s="12"/>
      <c r="IN255" s="12"/>
      <c r="IO255" s="12"/>
      <c r="IP255" s="12"/>
      <c r="IQ255" s="12"/>
      <c r="IR255" s="12"/>
      <c r="IS255" s="12"/>
      <c r="IT255" s="12"/>
      <c r="IU255" s="12"/>
      <c r="IV255" s="12"/>
      <c r="IW255" s="12"/>
      <c r="IX255" s="12"/>
      <c r="IY255" s="12"/>
      <c r="IZ255" s="12"/>
      <c r="JA255" s="12"/>
      <c r="JB255" s="12"/>
      <c r="JC255" s="12"/>
      <c r="JD255" s="12"/>
      <c r="JE255" s="12"/>
      <c r="JF255" s="12"/>
      <c r="JG255" s="12"/>
      <c r="JH255" s="12"/>
      <c r="JI255" s="12"/>
      <c r="JJ255" s="12"/>
      <c r="JK255" s="12"/>
      <c r="JL255" s="12"/>
      <c r="JM255" s="12"/>
      <c r="JN255" s="12"/>
      <c r="JO255" s="12"/>
      <c r="JP255" s="12"/>
      <c r="JQ255" s="12"/>
      <c r="JR255" s="12"/>
      <c r="JS255" s="12"/>
      <c r="JT255" s="12"/>
      <c r="JU255" s="12"/>
      <c r="JV255" s="12"/>
      <c r="JW255" s="12"/>
      <c r="JX255" s="12"/>
      <c r="JY255" s="12"/>
      <c r="JZ255" s="12"/>
      <c r="KA255" s="12"/>
      <c r="KB255" s="12"/>
      <c r="KC255" s="12"/>
      <c r="KD255" s="12"/>
      <c r="KE255" s="12"/>
      <c r="KF255" s="12"/>
      <c r="KG255" s="12"/>
      <c r="KH255" s="12"/>
      <c r="KI255" s="12"/>
      <c r="KJ255" s="12"/>
      <c r="KK255" s="12"/>
      <c r="KL255" s="12"/>
      <c r="KM255" s="12"/>
      <c r="KN255" s="12"/>
      <c r="KO255" s="12"/>
      <c r="KP255" s="12"/>
      <c r="KQ255" s="12"/>
      <c r="KR255" s="12"/>
      <c r="KS255" s="12"/>
      <c r="KT255" s="12"/>
      <c r="KU255" s="12"/>
      <c r="KV255" s="12"/>
      <c r="KW255" s="12"/>
      <c r="KX255" s="12"/>
      <c r="KY255" s="12"/>
      <c r="KZ255" s="12"/>
      <c r="LA255" s="12"/>
      <c r="LB255" s="12"/>
      <c r="LC255" s="12"/>
      <c r="LD255" s="12"/>
      <c r="LE255" s="12"/>
      <c r="LF255" s="12"/>
      <c r="LG255" s="12"/>
      <c r="LH255" s="12"/>
      <c r="LI255" s="12"/>
      <c r="LJ255" s="12"/>
      <c r="LK255" s="12"/>
      <c r="LL255" s="12"/>
      <c r="LM255" s="12"/>
      <c r="LN255" s="12"/>
      <c r="LO255" s="12"/>
      <c r="LP255" s="12"/>
      <c r="LQ255" s="12"/>
      <c r="LR255" s="12"/>
      <c r="LS255" s="12"/>
      <c r="LT255" s="12"/>
      <c r="LU255" s="12"/>
      <c r="LV255" s="12"/>
      <c r="LW255" s="12"/>
      <c r="LX255" s="12"/>
      <c r="LY255" s="12"/>
      <c r="LZ255" s="12"/>
      <c r="MA255" s="12"/>
      <c r="MB255" s="12"/>
      <c r="MC255" s="12"/>
      <c r="MD255" s="12"/>
      <c r="ME255" s="12"/>
      <c r="MF255" s="12"/>
      <c r="MG255" s="12"/>
      <c r="MH255" s="12"/>
      <c r="MI255" s="12"/>
      <c r="MJ255" s="12"/>
      <c r="MK255" s="12"/>
      <c r="ML255" s="12"/>
      <c r="MM255" s="12"/>
      <c r="MN255" s="12"/>
      <c r="MO255" s="12"/>
      <c r="MP255" s="12"/>
      <c r="MQ255" s="12"/>
      <c r="MR255" s="12"/>
      <c r="MS255" s="12"/>
      <c r="MT255" s="12"/>
      <c r="MU255" s="12"/>
      <c r="MV255" s="12"/>
      <c r="MW255" s="12"/>
      <c r="MX255" s="12"/>
      <c r="MY255" s="12"/>
      <c r="MZ255" s="12"/>
      <c r="NA255" s="12"/>
      <c r="NB255" s="12"/>
      <c r="NC255" s="12"/>
      <c r="ND255" s="12"/>
      <c r="NE255" s="12"/>
      <c r="NF255" s="12"/>
      <c r="NG255" s="12"/>
      <c r="NH255" s="12"/>
      <c r="NI255" s="12"/>
      <c r="NJ255" s="12"/>
      <c r="NK255" s="12"/>
      <c r="NL255" s="12"/>
      <c r="NM255" s="12"/>
      <c r="NN255" s="12"/>
      <c r="NO255" s="12"/>
      <c r="NP255" s="12"/>
      <c r="NQ255" s="12"/>
      <c r="NR255" s="12"/>
      <c r="NS255" s="12"/>
      <c r="NT255" s="12"/>
      <c r="NU255" s="12"/>
      <c r="NV255" s="12"/>
      <c r="NW255" s="12"/>
      <c r="NX255" s="12"/>
      <c r="NY255" s="12"/>
      <c r="NZ255" s="12"/>
      <c r="OA255" s="12"/>
      <c r="OB255" s="12"/>
      <c r="OC255" s="12"/>
      <c r="OD255" s="12"/>
      <c r="OE255" s="12"/>
      <c r="OF255" s="12"/>
      <c r="OG255" s="12"/>
      <c r="OH255" s="12"/>
      <c r="OI255" s="12"/>
      <c r="OJ255" s="12"/>
      <c r="OK255" s="12"/>
      <c r="OL255" s="12"/>
      <c r="OM255" s="12"/>
      <c r="ON255" s="12"/>
      <c r="OO255" s="12"/>
      <c r="OP255" s="12"/>
      <c r="OQ255" s="12"/>
      <c r="OR255" s="12"/>
      <c r="OS255" s="12"/>
      <c r="OT255" s="12"/>
      <c r="OU255" s="12"/>
      <c r="OV255" s="12"/>
      <c r="OW255" s="12"/>
      <c r="OX255" s="12"/>
      <c r="OY255" s="12"/>
      <c r="OZ255" s="12"/>
      <c r="PA255" s="12"/>
      <c r="PB255" s="12"/>
      <c r="PC255" s="12"/>
      <c r="PD255" s="12"/>
      <c r="PE255" s="12"/>
      <c r="PF255" s="12"/>
      <c r="PG255" s="12"/>
      <c r="PH255" s="12"/>
      <c r="PI255" s="12"/>
      <c r="PJ255" s="12"/>
      <c r="PK255" s="12"/>
      <c r="PL255" s="12"/>
      <c r="PM255" s="12"/>
      <c r="PN255" s="12"/>
      <c r="PO255" s="12"/>
      <c r="PP255" s="12"/>
      <c r="PQ255" s="12"/>
      <c r="PR255" s="12"/>
      <c r="PS255" s="12"/>
      <c r="PT255" s="12"/>
      <c r="PU255" s="12"/>
      <c r="PV255" s="12"/>
      <c r="PW255" s="12"/>
      <c r="PX255" s="12"/>
      <c r="PY255" s="12"/>
      <c r="PZ255" s="12"/>
      <c r="QA255" s="12"/>
      <c r="QB255" s="12"/>
      <c r="QC255" s="12"/>
      <c r="QD255" s="12"/>
      <c r="QE255" s="12"/>
      <c r="QF255" s="12"/>
      <c r="QG255" s="12"/>
      <c r="QH255" s="12"/>
      <c r="QI255" s="12"/>
      <c r="QJ255" s="12"/>
      <c r="QK255" s="12"/>
      <c r="QL255" s="12"/>
      <c r="QM255" s="12"/>
      <c r="QN255" s="12"/>
      <c r="QO255" s="12"/>
      <c r="QP255" s="12"/>
      <c r="QQ255" s="12"/>
      <c r="QR255" s="12"/>
      <c r="QS255" s="12"/>
      <c r="QT255" s="12"/>
      <c r="QU255" s="12"/>
      <c r="QV255" s="12"/>
      <c r="QW255" s="12"/>
      <c r="QX255" s="12"/>
      <c r="QY255" s="12"/>
      <c r="QZ255" s="12"/>
      <c r="RA255" s="12"/>
      <c r="RB255" s="12"/>
      <c r="RC255" s="12"/>
      <c r="RD255" s="12"/>
      <c r="RE255" s="12"/>
      <c r="RF255" s="12"/>
      <c r="RG255" s="12"/>
      <c r="RH255" s="12"/>
      <c r="RI255" s="12"/>
      <c r="RJ255" s="12"/>
      <c r="RK255" s="12"/>
      <c r="RL255" s="12"/>
      <c r="RM255" s="12"/>
      <c r="RN255" s="12"/>
      <c r="RO255" s="12"/>
      <c r="RP255" s="12"/>
      <c r="RQ255" s="12"/>
      <c r="RR255" s="12"/>
      <c r="RS255" s="12"/>
      <c r="RT255" s="12"/>
      <c r="RU255" s="12"/>
      <c r="RV255" s="12"/>
      <c r="RW255" s="12"/>
      <c r="RX255" s="12"/>
      <c r="RY255" s="12"/>
      <c r="RZ255" s="12"/>
      <c r="SA255" s="12"/>
      <c r="SB255" s="12"/>
      <c r="SC255" s="12"/>
      <c r="SD255" s="12"/>
      <c r="SE255" s="12"/>
      <c r="SF255" s="12"/>
      <c r="SG255" s="12"/>
      <c r="SH255" s="11"/>
      <c r="SI255" s="11"/>
      <c r="SJ255" s="11"/>
      <c r="SK255" s="11"/>
      <c r="SL255" s="11"/>
      <c r="SM255" s="11"/>
      <c r="SN255" s="11"/>
      <c r="SO255" s="11"/>
      <c r="SP255" s="11"/>
      <c r="SQ255" s="11"/>
      <c r="SR255" s="11"/>
      <c r="SS255" s="11"/>
      <c r="ST255" s="11"/>
      <c r="SU255" s="11"/>
      <c r="SV255" s="11"/>
      <c r="SW255" s="11"/>
      <c r="SX255" s="11"/>
      <c r="SY255" s="11"/>
      <c r="SZ255" s="11"/>
      <c r="TA255" s="11"/>
      <c r="TB255" s="11"/>
      <c r="TC255" s="11"/>
      <c r="TD255" s="11"/>
      <c r="TE255" s="11"/>
      <c r="TF255" s="11"/>
      <c r="TG255" s="11"/>
      <c r="TH255" s="11"/>
      <c r="TI255" s="11"/>
      <c r="TJ255" s="11"/>
      <c r="TK255" s="11"/>
      <c r="TL255" s="11"/>
    </row>
    <row r="256" spans="1:532" x14ac:dyDescent="0.2">
      <c r="A256" s="10" t="s">
        <v>255</v>
      </c>
      <c r="B256" s="12">
        <v>15.16</v>
      </c>
      <c r="C256" s="11">
        <v>0.1583974509339911</v>
      </c>
      <c r="D256" s="11">
        <v>0</v>
      </c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  <c r="BW256" s="12"/>
      <c r="BX256" s="12"/>
      <c r="BY256" s="12"/>
      <c r="BZ256" s="12"/>
      <c r="CA256" s="12"/>
      <c r="CB256" s="12"/>
      <c r="CC256" s="12"/>
      <c r="CD256" s="12"/>
      <c r="CE256" s="12"/>
      <c r="CF256" s="12"/>
      <c r="CG256" s="12"/>
      <c r="CH256" s="12"/>
      <c r="CI256" s="12"/>
      <c r="CJ256" s="12"/>
      <c r="CK256" s="12"/>
      <c r="CL256" s="12"/>
      <c r="CM256" s="12"/>
      <c r="CN256" s="12"/>
      <c r="CO256" s="12"/>
      <c r="CP256" s="12"/>
      <c r="CQ256" s="12"/>
      <c r="CR256" s="12"/>
      <c r="CS256" s="12"/>
      <c r="CT256" s="12"/>
      <c r="CU256" s="12"/>
      <c r="CV256" s="12"/>
      <c r="CW256" s="12"/>
      <c r="CX256" s="12"/>
      <c r="CY256" s="12"/>
      <c r="CZ256" s="12"/>
      <c r="DA256" s="12"/>
      <c r="DB256" s="12"/>
      <c r="DC256" s="12"/>
      <c r="DD256" s="12"/>
      <c r="DE256" s="12"/>
      <c r="DF256" s="12"/>
      <c r="DG256" s="12"/>
      <c r="DH256" s="12"/>
      <c r="DI256" s="12"/>
      <c r="DJ256" s="12"/>
      <c r="DK256" s="12"/>
      <c r="DL256" s="12"/>
      <c r="DM256" s="12"/>
      <c r="DN256" s="12"/>
      <c r="DO256" s="12"/>
      <c r="DP256" s="12"/>
      <c r="DQ256" s="12"/>
      <c r="DR256" s="12"/>
      <c r="DS256" s="12"/>
      <c r="DT256" s="12"/>
      <c r="DU256" s="12"/>
      <c r="DV256" s="12"/>
      <c r="DW256" s="12"/>
      <c r="DX256" s="12"/>
      <c r="DY256" s="12"/>
      <c r="DZ256" s="12"/>
      <c r="EA256" s="12"/>
      <c r="EB256" s="12"/>
      <c r="EC256" s="12"/>
      <c r="ED256" s="12"/>
      <c r="EE256" s="12"/>
      <c r="EF256" s="12"/>
      <c r="EG256" s="12"/>
      <c r="EH256" s="12"/>
      <c r="EI256" s="12"/>
      <c r="EJ256" s="12"/>
      <c r="EK256" s="12"/>
      <c r="EL256" s="12"/>
      <c r="EM256" s="12"/>
      <c r="EN256" s="12"/>
      <c r="EO256" s="12"/>
      <c r="EP256" s="12"/>
      <c r="EQ256" s="12"/>
      <c r="ER256" s="12"/>
      <c r="ES256" s="12"/>
      <c r="ET256" s="12"/>
      <c r="EU256" s="12"/>
      <c r="EV256" s="12"/>
      <c r="EW256" s="12"/>
      <c r="EX256" s="12"/>
      <c r="EY256" s="12"/>
      <c r="EZ256" s="12"/>
      <c r="FA256" s="12"/>
      <c r="FB256" s="12"/>
      <c r="FC256" s="12"/>
      <c r="FD256" s="12"/>
      <c r="FE256" s="12"/>
      <c r="FF256" s="12"/>
      <c r="FG256" s="12"/>
      <c r="FH256" s="12"/>
      <c r="FI256" s="12"/>
      <c r="FJ256" s="12"/>
      <c r="FK256" s="12"/>
      <c r="FL256" s="12"/>
      <c r="FM256" s="12"/>
      <c r="FN256" s="12"/>
      <c r="FO256" s="12"/>
      <c r="FP256" s="12"/>
      <c r="FQ256" s="12"/>
      <c r="FR256" s="12"/>
      <c r="FS256" s="12"/>
      <c r="FT256" s="12"/>
      <c r="FU256" s="12"/>
      <c r="FV256" s="12"/>
      <c r="FW256" s="12"/>
      <c r="FX256" s="12"/>
      <c r="FY256" s="12"/>
      <c r="FZ256" s="12"/>
      <c r="GA256" s="12"/>
      <c r="GB256" s="12"/>
      <c r="GC256" s="12"/>
      <c r="GD256" s="12"/>
      <c r="GE256" s="12"/>
      <c r="GF256" s="12"/>
      <c r="GG256" s="12"/>
      <c r="GH256" s="12"/>
      <c r="GI256" s="12"/>
      <c r="GJ256" s="12"/>
      <c r="GK256" s="12"/>
      <c r="GL256" s="12"/>
      <c r="GM256" s="12"/>
      <c r="GN256" s="12"/>
      <c r="GO256" s="12"/>
      <c r="GP256" s="12"/>
      <c r="GQ256" s="12"/>
      <c r="GR256" s="12"/>
      <c r="GS256" s="12"/>
      <c r="GT256" s="12"/>
      <c r="GU256" s="12"/>
      <c r="GV256" s="12"/>
      <c r="GW256" s="12"/>
      <c r="GX256" s="12"/>
      <c r="GY256" s="12"/>
      <c r="GZ256" s="12"/>
      <c r="HA256" s="12"/>
      <c r="HB256" s="12"/>
      <c r="HC256" s="12"/>
      <c r="HD256" s="12"/>
      <c r="HE256" s="12"/>
      <c r="HF256" s="12"/>
      <c r="HG256" s="12"/>
      <c r="HH256" s="12"/>
      <c r="HI256" s="12"/>
      <c r="HJ256" s="12"/>
      <c r="HK256" s="12"/>
      <c r="HL256" s="12"/>
      <c r="HM256" s="12"/>
      <c r="HN256" s="12"/>
      <c r="HO256" s="12"/>
      <c r="HP256" s="12"/>
      <c r="HQ256" s="12"/>
      <c r="HR256" s="12"/>
      <c r="HS256" s="12"/>
      <c r="HT256" s="12"/>
      <c r="HU256" s="12"/>
      <c r="HV256" s="12"/>
      <c r="HW256" s="12"/>
      <c r="HX256" s="12"/>
      <c r="HY256" s="12"/>
      <c r="HZ256" s="12"/>
      <c r="IA256" s="12"/>
      <c r="IB256" s="12"/>
      <c r="IC256" s="12"/>
      <c r="ID256" s="12"/>
      <c r="IE256" s="12"/>
      <c r="IF256" s="12"/>
      <c r="IG256" s="12"/>
      <c r="IH256" s="12"/>
      <c r="II256" s="12"/>
      <c r="IJ256" s="12"/>
      <c r="IK256" s="12"/>
      <c r="IL256" s="12"/>
      <c r="IM256" s="12"/>
      <c r="IN256" s="12"/>
      <c r="IO256" s="12"/>
      <c r="IP256" s="12"/>
      <c r="IQ256" s="12"/>
      <c r="IR256" s="12"/>
      <c r="IS256" s="12"/>
      <c r="IT256" s="12"/>
      <c r="IU256" s="12"/>
      <c r="IV256" s="12"/>
      <c r="IW256" s="12"/>
      <c r="IX256" s="12"/>
      <c r="IY256" s="12"/>
      <c r="IZ256" s="12"/>
      <c r="JA256" s="12"/>
      <c r="JB256" s="12"/>
      <c r="JC256" s="12"/>
      <c r="JD256" s="12"/>
      <c r="JE256" s="12"/>
      <c r="JF256" s="12"/>
      <c r="JG256" s="12"/>
      <c r="JH256" s="12"/>
      <c r="JI256" s="12"/>
      <c r="JJ256" s="12"/>
      <c r="JK256" s="12"/>
      <c r="JL256" s="12"/>
      <c r="JM256" s="12"/>
      <c r="JN256" s="12"/>
      <c r="JO256" s="12"/>
      <c r="JP256" s="12"/>
      <c r="JQ256" s="12"/>
      <c r="JR256" s="12"/>
      <c r="JS256" s="12"/>
      <c r="JT256" s="12"/>
      <c r="JU256" s="12"/>
      <c r="JV256" s="12"/>
      <c r="JW256" s="12"/>
      <c r="JX256" s="12"/>
      <c r="JY256" s="12"/>
      <c r="JZ256" s="12"/>
      <c r="KA256" s="12"/>
      <c r="KB256" s="12"/>
      <c r="KC256" s="12"/>
      <c r="KD256" s="12"/>
      <c r="KE256" s="12"/>
      <c r="KF256" s="12"/>
      <c r="KG256" s="12"/>
      <c r="KH256" s="12"/>
      <c r="KI256" s="12"/>
      <c r="KJ256" s="12"/>
      <c r="KK256" s="12"/>
      <c r="KL256" s="12"/>
      <c r="KM256" s="12"/>
      <c r="KN256" s="12"/>
      <c r="KO256" s="12"/>
      <c r="KP256" s="12"/>
      <c r="KQ256" s="12"/>
      <c r="KR256" s="12"/>
      <c r="KS256" s="12"/>
      <c r="KT256" s="12"/>
      <c r="KU256" s="12"/>
      <c r="KV256" s="12"/>
      <c r="KW256" s="12"/>
      <c r="KX256" s="12"/>
      <c r="KY256" s="12"/>
      <c r="KZ256" s="12"/>
      <c r="LA256" s="12"/>
      <c r="LB256" s="12"/>
      <c r="LC256" s="12"/>
      <c r="LD256" s="12"/>
      <c r="LE256" s="12"/>
      <c r="LF256" s="12"/>
      <c r="LG256" s="12"/>
      <c r="LH256" s="12"/>
      <c r="LI256" s="12"/>
      <c r="LJ256" s="12"/>
      <c r="LK256" s="12"/>
      <c r="LL256" s="12"/>
      <c r="LM256" s="12"/>
      <c r="LN256" s="12"/>
      <c r="LO256" s="12"/>
      <c r="LP256" s="12"/>
      <c r="LQ256" s="12"/>
      <c r="LR256" s="12"/>
      <c r="LS256" s="12"/>
      <c r="LT256" s="12"/>
      <c r="LU256" s="12"/>
      <c r="LV256" s="12"/>
      <c r="LW256" s="12"/>
      <c r="LX256" s="12"/>
      <c r="LY256" s="12"/>
      <c r="LZ256" s="12"/>
      <c r="MA256" s="12"/>
      <c r="MB256" s="12"/>
      <c r="MC256" s="12"/>
      <c r="MD256" s="12"/>
      <c r="ME256" s="12"/>
      <c r="MF256" s="12"/>
      <c r="MG256" s="12"/>
      <c r="MH256" s="12"/>
      <c r="MI256" s="12"/>
      <c r="MJ256" s="12"/>
      <c r="MK256" s="12"/>
      <c r="ML256" s="12"/>
      <c r="MM256" s="12"/>
      <c r="MN256" s="12"/>
      <c r="MO256" s="12"/>
      <c r="MP256" s="12"/>
      <c r="MQ256" s="12"/>
      <c r="MR256" s="12"/>
      <c r="MS256" s="12"/>
      <c r="MT256" s="12"/>
      <c r="MU256" s="12"/>
      <c r="MV256" s="12"/>
      <c r="MW256" s="12"/>
      <c r="MX256" s="12"/>
      <c r="MY256" s="12"/>
      <c r="MZ256" s="12"/>
      <c r="NA256" s="12"/>
      <c r="NB256" s="12"/>
      <c r="NC256" s="12"/>
      <c r="ND256" s="12"/>
      <c r="NE256" s="12"/>
      <c r="NF256" s="12"/>
      <c r="NG256" s="12"/>
      <c r="NH256" s="12"/>
      <c r="NI256" s="12"/>
      <c r="NJ256" s="12"/>
      <c r="NK256" s="12"/>
      <c r="NL256" s="12"/>
      <c r="NM256" s="12"/>
      <c r="NN256" s="12"/>
      <c r="NO256" s="12"/>
      <c r="NP256" s="12"/>
      <c r="NQ256" s="12"/>
      <c r="NR256" s="12"/>
      <c r="NS256" s="12"/>
      <c r="NT256" s="12"/>
      <c r="NU256" s="12"/>
      <c r="NV256" s="12"/>
      <c r="NW256" s="12"/>
      <c r="NX256" s="12"/>
      <c r="NY256" s="12"/>
      <c r="NZ256" s="12"/>
      <c r="OA256" s="12"/>
      <c r="OB256" s="12"/>
      <c r="OC256" s="12"/>
      <c r="OD256" s="12"/>
      <c r="OE256" s="12"/>
      <c r="OF256" s="12"/>
      <c r="OG256" s="12"/>
      <c r="OH256" s="12"/>
      <c r="OI256" s="12"/>
      <c r="OJ256" s="12"/>
      <c r="OK256" s="12"/>
      <c r="OL256" s="12"/>
      <c r="OM256" s="12"/>
      <c r="ON256" s="12"/>
      <c r="OO256" s="12"/>
      <c r="OP256" s="12"/>
      <c r="OQ256" s="12"/>
      <c r="OR256" s="12"/>
      <c r="OS256" s="12"/>
      <c r="OT256" s="12"/>
      <c r="OU256" s="12"/>
      <c r="OV256" s="12"/>
      <c r="OW256" s="12"/>
      <c r="OX256" s="12"/>
      <c r="OY256" s="12"/>
      <c r="OZ256" s="12"/>
      <c r="PA256" s="12"/>
      <c r="PB256" s="12"/>
      <c r="PC256" s="12"/>
      <c r="PD256" s="12"/>
      <c r="PE256" s="12"/>
      <c r="PF256" s="12"/>
      <c r="PG256" s="12"/>
      <c r="PH256" s="12"/>
      <c r="PI256" s="12"/>
      <c r="PJ256" s="12"/>
      <c r="PK256" s="12"/>
      <c r="PL256" s="12"/>
      <c r="PM256" s="12"/>
      <c r="PN256" s="12"/>
      <c r="PO256" s="12"/>
      <c r="PP256" s="12"/>
      <c r="PQ256" s="12"/>
      <c r="PR256" s="12"/>
      <c r="PS256" s="12"/>
      <c r="PT256" s="12"/>
      <c r="PU256" s="12"/>
      <c r="PV256" s="12"/>
      <c r="PW256" s="12"/>
      <c r="PX256" s="12"/>
      <c r="PY256" s="12"/>
      <c r="PZ256" s="12"/>
      <c r="QA256" s="12"/>
      <c r="QB256" s="12"/>
      <c r="QC256" s="12"/>
      <c r="QD256" s="12"/>
      <c r="QE256" s="12"/>
      <c r="QF256" s="12"/>
      <c r="QG256" s="12"/>
      <c r="QH256" s="12"/>
      <c r="QI256" s="12"/>
      <c r="QJ256" s="12"/>
      <c r="QK256" s="12"/>
      <c r="QL256" s="12"/>
      <c r="QM256" s="12"/>
      <c r="QN256" s="12"/>
      <c r="QO256" s="12"/>
      <c r="QP256" s="12"/>
      <c r="QQ256" s="12"/>
      <c r="QR256" s="12"/>
      <c r="QS256" s="12"/>
      <c r="QT256" s="12"/>
      <c r="QU256" s="12"/>
      <c r="QV256" s="12"/>
      <c r="QW256" s="12"/>
      <c r="QX256" s="12"/>
      <c r="QY256" s="12"/>
      <c r="QZ256" s="12"/>
      <c r="RA256" s="12"/>
      <c r="RB256" s="12"/>
      <c r="RC256" s="12"/>
      <c r="RD256" s="12"/>
      <c r="RE256" s="12"/>
      <c r="RF256" s="12"/>
      <c r="RG256" s="12"/>
      <c r="RH256" s="12"/>
      <c r="RI256" s="12"/>
      <c r="RJ256" s="12"/>
      <c r="RK256" s="12"/>
      <c r="RL256" s="12"/>
      <c r="RM256" s="12"/>
      <c r="RN256" s="12"/>
      <c r="RO256" s="12"/>
      <c r="RP256" s="12"/>
      <c r="RQ256" s="12"/>
      <c r="RR256" s="12"/>
      <c r="RS256" s="12"/>
      <c r="RT256" s="12"/>
      <c r="RU256" s="12"/>
      <c r="RV256" s="12"/>
      <c r="RW256" s="12"/>
      <c r="RX256" s="12"/>
      <c r="RY256" s="12"/>
      <c r="RZ256" s="12"/>
      <c r="SA256" s="12"/>
      <c r="SB256" s="12"/>
      <c r="SC256" s="12"/>
      <c r="SD256" s="12"/>
      <c r="SE256" s="12"/>
      <c r="SF256" s="12"/>
      <c r="SG256" s="12"/>
      <c r="SH256" s="11"/>
      <c r="SI256" s="11"/>
      <c r="SJ256" s="11"/>
      <c r="SK256" s="11"/>
      <c r="SL256" s="11"/>
      <c r="SM256" s="11"/>
      <c r="SN256" s="11"/>
      <c r="SO256" s="11"/>
      <c r="SP256" s="11"/>
      <c r="SQ256" s="11"/>
      <c r="SR256" s="11"/>
      <c r="SS256" s="11"/>
      <c r="ST256" s="11"/>
      <c r="SU256" s="11"/>
      <c r="SV256" s="11"/>
      <c r="SW256" s="11"/>
      <c r="SX256" s="11"/>
      <c r="SY256" s="11"/>
      <c r="SZ256" s="11"/>
      <c r="TA256" s="11"/>
      <c r="TB256" s="11"/>
      <c r="TC256" s="11"/>
      <c r="TD256" s="11"/>
      <c r="TE256" s="11"/>
      <c r="TF256" s="11"/>
      <c r="TG256" s="11"/>
      <c r="TH256" s="11"/>
      <c r="TI256" s="11"/>
      <c r="TJ256" s="11"/>
      <c r="TK256" s="11"/>
      <c r="TL256" s="11"/>
    </row>
    <row r="257" spans="1:532" x14ac:dyDescent="0.2">
      <c r="A257" s="10" t="s">
        <v>256</v>
      </c>
      <c r="B257" s="12">
        <v>13.1</v>
      </c>
      <c r="C257" s="11">
        <v>0</v>
      </c>
      <c r="D257" s="11">
        <v>1.8809697298411441</v>
      </c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12"/>
      <c r="CA257" s="12"/>
      <c r="CB257" s="12"/>
      <c r="CC257" s="12"/>
      <c r="CD257" s="12"/>
      <c r="CE257" s="12"/>
      <c r="CF257" s="12"/>
      <c r="CG257" s="12"/>
      <c r="CH257" s="12"/>
      <c r="CI257" s="12"/>
      <c r="CJ257" s="12"/>
      <c r="CK257" s="12"/>
      <c r="CL257" s="12"/>
      <c r="CM257" s="12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12"/>
      <c r="CY257" s="12"/>
      <c r="CZ257" s="12"/>
      <c r="DA257" s="12"/>
      <c r="DB257" s="12"/>
      <c r="DC257" s="12"/>
      <c r="DD257" s="12"/>
      <c r="DE257" s="12"/>
      <c r="DF257" s="12"/>
      <c r="DG257" s="12"/>
      <c r="DH257" s="12"/>
      <c r="DI257" s="12"/>
      <c r="DJ257" s="12"/>
      <c r="DK257" s="12"/>
      <c r="DL257" s="12"/>
      <c r="DM257" s="12"/>
      <c r="DN257" s="12"/>
      <c r="DO257" s="12"/>
      <c r="DP257" s="12"/>
      <c r="DQ257" s="12"/>
      <c r="DR257" s="12"/>
      <c r="DS257" s="12"/>
      <c r="DT257" s="12"/>
      <c r="DU257" s="12"/>
      <c r="DV257" s="12"/>
      <c r="DW257" s="12"/>
      <c r="DX257" s="12"/>
      <c r="DY257" s="12"/>
      <c r="DZ257" s="12"/>
      <c r="EA257" s="12"/>
      <c r="EB257" s="12"/>
      <c r="EC257" s="12"/>
      <c r="ED257" s="12"/>
      <c r="EE257" s="12"/>
      <c r="EF257" s="12"/>
      <c r="EG257" s="12"/>
      <c r="EH257" s="12"/>
      <c r="EI257" s="12"/>
      <c r="EJ257" s="12"/>
      <c r="EK257" s="12"/>
      <c r="EL257" s="12"/>
      <c r="EM257" s="12"/>
      <c r="EN257" s="12"/>
      <c r="EO257" s="12"/>
      <c r="EP257" s="12"/>
      <c r="EQ257" s="12"/>
      <c r="ER257" s="12"/>
      <c r="ES257" s="12"/>
      <c r="ET257" s="12"/>
      <c r="EU257" s="12"/>
      <c r="EV257" s="12"/>
      <c r="EW257" s="12"/>
      <c r="EX257" s="12"/>
      <c r="EY257" s="12"/>
      <c r="EZ257" s="12"/>
      <c r="FA257" s="12"/>
      <c r="FB257" s="12"/>
      <c r="FC257" s="12"/>
      <c r="FD257" s="12"/>
      <c r="FE257" s="12"/>
      <c r="FF257" s="12"/>
      <c r="FG257" s="12"/>
      <c r="FH257" s="12"/>
      <c r="FI257" s="12"/>
      <c r="FJ257" s="12"/>
      <c r="FK257" s="12"/>
      <c r="FL257" s="12"/>
      <c r="FM257" s="12"/>
      <c r="FN257" s="12"/>
      <c r="FO257" s="12"/>
      <c r="FP257" s="12"/>
      <c r="FQ257" s="12"/>
      <c r="FR257" s="12"/>
      <c r="FS257" s="12"/>
      <c r="FT257" s="12"/>
      <c r="FU257" s="12"/>
      <c r="FV257" s="12"/>
      <c r="FW257" s="12"/>
      <c r="FX257" s="12"/>
      <c r="FY257" s="12"/>
      <c r="FZ257" s="12"/>
      <c r="GA257" s="12"/>
      <c r="GB257" s="12"/>
      <c r="GC257" s="12"/>
      <c r="GD257" s="12"/>
      <c r="GE257" s="12"/>
      <c r="GF257" s="12"/>
      <c r="GG257" s="12"/>
      <c r="GH257" s="12"/>
      <c r="GI257" s="12"/>
      <c r="GJ257" s="12"/>
      <c r="GK257" s="12"/>
      <c r="GL257" s="12"/>
      <c r="GM257" s="12"/>
      <c r="GN257" s="12"/>
      <c r="GO257" s="12"/>
      <c r="GP257" s="12"/>
      <c r="GQ257" s="12"/>
      <c r="GR257" s="12"/>
      <c r="GS257" s="12"/>
      <c r="GT257" s="12"/>
      <c r="GU257" s="12"/>
      <c r="GV257" s="12"/>
      <c r="GW257" s="12"/>
      <c r="GX257" s="12"/>
      <c r="GY257" s="12"/>
      <c r="GZ257" s="12"/>
      <c r="HA257" s="12"/>
      <c r="HB257" s="12"/>
      <c r="HC257" s="12"/>
      <c r="HD257" s="12"/>
      <c r="HE257" s="12"/>
      <c r="HF257" s="12"/>
      <c r="HG257" s="12"/>
      <c r="HH257" s="12"/>
      <c r="HI257" s="12"/>
      <c r="HJ257" s="12"/>
      <c r="HK257" s="12"/>
      <c r="HL257" s="12"/>
      <c r="HM257" s="12"/>
      <c r="HN257" s="12"/>
      <c r="HO257" s="12"/>
      <c r="HP257" s="12"/>
      <c r="HQ257" s="12"/>
      <c r="HR257" s="12"/>
      <c r="HS257" s="12"/>
      <c r="HT257" s="12"/>
      <c r="HU257" s="12"/>
      <c r="HV257" s="12"/>
      <c r="HW257" s="12"/>
      <c r="HX257" s="12"/>
      <c r="HY257" s="12"/>
      <c r="HZ257" s="12"/>
      <c r="IA257" s="12"/>
      <c r="IB257" s="12"/>
      <c r="IC257" s="12"/>
      <c r="ID257" s="12"/>
      <c r="IE257" s="12"/>
      <c r="IF257" s="12"/>
      <c r="IG257" s="12"/>
      <c r="IH257" s="12"/>
      <c r="II257" s="12"/>
      <c r="IJ257" s="12"/>
      <c r="IK257" s="12"/>
      <c r="IL257" s="12"/>
      <c r="IM257" s="12"/>
      <c r="IN257" s="12"/>
      <c r="IO257" s="12"/>
      <c r="IP257" s="12"/>
      <c r="IQ257" s="12"/>
      <c r="IR257" s="12"/>
      <c r="IS257" s="12"/>
      <c r="IT257" s="12"/>
      <c r="IU257" s="12"/>
      <c r="IV257" s="12"/>
      <c r="IW257" s="12"/>
      <c r="IX257" s="12"/>
      <c r="IY257" s="12"/>
      <c r="IZ257" s="12"/>
      <c r="JA257" s="12"/>
      <c r="JB257" s="12"/>
      <c r="JC257" s="12"/>
      <c r="JD257" s="12"/>
      <c r="JE257" s="12"/>
      <c r="JF257" s="12"/>
      <c r="JG257" s="12"/>
      <c r="JH257" s="12"/>
      <c r="JI257" s="12"/>
      <c r="JJ257" s="12"/>
      <c r="JK257" s="12"/>
      <c r="JL257" s="12"/>
      <c r="JM257" s="12"/>
      <c r="JN257" s="12"/>
      <c r="JO257" s="12"/>
      <c r="JP257" s="12"/>
      <c r="JQ257" s="12"/>
      <c r="JR257" s="12"/>
      <c r="JS257" s="12"/>
      <c r="JT257" s="12"/>
      <c r="JU257" s="12"/>
      <c r="JV257" s="12"/>
      <c r="JW257" s="12"/>
      <c r="JX257" s="12"/>
      <c r="JY257" s="12"/>
      <c r="JZ257" s="12"/>
      <c r="KA257" s="12"/>
      <c r="KB257" s="12"/>
      <c r="KC257" s="12"/>
      <c r="KD257" s="12"/>
      <c r="KE257" s="12"/>
      <c r="KF257" s="12"/>
      <c r="KG257" s="12"/>
      <c r="KH257" s="12"/>
      <c r="KI257" s="12"/>
      <c r="KJ257" s="12"/>
      <c r="KK257" s="12"/>
      <c r="KL257" s="12"/>
      <c r="KM257" s="12"/>
      <c r="KN257" s="12"/>
      <c r="KO257" s="12"/>
      <c r="KP257" s="12"/>
      <c r="KQ257" s="12"/>
      <c r="KR257" s="12"/>
      <c r="KS257" s="12"/>
      <c r="KT257" s="12"/>
      <c r="KU257" s="12"/>
      <c r="KV257" s="12"/>
      <c r="KW257" s="12"/>
      <c r="KX257" s="12"/>
      <c r="KY257" s="12"/>
      <c r="KZ257" s="12"/>
      <c r="LA257" s="12"/>
      <c r="LB257" s="12"/>
      <c r="LC257" s="12"/>
      <c r="LD257" s="12"/>
      <c r="LE257" s="12"/>
      <c r="LF257" s="12"/>
      <c r="LG257" s="12"/>
      <c r="LH257" s="12"/>
      <c r="LI257" s="12"/>
      <c r="LJ257" s="12"/>
      <c r="LK257" s="12"/>
      <c r="LL257" s="12"/>
      <c r="LM257" s="12"/>
      <c r="LN257" s="12"/>
      <c r="LO257" s="12"/>
      <c r="LP257" s="12"/>
      <c r="LQ257" s="12"/>
      <c r="LR257" s="12"/>
      <c r="LS257" s="12"/>
      <c r="LT257" s="12"/>
      <c r="LU257" s="12"/>
      <c r="LV257" s="12"/>
      <c r="LW257" s="12"/>
      <c r="LX257" s="12"/>
      <c r="LY257" s="12"/>
      <c r="LZ257" s="12"/>
      <c r="MA257" s="12"/>
      <c r="MB257" s="12"/>
      <c r="MC257" s="12"/>
      <c r="MD257" s="12"/>
      <c r="ME257" s="12"/>
      <c r="MF257" s="12"/>
      <c r="MG257" s="12"/>
      <c r="MH257" s="12"/>
      <c r="MI257" s="12"/>
      <c r="MJ257" s="12"/>
      <c r="MK257" s="12"/>
      <c r="ML257" s="12"/>
      <c r="MM257" s="12"/>
      <c r="MN257" s="12"/>
      <c r="MO257" s="12"/>
      <c r="MP257" s="12"/>
      <c r="MQ257" s="12"/>
      <c r="MR257" s="12"/>
      <c r="MS257" s="12"/>
      <c r="MT257" s="12"/>
      <c r="MU257" s="12"/>
      <c r="MV257" s="12"/>
      <c r="MW257" s="12"/>
      <c r="MX257" s="12"/>
      <c r="MY257" s="12"/>
      <c r="MZ257" s="12"/>
      <c r="NA257" s="12"/>
      <c r="NB257" s="12"/>
      <c r="NC257" s="12"/>
      <c r="ND257" s="12"/>
      <c r="NE257" s="12"/>
      <c r="NF257" s="12"/>
      <c r="NG257" s="12"/>
      <c r="NH257" s="12"/>
      <c r="NI257" s="12"/>
      <c r="NJ257" s="12"/>
      <c r="NK257" s="12"/>
      <c r="NL257" s="12"/>
      <c r="NM257" s="12"/>
      <c r="NN257" s="12"/>
      <c r="NO257" s="12"/>
      <c r="NP257" s="12"/>
      <c r="NQ257" s="12"/>
      <c r="NR257" s="12"/>
      <c r="NS257" s="12"/>
      <c r="NT257" s="12"/>
      <c r="NU257" s="12"/>
      <c r="NV257" s="12"/>
      <c r="NW257" s="12"/>
      <c r="NX257" s="12"/>
      <c r="NY257" s="12"/>
      <c r="NZ257" s="12"/>
      <c r="OA257" s="12"/>
      <c r="OB257" s="12"/>
      <c r="OC257" s="12"/>
      <c r="OD257" s="12"/>
      <c r="OE257" s="12"/>
      <c r="OF257" s="12"/>
      <c r="OG257" s="12"/>
      <c r="OH257" s="12"/>
      <c r="OI257" s="12"/>
      <c r="OJ257" s="12"/>
      <c r="OK257" s="12"/>
      <c r="OL257" s="12"/>
      <c r="OM257" s="12"/>
      <c r="ON257" s="12"/>
      <c r="OO257" s="12"/>
      <c r="OP257" s="12"/>
      <c r="OQ257" s="12"/>
      <c r="OR257" s="12"/>
      <c r="OS257" s="12"/>
      <c r="OT257" s="12"/>
      <c r="OU257" s="12"/>
      <c r="OV257" s="12"/>
      <c r="OW257" s="12"/>
      <c r="OX257" s="12"/>
      <c r="OY257" s="12"/>
      <c r="OZ257" s="12"/>
      <c r="PA257" s="12"/>
      <c r="PB257" s="12"/>
      <c r="PC257" s="12"/>
      <c r="PD257" s="12"/>
      <c r="PE257" s="12"/>
      <c r="PF257" s="12"/>
      <c r="PG257" s="12"/>
      <c r="PH257" s="12"/>
      <c r="PI257" s="12"/>
      <c r="PJ257" s="12"/>
      <c r="PK257" s="12"/>
      <c r="PL257" s="12"/>
      <c r="PM257" s="12"/>
      <c r="PN257" s="12"/>
      <c r="PO257" s="12"/>
      <c r="PP257" s="12"/>
      <c r="PQ257" s="12"/>
      <c r="PR257" s="12"/>
      <c r="PS257" s="12"/>
      <c r="PT257" s="12"/>
      <c r="PU257" s="12"/>
      <c r="PV257" s="12"/>
      <c r="PW257" s="12"/>
      <c r="PX257" s="12"/>
      <c r="PY257" s="12"/>
      <c r="PZ257" s="12"/>
      <c r="QA257" s="12"/>
      <c r="QB257" s="12"/>
      <c r="QC257" s="12"/>
      <c r="QD257" s="12"/>
      <c r="QE257" s="12"/>
      <c r="QF257" s="12"/>
      <c r="QG257" s="12"/>
      <c r="QH257" s="12"/>
      <c r="QI257" s="12"/>
      <c r="QJ257" s="12"/>
      <c r="QK257" s="12"/>
      <c r="QL257" s="12"/>
      <c r="QM257" s="12"/>
      <c r="QN257" s="12"/>
      <c r="QO257" s="12"/>
      <c r="QP257" s="12"/>
      <c r="QQ257" s="12"/>
      <c r="QR257" s="12"/>
      <c r="QS257" s="12"/>
      <c r="QT257" s="12"/>
      <c r="QU257" s="12"/>
      <c r="QV257" s="12"/>
      <c r="QW257" s="12"/>
      <c r="QX257" s="12"/>
      <c r="QY257" s="12"/>
      <c r="QZ257" s="12"/>
      <c r="RA257" s="12"/>
      <c r="RB257" s="12"/>
      <c r="RC257" s="12"/>
      <c r="RD257" s="12"/>
      <c r="RE257" s="12"/>
      <c r="RF257" s="12"/>
      <c r="RG257" s="12"/>
      <c r="RH257" s="12"/>
      <c r="RI257" s="12"/>
      <c r="RJ257" s="12"/>
      <c r="RK257" s="12"/>
      <c r="RL257" s="12"/>
      <c r="RM257" s="12"/>
      <c r="RN257" s="12"/>
      <c r="RO257" s="12"/>
      <c r="RP257" s="12"/>
      <c r="RQ257" s="12"/>
      <c r="RR257" s="12"/>
      <c r="RS257" s="12"/>
      <c r="RT257" s="12"/>
      <c r="RU257" s="12"/>
      <c r="RV257" s="12"/>
      <c r="RW257" s="12"/>
      <c r="RX257" s="12"/>
      <c r="RY257" s="12"/>
      <c r="RZ257" s="12"/>
      <c r="SA257" s="12"/>
      <c r="SB257" s="12"/>
      <c r="SC257" s="12"/>
      <c r="SD257" s="12"/>
      <c r="SE257" s="12"/>
      <c r="SF257" s="12"/>
      <c r="SG257" s="12"/>
      <c r="SH257" s="11"/>
      <c r="SI257" s="11"/>
      <c r="SJ257" s="11"/>
      <c r="SK257" s="11"/>
      <c r="SL257" s="11"/>
      <c r="SM257" s="11"/>
      <c r="SN257" s="11"/>
      <c r="SO257" s="11"/>
      <c r="SP257" s="11"/>
      <c r="SQ257" s="11"/>
      <c r="SR257" s="11"/>
      <c r="SS257" s="11"/>
      <c r="ST257" s="11"/>
      <c r="SU257" s="11"/>
      <c r="SV257" s="11"/>
      <c r="SW257" s="11"/>
      <c r="SX257" s="11"/>
      <c r="SY257" s="11"/>
      <c r="SZ257" s="11"/>
      <c r="TA257" s="11"/>
      <c r="TB257" s="11"/>
      <c r="TC257" s="11"/>
      <c r="TD257" s="11"/>
      <c r="TE257" s="11"/>
      <c r="TF257" s="11"/>
      <c r="TG257" s="11"/>
      <c r="TH257" s="11"/>
      <c r="TI257" s="11"/>
      <c r="TJ257" s="11"/>
      <c r="TK257" s="11"/>
      <c r="TL257" s="11"/>
    </row>
    <row r="258" spans="1:532" x14ac:dyDescent="0.2">
      <c r="A258" s="10" t="s">
        <v>257</v>
      </c>
      <c r="B258" s="12">
        <v>15.51</v>
      </c>
      <c r="C258" s="11">
        <v>0.50489187485209663</v>
      </c>
      <c r="D258" s="11">
        <v>0</v>
      </c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12"/>
      <c r="CA258" s="12"/>
      <c r="CB258" s="12"/>
      <c r="CC258" s="12"/>
      <c r="CD258" s="12"/>
      <c r="CE258" s="12"/>
      <c r="CF258" s="12"/>
      <c r="CG258" s="12"/>
      <c r="CH258" s="12"/>
      <c r="CI258" s="12"/>
      <c r="CJ258" s="12"/>
      <c r="CK258" s="12"/>
      <c r="CL258" s="12"/>
      <c r="CM258" s="12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12"/>
      <c r="CY258" s="12"/>
      <c r="CZ258" s="12"/>
      <c r="DA258" s="12"/>
      <c r="DB258" s="12"/>
      <c r="DC258" s="12"/>
      <c r="DD258" s="12"/>
      <c r="DE258" s="12"/>
      <c r="DF258" s="12"/>
      <c r="DG258" s="12"/>
      <c r="DH258" s="12"/>
      <c r="DI258" s="12"/>
      <c r="DJ258" s="12"/>
      <c r="DK258" s="12"/>
      <c r="DL258" s="12"/>
      <c r="DM258" s="12"/>
      <c r="DN258" s="12"/>
      <c r="DO258" s="12"/>
      <c r="DP258" s="12"/>
      <c r="DQ258" s="12"/>
      <c r="DR258" s="12"/>
      <c r="DS258" s="12"/>
      <c r="DT258" s="12"/>
      <c r="DU258" s="12"/>
      <c r="DV258" s="12"/>
      <c r="DW258" s="12"/>
      <c r="DX258" s="12"/>
      <c r="DY258" s="12"/>
      <c r="DZ258" s="12"/>
      <c r="EA258" s="12"/>
      <c r="EB258" s="12"/>
      <c r="EC258" s="12"/>
      <c r="ED258" s="12"/>
      <c r="EE258" s="12"/>
      <c r="EF258" s="12"/>
      <c r="EG258" s="12"/>
      <c r="EH258" s="12"/>
      <c r="EI258" s="12"/>
      <c r="EJ258" s="12"/>
      <c r="EK258" s="12"/>
      <c r="EL258" s="12"/>
      <c r="EM258" s="12"/>
      <c r="EN258" s="12"/>
      <c r="EO258" s="12"/>
      <c r="EP258" s="12"/>
      <c r="EQ258" s="12"/>
      <c r="ER258" s="12"/>
      <c r="ES258" s="12"/>
      <c r="ET258" s="12"/>
      <c r="EU258" s="12"/>
      <c r="EV258" s="12"/>
      <c r="EW258" s="12"/>
      <c r="EX258" s="12"/>
      <c r="EY258" s="12"/>
      <c r="EZ258" s="12"/>
      <c r="FA258" s="12"/>
      <c r="FB258" s="12"/>
      <c r="FC258" s="12"/>
      <c r="FD258" s="12"/>
      <c r="FE258" s="12"/>
      <c r="FF258" s="12"/>
      <c r="FG258" s="12"/>
      <c r="FH258" s="12"/>
      <c r="FI258" s="12"/>
      <c r="FJ258" s="12"/>
      <c r="FK258" s="12"/>
      <c r="FL258" s="12"/>
      <c r="FM258" s="12"/>
      <c r="FN258" s="12"/>
      <c r="FO258" s="12"/>
      <c r="FP258" s="12"/>
      <c r="FQ258" s="12"/>
      <c r="FR258" s="12"/>
      <c r="FS258" s="12"/>
      <c r="FT258" s="12"/>
      <c r="FU258" s="12"/>
      <c r="FV258" s="12"/>
      <c r="FW258" s="12"/>
      <c r="FX258" s="12"/>
      <c r="FY258" s="12"/>
      <c r="FZ258" s="12"/>
      <c r="GA258" s="12"/>
      <c r="GB258" s="12"/>
      <c r="GC258" s="12"/>
      <c r="GD258" s="12"/>
      <c r="GE258" s="12"/>
      <c r="GF258" s="12"/>
      <c r="GG258" s="12"/>
      <c r="GH258" s="12"/>
      <c r="GI258" s="12"/>
      <c r="GJ258" s="12"/>
      <c r="GK258" s="12"/>
      <c r="GL258" s="12"/>
      <c r="GM258" s="12"/>
      <c r="GN258" s="12"/>
      <c r="GO258" s="12"/>
      <c r="GP258" s="12"/>
      <c r="GQ258" s="12"/>
      <c r="GR258" s="12"/>
      <c r="GS258" s="12"/>
      <c r="GT258" s="12"/>
      <c r="GU258" s="12"/>
      <c r="GV258" s="12"/>
      <c r="GW258" s="12"/>
      <c r="GX258" s="12"/>
      <c r="GY258" s="12"/>
      <c r="GZ258" s="12"/>
      <c r="HA258" s="12"/>
      <c r="HB258" s="12"/>
      <c r="HC258" s="12"/>
      <c r="HD258" s="12"/>
      <c r="HE258" s="12"/>
      <c r="HF258" s="12"/>
      <c r="HG258" s="12"/>
      <c r="HH258" s="12"/>
      <c r="HI258" s="12"/>
      <c r="HJ258" s="12"/>
      <c r="HK258" s="12"/>
      <c r="HL258" s="12"/>
      <c r="HM258" s="12"/>
      <c r="HN258" s="12"/>
      <c r="HO258" s="12"/>
      <c r="HP258" s="12"/>
      <c r="HQ258" s="12"/>
      <c r="HR258" s="12"/>
      <c r="HS258" s="12"/>
      <c r="HT258" s="12"/>
      <c r="HU258" s="12"/>
      <c r="HV258" s="12"/>
      <c r="HW258" s="12"/>
      <c r="HX258" s="12"/>
      <c r="HY258" s="12"/>
      <c r="HZ258" s="12"/>
      <c r="IA258" s="12"/>
      <c r="IB258" s="12"/>
      <c r="IC258" s="12"/>
      <c r="ID258" s="12"/>
      <c r="IE258" s="12"/>
      <c r="IF258" s="12"/>
      <c r="IG258" s="12"/>
      <c r="IH258" s="12"/>
      <c r="II258" s="12"/>
      <c r="IJ258" s="12"/>
      <c r="IK258" s="12"/>
      <c r="IL258" s="12"/>
      <c r="IM258" s="12"/>
      <c r="IN258" s="12"/>
      <c r="IO258" s="12"/>
      <c r="IP258" s="12"/>
      <c r="IQ258" s="12"/>
      <c r="IR258" s="12"/>
      <c r="IS258" s="12"/>
      <c r="IT258" s="12"/>
      <c r="IU258" s="12"/>
      <c r="IV258" s="12"/>
      <c r="IW258" s="12"/>
      <c r="IX258" s="12"/>
      <c r="IY258" s="12"/>
      <c r="IZ258" s="12"/>
      <c r="JA258" s="12"/>
      <c r="JB258" s="12"/>
      <c r="JC258" s="12"/>
      <c r="JD258" s="12"/>
      <c r="JE258" s="12"/>
      <c r="JF258" s="12"/>
      <c r="JG258" s="12"/>
      <c r="JH258" s="12"/>
      <c r="JI258" s="12"/>
      <c r="JJ258" s="12"/>
      <c r="JK258" s="12"/>
      <c r="JL258" s="12"/>
      <c r="JM258" s="12"/>
      <c r="JN258" s="12"/>
      <c r="JO258" s="12"/>
      <c r="JP258" s="12"/>
      <c r="JQ258" s="12"/>
      <c r="JR258" s="12"/>
      <c r="JS258" s="12"/>
      <c r="JT258" s="12"/>
      <c r="JU258" s="12"/>
      <c r="JV258" s="12"/>
      <c r="JW258" s="12"/>
      <c r="JX258" s="12"/>
      <c r="JY258" s="12"/>
      <c r="JZ258" s="12"/>
      <c r="KA258" s="12"/>
      <c r="KB258" s="12"/>
      <c r="KC258" s="12"/>
      <c r="KD258" s="12"/>
      <c r="KE258" s="12"/>
      <c r="KF258" s="12"/>
      <c r="KG258" s="12"/>
      <c r="KH258" s="12"/>
      <c r="KI258" s="12"/>
      <c r="KJ258" s="12"/>
      <c r="KK258" s="12"/>
      <c r="KL258" s="12"/>
      <c r="KM258" s="12"/>
      <c r="KN258" s="12"/>
      <c r="KO258" s="12"/>
      <c r="KP258" s="12"/>
      <c r="KQ258" s="12"/>
      <c r="KR258" s="12"/>
      <c r="KS258" s="12"/>
      <c r="KT258" s="12"/>
      <c r="KU258" s="12"/>
      <c r="KV258" s="12"/>
      <c r="KW258" s="12"/>
      <c r="KX258" s="12"/>
      <c r="KY258" s="12"/>
      <c r="KZ258" s="12"/>
      <c r="LA258" s="12"/>
      <c r="LB258" s="12"/>
      <c r="LC258" s="12"/>
      <c r="LD258" s="12"/>
      <c r="LE258" s="12"/>
      <c r="LF258" s="12"/>
      <c r="LG258" s="12"/>
      <c r="LH258" s="12"/>
      <c r="LI258" s="12"/>
      <c r="LJ258" s="12"/>
      <c r="LK258" s="12"/>
      <c r="LL258" s="12"/>
      <c r="LM258" s="12"/>
      <c r="LN258" s="12"/>
      <c r="LO258" s="12"/>
      <c r="LP258" s="12"/>
      <c r="LQ258" s="12"/>
      <c r="LR258" s="12"/>
      <c r="LS258" s="12"/>
      <c r="LT258" s="12"/>
      <c r="LU258" s="12"/>
      <c r="LV258" s="12"/>
      <c r="LW258" s="12"/>
      <c r="LX258" s="12"/>
      <c r="LY258" s="12"/>
      <c r="LZ258" s="12"/>
      <c r="MA258" s="12"/>
      <c r="MB258" s="12"/>
      <c r="MC258" s="12"/>
      <c r="MD258" s="12"/>
      <c r="ME258" s="12"/>
      <c r="MF258" s="12"/>
      <c r="MG258" s="12"/>
      <c r="MH258" s="12"/>
      <c r="MI258" s="12"/>
      <c r="MJ258" s="12"/>
      <c r="MK258" s="12"/>
      <c r="ML258" s="12"/>
      <c r="MM258" s="12"/>
      <c r="MN258" s="12"/>
      <c r="MO258" s="12"/>
      <c r="MP258" s="12"/>
      <c r="MQ258" s="12"/>
      <c r="MR258" s="12"/>
      <c r="MS258" s="12"/>
      <c r="MT258" s="12"/>
      <c r="MU258" s="12"/>
      <c r="MV258" s="12"/>
      <c r="MW258" s="12"/>
      <c r="MX258" s="12"/>
      <c r="MY258" s="12"/>
      <c r="MZ258" s="12"/>
      <c r="NA258" s="12"/>
      <c r="NB258" s="12"/>
      <c r="NC258" s="12"/>
      <c r="ND258" s="12"/>
      <c r="NE258" s="12"/>
      <c r="NF258" s="12"/>
      <c r="NG258" s="12"/>
      <c r="NH258" s="12"/>
      <c r="NI258" s="12"/>
      <c r="NJ258" s="12"/>
      <c r="NK258" s="12"/>
      <c r="NL258" s="12"/>
      <c r="NM258" s="12"/>
      <c r="NN258" s="12"/>
      <c r="NO258" s="12"/>
      <c r="NP258" s="12"/>
      <c r="NQ258" s="12"/>
      <c r="NR258" s="12"/>
      <c r="NS258" s="12"/>
      <c r="NT258" s="12"/>
      <c r="NU258" s="12"/>
      <c r="NV258" s="12"/>
      <c r="NW258" s="12"/>
      <c r="NX258" s="12"/>
      <c r="NY258" s="12"/>
      <c r="NZ258" s="12"/>
      <c r="OA258" s="12"/>
      <c r="OB258" s="12"/>
      <c r="OC258" s="12"/>
      <c r="OD258" s="12"/>
      <c r="OE258" s="12"/>
      <c r="OF258" s="12"/>
      <c r="OG258" s="12"/>
      <c r="OH258" s="12"/>
      <c r="OI258" s="12"/>
      <c r="OJ258" s="12"/>
      <c r="OK258" s="12"/>
      <c r="OL258" s="12"/>
      <c r="OM258" s="12"/>
      <c r="ON258" s="12"/>
      <c r="OO258" s="12"/>
      <c r="OP258" s="12"/>
      <c r="OQ258" s="12"/>
      <c r="OR258" s="12"/>
      <c r="OS258" s="12"/>
      <c r="OT258" s="12"/>
      <c r="OU258" s="12"/>
      <c r="OV258" s="12"/>
      <c r="OW258" s="12"/>
      <c r="OX258" s="12"/>
      <c r="OY258" s="12"/>
      <c r="OZ258" s="12"/>
      <c r="PA258" s="12"/>
      <c r="PB258" s="12"/>
      <c r="PC258" s="12"/>
      <c r="PD258" s="12"/>
      <c r="PE258" s="12"/>
      <c r="PF258" s="12"/>
      <c r="PG258" s="12"/>
      <c r="PH258" s="12"/>
      <c r="PI258" s="12"/>
      <c r="PJ258" s="12"/>
      <c r="PK258" s="12"/>
      <c r="PL258" s="12"/>
      <c r="PM258" s="12"/>
      <c r="PN258" s="12"/>
      <c r="PO258" s="12"/>
      <c r="PP258" s="12"/>
      <c r="PQ258" s="12"/>
      <c r="PR258" s="12"/>
      <c r="PS258" s="12"/>
      <c r="PT258" s="12"/>
      <c r="PU258" s="12"/>
      <c r="PV258" s="12"/>
      <c r="PW258" s="12"/>
      <c r="PX258" s="12"/>
      <c r="PY258" s="12"/>
      <c r="PZ258" s="12"/>
      <c r="QA258" s="12"/>
      <c r="QB258" s="12"/>
      <c r="QC258" s="12"/>
      <c r="QD258" s="12"/>
      <c r="QE258" s="12"/>
      <c r="QF258" s="12"/>
      <c r="QG258" s="12"/>
      <c r="QH258" s="12"/>
      <c r="QI258" s="12"/>
      <c r="QJ258" s="12"/>
      <c r="QK258" s="12"/>
      <c r="QL258" s="12"/>
      <c r="QM258" s="12"/>
      <c r="QN258" s="12"/>
      <c r="QO258" s="12"/>
      <c r="QP258" s="12"/>
      <c r="QQ258" s="12"/>
      <c r="QR258" s="12"/>
      <c r="QS258" s="12"/>
      <c r="QT258" s="12"/>
      <c r="QU258" s="12"/>
      <c r="QV258" s="12"/>
      <c r="QW258" s="12"/>
      <c r="QX258" s="12"/>
      <c r="QY258" s="12"/>
      <c r="QZ258" s="12"/>
      <c r="RA258" s="12"/>
      <c r="RB258" s="12"/>
      <c r="RC258" s="12"/>
      <c r="RD258" s="12"/>
      <c r="RE258" s="12"/>
      <c r="RF258" s="12"/>
      <c r="RG258" s="12"/>
      <c r="RH258" s="12"/>
      <c r="RI258" s="12"/>
      <c r="RJ258" s="12"/>
      <c r="RK258" s="12"/>
      <c r="RL258" s="12"/>
      <c r="RM258" s="12"/>
      <c r="RN258" s="12"/>
      <c r="RO258" s="12"/>
      <c r="RP258" s="12"/>
      <c r="RQ258" s="12"/>
      <c r="RR258" s="12"/>
      <c r="RS258" s="12"/>
      <c r="RT258" s="12"/>
      <c r="RU258" s="12"/>
      <c r="RV258" s="12"/>
      <c r="RW258" s="12"/>
      <c r="RX258" s="12"/>
      <c r="RY258" s="12"/>
      <c r="RZ258" s="12"/>
      <c r="SA258" s="12"/>
      <c r="SB258" s="12"/>
      <c r="SC258" s="12"/>
      <c r="SD258" s="12"/>
      <c r="SE258" s="12"/>
      <c r="SF258" s="12"/>
      <c r="SG258" s="12"/>
      <c r="SH258" s="11"/>
      <c r="SI258" s="11"/>
      <c r="SJ258" s="11"/>
      <c r="SK258" s="11"/>
      <c r="SL258" s="11"/>
      <c r="SM258" s="11"/>
      <c r="SN258" s="11"/>
      <c r="SO258" s="11"/>
      <c r="SP258" s="11"/>
      <c r="SQ258" s="11"/>
      <c r="SR258" s="11"/>
      <c r="SS258" s="11"/>
      <c r="ST258" s="11"/>
      <c r="SU258" s="11"/>
      <c r="SV258" s="11"/>
      <c r="SW258" s="11"/>
      <c r="SX258" s="11"/>
      <c r="SY258" s="11"/>
      <c r="SZ258" s="11"/>
      <c r="TA258" s="11"/>
      <c r="TB258" s="11"/>
      <c r="TC258" s="11"/>
      <c r="TD258" s="11"/>
      <c r="TE258" s="11"/>
      <c r="TF258" s="11"/>
      <c r="TG258" s="11"/>
      <c r="TH258" s="11"/>
      <c r="TI258" s="11"/>
      <c r="TJ258" s="11"/>
      <c r="TK258" s="11"/>
      <c r="TL258" s="11"/>
    </row>
    <row r="259" spans="1:532" x14ac:dyDescent="0.2">
      <c r="A259" s="10" t="s">
        <v>258</v>
      </c>
      <c r="B259" s="12">
        <v>13.61</v>
      </c>
      <c r="C259" s="11">
        <v>0</v>
      </c>
      <c r="D259" s="11">
        <v>1.3760778549890476</v>
      </c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  <c r="BW259" s="12"/>
      <c r="BX259" s="12"/>
      <c r="BY259" s="12"/>
      <c r="BZ259" s="12"/>
      <c r="CA259" s="12"/>
      <c r="CB259" s="12"/>
      <c r="CC259" s="12"/>
      <c r="CD259" s="12"/>
      <c r="CE259" s="12"/>
      <c r="CF259" s="12"/>
      <c r="CG259" s="12"/>
      <c r="CH259" s="12"/>
      <c r="CI259" s="12"/>
      <c r="CJ259" s="12"/>
      <c r="CK259" s="12"/>
      <c r="CL259" s="12"/>
      <c r="CM259" s="12"/>
      <c r="CN259" s="12"/>
      <c r="CO259" s="12"/>
      <c r="CP259" s="12"/>
      <c r="CQ259" s="12"/>
      <c r="CR259" s="12"/>
      <c r="CS259" s="12"/>
      <c r="CT259" s="12"/>
      <c r="CU259" s="12"/>
      <c r="CV259" s="12"/>
      <c r="CW259" s="12"/>
      <c r="CX259" s="12"/>
      <c r="CY259" s="12"/>
      <c r="CZ259" s="12"/>
      <c r="DA259" s="12"/>
      <c r="DB259" s="12"/>
      <c r="DC259" s="12"/>
      <c r="DD259" s="12"/>
      <c r="DE259" s="12"/>
      <c r="DF259" s="12"/>
      <c r="DG259" s="12"/>
      <c r="DH259" s="12"/>
      <c r="DI259" s="12"/>
      <c r="DJ259" s="12"/>
      <c r="DK259" s="12"/>
      <c r="DL259" s="12"/>
      <c r="DM259" s="12"/>
      <c r="DN259" s="12"/>
      <c r="DO259" s="12"/>
      <c r="DP259" s="12"/>
      <c r="DQ259" s="12"/>
      <c r="DR259" s="12"/>
      <c r="DS259" s="12"/>
      <c r="DT259" s="12"/>
      <c r="DU259" s="12"/>
      <c r="DV259" s="12"/>
      <c r="DW259" s="12"/>
      <c r="DX259" s="12"/>
      <c r="DY259" s="12"/>
      <c r="DZ259" s="12"/>
      <c r="EA259" s="12"/>
      <c r="EB259" s="12"/>
      <c r="EC259" s="12"/>
      <c r="ED259" s="12"/>
      <c r="EE259" s="12"/>
      <c r="EF259" s="12"/>
      <c r="EG259" s="12"/>
      <c r="EH259" s="12"/>
      <c r="EI259" s="12"/>
      <c r="EJ259" s="12"/>
      <c r="EK259" s="12"/>
      <c r="EL259" s="12"/>
      <c r="EM259" s="12"/>
      <c r="EN259" s="12"/>
      <c r="EO259" s="12"/>
      <c r="EP259" s="12"/>
      <c r="EQ259" s="12"/>
      <c r="ER259" s="12"/>
      <c r="ES259" s="12"/>
      <c r="ET259" s="12"/>
      <c r="EU259" s="12"/>
      <c r="EV259" s="12"/>
      <c r="EW259" s="12"/>
      <c r="EX259" s="12"/>
      <c r="EY259" s="12"/>
      <c r="EZ259" s="12"/>
      <c r="FA259" s="12"/>
      <c r="FB259" s="12"/>
      <c r="FC259" s="12"/>
      <c r="FD259" s="12"/>
      <c r="FE259" s="12"/>
      <c r="FF259" s="12"/>
      <c r="FG259" s="12"/>
      <c r="FH259" s="12"/>
      <c r="FI259" s="12"/>
      <c r="FJ259" s="12"/>
      <c r="FK259" s="12"/>
      <c r="FL259" s="12"/>
      <c r="FM259" s="12"/>
      <c r="FN259" s="12"/>
      <c r="FO259" s="12"/>
      <c r="FP259" s="12"/>
      <c r="FQ259" s="12"/>
      <c r="FR259" s="12"/>
      <c r="FS259" s="12"/>
      <c r="FT259" s="12"/>
      <c r="FU259" s="12"/>
      <c r="FV259" s="12"/>
      <c r="FW259" s="12"/>
      <c r="FX259" s="12"/>
      <c r="FY259" s="12"/>
      <c r="FZ259" s="12"/>
      <c r="GA259" s="12"/>
      <c r="GB259" s="12"/>
      <c r="GC259" s="12"/>
      <c r="GD259" s="12"/>
      <c r="GE259" s="12"/>
      <c r="GF259" s="12"/>
      <c r="GG259" s="12"/>
      <c r="GH259" s="12"/>
      <c r="GI259" s="12"/>
      <c r="GJ259" s="12"/>
      <c r="GK259" s="12"/>
      <c r="GL259" s="12"/>
      <c r="GM259" s="12"/>
      <c r="GN259" s="12"/>
      <c r="GO259" s="12"/>
      <c r="GP259" s="12"/>
      <c r="GQ259" s="12"/>
      <c r="GR259" s="12"/>
      <c r="GS259" s="12"/>
      <c r="GT259" s="12"/>
      <c r="GU259" s="12"/>
      <c r="GV259" s="12"/>
      <c r="GW259" s="12"/>
      <c r="GX259" s="12"/>
      <c r="GY259" s="12"/>
      <c r="GZ259" s="12"/>
      <c r="HA259" s="12"/>
      <c r="HB259" s="12"/>
      <c r="HC259" s="12"/>
      <c r="HD259" s="12"/>
      <c r="HE259" s="12"/>
      <c r="HF259" s="12"/>
      <c r="HG259" s="12"/>
      <c r="HH259" s="12"/>
      <c r="HI259" s="12"/>
      <c r="HJ259" s="12"/>
      <c r="HK259" s="12"/>
      <c r="HL259" s="12"/>
      <c r="HM259" s="12"/>
      <c r="HN259" s="12"/>
      <c r="HO259" s="12"/>
      <c r="HP259" s="12"/>
      <c r="HQ259" s="12"/>
      <c r="HR259" s="12"/>
      <c r="HS259" s="12"/>
      <c r="HT259" s="12"/>
      <c r="HU259" s="12"/>
      <c r="HV259" s="12"/>
      <c r="HW259" s="12"/>
      <c r="HX259" s="12"/>
      <c r="HY259" s="12"/>
      <c r="HZ259" s="12"/>
      <c r="IA259" s="12"/>
      <c r="IB259" s="12"/>
      <c r="IC259" s="12"/>
      <c r="ID259" s="12"/>
      <c r="IE259" s="12"/>
      <c r="IF259" s="12"/>
      <c r="IG259" s="12"/>
      <c r="IH259" s="12"/>
      <c r="II259" s="12"/>
      <c r="IJ259" s="12"/>
      <c r="IK259" s="12"/>
      <c r="IL259" s="12"/>
      <c r="IM259" s="12"/>
      <c r="IN259" s="12"/>
      <c r="IO259" s="12"/>
      <c r="IP259" s="12"/>
      <c r="IQ259" s="12"/>
      <c r="IR259" s="12"/>
      <c r="IS259" s="12"/>
      <c r="IT259" s="12"/>
      <c r="IU259" s="12"/>
      <c r="IV259" s="12"/>
      <c r="IW259" s="12"/>
      <c r="IX259" s="12"/>
      <c r="IY259" s="12"/>
      <c r="IZ259" s="12"/>
      <c r="JA259" s="12"/>
      <c r="JB259" s="12"/>
      <c r="JC259" s="12"/>
      <c r="JD259" s="12"/>
      <c r="JE259" s="12"/>
      <c r="JF259" s="12"/>
      <c r="JG259" s="12"/>
      <c r="JH259" s="12"/>
      <c r="JI259" s="12"/>
      <c r="JJ259" s="12"/>
      <c r="JK259" s="12"/>
      <c r="JL259" s="12"/>
      <c r="JM259" s="12"/>
      <c r="JN259" s="12"/>
      <c r="JO259" s="12"/>
      <c r="JP259" s="12"/>
      <c r="JQ259" s="12"/>
      <c r="JR259" s="12"/>
      <c r="JS259" s="12"/>
      <c r="JT259" s="12"/>
      <c r="JU259" s="12"/>
      <c r="JV259" s="12"/>
      <c r="JW259" s="12"/>
      <c r="JX259" s="12"/>
      <c r="JY259" s="12"/>
      <c r="JZ259" s="12"/>
      <c r="KA259" s="12"/>
      <c r="KB259" s="12"/>
      <c r="KC259" s="12"/>
      <c r="KD259" s="12"/>
      <c r="KE259" s="12"/>
      <c r="KF259" s="12"/>
      <c r="KG259" s="12"/>
      <c r="KH259" s="12"/>
      <c r="KI259" s="12"/>
      <c r="KJ259" s="12"/>
      <c r="KK259" s="12"/>
      <c r="KL259" s="12"/>
      <c r="KM259" s="12"/>
      <c r="KN259" s="12"/>
      <c r="KO259" s="12"/>
      <c r="KP259" s="12"/>
      <c r="KQ259" s="12"/>
      <c r="KR259" s="12"/>
      <c r="KS259" s="12"/>
      <c r="KT259" s="12"/>
      <c r="KU259" s="12"/>
      <c r="KV259" s="12"/>
      <c r="KW259" s="12"/>
      <c r="KX259" s="12"/>
      <c r="KY259" s="12"/>
      <c r="KZ259" s="12"/>
      <c r="LA259" s="12"/>
      <c r="LB259" s="12"/>
      <c r="LC259" s="12"/>
      <c r="LD259" s="12"/>
      <c r="LE259" s="12"/>
      <c r="LF259" s="12"/>
      <c r="LG259" s="12"/>
      <c r="LH259" s="12"/>
      <c r="LI259" s="12"/>
      <c r="LJ259" s="12"/>
      <c r="LK259" s="12"/>
      <c r="LL259" s="12"/>
      <c r="LM259" s="12"/>
      <c r="LN259" s="12"/>
      <c r="LO259" s="12"/>
      <c r="LP259" s="12"/>
      <c r="LQ259" s="12"/>
      <c r="LR259" s="12"/>
      <c r="LS259" s="12"/>
      <c r="LT259" s="12"/>
      <c r="LU259" s="12"/>
      <c r="LV259" s="12"/>
      <c r="LW259" s="12"/>
      <c r="LX259" s="12"/>
      <c r="LY259" s="12"/>
      <c r="LZ259" s="12"/>
      <c r="MA259" s="12"/>
      <c r="MB259" s="12"/>
      <c r="MC259" s="12"/>
      <c r="MD259" s="12"/>
      <c r="ME259" s="12"/>
      <c r="MF259" s="12"/>
      <c r="MG259" s="12"/>
      <c r="MH259" s="12"/>
      <c r="MI259" s="12"/>
      <c r="MJ259" s="12"/>
      <c r="MK259" s="12"/>
      <c r="ML259" s="12"/>
      <c r="MM259" s="12"/>
      <c r="MN259" s="12"/>
      <c r="MO259" s="12"/>
      <c r="MP259" s="12"/>
      <c r="MQ259" s="12"/>
      <c r="MR259" s="12"/>
      <c r="MS259" s="12"/>
      <c r="MT259" s="12"/>
      <c r="MU259" s="12"/>
      <c r="MV259" s="12"/>
      <c r="MW259" s="12"/>
      <c r="MX259" s="12"/>
      <c r="MY259" s="12"/>
      <c r="MZ259" s="12"/>
      <c r="NA259" s="12"/>
      <c r="NB259" s="12"/>
      <c r="NC259" s="12"/>
      <c r="ND259" s="12"/>
      <c r="NE259" s="12"/>
      <c r="NF259" s="12"/>
      <c r="NG259" s="12"/>
      <c r="NH259" s="12"/>
      <c r="NI259" s="12"/>
      <c r="NJ259" s="12"/>
      <c r="NK259" s="12"/>
      <c r="NL259" s="12"/>
      <c r="NM259" s="12"/>
      <c r="NN259" s="12"/>
      <c r="NO259" s="12"/>
      <c r="NP259" s="12"/>
      <c r="NQ259" s="12"/>
      <c r="NR259" s="12"/>
      <c r="NS259" s="12"/>
      <c r="NT259" s="12"/>
      <c r="NU259" s="12"/>
      <c r="NV259" s="12"/>
      <c r="NW259" s="12"/>
      <c r="NX259" s="12"/>
      <c r="NY259" s="12"/>
      <c r="NZ259" s="12"/>
      <c r="OA259" s="12"/>
      <c r="OB259" s="12"/>
      <c r="OC259" s="12"/>
      <c r="OD259" s="12"/>
      <c r="OE259" s="12"/>
      <c r="OF259" s="12"/>
      <c r="OG259" s="12"/>
      <c r="OH259" s="12"/>
      <c r="OI259" s="12"/>
      <c r="OJ259" s="12"/>
      <c r="OK259" s="12"/>
      <c r="OL259" s="12"/>
      <c r="OM259" s="12"/>
      <c r="ON259" s="12"/>
      <c r="OO259" s="12"/>
      <c r="OP259" s="12"/>
      <c r="OQ259" s="12"/>
      <c r="OR259" s="12"/>
      <c r="OS259" s="12"/>
      <c r="OT259" s="12"/>
      <c r="OU259" s="12"/>
      <c r="OV259" s="12"/>
      <c r="OW259" s="12"/>
      <c r="OX259" s="12"/>
      <c r="OY259" s="12"/>
      <c r="OZ259" s="12"/>
      <c r="PA259" s="12"/>
      <c r="PB259" s="12"/>
      <c r="PC259" s="12"/>
      <c r="PD259" s="12"/>
      <c r="PE259" s="12"/>
      <c r="PF259" s="12"/>
      <c r="PG259" s="12"/>
      <c r="PH259" s="12"/>
      <c r="PI259" s="12"/>
      <c r="PJ259" s="12"/>
      <c r="PK259" s="12"/>
      <c r="PL259" s="12"/>
      <c r="PM259" s="12"/>
      <c r="PN259" s="12"/>
      <c r="PO259" s="12"/>
      <c r="PP259" s="12"/>
      <c r="PQ259" s="12"/>
      <c r="PR259" s="12"/>
      <c r="PS259" s="12"/>
      <c r="PT259" s="12"/>
      <c r="PU259" s="12"/>
      <c r="PV259" s="12"/>
      <c r="PW259" s="12"/>
      <c r="PX259" s="12"/>
      <c r="PY259" s="12"/>
      <c r="PZ259" s="12"/>
      <c r="QA259" s="12"/>
      <c r="QB259" s="12"/>
      <c r="QC259" s="12"/>
      <c r="QD259" s="12"/>
      <c r="QE259" s="12"/>
      <c r="QF259" s="12"/>
      <c r="QG259" s="12"/>
      <c r="QH259" s="12"/>
      <c r="QI259" s="12"/>
      <c r="QJ259" s="12"/>
      <c r="QK259" s="12"/>
      <c r="QL259" s="12"/>
      <c r="QM259" s="12"/>
      <c r="QN259" s="12"/>
      <c r="QO259" s="12"/>
      <c r="QP259" s="12"/>
      <c r="QQ259" s="12"/>
      <c r="QR259" s="12"/>
      <c r="QS259" s="12"/>
      <c r="QT259" s="12"/>
      <c r="QU259" s="12"/>
      <c r="QV259" s="12"/>
      <c r="QW259" s="12"/>
      <c r="QX259" s="12"/>
      <c r="QY259" s="12"/>
      <c r="QZ259" s="12"/>
      <c r="RA259" s="12"/>
      <c r="RB259" s="12"/>
      <c r="RC259" s="12"/>
      <c r="RD259" s="12"/>
      <c r="RE259" s="12"/>
      <c r="RF259" s="12"/>
      <c r="RG259" s="12"/>
      <c r="RH259" s="12"/>
      <c r="RI259" s="12"/>
      <c r="RJ259" s="12"/>
      <c r="RK259" s="12"/>
      <c r="RL259" s="12"/>
      <c r="RM259" s="12"/>
      <c r="RN259" s="12"/>
      <c r="RO259" s="12"/>
      <c r="RP259" s="12"/>
      <c r="RQ259" s="12"/>
      <c r="RR259" s="12"/>
      <c r="RS259" s="12"/>
      <c r="RT259" s="12"/>
      <c r="RU259" s="12"/>
      <c r="RV259" s="12"/>
      <c r="RW259" s="12"/>
      <c r="RX259" s="12"/>
      <c r="RY259" s="12"/>
      <c r="RZ259" s="12"/>
      <c r="SA259" s="12"/>
      <c r="SB259" s="12"/>
      <c r="SC259" s="12"/>
      <c r="SD259" s="12"/>
      <c r="SE259" s="12"/>
      <c r="SF259" s="12"/>
      <c r="SG259" s="12"/>
      <c r="SH259" s="11"/>
      <c r="SI259" s="11"/>
      <c r="SJ259" s="11"/>
      <c r="SK259" s="11"/>
      <c r="SL259" s="11"/>
      <c r="SM259" s="11"/>
      <c r="SN259" s="11"/>
      <c r="SO259" s="11"/>
      <c r="SP259" s="11"/>
      <c r="SQ259" s="11"/>
      <c r="SR259" s="11"/>
      <c r="SS259" s="11"/>
      <c r="ST259" s="11"/>
      <c r="SU259" s="11"/>
      <c r="SV259" s="11"/>
      <c r="SW259" s="11"/>
      <c r="SX259" s="11"/>
      <c r="SY259" s="11"/>
      <c r="SZ259" s="11"/>
      <c r="TA259" s="11"/>
      <c r="TB259" s="11"/>
      <c r="TC259" s="11"/>
      <c r="TD259" s="11"/>
      <c r="TE259" s="11"/>
      <c r="TF259" s="11"/>
      <c r="TG259" s="11"/>
      <c r="TH259" s="11"/>
      <c r="TI259" s="11"/>
      <c r="TJ259" s="11"/>
      <c r="TK259" s="11"/>
      <c r="TL259" s="11"/>
    </row>
    <row r="260" spans="1:532" x14ac:dyDescent="0.2">
      <c r="A260" s="10" t="s">
        <v>259</v>
      </c>
      <c r="B260" s="12">
        <v>16.95</v>
      </c>
      <c r="C260" s="11">
        <v>1.9304689332580165</v>
      </c>
      <c r="D260" s="11">
        <v>0</v>
      </c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  <c r="BW260" s="12"/>
      <c r="BX260" s="12"/>
      <c r="BY260" s="12"/>
      <c r="BZ260" s="12"/>
      <c r="CA260" s="12"/>
      <c r="CB260" s="12"/>
      <c r="CC260" s="12"/>
      <c r="CD260" s="12"/>
      <c r="CE260" s="12"/>
      <c r="CF260" s="12"/>
      <c r="CG260" s="12"/>
      <c r="CH260" s="12"/>
      <c r="CI260" s="12"/>
      <c r="CJ260" s="12"/>
      <c r="CK260" s="12"/>
      <c r="CL260" s="12"/>
      <c r="CM260" s="12"/>
      <c r="CN260" s="12"/>
      <c r="CO260" s="12"/>
      <c r="CP260" s="12"/>
      <c r="CQ260" s="12"/>
      <c r="CR260" s="12"/>
      <c r="CS260" s="12"/>
      <c r="CT260" s="12"/>
      <c r="CU260" s="12"/>
      <c r="CV260" s="12"/>
      <c r="CW260" s="12"/>
      <c r="CX260" s="12"/>
      <c r="CY260" s="12"/>
      <c r="CZ260" s="12"/>
      <c r="DA260" s="12"/>
      <c r="DB260" s="12"/>
      <c r="DC260" s="12"/>
      <c r="DD260" s="12"/>
      <c r="DE260" s="12"/>
      <c r="DF260" s="12"/>
      <c r="DG260" s="12"/>
      <c r="DH260" s="12"/>
      <c r="DI260" s="12"/>
      <c r="DJ260" s="12"/>
      <c r="DK260" s="12"/>
      <c r="DL260" s="12"/>
      <c r="DM260" s="12"/>
      <c r="DN260" s="12"/>
      <c r="DO260" s="12"/>
      <c r="DP260" s="12"/>
      <c r="DQ260" s="12"/>
      <c r="DR260" s="12"/>
      <c r="DS260" s="12"/>
      <c r="DT260" s="12"/>
      <c r="DU260" s="12"/>
      <c r="DV260" s="12"/>
      <c r="DW260" s="12"/>
      <c r="DX260" s="12"/>
      <c r="DY260" s="12"/>
      <c r="DZ260" s="12"/>
      <c r="EA260" s="12"/>
      <c r="EB260" s="12"/>
      <c r="EC260" s="12"/>
      <c r="ED260" s="12"/>
      <c r="EE260" s="12"/>
      <c r="EF260" s="12"/>
      <c r="EG260" s="12"/>
      <c r="EH260" s="12"/>
      <c r="EI260" s="12"/>
      <c r="EJ260" s="12"/>
      <c r="EK260" s="12"/>
      <c r="EL260" s="12"/>
      <c r="EM260" s="12"/>
      <c r="EN260" s="12"/>
      <c r="EO260" s="12"/>
      <c r="EP260" s="12"/>
      <c r="EQ260" s="12"/>
      <c r="ER260" s="12"/>
      <c r="ES260" s="12"/>
      <c r="ET260" s="12"/>
      <c r="EU260" s="12"/>
      <c r="EV260" s="12"/>
      <c r="EW260" s="12"/>
      <c r="EX260" s="12"/>
      <c r="EY260" s="12"/>
      <c r="EZ260" s="12"/>
      <c r="FA260" s="12"/>
      <c r="FB260" s="12"/>
      <c r="FC260" s="12"/>
      <c r="FD260" s="12"/>
      <c r="FE260" s="12"/>
      <c r="FF260" s="12"/>
      <c r="FG260" s="12"/>
      <c r="FH260" s="12"/>
      <c r="FI260" s="12"/>
      <c r="FJ260" s="12"/>
      <c r="FK260" s="12"/>
      <c r="FL260" s="12"/>
      <c r="FM260" s="12"/>
      <c r="FN260" s="12"/>
      <c r="FO260" s="12"/>
      <c r="FP260" s="12"/>
      <c r="FQ260" s="12"/>
      <c r="FR260" s="12"/>
      <c r="FS260" s="12"/>
      <c r="FT260" s="12"/>
      <c r="FU260" s="12"/>
      <c r="FV260" s="12"/>
      <c r="FW260" s="12"/>
      <c r="FX260" s="12"/>
      <c r="FY260" s="12"/>
      <c r="FZ260" s="12"/>
      <c r="GA260" s="12"/>
      <c r="GB260" s="12"/>
      <c r="GC260" s="12"/>
      <c r="GD260" s="12"/>
      <c r="GE260" s="12"/>
      <c r="GF260" s="12"/>
      <c r="GG260" s="12"/>
      <c r="GH260" s="12"/>
      <c r="GI260" s="12"/>
      <c r="GJ260" s="12"/>
      <c r="GK260" s="12"/>
      <c r="GL260" s="12"/>
      <c r="GM260" s="12"/>
      <c r="GN260" s="12"/>
      <c r="GO260" s="12"/>
      <c r="GP260" s="12"/>
      <c r="GQ260" s="12"/>
      <c r="GR260" s="12"/>
      <c r="GS260" s="12"/>
      <c r="GT260" s="12"/>
      <c r="GU260" s="12"/>
      <c r="GV260" s="12"/>
      <c r="GW260" s="12"/>
      <c r="GX260" s="12"/>
      <c r="GY260" s="12"/>
      <c r="GZ260" s="12"/>
      <c r="HA260" s="12"/>
      <c r="HB260" s="12"/>
      <c r="HC260" s="12"/>
      <c r="HD260" s="12"/>
      <c r="HE260" s="12"/>
      <c r="HF260" s="12"/>
      <c r="HG260" s="12"/>
      <c r="HH260" s="12"/>
      <c r="HI260" s="12"/>
      <c r="HJ260" s="12"/>
      <c r="HK260" s="12"/>
      <c r="HL260" s="12"/>
      <c r="HM260" s="12"/>
      <c r="HN260" s="12"/>
      <c r="HO260" s="12"/>
      <c r="HP260" s="12"/>
      <c r="HQ260" s="12"/>
      <c r="HR260" s="12"/>
      <c r="HS260" s="12"/>
      <c r="HT260" s="12"/>
      <c r="HU260" s="12"/>
      <c r="HV260" s="12"/>
      <c r="HW260" s="12"/>
      <c r="HX260" s="12"/>
      <c r="HY260" s="12"/>
      <c r="HZ260" s="12"/>
      <c r="IA260" s="12"/>
      <c r="IB260" s="12"/>
      <c r="IC260" s="12"/>
      <c r="ID260" s="12"/>
      <c r="IE260" s="12"/>
      <c r="IF260" s="12"/>
      <c r="IG260" s="12"/>
      <c r="IH260" s="12"/>
      <c r="II260" s="12"/>
      <c r="IJ260" s="12"/>
      <c r="IK260" s="12"/>
      <c r="IL260" s="12"/>
      <c r="IM260" s="12"/>
      <c r="IN260" s="12"/>
      <c r="IO260" s="12"/>
      <c r="IP260" s="12"/>
      <c r="IQ260" s="12"/>
      <c r="IR260" s="12"/>
      <c r="IS260" s="12"/>
      <c r="IT260" s="12"/>
      <c r="IU260" s="12"/>
      <c r="IV260" s="12"/>
      <c r="IW260" s="12"/>
      <c r="IX260" s="12"/>
      <c r="IY260" s="12"/>
      <c r="IZ260" s="12"/>
      <c r="JA260" s="12"/>
      <c r="JB260" s="12"/>
      <c r="JC260" s="12"/>
      <c r="JD260" s="12"/>
      <c r="JE260" s="12"/>
      <c r="JF260" s="12"/>
      <c r="JG260" s="12"/>
      <c r="JH260" s="12"/>
      <c r="JI260" s="12"/>
      <c r="JJ260" s="12"/>
      <c r="JK260" s="12"/>
      <c r="JL260" s="12"/>
      <c r="JM260" s="12"/>
      <c r="JN260" s="12"/>
      <c r="JO260" s="12"/>
      <c r="JP260" s="12"/>
      <c r="JQ260" s="12"/>
      <c r="JR260" s="12"/>
      <c r="JS260" s="12"/>
      <c r="JT260" s="12"/>
      <c r="JU260" s="12"/>
      <c r="JV260" s="12"/>
      <c r="JW260" s="12"/>
      <c r="JX260" s="12"/>
      <c r="JY260" s="12"/>
      <c r="JZ260" s="12"/>
      <c r="KA260" s="12"/>
      <c r="KB260" s="12"/>
      <c r="KC260" s="12"/>
      <c r="KD260" s="12"/>
      <c r="KE260" s="12"/>
      <c r="KF260" s="12"/>
      <c r="KG260" s="12"/>
      <c r="KH260" s="12"/>
      <c r="KI260" s="12"/>
      <c r="KJ260" s="12"/>
      <c r="KK260" s="12"/>
      <c r="KL260" s="12"/>
      <c r="KM260" s="12"/>
      <c r="KN260" s="12"/>
      <c r="KO260" s="12"/>
      <c r="KP260" s="12"/>
      <c r="KQ260" s="12"/>
      <c r="KR260" s="12"/>
      <c r="KS260" s="12"/>
      <c r="KT260" s="12"/>
      <c r="KU260" s="12"/>
      <c r="KV260" s="12"/>
      <c r="KW260" s="12"/>
      <c r="KX260" s="12"/>
      <c r="KY260" s="12"/>
      <c r="KZ260" s="12"/>
      <c r="LA260" s="12"/>
      <c r="LB260" s="12"/>
      <c r="LC260" s="12"/>
      <c r="LD260" s="12"/>
      <c r="LE260" s="12"/>
      <c r="LF260" s="12"/>
      <c r="LG260" s="12"/>
      <c r="LH260" s="12"/>
      <c r="LI260" s="12"/>
      <c r="LJ260" s="12"/>
      <c r="LK260" s="12"/>
      <c r="LL260" s="12"/>
      <c r="LM260" s="12"/>
      <c r="LN260" s="12"/>
      <c r="LO260" s="12"/>
      <c r="LP260" s="12"/>
      <c r="LQ260" s="12"/>
      <c r="LR260" s="12"/>
      <c r="LS260" s="12"/>
      <c r="LT260" s="12"/>
      <c r="LU260" s="12"/>
      <c r="LV260" s="12"/>
      <c r="LW260" s="12"/>
      <c r="LX260" s="12"/>
      <c r="LY260" s="12"/>
      <c r="LZ260" s="12"/>
      <c r="MA260" s="12"/>
      <c r="MB260" s="12"/>
      <c r="MC260" s="12"/>
      <c r="MD260" s="12"/>
      <c r="ME260" s="12"/>
      <c r="MF260" s="12"/>
      <c r="MG260" s="12"/>
      <c r="MH260" s="12"/>
      <c r="MI260" s="12"/>
      <c r="MJ260" s="12"/>
      <c r="MK260" s="12"/>
      <c r="ML260" s="12"/>
      <c r="MM260" s="12"/>
      <c r="MN260" s="12"/>
      <c r="MO260" s="12"/>
      <c r="MP260" s="12"/>
      <c r="MQ260" s="12"/>
      <c r="MR260" s="12"/>
      <c r="MS260" s="12"/>
      <c r="MT260" s="12"/>
      <c r="MU260" s="12"/>
      <c r="MV260" s="12"/>
      <c r="MW260" s="12"/>
      <c r="MX260" s="12"/>
      <c r="MY260" s="12"/>
      <c r="MZ260" s="12"/>
      <c r="NA260" s="12"/>
      <c r="NB260" s="12"/>
      <c r="NC260" s="12"/>
      <c r="ND260" s="12"/>
      <c r="NE260" s="12"/>
      <c r="NF260" s="12"/>
      <c r="NG260" s="12"/>
      <c r="NH260" s="12"/>
      <c r="NI260" s="12"/>
      <c r="NJ260" s="12"/>
      <c r="NK260" s="12"/>
      <c r="NL260" s="12"/>
      <c r="NM260" s="12"/>
      <c r="NN260" s="12"/>
      <c r="NO260" s="12"/>
      <c r="NP260" s="12"/>
      <c r="NQ260" s="12"/>
      <c r="NR260" s="12"/>
      <c r="NS260" s="12"/>
      <c r="NT260" s="12"/>
      <c r="NU260" s="12"/>
      <c r="NV260" s="12"/>
      <c r="NW260" s="12"/>
      <c r="NX260" s="12"/>
      <c r="NY260" s="12"/>
      <c r="NZ260" s="12"/>
      <c r="OA260" s="12"/>
      <c r="OB260" s="12"/>
      <c r="OC260" s="12"/>
      <c r="OD260" s="12"/>
      <c r="OE260" s="12"/>
      <c r="OF260" s="12"/>
      <c r="OG260" s="12"/>
      <c r="OH260" s="12"/>
      <c r="OI260" s="12"/>
      <c r="OJ260" s="12"/>
      <c r="OK260" s="12"/>
      <c r="OL260" s="12"/>
      <c r="OM260" s="12"/>
      <c r="ON260" s="12"/>
      <c r="OO260" s="12"/>
      <c r="OP260" s="12"/>
      <c r="OQ260" s="12"/>
      <c r="OR260" s="12"/>
      <c r="OS260" s="12"/>
      <c r="OT260" s="12"/>
      <c r="OU260" s="12"/>
      <c r="OV260" s="12"/>
      <c r="OW260" s="12"/>
      <c r="OX260" s="12"/>
      <c r="OY260" s="12"/>
      <c r="OZ260" s="12"/>
      <c r="PA260" s="12"/>
      <c r="PB260" s="12"/>
      <c r="PC260" s="12"/>
      <c r="PD260" s="12"/>
      <c r="PE260" s="12"/>
      <c r="PF260" s="12"/>
      <c r="PG260" s="12"/>
      <c r="PH260" s="12"/>
      <c r="PI260" s="12"/>
      <c r="PJ260" s="12"/>
      <c r="PK260" s="12"/>
      <c r="PL260" s="12"/>
      <c r="PM260" s="12"/>
      <c r="PN260" s="12"/>
      <c r="PO260" s="12"/>
      <c r="PP260" s="12"/>
      <c r="PQ260" s="12"/>
      <c r="PR260" s="12"/>
      <c r="PS260" s="12"/>
      <c r="PT260" s="12"/>
      <c r="PU260" s="12"/>
      <c r="PV260" s="12"/>
      <c r="PW260" s="12"/>
      <c r="PX260" s="12"/>
      <c r="PY260" s="12"/>
      <c r="PZ260" s="12"/>
      <c r="QA260" s="12"/>
      <c r="QB260" s="12"/>
      <c r="QC260" s="12"/>
      <c r="QD260" s="12"/>
      <c r="QE260" s="12"/>
      <c r="QF260" s="12"/>
      <c r="QG260" s="12"/>
      <c r="QH260" s="12"/>
      <c r="QI260" s="12"/>
      <c r="QJ260" s="12"/>
      <c r="QK260" s="12"/>
      <c r="QL260" s="12"/>
      <c r="QM260" s="12"/>
      <c r="QN260" s="12"/>
      <c r="QO260" s="12"/>
      <c r="QP260" s="12"/>
      <c r="QQ260" s="12"/>
      <c r="QR260" s="12"/>
      <c r="QS260" s="12"/>
      <c r="QT260" s="12"/>
      <c r="QU260" s="12"/>
      <c r="QV260" s="12"/>
      <c r="QW260" s="12"/>
      <c r="QX260" s="12"/>
      <c r="QY260" s="12"/>
      <c r="QZ260" s="12"/>
      <c r="RA260" s="12"/>
      <c r="RB260" s="12"/>
      <c r="RC260" s="12"/>
      <c r="RD260" s="12"/>
      <c r="RE260" s="12"/>
      <c r="RF260" s="12"/>
      <c r="RG260" s="12"/>
      <c r="RH260" s="12"/>
      <c r="RI260" s="12"/>
      <c r="RJ260" s="12"/>
      <c r="RK260" s="12"/>
      <c r="RL260" s="12"/>
      <c r="RM260" s="12"/>
      <c r="RN260" s="12"/>
      <c r="RO260" s="12"/>
      <c r="RP260" s="12"/>
      <c r="RQ260" s="12"/>
      <c r="RR260" s="12"/>
      <c r="RS260" s="12"/>
      <c r="RT260" s="12"/>
      <c r="RU260" s="12"/>
      <c r="RV260" s="12"/>
      <c r="RW260" s="12"/>
      <c r="RX260" s="12"/>
      <c r="RY260" s="12"/>
      <c r="RZ260" s="12"/>
      <c r="SA260" s="12"/>
      <c r="SB260" s="12"/>
      <c r="SC260" s="12"/>
      <c r="SD260" s="12"/>
      <c r="SE260" s="12"/>
      <c r="SF260" s="12"/>
      <c r="SG260" s="12"/>
      <c r="SH260" s="11"/>
      <c r="SI260" s="11"/>
      <c r="SJ260" s="11"/>
      <c r="SK260" s="11"/>
      <c r="SL260" s="11"/>
      <c r="SM260" s="11"/>
      <c r="SN260" s="11"/>
      <c r="SO260" s="11"/>
      <c r="SP260" s="11"/>
      <c r="SQ260" s="11"/>
      <c r="SR260" s="11"/>
      <c r="SS260" s="11"/>
      <c r="ST260" s="11"/>
      <c r="SU260" s="11"/>
      <c r="SV260" s="11"/>
      <c r="SW260" s="11"/>
      <c r="SX260" s="11"/>
      <c r="SY260" s="11"/>
      <c r="SZ260" s="11"/>
      <c r="TA260" s="11"/>
      <c r="TB260" s="11"/>
      <c r="TC260" s="11"/>
      <c r="TD260" s="11"/>
      <c r="TE260" s="11"/>
      <c r="TF260" s="11"/>
      <c r="TG260" s="11"/>
      <c r="TH260" s="11"/>
      <c r="TI260" s="11"/>
      <c r="TJ260" s="11"/>
      <c r="TK260" s="11"/>
      <c r="TL260" s="11"/>
    </row>
    <row r="261" spans="1:532" x14ac:dyDescent="0.2">
      <c r="A261" s="10" t="s">
        <v>260</v>
      </c>
      <c r="B261" s="12">
        <v>12.36</v>
      </c>
      <c r="C261" s="11">
        <v>0</v>
      </c>
      <c r="D261" s="11">
        <v>2.6135579404108533</v>
      </c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  <c r="BW261" s="12"/>
      <c r="BX261" s="12"/>
      <c r="BY261" s="12"/>
      <c r="BZ261" s="12"/>
      <c r="CA261" s="12"/>
      <c r="CB261" s="12"/>
      <c r="CC261" s="12"/>
      <c r="CD261" s="12"/>
      <c r="CE261" s="12"/>
      <c r="CF261" s="12"/>
      <c r="CG261" s="12"/>
      <c r="CH261" s="12"/>
      <c r="CI261" s="12"/>
      <c r="CJ261" s="12"/>
      <c r="CK261" s="12"/>
      <c r="CL261" s="12"/>
      <c r="CM261" s="12"/>
      <c r="CN261" s="12"/>
      <c r="CO261" s="12"/>
      <c r="CP261" s="12"/>
      <c r="CQ261" s="12"/>
      <c r="CR261" s="12"/>
      <c r="CS261" s="12"/>
      <c r="CT261" s="12"/>
      <c r="CU261" s="12"/>
      <c r="CV261" s="12"/>
      <c r="CW261" s="12"/>
      <c r="CX261" s="12"/>
      <c r="CY261" s="12"/>
      <c r="CZ261" s="12"/>
      <c r="DA261" s="12"/>
      <c r="DB261" s="12"/>
      <c r="DC261" s="12"/>
      <c r="DD261" s="12"/>
      <c r="DE261" s="12"/>
      <c r="DF261" s="12"/>
      <c r="DG261" s="12"/>
      <c r="DH261" s="12"/>
      <c r="DI261" s="12"/>
      <c r="DJ261" s="12"/>
      <c r="DK261" s="12"/>
      <c r="DL261" s="12"/>
      <c r="DM261" s="12"/>
      <c r="DN261" s="12"/>
      <c r="DO261" s="12"/>
      <c r="DP261" s="12"/>
      <c r="DQ261" s="12"/>
      <c r="DR261" s="12"/>
      <c r="DS261" s="12"/>
      <c r="DT261" s="12"/>
      <c r="DU261" s="12"/>
      <c r="DV261" s="12"/>
      <c r="DW261" s="12"/>
      <c r="DX261" s="12"/>
      <c r="DY261" s="12"/>
      <c r="DZ261" s="12"/>
      <c r="EA261" s="12"/>
      <c r="EB261" s="12"/>
      <c r="EC261" s="12"/>
      <c r="ED261" s="12"/>
      <c r="EE261" s="12"/>
      <c r="EF261" s="12"/>
      <c r="EG261" s="12"/>
      <c r="EH261" s="12"/>
      <c r="EI261" s="12"/>
      <c r="EJ261" s="12"/>
      <c r="EK261" s="12"/>
      <c r="EL261" s="12"/>
      <c r="EM261" s="12"/>
      <c r="EN261" s="12"/>
      <c r="EO261" s="12"/>
      <c r="EP261" s="12"/>
      <c r="EQ261" s="12"/>
      <c r="ER261" s="12"/>
      <c r="ES261" s="12"/>
      <c r="ET261" s="12"/>
      <c r="EU261" s="12"/>
      <c r="EV261" s="12"/>
      <c r="EW261" s="12"/>
      <c r="EX261" s="12"/>
      <c r="EY261" s="12"/>
      <c r="EZ261" s="12"/>
      <c r="FA261" s="12"/>
      <c r="FB261" s="12"/>
      <c r="FC261" s="12"/>
      <c r="FD261" s="12"/>
      <c r="FE261" s="12"/>
      <c r="FF261" s="12"/>
      <c r="FG261" s="12"/>
      <c r="FH261" s="12"/>
      <c r="FI261" s="12"/>
      <c r="FJ261" s="12"/>
      <c r="FK261" s="12"/>
      <c r="FL261" s="12"/>
      <c r="FM261" s="12"/>
      <c r="FN261" s="12"/>
      <c r="FO261" s="12"/>
      <c r="FP261" s="12"/>
      <c r="FQ261" s="12"/>
      <c r="FR261" s="12"/>
      <c r="FS261" s="12"/>
      <c r="FT261" s="12"/>
      <c r="FU261" s="12"/>
      <c r="FV261" s="12"/>
      <c r="FW261" s="12"/>
      <c r="FX261" s="12"/>
      <c r="FY261" s="12"/>
      <c r="FZ261" s="12"/>
      <c r="GA261" s="12"/>
      <c r="GB261" s="12"/>
      <c r="GC261" s="12"/>
      <c r="GD261" s="12"/>
      <c r="GE261" s="12"/>
      <c r="GF261" s="12"/>
      <c r="GG261" s="12"/>
      <c r="GH261" s="12"/>
      <c r="GI261" s="12"/>
      <c r="GJ261" s="12"/>
      <c r="GK261" s="12"/>
      <c r="GL261" s="12"/>
      <c r="GM261" s="12"/>
      <c r="GN261" s="12"/>
      <c r="GO261" s="12"/>
      <c r="GP261" s="12"/>
      <c r="GQ261" s="12"/>
      <c r="GR261" s="12"/>
      <c r="GS261" s="12"/>
      <c r="GT261" s="12"/>
      <c r="GU261" s="12"/>
      <c r="GV261" s="12"/>
      <c r="GW261" s="12"/>
      <c r="GX261" s="12"/>
      <c r="GY261" s="12"/>
      <c r="GZ261" s="12"/>
      <c r="HA261" s="12"/>
      <c r="HB261" s="12"/>
      <c r="HC261" s="12"/>
      <c r="HD261" s="12"/>
      <c r="HE261" s="12"/>
      <c r="HF261" s="12"/>
      <c r="HG261" s="12"/>
      <c r="HH261" s="12"/>
      <c r="HI261" s="12"/>
      <c r="HJ261" s="12"/>
      <c r="HK261" s="12"/>
      <c r="HL261" s="12"/>
      <c r="HM261" s="12"/>
      <c r="HN261" s="12"/>
      <c r="HO261" s="12"/>
      <c r="HP261" s="12"/>
      <c r="HQ261" s="12"/>
      <c r="HR261" s="12"/>
      <c r="HS261" s="12"/>
      <c r="HT261" s="12"/>
      <c r="HU261" s="12"/>
      <c r="HV261" s="12"/>
      <c r="HW261" s="12"/>
      <c r="HX261" s="12"/>
      <c r="HY261" s="12"/>
      <c r="HZ261" s="12"/>
      <c r="IA261" s="12"/>
      <c r="IB261" s="12"/>
      <c r="IC261" s="12"/>
      <c r="ID261" s="12"/>
      <c r="IE261" s="12"/>
      <c r="IF261" s="12"/>
      <c r="IG261" s="12"/>
      <c r="IH261" s="12"/>
      <c r="II261" s="12"/>
      <c r="IJ261" s="12"/>
      <c r="IK261" s="12"/>
      <c r="IL261" s="12"/>
      <c r="IM261" s="12"/>
      <c r="IN261" s="12"/>
      <c r="IO261" s="12"/>
      <c r="IP261" s="12"/>
      <c r="IQ261" s="12"/>
      <c r="IR261" s="12"/>
      <c r="IS261" s="12"/>
      <c r="IT261" s="12"/>
      <c r="IU261" s="12"/>
      <c r="IV261" s="12"/>
      <c r="IW261" s="12"/>
      <c r="IX261" s="12"/>
      <c r="IY261" s="12"/>
      <c r="IZ261" s="12"/>
      <c r="JA261" s="12"/>
      <c r="JB261" s="12"/>
      <c r="JC261" s="12"/>
      <c r="JD261" s="12"/>
      <c r="JE261" s="12"/>
      <c r="JF261" s="12"/>
      <c r="JG261" s="12"/>
      <c r="JH261" s="12"/>
      <c r="JI261" s="12"/>
      <c r="JJ261" s="12"/>
      <c r="JK261" s="12"/>
      <c r="JL261" s="12"/>
      <c r="JM261" s="12"/>
      <c r="JN261" s="12"/>
      <c r="JO261" s="12"/>
      <c r="JP261" s="12"/>
      <c r="JQ261" s="12"/>
      <c r="JR261" s="12"/>
      <c r="JS261" s="12"/>
      <c r="JT261" s="12"/>
      <c r="JU261" s="12"/>
      <c r="JV261" s="12"/>
      <c r="JW261" s="12"/>
      <c r="JX261" s="12"/>
      <c r="JY261" s="12"/>
      <c r="JZ261" s="12"/>
      <c r="KA261" s="12"/>
      <c r="KB261" s="12"/>
      <c r="KC261" s="12"/>
      <c r="KD261" s="12"/>
      <c r="KE261" s="12"/>
      <c r="KF261" s="12"/>
      <c r="KG261" s="12"/>
      <c r="KH261" s="12"/>
      <c r="KI261" s="12"/>
      <c r="KJ261" s="12"/>
      <c r="KK261" s="12"/>
      <c r="KL261" s="12"/>
      <c r="KM261" s="12"/>
      <c r="KN261" s="12"/>
      <c r="KO261" s="12"/>
      <c r="KP261" s="12"/>
      <c r="KQ261" s="12"/>
      <c r="KR261" s="12"/>
      <c r="KS261" s="12"/>
      <c r="KT261" s="12"/>
      <c r="KU261" s="12"/>
      <c r="KV261" s="12"/>
      <c r="KW261" s="12"/>
      <c r="KX261" s="12"/>
      <c r="KY261" s="12"/>
      <c r="KZ261" s="12"/>
      <c r="LA261" s="12"/>
      <c r="LB261" s="12"/>
      <c r="LC261" s="12"/>
      <c r="LD261" s="12"/>
      <c r="LE261" s="12"/>
      <c r="LF261" s="12"/>
      <c r="LG261" s="12"/>
      <c r="LH261" s="12"/>
      <c r="LI261" s="12"/>
      <c r="LJ261" s="12"/>
      <c r="LK261" s="12"/>
      <c r="LL261" s="12"/>
      <c r="LM261" s="12"/>
      <c r="LN261" s="12"/>
      <c r="LO261" s="12"/>
      <c r="LP261" s="12"/>
      <c r="LQ261" s="12"/>
      <c r="LR261" s="12"/>
      <c r="LS261" s="12"/>
      <c r="LT261" s="12"/>
      <c r="LU261" s="12"/>
      <c r="LV261" s="12"/>
      <c r="LW261" s="12"/>
      <c r="LX261" s="12"/>
      <c r="LY261" s="12"/>
      <c r="LZ261" s="12"/>
      <c r="MA261" s="12"/>
      <c r="MB261" s="12"/>
      <c r="MC261" s="12"/>
      <c r="MD261" s="12"/>
      <c r="ME261" s="12"/>
      <c r="MF261" s="12"/>
      <c r="MG261" s="12"/>
      <c r="MH261" s="12"/>
      <c r="MI261" s="12"/>
      <c r="MJ261" s="12"/>
      <c r="MK261" s="12"/>
      <c r="ML261" s="12"/>
      <c r="MM261" s="12"/>
      <c r="MN261" s="12"/>
      <c r="MO261" s="12"/>
      <c r="MP261" s="12"/>
      <c r="MQ261" s="12"/>
      <c r="MR261" s="12"/>
      <c r="MS261" s="12"/>
      <c r="MT261" s="12"/>
      <c r="MU261" s="12"/>
      <c r="MV261" s="12"/>
      <c r="MW261" s="12"/>
      <c r="MX261" s="12"/>
      <c r="MY261" s="12"/>
      <c r="MZ261" s="12"/>
      <c r="NA261" s="12"/>
      <c r="NB261" s="12"/>
      <c r="NC261" s="12"/>
      <c r="ND261" s="12"/>
      <c r="NE261" s="12"/>
      <c r="NF261" s="12"/>
      <c r="NG261" s="12"/>
      <c r="NH261" s="12"/>
      <c r="NI261" s="12"/>
      <c r="NJ261" s="12"/>
      <c r="NK261" s="12"/>
      <c r="NL261" s="12"/>
      <c r="NM261" s="12"/>
      <c r="NN261" s="12"/>
      <c r="NO261" s="12"/>
      <c r="NP261" s="12"/>
      <c r="NQ261" s="12"/>
      <c r="NR261" s="12"/>
      <c r="NS261" s="12"/>
      <c r="NT261" s="12"/>
      <c r="NU261" s="12"/>
      <c r="NV261" s="12"/>
      <c r="NW261" s="12"/>
      <c r="NX261" s="12"/>
      <c r="NY261" s="12"/>
      <c r="NZ261" s="12"/>
      <c r="OA261" s="12"/>
      <c r="OB261" s="12"/>
      <c r="OC261" s="12"/>
      <c r="OD261" s="12"/>
      <c r="OE261" s="12"/>
      <c r="OF261" s="12"/>
      <c r="OG261" s="12"/>
      <c r="OH261" s="12"/>
      <c r="OI261" s="12"/>
      <c r="OJ261" s="12"/>
      <c r="OK261" s="12"/>
      <c r="OL261" s="12"/>
      <c r="OM261" s="12"/>
      <c r="ON261" s="12"/>
      <c r="OO261" s="12"/>
      <c r="OP261" s="12"/>
      <c r="OQ261" s="12"/>
      <c r="OR261" s="12"/>
      <c r="OS261" s="12"/>
      <c r="OT261" s="12"/>
      <c r="OU261" s="12"/>
      <c r="OV261" s="12"/>
      <c r="OW261" s="12"/>
      <c r="OX261" s="12"/>
      <c r="OY261" s="12"/>
      <c r="OZ261" s="12"/>
      <c r="PA261" s="12"/>
      <c r="PB261" s="12"/>
      <c r="PC261" s="12"/>
      <c r="PD261" s="12"/>
      <c r="PE261" s="12"/>
      <c r="PF261" s="12"/>
      <c r="PG261" s="12"/>
      <c r="PH261" s="12"/>
      <c r="PI261" s="12"/>
      <c r="PJ261" s="12"/>
      <c r="PK261" s="12"/>
      <c r="PL261" s="12"/>
      <c r="PM261" s="12"/>
      <c r="PN261" s="12"/>
      <c r="PO261" s="12"/>
      <c r="PP261" s="12"/>
      <c r="PQ261" s="12"/>
      <c r="PR261" s="12"/>
      <c r="PS261" s="12"/>
      <c r="PT261" s="12"/>
      <c r="PU261" s="12"/>
      <c r="PV261" s="12"/>
      <c r="PW261" s="12"/>
      <c r="PX261" s="12"/>
      <c r="PY261" s="12"/>
      <c r="PZ261" s="12"/>
      <c r="QA261" s="12"/>
      <c r="QB261" s="12"/>
      <c r="QC261" s="12"/>
      <c r="QD261" s="12"/>
      <c r="QE261" s="12"/>
      <c r="QF261" s="12"/>
      <c r="QG261" s="12"/>
      <c r="QH261" s="12"/>
      <c r="QI261" s="12"/>
      <c r="QJ261" s="12"/>
      <c r="QK261" s="12"/>
      <c r="QL261" s="12"/>
      <c r="QM261" s="12"/>
      <c r="QN261" s="12"/>
      <c r="QO261" s="12"/>
      <c r="QP261" s="12"/>
      <c r="QQ261" s="12"/>
      <c r="QR261" s="12"/>
      <c r="QS261" s="12"/>
      <c r="QT261" s="12"/>
      <c r="QU261" s="12"/>
      <c r="QV261" s="12"/>
      <c r="QW261" s="12"/>
      <c r="QX261" s="12"/>
      <c r="QY261" s="12"/>
      <c r="QZ261" s="12"/>
      <c r="RA261" s="12"/>
      <c r="RB261" s="12"/>
      <c r="RC261" s="12"/>
      <c r="RD261" s="12"/>
      <c r="RE261" s="12"/>
      <c r="RF261" s="12"/>
      <c r="RG261" s="12"/>
      <c r="RH261" s="12"/>
      <c r="RI261" s="12"/>
      <c r="RJ261" s="12"/>
      <c r="RK261" s="12"/>
      <c r="RL261" s="12"/>
      <c r="RM261" s="12"/>
      <c r="RN261" s="12"/>
      <c r="RO261" s="12"/>
      <c r="RP261" s="12"/>
      <c r="RQ261" s="12"/>
      <c r="RR261" s="12"/>
      <c r="RS261" s="12"/>
      <c r="RT261" s="12"/>
      <c r="RU261" s="12"/>
      <c r="RV261" s="12"/>
      <c r="RW261" s="12"/>
      <c r="RX261" s="12"/>
      <c r="RY261" s="12"/>
      <c r="RZ261" s="12"/>
      <c r="SA261" s="12"/>
      <c r="SB261" s="12"/>
      <c r="SC261" s="12"/>
      <c r="SD261" s="12"/>
      <c r="SE261" s="12"/>
      <c r="SF261" s="12"/>
      <c r="SG261" s="12"/>
      <c r="SH261" s="11"/>
      <c r="SI261" s="11"/>
      <c r="SJ261" s="11"/>
      <c r="SK261" s="11"/>
      <c r="SL261" s="11"/>
      <c r="SM261" s="11"/>
      <c r="SN261" s="11"/>
      <c r="SO261" s="11"/>
      <c r="SP261" s="11"/>
      <c r="SQ261" s="11"/>
      <c r="SR261" s="11"/>
      <c r="SS261" s="11"/>
      <c r="ST261" s="11"/>
      <c r="SU261" s="11"/>
      <c r="SV261" s="11"/>
      <c r="SW261" s="11"/>
      <c r="SX261" s="11"/>
      <c r="SY261" s="11"/>
      <c r="SZ261" s="11"/>
      <c r="TA261" s="11"/>
      <c r="TB261" s="11"/>
      <c r="TC261" s="11"/>
      <c r="TD261" s="11"/>
      <c r="TE261" s="11"/>
      <c r="TF261" s="11"/>
      <c r="TG261" s="11"/>
      <c r="TH261" s="11"/>
      <c r="TI261" s="11"/>
      <c r="TJ261" s="11"/>
      <c r="TK261" s="11"/>
      <c r="TL261" s="11"/>
    </row>
    <row r="262" spans="1:532" x14ac:dyDescent="0.2">
      <c r="A262" s="10" t="s">
        <v>261</v>
      </c>
      <c r="B262" s="12">
        <v>14.95</v>
      </c>
      <c r="C262" s="11">
        <v>0</v>
      </c>
      <c r="D262" s="11">
        <v>4.9499203416872223E-2</v>
      </c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  <c r="BW262" s="12"/>
      <c r="BX262" s="12"/>
      <c r="BY262" s="12"/>
      <c r="BZ262" s="12"/>
      <c r="CA262" s="12"/>
      <c r="CB262" s="12"/>
      <c r="CC262" s="12"/>
      <c r="CD262" s="12"/>
      <c r="CE262" s="12"/>
      <c r="CF262" s="12"/>
      <c r="CG262" s="12"/>
      <c r="CH262" s="12"/>
      <c r="CI262" s="12"/>
      <c r="CJ262" s="12"/>
      <c r="CK262" s="12"/>
      <c r="CL262" s="12"/>
      <c r="CM262" s="12"/>
      <c r="CN262" s="12"/>
      <c r="CO262" s="12"/>
      <c r="CP262" s="12"/>
      <c r="CQ262" s="12"/>
      <c r="CR262" s="12"/>
      <c r="CS262" s="12"/>
      <c r="CT262" s="12"/>
      <c r="CU262" s="12"/>
      <c r="CV262" s="12"/>
      <c r="CW262" s="12"/>
      <c r="CX262" s="12"/>
      <c r="CY262" s="12"/>
      <c r="CZ262" s="12"/>
      <c r="DA262" s="12"/>
      <c r="DB262" s="12"/>
      <c r="DC262" s="12"/>
      <c r="DD262" s="12"/>
      <c r="DE262" s="12"/>
      <c r="DF262" s="12"/>
      <c r="DG262" s="12"/>
      <c r="DH262" s="12"/>
      <c r="DI262" s="12"/>
      <c r="DJ262" s="12"/>
      <c r="DK262" s="12"/>
      <c r="DL262" s="12"/>
      <c r="DM262" s="12"/>
      <c r="DN262" s="12"/>
      <c r="DO262" s="12"/>
      <c r="DP262" s="12"/>
      <c r="DQ262" s="12"/>
      <c r="DR262" s="12"/>
      <c r="DS262" s="12"/>
      <c r="DT262" s="12"/>
      <c r="DU262" s="12"/>
      <c r="DV262" s="12"/>
      <c r="DW262" s="12"/>
      <c r="DX262" s="12"/>
      <c r="DY262" s="12"/>
      <c r="DZ262" s="12"/>
      <c r="EA262" s="12"/>
      <c r="EB262" s="12"/>
      <c r="EC262" s="12"/>
      <c r="ED262" s="12"/>
      <c r="EE262" s="12"/>
      <c r="EF262" s="12"/>
      <c r="EG262" s="12"/>
      <c r="EH262" s="12"/>
      <c r="EI262" s="12"/>
      <c r="EJ262" s="12"/>
      <c r="EK262" s="12"/>
      <c r="EL262" s="12"/>
      <c r="EM262" s="12"/>
      <c r="EN262" s="12"/>
      <c r="EO262" s="12"/>
      <c r="EP262" s="12"/>
      <c r="EQ262" s="12"/>
      <c r="ER262" s="12"/>
      <c r="ES262" s="12"/>
      <c r="ET262" s="12"/>
      <c r="EU262" s="12"/>
      <c r="EV262" s="12"/>
      <c r="EW262" s="12"/>
      <c r="EX262" s="12"/>
      <c r="EY262" s="12"/>
      <c r="EZ262" s="12"/>
      <c r="FA262" s="12"/>
      <c r="FB262" s="12"/>
      <c r="FC262" s="12"/>
      <c r="FD262" s="12"/>
      <c r="FE262" s="12"/>
      <c r="FF262" s="12"/>
      <c r="FG262" s="12"/>
      <c r="FH262" s="12"/>
      <c r="FI262" s="12"/>
      <c r="FJ262" s="12"/>
      <c r="FK262" s="12"/>
      <c r="FL262" s="12"/>
      <c r="FM262" s="12"/>
      <c r="FN262" s="12"/>
      <c r="FO262" s="12"/>
      <c r="FP262" s="12"/>
      <c r="FQ262" s="12"/>
      <c r="FR262" s="12"/>
      <c r="FS262" s="12"/>
      <c r="FT262" s="12"/>
      <c r="FU262" s="12"/>
      <c r="FV262" s="12"/>
      <c r="FW262" s="12"/>
      <c r="FX262" s="12"/>
      <c r="FY262" s="12"/>
      <c r="FZ262" s="12"/>
      <c r="GA262" s="12"/>
      <c r="GB262" s="12"/>
      <c r="GC262" s="12"/>
      <c r="GD262" s="12"/>
      <c r="GE262" s="12"/>
      <c r="GF262" s="12"/>
      <c r="GG262" s="12"/>
      <c r="GH262" s="12"/>
      <c r="GI262" s="12"/>
      <c r="GJ262" s="12"/>
      <c r="GK262" s="12"/>
      <c r="GL262" s="12"/>
      <c r="GM262" s="12"/>
      <c r="GN262" s="12"/>
      <c r="GO262" s="12"/>
      <c r="GP262" s="12"/>
      <c r="GQ262" s="12"/>
      <c r="GR262" s="12"/>
      <c r="GS262" s="12"/>
      <c r="GT262" s="12"/>
      <c r="GU262" s="12"/>
      <c r="GV262" s="12"/>
      <c r="GW262" s="12"/>
      <c r="GX262" s="12"/>
      <c r="GY262" s="12"/>
      <c r="GZ262" s="12"/>
      <c r="HA262" s="12"/>
      <c r="HB262" s="12"/>
      <c r="HC262" s="12"/>
      <c r="HD262" s="12"/>
      <c r="HE262" s="12"/>
      <c r="HF262" s="12"/>
      <c r="HG262" s="12"/>
      <c r="HH262" s="12"/>
      <c r="HI262" s="12"/>
      <c r="HJ262" s="12"/>
      <c r="HK262" s="12"/>
      <c r="HL262" s="12"/>
      <c r="HM262" s="12"/>
      <c r="HN262" s="12"/>
      <c r="HO262" s="12"/>
      <c r="HP262" s="12"/>
      <c r="HQ262" s="12"/>
      <c r="HR262" s="12"/>
      <c r="HS262" s="12"/>
      <c r="HT262" s="12"/>
      <c r="HU262" s="12"/>
      <c r="HV262" s="12"/>
      <c r="HW262" s="12"/>
      <c r="HX262" s="12"/>
      <c r="HY262" s="12"/>
      <c r="HZ262" s="12"/>
      <c r="IA262" s="12"/>
      <c r="IB262" s="12"/>
      <c r="IC262" s="12"/>
      <c r="ID262" s="12"/>
      <c r="IE262" s="12"/>
      <c r="IF262" s="12"/>
      <c r="IG262" s="12"/>
      <c r="IH262" s="12"/>
      <c r="II262" s="12"/>
      <c r="IJ262" s="12"/>
      <c r="IK262" s="12"/>
      <c r="IL262" s="12"/>
      <c r="IM262" s="12"/>
      <c r="IN262" s="12"/>
      <c r="IO262" s="12"/>
      <c r="IP262" s="12"/>
      <c r="IQ262" s="12"/>
      <c r="IR262" s="12"/>
      <c r="IS262" s="12"/>
      <c r="IT262" s="12"/>
      <c r="IU262" s="12"/>
      <c r="IV262" s="12"/>
      <c r="IW262" s="12"/>
      <c r="IX262" s="12"/>
      <c r="IY262" s="12"/>
      <c r="IZ262" s="12"/>
      <c r="JA262" s="12"/>
      <c r="JB262" s="12"/>
      <c r="JC262" s="12"/>
      <c r="JD262" s="12"/>
      <c r="JE262" s="12"/>
      <c r="JF262" s="12"/>
      <c r="JG262" s="12"/>
      <c r="JH262" s="12"/>
      <c r="JI262" s="12"/>
      <c r="JJ262" s="12"/>
      <c r="JK262" s="12"/>
      <c r="JL262" s="12"/>
      <c r="JM262" s="12"/>
      <c r="JN262" s="12"/>
      <c r="JO262" s="12"/>
      <c r="JP262" s="12"/>
      <c r="JQ262" s="12"/>
      <c r="JR262" s="12"/>
      <c r="JS262" s="12"/>
      <c r="JT262" s="12"/>
      <c r="JU262" s="12"/>
      <c r="JV262" s="12"/>
      <c r="JW262" s="12"/>
      <c r="JX262" s="12"/>
      <c r="JY262" s="12"/>
      <c r="JZ262" s="12"/>
      <c r="KA262" s="12"/>
      <c r="KB262" s="12"/>
      <c r="KC262" s="12"/>
      <c r="KD262" s="12"/>
      <c r="KE262" s="12"/>
      <c r="KF262" s="12"/>
      <c r="KG262" s="12"/>
      <c r="KH262" s="12"/>
      <c r="KI262" s="12"/>
      <c r="KJ262" s="12"/>
      <c r="KK262" s="12"/>
      <c r="KL262" s="12"/>
      <c r="KM262" s="12"/>
      <c r="KN262" s="12"/>
      <c r="KO262" s="12"/>
      <c r="KP262" s="12"/>
      <c r="KQ262" s="12"/>
      <c r="KR262" s="12"/>
      <c r="KS262" s="12"/>
      <c r="KT262" s="12"/>
      <c r="KU262" s="12"/>
      <c r="KV262" s="12"/>
      <c r="KW262" s="12"/>
      <c r="KX262" s="12"/>
      <c r="KY262" s="12"/>
      <c r="KZ262" s="12"/>
      <c r="LA262" s="12"/>
      <c r="LB262" s="12"/>
      <c r="LC262" s="12"/>
      <c r="LD262" s="12"/>
      <c r="LE262" s="12"/>
      <c r="LF262" s="12"/>
      <c r="LG262" s="12"/>
      <c r="LH262" s="12"/>
      <c r="LI262" s="12"/>
      <c r="LJ262" s="12"/>
      <c r="LK262" s="12"/>
      <c r="LL262" s="12"/>
      <c r="LM262" s="12"/>
      <c r="LN262" s="12"/>
      <c r="LO262" s="12"/>
      <c r="LP262" s="12"/>
      <c r="LQ262" s="12"/>
      <c r="LR262" s="12"/>
      <c r="LS262" s="12"/>
      <c r="LT262" s="12"/>
      <c r="LU262" s="12"/>
      <c r="LV262" s="12"/>
      <c r="LW262" s="12"/>
      <c r="LX262" s="12"/>
      <c r="LY262" s="12"/>
      <c r="LZ262" s="12"/>
      <c r="MA262" s="12"/>
      <c r="MB262" s="12"/>
      <c r="MC262" s="12"/>
      <c r="MD262" s="12"/>
      <c r="ME262" s="12"/>
      <c r="MF262" s="12"/>
      <c r="MG262" s="12"/>
      <c r="MH262" s="12"/>
      <c r="MI262" s="12"/>
      <c r="MJ262" s="12"/>
      <c r="MK262" s="12"/>
      <c r="ML262" s="12"/>
      <c r="MM262" s="12"/>
      <c r="MN262" s="12"/>
      <c r="MO262" s="12"/>
      <c r="MP262" s="12"/>
      <c r="MQ262" s="12"/>
      <c r="MR262" s="12"/>
      <c r="MS262" s="12"/>
      <c r="MT262" s="12"/>
      <c r="MU262" s="12"/>
      <c r="MV262" s="12"/>
      <c r="MW262" s="12"/>
      <c r="MX262" s="12"/>
      <c r="MY262" s="12"/>
      <c r="MZ262" s="12"/>
      <c r="NA262" s="12"/>
      <c r="NB262" s="12"/>
      <c r="NC262" s="12"/>
      <c r="ND262" s="12"/>
      <c r="NE262" s="12"/>
      <c r="NF262" s="12"/>
      <c r="NG262" s="12"/>
      <c r="NH262" s="12"/>
      <c r="NI262" s="12"/>
      <c r="NJ262" s="12"/>
      <c r="NK262" s="12"/>
      <c r="NL262" s="12"/>
      <c r="NM262" s="12"/>
      <c r="NN262" s="12"/>
      <c r="NO262" s="12"/>
      <c r="NP262" s="12"/>
      <c r="NQ262" s="12"/>
      <c r="NR262" s="12"/>
      <c r="NS262" s="12"/>
      <c r="NT262" s="12"/>
      <c r="NU262" s="12"/>
      <c r="NV262" s="12"/>
      <c r="NW262" s="12"/>
      <c r="NX262" s="12"/>
      <c r="NY262" s="12"/>
      <c r="NZ262" s="12"/>
      <c r="OA262" s="12"/>
      <c r="OB262" s="12"/>
      <c r="OC262" s="12"/>
      <c r="OD262" s="12"/>
      <c r="OE262" s="12"/>
      <c r="OF262" s="12"/>
      <c r="OG262" s="12"/>
      <c r="OH262" s="12"/>
      <c r="OI262" s="12"/>
      <c r="OJ262" s="12"/>
      <c r="OK262" s="12"/>
      <c r="OL262" s="12"/>
      <c r="OM262" s="12"/>
      <c r="ON262" s="12"/>
      <c r="OO262" s="12"/>
      <c r="OP262" s="12"/>
      <c r="OQ262" s="12"/>
      <c r="OR262" s="12"/>
      <c r="OS262" s="12"/>
      <c r="OT262" s="12"/>
      <c r="OU262" s="12"/>
      <c r="OV262" s="12"/>
      <c r="OW262" s="12"/>
      <c r="OX262" s="12"/>
      <c r="OY262" s="12"/>
      <c r="OZ262" s="12"/>
      <c r="PA262" s="12"/>
      <c r="PB262" s="12"/>
      <c r="PC262" s="12"/>
      <c r="PD262" s="12"/>
      <c r="PE262" s="12"/>
      <c r="PF262" s="12"/>
      <c r="PG262" s="12"/>
      <c r="PH262" s="12"/>
      <c r="PI262" s="12"/>
      <c r="PJ262" s="12"/>
      <c r="PK262" s="12"/>
      <c r="PL262" s="12"/>
      <c r="PM262" s="12"/>
      <c r="PN262" s="12"/>
      <c r="PO262" s="12"/>
      <c r="PP262" s="12"/>
      <c r="PQ262" s="12"/>
      <c r="PR262" s="12"/>
      <c r="PS262" s="12"/>
      <c r="PT262" s="12"/>
      <c r="PU262" s="12"/>
      <c r="PV262" s="12"/>
      <c r="PW262" s="12"/>
      <c r="PX262" s="12"/>
      <c r="PY262" s="12"/>
      <c r="PZ262" s="12"/>
      <c r="QA262" s="12"/>
      <c r="QB262" s="12"/>
      <c r="QC262" s="12"/>
      <c r="QD262" s="12"/>
      <c r="QE262" s="12"/>
      <c r="QF262" s="12"/>
      <c r="QG262" s="12"/>
      <c r="QH262" s="12"/>
      <c r="QI262" s="12"/>
      <c r="QJ262" s="12"/>
      <c r="QK262" s="12"/>
      <c r="QL262" s="12"/>
      <c r="QM262" s="12"/>
      <c r="QN262" s="12"/>
      <c r="QO262" s="12"/>
      <c r="QP262" s="12"/>
      <c r="QQ262" s="12"/>
      <c r="QR262" s="12"/>
      <c r="QS262" s="12"/>
      <c r="QT262" s="12"/>
      <c r="QU262" s="12"/>
      <c r="QV262" s="12"/>
      <c r="QW262" s="12"/>
      <c r="QX262" s="12"/>
      <c r="QY262" s="12"/>
      <c r="QZ262" s="12"/>
      <c r="RA262" s="12"/>
      <c r="RB262" s="12"/>
      <c r="RC262" s="12"/>
      <c r="RD262" s="12"/>
      <c r="RE262" s="12"/>
      <c r="RF262" s="12"/>
      <c r="RG262" s="12"/>
      <c r="RH262" s="12"/>
      <c r="RI262" s="12"/>
      <c r="RJ262" s="12"/>
      <c r="RK262" s="12"/>
      <c r="RL262" s="12"/>
      <c r="RM262" s="12"/>
      <c r="RN262" s="12"/>
      <c r="RO262" s="12"/>
      <c r="RP262" s="12"/>
      <c r="RQ262" s="12"/>
      <c r="RR262" s="12"/>
      <c r="RS262" s="12"/>
      <c r="RT262" s="12"/>
      <c r="RU262" s="12"/>
      <c r="RV262" s="12"/>
      <c r="RW262" s="12"/>
      <c r="RX262" s="12"/>
      <c r="RY262" s="12"/>
      <c r="RZ262" s="12"/>
      <c r="SA262" s="12"/>
      <c r="SB262" s="12"/>
      <c r="SC262" s="12"/>
      <c r="SD262" s="12"/>
      <c r="SE262" s="12"/>
      <c r="SF262" s="12"/>
      <c r="SG262" s="12"/>
      <c r="SH262" s="11"/>
      <c r="SI262" s="11"/>
      <c r="SJ262" s="11"/>
      <c r="SK262" s="11"/>
      <c r="SL262" s="11"/>
      <c r="SM262" s="11"/>
      <c r="SN262" s="11"/>
      <c r="SO262" s="11"/>
      <c r="SP262" s="11"/>
      <c r="SQ262" s="11"/>
      <c r="SR262" s="11"/>
      <c r="SS262" s="11"/>
      <c r="ST262" s="11"/>
      <c r="SU262" s="11"/>
      <c r="SV262" s="11"/>
      <c r="SW262" s="11"/>
      <c r="SX262" s="11"/>
      <c r="SY262" s="11"/>
      <c r="SZ262" s="11"/>
      <c r="TA262" s="11"/>
      <c r="TB262" s="11"/>
      <c r="TC262" s="11"/>
      <c r="TD262" s="11"/>
      <c r="TE262" s="11"/>
      <c r="TF262" s="11"/>
      <c r="TG262" s="11"/>
      <c r="TH262" s="11"/>
      <c r="TI262" s="11"/>
      <c r="TJ262" s="11"/>
      <c r="TK262" s="11"/>
      <c r="TL262" s="11"/>
    </row>
    <row r="263" spans="1:532" x14ac:dyDescent="0.2">
      <c r="A263" s="10" t="s">
        <v>262</v>
      </c>
      <c r="B263" s="12">
        <v>13.42</v>
      </c>
      <c r="C263" s="11">
        <v>0</v>
      </c>
      <c r="D263" s="11">
        <v>1.5641748279731622</v>
      </c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  <c r="BW263" s="12"/>
      <c r="BX263" s="12"/>
      <c r="BY263" s="12"/>
      <c r="BZ263" s="12"/>
      <c r="CA263" s="12"/>
      <c r="CB263" s="12"/>
      <c r="CC263" s="12"/>
      <c r="CD263" s="12"/>
      <c r="CE263" s="12"/>
      <c r="CF263" s="12"/>
      <c r="CG263" s="12"/>
      <c r="CH263" s="12"/>
      <c r="CI263" s="12"/>
      <c r="CJ263" s="12"/>
      <c r="CK263" s="12"/>
      <c r="CL263" s="12"/>
      <c r="CM263" s="12"/>
      <c r="CN263" s="12"/>
      <c r="CO263" s="12"/>
      <c r="CP263" s="12"/>
      <c r="CQ263" s="12"/>
      <c r="CR263" s="12"/>
      <c r="CS263" s="12"/>
      <c r="CT263" s="12"/>
      <c r="CU263" s="12"/>
      <c r="CV263" s="12"/>
      <c r="CW263" s="12"/>
      <c r="CX263" s="12"/>
      <c r="CY263" s="12"/>
      <c r="CZ263" s="12"/>
      <c r="DA263" s="12"/>
      <c r="DB263" s="12"/>
      <c r="DC263" s="12"/>
      <c r="DD263" s="12"/>
      <c r="DE263" s="12"/>
      <c r="DF263" s="12"/>
      <c r="DG263" s="12"/>
      <c r="DH263" s="12"/>
      <c r="DI263" s="12"/>
      <c r="DJ263" s="12"/>
      <c r="DK263" s="12"/>
      <c r="DL263" s="12"/>
      <c r="DM263" s="12"/>
      <c r="DN263" s="12"/>
      <c r="DO263" s="12"/>
      <c r="DP263" s="12"/>
      <c r="DQ263" s="12"/>
      <c r="DR263" s="12"/>
      <c r="DS263" s="12"/>
      <c r="DT263" s="12"/>
      <c r="DU263" s="12"/>
      <c r="DV263" s="12"/>
      <c r="DW263" s="12"/>
      <c r="DX263" s="12"/>
      <c r="DY263" s="12"/>
      <c r="DZ263" s="12"/>
      <c r="EA263" s="12"/>
      <c r="EB263" s="12"/>
      <c r="EC263" s="12"/>
      <c r="ED263" s="12"/>
      <c r="EE263" s="12"/>
      <c r="EF263" s="12"/>
      <c r="EG263" s="12"/>
      <c r="EH263" s="12"/>
      <c r="EI263" s="12"/>
      <c r="EJ263" s="12"/>
      <c r="EK263" s="12"/>
      <c r="EL263" s="12"/>
      <c r="EM263" s="12"/>
      <c r="EN263" s="12"/>
      <c r="EO263" s="12"/>
      <c r="EP263" s="12"/>
      <c r="EQ263" s="12"/>
      <c r="ER263" s="12"/>
      <c r="ES263" s="12"/>
      <c r="ET263" s="12"/>
      <c r="EU263" s="12"/>
      <c r="EV263" s="12"/>
      <c r="EW263" s="12"/>
      <c r="EX263" s="12"/>
      <c r="EY263" s="12"/>
      <c r="EZ263" s="12"/>
      <c r="FA263" s="12"/>
      <c r="FB263" s="12"/>
      <c r="FC263" s="12"/>
      <c r="FD263" s="12"/>
      <c r="FE263" s="12"/>
      <c r="FF263" s="12"/>
      <c r="FG263" s="12"/>
      <c r="FH263" s="12"/>
      <c r="FI263" s="12"/>
      <c r="FJ263" s="12"/>
      <c r="FK263" s="12"/>
      <c r="FL263" s="12"/>
      <c r="FM263" s="12"/>
      <c r="FN263" s="12"/>
      <c r="FO263" s="12"/>
      <c r="FP263" s="12"/>
      <c r="FQ263" s="12"/>
      <c r="FR263" s="12"/>
      <c r="FS263" s="12"/>
      <c r="FT263" s="12"/>
      <c r="FU263" s="12"/>
      <c r="FV263" s="12"/>
      <c r="FW263" s="12"/>
      <c r="FX263" s="12"/>
      <c r="FY263" s="12"/>
      <c r="FZ263" s="12"/>
      <c r="GA263" s="12"/>
      <c r="GB263" s="12"/>
      <c r="GC263" s="12"/>
      <c r="GD263" s="12"/>
      <c r="GE263" s="12"/>
      <c r="GF263" s="12"/>
      <c r="GG263" s="12"/>
      <c r="GH263" s="12"/>
      <c r="GI263" s="12"/>
      <c r="GJ263" s="12"/>
      <c r="GK263" s="12"/>
      <c r="GL263" s="12"/>
      <c r="GM263" s="12"/>
      <c r="GN263" s="12"/>
      <c r="GO263" s="12"/>
      <c r="GP263" s="12"/>
      <c r="GQ263" s="12"/>
      <c r="GR263" s="12"/>
      <c r="GS263" s="12"/>
      <c r="GT263" s="12"/>
      <c r="GU263" s="12"/>
      <c r="GV263" s="12"/>
      <c r="GW263" s="12"/>
      <c r="GX263" s="12"/>
      <c r="GY263" s="12"/>
      <c r="GZ263" s="12"/>
      <c r="HA263" s="12"/>
      <c r="HB263" s="12"/>
      <c r="HC263" s="12"/>
      <c r="HD263" s="12"/>
      <c r="HE263" s="12"/>
      <c r="HF263" s="12"/>
      <c r="HG263" s="12"/>
      <c r="HH263" s="12"/>
      <c r="HI263" s="12"/>
      <c r="HJ263" s="12"/>
      <c r="HK263" s="12"/>
      <c r="HL263" s="12"/>
      <c r="HM263" s="12"/>
      <c r="HN263" s="12"/>
      <c r="HO263" s="12"/>
      <c r="HP263" s="12"/>
      <c r="HQ263" s="12"/>
      <c r="HR263" s="12"/>
      <c r="HS263" s="12"/>
      <c r="HT263" s="12"/>
      <c r="HU263" s="12"/>
      <c r="HV263" s="12"/>
      <c r="HW263" s="12"/>
      <c r="HX263" s="12"/>
      <c r="HY263" s="12"/>
      <c r="HZ263" s="12"/>
      <c r="IA263" s="12"/>
      <c r="IB263" s="12"/>
      <c r="IC263" s="12"/>
      <c r="ID263" s="12"/>
      <c r="IE263" s="12"/>
      <c r="IF263" s="12"/>
      <c r="IG263" s="12"/>
      <c r="IH263" s="12"/>
      <c r="II263" s="12"/>
      <c r="IJ263" s="12"/>
      <c r="IK263" s="12"/>
      <c r="IL263" s="12"/>
      <c r="IM263" s="12"/>
      <c r="IN263" s="12"/>
      <c r="IO263" s="12"/>
      <c r="IP263" s="12"/>
      <c r="IQ263" s="12"/>
      <c r="IR263" s="12"/>
      <c r="IS263" s="12"/>
      <c r="IT263" s="12"/>
      <c r="IU263" s="12"/>
      <c r="IV263" s="12"/>
      <c r="IW263" s="12"/>
      <c r="IX263" s="12"/>
      <c r="IY263" s="12"/>
      <c r="IZ263" s="12"/>
      <c r="JA263" s="12"/>
      <c r="JB263" s="12"/>
      <c r="JC263" s="12"/>
      <c r="JD263" s="12"/>
      <c r="JE263" s="12"/>
      <c r="JF263" s="12"/>
      <c r="JG263" s="12"/>
      <c r="JH263" s="12"/>
      <c r="JI263" s="12"/>
      <c r="JJ263" s="12"/>
      <c r="JK263" s="12"/>
      <c r="JL263" s="12"/>
      <c r="JM263" s="12"/>
      <c r="JN263" s="12"/>
      <c r="JO263" s="12"/>
      <c r="JP263" s="12"/>
      <c r="JQ263" s="12"/>
      <c r="JR263" s="12"/>
      <c r="JS263" s="12"/>
      <c r="JT263" s="12"/>
      <c r="JU263" s="12"/>
      <c r="JV263" s="12"/>
      <c r="JW263" s="12"/>
      <c r="JX263" s="12"/>
      <c r="JY263" s="12"/>
      <c r="JZ263" s="12"/>
      <c r="KA263" s="12"/>
      <c r="KB263" s="12"/>
      <c r="KC263" s="12"/>
      <c r="KD263" s="12"/>
      <c r="KE263" s="12"/>
      <c r="KF263" s="12"/>
      <c r="KG263" s="12"/>
      <c r="KH263" s="12"/>
      <c r="KI263" s="12"/>
      <c r="KJ263" s="12"/>
      <c r="KK263" s="12"/>
      <c r="KL263" s="12"/>
      <c r="KM263" s="12"/>
      <c r="KN263" s="12"/>
      <c r="KO263" s="12"/>
      <c r="KP263" s="12"/>
      <c r="KQ263" s="12"/>
      <c r="KR263" s="12"/>
      <c r="KS263" s="12"/>
      <c r="KT263" s="12"/>
      <c r="KU263" s="12"/>
      <c r="KV263" s="12"/>
      <c r="KW263" s="12"/>
      <c r="KX263" s="12"/>
      <c r="KY263" s="12"/>
      <c r="KZ263" s="12"/>
      <c r="LA263" s="12"/>
      <c r="LB263" s="12"/>
      <c r="LC263" s="12"/>
      <c r="LD263" s="12"/>
      <c r="LE263" s="12"/>
      <c r="LF263" s="12"/>
      <c r="LG263" s="12"/>
      <c r="LH263" s="12"/>
      <c r="LI263" s="12"/>
      <c r="LJ263" s="12"/>
      <c r="LK263" s="12"/>
      <c r="LL263" s="12"/>
      <c r="LM263" s="12"/>
      <c r="LN263" s="12"/>
      <c r="LO263" s="12"/>
      <c r="LP263" s="12"/>
      <c r="LQ263" s="12"/>
      <c r="LR263" s="12"/>
      <c r="LS263" s="12"/>
      <c r="LT263" s="12"/>
      <c r="LU263" s="12"/>
      <c r="LV263" s="12"/>
      <c r="LW263" s="12"/>
      <c r="LX263" s="12"/>
      <c r="LY263" s="12"/>
      <c r="LZ263" s="12"/>
      <c r="MA263" s="12"/>
      <c r="MB263" s="12"/>
      <c r="MC263" s="12"/>
      <c r="MD263" s="12"/>
      <c r="ME263" s="12"/>
      <c r="MF263" s="12"/>
      <c r="MG263" s="12"/>
      <c r="MH263" s="12"/>
      <c r="MI263" s="12"/>
      <c r="MJ263" s="12"/>
      <c r="MK263" s="12"/>
      <c r="ML263" s="12"/>
      <c r="MM263" s="12"/>
      <c r="MN263" s="12"/>
      <c r="MO263" s="12"/>
      <c r="MP263" s="12"/>
      <c r="MQ263" s="12"/>
      <c r="MR263" s="12"/>
      <c r="MS263" s="12"/>
      <c r="MT263" s="12"/>
      <c r="MU263" s="12"/>
      <c r="MV263" s="12"/>
      <c r="MW263" s="12"/>
      <c r="MX263" s="12"/>
      <c r="MY263" s="12"/>
      <c r="MZ263" s="12"/>
      <c r="NA263" s="12"/>
      <c r="NB263" s="12"/>
      <c r="NC263" s="12"/>
      <c r="ND263" s="12"/>
      <c r="NE263" s="12"/>
      <c r="NF263" s="12"/>
      <c r="NG263" s="12"/>
      <c r="NH263" s="12"/>
      <c r="NI263" s="12"/>
      <c r="NJ263" s="12"/>
      <c r="NK263" s="12"/>
      <c r="NL263" s="12"/>
      <c r="NM263" s="12"/>
      <c r="NN263" s="12"/>
      <c r="NO263" s="12"/>
      <c r="NP263" s="12"/>
      <c r="NQ263" s="12"/>
      <c r="NR263" s="12"/>
      <c r="NS263" s="12"/>
      <c r="NT263" s="12"/>
      <c r="NU263" s="12"/>
      <c r="NV263" s="12"/>
      <c r="NW263" s="12"/>
      <c r="NX263" s="12"/>
      <c r="NY263" s="12"/>
      <c r="NZ263" s="12"/>
      <c r="OA263" s="12"/>
      <c r="OB263" s="12"/>
      <c r="OC263" s="12"/>
      <c r="OD263" s="12"/>
      <c r="OE263" s="12"/>
      <c r="OF263" s="12"/>
      <c r="OG263" s="12"/>
      <c r="OH263" s="12"/>
      <c r="OI263" s="12"/>
      <c r="OJ263" s="12"/>
      <c r="OK263" s="12"/>
      <c r="OL263" s="12"/>
      <c r="OM263" s="12"/>
      <c r="ON263" s="12"/>
      <c r="OO263" s="12"/>
      <c r="OP263" s="12"/>
      <c r="OQ263" s="12"/>
      <c r="OR263" s="12"/>
      <c r="OS263" s="12"/>
      <c r="OT263" s="12"/>
      <c r="OU263" s="12"/>
      <c r="OV263" s="12"/>
      <c r="OW263" s="12"/>
      <c r="OX263" s="12"/>
      <c r="OY263" s="12"/>
      <c r="OZ263" s="12"/>
      <c r="PA263" s="12"/>
      <c r="PB263" s="12"/>
      <c r="PC263" s="12"/>
      <c r="PD263" s="12"/>
      <c r="PE263" s="12"/>
      <c r="PF263" s="12"/>
      <c r="PG263" s="12"/>
      <c r="PH263" s="12"/>
      <c r="PI263" s="12"/>
      <c r="PJ263" s="12"/>
      <c r="PK263" s="12"/>
      <c r="PL263" s="12"/>
      <c r="PM263" s="12"/>
      <c r="PN263" s="12"/>
      <c r="PO263" s="12"/>
      <c r="PP263" s="12"/>
      <c r="PQ263" s="12"/>
      <c r="PR263" s="12"/>
      <c r="PS263" s="12"/>
      <c r="PT263" s="12"/>
      <c r="PU263" s="12"/>
      <c r="PV263" s="12"/>
      <c r="PW263" s="12"/>
      <c r="PX263" s="12"/>
      <c r="PY263" s="12"/>
      <c r="PZ263" s="12"/>
      <c r="QA263" s="12"/>
      <c r="QB263" s="12"/>
      <c r="QC263" s="12"/>
      <c r="QD263" s="12"/>
      <c r="QE263" s="12"/>
      <c r="QF263" s="12"/>
      <c r="QG263" s="12"/>
      <c r="QH263" s="12"/>
      <c r="QI263" s="12"/>
      <c r="QJ263" s="12"/>
      <c r="QK263" s="12"/>
      <c r="QL263" s="12"/>
      <c r="QM263" s="12"/>
      <c r="QN263" s="12"/>
      <c r="QO263" s="12"/>
      <c r="QP263" s="12"/>
      <c r="QQ263" s="12"/>
      <c r="QR263" s="12"/>
      <c r="QS263" s="12"/>
      <c r="QT263" s="12"/>
      <c r="QU263" s="12"/>
      <c r="QV263" s="12"/>
      <c r="QW263" s="12"/>
      <c r="QX263" s="12"/>
      <c r="QY263" s="12"/>
      <c r="QZ263" s="12"/>
      <c r="RA263" s="12"/>
      <c r="RB263" s="12"/>
      <c r="RC263" s="12"/>
      <c r="RD263" s="12"/>
      <c r="RE263" s="12"/>
      <c r="RF263" s="12"/>
      <c r="RG263" s="12"/>
      <c r="RH263" s="12"/>
      <c r="RI263" s="12"/>
      <c r="RJ263" s="12"/>
      <c r="RK263" s="12"/>
      <c r="RL263" s="12"/>
      <c r="RM263" s="12"/>
      <c r="RN263" s="12"/>
      <c r="RO263" s="12"/>
      <c r="RP263" s="12"/>
      <c r="RQ263" s="12"/>
      <c r="RR263" s="12"/>
      <c r="RS263" s="12"/>
      <c r="RT263" s="12"/>
      <c r="RU263" s="12"/>
      <c r="RV263" s="12"/>
      <c r="RW263" s="12"/>
      <c r="RX263" s="12"/>
      <c r="RY263" s="12"/>
      <c r="RZ263" s="12"/>
      <c r="SA263" s="12"/>
      <c r="SB263" s="12"/>
      <c r="SC263" s="12"/>
      <c r="SD263" s="12"/>
      <c r="SE263" s="12"/>
      <c r="SF263" s="12"/>
      <c r="SG263" s="12"/>
      <c r="SH263" s="11"/>
      <c r="SI263" s="11"/>
      <c r="SJ263" s="11"/>
      <c r="SK263" s="11"/>
      <c r="SL263" s="11"/>
      <c r="SM263" s="11"/>
      <c r="SN263" s="11"/>
      <c r="SO263" s="11"/>
      <c r="SP263" s="11"/>
      <c r="SQ263" s="11"/>
      <c r="SR263" s="11"/>
      <c r="SS263" s="11"/>
      <c r="ST263" s="11"/>
      <c r="SU263" s="11"/>
      <c r="SV263" s="11"/>
      <c r="SW263" s="11"/>
      <c r="SX263" s="11"/>
      <c r="SY263" s="11"/>
      <c r="SZ263" s="11"/>
      <c r="TA263" s="11"/>
      <c r="TB263" s="11"/>
      <c r="TC263" s="11"/>
      <c r="TD263" s="11"/>
      <c r="TE263" s="11"/>
      <c r="TF263" s="11"/>
      <c r="TG263" s="11"/>
      <c r="TH263" s="11"/>
      <c r="TI263" s="11"/>
      <c r="TJ263" s="11"/>
      <c r="TK263" s="11"/>
      <c r="TL263" s="11"/>
    </row>
    <row r="264" spans="1:532" x14ac:dyDescent="0.2">
      <c r="A264" s="10" t="s">
        <v>263</v>
      </c>
      <c r="B264" s="12">
        <v>14.17</v>
      </c>
      <c r="C264" s="11">
        <v>0</v>
      </c>
      <c r="D264" s="11">
        <v>0.82168677672007873</v>
      </c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  <c r="BW264" s="12"/>
      <c r="BX264" s="12"/>
      <c r="BY264" s="12"/>
      <c r="BZ264" s="12"/>
      <c r="CA264" s="12"/>
      <c r="CB264" s="12"/>
      <c r="CC264" s="12"/>
      <c r="CD264" s="12"/>
      <c r="CE264" s="12"/>
      <c r="CF264" s="12"/>
      <c r="CG264" s="12"/>
      <c r="CH264" s="12"/>
      <c r="CI264" s="12"/>
      <c r="CJ264" s="12"/>
      <c r="CK264" s="12"/>
      <c r="CL264" s="12"/>
      <c r="CM264" s="12"/>
      <c r="CN264" s="12"/>
      <c r="CO264" s="12"/>
      <c r="CP264" s="12"/>
      <c r="CQ264" s="12"/>
      <c r="CR264" s="12"/>
      <c r="CS264" s="12"/>
      <c r="CT264" s="12"/>
      <c r="CU264" s="12"/>
      <c r="CV264" s="12"/>
      <c r="CW264" s="12"/>
      <c r="CX264" s="12"/>
      <c r="CY264" s="12"/>
      <c r="CZ264" s="12"/>
      <c r="DA264" s="12"/>
      <c r="DB264" s="12"/>
      <c r="DC264" s="12"/>
      <c r="DD264" s="12"/>
      <c r="DE264" s="12"/>
      <c r="DF264" s="12"/>
      <c r="DG264" s="12"/>
      <c r="DH264" s="12"/>
      <c r="DI264" s="12"/>
      <c r="DJ264" s="12"/>
      <c r="DK264" s="12"/>
      <c r="DL264" s="12"/>
      <c r="DM264" s="12"/>
      <c r="DN264" s="12"/>
      <c r="DO264" s="12"/>
      <c r="DP264" s="12"/>
      <c r="DQ264" s="12"/>
      <c r="DR264" s="12"/>
      <c r="DS264" s="12"/>
      <c r="DT264" s="12"/>
      <c r="DU264" s="12"/>
      <c r="DV264" s="12"/>
      <c r="DW264" s="12"/>
      <c r="DX264" s="12"/>
      <c r="DY264" s="12"/>
      <c r="DZ264" s="12"/>
      <c r="EA264" s="12"/>
      <c r="EB264" s="12"/>
      <c r="EC264" s="12"/>
      <c r="ED264" s="12"/>
      <c r="EE264" s="12"/>
      <c r="EF264" s="12"/>
      <c r="EG264" s="12"/>
      <c r="EH264" s="12"/>
      <c r="EI264" s="12"/>
      <c r="EJ264" s="12"/>
      <c r="EK264" s="12"/>
      <c r="EL264" s="12"/>
      <c r="EM264" s="12"/>
      <c r="EN264" s="12"/>
      <c r="EO264" s="12"/>
      <c r="EP264" s="12"/>
      <c r="EQ264" s="12"/>
      <c r="ER264" s="12"/>
      <c r="ES264" s="12"/>
      <c r="ET264" s="12"/>
      <c r="EU264" s="12"/>
      <c r="EV264" s="12"/>
      <c r="EW264" s="12"/>
      <c r="EX264" s="12"/>
      <c r="EY264" s="12"/>
      <c r="EZ264" s="12"/>
      <c r="FA264" s="12"/>
      <c r="FB264" s="12"/>
      <c r="FC264" s="12"/>
      <c r="FD264" s="12"/>
      <c r="FE264" s="12"/>
      <c r="FF264" s="12"/>
      <c r="FG264" s="12"/>
      <c r="FH264" s="12"/>
      <c r="FI264" s="12"/>
      <c r="FJ264" s="12"/>
      <c r="FK264" s="12"/>
      <c r="FL264" s="12"/>
      <c r="FM264" s="12"/>
      <c r="FN264" s="12"/>
      <c r="FO264" s="12"/>
      <c r="FP264" s="12"/>
      <c r="FQ264" s="12"/>
      <c r="FR264" s="12"/>
      <c r="FS264" s="12"/>
      <c r="FT264" s="12"/>
      <c r="FU264" s="12"/>
      <c r="FV264" s="12"/>
      <c r="FW264" s="12"/>
      <c r="FX264" s="12"/>
      <c r="FY264" s="12"/>
      <c r="FZ264" s="12"/>
      <c r="GA264" s="12"/>
      <c r="GB264" s="12"/>
      <c r="GC264" s="12"/>
      <c r="GD264" s="12"/>
      <c r="GE264" s="12"/>
      <c r="GF264" s="12"/>
      <c r="GG264" s="12"/>
      <c r="GH264" s="12"/>
      <c r="GI264" s="12"/>
      <c r="GJ264" s="12"/>
      <c r="GK264" s="12"/>
      <c r="GL264" s="12"/>
      <c r="GM264" s="12"/>
      <c r="GN264" s="12"/>
      <c r="GO264" s="12"/>
      <c r="GP264" s="12"/>
      <c r="GQ264" s="12"/>
      <c r="GR264" s="12"/>
      <c r="GS264" s="12"/>
      <c r="GT264" s="12"/>
      <c r="GU264" s="12"/>
      <c r="GV264" s="12"/>
      <c r="GW264" s="12"/>
      <c r="GX264" s="12"/>
      <c r="GY264" s="12"/>
      <c r="GZ264" s="12"/>
      <c r="HA264" s="12"/>
      <c r="HB264" s="12"/>
      <c r="HC264" s="12"/>
      <c r="HD264" s="12"/>
      <c r="HE264" s="12"/>
      <c r="HF264" s="12"/>
      <c r="HG264" s="12"/>
      <c r="HH264" s="12"/>
      <c r="HI264" s="12"/>
      <c r="HJ264" s="12"/>
      <c r="HK264" s="12"/>
      <c r="HL264" s="12"/>
      <c r="HM264" s="12"/>
      <c r="HN264" s="12"/>
      <c r="HO264" s="12"/>
      <c r="HP264" s="12"/>
      <c r="HQ264" s="12"/>
      <c r="HR264" s="12"/>
      <c r="HS264" s="12"/>
      <c r="HT264" s="12"/>
      <c r="HU264" s="12"/>
      <c r="HV264" s="12"/>
      <c r="HW264" s="12"/>
      <c r="HX264" s="12"/>
      <c r="HY264" s="12"/>
      <c r="HZ264" s="12"/>
      <c r="IA264" s="12"/>
      <c r="IB264" s="12"/>
      <c r="IC264" s="12"/>
      <c r="ID264" s="12"/>
      <c r="IE264" s="12"/>
      <c r="IF264" s="12"/>
      <c r="IG264" s="12"/>
      <c r="IH264" s="12"/>
      <c r="II264" s="12"/>
      <c r="IJ264" s="12"/>
      <c r="IK264" s="12"/>
      <c r="IL264" s="12"/>
      <c r="IM264" s="12"/>
      <c r="IN264" s="12"/>
      <c r="IO264" s="12"/>
      <c r="IP264" s="12"/>
      <c r="IQ264" s="12"/>
      <c r="IR264" s="12"/>
      <c r="IS264" s="12"/>
      <c r="IT264" s="12"/>
      <c r="IU264" s="12"/>
      <c r="IV264" s="12"/>
      <c r="IW264" s="12"/>
      <c r="IX264" s="12"/>
      <c r="IY264" s="12"/>
      <c r="IZ264" s="12"/>
      <c r="JA264" s="12"/>
      <c r="JB264" s="12"/>
      <c r="JC264" s="12"/>
      <c r="JD264" s="12"/>
      <c r="JE264" s="12"/>
      <c r="JF264" s="12"/>
      <c r="JG264" s="12"/>
      <c r="JH264" s="12"/>
      <c r="JI264" s="12"/>
      <c r="JJ264" s="12"/>
      <c r="JK264" s="12"/>
      <c r="JL264" s="12"/>
      <c r="JM264" s="12"/>
      <c r="JN264" s="12"/>
      <c r="JO264" s="12"/>
      <c r="JP264" s="12"/>
      <c r="JQ264" s="12"/>
      <c r="JR264" s="12"/>
      <c r="JS264" s="12"/>
      <c r="JT264" s="12"/>
      <c r="JU264" s="12"/>
      <c r="JV264" s="12"/>
      <c r="JW264" s="12"/>
      <c r="JX264" s="12"/>
      <c r="JY264" s="12"/>
      <c r="JZ264" s="12"/>
      <c r="KA264" s="12"/>
      <c r="KB264" s="12"/>
      <c r="KC264" s="12"/>
      <c r="KD264" s="12"/>
      <c r="KE264" s="12"/>
      <c r="KF264" s="12"/>
      <c r="KG264" s="12"/>
      <c r="KH264" s="12"/>
      <c r="KI264" s="12"/>
      <c r="KJ264" s="12"/>
      <c r="KK264" s="12"/>
      <c r="KL264" s="12"/>
      <c r="KM264" s="12"/>
      <c r="KN264" s="12"/>
      <c r="KO264" s="12"/>
      <c r="KP264" s="12"/>
      <c r="KQ264" s="12"/>
      <c r="KR264" s="12"/>
      <c r="KS264" s="12"/>
      <c r="KT264" s="12"/>
      <c r="KU264" s="12"/>
      <c r="KV264" s="12"/>
      <c r="KW264" s="12"/>
      <c r="KX264" s="12"/>
      <c r="KY264" s="12"/>
      <c r="KZ264" s="12"/>
      <c r="LA264" s="12"/>
      <c r="LB264" s="12"/>
      <c r="LC264" s="12"/>
      <c r="LD264" s="12"/>
      <c r="LE264" s="12"/>
      <c r="LF264" s="12"/>
      <c r="LG264" s="12"/>
      <c r="LH264" s="12"/>
      <c r="LI264" s="12"/>
      <c r="LJ264" s="12"/>
      <c r="LK264" s="12"/>
      <c r="LL264" s="12"/>
      <c r="LM264" s="12"/>
      <c r="LN264" s="12"/>
      <c r="LO264" s="12"/>
      <c r="LP264" s="12"/>
      <c r="LQ264" s="12"/>
      <c r="LR264" s="12"/>
      <c r="LS264" s="12"/>
      <c r="LT264" s="12"/>
      <c r="LU264" s="12"/>
      <c r="LV264" s="12"/>
      <c r="LW264" s="12"/>
      <c r="LX264" s="12"/>
      <c r="LY264" s="12"/>
      <c r="LZ264" s="12"/>
      <c r="MA264" s="12"/>
      <c r="MB264" s="12"/>
      <c r="MC264" s="12"/>
      <c r="MD264" s="12"/>
      <c r="ME264" s="12"/>
      <c r="MF264" s="12"/>
      <c r="MG264" s="12"/>
      <c r="MH264" s="12"/>
      <c r="MI264" s="12"/>
      <c r="MJ264" s="12"/>
      <c r="MK264" s="12"/>
      <c r="ML264" s="12"/>
      <c r="MM264" s="12"/>
      <c r="MN264" s="12"/>
      <c r="MO264" s="12"/>
      <c r="MP264" s="12"/>
      <c r="MQ264" s="12"/>
      <c r="MR264" s="12"/>
      <c r="MS264" s="12"/>
      <c r="MT264" s="12"/>
      <c r="MU264" s="12"/>
      <c r="MV264" s="12"/>
      <c r="MW264" s="12"/>
      <c r="MX264" s="12"/>
      <c r="MY264" s="12"/>
      <c r="MZ264" s="12"/>
      <c r="NA264" s="12"/>
      <c r="NB264" s="12"/>
      <c r="NC264" s="12"/>
      <c r="ND264" s="12"/>
      <c r="NE264" s="12"/>
      <c r="NF264" s="12"/>
      <c r="NG264" s="12"/>
      <c r="NH264" s="12"/>
      <c r="NI264" s="12"/>
      <c r="NJ264" s="12"/>
      <c r="NK264" s="12"/>
      <c r="NL264" s="12"/>
      <c r="NM264" s="12"/>
      <c r="NN264" s="12"/>
      <c r="NO264" s="12"/>
      <c r="NP264" s="12"/>
      <c r="NQ264" s="12"/>
      <c r="NR264" s="12"/>
      <c r="NS264" s="12"/>
      <c r="NT264" s="12"/>
      <c r="NU264" s="12"/>
      <c r="NV264" s="12"/>
      <c r="NW264" s="12"/>
      <c r="NX264" s="12"/>
      <c r="NY264" s="12"/>
      <c r="NZ264" s="12"/>
      <c r="OA264" s="12"/>
      <c r="OB264" s="12"/>
      <c r="OC264" s="12"/>
      <c r="OD264" s="12"/>
      <c r="OE264" s="12"/>
      <c r="OF264" s="12"/>
      <c r="OG264" s="12"/>
      <c r="OH264" s="12"/>
      <c r="OI264" s="12"/>
      <c r="OJ264" s="12"/>
      <c r="OK264" s="12"/>
      <c r="OL264" s="12"/>
      <c r="OM264" s="12"/>
      <c r="ON264" s="12"/>
      <c r="OO264" s="12"/>
      <c r="OP264" s="12"/>
      <c r="OQ264" s="12"/>
      <c r="OR264" s="12"/>
      <c r="OS264" s="12"/>
      <c r="OT264" s="12"/>
      <c r="OU264" s="12"/>
      <c r="OV264" s="12"/>
      <c r="OW264" s="12"/>
      <c r="OX264" s="12"/>
      <c r="OY264" s="12"/>
      <c r="OZ264" s="12"/>
      <c r="PA264" s="12"/>
      <c r="PB264" s="12"/>
      <c r="PC264" s="12"/>
      <c r="PD264" s="12"/>
      <c r="PE264" s="12"/>
      <c r="PF264" s="12"/>
      <c r="PG264" s="12"/>
      <c r="PH264" s="12"/>
      <c r="PI264" s="12"/>
      <c r="PJ264" s="12"/>
      <c r="PK264" s="12"/>
      <c r="PL264" s="12"/>
      <c r="PM264" s="12"/>
      <c r="PN264" s="12"/>
      <c r="PO264" s="12"/>
      <c r="PP264" s="12"/>
      <c r="PQ264" s="12"/>
      <c r="PR264" s="12"/>
      <c r="PS264" s="12"/>
      <c r="PT264" s="12"/>
      <c r="PU264" s="12"/>
      <c r="PV264" s="12"/>
      <c r="PW264" s="12"/>
      <c r="PX264" s="12"/>
      <c r="PY264" s="12"/>
      <c r="PZ264" s="12"/>
      <c r="QA264" s="12"/>
      <c r="QB264" s="12"/>
      <c r="QC264" s="12"/>
      <c r="QD264" s="12"/>
      <c r="QE264" s="12"/>
      <c r="QF264" s="12"/>
      <c r="QG264" s="12"/>
      <c r="QH264" s="12"/>
      <c r="QI264" s="12"/>
      <c r="QJ264" s="12"/>
      <c r="QK264" s="12"/>
      <c r="QL264" s="12"/>
      <c r="QM264" s="12"/>
      <c r="QN264" s="12"/>
      <c r="QO264" s="12"/>
      <c r="QP264" s="12"/>
      <c r="QQ264" s="12"/>
      <c r="QR264" s="12"/>
      <c r="QS264" s="12"/>
      <c r="QT264" s="12"/>
      <c r="QU264" s="12"/>
      <c r="QV264" s="12"/>
      <c r="QW264" s="12"/>
      <c r="QX264" s="12"/>
      <c r="QY264" s="12"/>
      <c r="QZ264" s="12"/>
      <c r="RA264" s="12"/>
      <c r="RB264" s="12"/>
      <c r="RC264" s="12"/>
      <c r="RD264" s="12"/>
      <c r="RE264" s="12"/>
      <c r="RF264" s="12"/>
      <c r="RG264" s="12"/>
      <c r="RH264" s="12"/>
      <c r="RI264" s="12"/>
      <c r="RJ264" s="12"/>
      <c r="RK264" s="12"/>
      <c r="RL264" s="12"/>
      <c r="RM264" s="12"/>
      <c r="RN264" s="12"/>
      <c r="RO264" s="12"/>
      <c r="RP264" s="12"/>
      <c r="RQ264" s="12"/>
      <c r="RR264" s="12"/>
      <c r="RS264" s="12"/>
      <c r="RT264" s="12"/>
      <c r="RU264" s="12"/>
      <c r="RV264" s="12"/>
      <c r="RW264" s="12"/>
      <c r="RX264" s="12"/>
      <c r="RY264" s="12"/>
      <c r="RZ264" s="12"/>
      <c r="SA264" s="12"/>
      <c r="SB264" s="12"/>
      <c r="SC264" s="12"/>
      <c r="SD264" s="12"/>
      <c r="SE264" s="12"/>
      <c r="SF264" s="12"/>
      <c r="SG264" s="12"/>
      <c r="SH264" s="11"/>
      <c r="SI264" s="11"/>
      <c r="SJ264" s="11"/>
      <c r="SK264" s="11"/>
      <c r="SL264" s="11"/>
      <c r="SM264" s="11"/>
      <c r="SN264" s="11"/>
      <c r="SO264" s="11"/>
      <c r="SP264" s="11"/>
      <c r="SQ264" s="11"/>
      <c r="SR264" s="11"/>
      <c r="SS264" s="11"/>
      <c r="ST264" s="11"/>
      <c r="SU264" s="11"/>
      <c r="SV264" s="11"/>
      <c r="SW264" s="11"/>
      <c r="SX264" s="11"/>
      <c r="SY264" s="11"/>
      <c r="SZ264" s="11"/>
      <c r="TA264" s="11"/>
      <c r="TB264" s="11"/>
      <c r="TC264" s="11"/>
      <c r="TD264" s="11"/>
      <c r="TE264" s="11"/>
      <c r="TF264" s="11"/>
      <c r="TG264" s="11"/>
      <c r="TH264" s="11"/>
      <c r="TI264" s="11"/>
      <c r="TJ264" s="11"/>
      <c r="TK264" s="11"/>
      <c r="TL264" s="11"/>
    </row>
    <row r="265" spans="1:532" x14ac:dyDescent="0.2">
      <c r="A265" s="10" t="s">
        <v>264</v>
      </c>
      <c r="B265" s="12">
        <v>13.49</v>
      </c>
      <c r="C265" s="11">
        <v>0</v>
      </c>
      <c r="D265" s="11">
        <v>1.4948759431895409</v>
      </c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  <c r="BW265" s="12"/>
      <c r="BX265" s="12"/>
      <c r="BY265" s="12"/>
      <c r="BZ265" s="12"/>
      <c r="CA265" s="12"/>
      <c r="CB265" s="12"/>
      <c r="CC265" s="12"/>
      <c r="CD265" s="12"/>
      <c r="CE265" s="12"/>
      <c r="CF265" s="12"/>
      <c r="CG265" s="12"/>
      <c r="CH265" s="12"/>
      <c r="CI265" s="12"/>
      <c r="CJ265" s="12"/>
      <c r="CK265" s="12"/>
      <c r="CL265" s="12"/>
      <c r="CM265" s="12"/>
      <c r="CN265" s="12"/>
      <c r="CO265" s="12"/>
      <c r="CP265" s="12"/>
      <c r="CQ265" s="12"/>
      <c r="CR265" s="12"/>
      <c r="CS265" s="12"/>
      <c r="CT265" s="12"/>
      <c r="CU265" s="12"/>
      <c r="CV265" s="12"/>
      <c r="CW265" s="12"/>
      <c r="CX265" s="12"/>
      <c r="CY265" s="12"/>
      <c r="CZ265" s="12"/>
      <c r="DA265" s="12"/>
      <c r="DB265" s="12"/>
      <c r="DC265" s="12"/>
      <c r="DD265" s="12"/>
      <c r="DE265" s="12"/>
      <c r="DF265" s="12"/>
      <c r="DG265" s="12"/>
      <c r="DH265" s="12"/>
      <c r="DI265" s="12"/>
      <c r="DJ265" s="12"/>
      <c r="DK265" s="12"/>
      <c r="DL265" s="12"/>
      <c r="DM265" s="12"/>
      <c r="DN265" s="12"/>
      <c r="DO265" s="12"/>
      <c r="DP265" s="12"/>
      <c r="DQ265" s="12"/>
      <c r="DR265" s="12"/>
      <c r="DS265" s="12"/>
      <c r="DT265" s="12"/>
      <c r="DU265" s="12"/>
      <c r="DV265" s="12"/>
      <c r="DW265" s="12"/>
      <c r="DX265" s="12"/>
      <c r="DY265" s="12"/>
      <c r="DZ265" s="12"/>
      <c r="EA265" s="12"/>
      <c r="EB265" s="12"/>
      <c r="EC265" s="12"/>
      <c r="ED265" s="12"/>
      <c r="EE265" s="12"/>
      <c r="EF265" s="12"/>
      <c r="EG265" s="12"/>
      <c r="EH265" s="12"/>
      <c r="EI265" s="12"/>
      <c r="EJ265" s="12"/>
      <c r="EK265" s="12"/>
      <c r="EL265" s="12"/>
      <c r="EM265" s="12"/>
      <c r="EN265" s="12"/>
      <c r="EO265" s="12"/>
      <c r="EP265" s="12"/>
      <c r="EQ265" s="12"/>
      <c r="ER265" s="12"/>
      <c r="ES265" s="12"/>
      <c r="ET265" s="12"/>
      <c r="EU265" s="12"/>
      <c r="EV265" s="12"/>
      <c r="EW265" s="12"/>
      <c r="EX265" s="12"/>
      <c r="EY265" s="12"/>
      <c r="EZ265" s="12"/>
      <c r="FA265" s="12"/>
      <c r="FB265" s="12"/>
      <c r="FC265" s="12"/>
      <c r="FD265" s="12"/>
      <c r="FE265" s="12"/>
      <c r="FF265" s="12"/>
      <c r="FG265" s="12"/>
      <c r="FH265" s="12"/>
      <c r="FI265" s="12"/>
      <c r="FJ265" s="12"/>
      <c r="FK265" s="12"/>
      <c r="FL265" s="12"/>
      <c r="FM265" s="12"/>
      <c r="FN265" s="12"/>
      <c r="FO265" s="12"/>
      <c r="FP265" s="12"/>
      <c r="FQ265" s="12"/>
      <c r="FR265" s="12"/>
      <c r="FS265" s="12"/>
      <c r="FT265" s="12"/>
      <c r="FU265" s="12"/>
      <c r="FV265" s="12"/>
      <c r="FW265" s="12"/>
      <c r="FX265" s="12"/>
      <c r="FY265" s="12"/>
      <c r="FZ265" s="12"/>
      <c r="GA265" s="12"/>
      <c r="GB265" s="12"/>
      <c r="GC265" s="12"/>
      <c r="GD265" s="12"/>
      <c r="GE265" s="12"/>
      <c r="GF265" s="12"/>
      <c r="GG265" s="12"/>
      <c r="GH265" s="12"/>
      <c r="GI265" s="12"/>
      <c r="GJ265" s="12"/>
      <c r="GK265" s="12"/>
      <c r="GL265" s="12"/>
      <c r="GM265" s="12"/>
      <c r="GN265" s="12"/>
      <c r="GO265" s="12"/>
      <c r="GP265" s="12"/>
      <c r="GQ265" s="12"/>
      <c r="GR265" s="12"/>
      <c r="GS265" s="12"/>
      <c r="GT265" s="12"/>
      <c r="GU265" s="12"/>
      <c r="GV265" s="12"/>
      <c r="GW265" s="12"/>
      <c r="GX265" s="12"/>
      <c r="GY265" s="12"/>
      <c r="GZ265" s="12"/>
      <c r="HA265" s="12"/>
      <c r="HB265" s="12"/>
      <c r="HC265" s="12"/>
      <c r="HD265" s="12"/>
      <c r="HE265" s="12"/>
      <c r="HF265" s="12"/>
      <c r="HG265" s="12"/>
      <c r="HH265" s="12"/>
      <c r="HI265" s="12"/>
      <c r="HJ265" s="12"/>
      <c r="HK265" s="12"/>
      <c r="HL265" s="12"/>
      <c r="HM265" s="12"/>
      <c r="HN265" s="12"/>
      <c r="HO265" s="12"/>
      <c r="HP265" s="12"/>
      <c r="HQ265" s="12"/>
      <c r="HR265" s="12"/>
      <c r="HS265" s="12"/>
      <c r="HT265" s="12"/>
      <c r="HU265" s="12"/>
      <c r="HV265" s="12"/>
      <c r="HW265" s="12"/>
      <c r="HX265" s="12"/>
      <c r="HY265" s="12"/>
      <c r="HZ265" s="12"/>
      <c r="IA265" s="12"/>
      <c r="IB265" s="12"/>
      <c r="IC265" s="12"/>
      <c r="ID265" s="12"/>
      <c r="IE265" s="12"/>
      <c r="IF265" s="12"/>
      <c r="IG265" s="12"/>
      <c r="IH265" s="12"/>
      <c r="II265" s="12"/>
      <c r="IJ265" s="12"/>
      <c r="IK265" s="12"/>
      <c r="IL265" s="12"/>
      <c r="IM265" s="12"/>
      <c r="IN265" s="12"/>
      <c r="IO265" s="12"/>
      <c r="IP265" s="12"/>
      <c r="IQ265" s="12"/>
      <c r="IR265" s="12"/>
      <c r="IS265" s="12"/>
      <c r="IT265" s="12"/>
      <c r="IU265" s="12"/>
      <c r="IV265" s="12"/>
      <c r="IW265" s="12"/>
      <c r="IX265" s="12"/>
      <c r="IY265" s="12"/>
      <c r="IZ265" s="12"/>
      <c r="JA265" s="12"/>
      <c r="JB265" s="12"/>
      <c r="JC265" s="12"/>
      <c r="JD265" s="12"/>
      <c r="JE265" s="12"/>
      <c r="JF265" s="12"/>
      <c r="JG265" s="12"/>
      <c r="JH265" s="12"/>
      <c r="JI265" s="12"/>
      <c r="JJ265" s="12"/>
      <c r="JK265" s="12"/>
      <c r="JL265" s="12"/>
      <c r="JM265" s="12"/>
      <c r="JN265" s="12"/>
      <c r="JO265" s="12"/>
      <c r="JP265" s="12"/>
      <c r="JQ265" s="12"/>
      <c r="JR265" s="12"/>
      <c r="JS265" s="12"/>
      <c r="JT265" s="12"/>
      <c r="JU265" s="12"/>
      <c r="JV265" s="12"/>
      <c r="JW265" s="12"/>
      <c r="JX265" s="12"/>
      <c r="JY265" s="12"/>
      <c r="JZ265" s="12"/>
      <c r="KA265" s="12"/>
      <c r="KB265" s="12"/>
      <c r="KC265" s="12"/>
      <c r="KD265" s="12"/>
      <c r="KE265" s="12"/>
      <c r="KF265" s="12"/>
      <c r="KG265" s="12"/>
      <c r="KH265" s="12"/>
      <c r="KI265" s="12"/>
      <c r="KJ265" s="12"/>
      <c r="KK265" s="12"/>
      <c r="KL265" s="12"/>
      <c r="KM265" s="12"/>
      <c r="KN265" s="12"/>
      <c r="KO265" s="12"/>
      <c r="KP265" s="12"/>
      <c r="KQ265" s="12"/>
      <c r="KR265" s="12"/>
      <c r="KS265" s="12"/>
      <c r="KT265" s="12"/>
      <c r="KU265" s="12"/>
      <c r="KV265" s="12"/>
      <c r="KW265" s="12"/>
      <c r="KX265" s="12"/>
      <c r="KY265" s="12"/>
      <c r="KZ265" s="12"/>
      <c r="LA265" s="12"/>
      <c r="LB265" s="12"/>
      <c r="LC265" s="12"/>
      <c r="LD265" s="12"/>
      <c r="LE265" s="12"/>
      <c r="LF265" s="12"/>
      <c r="LG265" s="12"/>
      <c r="LH265" s="12"/>
      <c r="LI265" s="12"/>
      <c r="LJ265" s="12"/>
      <c r="LK265" s="12"/>
      <c r="LL265" s="12"/>
      <c r="LM265" s="12"/>
      <c r="LN265" s="12"/>
      <c r="LO265" s="12"/>
      <c r="LP265" s="12"/>
      <c r="LQ265" s="12"/>
      <c r="LR265" s="12"/>
      <c r="LS265" s="12"/>
      <c r="LT265" s="12"/>
      <c r="LU265" s="12"/>
      <c r="LV265" s="12"/>
      <c r="LW265" s="12"/>
      <c r="LX265" s="12"/>
      <c r="LY265" s="12"/>
      <c r="LZ265" s="12"/>
      <c r="MA265" s="12"/>
      <c r="MB265" s="12"/>
      <c r="MC265" s="12"/>
      <c r="MD265" s="12"/>
      <c r="ME265" s="12"/>
      <c r="MF265" s="12"/>
      <c r="MG265" s="12"/>
      <c r="MH265" s="12"/>
      <c r="MI265" s="12"/>
      <c r="MJ265" s="12"/>
      <c r="MK265" s="12"/>
      <c r="ML265" s="12"/>
      <c r="MM265" s="12"/>
      <c r="MN265" s="12"/>
      <c r="MO265" s="12"/>
      <c r="MP265" s="12"/>
      <c r="MQ265" s="12"/>
      <c r="MR265" s="12"/>
      <c r="MS265" s="12"/>
      <c r="MT265" s="12"/>
      <c r="MU265" s="12"/>
      <c r="MV265" s="12"/>
      <c r="MW265" s="12"/>
      <c r="MX265" s="12"/>
      <c r="MY265" s="12"/>
      <c r="MZ265" s="12"/>
      <c r="NA265" s="12"/>
      <c r="NB265" s="12"/>
      <c r="NC265" s="12"/>
      <c r="ND265" s="12"/>
      <c r="NE265" s="12"/>
      <c r="NF265" s="12"/>
      <c r="NG265" s="12"/>
      <c r="NH265" s="12"/>
      <c r="NI265" s="12"/>
      <c r="NJ265" s="12"/>
      <c r="NK265" s="12"/>
      <c r="NL265" s="12"/>
      <c r="NM265" s="12"/>
      <c r="NN265" s="12"/>
      <c r="NO265" s="12"/>
      <c r="NP265" s="12"/>
      <c r="NQ265" s="12"/>
      <c r="NR265" s="12"/>
      <c r="NS265" s="12"/>
      <c r="NT265" s="12"/>
      <c r="NU265" s="12"/>
      <c r="NV265" s="12"/>
      <c r="NW265" s="12"/>
      <c r="NX265" s="12"/>
      <c r="NY265" s="12"/>
      <c r="NZ265" s="12"/>
      <c r="OA265" s="12"/>
      <c r="OB265" s="12"/>
      <c r="OC265" s="12"/>
      <c r="OD265" s="12"/>
      <c r="OE265" s="12"/>
      <c r="OF265" s="12"/>
      <c r="OG265" s="12"/>
      <c r="OH265" s="12"/>
      <c r="OI265" s="12"/>
      <c r="OJ265" s="12"/>
      <c r="OK265" s="12"/>
      <c r="OL265" s="12"/>
      <c r="OM265" s="12"/>
      <c r="ON265" s="12"/>
      <c r="OO265" s="12"/>
      <c r="OP265" s="12"/>
      <c r="OQ265" s="12"/>
      <c r="OR265" s="12"/>
      <c r="OS265" s="12"/>
      <c r="OT265" s="12"/>
      <c r="OU265" s="12"/>
      <c r="OV265" s="12"/>
      <c r="OW265" s="12"/>
      <c r="OX265" s="12"/>
      <c r="OY265" s="12"/>
      <c r="OZ265" s="12"/>
      <c r="PA265" s="12"/>
      <c r="PB265" s="12"/>
      <c r="PC265" s="12"/>
      <c r="PD265" s="12"/>
      <c r="PE265" s="12"/>
      <c r="PF265" s="12"/>
      <c r="PG265" s="12"/>
      <c r="PH265" s="12"/>
      <c r="PI265" s="12"/>
      <c r="PJ265" s="12"/>
      <c r="PK265" s="12"/>
      <c r="PL265" s="12"/>
      <c r="PM265" s="12"/>
      <c r="PN265" s="12"/>
      <c r="PO265" s="12"/>
      <c r="PP265" s="12"/>
      <c r="PQ265" s="12"/>
      <c r="PR265" s="12"/>
      <c r="PS265" s="12"/>
      <c r="PT265" s="12"/>
      <c r="PU265" s="12"/>
      <c r="PV265" s="12"/>
      <c r="PW265" s="12"/>
      <c r="PX265" s="12"/>
      <c r="PY265" s="12"/>
      <c r="PZ265" s="12"/>
      <c r="QA265" s="12"/>
      <c r="QB265" s="12"/>
      <c r="QC265" s="12"/>
      <c r="QD265" s="12"/>
      <c r="QE265" s="12"/>
      <c r="QF265" s="12"/>
      <c r="QG265" s="12"/>
      <c r="QH265" s="12"/>
      <c r="QI265" s="12"/>
      <c r="QJ265" s="12"/>
      <c r="QK265" s="12"/>
      <c r="QL265" s="12"/>
      <c r="QM265" s="12"/>
      <c r="QN265" s="12"/>
      <c r="QO265" s="12"/>
      <c r="QP265" s="12"/>
      <c r="QQ265" s="12"/>
      <c r="QR265" s="12"/>
      <c r="QS265" s="12"/>
      <c r="QT265" s="12"/>
      <c r="QU265" s="12"/>
      <c r="QV265" s="12"/>
      <c r="QW265" s="12"/>
      <c r="QX265" s="12"/>
      <c r="QY265" s="12"/>
      <c r="QZ265" s="12"/>
      <c r="RA265" s="12"/>
      <c r="RB265" s="12"/>
      <c r="RC265" s="12"/>
      <c r="RD265" s="12"/>
      <c r="RE265" s="12"/>
      <c r="RF265" s="12"/>
      <c r="RG265" s="12"/>
      <c r="RH265" s="12"/>
      <c r="RI265" s="12"/>
      <c r="RJ265" s="12"/>
      <c r="RK265" s="12"/>
      <c r="RL265" s="12"/>
      <c r="RM265" s="12"/>
      <c r="RN265" s="12"/>
      <c r="RO265" s="12"/>
      <c r="RP265" s="12"/>
      <c r="RQ265" s="12"/>
      <c r="RR265" s="12"/>
      <c r="RS265" s="12"/>
      <c r="RT265" s="12"/>
      <c r="RU265" s="12"/>
      <c r="RV265" s="12"/>
      <c r="RW265" s="12"/>
      <c r="RX265" s="12"/>
      <c r="RY265" s="12"/>
      <c r="RZ265" s="12"/>
      <c r="SA265" s="12"/>
      <c r="SB265" s="12"/>
      <c r="SC265" s="12"/>
      <c r="SD265" s="12"/>
      <c r="SE265" s="12"/>
      <c r="SF265" s="12"/>
      <c r="SG265" s="12"/>
      <c r="SH265" s="11"/>
      <c r="SI265" s="11"/>
      <c r="SJ265" s="11"/>
      <c r="SK265" s="11"/>
      <c r="SL265" s="11"/>
      <c r="SM265" s="11"/>
      <c r="SN265" s="11"/>
      <c r="SO265" s="11"/>
      <c r="SP265" s="11"/>
      <c r="SQ265" s="11"/>
      <c r="SR265" s="11"/>
      <c r="SS265" s="11"/>
      <c r="ST265" s="11"/>
      <c r="SU265" s="11"/>
      <c r="SV265" s="11"/>
      <c r="SW265" s="11"/>
      <c r="SX265" s="11"/>
      <c r="SY265" s="11"/>
      <c r="SZ265" s="11"/>
      <c r="TA265" s="11"/>
      <c r="TB265" s="11"/>
      <c r="TC265" s="11"/>
      <c r="TD265" s="11"/>
      <c r="TE265" s="11"/>
      <c r="TF265" s="11"/>
      <c r="TG265" s="11"/>
      <c r="TH265" s="11"/>
      <c r="TI265" s="11"/>
      <c r="TJ265" s="11"/>
      <c r="TK265" s="11"/>
      <c r="TL265" s="11"/>
    </row>
    <row r="266" spans="1:532" x14ac:dyDescent="0.2">
      <c r="A266" s="10" t="s">
        <v>265</v>
      </c>
      <c r="B266" s="12">
        <v>14.54</v>
      </c>
      <c r="C266" s="11">
        <v>0</v>
      </c>
      <c r="D266" s="11">
        <v>0.45539267143522444</v>
      </c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  <c r="BW266" s="12"/>
      <c r="BX266" s="12"/>
      <c r="BY266" s="12"/>
      <c r="BZ266" s="12"/>
      <c r="CA266" s="12"/>
      <c r="CB266" s="12"/>
      <c r="CC266" s="12"/>
      <c r="CD266" s="12"/>
      <c r="CE266" s="12"/>
      <c r="CF266" s="12"/>
      <c r="CG266" s="12"/>
      <c r="CH266" s="12"/>
      <c r="CI266" s="12"/>
      <c r="CJ266" s="12"/>
      <c r="CK266" s="12"/>
      <c r="CL266" s="12"/>
      <c r="CM266" s="12"/>
      <c r="CN266" s="12"/>
      <c r="CO266" s="12"/>
      <c r="CP266" s="12"/>
      <c r="CQ266" s="12"/>
      <c r="CR266" s="12"/>
      <c r="CS266" s="12"/>
      <c r="CT266" s="12"/>
      <c r="CU266" s="12"/>
      <c r="CV266" s="12"/>
      <c r="CW266" s="12"/>
      <c r="CX266" s="12"/>
      <c r="CY266" s="12"/>
      <c r="CZ266" s="12"/>
      <c r="DA266" s="12"/>
      <c r="DB266" s="12"/>
      <c r="DC266" s="12"/>
      <c r="DD266" s="12"/>
      <c r="DE266" s="12"/>
      <c r="DF266" s="12"/>
      <c r="DG266" s="12"/>
      <c r="DH266" s="12"/>
      <c r="DI266" s="12"/>
      <c r="DJ266" s="12"/>
      <c r="DK266" s="12"/>
      <c r="DL266" s="12"/>
      <c r="DM266" s="12"/>
      <c r="DN266" s="12"/>
      <c r="DO266" s="12"/>
      <c r="DP266" s="12"/>
      <c r="DQ266" s="12"/>
      <c r="DR266" s="12"/>
      <c r="DS266" s="12"/>
      <c r="DT266" s="12"/>
      <c r="DU266" s="12"/>
      <c r="DV266" s="12"/>
      <c r="DW266" s="12"/>
      <c r="DX266" s="12"/>
      <c r="DY266" s="12"/>
      <c r="DZ266" s="12"/>
      <c r="EA266" s="12"/>
      <c r="EB266" s="12"/>
      <c r="EC266" s="12"/>
      <c r="ED266" s="12"/>
      <c r="EE266" s="12"/>
      <c r="EF266" s="12"/>
      <c r="EG266" s="12"/>
      <c r="EH266" s="12"/>
      <c r="EI266" s="12"/>
      <c r="EJ266" s="12"/>
      <c r="EK266" s="12"/>
      <c r="EL266" s="12"/>
      <c r="EM266" s="12"/>
      <c r="EN266" s="12"/>
      <c r="EO266" s="12"/>
      <c r="EP266" s="12"/>
      <c r="EQ266" s="12"/>
      <c r="ER266" s="12"/>
      <c r="ES266" s="12"/>
      <c r="ET266" s="12"/>
      <c r="EU266" s="12"/>
      <c r="EV266" s="12"/>
      <c r="EW266" s="12"/>
      <c r="EX266" s="12"/>
      <c r="EY266" s="12"/>
      <c r="EZ266" s="12"/>
      <c r="FA266" s="12"/>
      <c r="FB266" s="12"/>
      <c r="FC266" s="12"/>
      <c r="FD266" s="12"/>
      <c r="FE266" s="12"/>
      <c r="FF266" s="12"/>
      <c r="FG266" s="12"/>
      <c r="FH266" s="12"/>
      <c r="FI266" s="12"/>
      <c r="FJ266" s="12"/>
      <c r="FK266" s="12"/>
      <c r="FL266" s="12"/>
      <c r="FM266" s="12"/>
      <c r="FN266" s="12"/>
      <c r="FO266" s="12"/>
      <c r="FP266" s="12"/>
      <c r="FQ266" s="12"/>
      <c r="FR266" s="12"/>
      <c r="FS266" s="12"/>
      <c r="FT266" s="12"/>
      <c r="FU266" s="12"/>
      <c r="FV266" s="12"/>
      <c r="FW266" s="12"/>
      <c r="FX266" s="12"/>
      <c r="FY266" s="12"/>
      <c r="FZ266" s="12"/>
      <c r="GA266" s="12"/>
      <c r="GB266" s="12"/>
      <c r="GC266" s="12"/>
      <c r="GD266" s="12"/>
      <c r="GE266" s="12"/>
      <c r="GF266" s="12"/>
      <c r="GG266" s="12"/>
      <c r="GH266" s="12"/>
      <c r="GI266" s="12"/>
      <c r="GJ266" s="12"/>
      <c r="GK266" s="12"/>
      <c r="GL266" s="12"/>
      <c r="GM266" s="12"/>
      <c r="GN266" s="12"/>
      <c r="GO266" s="12"/>
      <c r="GP266" s="12"/>
      <c r="GQ266" s="12"/>
      <c r="GR266" s="12"/>
      <c r="GS266" s="12"/>
      <c r="GT266" s="12"/>
      <c r="GU266" s="12"/>
      <c r="GV266" s="12"/>
      <c r="GW266" s="12"/>
      <c r="GX266" s="12"/>
      <c r="GY266" s="12"/>
      <c r="GZ266" s="12"/>
      <c r="HA266" s="12"/>
      <c r="HB266" s="12"/>
      <c r="HC266" s="12"/>
      <c r="HD266" s="12"/>
      <c r="HE266" s="12"/>
      <c r="HF266" s="12"/>
      <c r="HG266" s="12"/>
      <c r="HH266" s="12"/>
      <c r="HI266" s="12"/>
      <c r="HJ266" s="12"/>
      <c r="HK266" s="12"/>
      <c r="HL266" s="12"/>
      <c r="HM266" s="12"/>
      <c r="HN266" s="12"/>
      <c r="HO266" s="12"/>
      <c r="HP266" s="12"/>
      <c r="HQ266" s="12"/>
      <c r="HR266" s="12"/>
      <c r="HS266" s="12"/>
      <c r="HT266" s="12"/>
      <c r="HU266" s="12"/>
      <c r="HV266" s="12"/>
      <c r="HW266" s="12"/>
      <c r="HX266" s="12"/>
      <c r="HY266" s="12"/>
      <c r="HZ266" s="12"/>
      <c r="IA266" s="12"/>
      <c r="IB266" s="12"/>
      <c r="IC266" s="12"/>
      <c r="ID266" s="12"/>
      <c r="IE266" s="12"/>
      <c r="IF266" s="12"/>
      <c r="IG266" s="12"/>
      <c r="IH266" s="12"/>
      <c r="II266" s="12"/>
      <c r="IJ266" s="12"/>
      <c r="IK266" s="12"/>
      <c r="IL266" s="12"/>
      <c r="IM266" s="12"/>
      <c r="IN266" s="12"/>
      <c r="IO266" s="12"/>
      <c r="IP266" s="12"/>
      <c r="IQ266" s="12"/>
      <c r="IR266" s="12"/>
      <c r="IS266" s="12"/>
      <c r="IT266" s="12"/>
      <c r="IU266" s="12"/>
      <c r="IV266" s="12"/>
      <c r="IW266" s="12"/>
      <c r="IX266" s="12"/>
      <c r="IY266" s="12"/>
      <c r="IZ266" s="12"/>
      <c r="JA266" s="12"/>
      <c r="JB266" s="12"/>
      <c r="JC266" s="12"/>
      <c r="JD266" s="12"/>
      <c r="JE266" s="12"/>
      <c r="JF266" s="12"/>
      <c r="JG266" s="12"/>
      <c r="JH266" s="12"/>
      <c r="JI266" s="12"/>
      <c r="JJ266" s="12"/>
      <c r="JK266" s="12"/>
      <c r="JL266" s="12"/>
      <c r="JM266" s="12"/>
      <c r="JN266" s="12"/>
      <c r="JO266" s="12"/>
      <c r="JP266" s="12"/>
      <c r="JQ266" s="12"/>
      <c r="JR266" s="12"/>
      <c r="JS266" s="12"/>
      <c r="JT266" s="12"/>
      <c r="JU266" s="12"/>
      <c r="JV266" s="12"/>
      <c r="JW266" s="12"/>
      <c r="JX266" s="12"/>
      <c r="JY266" s="12"/>
      <c r="JZ266" s="12"/>
      <c r="KA266" s="12"/>
      <c r="KB266" s="12"/>
      <c r="KC266" s="12"/>
      <c r="KD266" s="12"/>
      <c r="KE266" s="12"/>
      <c r="KF266" s="12"/>
      <c r="KG266" s="12"/>
      <c r="KH266" s="12"/>
      <c r="KI266" s="12"/>
      <c r="KJ266" s="12"/>
      <c r="KK266" s="12"/>
      <c r="KL266" s="12"/>
      <c r="KM266" s="12"/>
      <c r="KN266" s="12"/>
      <c r="KO266" s="12"/>
      <c r="KP266" s="12"/>
      <c r="KQ266" s="12"/>
      <c r="KR266" s="12"/>
      <c r="KS266" s="12"/>
      <c r="KT266" s="12"/>
      <c r="KU266" s="12"/>
      <c r="KV266" s="12"/>
      <c r="KW266" s="12"/>
      <c r="KX266" s="12"/>
      <c r="KY266" s="12"/>
      <c r="KZ266" s="12"/>
      <c r="LA266" s="12"/>
      <c r="LB266" s="12"/>
      <c r="LC266" s="12"/>
      <c r="LD266" s="12"/>
      <c r="LE266" s="12"/>
      <c r="LF266" s="12"/>
      <c r="LG266" s="12"/>
      <c r="LH266" s="12"/>
      <c r="LI266" s="12"/>
      <c r="LJ266" s="12"/>
      <c r="LK266" s="12"/>
      <c r="LL266" s="12"/>
      <c r="LM266" s="12"/>
      <c r="LN266" s="12"/>
      <c r="LO266" s="12"/>
      <c r="LP266" s="12"/>
      <c r="LQ266" s="12"/>
      <c r="LR266" s="12"/>
      <c r="LS266" s="12"/>
      <c r="LT266" s="12"/>
      <c r="LU266" s="12"/>
      <c r="LV266" s="12"/>
      <c r="LW266" s="12"/>
      <c r="LX266" s="12"/>
      <c r="LY266" s="12"/>
      <c r="LZ266" s="12"/>
      <c r="MA266" s="12"/>
      <c r="MB266" s="12"/>
      <c r="MC266" s="12"/>
      <c r="MD266" s="12"/>
      <c r="ME266" s="12"/>
      <c r="MF266" s="12"/>
      <c r="MG266" s="12"/>
      <c r="MH266" s="12"/>
      <c r="MI266" s="12"/>
      <c r="MJ266" s="12"/>
      <c r="MK266" s="12"/>
      <c r="ML266" s="12"/>
      <c r="MM266" s="12"/>
      <c r="MN266" s="12"/>
      <c r="MO266" s="12"/>
      <c r="MP266" s="12"/>
      <c r="MQ266" s="12"/>
      <c r="MR266" s="12"/>
      <c r="MS266" s="12"/>
      <c r="MT266" s="12"/>
      <c r="MU266" s="12"/>
      <c r="MV266" s="12"/>
      <c r="MW266" s="12"/>
      <c r="MX266" s="12"/>
      <c r="MY266" s="12"/>
      <c r="MZ266" s="12"/>
      <c r="NA266" s="12"/>
      <c r="NB266" s="12"/>
      <c r="NC266" s="12"/>
      <c r="ND266" s="12"/>
      <c r="NE266" s="12"/>
      <c r="NF266" s="12"/>
      <c r="NG266" s="12"/>
      <c r="NH266" s="12"/>
      <c r="NI266" s="12"/>
      <c r="NJ266" s="12"/>
      <c r="NK266" s="12"/>
      <c r="NL266" s="12"/>
      <c r="NM266" s="12"/>
      <c r="NN266" s="12"/>
      <c r="NO266" s="12"/>
      <c r="NP266" s="12"/>
      <c r="NQ266" s="12"/>
      <c r="NR266" s="12"/>
      <c r="NS266" s="12"/>
      <c r="NT266" s="12"/>
      <c r="NU266" s="12"/>
      <c r="NV266" s="12"/>
      <c r="NW266" s="12"/>
      <c r="NX266" s="12"/>
      <c r="NY266" s="12"/>
      <c r="NZ266" s="12"/>
      <c r="OA266" s="12"/>
      <c r="OB266" s="12"/>
      <c r="OC266" s="12"/>
      <c r="OD266" s="12"/>
      <c r="OE266" s="12"/>
      <c r="OF266" s="12"/>
      <c r="OG266" s="12"/>
      <c r="OH266" s="12"/>
      <c r="OI266" s="12"/>
      <c r="OJ266" s="12"/>
      <c r="OK266" s="12"/>
      <c r="OL266" s="12"/>
      <c r="OM266" s="12"/>
      <c r="ON266" s="12"/>
      <c r="OO266" s="12"/>
      <c r="OP266" s="12"/>
      <c r="OQ266" s="12"/>
      <c r="OR266" s="12"/>
      <c r="OS266" s="12"/>
      <c r="OT266" s="12"/>
      <c r="OU266" s="12"/>
      <c r="OV266" s="12"/>
      <c r="OW266" s="12"/>
      <c r="OX266" s="12"/>
      <c r="OY266" s="12"/>
      <c r="OZ266" s="12"/>
      <c r="PA266" s="12"/>
      <c r="PB266" s="12"/>
      <c r="PC266" s="12"/>
      <c r="PD266" s="12"/>
      <c r="PE266" s="12"/>
      <c r="PF266" s="12"/>
      <c r="PG266" s="12"/>
      <c r="PH266" s="12"/>
      <c r="PI266" s="12"/>
      <c r="PJ266" s="12"/>
      <c r="PK266" s="12"/>
      <c r="PL266" s="12"/>
      <c r="PM266" s="12"/>
      <c r="PN266" s="12"/>
      <c r="PO266" s="12"/>
      <c r="PP266" s="12"/>
      <c r="PQ266" s="12"/>
      <c r="PR266" s="12"/>
      <c r="PS266" s="12"/>
      <c r="PT266" s="12"/>
      <c r="PU266" s="12"/>
      <c r="PV266" s="12"/>
      <c r="PW266" s="12"/>
      <c r="PX266" s="12"/>
      <c r="PY266" s="12"/>
      <c r="PZ266" s="12"/>
      <c r="QA266" s="12"/>
      <c r="QB266" s="12"/>
      <c r="QC266" s="12"/>
      <c r="QD266" s="12"/>
      <c r="QE266" s="12"/>
      <c r="QF266" s="12"/>
      <c r="QG266" s="12"/>
      <c r="QH266" s="12"/>
      <c r="QI266" s="12"/>
      <c r="QJ266" s="12"/>
      <c r="QK266" s="12"/>
      <c r="QL266" s="12"/>
      <c r="QM266" s="12"/>
      <c r="QN266" s="12"/>
      <c r="QO266" s="12"/>
      <c r="QP266" s="12"/>
      <c r="QQ266" s="12"/>
      <c r="QR266" s="12"/>
      <c r="QS266" s="12"/>
      <c r="QT266" s="12"/>
      <c r="QU266" s="12"/>
      <c r="QV266" s="12"/>
      <c r="QW266" s="12"/>
      <c r="QX266" s="12"/>
      <c r="QY266" s="12"/>
      <c r="QZ266" s="12"/>
      <c r="RA266" s="12"/>
      <c r="RB266" s="12"/>
      <c r="RC266" s="12"/>
      <c r="RD266" s="12"/>
      <c r="RE266" s="12"/>
      <c r="RF266" s="12"/>
      <c r="RG266" s="12"/>
      <c r="RH266" s="12"/>
      <c r="RI266" s="12"/>
      <c r="RJ266" s="12"/>
      <c r="RK266" s="12"/>
      <c r="RL266" s="12"/>
      <c r="RM266" s="12"/>
      <c r="RN266" s="12"/>
      <c r="RO266" s="12"/>
      <c r="RP266" s="12"/>
      <c r="RQ266" s="12"/>
      <c r="RR266" s="12"/>
      <c r="RS266" s="12"/>
      <c r="RT266" s="12"/>
      <c r="RU266" s="12"/>
      <c r="RV266" s="12"/>
      <c r="RW266" s="12"/>
      <c r="RX266" s="12"/>
      <c r="RY266" s="12"/>
      <c r="RZ266" s="12"/>
      <c r="SA266" s="12"/>
      <c r="SB266" s="12"/>
      <c r="SC266" s="12"/>
      <c r="SD266" s="12"/>
      <c r="SE266" s="12"/>
      <c r="SF266" s="12"/>
      <c r="SG266" s="12"/>
      <c r="SH266" s="11"/>
      <c r="SI266" s="11"/>
      <c r="SJ266" s="11"/>
      <c r="SK266" s="11"/>
      <c r="SL266" s="11"/>
      <c r="SM266" s="11"/>
      <c r="SN266" s="11"/>
      <c r="SO266" s="11"/>
      <c r="SP266" s="11"/>
      <c r="SQ266" s="11"/>
      <c r="SR266" s="11"/>
      <c r="SS266" s="11"/>
      <c r="ST266" s="11"/>
      <c r="SU266" s="11"/>
      <c r="SV266" s="11"/>
      <c r="SW266" s="11"/>
      <c r="SX266" s="11"/>
      <c r="SY266" s="11"/>
      <c r="SZ266" s="11"/>
      <c r="TA266" s="11"/>
      <c r="TB266" s="11"/>
      <c r="TC266" s="11"/>
      <c r="TD266" s="11"/>
      <c r="TE266" s="11"/>
      <c r="TF266" s="11"/>
      <c r="TG266" s="11"/>
      <c r="TH266" s="11"/>
      <c r="TI266" s="11"/>
      <c r="TJ266" s="11"/>
      <c r="TK266" s="11"/>
      <c r="TL266" s="11"/>
    </row>
    <row r="267" spans="1:532" x14ac:dyDescent="0.2">
      <c r="A267" s="10" t="s">
        <v>266</v>
      </c>
      <c r="B267" s="12">
        <v>16.13</v>
      </c>
      <c r="C267" s="11">
        <v>1.118681997221312</v>
      </c>
      <c r="D267" s="11">
        <v>0</v>
      </c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  <c r="BW267" s="12"/>
      <c r="BX267" s="12"/>
      <c r="BY267" s="12"/>
      <c r="BZ267" s="12"/>
      <c r="CA267" s="12"/>
      <c r="CB267" s="12"/>
      <c r="CC267" s="12"/>
      <c r="CD267" s="12"/>
      <c r="CE267" s="12"/>
      <c r="CF267" s="12"/>
      <c r="CG267" s="12"/>
      <c r="CH267" s="12"/>
      <c r="CI267" s="12"/>
      <c r="CJ267" s="12"/>
      <c r="CK267" s="12"/>
      <c r="CL267" s="12"/>
      <c r="CM267" s="12"/>
      <c r="CN267" s="12"/>
      <c r="CO267" s="12"/>
      <c r="CP267" s="12"/>
      <c r="CQ267" s="12"/>
      <c r="CR267" s="12"/>
      <c r="CS267" s="12"/>
      <c r="CT267" s="12"/>
      <c r="CU267" s="12"/>
      <c r="CV267" s="12"/>
      <c r="CW267" s="12"/>
      <c r="CX267" s="12"/>
      <c r="CY267" s="12"/>
      <c r="CZ267" s="12"/>
      <c r="DA267" s="12"/>
      <c r="DB267" s="12"/>
      <c r="DC267" s="12"/>
      <c r="DD267" s="12"/>
      <c r="DE267" s="12"/>
      <c r="DF267" s="12"/>
      <c r="DG267" s="12"/>
      <c r="DH267" s="12"/>
      <c r="DI267" s="12"/>
      <c r="DJ267" s="12"/>
      <c r="DK267" s="12"/>
      <c r="DL267" s="12"/>
      <c r="DM267" s="12"/>
      <c r="DN267" s="12"/>
      <c r="DO267" s="12"/>
      <c r="DP267" s="12"/>
      <c r="DQ267" s="12"/>
      <c r="DR267" s="12"/>
      <c r="DS267" s="12"/>
      <c r="DT267" s="12"/>
      <c r="DU267" s="12"/>
      <c r="DV267" s="12"/>
      <c r="DW267" s="12"/>
      <c r="DX267" s="12"/>
      <c r="DY267" s="12"/>
      <c r="DZ267" s="12"/>
      <c r="EA267" s="12"/>
      <c r="EB267" s="12"/>
      <c r="EC267" s="12"/>
      <c r="ED267" s="12"/>
      <c r="EE267" s="12"/>
      <c r="EF267" s="12"/>
      <c r="EG267" s="12"/>
      <c r="EH267" s="12"/>
      <c r="EI267" s="12"/>
      <c r="EJ267" s="12"/>
      <c r="EK267" s="12"/>
      <c r="EL267" s="12"/>
      <c r="EM267" s="12"/>
      <c r="EN267" s="12"/>
      <c r="EO267" s="12"/>
      <c r="EP267" s="12"/>
      <c r="EQ267" s="12"/>
      <c r="ER267" s="12"/>
      <c r="ES267" s="12"/>
      <c r="ET267" s="12"/>
      <c r="EU267" s="12"/>
      <c r="EV267" s="12"/>
      <c r="EW267" s="12"/>
      <c r="EX267" s="12"/>
      <c r="EY267" s="12"/>
      <c r="EZ267" s="12"/>
      <c r="FA267" s="12"/>
      <c r="FB267" s="12"/>
      <c r="FC267" s="12"/>
      <c r="FD267" s="12"/>
      <c r="FE267" s="12"/>
      <c r="FF267" s="12"/>
      <c r="FG267" s="12"/>
      <c r="FH267" s="12"/>
      <c r="FI267" s="12"/>
      <c r="FJ267" s="12"/>
      <c r="FK267" s="12"/>
      <c r="FL267" s="12"/>
      <c r="FM267" s="12"/>
      <c r="FN267" s="12"/>
      <c r="FO267" s="12"/>
      <c r="FP267" s="12"/>
      <c r="FQ267" s="12"/>
      <c r="FR267" s="12"/>
      <c r="FS267" s="12"/>
      <c r="FT267" s="12"/>
      <c r="FU267" s="12"/>
      <c r="FV267" s="12"/>
      <c r="FW267" s="12"/>
      <c r="FX267" s="12"/>
      <c r="FY267" s="12"/>
      <c r="FZ267" s="12"/>
      <c r="GA267" s="12"/>
      <c r="GB267" s="12"/>
      <c r="GC267" s="12"/>
      <c r="GD267" s="12"/>
      <c r="GE267" s="12"/>
      <c r="GF267" s="12"/>
      <c r="GG267" s="12"/>
      <c r="GH267" s="12"/>
      <c r="GI267" s="12"/>
      <c r="GJ267" s="12"/>
      <c r="GK267" s="12"/>
      <c r="GL267" s="12"/>
      <c r="GM267" s="12"/>
      <c r="GN267" s="12"/>
      <c r="GO267" s="12"/>
      <c r="GP267" s="12"/>
      <c r="GQ267" s="12"/>
      <c r="GR267" s="12"/>
      <c r="GS267" s="12"/>
      <c r="GT267" s="12"/>
      <c r="GU267" s="12"/>
      <c r="GV267" s="12"/>
      <c r="GW267" s="12"/>
      <c r="GX267" s="12"/>
      <c r="GY267" s="12"/>
      <c r="GZ267" s="12"/>
      <c r="HA267" s="12"/>
      <c r="HB267" s="12"/>
      <c r="HC267" s="12"/>
      <c r="HD267" s="12"/>
      <c r="HE267" s="12"/>
      <c r="HF267" s="12"/>
      <c r="HG267" s="12"/>
      <c r="HH267" s="12"/>
      <c r="HI267" s="12"/>
      <c r="HJ267" s="12"/>
      <c r="HK267" s="12"/>
      <c r="HL267" s="12"/>
      <c r="HM267" s="12"/>
      <c r="HN267" s="12"/>
      <c r="HO267" s="12"/>
      <c r="HP267" s="12"/>
      <c r="HQ267" s="12"/>
      <c r="HR267" s="12"/>
      <c r="HS267" s="12"/>
      <c r="HT267" s="12"/>
      <c r="HU267" s="12"/>
      <c r="HV267" s="12"/>
      <c r="HW267" s="12"/>
      <c r="HX267" s="12"/>
      <c r="HY267" s="12"/>
      <c r="HZ267" s="12"/>
      <c r="IA267" s="12"/>
      <c r="IB267" s="12"/>
      <c r="IC267" s="12"/>
      <c r="ID267" s="12"/>
      <c r="IE267" s="12"/>
      <c r="IF267" s="12"/>
      <c r="IG267" s="12"/>
      <c r="IH267" s="12"/>
      <c r="II267" s="12"/>
      <c r="IJ267" s="12"/>
      <c r="IK267" s="12"/>
      <c r="IL267" s="12"/>
      <c r="IM267" s="12"/>
      <c r="IN267" s="12"/>
      <c r="IO267" s="12"/>
      <c r="IP267" s="12"/>
      <c r="IQ267" s="12"/>
      <c r="IR267" s="12"/>
      <c r="IS267" s="12"/>
      <c r="IT267" s="12"/>
      <c r="IU267" s="12"/>
      <c r="IV267" s="12"/>
      <c r="IW267" s="12"/>
      <c r="IX267" s="12"/>
      <c r="IY267" s="12"/>
      <c r="IZ267" s="12"/>
      <c r="JA267" s="12"/>
      <c r="JB267" s="12"/>
      <c r="JC267" s="12"/>
      <c r="JD267" s="12"/>
      <c r="JE267" s="12"/>
      <c r="JF267" s="12"/>
      <c r="JG267" s="12"/>
      <c r="JH267" s="12"/>
      <c r="JI267" s="12"/>
      <c r="JJ267" s="12"/>
      <c r="JK267" s="12"/>
      <c r="JL267" s="12"/>
      <c r="JM267" s="12"/>
      <c r="JN267" s="12"/>
      <c r="JO267" s="12"/>
      <c r="JP267" s="12"/>
      <c r="JQ267" s="12"/>
      <c r="JR267" s="12"/>
      <c r="JS267" s="12"/>
      <c r="JT267" s="12"/>
      <c r="JU267" s="12"/>
      <c r="JV267" s="12"/>
      <c r="JW267" s="12"/>
      <c r="JX267" s="12"/>
      <c r="JY267" s="12"/>
      <c r="JZ267" s="12"/>
      <c r="KA267" s="12"/>
      <c r="KB267" s="12"/>
      <c r="KC267" s="12"/>
      <c r="KD267" s="12"/>
      <c r="KE267" s="12"/>
      <c r="KF267" s="12"/>
      <c r="KG267" s="12"/>
      <c r="KH267" s="12"/>
      <c r="KI267" s="12"/>
      <c r="KJ267" s="12"/>
      <c r="KK267" s="12"/>
      <c r="KL267" s="12"/>
      <c r="KM267" s="12"/>
      <c r="KN267" s="12"/>
      <c r="KO267" s="12"/>
      <c r="KP267" s="12"/>
      <c r="KQ267" s="12"/>
      <c r="KR267" s="12"/>
      <c r="KS267" s="12"/>
      <c r="KT267" s="12"/>
      <c r="KU267" s="12"/>
      <c r="KV267" s="12"/>
      <c r="KW267" s="12"/>
      <c r="KX267" s="12"/>
      <c r="KY267" s="12"/>
      <c r="KZ267" s="12"/>
      <c r="LA267" s="12"/>
      <c r="LB267" s="12"/>
      <c r="LC267" s="12"/>
      <c r="LD267" s="12"/>
      <c r="LE267" s="12"/>
      <c r="LF267" s="12"/>
      <c r="LG267" s="12"/>
      <c r="LH267" s="12"/>
      <c r="LI267" s="12"/>
      <c r="LJ267" s="12"/>
      <c r="LK267" s="12"/>
      <c r="LL267" s="12"/>
      <c r="LM267" s="12"/>
      <c r="LN267" s="12"/>
      <c r="LO267" s="12"/>
      <c r="LP267" s="12"/>
      <c r="LQ267" s="12"/>
      <c r="LR267" s="12"/>
      <c r="LS267" s="12"/>
      <c r="LT267" s="12"/>
      <c r="LU267" s="12"/>
      <c r="LV267" s="12"/>
      <c r="LW267" s="12"/>
      <c r="LX267" s="12"/>
      <c r="LY267" s="12"/>
      <c r="LZ267" s="12"/>
      <c r="MA267" s="12"/>
      <c r="MB267" s="12"/>
      <c r="MC267" s="12"/>
      <c r="MD267" s="12"/>
      <c r="ME267" s="12"/>
      <c r="MF267" s="12"/>
      <c r="MG267" s="12"/>
      <c r="MH267" s="12"/>
      <c r="MI267" s="12"/>
      <c r="MJ267" s="12"/>
      <c r="MK267" s="12"/>
      <c r="ML267" s="12"/>
      <c r="MM267" s="12"/>
      <c r="MN267" s="12"/>
      <c r="MO267" s="12"/>
      <c r="MP267" s="12"/>
      <c r="MQ267" s="12"/>
      <c r="MR267" s="12"/>
      <c r="MS267" s="12"/>
      <c r="MT267" s="12"/>
      <c r="MU267" s="12"/>
      <c r="MV267" s="12"/>
      <c r="MW267" s="12"/>
      <c r="MX267" s="12"/>
      <c r="MY267" s="12"/>
      <c r="MZ267" s="12"/>
      <c r="NA267" s="12"/>
      <c r="NB267" s="12"/>
      <c r="NC267" s="12"/>
      <c r="ND267" s="12"/>
      <c r="NE267" s="12"/>
      <c r="NF267" s="12"/>
      <c r="NG267" s="12"/>
      <c r="NH267" s="12"/>
      <c r="NI267" s="12"/>
      <c r="NJ267" s="12"/>
      <c r="NK267" s="12"/>
      <c r="NL267" s="12"/>
      <c r="NM267" s="12"/>
      <c r="NN267" s="12"/>
      <c r="NO267" s="12"/>
      <c r="NP267" s="12"/>
      <c r="NQ267" s="12"/>
      <c r="NR267" s="12"/>
      <c r="NS267" s="12"/>
      <c r="NT267" s="12"/>
      <c r="NU267" s="12"/>
      <c r="NV267" s="12"/>
      <c r="NW267" s="12"/>
      <c r="NX267" s="12"/>
      <c r="NY267" s="12"/>
      <c r="NZ267" s="12"/>
      <c r="OA267" s="12"/>
      <c r="OB267" s="12"/>
      <c r="OC267" s="12"/>
      <c r="OD267" s="12"/>
      <c r="OE267" s="12"/>
      <c r="OF267" s="12"/>
      <c r="OG267" s="12"/>
      <c r="OH267" s="12"/>
      <c r="OI267" s="12"/>
      <c r="OJ267" s="12"/>
      <c r="OK267" s="12"/>
      <c r="OL267" s="12"/>
      <c r="OM267" s="12"/>
      <c r="ON267" s="12"/>
      <c r="OO267" s="12"/>
      <c r="OP267" s="12"/>
      <c r="OQ267" s="12"/>
      <c r="OR267" s="12"/>
      <c r="OS267" s="12"/>
      <c r="OT267" s="12"/>
      <c r="OU267" s="12"/>
      <c r="OV267" s="12"/>
      <c r="OW267" s="12"/>
      <c r="OX267" s="12"/>
      <c r="OY267" s="12"/>
      <c r="OZ267" s="12"/>
      <c r="PA267" s="12"/>
      <c r="PB267" s="12"/>
      <c r="PC267" s="12"/>
      <c r="PD267" s="12"/>
      <c r="PE267" s="12"/>
      <c r="PF267" s="12"/>
      <c r="PG267" s="12"/>
      <c r="PH267" s="12"/>
      <c r="PI267" s="12"/>
      <c r="PJ267" s="12"/>
      <c r="PK267" s="12"/>
      <c r="PL267" s="12"/>
      <c r="PM267" s="12"/>
      <c r="PN267" s="12"/>
      <c r="PO267" s="12"/>
      <c r="PP267" s="12"/>
      <c r="PQ267" s="12"/>
      <c r="PR267" s="12"/>
      <c r="PS267" s="12"/>
      <c r="PT267" s="12"/>
      <c r="PU267" s="12"/>
      <c r="PV267" s="12"/>
      <c r="PW267" s="12"/>
      <c r="PX267" s="12"/>
      <c r="PY267" s="12"/>
      <c r="PZ267" s="12"/>
      <c r="QA267" s="12"/>
      <c r="QB267" s="12"/>
      <c r="QC267" s="12"/>
      <c r="QD267" s="12"/>
      <c r="QE267" s="12"/>
      <c r="QF267" s="12"/>
      <c r="QG267" s="12"/>
      <c r="QH267" s="12"/>
      <c r="QI267" s="12"/>
      <c r="QJ267" s="12"/>
      <c r="QK267" s="12"/>
      <c r="QL267" s="12"/>
      <c r="QM267" s="12"/>
      <c r="QN267" s="12"/>
      <c r="QO267" s="12"/>
      <c r="QP267" s="12"/>
      <c r="QQ267" s="12"/>
      <c r="QR267" s="12"/>
      <c r="QS267" s="12"/>
      <c r="QT267" s="12"/>
      <c r="QU267" s="12"/>
      <c r="QV267" s="12"/>
      <c r="QW267" s="12"/>
      <c r="QX267" s="12"/>
      <c r="QY267" s="12"/>
      <c r="QZ267" s="12"/>
      <c r="RA267" s="12"/>
      <c r="RB267" s="12"/>
      <c r="RC267" s="12"/>
      <c r="RD267" s="12"/>
      <c r="RE267" s="12"/>
      <c r="RF267" s="12"/>
      <c r="RG267" s="12"/>
      <c r="RH267" s="12"/>
      <c r="RI267" s="12"/>
      <c r="RJ267" s="12"/>
      <c r="RK267" s="12"/>
      <c r="RL267" s="12"/>
      <c r="RM267" s="12"/>
      <c r="RN267" s="12"/>
      <c r="RO267" s="12"/>
      <c r="RP267" s="12"/>
      <c r="RQ267" s="12"/>
      <c r="RR267" s="12"/>
      <c r="RS267" s="12"/>
      <c r="RT267" s="12"/>
      <c r="RU267" s="12"/>
      <c r="RV267" s="12"/>
      <c r="RW267" s="12"/>
      <c r="RX267" s="12"/>
      <c r="RY267" s="12"/>
      <c r="RZ267" s="12"/>
      <c r="SA267" s="12"/>
      <c r="SB267" s="12"/>
      <c r="SC267" s="12"/>
      <c r="SD267" s="12"/>
      <c r="SE267" s="12"/>
      <c r="SF267" s="12"/>
      <c r="SG267" s="12"/>
      <c r="SH267" s="11"/>
      <c r="SI267" s="11"/>
      <c r="SJ267" s="11"/>
      <c r="SK267" s="11"/>
      <c r="SL267" s="11"/>
      <c r="SM267" s="11"/>
      <c r="SN267" s="11"/>
      <c r="SO267" s="11"/>
      <c r="SP267" s="11"/>
      <c r="SQ267" s="11"/>
      <c r="SR267" s="11"/>
      <c r="SS267" s="11"/>
      <c r="ST267" s="11"/>
      <c r="SU267" s="11"/>
      <c r="SV267" s="11"/>
      <c r="SW267" s="11"/>
      <c r="SX267" s="11"/>
      <c r="SY267" s="11"/>
      <c r="SZ267" s="11"/>
      <c r="TA267" s="11"/>
      <c r="TB267" s="11"/>
      <c r="TC267" s="11"/>
      <c r="TD267" s="11"/>
      <c r="TE267" s="11"/>
      <c r="TF267" s="11"/>
      <c r="TG267" s="11"/>
      <c r="TH267" s="11"/>
      <c r="TI267" s="11"/>
      <c r="TJ267" s="11"/>
      <c r="TK267" s="11"/>
      <c r="TL267" s="11"/>
    </row>
    <row r="268" spans="1:532" x14ac:dyDescent="0.2">
      <c r="A268" s="10" t="s">
        <v>267</v>
      </c>
      <c r="B268" s="12">
        <v>13.25</v>
      </c>
      <c r="C268" s="11">
        <v>0</v>
      </c>
      <c r="D268" s="11">
        <v>1.7324721195905277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  <c r="BW268" s="12"/>
      <c r="BX268" s="12"/>
      <c r="BY268" s="12"/>
      <c r="BZ268" s="12"/>
      <c r="CA268" s="12"/>
      <c r="CB268" s="12"/>
      <c r="CC268" s="12"/>
      <c r="CD268" s="12"/>
      <c r="CE268" s="12"/>
      <c r="CF268" s="12"/>
      <c r="CG268" s="12"/>
      <c r="CH268" s="12"/>
      <c r="CI268" s="12"/>
      <c r="CJ268" s="12"/>
      <c r="CK268" s="12"/>
      <c r="CL268" s="12"/>
      <c r="CM268" s="12"/>
      <c r="CN268" s="12"/>
      <c r="CO268" s="12"/>
      <c r="CP268" s="12"/>
      <c r="CQ268" s="12"/>
      <c r="CR268" s="12"/>
      <c r="CS268" s="12"/>
      <c r="CT268" s="12"/>
      <c r="CU268" s="12"/>
      <c r="CV268" s="12"/>
      <c r="CW268" s="12"/>
      <c r="CX268" s="12"/>
      <c r="CY268" s="12"/>
      <c r="CZ268" s="12"/>
      <c r="DA268" s="12"/>
      <c r="DB268" s="12"/>
      <c r="DC268" s="12"/>
      <c r="DD268" s="12"/>
      <c r="DE268" s="12"/>
      <c r="DF268" s="12"/>
      <c r="DG268" s="12"/>
      <c r="DH268" s="12"/>
      <c r="DI268" s="12"/>
      <c r="DJ268" s="12"/>
      <c r="DK268" s="12"/>
      <c r="DL268" s="12"/>
      <c r="DM268" s="12"/>
      <c r="DN268" s="12"/>
      <c r="DO268" s="12"/>
      <c r="DP268" s="12"/>
      <c r="DQ268" s="12"/>
      <c r="DR268" s="12"/>
      <c r="DS268" s="12"/>
      <c r="DT268" s="12"/>
      <c r="DU268" s="12"/>
      <c r="DV268" s="12"/>
      <c r="DW268" s="12"/>
      <c r="DX268" s="12"/>
      <c r="DY268" s="12"/>
      <c r="DZ268" s="12"/>
      <c r="EA268" s="12"/>
      <c r="EB268" s="12"/>
      <c r="EC268" s="12"/>
      <c r="ED268" s="12"/>
      <c r="EE268" s="12"/>
      <c r="EF268" s="12"/>
      <c r="EG268" s="12"/>
      <c r="EH268" s="12"/>
      <c r="EI268" s="12"/>
      <c r="EJ268" s="12"/>
      <c r="EK268" s="12"/>
      <c r="EL268" s="12"/>
      <c r="EM268" s="12"/>
      <c r="EN268" s="12"/>
      <c r="EO268" s="12"/>
      <c r="EP268" s="12"/>
      <c r="EQ268" s="12"/>
      <c r="ER268" s="12"/>
      <c r="ES268" s="12"/>
      <c r="ET268" s="12"/>
      <c r="EU268" s="12"/>
      <c r="EV268" s="12"/>
      <c r="EW268" s="12"/>
      <c r="EX268" s="12"/>
      <c r="EY268" s="12"/>
      <c r="EZ268" s="12"/>
      <c r="FA268" s="12"/>
      <c r="FB268" s="12"/>
      <c r="FC268" s="12"/>
      <c r="FD268" s="12"/>
      <c r="FE268" s="12"/>
      <c r="FF268" s="12"/>
      <c r="FG268" s="12"/>
      <c r="FH268" s="12"/>
      <c r="FI268" s="12"/>
      <c r="FJ268" s="12"/>
      <c r="FK268" s="12"/>
      <c r="FL268" s="12"/>
      <c r="FM268" s="12"/>
      <c r="FN268" s="12"/>
      <c r="FO268" s="12"/>
      <c r="FP268" s="12"/>
      <c r="FQ268" s="12"/>
      <c r="FR268" s="12"/>
      <c r="FS268" s="12"/>
      <c r="FT268" s="12"/>
      <c r="FU268" s="12"/>
      <c r="FV268" s="12"/>
      <c r="FW268" s="12"/>
      <c r="FX268" s="12"/>
      <c r="FY268" s="12"/>
      <c r="FZ268" s="12"/>
      <c r="GA268" s="12"/>
      <c r="GB268" s="12"/>
      <c r="GC268" s="12"/>
      <c r="GD268" s="12"/>
      <c r="GE268" s="12"/>
      <c r="GF268" s="12"/>
      <c r="GG268" s="12"/>
      <c r="GH268" s="12"/>
      <c r="GI268" s="12"/>
      <c r="GJ268" s="12"/>
      <c r="GK268" s="12"/>
      <c r="GL268" s="12"/>
      <c r="GM268" s="12"/>
      <c r="GN268" s="12"/>
      <c r="GO268" s="12"/>
      <c r="GP268" s="12"/>
      <c r="GQ268" s="12"/>
      <c r="GR268" s="12"/>
      <c r="GS268" s="12"/>
      <c r="GT268" s="12"/>
      <c r="GU268" s="12"/>
      <c r="GV268" s="12"/>
      <c r="GW268" s="12"/>
      <c r="GX268" s="12"/>
      <c r="GY268" s="12"/>
      <c r="GZ268" s="12"/>
      <c r="HA268" s="12"/>
      <c r="HB268" s="12"/>
      <c r="HC268" s="12"/>
      <c r="HD268" s="12"/>
      <c r="HE268" s="12"/>
      <c r="HF268" s="12"/>
      <c r="HG268" s="12"/>
      <c r="HH268" s="12"/>
      <c r="HI268" s="12"/>
      <c r="HJ268" s="12"/>
      <c r="HK268" s="12"/>
      <c r="HL268" s="12"/>
      <c r="HM268" s="12"/>
      <c r="HN268" s="12"/>
      <c r="HO268" s="12"/>
      <c r="HP268" s="12"/>
      <c r="HQ268" s="12"/>
      <c r="HR268" s="12"/>
      <c r="HS268" s="12"/>
      <c r="HT268" s="12"/>
      <c r="HU268" s="12"/>
      <c r="HV268" s="12"/>
      <c r="HW268" s="12"/>
      <c r="HX268" s="12"/>
      <c r="HY268" s="12"/>
      <c r="HZ268" s="12"/>
      <c r="IA268" s="12"/>
      <c r="IB268" s="12"/>
      <c r="IC268" s="12"/>
      <c r="ID268" s="12"/>
      <c r="IE268" s="12"/>
      <c r="IF268" s="12"/>
      <c r="IG268" s="12"/>
      <c r="IH268" s="12"/>
      <c r="II268" s="12"/>
      <c r="IJ268" s="12"/>
      <c r="IK268" s="12"/>
      <c r="IL268" s="12"/>
      <c r="IM268" s="12"/>
      <c r="IN268" s="12"/>
      <c r="IO268" s="12"/>
      <c r="IP268" s="12"/>
      <c r="IQ268" s="12"/>
      <c r="IR268" s="12"/>
      <c r="IS268" s="12"/>
      <c r="IT268" s="12"/>
      <c r="IU268" s="12"/>
      <c r="IV268" s="12"/>
      <c r="IW268" s="12"/>
      <c r="IX268" s="12"/>
      <c r="IY268" s="12"/>
      <c r="IZ268" s="12"/>
      <c r="JA268" s="12"/>
      <c r="JB268" s="12"/>
      <c r="JC268" s="12"/>
      <c r="JD268" s="12"/>
      <c r="JE268" s="12"/>
      <c r="JF268" s="12"/>
      <c r="JG268" s="12"/>
      <c r="JH268" s="12"/>
      <c r="JI268" s="12"/>
      <c r="JJ268" s="12"/>
      <c r="JK268" s="12"/>
      <c r="JL268" s="12"/>
      <c r="JM268" s="12"/>
      <c r="JN268" s="12"/>
      <c r="JO268" s="12"/>
      <c r="JP268" s="12"/>
      <c r="JQ268" s="12"/>
      <c r="JR268" s="12"/>
      <c r="JS268" s="12"/>
      <c r="JT268" s="12"/>
      <c r="JU268" s="12"/>
      <c r="JV268" s="12"/>
      <c r="JW268" s="12"/>
      <c r="JX268" s="12"/>
      <c r="JY268" s="12"/>
      <c r="JZ268" s="12"/>
      <c r="KA268" s="12"/>
      <c r="KB268" s="12"/>
      <c r="KC268" s="12"/>
      <c r="KD268" s="12"/>
      <c r="KE268" s="12"/>
      <c r="KF268" s="12"/>
      <c r="KG268" s="12"/>
      <c r="KH268" s="12"/>
      <c r="KI268" s="12"/>
      <c r="KJ268" s="12"/>
      <c r="KK268" s="12"/>
      <c r="KL268" s="12"/>
      <c r="KM268" s="12"/>
      <c r="KN268" s="12"/>
      <c r="KO268" s="12"/>
      <c r="KP268" s="12"/>
      <c r="KQ268" s="12"/>
      <c r="KR268" s="12"/>
      <c r="KS268" s="12"/>
      <c r="KT268" s="12"/>
      <c r="KU268" s="12"/>
      <c r="KV268" s="12"/>
      <c r="KW268" s="12"/>
      <c r="KX268" s="12"/>
      <c r="KY268" s="12"/>
      <c r="KZ268" s="12"/>
      <c r="LA268" s="12"/>
      <c r="LB268" s="12"/>
      <c r="LC268" s="12"/>
      <c r="LD268" s="12"/>
      <c r="LE268" s="12"/>
      <c r="LF268" s="12"/>
      <c r="LG268" s="12"/>
      <c r="LH268" s="12"/>
      <c r="LI268" s="12"/>
      <c r="LJ268" s="12"/>
      <c r="LK268" s="12"/>
      <c r="LL268" s="12"/>
      <c r="LM268" s="12"/>
      <c r="LN268" s="12"/>
      <c r="LO268" s="12"/>
      <c r="LP268" s="12"/>
      <c r="LQ268" s="12"/>
      <c r="LR268" s="12"/>
      <c r="LS268" s="12"/>
      <c r="LT268" s="12"/>
      <c r="LU268" s="12"/>
      <c r="LV268" s="12"/>
      <c r="LW268" s="12"/>
      <c r="LX268" s="12"/>
      <c r="LY268" s="12"/>
      <c r="LZ268" s="12"/>
      <c r="MA268" s="12"/>
      <c r="MB268" s="12"/>
      <c r="MC268" s="12"/>
      <c r="MD268" s="12"/>
      <c r="ME268" s="12"/>
      <c r="MF268" s="12"/>
      <c r="MG268" s="12"/>
      <c r="MH268" s="12"/>
      <c r="MI268" s="12"/>
      <c r="MJ268" s="12"/>
      <c r="MK268" s="12"/>
      <c r="ML268" s="12"/>
      <c r="MM268" s="12"/>
      <c r="MN268" s="12"/>
      <c r="MO268" s="12"/>
      <c r="MP268" s="12"/>
      <c r="MQ268" s="12"/>
      <c r="MR268" s="12"/>
      <c r="MS268" s="12"/>
      <c r="MT268" s="12"/>
      <c r="MU268" s="12"/>
      <c r="MV268" s="12"/>
      <c r="MW268" s="12"/>
      <c r="MX268" s="12"/>
      <c r="MY268" s="12"/>
      <c r="MZ268" s="12"/>
      <c r="NA268" s="12"/>
      <c r="NB268" s="12"/>
      <c r="NC268" s="12"/>
      <c r="ND268" s="12"/>
      <c r="NE268" s="12"/>
      <c r="NF268" s="12"/>
      <c r="NG268" s="12"/>
      <c r="NH268" s="12"/>
      <c r="NI268" s="12"/>
      <c r="NJ268" s="12"/>
      <c r="NK268" s="12"/>
      <c r="NL268" s="12"/>
      <c r="NM268" s="12"/>
      <c r="NN268" s="12"/>
      <c r="NO268" s="12"/>
      <c r="NP268" s="12"/>
      <c r="NQ268" s="12"/>
      <c r="NR268" s="12"/>
      <c r="NS268" s="12"/>
      <c r="NT268" s="12"/>
      <c r="NU268" s="12"/>
      <c r="NV268" s="12"/>
      <c r="NW268" s="12"/>
      <c r="NX268" s="12"/>
      <c r="NY268" s="12"/>
      <c r="NZ268" s="12"/>
      <c r="OA268" s="12"/>
      <c r="OB268" s="12"/>
      <c r="OC268" s="12"/>
      <c r="OD268" s="12"/>
      <c r="OE268" s="12"/>
      <c r="OF268" s="12"/>
      <c r="OG268" s="12"/>
      <c r="OH268" s="12"/>
      <c r="OI268" s="12"/>
      <c r="OJ268" s="12"/>
      <c r="OK268" s="12"/>
      <c r="OL268" s="12"/>
      <c r="OM268" s="12"/>
      <c r="ON268" s="12"/>
      <c r="OO268" s="12"/>
      <c r="OP268" s="12"/>
      <c r="OQ268" s="12"/>
      <c r="OR268" s="12"/>
      <c r="OS268" s="12"/>
      <c r="OT268" s="12"/>
      <c r="OU268" s="12"/>
      <c r="OV268" s="12"/>
      <c r="OW268" s="12"/>
      <c r="OX268" s="12"/>
      <c r="OY268" s="12"/>
      <c r="OZ268" s="12"/>
      <c r="PA268" s="12"/>
      <c r="PB268" s="12"/>
      <c r="PC268" s="12"/>
      <c r="PD268" s="12"/>
      <c r="PE268" s="12"/>
      <c r="PF268" s="12"/>
      <c r="PG268" s="12"/>
      <c r="PH268" s="12"/>
      <c r="PI268" s="12"/>
      <c r="PJ268" s="12"/>
      <c r="PK268" s="12"/>
      <c r="PL268" s="12"/>
      <c r="PM268" s="12"/>
      <c r="PN268" s="12"/>
      <c r="PO268" s="12"/>
      <c r="PP268" s="12"/>
      <c r="PQ268" s="12"/>
      <c r="PR268" s="12"/>
      <c r="PS268" s="12"/>
      <c r="PT268" s="12"/>
      <c r="PU268" s="12"/>
      <c r="PV268" s="12"/>
      <c r="PW268" s="12"/>
      <c r="PX268" s="12"/>
      <c r="PY268" s="12"/>
      <c r="PZ268" s="12"/>
      <c r="QA268" s="12"/>
      <c r="QB268" s="12"/>
      <c r="QC268" s="12"/>
      <c r="QD268" s="12"/>
      <c r="QE268" s="12"/>
      <c r="QF268" s="12"/>
      <c r="QG268" s="12"/>
      <c r="QH268" s="12"/>
      <c r="QI268" s="12"/>
      <c r="QJ268" s="12"/>
      <c r="QK268" s="12"/>
      <c r="QL268" s="12"/>
      <c r="QM268" s="12"/>
      <c r="QN268" s="12"/>
      <c r="QO268" s="12"/>
      <c r="QP268" s="12"/>
      <c r="QQ268" s="12"/>
      <c r="QR268" s="12"/>
      <c r="QS268" s="12"/>
      <c r="QT268" s="12"/>
      <c r="QU268" s="12"/>
      <c r="QV268" s="12"/>
      <c r="QW268" s="12"/>
      <c r="QX268" s="12"/>
      <c r="QY268" s="12"/>
      <c r="QZ268" s="12"/>
      <c r="RA268" s="12"/>
      <c r="RB268" s="12"/>
      <c r="RC268" s="12"/>
      <c r="RD268" s="12"/>
      <c r="RE268" s="12"/>
      <c r="RF268" s="12"/>
      <c r="RG268" s="12"/>
      <c r="RH268" s="12"/>
      <c r="RI268" s="12"/>
      <c r="RJ268" s="12"/>
      <c r="RK268" s="12"/>
      <c r="RL268" s="12"/>
      <c r="RM268" s="12"/>
      <c r="RN268" s="12"/>
      <c r="RO268" s="12"/>
      <c r="RP268" s="12"/>
      <c r="RQ268" s="12"/>
      <c r="RR268" s="12"/>
      <c r="RS268" s="12"/>
      <c r="RT268" s="12"/>
      <c r="RU268" s="12"/>
      <c r="RV268" s="12"/>
      <c r="RW268" s="12"/>
      <c r="RX268" s="12"/>
      <c r="RY268" s="12"/>
      <c r="RZ268" s="12"/>
      <c r="SA268" s="12"/>
      <c r="SB268" s="12"/>
      <c r="SC268" s="12"/>
      <c r="SD268" s="12"/>
      <c r="SE268" s="12"/>
      <c r="SF268" s="12"/>
      <c r="SG268" s="12"/>
      <c r="SH268" s="11"/>
      <c r="SI268" s="11"/>
      <c r="SJ268" s="11"/>
      <c r="SK268" s="11"/>
      <c r="SL268" s="11"/>
      <c r="SM268" s="11"/>
      <c r="SN268" s="11"/>
      <c r="SO268" s="11"/>
      <c r="SP268" s="11"/>
      <c r="SQ268" s="11"/>
      <c r="SR268" s="11"/>
      <c r="SS268" s="11"/>
      <c r="ST268" s="11"/>
      <c r="SU268" s="11"/>
      <c r="SV268" s="11"/>
      <c r="SW268" s="11"/>
      <c r="SX268" s="11"/>
      <c r="SY268" s="11"/>
      <c r="SZ268" s="11"/>
      <c r="TA268" s="11"/>
      <c r="TB268" s="11"/>
      <c r="TC268" s="11"/>
      <c r="TD268" s="11"/>
      <c r="TE268" s="11"/>
      <c r="TF268" s="11"/>
      <c r="TG268" s="11"/>
      <c r="TH268" s="11"/>
      <c r="TI268" s="11"/>
      <c r="TJ268" s="11"/>
      <c r="TK268" s="11"/>
      <c r="TL268" s="11"/>
    </row>
    <row r="269" spans="1:532" x14ac:dyDescent="0.2">
      <c r="A269" s="10" t="s">
        <v>268</v>
      </c>
      <c r="B269" s="12">
        <v>14.23</v>
      </c>
      <c r="C269" s="11">
        <v>0</v>
      </c>
      <c r="D269" s="11">
        <v>0.76228773261983218</v>
      </c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  <c r="BW269" s="12"/>
      <c r="BX269" s="12"/>
      <c r="BY269" s="12"/>
      <c r="BZ269" s="12"/>
      <c r="CA269" s="12"/>
      <c r="CB269" s="12"/>
      <c r="CC269" s="12"/>
      <c r="CD269" s="12"/>
      <c r="CE269" s="12"/>
      <c r="CF269" s="12"/>
      <c r="CG269" s="12"/>
      <c r="CH269" s="12"/>
      <c r="CI269" s="12"/>
      <c r="CJ269" s="12"/>
      <c r="CK269" s="12"/>
      <c r="CL269" s="12"/>
      <c r="CM269" s="12"/>
      <c r="CN269" s="12"/>
      <c r="CO269" s="12"/>
      <c r="CP269" s="12"/>
      <c r="CQ269" s="12"/>
      <c r="CR269" s="12"/>
      <c r="CS269" s="12"/>
      <c r="CT269" s="12"/>
      <c r="CU269" s="12"/>
      <c r="CV269" s="12"/>
      <c r="CW269" s="12"/>
      <c r="CX269" s="12"/>
      <c r="CY269" s="12"/>
      <c r="CZ269" s="12"/>
      <c r="DA269" s="12"/>
      <c r="DB269" s="12"/>
      <c r="DC269" s="12"/>
      <c r="DD269" s="12"/>
      <c r="DE269" s="12"/>
      <c r="DF269" s="12"/>
      <c r="DG269" s="12"/>
      <c r="DH269" s="12"/>
      <c r="DI269" s="12"/>
      <c r="DJ269" s="12"/>
      <c r="DK269" s="12"/>
      <c r="DL269" s="12"/>
      <c r="DM269" s="12"/>
      <c r="DN269" s="12"/>
      <c r="DO269" s="12"/>
      <c r="DP269" s="12"/>
      <c r="DQ269" s="12"/>
      <c r="DR269" s="12"/>
      <c r="DS269" s="12"/>
      <c r="DT269" s="12"/>
      <c r="DU269" s="12"/>
      <c r="DV269" s="12"/>
      <c r="DW269" s="12"/>
      <c r="DX269" s="12"/>
      <c r="DY269" s="12"/>
      <c r="DZ269" s="12"/>
      <c r="EA269" s="12"/>
      <c r="EB269" s="12"/>
      <c r="EC269" s="12"/>
      <c r="ED269" s="12"/>
      <c r="EE269" s="12"/>
      <c r="EF269" s="12"/>
      <c r="EG269" s="12"/>
      <c r="EH269" s="12"/>
      <c r="EI269" s="12"/>
      <c r="EJ269" s="12"/>
      <c r="EK269" s="12"/>
      <c r="EL269" s="12"/>
      <c r="EM269" s="12"/>
      <c r="EN269" s="12"/>
      <c r="EO269" s="12"/>
      <c r="EP269" s="12"/>
      <c r="EQ269" s="12"/>
      <c r="ER269" s="12"/>
      <c r="ES269" s="12"/>
      <c r="ET269" s="12"/>
      <c r="EU269" s="12"/>
      <c r="EV269" s="12"/>
      <c r="EW269" s="12"/>
      <c r="EX269" s="12"/>
      <c r="EY269" s="12"/>
      <c r="EZ269" s="12"/>
      <c r="FA269" s="12"/>
      <c r="FB269" s="12"/>
      <c r="FC269" s="12"/>
      <c r="FD269" s="12"/>
      <c r="FE269" s="12"/>
      <c r="FF269" s="12"/>
      <c r="FG269" s="12"/>
      <c r="FH269" s="12"/>
      <c r="FI269" s="12"/>
      <c r="FJ269" s="12"/>
      <c r="FK269" s="12"/>
      <c r="FL269" s="12"/>
      <c r="FM269" s="12"/>
      <c r="FN269" s="12"/>
      <c r="FO269" s="12"/>
      <c r="FP269" s="12"/>
      <c r="FQ269" s="12"/>
      <c r="FR269" s="12"/>
      <c r="FS269" s="12"/>
      <c r="FT269" s="12"/>
      <c r="FU269" s="12"/>
      <c r="FV269" s="12"/>
      <c r="FW269" s="12"/>
      <c r="FX269" s="12"/>
      <c r="FY269" s="12"/>
      <c r="FZ269" s="12"/>
      <c r="GA269" s="12"/>
      <c r="GB269" s="12"/>
      <c r="GC269" s="12"/>
      <c r="GD269" s="12"/>
      <c r="GE269" s="12"/>
      <c r="GF269" s="12"/>
      <c r="GG269" s="12"/>
      <c r="GH269" s="12"/>
      <c r="GI269" s="12"/>
      <c r="GJ269" s="12"/>
      <c r="GK269" s="12"/>
      <c r="GL269" s="12"/>
      <c r="GM269" s="12"/>
      <c r="GN269" s="12"/>
      <c r="GO269" s="12"/>
      <c r="GP269" s="12"/>
      <c r="GQ269" s="12"/>
      <c r="GR269" s="12"/>
      <c r="GS269" s="12"/>
      <c r="GT269" s="12"/>
      <c r="GU269" s="12"/>
      <c r="GV269" s="12"/>
      <c r="GW269" s="12"/>
      <c r="GX269" s="12"/>
      <c r="GY269" s="12"/>
      <c r="GZ269" s="12"/>
      <c r="HA269" s="12"/>
      <c r="HB269" s="12"/>
      <c r="HC269" s="12"/>
      <c r="HD269" s="12"/>
      <c r="HE269" s="12"/>
      <c r="HF269" s="12"/>
      <c r="HG269" s="12"/>
      <c r="HH269" s="12"/>
      <c r="HI269" s="12"/>
      <c r="HJ269" s="12"/>
      <c r="HK269" s="12"/>
      <c r="HL269" s="12"/>
      <c r="HM269" s="12"/>
      <c r="HN269" s="12"/>
      <c r="HO269" s="12"/>
      <c r="HP269" s="12"/>
      <c r="HQ269" s="12"/>
      <c r="HR269" s="12"/>
      <c r="HS269" s="12"/>
      <c r="HT269" s="12"/>
      <c r="HU269" s="12"/>
      <c r="HV269" s="12"/>
      <c r="HW269" s="12"/>
      <c r="HX269" s="12"/>
      <c r="HY269" s="12"/>
      <c r="HZ269" s="12"/>
      <c r="IA269" s="12"/>
      <c r="IB269" s="12"/>
      <c r="IC269" s="12"/>
      <c r="ID269" s="12"/>
      <c r="IE269" s="12"/>
      <c r="IF269" s="12"/>
      <c r="IG269" s="12"/>
      <c r="IH269" s="12"/>
      <c r="II269" s="12"/>
      <c r="IJ269" s="12"/>
      <c r="IK269" s="12"/>
      <c r="IL269" s="12"/>
      <c r="IM269" s="12"/>
      <c r="IN269" s="12"/>
      <c r="IO269" s="12"/>
      <c r="IP269" s="12"/>
      <c r="IQ269" s="12"/>
      <c r="IR269" s="12"/>
      <c r="IS269" s="12"/>
      <c r="IT269" s="12"/>
      <c r="IU269" s="12"/>
      <c r="IV269" s="12"/>
      <c r="IW269" s="12"/>
      <c r="IX269" s="12"/>
      <c r="IY269" s="12"/>
      <c r="IZ269" s="12"/>
      <c r="JA269" s="12"/>
      <c r="JB269" s="12"/>
      <c r="JC269" s="12"/>
      <c r="JD269" s="12"/>
      <c r="JE269" s="12"/>
      <c r="JF269" s="12"/>
      <c r="JG269" s="12"/>
      <c r="JH269" s="12"/>
      <c r="JI269" s="12"/>
      <c r="JJ269" s="12"/>
      <c r="JK269" s="12"/>
      <c r="JL269" s="12"/>
      <c r="JM269" s="12"/>
      <c r="JN269" s="12"/>
      <c r="JO269" s="12"/>
      <c r="JP269" s="12"/>
      <c r="JQ269" s="12"/>
      <c r="JR269" s="12"/>
      <c r="JS269" s="12"/>
      <c r="JT269" s="12"/>
      <c r="JU269" s="12"/>
      <c r="JV269" s="12"/>
      <c r="JW269" s="12"/>
      <c r="JX269" s="12"/>
      <c r="JY269" s="12"/>
      <c r="JZ269" s="12"/>
      <c r="KA269" s="12"/>
      <c r="KB269" s="12"/>
      <c r="KC269" s="12"/>
      <c r="KD269" s="12"/>
      <c r="KE269" s="12"/>
      <c r="KF269" s="12"/>
      <c r="KG269" s="12"/>
      <c r="KH269" s="12"/>
      <c r="KI269" s="12"/>
      <c r="KJ269" s="12"/>
      <c r="KK269" s="12"/>
      <c r="KL269" s="12"/>
      <c r="KM269" s="12"/>
      <c r="KN269" s="12"/>
      <c r="KO269" s="12"/>
      <c r="KP269" s="12"/>
      <c r="KQ269" s="12"/>
      <c r="KR269" s="12"/>
      <c r="KS269" s="12"/>
      <c r="KT269" s="12"/>
      <c r="KU269" s="12"/>
      <c r="KV269" s="12"/>
      <c r="KW269" s="12"/>
      <c r="KX269" s="12"/>
      <c r="KY269" s="12"/>
      <c r="KZ269" s="12"/>
      <c r="LA269" s="12"/>
      <c r="LB269" s="12"/>
      <c r="LC269" s="12"/>
      <c r="LD269" s="12"/>
      <c r="LE269" s="12"/>
      <c r="LF269" s="12"/>
      <c r="LG269" s="12"/>
      <c r="LH269" s="12"/>
      <c r="LI269" s="12"/>
      <c r="LJ269" s="12"/>
      <c r="LK269" s="12"/>
      <c r="LL269" s="12"/>
      <c r="LM269" s="12"/>
      <c r="LN269" s="12"/>
      <c r="LO269" s="12"/>
      <c r="LP269" s="12"/>
      <c r="LQ269" s="12"/>
      <c r="LR269" s="12"/>
      <c r="LS269" s="12"/>
      <c r="LT269" s="12"/>
      <c r="LU269" s="12"/>
      <c r="LV269" s="12"/>
      <c r="LW269" s="12"/>
      <c r="LX269" s="12"/>
      <c r="LY269" s="12"/>
      <c r="LZ269" s="12"/>
      <c r="MA269" s="12"/>
      <c r="MB269" s="12"/>
      <c r="MC269" s="12"/>
      <c r="MD269" s="12"/>
      <c r="ME269" s="12"/>
      <c r="MF269" s="12"/>
      <c r="MG269" s="12"/>
      <c r="MH269" s="12"/>
      <c r="MI269" s="12"/>
      <c r="MJ269" s="12"/>
      <c r="MK269" s="12"/>
      <c r="ML269" s="12"/>
      <c r="MM269" s="12"/>
      <c r="MN269" s="12"/>
      <c r="MO269" s="12"/>
      <c r="MP269" s="12"/>
      <c r="MQ269" s="12"/>
      <c r="MR269" s="12"/>
      <c r="MS269" s="12"/>
      <c r="MT269" s="12"/>
      <c r="MU269" s="12"/>
      <c r="MV269" s="12"/>
      <c r="MW269" s="12"/>
      <c r="MX269" s="12"/>
      <c r="MY269" s="12"/>
      <c r="MZ269" s="12"/>
      <c r="NA269" s="12"/>
      <c r="NB269" s="12"/>
      <c r="NC269" s="12"/>
      <c r="ND269" s="12"/>
      <c r="NE269" s="12"/>
      <c r="NF269" s="12"/>
      <c r="NG269" s="12"/>
      <c r="NH269" s="12"/>
      <c r="NI269" s="12"/>
      <c r="NJ269" s="12"/>
      <c r="NK269" s="12"/>
      <c r="NL269" s="12"/>
      <c r="NM269" s="12"/>
      <c r="NN269" s="12"/>
      <c r="NO269" s="12"/>
      <c r="NP269" s="12"/>
      <c r="NQ269" s="12"/>
      <c r="NR269" s="12"/>
      <c r="NS269" s="12"/>
      <c r="NT269" s="12"/>
      <c r="NU269" s="12"/>
      <c r="NV269" s="12"/>
      <c r="NW269" s="12"/>
      <c r="NX269" s="12"/>
      <c r="NY269" s="12"/>
      <c r="NZ269" s="12"/>
      <c r="OA269" s="12"/>
      <c r="OB269" s="12"/>
      <c r="OC269" s="12"/>
      <c r="OD269" s="12"/>
      <c r="OE269" s="12"/>
      <c r="OF269" s="12"/>
      <c r="OG269" s="12"/>
      <c r="OH269" s="12"/>
      <c r="OI269" s="12"/>
      <c r="OJ269" s="12"/>
      <c r="OK269" s="12"/>
      <c r="OL269" s="12"/>
      <c r="OM269" s="12"/>
      <c r="ON269" s="12"/>
      <c r="OO269" s="12"/>
      <c r="OP269" s="12"/>
      <c r="OQ269" s="12"/>
      <c r="OR269" s="12"/>
      <c r="OS269" s="12"/>
      <c r="OT269" s="12"/>
      <c r="OU269" s="12"/>
      <c r="OV269" s="12"/>
      <c r="OW269" s="12"/>
      <c r="OX269" s="12"/>
      <c r="OY269" s="12"/>
      <c r="OZ269" s="12"/>
      <c r="PA269" s="12"/>
      <c r="PB269" s="12"/>
      <c r="PC269" s="12"/>
      <c r="PD269" s="12"/>
      <c r="PE269" s="12"/>
      <c r="PF269" s="12"/>
      <c r="PG269" s="12"/>
      <c r="PH269" s="12"/>
      <c r="PI269" s="12"/>
      <c r="PJ269" s="12"/>
      <c r="PK269" s="12"/>
      <c r="PL269" s="12"/>
      <c r="PM269" s="12"/>
      <c r="PN269" s="12"/>
      <c r="PO269" s="12"/>
      <c r="PP269" s="12"/>
      <c r="PQ269" s="12"/>
      <c r="PR269" s="12"/>
      <c r="PS269" s="12"/>
      <c r="PT269" s="12"/>
      <c r="PU269" s="12"/>
      <c r="PV269" s="12"/>
      <c r="PW269" s="12"/>
      <c r="PX269" s="12"/>
      <c r="PY269" s="12"/>
      <c r="PZ269" s="12"/>
      <c r="QA269" s="12"/>
      <c r="QB269" s="12"/>
      <c r="QC269" s="12"/>
      <c r="QD269" s="12"/>
      <c r="QE269" s="12"/>
      <c r="QF269" s="12"/>
      <c r="QG269" s="12"/>
      <c r="QH269" s="12"/>
      <c r="QI269" s="12"/>
      <c r="QJ269" s="12"/>
      <c r="QK269" s="12"/>
      <c r="QL269" s="12"/>
      <c r="QM269" s="12"/>
      <c r="QN269" s="12"/>
      <c r="QO269" s="12"/>
      <c r="QP269" s="12"/>
      <c r="QQ269" s="12"/>
      <c r="QR269" s="12"/>
      <c r="QS269" s="12"/>
      <c r="QT269" s="12"/>
      <c r="QU269" s="12"/>
      <c r="QV269" s="12"/>
      <c r="QW269" s="12"/>
      <c r="QX269" s="12"/>
      <c r="QY269" s="12"/>
      <c r="QZ269" s="12"/>
      <c r="RA269" s="12"/>
      <c r="RB269" s="12"/>
      <c r="RC269" s="12"/>
      <c r="RD269" s="12"/>
      <c r="RE269" s="12"/>
      <c r="RF269" s="12"/>
      <c r="RG269" s="12"/>
      <c r="RH269" s="12"/>
      <c r="RI269" s="12"/>
      <c r="RJ269" s="12"/>
      <c r="RK269" s="12"/>
      <c r="RL269" s="12"/>
      <c r="RM269" s="12"/>
      <c r="RN269" s="12"/>
      <c r="RO269" s="12"/>
      <c r="RP269" s="12"/>
      <c r="RQ269" s="12"/>
      <c r="RR269" s="12"/>
      <c r="RS269" s="12"/>
      <c r="RT269" s="12"/>
      <c r="RU269" s="12"/>
      <c r="RV269" s="12"/>
      <c r="RW269" s="12"/>
      <c r="RX269" s="12"/>
      <c r="RY269" s="12"/>
      <c r="RZ269" s="12"/>
      <c r="SA269" s="12"/>
      <c r="SB269" s="12"/>
      <c r="SC269" s="12"/>
      <c r="SD269" s="12"/>
      <c r="SE269" s="12"/>
      <c r="SF269" s="12"/>
      <c r="SG269" s="12"/>
      <c r="SH269" s="11"/>
      <c r="SI269" s="11"/>
      <c r="SJ269" s="11"/>
      <c r="SK269" s="11"/>
      <c r="SL269" s="11"/>
      <c r="SM269" s="11"/>
      <c r="SN269" s="11"/>
      <c r="SO269" s="11"/>
      <c r="SP269" s="11"/>
      <c r="SQ269" s="11"/>
      <c r="SR269" s="11"/>
      <c r="SS269" s="11"/>
      <c r="ST269" s="11"/>
      <c r="SU269" s="11"/>
      <c r="SV269" s="11"/>
      <c r="SW269" s="11"/>
      <c r="SX269" s="11"/>
      <c r="SY269" s="11"/>
      <c r="SZ269" s="11"/>
      <c r="TA269" s="11"/>
      <c r="TB269" s="11"/>
      <c r="TC269" s="11"/>
      <c r="TD269" s="11"/>
      <c r="TE269" s="11"/>
      <c r="TF269" s="11"/>
      <c r="TG269" s="11"/>
      <c r="TH269" s="11"/>
      <c r="TI269" s="11"/>
      <c r="TJ269" s="11"/>
      <c r="TK269" s="11"/>
      <c r="TL269" s="11"/>
    </row>
    <row r="270" spans="1:532" x14ac:dyDescent="0.2">
      <c r="A270" s="10" t="s">
        <v>269</v>
      </c>
      <c r="B270" s="12">
        <v>15.18</v>
      </c>
      <c r="C270" s="11">
        <v>0.17819713230073997</v>
      </c>
      <c r="D270" s="11">
        <v>0</v>
      </c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  <c r="BW270" s="12"/>
      <c r="BX270" s="12"/>
      <c r="BY270" s="12"/>
      <c r="BZ270" s="12"/>
      <c r="CA270" s="12"/>
      <c r="CB270" s="12"/>
      <c r="CC270" s="12"/>
      <c r="CD270" s="12"/>
      <c r="CE270" s="12"/>
      <c r="CF270" s="12"/>
      <c r="CG270" s="12"/>
      <c r="CH270" s="12"/>
      <c r="CI270" s="12"/>
      <c r="CJ270" s="12"/>
      <c r="CK270" s="12"/>
      <c r="CL270" s="12"/>
      <c r="CM270" s="12"/>
      <c r="CN270" s="12"/>
      <c r="CO270" s="12"/>
      <c r="CP270" s="12"/>
      <c r="CQ270" s="12"/>
      <c r="CR270" s="12"/>
      <c r="CS270" s="12"/>
      <c r="CT270" s="12"/>
      <c r="CU270" s="12"/>
      <c r="CV270" s="12"/>
      <c r="CW270" s="12"/>
      <c r="CX270" s="12"/>
      <c r="CY270" s="12"/>
      <c r="CZ270" s="12"/>
      <c r="DA270" s="12"/>
      <c r="DB270" s="12"/>
      <c r="DC270" s="12"/>
      <c r="DD270" s="12"/>
      <c r="DE270" s="12"/>
      <c r="DF270" s="12"/>
      <c r="DG270" s="12"/>
      <c r="DH270" s="12"/>
      <c r="DI270" s="12"/>
      <c r="DJ270" s="12"/>
      <c r="DK270" s="12"/>
      <c r="DL270" s="12"/>
      <c r="DM270" s="12"/>
      <c r="DN270" s="12"/>
      <c r="DO270" s="12"/>
      <c r="DP270" s="12"/>
      <c r="DQ270" s="12"/>
      <c r="DR270" s="12"/>
      <c r="DS270" s="12"/>
      <c r="DT270" s="12"/>
      <c r="DU270" s="12"/>
      <c r="DV270" s="12"/>
      <c r="DW270" s="12"/>
      <c r="DX270" s="12"/>
      <c r="DY270" s="12"/>
      <c r="DZ270" s="12"/>
      <c r="EA270" s="12"/>
      <c r="EB270" s="12"/>
      <c r="EC270" s="12"/>
      <c r="ED270" s="12"/>
      <c r="EE270" s="12"/>
      <c r="EF270" s="12"/>
      <c r="EG270" s="12"/>
      <c r="EH270" s="12"/>
      <c r="EI270" s="12"/>
      <c r="EJ270" s="12"/>
      <c r="EK270" s="12"/>
      <c r="EL270" s="12"/>
      <c r="EM270" s="12"/>
      <c r="EN270" s="12"/>
      <c r="EO270" s="12"/>
      <c r="EP270" s="12"/>
      <c r="EQ270" s="12"/>
      <c r="ER270" s="12"/>
      <c r="ES270" s="12"/>
      <c r="ET270" s="12"/>
      <c r="EU270" s="12"/>
      <c r="EV270" s="12"/>
      <c r="EW270" s="12"/>
      <c r="EX270" s="12"/>
      <c r="EY270" s="12"/>
      <c r="EZ270" s="12"/>
      <c r="FA270" s="12"/>
      <c r="FB270" s="12"/>
      <c r="FC270" s="12"/>
      <c r="FD270" s="12"/>
      <c r="FE270" s="12"/>
      <c r="FF270" s="12"/>
      <c r="FG270" s="12"/>
      <c r="FH270" s="12"/>
      <c r="FI270" s="12"/>
      <c r="FJ270" s="12"/>
      <c r="FK270" s="12"/>
      <c r="FL270" s="12"/>
      <c r="FM270" s="12"/>
      <c r="FN270" s="12"/>
      <c r="FO270" s="12"/>
      <c r="FP270" s="12"/>
      <c r="FQ270" s="12"/>
      <c r="FR270" s="12"/>
      <c r="FS270" s="12"/>
      <c r="FT270" s="12"/>
      <c r="FU270" s="12"/>
      <c r="FV270" s="12"/>
      <c r="FW270" s="12"/>
      <c r="FX270" s="12"/>
      <c r="FY270" s="12"/>
      <c r="FZ270" s="12"/>
      <c r="GA270" s="12"/>
      <c r="GB270" s="12"/>
      <c r="GC270" s="12"/>
      <c r="GD270" s="12"/>
      <c r="GE270" s="12"/>
      <c r="GF270" s="12"/>
      <c r="GG270" s="12"/>
      <c r="GH270" s="12"/>
      <c r="GI270" s="12"/>
      <c r="GJ270" s="12"/>
      <c r="GK270" s="12"/>
      <c r="GL270" s="12"/>
      <c r="GM270" s="12"/>
      <c r="GN270" s="12"/>
      <c r="GO270" s="12"/>
      <c r="GP270" s="12"/>
      <c r="GQ270" s="12"/>
      <c r="GR270" s="12"/>
      <c r="GS270" s="12"/>
      <c r="GT270" s="12"/>
      <c r="GU270" s="12"/>
      <c r="GV270" s="12"/>
      <c r="GW270" s="12"/>
      <c r="GX270" s="12"/>
      <c r="GY270" s="12"/>
      <c r="GZ270" s="12"/>
      <c r="HA270" s="12"/>
      <c r="HB270" s="12"/>
      <c r="HC270" s="12"/>
      <c r="HD270" s="12"/>
      <c r="HE270" s="12"/>
      <c r="HF270" s="12"/>
      <c r="HG270" s="12"/>
      <c r="HH270" s="12"/>
      <c r="HI270" s="12"/>
      <c r="HJ270" s="12"/>
      <c r="HK270" s="12"/>
      <c r="HL270" s="12"/>
      <c r="HM270" s="12"/>
      <c r="HN270" s="12"/>
      <c r="HO270" s="12"/>
      <c r="HP270" s="12"/>
      <c r="HQ270" s="12"/>
      <c r="HR270" s="12"/>
      <c r="HS270" s="12"/>
      <c r="HT270" s="12"/>
      <c r="HU270" s="12"/>
      <c r="HV270" s="12"/>
      <c r="HW270" s="12"/>
      <c r="HX270" s="12"/>
      <c r="HY270" s="12"/>
      <c r="HZ270" s="12"/>
      <c r="IA270" s="12"/>
      <c r="IB270" s="12"/>
      <c r="IC270" s="12"/>
      <c r="ID270" s="12"/>
      <c r="IE270" s="12"/>
      <c r="IF270" s="12"/>
      <c r="IG270" s="12"/>
      <c r="IH270" s="12"/>
      <c r="II270" s="12"/>
      <c r="IJ270" s="12"/>
      <c r="IK270" s="12"/>
      <c r="IL270" s="12"/>
      <c r="IM270" s="12"/>
      <c r="IN270" s="12"/>
      <c r="IO270" s="12"/>
      <c r="IP270" s="12"/>
      <c r="IQ270" s="12"/>
      <c r="IR270" s="12"/>
      <c r="IS270" s="12"/>
      <c r="IT270" s="12"/>
      <c r="IU270" s="12"/>
      <c r="IV270" s="12"/>
      <c r="IW270" s="12"/>
      <c r="IX270" s="12"/>
      <c r="IY270" s="12"/>
      <c r="IZ270" s="12"/>
      <c r="JA270" s="12"/>
      <c r="JB270" s="12"/>
      <c r="JC270" s="12"/>
      <c r="JD270" s="12"/>
      <c r="JE270" s="12"/>
      <c r="JF270" s="12"/>
      <c r="JG270" s="12"/>
      <c r="JH270" s="12"/>
      <c r="JI270" s="12"/>
      <c r="JJ270" s="12"/>
      <c r="JK270" s="12"/>
      <c r="JL270" s="12"/>
      <c r="JM270" s="12"/>
      <c r="JN270" s="12"/>
      <c r="JO270" s="12"/>
      <c r="JP270" s="12"/>
      <c r="JQ270" s="12"/>
      <c r="JR270" s="12"/>
      <c r="JS270" s="12"/>
      <c r="JT270" s="12"/>
      <c r="JU270" s="12"/>
      <c r="JV270" s="12"/>
      <c r="JW270" s="12"/>
      <c r="JX270" s="12"/>
      <c r="JY270" s="12"/>
      <c r="JZ270" s="12"/>
      <c r="KA270" s="12"/>
      <c r="KB270" s="12"/>
      <c r="KC270" s="12"/>
      <c r="KD270" s="12"/>
      <c r="KE270" s="12"/>
      <c r="KF270" s="12"/>
      <c r="KG270" s="12"/>
      <c r="KH270" s="12"/>
      <c r="KI270" s="12"/>
      <c r="KJ270" s="12"/>
      <c r="KK270" s="12"/>
      <c r="KL270" s="12"/>
      <c r="KM270" s="12"/>
      <c r="KN270" s="12"/>
      <c r="KO270" s="12"/>
      <c r="KP270" s="12"/>
      <c r="KQ270" s="12"/>
      <c r="KR270" s="12"/>
      <c r="KS270" s="12"/>
      <c r="KT270" s="12"/>
      <c r="KU270" s="12"/>
      <c r="KV270" s="12"/>
      <c r="KW270" s="12"/>
      <c r="KX270" s="12"/>
      <c r="KY270" s="12"/>
      <c r="KZ270" s="12"/>
      <c r="LA270" s="12"/>
      <c r="LB270" s="12"/>
      <c r="LC270" s="12"/>
      <c r="LD270" s="12"/>
      <c r="LE270" s="12"/>
      <c r="LF270" s="12"/>
      <c r="LG270" s="12"/>
      <c r="LH270" s="12"/>
      <c r="LI270" s="12"/>
      <c r="LJ270" s="12"/>
      <c r="LK270" s="12"/>
      <c r="LL270" s="12"/>
      <c r="LM270" s="12"/>
      <c r="LN270" s="12"/>
      <c r="LO270" s="12"/>
      <c r="LP270" s="12"/>
      <c r="LQ270" s="12"/>
      <c r="LR270" s="12"/>
      <c r="LS270" s="12"/>
      <c r="LT270" s="12"/>
      <c r="LU270" s="12"/>
      <c r="LV270" s="12"/>
      <c r="LW270" s="12"/>
      <c r="LX270" s="12"/>
      <c r="LY270" s="12"/>
      <c r="LZ270" s="12"/>
      <c r="MA270" s="12"/>
      <c r="MB270" s="12"/>
      <c r="MC270" s="12"/>
      <c r="MD270" s="12"/>
      <c r="ME270" s="12"/>
      <c r="MF270" s="12"/>
      <c r="MG270" s="12"/>
      <c r="MH270" s="12"/>
      <c r="MI270" s="12"/>
      <c r="MJ270" s="12"/>
      <c r="MK270" s="12"/>
      <c r="ML270" s="12"/>
      <c r="MM270" s="12"/>
      <c r="MN270" s="12"/>
      <c r="MO270" s="12"/>
      <c r="MP270" s="12"/>
      <c r="MQ270" s="12"/>
      <c r="MR270" s="12"/>
      <c r="MS270" s="12"/>
      <c r="MT270" s="12"/>
      <c r="MU270" s="12"/>
      <c r="MV270" s="12"/>
      <c r="MW270" s="12"/>
      <c r="MX270" s="12"/>
      <c r="MY270" s="12"/>
      <c r="MZ270" s="12"/>
      <c r="NA270" s="12"/>
      <c r="NB270" s="12"/>
      <c r="NC270" s="12"/>
      <c r="ND270" s="12"/>
      <c r="NE270" s="12"/>
      <c r="NF270" s="12"/>
      <c r="NG270" s="12"/>
      <c r="NH270" s="12"/>
      <c r="NI270" s="12"/>
      <c r="NJ270" s="12"/>
      <c r="NK270" s="12"/>
      <c r="NL270" s="12"/>
      <c r="NM270" s="12"/>
      <c r="NN270" s="12"/>
      <c r="NO270" s="12"/>
      <c r="NP270" s="12"/>
      <c r="NQ270" s="12"/>
      <c r="NR270" s="12"/>
      <c r="NS270" s="12"/>
      <c r="NT270" s="12"/>
      <c r="NU270" s="12"/>
      <c r="NV270" s="12"/>
      <c r="NW270" s="12"/>
      <c r="NX270" s="12"/>
      <c r="NY270" s="12"/>
      <c r="NZ270" s="12"/>
      <c r="OA270" s="12"/>
      <c r="OB270" s="12"/>
      <c r="OC270" s="12"/>
      <c r="OD270" s="12"/>
      <c r="OE270" s="12"/>
      <c r="OF270" s="12"/>
      <c r="OG270" s="12"/>
      <c r="OH270" s="12"/>
      <c r="OI270" s="12"/>
      <c r="OJ270" s="12"/>
      <c r="OK270" s="12"/>
      <c r="OL270" s="12"/>
      <c r="OM270" s="12"/>
      <c r="ON270" s="12"/>
      <c r="OO270" s="12"/>
      <c r="OP270" s="12"/>
      <c r="OQ270" s="12"/>
      <c r="OR270" s="12"/>
      <c r="OS270" s="12"/>
      <c r="OT270" s="12"/>
      <c r="OU270" s="12"/>
      <c r="OV270" s="12"/>
      <c r="OW270" s="12"/>
      <c r="OX270" s="12"/>
      <c r="OY270" s="12"/>
      <c r="OZ270" s="12"/>
      <c r="PA270" s="12"/>
      <c r="PB270" s="12"/>
      <c r="PC270" s="12"/>
      <c r="PD270" s="12"/>
      <c r="PE270" s="12"/>
      <c r="PF270" s="12"/>
      <c r="PG270" s="12"/>
      <c r="PH270" s="12"/>
      <c r="PI270" s="12"/>
      <c r="PJ270" s="12"/>
      <c r="PK270" s="12"/>
      <c r="PL270" s="12"/>
      <c r="PM270" s="12"/>
      <c r="PN270" s="12"/>
      <c r="PO270" s="12"/>
      <c r="PP270" s="12"/>
      <c r="PQ270" s="12"/>
      <c r="PR270" s="12"/>
      <c r="PS270" s="12"/>
      <c r="PT270" s="12"/>
      <c r="PU270" s="12"/>
      <c r="PV270" s="12"/>
      <c r="PW270" s="12"/>
      <c r="PX270" s="12"/>
      <c r="PY270" s="12"/>
      <c r="PZ270" s="12"/>
      <c r="QA270" s="12"/>
      <c r="QB270" s="12"/>
      <c r="QC270" s="12"/>
      <c r="QD270" s="12"/>
      <c r="QE270" s="12"/>
      <c r="QF270" s="12"/>
      <c r="QG270" s="12"/>
      <c r="QH270" s="12"/>
      <c r="QI270" s="12"/>
      <c r="QJ270" s="12"/>
      <c r="QK270" s="12"/>
      <c r="QL270" s="12"/>
      <c r="QM270" s="12"/>
      <c r="QN270" s="12"/>
      <c r="QO270" s="12"/>
      <c r="QP270" s="12"/>
      <c r="QQ270" s="12"/>
      <c r="QR270" s="12"/>
      <c r="QS270" s="12"/>
      <c r="QT270" s="12"/>
      <c r="QU270" s="12"/>
      <c r="QV270" s="12"/>
      <c r="QW270" s="12"/>
      <c r="QX270" s="12"/>
      <c r="QY270" s="12"/>
      <c r="QZ270" s="12"/>
      <c r="RA270" s="12"/>
      <c r="RB270" s="12"/>
      <c r="RC270" s="12"/>
      <c r="RD270" s="12"/>
      <c r="RE270" s="12"/>
      <c r="RF270" s="12"/>
      <c r="RG270" s="12"/>
      <c r="RH270" s="12"/>
      <c r="RI270" s="12"/>
      <c r="RJ270" s="12"/>
      <c r="RK270" s="12"/>
      <c r="RL270" s="12"/>
      <c r="RM270" s="12"/>
      <c r="RN270" s="12"/>
      <c r="RO270" s="12"/>
      <c r="RP270" s="12"/>
      <c r="RQ270" s="12"/>
      <c r="RR270" s="12"/>
      <c r="RS270" s="12"/>
      <c r="RT270" s="12"/>
      <c r="RU270" s="12"/>
      <c r="RV270" s="12"/>
      <c r="RW270" s="12"/>
      <c r="RX270" s="12"/>
      <c r="RY270" s="12"/>
      <c r="RZ270" s="12"/>
      <c r="SA270" s="12"/>
      <c r="SB270" s="12"/>
      <c r="SC270" s="12"/>
      <c r="SD270" s="12"/>
      <c r="SE270" s="12"/>
      <c r="SF270" s="12"/>
      <c r="SG270" s="12"/>
      <c r="SH270" s="11"/>
      <c r="SI270" s="11"/>
      <c r="SJ270" s="11"/>
      <c r="SK270" s="11"/>
      <c r="SL270" s="11"/>
      <c r="SM270" s="11"/>
      <c r="SN270" s="11"/>
      <c r="SO270" s="11"/>
      <c r="SP270" s="11"/>
      <c r="SQ270" s="11"/>
      <c r="SR270" s="11"/>
      <c r="SS270" s="11"/>
      <c r="ST270" s="11"/>
      <c r="SU270" s="11"/>
      <c r="SV270" s="11"/>
      <c r="SW270" s="11"/>
      <c r="SX270" s="11"/>
      <c r="SY270" s="11"/>
      <c r="SZ270" s="11"/>
      <c r="TA270" s="11"/>
      <c r="TB270" s="11"/>
      <c r="TC270" s="11"/>
      <c r="TD270" s="11"/>
      <c r="TE270" s="11"/>
      <c r="TF270" s="11"/>
      <c r="TG270" s="11"/>
      <c r="TH270" s="11"/>
      <c r="TI270" s="11"/>
      <c r="TJ270" s="11"/>
      <c r="TK270" s="11"/>
      <c r="TL270" s="11"/>
    </row>
    <row r="271" spans="1:532" x14ac:dyDescent="0.2">
      <c r="A271" s="10" t="s">
        <v>270</v>
      </c>
      <c r="B271" s="12">
        <v>13.39</v>
      </c>
      <c r="C271" s="11">
        <v>0</v>
      </c>
      <c r="D271" s="11">
        <v>1.5938743500232855</v>
      </c>
      <c r="IV271" s="11"/>
      <c r="IW271" s="11"/>
      <c r="IX271" s="11"/>
      <c r="IY271" s="11"/>
      <c r="IZ271" s="11"/>
      <c r="JA271" s="11"/>
      <c r="JB271" s="11"/>
      <c r="JC271" s="11"/>
      <c r="JD271" s="11"/>
      <c r="JE271" s="11"/>
      <c r="JF271" s="11"/>
      <c r="JG271" s="11"/>
      <c r="JH271" s="11"/>
      <c r="JI271" s="11"/>
      <c r="JJ271" s="11"/>
      <c r="JK271" s="11"/>
      <c r="JL271" s="11"/>
      <c r="JM271" s="11"/>
      <c r="JN271" s="11"/>
      <c r="JO271" s="11"/>
      <c r="JP271" s="11"/>
      <c r="JQ271" s="11"/>
      <c r="JR271" s="11"/>
      <c r="JS271" s="11"/>
      <c r="JT271" s="11"/>
      <c r="JU271" s="11"/>
      <c r="JV271" s="11"/>
      <c r="JW271" s="11"/>
      <c r="JX271" s="11"/>
      <c r="JY271" s="11"/>
      <c r="JZ271" s="11"/>
      <c r="KA271" s="11"/>
      <c r="KB271" s="11"/>
      <c r="KC271" s="11"/>
      <c r="KD271" s="11"/>
      <c r="KE271" s="11"/>
      <c r="KF271" s="11"/>
      <c r="KG271" s="11"/>
      <c r="KH271" s="11"/>
      <c r="KI271" s="11"/>
      <c r="KJ271" s="11"/>
      <c r="KK271" s="11"/>
      <c r="KL271" s="11"/>
      <c r="KM271" s="11"/>
      <c r="KN271" s="11"/>
      <c r="KO271" s="11"/>
      <c r="KP271" s="11"/>
      <c r="KQ271" s="11"/>
      <c r="KR271" s="11"/>
      <c r="KS271" s="11"/>
      <c r="KT271" s="11"/>
      <c r="KU271" s="11"/>
      <c r="KV271" s="11"/>
      <c r="KW271" s="11"/>
      <c r="KX271" s="11"/>
      <c r="KY271" s="11"/>
      <c r="KZ271" s="11"/>
      <c r="LA271" s="11"/>
      <c r="LB271" s="11"/>
      <c r="LC271" s="11"/>
      <c r="LD271" s="11"/>
      <c r="LE271" s="11"/>
      <c r="LF271" s="11"/>
      <c r="LG271" s="11"/>
      <c r="LH271" s="11"/>
      <c r="LI271" s="11"/>
      <c r="LJ271" s="11"/>
      <c r="LK271" s="11"/>
      <c r="LL271" s="11"/>
      <c r="LM271" s="11"/>
      <c r="LN271" s="11"/>
      <c r="LO271" s="11"/>
      <c r="LP271" s="11"/>
      <c r="LQ271" s="11"/>
      <c r="LR271" s="11"/>
      <c r="LS271" s="11"/>
      <c r="LT271" s="11"/>
      <c r="LU271" s="11"/>
      <c r="LV271" s="11"/>
      <c r="LW271" s="11"/>
      <c r="LX271" s="11"/>
      <c r="LY271" s="11"/>
      <c r="LZ271" s="11"/>
      <c r="MA271" s="11"/>
      <c r="MB271" s="11"/>
      <c r="MC271" s="11"/>
      <c r="MD271" s="11"/>
      <c r="ME271" s="11"/>
      <c r="MF271" s="11"/>
      <c r="MG271" s="11"/>
      <c r="MH271" s="11"/>
      <c r="MI271" s="11"/>
      <c r="MJ271" s="11"/>
      <c r="MK271" s="11"/>
      <c r="ML271" s="11"/>
      <c r="MM271" s="11"/>
      <c r="MN271" s="11"/>
      <c r="MO271" s="11"/>
      <c r="MP271" s="11"/>
      <c r="MQ271" s="11"/>
      <c r="MR271" s="11"/>
      <c r="MS271" s="11"/>
      <c r="MT271" s="11"/>
      <c r="MU271" s="11"/>
      <c r="MV271" s="11"/>
      <c r="MW271" s="11"/>
      <c r="MX271" s="11"/>
      <c r="MY271" s="11"/>
      <c r="MZ271" s="11"/>
      <c r="NA271" s="11"/>
      <c r="NB271" s="11"/>
      <c r="NC271" s="11"/>
      <c r="ND271" s="11"/>
      <c r="NE271" s="11"/>
      <c r="NF271" s="11"/>
      <c r="NG271" s="11"/>
      <c r="NH271" s="11"/>
      <c r="NI271" s="11"/>
      <c r="NJ271" s="11"/>
      <c r="NK271" s="11"/>
      <c r="NL271" s="11"/>
      <c r="NM271" s="11"/>
      <c r="NN271" s="11"/>
      <c r="NO271" s="11"/>
      <c r="NP271" s="11"/>
      <c r="NQ271" s="11"/>
      <c r="NR271" s="11"/>
      <c r="NS271" s="11"/>
      <c r="NT271" s="11"/>
      <c r="NU271" s="11"/>
      <c r="NV271" s="11"/>
      <c r="NW271" s="11"/>
      <c r="NX271" s="11"/>
      <c r="NY271" s="11"/>
      <c r="NZ271" s="11"/>
      <c r="OA271" s="11"/>
      <c r="OB271" s="11"/>
      <c r="OC271" s="11"/>
      <c r="OD271" s="11"/>
      <c r="OE271" s="11"/>
      <c r="OF271" s="11"/>
      <c r="OG271" s="11"/>
      <c r="OH271" s="11"/>
      <c r="OI271" s="11"/>
      <c r="OJ271" s="11"/>
      <c r="OK271" s="11"/>
      <c r="OL271" s="11"/>
      <c r="OM271" s="11"/>
      <c r="ON271" s="11"/>
      <c r="OO271" s="11"/>
      <c r="OP271" s="11"/>
      <c r="OQ271" s="11"/>
      <c r="OR271" s="11"/>
      <c r="OS271" s="11"/>
      <c r="OT271" s="11"/>
      <c r="OU271" s="11"/>
      <c r="OV271" s="11"/>
      <c r="OW271" s="11"/>
      <c r="OX271" s="11"/>
      <c r="OY271" s="11"/>
      <c r="OZ271" s="11"/>
      <c r="PA271" s="11"/>
      <c r="PB271" s="11"/>
      <c r="PC271" s="11"/>
      <c r="PD271" s="11"/>
      <c r="PE271" s="11"/>
      <c r="PF271" s="11"/>
      <c r="PG271" s="11"/>
      <c r="PH271" s="11"/>
      <c r="PI271" s="11"/>
      <c r="PJ271" s="11"/>
      <c r="PK271" s="11"/>
      <c r="PL271" s="11"/>
      <c r="PM271" s="11"/>
      <c r="PN271" s="11"/>
      <c r="PO271" s="11"/>
      <c r="PP271" s="11"/>
      <c r="PQ271" s="11"/>
      <c r="PR271" s="11"/>
      <c r="PS271" s="11"/>
      <c r="PT271" s="11"/>
      <c r="PU271" s="11"/>
      <c r="PV271" s="11"/>
      <c r="PW271" s="11"/>
      <c r="PX271" s="11"/>
      <c r="PY271" s="11"/>
      <c r="PZ271" s="11"/>
      <c r="QA271" s="11"/>
      <c r="QB271" s="11"/>
      <c r="QC271" s="11"/>
      <c r="QD271" s="11"/>
      <c r="QE271" s="11"/>
      <c r="QF271" s="11"/>
      <c r="QG271" s="11"/>
      <c r="QH271" s="11"/>
      <c r="QI271" s="11"/>
      <c r="QJ271" s="11"/>
      <c r="QK271" s="11"/>
      <c r="QL271" s="11"/>
      <c r="QM271" s="11"/>
      <c r="QN271" s="11"/>
      <c r="QO271" s="11"/>
      <c r="QP271" s="11"/>
      <c r="QQ271" s="11"/>
      <c r="QR271" s="11"/>
      <c r="QS271" s="11"/>
      <c r="QT271" s="11"/>
      <c r="QU271" s="11"/>
      <c r="QV271" s="11"/>
      <c r="QW271" s="11"/>
      <c r="QX271" s="11"/>
      <c r="QY271" s="11"/>
      <c r="QZ271" s="11"/>
      <c r="RA271" s="11"/>
      <c r="RB271" s="11"/>
      <c r="RC271" s="11"/>
      <c r="RD271" s="11"/>
      <c r="RE271" s="11"/>
      <c r="RF271" s="11"/>
      <c r="RG271" s="11"/>
      <c r="RH271" s="11"/>
      <c r="RI271" s="11"/>
      <c r="RJ271" s="11"/>
      <c r="RK271" s="11"/>
      <c r="RL271" s="11"/>
      <c r="RM271" s="11"/>
      <c r="RN271" s="11"/>
      <c r="RO271" s="11"/>
      <c r="RP271" s="11"/>
      <c r="RQ271" s="11"/>
      <c r="RR271" s="11"/>
      <c r="RS271" s="11"/>
      <c r="RT271" s="11"/>
      <c r="RU271" s="11"/>
      <c r="RV271" s="11"/>
      <c r="RW271" s="11"/>
      <c r="RX271" s="11"/>
      <c r="RY271" s="11"/>
      <c r="RZ271" s="11"/>
      <c r="SA271" s="11"/>
      <c r="SB271" s="11"/>
      <c r="SC271" s="11"/>
      <c r="SD271" s="11"/>
      <c r="SE271" s="11"/>
      <c r="SF271" s="11"/>
      <c r="SG271" s="11"/>
      <c r="SH271" s="11"/>
      <c r="SI271" s="11"/>
      <c r="SJ271" s="11"/>
      <c r="SK271" s="11"/>
      <c r="SL271" s="11"/>
      <c r="SM271" s="11"/>
      <c r="SN271" s="11"/>
      <c r="SO271" s="11"/>
      <c r="SP271" s="11"/>
      <c r="SQ271" s="11"/>
      <c r="SR271" s="11"/>
      <c r="SS271" s="11"/>
      <c r="ST271" s="11"/>
      <c r="SU271" s="11"/>
      <c r="SV271" s="11"/>
      <c r="SW271" s="11"/>
      <c r="SX271" s="11"/>
      <c r="SY271" s="11"/>
      <c r="SZ271" s="11"/>
      <c r="TA271" s="11"/>
      <c r="TB271" s="11"/>
      <c r="TC271" s="11"/>
      <c r="TD271" s="11"/>
      <c r="TE271" s="11"/>
      <c r="TF271" s="11"/>
      <c r="TG271" s="11"/>
      <c r="TH271" s="11"/>
      <c r="TI271" s="11"/>
      <c r="TJ271" s="11"/>
      <c r="TK271" s="11"/>
      <c r="TL271" s="11"/>
    </row>
    <row r="272" spans="1:532" x14ac:dyDescent="0.2">
      <c r="A272" s="10" t="s">
        <v>271</v>
      </c>
      <c r="B272" s="12">
        <v>14.8</v>
      </c>
      <c r="C272" s="11">
        <v>0</v>
      </c>
      <c r="D272" s="11">
        <v>0.19799681366748889</v>
      </c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P272" s="11"/>
      <c r="BQ272" s="11"/>
      <c r="BR272" s="11"/>
      <c r="BS272" s="11"/>
      <c r="BT272" s="11"/>
      <c r="BU272" s="11"/>
      <c r="BV272" s="11"/>
      <c r="BW272" s="11"/>
      <c r="BX272" s="11"/>
      <c r="BY272" s="11"/>
      <c r="BZ272" s="11"/>
      <c r="CA272" s="11"/>
      <c r="CB272" s="11"/>
      <c r="CC272" s="11"/>
      <c r="CD272" s="11"/>
      <c r="CE272" s="11"/>
      <c r="CF272" s="11"/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11"/>
      <c r="CV272" s="11"/>
      <c r="CW272" s="11"/>
      <c r="CX272" s="11"/>
      <c r="CY272" s="11"/>
      <c r="CZ272" s="11"/>
      <c r="DA272" s="11"/>
      <c r="DB272" s="11"/>
      <c r="DC272" s="11"/>
      <c r="DD272" s="11"/>
      <c r="DE272" s="11"/>
      <c r="DF272" s="11"/>
      <c r="DG272" s="11"/>
      <c r="DH272" s="11"/>
      <c r="DI272" s="11"/>
      <c r="DJ272" s="11"/>
      <c r="DK272" s="11"/>
      <c r="DL272" s="11"/>
      <c r="DM272" s="11"/>
      <c r="DN272" s="11"/>
      <c r="DO272" s="11"/>
      <c r="DP272" s="11"/>
      <c r="DQ272" s="11"/>
      <c r="DR272" s="11"/>
      <c r="DS272" s="11"/>
      <c r="DT272" s="11"/>
      <c r="DU272" s="11"/>
      <c r="DV272" s="11"/>
      <c r="DW272" s="11"/>
      <c r="DX272" s="11"/>
      <c r="DY272" s="11"/>
      <c r="DZ272" s="11"/>
      <c r="EA272" s="11"/>
      <c r="EB272" s="11"/>
      <c r="EC272" s="11"/>
      <c r="ED272" s="11"/>
      <c r="EE272" s="11"/>
      <c r="EF272" s="11"/>
      <c r="EG272" s="11"/>
      <c r="EH272" s="11"/>
      <c r="EI272" s="11"/>
      <c r="EJ272" s="11"/>
      <c r="EK272" s="11"/>
      <c r="EL272" s="11"/>
      <c r="EM272" s="11"/>
      <c r="EN272" s="11"/>
      <c r="EO272" s="11"/>
      <c r="EP272" s="11"/>
      <c r="EQ272" s="11"/>
      <c r="ER272" s="11"/>
      <c r="ES272" s="11"/>
      <c r="ET272" s="11"/>
      <c r="EU272" s="11"/>
      <c r="EV272" s="11"/>
      <c r="EW272" s="11"/>
      <c r="EX272" s="11"/>
      <c r="EY272" s="11"/>
      <c r="EZ272" s="11"/>
      <c r="FA272" s="11"/>
      <c r="FB272" s="11"/>
      <c r="FC272" s="11"/>
      <c r="FD272" s="11"/>
      <c r="FE272" s="11"/>
      <c r="FF272" s="11"/>
      <c r="FG272" s="11"/>
      <c r="FH272" s="11"/>
      <c r="FI272" s="11"/>
      <c r="FJ272" s="11"/>
      <c r="FK272" s="11"/>
      <c r="FL272" s="11"/>
      <c r="FM272" s="11"/>
      <c r="FN272" s="11"/>
      <c r="FO272" s="11"/>
      <c r="FP272" s="11"/>
      <c r="FQ272" s="11"/>
      <c r="FR272" s="11"/>
      <c r="FS272" s="11"/>
      <c r="FT272" s="11"/>
      <c r="FU272" s="11"/>
      <c r="FV272" s="11"/>
      <c r="FW272" s="11"/>
      <c r="FX272" s="11"/>
      <c r="FY272" s="11"/>
      <c r="FZ272" s="11"/>
      <c r="GA272" s="11"/>
      <c r="GB272" s="11"/>
      <c r="GC272" s="11"/>
      <c r="GD272" s="11"/>
      <c r="GE272" s="11"/>
      <c r="GF272" s="11"/>
      <c r="GG272" s="11"/>
      <c r="GH272" s="11"/>
      <c r="GI272" s="11"/>
      <c r="GJ272" s="11"/>
      <c r="GK272" s="11"/>
      <c r="GL272" s="11"/>
      <c r="GM272" s="11"/>
      <c r="GN272" s="11"/>
      <c r="GO272" s="11"/>
      <c r="GP272" s="11"/>
      <c r="GQ272" s="11"/>
      <c r="GR272" s="11"/>
      <c r="GS272" s="11"/>
      <c r="GT272" s="11"/>
      <c r="GU272" s="11"/>
      <c r="GV272" s="11"/>
      <c r="GW272" s="11"/>
      <c r="GX272" s="11"/>
      <c r="GY272" s="11"/>
      <c r="GZ272" s="11"/>
      <c r="HA272" s="11"/>
      <c r="HB272" s="11"/>
      <c r="HC272" s="11"/>
      <c r="HD272" s="11"/>
      <c r="HE272" s="11"/>
      <c r="HF272" s="11"/>
      <c r="HG272" s="11"/>
      <c r="HH272" s="11"/>
      <c r="HI272" s="11"/>
      <c r="HJ272" s="11"/>
      <c r="HK272" s="11"/>
      <c r="HL272" s="11"/>
      <c r="HM272" s="11"/>
      <c r="HN272" s="11"/>
      <c r="HO272" s="11"/>
      <c r="HP272" s="11"/>
      <c r="HQ272" s="11"/>
      <c r="HR272" s="11"/>
      <c r="HS272" s="11"/>
      <c r="HT272" s="11"/>
      <c r="HU272" s="11"/>
      <c r="HV272" s="11"/>
      <c r="HW272" s="11"/>
      <c r="HX272" s="11"/>
      <c r="HY272" s="11"/>
      <c r="HZ272" s="11"/>
      <c r="IA272" s="11"/>
      <c r="IB272" s="11"/>
      <c r="IC272" s="11"/>
      <c r="ID272" s="11"/>
      <c r="IE272" s="11"/>
      <c r="IF272" s="11"/>
      <c r="IG272" s="11"/>
      <c r="IH272" s="11"/>
      <c r="II272" s="11"/>
      <c r="IJ272" s="11"/>
      <c r="IK272" s="11"/>
      <c r="IL272" s="11"/>
      <c r="IM272" s="11"/>
      <c r="IN272" s="11"/>
      <c r="IO272" s="11"/>
      <c r="IP272" s="11"/>
      <c r="IQ272" s="11"/>
      <c r="IR272" s="11"/>
      <c r="IS272" s="11"/>
      <c r="IT272" s="11"/>
      <c r="IU272" s="11"/>
      <c r="IV272" s="11"/>
      <c r="IW272" s="11"/>
      <c r="IX272" s="11"/>
      <c r="IY272" s="11"/>
      <c r="IZ272" s="11"/>
      <c r="JA272" s="11"/>
      <c r="JB272" s="11"/>
      <c r="JC272" s="11"/>
      <c r="JD272" s="11"/>
      <c r="JE272" s="11"/>
      <c r="JF272" s="11"/>
      <c r="JG272" s="11"/>
      <c r="JH272" s="11"/>
      <c r="JI272" s="11"/>
      <c r="JJ272" s="11"/>
      <c r="JK272" s="11"/>
      <c r="JL272" s="11"/>
      <c r="JM272" s="11"/>
      <c r="JN272" s="11"/>
      <c r="JO272" s="11"/>
      <c r="JP272" s="11"/>
      <c r="JQ272" s="11"/>
      <c r="JR272" s="11"/>
      <c r="JS272" s="11"/>
      <c r="JT272" s="11"/>
      <c r="JU272" s="11"/>
      <c r="JV272" s="11"/>
      <c r="JW272" s="11"/>
      <c r="JX272" s="11"/>
      <c r="JY272" s="11"/>
      <c r="JZ272" s="11"/>
      <c r="KA272" s="11"/>
      <c r="KB272" s="11"/>
      <c r="KC272" s="11"/>
      <c r="KD272" s="11"/>
      <c r="KE272" s="11"/>
      <c r="KF272" s="11"/>
      <c r="KG272" s="11"/>
      <c r="KH272" s="11"/>
      <c r="KI272" s="11"/>
      <c r="KJ272" s="11"/>
      <c r="KK272" s="11"/>
      <c r="KL272" s="11"/>
      <c r="KM272" s="11"/>
      <c r="KN272" s="11"/>
      <c r="KO272" s="11"/>
      <c r="KP272" s="11"/>
      <c r="KQ272" s="11"/>
      <c r="KR272" s="11"/>
      <c r="KS272" s="11"/>
      <c r="KT272" s="11"/>
      <c r="KU272" s="11"/>
      <c r="KV272" s="11"/>
      <c r="KW272" s="11"/>
      <c r="KX272" s="11"/>
      <c r="KY272" s="11"/>
      <c r="KZ272" s="11"/>
      <c r="LA272" s="11"/>
      <c r="LB272" s="11"/>
      <c r="LC272" s="11"/>
      <c r="LD272" s="11"/>
      <c r="LE272" s="11"/>
      <c r="LF272" s="11"/>
      <c r="LG272" s="11"/>
      <c r="LH272" s="11"/>
      <c r="LI272" s="11"/>
      <c r="LJ272" s="11"/>
      <c r="LK272" s="11"/>
      <c r="LL272" s="11"/>
      <c r="LM272" s="11"/>
      <c r="LN272" s="11"/>
      <c r="LO272" s="11"/>
      <c r="LP272" s="11"/>
      <c r="LQ272" s="11"/>
      <c r="LR272" s="11"/>
      <c r="LS272" s="11"/>
      <c r="LT272" s="11"/>
      <c r="LU272" s="11"/>
      <c r="LV272" s="11"/>
      <c r="LW272" s="11"/>
      <c r="LX272" s="11"/>
      <c r="LY272" s="11"/>
      <c r="LZ272" s="11"/>
      <c r="MA272" s="11"/>
      <c r="MB272" s="11"/>
      <c r="MC272" s="11"/>
      <c r="MD272" s="11"/>
      <c r="ME272" s="11"/>
      <c r="MF272" s="11"/>
      <c r="MG272" s="11"/>
      <c r="MH272" s="11"/>
      <c r="MI272" s="11"/>
      <c r="MJ272" s="11"/>
      <c r="MK272" s="11"/>
      <c r="ML272" s="11"/>
      <c r="MM272" s="11"/>
      <c r="MN272" s="11"/>
      <c r="MO272" s="11"/>
      <c r="MP272" s="11"/>
      <c r="MQ272" s="11"/>
      <c r="MR272" s="11"/>
      <c r="MS272" s="11"/>
      <c r="MT272" s="11"/>
      <c r="MU272" s="11"/>
      <c r="MV272" s="11"/>
      <c r="MW272" s="11"/>
      <c r="MX272" s="11"/>
      <c r="MY272" s="11"/>
      <c r="MZ272" s="11"/>
      <c r="NA272" s="11"/>
      <c r="NB272" s="11"/>
      <c r="NC272" s="11"/>
      <c r="ND272" s="11"/>
      <c r="NE272" s="11"/>
      <c r="NF272" s="11"/>
      <c r="NG272" s="11"/>
      <c r="NH272" s="11"/>
      <c r="NI272" s="11"/>
      <c r="NJ272" s="11"/>
      <c r="NK272" s="11"/>
      <c r="NL272" s="11"/>
      <c r="NM272" s="11"/>
      <c r="NN272" s="11"/>
      <c r="NO272" s="11"/>
      <c r="NP272" s="11"/>
      <c r="NQ272" s="11"/>
      <c r="NR272" s="11"/>
      <c r="NS272" s="11"/>
      <c r="NT272" s="11"/>
      <c r="NU272" s="11"/>
      <c r="NV272" s="11"/>
      <c r="NW272" s="11"/>
      <c r="NX272" s="11"/>
      <c r="NY272" s="11"/>
      <c r="NZ272" s="11"/>
      <c r="OA272" s="11"/>
      <c r="OB272" s="11"/>
      <c r="OC272" s="11"/>
      <c r="OD272" s="11"/>
      <c r="OE272" s="11"/>
      <c r="OF272" s="11"/>
      <c r="OG272" s="11"/>
      <c r="OH272" s="11"/>
      <c r="OI272" s="11"/>
      <c r="OJ272" s="11"/>
      <c r="OK272" s="11"/>
      <c r="OL272" s="11"/>
      <c r="OM272" s="11"/>
      <c r="ON272" s="11"/>
      <c r="OO272" s="11"/>
      <c r="OP272" s="11"/>
      <c r="OQ272" s="11"/>
      <c r="OR272" s="11"/>
      <c r="OS272" s="11"/>
      <c r="OT272" s="11"/>
      <c r="OU272" s="11"/>
      <c r="OV272" s="11"/>
      <c r="OW272" s="11"/>
      <c r="OX272" s="11"/>
      <c r="OY272" s="11"/>
      <c r="OZ272" s="11"/>
      <c r="PA272" s="11"/>
      <c r="PB272" s="11"/>
      <c r="PC272" s="11"/>
      <c r="PD272" s="11"/>
      <c r="PE272" s="11"/>
      <c r="PF272" s="11"/>
      <c r="PG272" s="11"/>
      <c r="PH272" s="11"/>
      <c r="PI272" s="11"/>
      <c r="PJ272" s="11"/>
      <c r="PK272" s="11"/>
      <c r="PL272" s="11"/>
      <c r="PM272" s="11"/>
      <c r="PN272" s="11"/>
      <c r="PO272" s="11"/>
      <c r="PP272" s="11"/>
      <c r="PQ272" s="11"/>
      <c r="PR272" s="11"/>
      <c r="PS272" s="11"/>
      <c r="PT272" s="11"/>
      <c r="PU272" s="11"/>
      <c r="PV272" s="11"/>
      <c r="PW272" s="11"/>
      <c r="PX272" s="11"/>
      <c r="PY272" s="11"/>
      <c r="PZ272" s="11"/>
      <c r="QA272" s="11"/>
      <c r="QB272" s="11"/>
      <c r="QC272" s="11"/>
      <c r="QD272" s="11"/>
      <c r="QE272" s="11"/>
      <c r="QF272" s="11"/>
      <c r="QG272" s="11"/>
      <c r="QH272" s="11"/>
      <c r="QI272" s="11"/>
      <c r="QJ272" s="11"/>
      <c r="QK272" s="11"/>
      <c r="QL272" s="11"/>
      <c r="QM272" s="11"/>
      <c r="QN272" s="11"/>
      <c r="QO272" s="11"/>
      <c r="QP272" s="11"/>
      <c r="QQ272" s="11"/>
      <c r="QR272" s="11"/>
      <c r="QS272" s="11"/>
      <c r="QT272" s="11"/>
      <c r="QU272" s="11"/>
      <c r="QV272" s="11"/>
      <c r="QW272" s="11"/>
      <c r="QX272" s="11"/>
      <c r="QY272" s="11"/>
      <c r="QZ272" s="11"/>
      <c r="RA272" s="11"/>
      <c r="RB272" s="11"/>
      <c r="RC272" s="11"/>
      <c r="RD272" s="11"/>
      <c r="RE272" s="11"/>
      <c r="RF272" s="11"/>
      <c r="RG272" s="11"/>
      <c r="RH272" s="11"/>
      <c r="RI272" s="11"/>
      <c r="RJ272" s="11"/>
      <c r="RK272" s="11"/>
      <c r="RL272" s="11"/>
      <c r="RM272" s="11"/>
      <c r="RN272" s="11"/>
      <c r="RO272" s="11"/>
      <c r="RP272" s="11"/>
      <c r="RQ272" s="11"/>
      <c r="RR272" s="11"/>
      <c r="RS272" s="11"/>
      <c r="RT272" s="11"/>
      <c r="RU272" s="11"/>
      <c r="RV272" s="11"/>
      <c r="RW272" s="11"/>
      <c r="RX272" s="11"/>
      <c r="RY272" s="11"/>
      <c r="RZ272" s="11"/>
      <c r="SA272" s="11"/>
      <c r="SB272" s="11"/>
      <c r="SC272" s="11"/>
      <c r="SD272" s="11"/>
      <c r="SE272" s="11"/>
      <c r="SF272" s="11"/>
      <c r="SG272" s="11"/>
    </row>
    <row r="273" spans="1:501" x14ac:dyDescent="0.2">
      <c r="A273" s="10" t="s">
        <v>272</v>
      </c>
      <c r="B273" s="12">
        <v>14.29</v>
      </c>
      <c r="C273" s="11">
        <v>0</v>
      </c>
      <c r="D273" s="11">
        <v>0.70288868851958541</v>
      </c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  <c r="BS273" s="11"/>
      <c r="BT273" s="11"/>
      <c r="BU273" s="11"/>
      <c r="BV273" s="11"/>
      <c r="BW273" s="11"/>
      <c r="BX273" s="11"/>
      <c r="BY273" s="11"/>
      <c r="BZ273" s="11"/>
      <c r="CA273" s="11"/>
      <c r="CB273" s="11"/>
      <c r="CC273" s="11"/>
      <c r="CD273" s="11"/>
      <c r="CE273" s="11"/>
      <c r="CF273" s="11"/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11"/>
      <c r="CV273" s="11"/>
      <c r="CW273" s="11"/>
      <c r="CX273" s="11"/>
      <c r="CY273" s="11"/>
      <c r="CZ273" s="11"/>
      <c r="DA273" s="11"/>
      <c r="DB273" s="11"/>
      <c r="DC273" s="11"/>
      <c r="DD273" s="11"/>
      <c r="DE273" s="11"/>
      <c r="DF273" s="11"/>
      <c r="DG273" s="11"/>
      <c r="DH273" s="11"/>
      <c r="DI273" s="11"/>
      <c r="DJ273" s="11"/>
      <c r="DK273" s="11"/>
      <c r="DL273" s="11"/>
      <c r="DM273" s="11"/>
      <c r="DN273" s="11"/>
      <c r="DO273" s="11"/>
      <c r="DP273" s="11"/>
      <c r="DQ273" s="11"/>
      <c r="DR273" s="11"/>
      <c r="DS273" s="11"/>
      <c r="DT273" s="11"/>
      <c r="DU273" s="11"/>
      <c r="DV273" s="11"/>
      <c r="DW273" s="11"/>
      <c r="DX273" s="11"/>
      <c r="DY273" s="11"/>
      <c r="DZ273" s="11"/>
      <c r="EA273" s="11"/>
      <c r="EB273" s="11"/>
      <c r="EC273" s="11"/>
      <c r="ED273" s="11"/>
      <c r="EE273" s="11"/>
      <c r="EF273" s="11"/>
      <c r="EG273" s="11"/>
      <c r="EH273" s="11"/>
      <c r="EI273" s="11"/>
      <c r="EJ273" s="11"/>
      <c r="EK273" s="11"/>
      <c r="EL273" s="11"/>
      <c r="EM273" s="11"/>
      <c r="EN273" s="11"/>
      <c r="EO273" s="11"/>
      <c r="EP273" s="11"/>
      <c r="EQ273" s="11"/>
      <c r="ER273" s="11"/>
      <c r="ES273" s="11"/>
      <c r="ET273" s="11"/>
      <c r="EU273" s="11"/>
      <c r="EV273" s="11"/>
      <c r="EW273" s="11"/>
      <c r="EX273" s="11"/>
      <c r="EY273" s="11"/>
      <c r="EZ273" s="11"/>
      <c r="FA273" s="11"/>
      <c r="FB273" s="11"/>
      <c r="FC273" s="11"/>
      <c r="FD273" s="11"/>
      <c r="FE273" s="11"/>
      <c r="FF273" s="11"/>
      <c r="FG273" s="11"/>
      <c r="FH273" s="11"/>
      <c r="FI273" s="11"/>
      <c r="FJ273" s="11"/>
      <c r="FK273" s="11"/>
      <c r="FL273" s="11"/>
      <c r="FM273" s="11"/>
      <c r="FN273" s="11"/>
      <c r="FO273" s="11"/>
      <c r="FP273" s="11"/>
      <c r="FQ273" s="11"/>
      <c r="FR273" s="11"/>
      <c r="FS273" s="11"/>
      <c r="FT273" s="11"/>
      <c r="FU273" s="11"/>
      <c r="FV273" s="11"/>
      <c r="FW273" s="11"/>
      <c r="FX273" s="11"/>
      <c r="FY273" s="11"/>
      <c r="FZ273" s="11"/>
      <c r="GA273" s="11"/>
      <c r="GB273" s="11"/>
      <c r="GC273" s="11"/>
      <c r="GD273" s="11"/>
      <c r="GE273" s="11"/>
      <c r="GF273" s="11"/>
      <c r="GG273" s="11"/>
      <c r="GH273" s="11"/>
      <c r="GI273" s="11"/>
      <c r="GJ273" s="11"/>
      <c r="GK273" s="11"/>
      <c r="GL273" s="11"/>
      <c r="GM273" s="11"/>
      <c r="GN273" s="11"/>
      <c r="GO273" s="11"/>
      <c r="GP273" s="11"/>
      <c r="GQ273" s="11"/>
      <c r="GR273" s="11"/>
      <c r="GS273" s="11"/>
      <c r="GT273" s="11"/>
      <c r="GU273" s="11"/>
      <c r="GV273" s="11"/>
      <c r="GW273" s="11"/>
      <c r="GX273" s="11"/>
      <c r="GY273" s="11"/>
      <c r="GZ273" s="11"/>
      <c r="HA273" s="11"/>
      <c r="HB273" s="11"/>
      <c r="HC273" s="11"/>
      <c r="HD273" s="11"/>
      <c r="HE273" s="11"/>
      <c r="HF273" s="11"/>
      <c r="HG273" s="11"/>
      <c r="HH273" s="11"/>
      <c r="HI273" s="11"/>
      <c r="HJ273" s="11"/>
      <c r="HK273" s="11"/>
      <c r="HL273" s="11"/>
      <c r="HM273" s="11"/>
      <c r="HN273" s="11"/>
      <c r="HO273" s="11"/>
      <c r="HP273" s="11"/>
      <c r="HQ273" s="11"/>
      <c r="HR273" s="11"/>
      <c r="HS273" s="11"/>
      <c r="HT273" s="11"/>
      <c r="HU273" s="11"/>
      <c r="HV273" s="11"/>
      <c r="HW273" s="11"/>
      <c r="HX273" s="11"/>
      <c r="HY273" s="11"/>
      <c r="HZ273" s="11"/>
      <c r="IA273" s="11"/>
      <c r="IB273" s="11"/>
      <c r="IC273" s="11"/>
      <c r="ID273" s="11"/>
      <c r="IE273" s="11"/>
      <c r="IF273" s="11"/>
      <c r="IG273" s="11"/>
      <c r="IH273" s="11"/>
      <c r="II273" s="11"/>
      <c r="IJ273" s="11"/>
      <c r="IK273" s="11"/>
      <c r="IL273" s="11"/>
      <c r="IM273" s="11"/>
      <c r="IN273" s="11"/>
      <c r="IO273" s="11"/>
      <c r="IP273" s="11"/>
      <c r="IQ273" s="11"/>
      <c r="IR273" s="11"/>
      <c r="IS273" s="11"/>
      <c r="IT273" s="11"/>
      <c r="IU273" s="11"/>
      <c r="IV273" s="11"/>
      <c r="IW273" s="11"/>
      <c r="IX273" s="11"/>
      <c r="IY273" s="11"/>
      <c r="IZ273" s="11"/>
      <c r="JA273" s="11"/>
      <c r="JB273" s="11"/>
      <c r="JC273" s="11"/>
      <c r="JD273" s="11"/>
      <c r="JE273" s="11"/>
      <c r="JF273" s="11"/>
      <c r="JG273" s="11"/>
      <c r="JH273" s="11"/>
      <c r="JI273" s="11"/>
      <c r="JJ273" s="11"/>
      <c r="JK273" s="11"/>
      <c r="JL273" s="11"/>
      <c r="JM273" s="11"/>
      <c r="JN273" s="11"/>
      <c r="JO273" s="11"/>
      <c r="JP273" s="11"/>
      <c r="JQ273" s="11"/>
      <c r="JR273" s="11"/>
      <c r="JS273" s="11"/>
      <c r="JT273" s="11"/>
      <c r="JU273" s="11"/>
      <c r="JV273" s="11"/>
      <c r="JW273" s="11"/>
      <c r="JX273" s="11"/>
      <c r="JY273" s="11"/>
      <c r="JZ273" s="11"/>
      <c r="KA273" s="11"/>
      <c r="KB273" s="11"/>
      <c r="KC273" s="11"/>
      <c r="KD273" s="11"/>
      <c r="KE273" s="11"/>
      <c r="KF273" s="11"/>
      <c r="KG273" s="11"/>
      <c r="KH273" s="11"/>
      <c r="KI273" s="11"/>
      <c r="KJ273" s="11"/>
      <c r="KK273" s="11"/>
      <c r="KL273" s="11"/>
      <c r="KM273" s="11"/>
      <c r="KN273" s="11"/>
      <c r="KO273" s="11"/>
      <c r="KP273" s="11"/>
      <c r="KQ273" s="11"/>
      <c r="KR273" s="11"/>
      <c r="KS273" s="11"/>
      <c r="KT273" s="11"/>
      <c r="KU273" s="11"/>
      <c r="KV273" s="11"/>
      <c r="KW273" s="11"/>
      <c r="KX273" s="11"/>
      <c r="KY273" s="11"/>
      <c r="KZ273" s="11"/>
      <c r="LA273" s="11"/>
      <c r="LB273" s="11"/>
      <c r="LC273" s="11"/>
      <c r="LD273" s="11"/>
      <c r="LE273" s="11"/>
      <c r="LF273" s="11"/>
      <c r="LG273" s="11"/>
      <c r="LH273" s="11"/>
      <c r="LI273" s="11"/>
      <c r="LJ273" s="11"/>
      <c r="LK273" s="11"/>
      <c r="LL273" s="11"/>
      <c r="LM273" s="11"/>
      <c r="LN273" s="11"/>
      <c r="LO273" s="11"/>
      <c r="LP273" s="11"/>
      <c r="LQ273" s="11"/>
      <c r="LR273" s="11"/>
      <c r="LS273" s="11"/>
      <c r="LT273" s="11"/>
      <c r="LU273" s="11"/>
      <c r="LV273" s="11"/>
      <c r="LW273" s="11"/>
      <c r="LX273" s="11"/>
      <c r="LY273" s="11"/>
      <c r="LZ273" s="11"/>
      <c r="MA273" s="11"/>
      <c r="MB273" s="11"/>
      <c r="MC273" s="11"/>
      <c r="MD273" s="11"/>
      <c r="ME273" s="11"/>
      <c r="MF273" s="11"/>
      <c r="MG273" s="11"/>
      <c r="MH273" s="11"/>
      <c r="MI273" s="11"/>
      <c r="MJ273" s="11"/>
      <c r="MK273" s="11"/>
      <c r="ML273" s="11"/>
      <c r="MM273" s="11"/>
      <c r="MN273" s="11"/>
      <c r="MO273" s="11"/>
      <c r="MP273" s="11"/>
      <c r="MQ273" s="11"/>
      <c r="MR273" s="11"/>
      <c r="MS273" s="11"/>
      <c r="MT273" s="11"/>
      <c r="MU273" s="11"/>
      <c r="MV273" s="11"/>
      <c r="MW273" s="11"/>
      <c r="MX273" s="11"/>
      <c r="MY273" s="11"/>
      <c r="MZ273" s="11"/>
      <c r="NA273" s="11"/>
      <c r="NB273" s="11"/>
      <c r="NC273" s="11"/>
      <c r="ND273" s="11"/>
      <c r="NE273" s="11"/>
      <c r="NF273" s="11"/>
      <c r="NG273" s="11"/>
      <c r="NH273" s="11"/>
      <c r="NI273" s="11"/>
      <c r="NJ273" s="11"/>
      <c r="NK273" s="11"/>
      <c r="NL273" s="11"/>
      <c r="NM273" s="11"/>
      <c r="NN273" s="11"/>
      <c r="NO273" s="11"/>
      <c r="NP273" s="11"/>
      <c r="NQ273" s="11"/>
      <c r="NR273" s="11"/>
      <c r="NS273" s="11"/>
      <c r="NT273" s="11"/>
      <c r="NU273" s="11"/>
      <c r="NV273" s="11"/>
      <c r="NW273" s="11"/>
      <c r="NX273" s="11"/>
      <c r="NY273" s="11"/>
      <c r="NZ273" s="11"/>
      <c r="OA273" s="11"/>
      <c r="OB273" s="11"/>
      <c r="OC273" s="11"/>
      <c r="OD273" s="11"/>
      <c r="OE273" s="11"/>
      <c r="OF273" s="11"/>
      <c r="OG273" s="11"/>
      <c r="OH273" s="11"/>
      <c r="OI273" s="11"/>
      <c r="OJ273" s="11"/>
      <c r="OK273" s="11"/>
      <c r="OL273" s="11"/>
      <c r="OM273" s="11"/>
      <c r="ON273" s="11"/>
      <c r="OO273" s="11"/>
      <c r="OP273" s="11"/>
      <c r="OQ273" s="11"/>
      <c r="OR273" s="11"/>
      <c r="OS273" s="11"/>
      <c r="OT273" s="11"/>
      <c r="OU273" s="11"/>
      <c r="OV273" s="11"/>
      <c r="OW273" s="11"/>
      <c r="OX273" s="11"/>
      <c r="OY273" s="11"/>
      <c r="OZ273" s="11"/>
      <c r="PA273" s="11"/>
      <c r="PB273" s="11"/>
      <c r="PC273" s="11"/>
      <c r="PD273" s="11"/>
      <c r="PE273" s="11"/>
      <c r="PF273" s="11"/>
      <c r="PG273" s="11"/>
      <c r="PH273" s="11"/>
      <c r="PI273" s="11"/>
      <c r="PJ273" s="11"/>
      <c r="PK273" s="11"/>
      <c r="PL273" s="11"/>
      <c r="PM273" s="11"/>
      <c r="PN273" s="11"/>
      <c r="PO273" s="11"/>
      <c r="PP273" s="11"/>
      <c r="PQ273" s="11"/>
      <c r="PR273" s="11"/>
      <c r="PS273" s="11"/>
      <c r="PT273" s="11"/>
      <c r="PU273" s="11"/>
      <c r="PV273" s="11"/>
      <c r="PW273" s="11"/>
      <c r="PX273" s="11"/>
      <c r="PY273" s="11"/>
      <c r="PZ273" s="11"/>
      <c r="QA273" s="11"/>
      <c r="QB273" s="11"/>
      <c r="QC273" s="11"/>
      <c r="QD273" s="11"/>
      <c r="QE273" s="11"/>
      <c r="QF273" s="11"/>
      <c r="QG273" s="11"/>
      <c r="QH273" s="11"/>
      <c r="QI273" s="11"/>
      <c r="QJ273" s="11"/>
      <c r="QK273" s="11"/>
      <c r="QL273" s="11"/>
      <c r="QM273" s="11"/>
      <c r="QN273" s="11"/>
      <c r="QO273" s="11"/>
      <c r="QP273" s="11"/>
      <c r="QQ273" s="11"/>
      <c r="QR273" s="11"/>
      <c r="QS273" s="11"/>
      <c r="QT273" s="11"/>
      <c r="QU273" s="11"/>
      <c r="QV273" s="11"/>
      <c r="QW273" s="11"/>
      <c r="QX273" s="11"/>
      <c r="QY273" s="11"/>
      <c r="QZ273" s="11"/>
      <c r="RA273" s="11"/>
      <c r="RB273" s="11"/>
      <c r="RC273" s="11"/>
      <c r="RD273" s="11"/>
      <c r="RE273" s="11"/>
      <c r="RF273" s="11"/>
      <c r="RG273" s="11"/>
      <c r="RH273" s="11"/>
      <c r="RI273" s="11"/>
      <c r="RJ273" s="11"/>
      <c r="RK273" s="11"/>
      <c r="RL273" s="11"/>
      <c r="RM273" s="11"/>
      <c r="RN273" s="11"/>
      <c r="RO273" s="11"/>
      <c r="RP273" s="11"/>
      <c r="RQ273" s="11"/>
      <c r="RR273" s="11"/>
      <c r="RS273" s="11"/>
      <c r="RT273" s="11"/>
      <c r="RU273" s="11"/>
      <c r="RV273" s="11"/>
      <c r="RW273" s="11"/>
      <c r="RX273" s="11"/>
      <c r="RY273" s="11"/>
      <c r="RZ273" s="11"/>
      <c r="SA273" s="11"/>
      <c r="SB273" s="11"/>
      <c r="SC273" s="11"/>
      <c r="SD273" s="11"/>
      <c r="SE273" s="11"/>
      <c r="SF273" s="11"/>
      <c r="SG273" s="11"/>
    </row>
    <row r="274" spans="1:501" x14ac:dyDescent="0.2">
      <c r="A274" s="10" t="s">
        <v>273</v>
      </c>
      <c r="B274" s="12">
        <v>14.68</v>
      </c>
      <c r="C274" s="11">
        <v>0</v>
      </c>
      <c r="D274" s="11">
        <v>0.3167949018679822</v>
      </c>
    </row>
    <row r="275" spans="1:501" x14ac:dyDescent="0.2">
      <c r="A275" s="10" t="s">
        <v>274</v>
      </c>
      <c r="B275" s="12">
        <v>13.29</v>
      </c>
      <c r="C275" s="11">
        <v>0</v>
      </c>
      <c r="D275" s="11">
        <v>1.6928727568570299</v>
      </c>
    </row>
    <row r="276" spans="1:501" x14ac:dyDescent="0.2">
      <c r="A276" s="10" t="s">
        <v>275</v>
      </c>
      <c r="B276" s="12">
        <v>12.95</v>
      </c>
      <c r="C276" s="11">
        <v>0</v>
      </c>
      <c r="D276" s="11">
        <v>2.0294673400917609</v>
      </c>
    </row>
    <row r="277" spans="1:501" x14ac:dyDescent="0.2">
      <c r="A277" s="10" t="s">
        <v>276</v>
      </c>
      <c r="B277" s="12">
        <v>16.78</v>
      </c>
      <c r="C277" s="11">
        <v>1.762171641640651</v>
      </c>
      <c r="D277" s="11">
        <v>0</v>
      </c>
    </row>
    <row r="278" spans="1:501" x14ac:dyDescent="0.2">
      <c r="A278" s="10" t="s">
        <v>277</v>
      </c>
      <c r="B278" s="12">
        <v>15.86</v>
      </c>
      <c r="C278" s="11">
        <v>0.85138629877020211</v>
      </c>
      <c r="D278" s="11">
        <v>0</v>
      </c>
    </row>
    <row r="279" spans="1:501" x14ac:dyDescent="0.2">
      <c r="A279" s="10" t="s">
        <v>278</v>
      </c>
      <c r="B279" s="12">
        <v>11.95</v>
      </c>
      <c r="C279" s="11">
        <v>0</v>
      </c>
      <c r="D279" s="11">
        <v>3.0194514084292052</v>
      </c>
    </row>
    <row r="280" spans="1:501" x14ac:dyDescent="0.2">
      <c r="A280" s="10" t="s">
        <v>279</v>
      </c>
      <c r="B280" s="12">
        <v>12.75</v>
      </c>
      <c r="C280" s="11">
        <v>0</v>
      </c>
      <c r="D280" s="11">
        <v>2.2274641537592497</v>
      </c>
    </row>
    <row r="281" spans="1:501" x14ac:dyDescent="0.2">
      <c r="A281" s="10" t="s">
        <v>280</v>
      </c>
      <c r="B281" s="12">
        <v>13.91</v>
      </c>
      <c r="C281" s="11">
        <v>0</v>
      </c>
      <c r="D281" s="11">
        <v>1.0790826344878144</v>
      </c>
    </row>
    <row r="282" spans="1:501" x14ac:dyDescent="0.2">
      <c r="A282" s="10" t="s">
        <v>281</v>
      </c>
      <c r="B282" s="12">
        <v>13.66</v>
      </c>
      <c r="C282" s="11">
        <v>0</v>
      </c>
      <c r="D282" s="11">
        <v>1.3265786515721756</v>
      </c>
    </row>
    <row r="283" spans="1:501" x14ac:dyDescent="0.2">
      <c r="A283" s="10" t="s">
        <v>282</v>
      </c>
      <c r="B283" s="12">
        <v>13.18</v>
      </c>
      <c r="C283" s="11">
        <v>0</v>
      </c>
      <c r="D283" s="11">
        <v>1.8017710043741488</v>
      </c>
    </row>
    <row r="284" spans="1:501" x14ac:dyDescent="0.2">
      <c r="A284" s="10" t="s">
        <v>283</v>
      </c>
      <c r="B284" s="12">
        <v>14.23</v>
      </c>
      <c r="C284" s="11">
        <v>0</v>
      </c>
      <c r="D284" s="11">
        <v>0.76228773261983218</v>
      </c>
    </row>
    <row r="285" spans="1:501" x14ac:dyDescent="0.2">
      <c r="A285" s="10" t="s">
        <v>284</v>
      </c>
      <c r="B285" s="12">
        <v>14.62</v>
      </c>
      <c r="C285" s="11">
        <v>0</v>
      </c>
      <c r="D285" s="11">
        <v>0.37619394596822886</v>
      </c>
    </row>
    <row r="286" spans="1:501" x14ac:dyDescent="0.2">
      <c r="A286" s="10" t="s">
        <v>285</v>
      </c>
      <c r="B286" s="12">
        <v>13.78</v>
      </c>
      <c r="C286" s="11">
        <v>0</v>
      </c>
      <c r="D286" s="11">
        <v>1.207780563371682</v>
      </c>
    </row>
    <row r="287" spans="1:501" x14ac:dyDescent="0.2">
      <c r="A287" s="10" t="s">
        <v>286</v>
      </c>
      <c r="B287" s="12">
        <v>12.41</v>
      </c>
      <c r="C287" s="11">
        <v>0</v>
      </c>
      <c r="D287" s="11">
        <v>2.5640587369939807</v>
      </c>
    </row>
    <row r="288" spans="1:501" x14ac:dyDescent="0.2">
      <c r="A288" s="10" t="s">
        <v>287</v>
      </c>
      <c r="B288" s="12">
        <v>11.47</v>
      </c>
      <c r="C288" s="11">
        <v>0</v>
      </c>
      <c r="D288" s="11">
        <v>3.4946437612311785</v>
      </c>
    </row>
    <row r="289" spans="1:4" x14ac:dyDescent="0.2">
      <c r="A289" s="10" t="s">
        <v>288</v>
      </c>
      <c r="B289" s="12">
        <v>13.36</v>
      </c>
      <c r="C289" s="11">
        <v>0</v>
      </c>
      <c r="D289" s="11">
        <v>1.6235738720734085</v>
      </c>
    </row>
    <row r="290" spans="1:4" x14ac:dyDescent="0.2">
      <c r="A290" s="10" t="s">
        <v>289</v>
      </c>
      <c r="B290" s="12">
        <v>13.59</v>
      </c>
      <c r="C290" s="11">
        <v>0</v>
      </c>
      <c r="D290" s="11">
        <v>1.3958775363557965</v>
      </c>
    </row>
    <row r="291" spans="1:4" x14ac:dyDescent="0.2">
      <c r="A291" s="10" t="s">
        <v>290</v>
      </c>
      <c r="B291" s="12">
        <v>12.86</v>
      </c>
      <c r="C291" s="11">
        <v>0</v>
      </c>
      <c r="D291" s="11">
        <v>2.1185659062421309</v>
      </c>
    </row>
    <row r="292" spans="1:4" x14ac:dyDescent="0.2">
      <c r="A292" s="10" t="s">
        <v>291</v>
      </c>
      <c r="B292" s="12">
        <v>15.76</v>
      </c>
      <c r="C292" s="11">
        <v>0.75238789193645772</v>
      </c>
      <c r="D292" s="11">
        <v>0</v>
      </c>
    </row>
    <row r="293" spans="1:4" x14ac:dyDescent="0.2">
      <c r="A293" s="10" t="s">
        <v>292</v>
      </c>
      <c r="B293" s="12">
        <v>15.21</v>
      </c>
      <c r="C293" s="11">
        <v>0.2078966543508633</v>
      </c>
      <c r="D293" s="11">
        <v>0</v>
      </c>
    </row>
    <row r="294" spans="1:4" x14ac:dyDescent="0.2">
      <c r="A294" s="10" t="s">
        <v>293</v>
      </c>
      <c r="B294" s="12">
        <v>13.31</v>
      </c>
      <c r="C294" s="11">
        <v>0</v>
      </c>
      <c r="D294" s="11">
        <v>1.6730730754902809</v>
      </c>
    </row>
    <row r="295" spans="1:4" x14ac:dyDescent="0.2">
      <c r="A295" s="10" t="s">
        <v>294</v>
      </c>
      <c r="B295" s="12">
        <v>14.76</v>
      </c>
      <c r="C295" s="11">
        <v>0</v>
      </c>
      <c r="D295" s="11">
        <v>0.23759617640098663</v>
      </c>
    </row>
    <row r="296" spans="1:4" x14ac:dyDescent="0.2">
      <c r="A296" s="10" t="s">
        <v>295</v>
      </c>
      <c r="B296" s="12">
        <v>15.19</v>
      </c>
      <c r="C296" s="11">
        <v>0.18809697298411443</v>
      </c>
      <c r="D296" s="11">
        <v>0</v>
      </c>
    </row>
    <row r="297" spans="1:4" x14ac:dyDescent="0.2">
      <c r="A297" s="10" t="s">
        <v>296</v>
      </c>
      <c r="B297" s="12">
        <v>11.91</v>
      </c>
      <c r="C297" s="11">
        <v>0</v>
      </c>
      <c r="D297" s="11">
        <v>3.0590507711627031</v>
      </c>
    </row>
    <row r="298" spans="1:4" x14ac:dyDescent="0.2">
      <c r="A298" s="10" t="s">
        <v>297</v>
      </c>
      <c r="B298" s="12">
        <v>14.68</v>
      </c>
      <c r="C298" s="11">
        <v>0</v>
      </c>
      <c r="D298" s="11">
        <v>0.3167949018679822</v>
      </c>
    </row>
    <row r="299" spans="1:4" x14ac:dyDescent="0.2">
      <c r="A299" s="10" t="s">
        <v>298</v>
      </c>
      <c r="B299" s="12">
        <v>15.85</v>
      </c>
      <c r="C299" s="11">
        <v>0.84148645808682765</v>
      </c>
      <c r="D299" s="11">
        <v>0</v>
      </c>
    </row>
    <row r="300" spans="1:4" x14ac:dyDescent="0.2">
      <c r="A300" s="10" t="s">
        <v>299</v>
      </c>
      <c r="B300" s="12">
        <v>15.67</v>
      </c>
      <c r="C300" s="11">
        <v>0.66328932578608779</v>
      </c>
      <c r="D300" s="11">
        <v>0</v>
      </c>
    </row>
    <row r="301" spans="1:4" x14ac:dyDescent="0.2">
      <c r="A301" s="10" t="s">
        <v>300</v>
      </c>
      <c r="B301" s="12">
        <v>12.31</v>
      </c>
      <c r="C301" s="11">
        <v>0</v>
      </c>
      <c r="D301" s="11">
        <v>2.6630571438277251</v>
      </c>
    </row>
    <row r="302" spans="1:4" x14ac:dyDescent="0.2">
      <c r="A302" s="10" t="s">
        <v>301</v>
      </c>
      <c r="B302" s="12">
        <v>13.23</v>
      </c>
      <c r="C302" s="11">
        <v>0</v>
      </c>
      <c r="D302" s="11">
        <v>1.7522718009572764</v>
      </c>
    </row>
    <row r="303" spans="1:4" x14ac:dyDescent="0.2">
      <c r="A303" s="10" t="s">
        <v>302</v>
      </c>
      <c r="B303" s="12">
        <v>13.69</v>
      </c>
      <c r="C303" s="11">
        <v>0</v>
      </c>
      <c r="D303" s="11">
        <v>1.2968791295220521</v>
      </c>
    </row>
    <row r="304" spans="1:4" x14ac:dyDescent="0.2">
      <c r="A304" s="10" t="s">
        <v>303</v>
      </c>
      <c r="B304" s="12">
        <v>13.72</v>
      </c>
      <c r="C304" s="11">
        <v>0</v>
      </c>
      <c r="D304" s="11">
        <v>1.2671796074719288</v>
      </c>
    </row>
    <row r="305" spans="1:4" x14ac:dyDescent="0.2">
      <c r="A305" s="10" t="s">
        <v>304</v>
      </c>
      <c r="B305" s="12">
        <v>13.21</v>
      </c>
      <c r="C305" s="11">
        <v>0</v>
      </c>
      <c r="D305" s="11">
        <v>1.7720714823240253</v>
      </c>
    </row>
    <row r="306" spans="1:4" x14ac:dyDescent="0.2">
      <c r="A306" s="10" t="s">
        <v>305</v>
      </c>
      <c r="B306" s="12">
        <v>13.17</v>
      </c>
      <c r="C306" s="11">
        <v>0</v>
      </c>
      <c r="D306" s="11">
        <v>1.8116708450575232</v>
      </c>
    </row>
    <row r="307" spans="1:4" x14ac:dyDescent="0.2">
      <c r="A307" s="10" t="s">
        <v>306</v>
      </c>
      <c r="B307" s="12">
        <v>14.38</v>
      </c>
      <c r="C307" s="11">
        <v>0</v>
      </c>
      <c r="D307" s="11">
        <v>0.61379012236921549</v>
      </c>
    </row>
    <row r="308" spans="1:4" x14ac:dyDescent="0.2">
      <c r="A308" s="10" t="s">
        <v>307</v>
      </c>
      <c r="B308" s="12">
        <v>13.25</v>
      </c>
      <c r="C308" s="11">
        <v>0</v>
      </c>
      <c r="D308" s="11">
        <v>1.7324721195905277</v>
      </c>
    </row>
    <row r="309" spans="1:4" x14ac:dyDescent="0.2">
      <c r="A309" s="10" t="s">
        <v>308</v>
      </c>
      <c r="B309" s="12">
        <v>14.76</v>
      </c>
      <c r="C309" s="11">
        <v>0</v>
      </c>
      <c r="D309" s="11">
        <v>0.23759617640098663</v>
      </c>
    </row>
    <row r="310" spans="1:4" x14ac:dyDescent="0.2">
      <c r="A310" s="10" t="s">
        <v>309</v>
      </c>
      <c r="B310" s="12">
        <v>15.68</v>
      </c>
      <c r="C310" s="11">
        <v>0.67318916646946225</v>
      </c>
      <c r="D310" s="11">
        <v>0</v>
      </c>
    </row>
    <row r="311" spans="1:4" x14ac:dyDescent="0.2">
      <c r="A311" s="10" t="s">
        <v>310</v>
      </c>
      <c r="B311" s="12">
        <v>13.95</v>
      </c>
      <c r="C311" s="11">
        <v>0</v>
      </c>
      <c r="D311" s="11">
        <v>1.0394832717543165</v>
      </c>
    </row>
    <row r="312" spans="1:4" x14ac:dyDescent="0.2">
      <c r="A312" s="10" t="s">
        <v>311</v>
      </c>
      <c r="B312" s="12">
        <v>14.3</v>
      </c>
      <c r="C312" s="11">
        <v>0</v>
      </c>
      <c r="D312" s="11">
        <v>0.69298884783621095</v>
      </c>
    </row>
    <row r="313" spans="1:4" x14ac:dyDescent="0.2">
      <c r="A313" s="10" t="s">
        <v>312</v>
      </c>
      <c r="B313" s="12">
        <v>15.53</v>
      </c>
      <c r="C313" s="11">
        <v>0.52469155621884556</v>
      </c>
      <c r="D313" s="11">
        <v>0</v>
      </c>
    </row>
    <row r="314" spans="1:4" x14ac:dyDescent="0.2">
      <c r="A314" s="10" t="s">
        <v>313</v>
      </c>
      <c r="B314" s="12">
        <v>12.81</v>
      </c>
      <c r="C314" s="11">
        <v>0</v>
      </c>
      <c r="D314" s="11">
        <v>2.1680651096590031</v>
      </c>
    </row>
    <row r="315" spans="1:4" x14ac:dyDescent="0.2">
      <c r="A315" s="10" t="s">
        <v>314</v>
      </c>
      <c r="B315" s="12">
        <v>12.44</v>
      </c>
      <c r="C315" s="11">
        <v>0</v>
      </c>
      <c r="D315" s="11">
        <v>2.5343592149438576</v>
      </c>
    </row>
    <row r="316" spans="1:4" x14ac:dyDescent="0.2">
      <c r="A316" s="10" t="s">
        <v>315</v>
      </c>
      <c r="B316" s="12">
        <v>13.73</v>
      </c>
      <c r="C316" s="11">
        <v>0</v>
      </c>
      <c r="D316" s="11">
        <v>1.2572797667885542</v>
      </c>
    </row>
    <row r="317" spans="1:4" x14ac:dyDescent="0.2">
      <c r="A317" s="10" t="s">
        <v>316</v>
      </c>
      <c r="B317" s="12">
        <v>13.05</v>
      </c>
      <c r="C317" s="11">
        <v>0</v>
      </c>
      <c r="D317" s="11">
        <v>1.9304689332580165</v>
      </c>
    </row>
    <row r="318" spans="1:4" x14ac:dyDescent="0.2">
      <c r="A318" s="10" t="s">
        <v>317</v>
      </c>
      <c r="B318" s="12">
        <v>14.51</v>
      </c>
      <c r="C318" s="11">
        <v>0</v>
      </c>
      <c r="D318" s="11">
        <v>0.48509219348534771</v>
      </c>
    </row>
    <row r="319" spans="1:4" x14ac:dyDescent="0.2">
      <c r="A319" s="10" t="s">
        <v>318</v>
      </c>
      <c r="B319" s="12">
        <v>14.1</v>
      </c>
      <c r="C319" s="11">
        <v>0</v>
      </c>
      <c r="D319" s="11">
        <v>0.89098566150369995</v>
      </c>
    </row>
    <row r="320" spans="1:4" x14ac:dyDescent="0.2">
      <c r="A320" s="10" t="s">
        <v>319</v>
      </c>
      <c r="B320" s="12">
        <v>14.32</v>
      </c>
      <c r="C320" s="11">
        <v>0</v>
      </c>
      <c r="D320" s="11">
        <v>0.67318916646946225</v>
      </c>
    </row>
    <row r="321" spans="1:4" x14ac:dyDescent="0.2">
      <c r="A321" s="10" t="s">
        <v>320</v>
      </c>
      <c r="B321" s="12">
        <v>14.55</v>
      </c>
      <c r="C321" s="11">
        <v>0</v>
      </c>
      <c r="D321" s="11">
        <v>0.44549283075184998</v>
      </c>
    </row>
    <row r="322" spans="1:4" x14ac:dyDescent="0.2">
      <c r="A322" s="10" t="s">
        <v>321</v>
      </c>
      <c r="B322" s="12">
        <v>12.81</v>
      </c>
      <c r="C322" s="11">
        <v>0</v>
      </c>
      <c r="D322" s="11">
        <v>2.1680651096590031</v>
      </c>
    </row>
    <row r="323" spans="1:4" x14ac:dyDescent="0.2">
      <c r="A323" s="10" t="s">
        <v>322</v>
      </c>
      <c r="B323" s="12">
        <v>13.5</v>
      </c>
      <c r="C323" s="11">
        <v>0</v>
      </c>
      <c r="D323" s="11">
        <v>1.4849761025061665</v>
      </c>
    </row>
    <row r="324" spans="1:4" x14ac:dyDescent="0.2">
      <c r="A324" s="10" t="s">
        <v>323</v>
      </c>
      <c r="B324" s="12">
        <v>12.73</v>
      </c>
      <c r="C324" s="11">
        <v>0</v>
      </c>
      <c r="D324" s="11">
        <v>2.2472638351259988</v>
      </c>
    </row>
    <row r="325" spans="1:4" x14ac:dyDescent="0.2">
      <c r="A325" s="10" t="s">
        <v>324</v>
      </c>
      <c r="B325" s="12">
        <v>14.74</v>
      </c>
      <c r="C325" s="11">
        <v>0</v>
      </c>
      <c r="D325" s="11">
        <v>0.25739585776773555</v>
      </c>
    </row>
    <row r="326" spans="1:4" x14ac:dyDescent="0.2">
      <c r="A326" s="10" t="s">
        <v>325</v>
      </c>
      <c r="B326" s="12">
        <v>12.36</v>
      </c>
      <c r="C326" s="11">
        <v>0</v>
      </c>
      <c r="D326" s="11">
        <v>2.6135579404108533</v>
      </c>
    </row>
    <row r="327" spans="1:4" x14ac:dyDescent="0.2">
      <c r="A327" s="10" t="s">
        <v>326</v>
      </c>
      <c r="B327" s="12">
        <v>14.25</v>
      </c>
      <c r="C327" s="11">
        <v>0</v>
      </c>
      <c r="D327" s="11">
        <v>0.74248805125308326</v>
      </c>
    </row>
    <row r="328" spans="1:4" x14ac:dyDescent="0.2">
      <c r="A328" s="10" t="s">
        <v>327</v>
      </c>
      <c r="B328" s="12">
        <v>14.42</v>
      </c>
      <c r="C328" s="11">
        <v>0</v>
      </c>
      <c r="D328" s="11">
        <v>0.57419075963571764</v>
      </c>
    </row>
    <row r="329" spans="1:4" x14ac:dyDescent="0.2">
      <c r="A329" s="10" t="s">
        <v>328</v>
      </c>
      <c r="B329" s="12">
        <v>12.23</v>
      </c>
      <c r="C329" s="11">
        <v>0</v>
      </c>
      <c r="D329" s="11">
        <v>2.7422558692947208</v>
      </c>
    </row>
    <row r="330" spans="1:4" x14ac:dyDescent="0.2">
      <c r="A330" s="10" t="s">
        <v>329</v>
      </c>
      <c r="B330" s="12">
        <v>12.78</v>
      </c>
      <c r="C330" s="11">
        <v>0</v>
      </c>
      <c r="D330" s="11">
        <v>2.1977646317091266</v>
      </c>
    </row>
    <row r="331" spans="1:4" x14ac:dyDescent="0.2">
      <c r="A331" s="10" t="s">
        <v>330</v>
      </c>
      <c r="B331" s="12">
        <v>13.23</v>
      </c>
      <c r="C331" s="11">
        <v>0</v>
      </c>
      <c r="D331" s="11">
        <v>1.7522718009572764</v>
      </c>
    </row>
    <row r="332" spans="1:4" x14ac:dyDescent="0.2">
      <c r="A332" s="10" t="s">
        <v>331</v>
      </c>
      <c r="B332" s="12">
        <v>13.97</v>
      </c>
      <c r="C332" s="11">
        <v>0</v>
      </c>
      <c r="D332" s="11">
        <v>1.0196835903875676</v>
      </c>
    </row>
    <row r="333" spans="1:4" x14ac:dyDescent="0.2">
      <c r="A333" s="10" t="s">
        <v>332</v>
      </c>
      <c r="B333" s="12">
        <v>12.49</v>
      </c>
      <c r="C333" s="11">
        <v>0</v>
      </c>
      <c r="D333" s="11">
        <v>2.484860011526985</v>
      </c>
    </row>
    <row r="334" spans="1:4" x14ac:dyDescent="0.2">
      <c r="A334" s="10" t="s">
        <v>333</v>
      </c>
      <c r="B334" s="12">
        <v>13.65</v>
      </c>
      <c r="C334" s="11">
        <v>0</v>
      </c>
      <c r="D334" s="11">
        <v>1.3364784922555499</v>
      </c>
    </row>
    <row r="335" spans="1:4" x14ac:dyDescent="0.2">
      <c r="A335" s="10" t="s">
        <v>334</v>
      </c>
      <c r="B335" s="12">
        <v>14.09</v>
      </c>
      <c r="C335" s="11">
        <v>0</v>
      </c>
      <c r="D335" s="11">
        <v>0.90088550218707442</v>
      </c>
    </row>
    <row r="336" spans="1:4" x14ac:dyDescent="0.2">
      <c r="A336" s="10" t="s">
        <v>335</v>
      </c>
      <c r="B336" s="12">
        <v>13.55</v>
      </c>
      <c r="C336" s="11">
        <v>0</v>
      </c>
      <c r="D336" s="11">
        <v>1.4354768990892943</v>
      </c>
    </row>
    <row r="337" spans="1:4" x14ac:dyDescent="0.2">
      <c r="A337" s="10" t="s">
        <v>336</v>
      </c>
      <c r="B337" s="12">
        <v>11.81</v>
      </c>
      <c r="C337" s="11">
        <v>0</v>
      </c>
      <c r="D337" s="11">
        <v>3.1580491779964475</v>
      </c>
    </row>
    <row r="338" spans="1:4" x14ac:dyDescent="0.2">
      <c r="A338" s="10" t="s">
        <v>337</v>
      </c>
      <c r="B338" s="12">
        <v>12.43</v>
      </c>
      <c r="C338" s="11">
        <v>0</v>
      </c>
      <c r="D338" s="11">
        <v>2.544259055627232</v>
      </c>
    </row>
    <row r="339" spans="1:4" x14ac:dyDescent="0.2">
      <c r="A339" s="10" t="s">
        <v>338</v>
      </c>
      <c r="B339" s="12">
        <v>16.8</v>
      </c>
      <c r="C339" s="11">
        <v>1.7819713230073999</v>
      </c>
      <c r="D339" s="11">
        <v>0</v>
      </c>
    </row>
    <row r="340" spans="1:4" x14ac:dyDescent="0.2">
      <c r="A340" s="10" t="s">
        <v>339</v>
      </c>
      <c r="B340" s="12">
        <v>12.67</v>
      </c>
      <c r="C340" s="11">
        <v>0</v>
      </c>
      <c r="D340" s="11">
        <v>2.3066628792262454</v>
      </c>
    </row>
    <row r="341" spans="1:4" x14ac:dyDescent="0.2">
      <c r="A341" s="10" t="s">
        <v>340</v>
      </c>
      <c r="B341" s="12">
        <v>14.96</v>
      </c>
      <c r="C341" s="11">
        <v>0</v>
      </c>
      <c r="D341" s="11">
        <v>3.9599362733497775E-2</v>
      </c>
    </row>
    <row r="342" spans="1:4" x14ac:dyDescent="0.2">
      <c r="A342" s="10" t="s">
        <v>341</v>
      </c>
      <c r="B342" s="12">
        <v>14.37</v>
      </c>
      <c r="C342" s="11">
        <v>0</v>
      </c>
      <c r="D342" s="11">
        <v>0.62368996305258995</v>
      </c>
    </row>
    <row r="343" spans="1:4" x14ac:dyDescent="0.2">
      <c r="A343" s="10" t="s">
        <v>342</v>
      </c>
      <c r="B343" s="12">
        <v>16.190000000000001</v>
      </c>
      <c r="C343" s="11">
        <v>1.1780810413215588</v>
      </c>
      <c r="D343" s="11">
        <v>0</v>
      </c>
    </row>
    <row r="344" spans="1:4" x14ac:dyDescent="0.2">
      <c r="A344" s="10" t="s">
        <v>343</v>
      </c>
      <c r="B344" s="12">
        <v>13.11</v>
      </c>
      <c r="C344" s="11">
        <v>0</v>
      </c>
      <c r="D344" s="11">
        <v>1.8710698891577697</v>
      </c>
    </row>
    <row r="345" spans="1:4" x14ac:dyDescent="0.2">
      <c r="A345" s="10" t="s">
        <v>344</v>
      </c>
      <c r="B345" s="12">
        <v>12.69</v>
      </c>
      <c r="C345" s="11">
        <v>0</v>
      </c>
      <c r="D345" s="11">
        <v>2.2868631978594967</v>
      </c>
    </row>
    <row r="346" spans="1:4" x14ac:dyDescent="0.2">
      <c r="A346" s="10" t="s">
        <v>345</v>
      </c>
      <c r="B346" s="12">
        <v>13.97</v>
      </c>
      <c r="C346" s="11">
        <v>0</v>
      </c>
      <c r="D346" s="11">
        <v>1.0196835903875676</v>
      </c>
    </row>
    <row r="347" spans="1:4" x14ac:dyDescent="0.2">
      <c r="A347" s="10" t="s">
        <v>346</v>
      </c>
      <c r="B347" s="12">
        <v>13.7</v>
      </c>
      <c r="C347" s="11">
        <v>0</v>
      </c>
      <c r="D347" s="11">
        <v>1.2869792888386777</v>
      </c>
    </row>
    <row r="348" spans="1:4" x14ac:dyDescent="0.2">
      <c r="A348" s="10" t="s">
        <v>347</v>
      </c>
      <c r="B348" s="12">
        <v>13.71</v>
      </c>
      <c r="C348" s="11">
        <v>0</v>
      </c>
      <c r="D348" s="11">
        <v>1.2770794481553032</v>
      </c>
    </row>
    <row r="349" spans="1:4" x14ac:dyDescent="0.2">
      <c r="A349" s="10" t="s">
        <v>348</v>
      </c>
      <c r="B349" s="12">
        <v>11.83</v>
      </c>
      <c r="C349" s="11">
        <v>0</v>
      </c>
      <c r="D349" s="11">
        <v>3.1382494966296983</v>
      </c>
    </row>
    <row r="350" spans="1:4" x14ac:dyDescent="0.2">
      <c r="A350" s="10" t="s">
        <v>349</v>
      </c>
      <c r="B350" s="12">
        <v>13.38</v>
      </c>
      <c r="C350" s="11">
        <v>0</v>
      </c>
      <c r="D350" s="11">
        <v>1.6037741907066601</v>
      </c>
    </row>
    <row r="351" spans="1:4" x14ac:dyDescent="0.2">
      <c r="A351" s="10" t="s">
        <v>350</v>
      </c>
      <c r="B351" s="12">
        <v>14.47</v>
      </c>
      <c r="C351" s="11">
        <v>0</v>
      </c>
      <c r="D351" s="11">
        <v>0.52469155621884556</v>
      </c>
    </row>
    <row r="352" spans="1:4" x14ac:dyDescent="0.2">
      <c r="A352" s="10" t="s">
        <v>351</v>
      </c>
      <c r="B352" s="12">
        <v>13.03</v>
      </c>
      <c r="C352" s="11">
        <v>0</v>
      </c>
      <c r="D352" s="11">
        <v>1.9502686146247654</v>
      </c>
    </row>
    <row r="353" spans="1:4" x14ac:dyDescent="0.2">
      <c r="A353" s="10" t="s">
        <v>352</v>
      </c>
      <c r="B353" s="12">
        <v>14.41</v>
      </c>
      <c r="C353" s="11">
        <v>0</v>
      </c>
      <c r="D353" s="11">
        <v>0.5840906003190921</v>
      </c>
    </row>
    <row r="354" spans="1:4" x14ac:dyDescent="0.2">
      <c r="A354" s="10" t="s">
        <v>353</v>
      </c>
      <c r="B354" s="12">
        <v>14.29</v>
      </c>
      <c r="C354" s="11">
        <v>0</v>
      </c>
      <c r="D354" s="11">
        <v>0.70288868851958541</v>
      </c>
    </row>
    <row r="355" spans="1:4" x14ac:dyDescent="0.2">
      <c r="A355" s="10" t="s">
        <v>354</v>
      </c>
      <c r="B355" s="12">
        <v>16.440000000000001</v>
      </c>
      <c r="C355" s="11">
        <v>1.4255770584059198</v>
      </c>
      <c r="D355" s="11">
        <v>0</v>
      </c>
    </row>
    <row r="356" spans="1:4" x14ac:dyDescent="0.2">
      <c r="A356" s="10" t="s">
        <v>355</v>
      </c>
      <c r="B356" s="12">
        <v>13.73</v>
      </c>
      <c r="C356" s="11">
        <v>0</v>
      </c>
      <c r="D356" s="11">
        <v>1.2572797667885542</v>
      </c>
    </row>
    <row r="357" spans="1:4" x14ac:dyDescent="0.2">
      <c r="A357" s="10" t="s">
        <v>356</v>
      </c>
      <c r="B357" s="12">
        <v>15.16</v>
      </c>
      <c r="C357" s="11">
        <v>0.1583974509339911</v>
      </c>
      <c r="D357" s="11">
        <v>0</v>
      </c>
    </row>
    <row r="358" spans="1:4" x14ac:dyDescent="0.2">
      <c r="A358" s="10" t="s">
        <v>357</v>
      </c>
      <c r="B358" s="12">
        <v>14.67</v>
      </c>
      <c r="C358" s="11">
        <v>0</v>
      </c>
      <c r="D358" s="11">
        <v>0.32669474255135666</v>
      </c>
    </row>
    <row r="359" spans="1:4" x14ac:dyDescent="0.2">
      <c r="A359" s="10" t="s">
        <v>358</v>
      </c>
      <c r="B359" s="12">
        <v>12.77</v>
      </c>
      <c r="C359" s="11">
        <v>0</v>
      </c>
      <c r="D359" s="11">
        <v>2.207664472392501</v>
      </c>
    </row>
    <row r="360" spans="1:4" x14ac:dyDescent="0.2">
      <c r="A360" s="10" t="s">
        <v>359</v>
      </c>
      <c r="B360" s="12">
        <v>14.48</v>
      </c>
      <c r="C360" s="11">
        <v>0</v>
      </c>
      <c r="D360" s="11">
        <v>0.51479171553547109</v>
      </c>
    </row>
    <row r="361" spans="1:4" x14ac:dyDescent="0.2">
      <c r="A361" s="10" t="s">
        <v>360</v>
      </c>
      <c r="B361" s="12">
        <v>14.31</v>
      </c>
      <c r="C361" s="11">
        <v>0</v>
      </c>
      <c r="D361" s="11">
        <v>0.68308900715283649</v>
      </c>
    </row>
    <row r="362" spans="1:4" x14ac:dyDescent="0.2">
      <c r="A362" s="10" t="s">
        <v>361</v>
      </c>
      <c r="B362" s="12">
        <v>14.11</v>
      </c>
      <c r="C362" s="11">
        <v>0</v>
      </c>
      <c r="D362" s="11">
        <v>0.88108582082032549</v>
      </c>
    </row>
    <row r="363" spans="1:4" x14ac:dyDescent="0.2">
      <c r="A363" s="10" t="s">
        <v>362</v>
      </c>
      <c r="B363" s="12">
        <v>13.54</v>
      </c>
      <c r="C363" s="11">
        <v>0</v>
      </c>
      <c r="D363" s="11">
        <v>1.4453767397726687</v>
      </c>
    </row>
    <row r="364" spans="1:4" x14ac:dyDescent="0.2">
      <c r="A364" s="10" t="s">
        <v>363</v>
      </c>
      <c r="B364" s="12">
        <v>15.9</v>
      </c>
      <c r="C364" s="11">
        <v>0.89098566150369995</v>
      </c>
      <c r="D364" s="11">
        <v>0</v>
      </c>
    </row>
    <row r="365" spans="1:4" x14ac:dyDescent="0.2">
      <c r="A365" s="10" t="s">
        <v>364</v>
      </c>
      <c r="B365" s="12">
        <v>14.93</v>
      </c>
      <c r="C365" s="11">
        <v>0</v>
      </c>
      <c r="D365" s="11">
        <v>6.9298884783621117E-2</v>
      </c>
    </row>
    <row r="366" spans="1:4" x14ac:dyDescent="0.2">
      <c r="A366" s="10" t="s">
        <v>365</v>
      </c>
      <c r="B366" s="12">
        <v>15.83</v>
      </c>
      <c r="C366" s="11">
        <v>0.82168677672007873</v>
      </c>
      <c r="D366" s="11">
        <v>0</v>
      </c>
    </row>
    <row r="367" spans="1:4" x14ac:dyDescent="0.2">
      <c r="A367" s="10" t="s">
        <v>366</v>
      </c>
      <c r="B367" s="12">
        <v>13.36</v>
      </c>
      <c r="C367" s="11">
        <v>0</v>
      </c>
      <c r="D367" s="11">
        <v>1.6235738720734085</v>
      </c>
    </row>
    <row r="368" spans="1:4" x14ac:dyDescent="0.2">
      <c r="A368" s="10" t="s">
        <v>367</v>
      </c>
      <c r="B368" s="12">
        <v>14.19</v>
      </c>
      <c r="C368" s="11">
        <v>0</v>
      </c>
      <c r="D368" s="11">
        <v>0.80188709535333003</v>
      </c>
    </row>
    <row r="369" spans="1:4" x14ac:dyDescent="0.2">
      <c r="A369" s="10" t="s">
        <v>368</v>
      </c>
      <c r="B369" s="12">
        <v>14.82</v>
      </c>
      <c r="C369" s="11">
        <v>0</v>
      </c>
      <c r="D369" s="11">
        <v>0.17819713230073997</v>
      </c>
    </row>
    <row r="370" spans="1:4" x14ac:dyDescent="0.2">
      <c r="A370" s="10" t="s">
        <v>369</v>
      </c>
      <c r="B370" s="12">
        <v>13.59</v>
      </c>
      <c r="C370" s="11">
        <v>0</v>
      </c>
      <c r="D370" s="11">
        <v>1.3958775363557965</v>
      </c>
    </row>
    <row r="371" spans="1:4" x14ac:dyDescent="0.2">
      <c r="A371" s="10" t="s">
        <v>370</v>
      </c>
      <c r="B371" s="12">
        <v>14.36</v>
      </c>
      <c r="C371" s="11">
        <v>0</v>
      </c>
      <c r="D371" s="11">
        <v>0.63358980373596441</v>
      </c>
    </row>
    <row r="372" spans="1:4" x14ac:dyDescent="0.2">
      <c r="A372" s="10" t="s">
        <v>371</v>
      </c>
      <c r="B372" s="12">
        <v>14.98</v>
      </c>
      <c r="C372" s="11">
        <v>0</v>
      </c>
      <c r="D372" s="11">
        <v>1.9799681366748888E-2</v>
      </c>
    </row>
    <row r="373" spans="1:4" x14ac:dyDescent="0.2">
      <c r="A373" s="10" t="s">
        <v>372</v>
      </c>
      <c r="B373" s="12">
        <v>14.11</v>
      </c>
      <c r="C373" s="11">
        <v>0</v>
      </c>
      <c r="D373" s="11">
        <v>0.88108582082032549</v>
      </c>
    </row>
    <row r="374" spans="1:4" x14ac:dyDescent="0.2">
      <c r="A374" s="10" t="s">
        <v>373</v>
      </c>
      <c r="B374" s="12">
        <v>13.9</v>
      </c>
      <c r="C374" s="11">
        <v>0</v>
      </c>
      <c r="D374" s="11">
        <v>1.088982475171189</v>
      </c>
    </row>
    <row r="375" spans="1:4" x14ac:dyDescent="0.2">
      <c r="A375" s="10" t="s">
        <v>374</v>
      </c>
      <c r="B375" s="12">
        <v>16.12</v>
      </c>
      <c r="C375" s="11">
        <v>1.1087821565379379</v>
      </c>
      <c r="D375" s="11">
        <v>0</v>
      </c>
    </row>
    <row r="376" spans="1:4" x14ac:dyDescent="0.2">
      <c r="A376" s="10" t="s">
        <v>375</v>
      </c>
      <c r="B376" s="12">
        <v>15.54</v>
      </c>
      <c r="C376" s="11">
        <v>0.53459139690222002</v>
      </c>
      <c r="D376" s="11">
        <v>0</v>
      </c>
    </row>
    <row r="377" spans="1:4" x14ac:dyDescent="0.2">
      <c r="A377" s="10" t="s">
        <v>376</v>
      </c>
      <c r="B377" s="12">
        <v>13.68</v>
      </c>
      <c r="C377" s="11">
        <v>0</v>
      </c>
      <c r="D377" s="11">
        <v>1.3067789702054267</v>
      </c>
    </row>
    <row r="378" spans="1:4" x14ac:dyDescent="0.2">
      <c r="A378" s="10" t="s">
        <v>377</v>
      </c>
      <c r="B378" s="12">
        <v>14.12</v>
      </c>
      <c r="C378" s="11">
        <v>0</v>
      </c>
      <c r="D378" s="11">
        <v>0.87118598013695103</v>
      </c>
    </row>
    <row r="379" spans="1:4" x14ac:dyDescent="0.2">
      <c r="A379" s="10" t="s">
        <v>378</v>
      </c>
      <c r="B379" s="12">
        <v>16.579999999999998</v>
      </c>
      <c r="C379" s="11">
        <v>1.5641748279731622</v>
      </c>
      <c r="D379" s="11">
        <v>0</v>
      </c>
    </row>
    <row r="380" spans="1:4" x14ac:dyDescent="0.2">
      <c r="A380" s="10" t="s">
        <v>379</v>
      </c>
      <c r="B380" s="12">
        <v>15.43</v>
      </c>
      <c r="C380" s="11">
        <v>0.42569314938510106</v>
      </c>
      <c r="D380" s="11">
        <v>0</v>
      </c>
    </row>
    <row r="381" spans="1:4" x14ac:dyDescent="0.2">
      <c r="A381" s="10" t="s">
        <v>380</v>
      </c>
      <c r="B381" s="12">
        <v>12.4</v>
      </c>
      <c r="C381" s="11">
        <v>0</v>
      </c>
      <c r="D381" s="11">
        <v>2.5739585776773555</v>
      </c>
    </row>
    <row r="382" spans="1:4" x14ac:dyDescent="0.2">
      <c r="A382" s="10" t="s">
        <v>381</v>
      </c>
      <c r="B382" s="12">
        <v>14.25</v>
      </c>
      <c r="C382" s="11">
        <v>0</v>
      </c>
      <c r="D382" s="11">
        <v>0.74248805125308326</v>
      </c>
    </row>
    <row r="383" spans="1:4" x14ac:dyDescent="0.2">
      <c r="A383" s="10" t="s">
        <v>382</v>
      </c>
      <c r="B383" s="12">
        <v>14.5</v>
      </c>
      <c r="C383" s="11">
        <v>0</v>
      </c>
      <c r="D383" s="11">
        <v>0.49499203416872217</v>
      </c>
    </row>
    <row r="384" spans="1:4" x14ac:dyDescent="0.2">
      <c r="A384" s="10" t="s">
        <v>383</v>
      </c>
      <c r="B384" s="12">
        <v>13.15</v>
      </c>
      <c r="C384" s="11">
        <v>0</v>
      </c>
      <c r="D384" s="11">
        <v>1.8314705264242721</v>
      </c>
    </row>
    <row r="385" spans="1:4" x14ac:dyDescent="0.2">
      <c r="A385" s="10" t="s">
        <v>384</v>
      </c>
      <c r="B385" s="12">
        <v>13.52</v>
      </c>
      <c r="C385" s="11">
        <v>0</v>
      </c>
      <c r="D385" s="11">
        <v>1.4651764211394176</v>
      </c>
    </row>
    <row r="386" spans="1:4" x14ac:dyDescent="0.2">
      <c r="A386" s="10" t="s">
        <v>385</v>
      </c>
      <c r="B386" s="12">
        <v>15.01</v>
      </c>
      <c r="C386" s="11">
        <v>9.8998406833744439E-3</v>
      </c>
      <c r="D386" s="11">
        <v>0</v>
      </c>
    </row>
    <row r="387" spans="1:4" x14ac:dyDescent="0.2">
      <c r="A387" s="10" t="s">
        <v>386</v>
      </c>
      <c r="B387" s="12">
        <v>12.63</v>
      </c>
      <c r="C387" s="11">
        <v>0</v>
      </c>
      <c r="D387" s="11">
        <v>2.3462622419597432</v>
      </c>
    </row>
    <row r="388" spans="1:4" x14ac:dyDescent="0.2">
      <c r="A388" s="10" t="s">
        <v>387</v>
      </c>
      <c r="B388" s="12">
        <v>14.83</v>
      </c>
      <c r="C388" s="11">
        <v>0</v>
      </c>
      <c r="D388" s="11">
        <v>0.16829729161736556</v>
      </c>
    </row>
    <row r="389" spans="1:4" x14ac:dyDescent="0.2">
      <c r="A389" s="10" t="s">
        <v>388</v>
      </c>
      <c r="B389" s="12">
        <v>14.5</v>
      </c>
      <c r="C389" s="11">
        <v>0</v>
      </c>
      <c r="D389" s="11">
        <v>0.49499203416872217</v>
      </c>
    </row>
    <row r="390" spans="1:4" x14ac:dyDescent="0.2">
      <c r="A390" s="10" t="s">
        <v>389</v>
      </c>
      <c r="B390" s="12">
        <v>12.68</v>
      </c>
      <c r="C390" s="11">
        <v>0</v>
      </c>
      <c r="D390" s="11">
        <v>2.2967630385428706</v>
      </c>
    </row>
    <row r="391" spans="1:4" x14ac:dyDescent="0.2">
      <c r="A391" s="10" t="s">
        <v>390</v>
      </c>
      <c r="B391" s="12">
        <v>14.63</v>
      </c>
      <c r="C391" s="11">
        <v>0</v>
      </c>
      <c r="D391" s="11">
        <v>0.3662941052848544</v>
      </c>
    </row>
    <row r="392" spans="1:4" x14ac:dyDescent="0.2">
      <c r="A392" s="10" t="s">
        <v>391</v>
      </c>
      <c r="B392" s="12">
        <v>13.18</v>
      </c>
      <c r="C392" s="11">
        <v>0</v>
      </c>
      <c r="D392" s="11">
        <v>1.8017710043741488</v>
      </c>
    </row>
    <row r="393" spans="1:4" x14ac:dyDescent="0.2">
      <c r="A393" s="10" t="s">
        <v>392</v>
      </c>
      <c r="B393" s="12">
        <v>13.21</v>
      </c>
      <c r="C393" s="11">
        <v>0</v>
      </c>
      <c r="D393" s="11">
        <v>1.7720714823240253</v>
      </c>
    </row>
    <row r="394" spans="1:4" x14ac:dyDescent="0.2">
      <c r="A394" s="10" t="s">
        <v>393</v>
      </c>
      <c r="B394" s="12">
        <v>15.39</v>
      </c>
      <c r="C394" s="11">
        <v>0.38609378665160332</v>
      </c>
      <c r="D394" s="11">
        <v>0</v>
      </c>
    </row>
    <row r="395" spans="1:4" x14ac:dyDescent="0.2">
      <c r="A395" s="10" t="s">
        <v>394</v>
      </c>
      <c r="B395" s="12">
        <v>14.7</v>
      </c>
      <c r="C395" s="11">
        <v>0</v>
      </c>
      <c r="D395" s="11">
        <v>0.29699522050123328</v>
      </c>
    </row>
    <row r="396" spans="1:4" x14ac:dyDescent="0.2">
      <c r="A396" s="10" t="s">
        <v>395</v>
      </c>
      <c r="B396" s="12">
        <v>14.2</v>
      </c>
      <c r="C396" s="11">
        <v>0</v>
      </c>
      <c r="D396" s="11">
        <v>0.79198725466995556</v>
      </c>
    </row>
    <row r="397" spans="1:4" x14ac:dyDescent="0.2">
      <c r="A397" s="10" t="s">
        <v>396</v>
      </c>
      <c r="B397" s="12">
        <v>15.1</v>
      </c>
      <c r="C397" s="11">
        <v>9.8998406833744446E-2</v>
      </c>
      <c r="D397" s="11">
        <v>0</v>
      </c>
    </row>
    <row r="398" spans="1:4" x14ac:dyDescent="0.2">
      <c r="A398" s="10" t="s">
        <v>397</v>
      </c>
      <c r="B398" s="12">
        <v>15.49</v>
      </c>
      <c r="C398" s="11">
        <v>0.48509219348534771</v>
      </c>
      <c r="D398" s="11">
        <v>0</v>
      </c>
    </row>
    <row r="399" spans="1:4" x14ac:dyDescent="0.2">
      <c r="A399" s="10" t="s">
        <v>398</v>
      </c>
      <c r="B399" s="12">
        <v>12.3</v>
      </c>
      <c r="C399" s="11">
        <v>0</v>
      </c>
      <c r="D399" s="11">
        <v>2.6729569845110999</v>
      </c>
    </row>
    <row r="400" spans="1:4" x14ac:dyDescent="0.2">
      <c r="A400" s="10" t="s">
        <v>399</v>
      </c>
      <c r="B400" s="12">
        <v>13.85</v>
      </c>
      <c r="C400" s="11">
        <v>0</v>
      </c>
      <c r="D400" s="11">
        <v>1.1384816785880609</v>
      </c>
    </row>
    <row r="401" spans="1:4" x14ac:dyDescent="0.2">
      <c r="A401" s="10" t="s">
        <v>400</v>
      </c>
      <c r="B401" s="12">
        <v>11.87</v>
      </c>
      <c r="C401" s="11">
        <v>0</v>
      </c>
      <c r="D401" s="11">
        <v>3.0986501338962005</v>
      </c>
    </row>
    <row r="402" spans="1:4" x14ac:dyDescent="0.2">
      <c r="A402" s="10" t="s">
        <v>401</v>
      </c>
      <c r="B402" s="12">
        <v>14.27</v>
      </c>
      <c r="C402" s="11">
        <v>0</v>
      </c>
      <c r="D402" s="11">
        <v>0.72268836988633434</v>
      </c>
    </row>
    <row r="403" spans="1:4" x14ac:dyDescent="0.2">
      <c r="A403" s="10" t="s">
        <v>402</v>
      </c>
      <c r="B403" s="12">
        <v>13.29</v>
      </c>
      <c r="C403" s="11">
        <v>0</v>
      </c>
      <c r="D403" s="11">
        <v>1.6928727568570299</v>
      </c>
    </row>
    <row r="404" spans="1:4" x14ac:dyDescent="0.2">
      <c r="A404" s="10" t="s">
        <v>403</v>
      </c>
      <c r="B404" s="12">
        <v>15.63</v>
      </c>
      <c r="C404" s="11">
        <v>0.62368996305258995</v>
      </c>
      <c r="D404" s="11">
        <v>0</v>
      </c>
    </row>
    <row r="405" spans="1:4" x14ac:dyDescent="0.2">
      <c r="A405" s="10" t="s">
        <v>404</v>
      </c>
      <c r="B405" s="12">
        <v>15.25</v>
      </c>
      <c r="C405" s="11">
        <v>0.24749601708436109</v>
      </c>
      <c r="D405" s="11">
        <v>0</v>
      </c>
    </row>
    <row r="406" spans="1:4" x14ac:dyDescent="0.2">
      <c r="A406" s="10" t="s">
        <v>405</v>
      </c>
      <c r="B406" s="12">
        <v>13.05</v>
      </c>
      <c r="C406" s="11">
        <v>0</v>
      </c>
      <c r="D406" s="11">
        <v>1.9304689332580165</v>
      </c>
    </row>
    <row r="407" spans="1:4" x14ac:dyDescent="0.2">
      <c r="A407" s="10" t="s">
        <v>406</v>
      </c>
      <c r="B407" s="12">
        <v>17.72</v>
      </c>
      <c r="C407" s="11">
        <v>2.692756665877849</v>
      </c>
      <c r="D407" s="11">
        <v>0</v>
      </c>
    </row>
    <row r="408" spans="1:4" x14ac:dyDescent="0.2">
      <c r="A408" s="10" t="s">
        <v>407</v>
      </c>
      <c r="B408" s="12">
        <v>15.47</v>
      </c>
      <c r="C408" s="11">
        <v>0.46529251211859879</v>
      </c>
      <c r="D408" s="11">
        <v>0</v>
      </c>
    </row>
    <row r="409" spans="1:4" x14ac:dyDescent="0.2">
      <c r="A409" s="10" t="s">
        <v>408</v>
      </c>
      <c r="B409" s="12">
        <v>13.6</v>
      </c>
      <c r="C409" s="11">
        <v>0</v>
      </c>
      <c r="D409" s="11">
        <v>1.3859776956724219</v>
      </c>
    </row>
    <row r="410" spans="1:4" x14ac:dyDescent="0.2">
      <c r="A410" s="10" t="s">
        <v>409</v>
      </c>
      <c r="B410" s="12">
        <v>14.82</v>
      </c>
      <c r="C410" s="11">
        <v>0</v>
      </c>
      <c r="D410" s="11">
        <v>0.17819713230073997</v>
      </c>
    </row>
    <row r="411" spans="1:4" x14ac:dyDescent="0.2">
      <c r="A411" s="10" t="s">
        <v>410</v>
      </c>
      <c r="B411" s="12">
        <v>14.71</v>
      </c>
      <c r="C411" s="11">
        <v>0</v>
      </c>
      <c r="D411" s="11">
        <v>0.28709537981785882</v>
      </c>
    </row>
    <row r="412" spans="1:4" x14ac:dyDescent="0.2">
      <c r="A412" s="10" t="s">
        <v>411</v>
      </c>
      <c r="B412" s="12">
        <v>14.05</v>
      </c>
      <c r="C412" s="11">
        <v>0</v>
      </c>
      <c r="D412" s="11">
        <v>0.94048486492057204</v>
      </c>
    </row>
    <row r="413" spans="1:4" x14ac:dyDescent="0.2">
      <c r="A413" s="10" t="s">
        <v>412</v>
      </c>
      <c r="B413" s="12">
        <v>12.84</v>
      </c>
      <c r="C413" s="11">
        <v>0</v>
      </c>
      <c r="D413" s="11">
        <v>2.1383655876088801</v>
      </c>
    </row>
    <row r="414" spans="1:4" x14ac:dyDescent="0.2">
      <c r="A414" s="10" t="s">
        <v>413</v>
      </c>
      <c r="B414" s="12">
        <v>14.2</v>
      </c>
      <c r="C414" s="11">
        <v>0</v>
      </c>
      <c r="D414" s="11">
        <v>0.79198725466995556</v>
      </c>
    </row>
    <row r="415" spans="1:4" x14ac:dyDescent="0.2">
      <c r="A415" s="10" t="s">
        <v>414</v>
      </c>
      <c r="B415" s="12">
        <v>13.01</v>
      </c>
      <c r="C415" s="11">
        <v>0</v>
      </c>
      <c r="D415" s="11">
        <v>1.9700682959915143</v>
      </c>
    </row>
    <row r="416" spans="1:4" x14ac:dyDescent="0.2">
      <c r="A416" s="10" t="s">
        <v>415</v>
      </c>
      <c r="B416" s="12">
        <v>14.01</v>
      </c>
      <c r="C416" s="11">
        <v>0</v>
      </c>
      <c r="D416" s="11">
        <v>0.98008422765406988</v>
      </c>
    </row>
    <row r="417" spans="1:4" x14ac:dyDescent="0.2">
      <c r="A417" s="10" t="s">
        <v>416</v>
      </c>
      <c r="B417" s="12">
        <v>14.31</v>
      </c>
      <c r="C417" s="11">
        <v>0</v>
      </c>
      <c r="D417" s="11">
        <v>0.68308900715283649</v>
      </c>
    </row>
    <row r="418" spans="1:4" x14ac:dyDescent="0.2">
      <c r="A418" s="10" t="s">
        <v>417</v>
      </c>
      <c r="B418" s="12">
        <v>13.47</v>
      </c>
      <c r="C418" s="11">
        <v>0</v>
      </c>
      <c r="D418" s="11">
        <v>1.5146756245562898</v>
      </c>
    </row>
    <row r="419" spans="1:4" x14ac:dyDescent="0.2">
      <c r="A419" s="10" t="s">
        <v>418</v>
      </c>
      <c r="B419" s="12">
        <v>15.06</v>
      </c>
      <c r="C419" s="11">
        <v>5.9399044100246656E-2</v>
      </c>
      <c r="D419" s="11">
        <v>0</v>
      </c>
    </row>
    <row r="420" spans="1:4" x14ac:dyDescent="0.2">
      <c r="A420" s="10" t="s">
        <v>419</v>
      </c>
      <c r="B420" s="12">
        <v>13.77</v>
      </c>
      <c r="C420" s="11">
        <v>0</v>
      </c>
      <c r="D420" s="11">
        <v>1.2176804040550566</v>
      </c>
    </row>
    <row r="421" spans="1:4" x14ac:dyDescent="0.2">
      <c r="A421" s="10" t="s">
        <v>420</v>
      </c>
      <c r="B421" s="12">
        <v>14.16</v>
      </c>
      <c r="C421" s="11">
        <v>0</v>
      </c>
      <c r="D421" s="11">
        <v>0.83158661740345319</v>
      </c>
    </row>
    <row r="422" spans="1:4" x14ac:dyDescent="0.2">
      <c r="A422" s="10" t="s">
        <v>421</v>
      </c>
      <c r="B422" s="12">
        <v>13.76</v>
      </c>
      <c r="C422" s="11">
        <v>0</v>
      </c>
      <c r="D422" s="11">
        <v>1.227580244738431</v>
      </c>
    </row>
    <row r="423" spans="1:4" x14ac:dyDescent="0.2">
      <c r="A423" s="10" t="s">
        <v>422</v>
      </c>
      <c r="B423" s="12">
        <v>12.59</v>
      </c>
      <c r="C423" s="11">
        <v>0</v>
      </c>
      <c r="D423" s="11">
        <v>2.385861604693241</v>
      </c>
    </row>
    <row r="424" spans="1:4" x14ac:dyDescent="0.2">
      <c r="A424" s="10" t="s">
        <v>423</v>
      </c>
      <c r="B424" s="12">
        <v>11.05</v>
      </c>
      <c r="C424" s="11">
        <v>0</v>
      </c>
      <c r="D424" s="11">
        <v>3.9104370699329052</v>
      </c>
    </row>
    <row r="425" spans="1:4" x14ac:dyDescent="0.2">
      <c r="A425" s="10" t="s">
        <v>424</v>
      </c>
      <c r="B425" s="12">
        <v>14.78</v>
      </c>
      <c r="C425" s="11">
        <v>0</v>
      </c>
      <c r="D425" s="11">
        <v>0.21779649503423776</v>
      </c>
    </row>
    <row r="426" spans="1:4" x14ac:dyDescent="0.2">
      <c r="A426" s="10" t="s">
        <v>425</v>
      </c>
      <c r="B426" s="12">
        <v>12.94</v>
      </c>
      <c r="C426" s="11">
        <v>0</v>
      </c>
      <c r="D426" s="11">
        <v>2.0393671807751352</v>
      </c>
    </row>
    <row r="427" spans="1:4" x14ac:dyDescent="0.2">
      <c r="A427" s="10" t="s">
        <v>426</v>
      </c>
      <c r="B427" s="12">
        <v>13.27</v>
      </c>
      <c r="C427" s="11">
        <v>0</v>
      </c>
      <c r="D427" s="11">
        <v>1.7126724382237788</v>
      </c>
    </row>
    <row r="428" spans="1:4" x14ac:dyDescent="0.2">
      <c r="A428" s="10" t="s">
        <v>427</v>
      </c>
      <c r="B428" s="12">
        <v>16.29</v>
      </c>
      <c r="C428" s="11">
        <v>1.2770794481553032</v>
      </c>
      <c r="D428" s="11">
        <v>0</v>
      </c>
    </row>
    <row r="429" spans="1:4" x14ac:dyDescent="0.2">
      <c r="A429" s="10" t="s">
        <v>428</v>
      </c>
      <c r="B429" s="12">
        <v>14.97</v>
      </c>
      <c r="C429" s="11">
        <v>0</v>
      </c>
      <c r="D429" s="11">
        <v>2.9699522050123328E-2</v>
      </c>
    </row>
    <row r="430" spans="1:4" x14ac:dyDescent="0.2">
      <c r="A430" s="10" t="s">
        <v>429</v>
      </c>
      <c r="B430" s="12">
        <v>13.55</v>
      </c>
      <c r="C430" s="11">
        <v>0</v>
      </c>
      <c r="D430" s="11">
        <v>1.4354768990892943</v>
      </c>
    </row>
    <row r="431" spans="1:4" x14ac:dyDescent="0.2">
      <c r="A431" s="10" t="s">
        <v>430</v>
      </c>
      <c r="B431" s="12">
        <v>13.17</v>
      </c>
      <c r="C431" s="11">
        <v>0</v>
      </c>
      <c r="D431" s="11">
        <v>1.8116708450575232</v>
      </c>
    </row>
    <row r="432" spans="1:4" x14ac:dyDescent="0.2">
      <c r="A432" s="10" t="s">
        <v>431</v>
      </c>
      <c r="B432" s="12">
        <v>14.37</v>
      </c>
      <c r="C432" s="11">
        <v>0</v>
      </c>
      <c r="D432" s="11">
        <v>0.62368996305258995</v>
      </c>
    </row>
    <row r="433" spans="1:4" x14ac:dyDescent="0.2">
      <c r="A433" s="10" t="s">
        <v>432</v>
      </c>
      <c r="B433" s="12">
        <v>13.79</v>
      </c>
      <c r="C433" s="11">
        <v>0</v>
      </c>
      <c r="D433" s="11">
        <v>1.1978807226883077</v>
      </c>
    </row>
    <row r="434" spans="1:4" x14ac:dyDescent="0.2">
      <c r="A434" s="10" t="s">
        <v>433</v>
      </c>
      <c r="B434" s="12">
        <v>12.67</v>
      </c>
      <c r="C434" s="11">
        <v>0</v>
      </c>
      <c r="D434" s="11">
        <v>2.3066628792262454</v>
      </c>
    </row>
    <row r="435" spans="1:4" x14ac:dyDescent="0.2">
      <c r="A435" s="10" t="s">
        <v>434</v>
      </c>
      <c r="B435" s="12">
        <v>12.48</v>
      </c>
      <c r="C435" s="11">
        <v>0</v>
      </c>
      <c r="D435" s="11">
        <v>2.4947598522103598</v>
      </c>
    </row>
    <row r="436" spans="1:4" x14ac:dyDescent="0.2">
      <c r="A436" s="10" t="s">
        <v>435</v>
      </c>
      <c r="B436" s="12">
        <v>16.93</v>
      </c>
      <c r="C436" s="11">
        <v>1.9106692518912676</v>
      </c>
      <c r="D436" s="11">
        <v>0</v>
      </c>
    </row>
    <row r="437" spans="1:4" x14ac:dyDescent="0.2">
      <c r="A437" s="10" t="s">
        <v>436</v>
      </c>
      <c r="B437" s="12">
        <v>16.16</v>
      </c>
      <c r="C437" s="11">
        <v>1.1483815192714353</v>
      </c>
      <c r="D437" s="11">
        <v>0</v>
      </c>
    </row>
    <row r="438" spans="1:4" x14ac:dyDescent="0.2">
      <c r="A438" s="10" t="s">
        <v>437</v>
      </c>
      <c r="B438" s="12">
        <v>14.61</v>
      </c>
      <c r="C438" s="11">
        <v>0</v>
      </c>
      <c r="D438" s="11">
        <v>0.38609378665160332</v>
      </c>
    </row>
    <row r="439" spans="1:4" x14ac:dyDescent="0.2">
      <c r="A439" s="10" t="s">
        <v>438</v>
      </c>
      <c r="B439" s="12">
        <v>13.79</v>
      </c>
      <c r="C439" s="11">
        <v>0</v>
      </c>
      <c r="D439" s="11">
        <v>1.1978807226883077</v>
      </c>
    </row>
    <row r="440" spans="1:4" x14ac:dyDescent="0.2">
      <c r="A440" s="10" t="s">
        <v>439</v>
      </c>
      <c r="B440" s="12">
        <v>13.85</v>
      </c>
      <c r="C440" s="11">
        <v>0</v>
      </c>
      <c r="D440" s="11">
        <v>1.1384816785880609</v>
      </c>
    </row>
    <row r="441" spans="1:4" x14ac:dyDescent="0.2">
      <c r="A441" s="10" t="s">
        <v>440</v>
      </c>
      <c r="B441" s="12">
        <v>13.77</v>
      </c>
      <c r="C441" s="11">
        <v>0</v>
      </c>
      <c r="D441" s="11">
        <v>1.2176804040550566</v>
      </c>
    </row>
    <row r="442" spans="1:4" x14ac:dyDescent="0.2">
      <c r="A442" s="10" t="s">
        <v>441</v>
      </c>
      <c r="B442" s="12">
        <v>13.17</v>
      </c>
      <c r="C442" s="11">
        <v>0</v>
      </c>
      <c r="D442" s="11">
        <v>1.8116708450575232</v>
      </c>
    </row>
    <row r="443" spans="1:4" x14ac:dyDescent="0.2">
      <c r="A443" s="10" t="s">
        <v>442</v>
      </c>
      <c r="B443" s="12">
        <v>13.86</v>
      </c>
      <c r="C443" s="11">
        <v>0</v>
      </c>
      <c r="D443" s="11">
        <v>1.1285818379046864</v>
      </c>
    </row>
    <row r="444" spans="1:4" x14ac:dyDescent="0.2">
      <c r="A444" s="10" t="s">
        <v>443</v>
      </c>
      <c r="B444" s="12">
        <v>14.79</v>
      </c>
      <c r="C444" s="11">
        <v>0</v>
      </c>
      <c r="D444" s="11">
        <v>0.2078966543508633</v>
      </c>
    </row>
    <row r="445" spans="1:4" x14ac:dyDescent="0.2">
      <c r="A445" s="10" t="s">
        <v>444</v>
      </c>
      <c r="B445" s="12">
        <v>14.5</v>
      </c>
      <c r="C445" s="11">
        <v>0</v>
      </c>
      <c r="D445" s="11">
        <v>0.49499203416872217</v>
      </c>
    </row>
    <row r="446" spans="1:4" x14ac:dyDescent="0.2">
      <c r="A446" s="10" t="s">
        <v>445</v>
      </c>
      <c r="B446" s="12">
        <v>12.53</v>
      </c>
      <c r="C446" s="11">
        <v>0</v>
      </c>
      <c r="D446" s="11">
        <v>2.4452606487934876</v>
      </c>
    </row>
    <row r="447" spans="1:4" x14ac:dyDescent="0.2">
      <c r="A447" s="10" t="s">
        <v>446</v>
      </c>
      <c r="B447" s="12">
        <v>13.46</v>
      </c>
      <c r="C447" s="11">
        <v>0</v>
      </c>
      <c r="D447" s="11">
        <v>1.5245754652396644</v>
      </c>
    </row>
    <row r="448" spans="1:4" x14ac:dyDescent="0.2">
      <c r="A448" s="10" t="s">
        <v>447</v>
      </c>
      <c r="B448" s="12">
        <v>12.59</v>
      </c>
      <c r="C448" s="11">
        <v>0</v>
      </c>
      <c r="D448" s="11">
        <v>2.385861604693241</v>
      </c>
    </row>
    <row r="449" spans="1:4" x14ac:dyDescent="0.2">
      <c r="A449" s="10" t="s">
        <v>448</v>
      </c>
      <c r="B449" s="12">
        <v>15.47</v>
      </c>
      <c r="C449" s="11">
        <v>0.46529251211859879</v>
      </c>
      <c r="D449" s="11">
        <v>0</v>
      </c>
    </row>
    <row r="450" spans="1:4" x14ac:dyDescent="0.2">
      <c r="A450" s="10" t="s">
        <v>449</v>
      </c>
      <c r="B450" s="12">
        <v>12.67</v>
      </c>
      <c r="C450" s="11">
        <v>0</v>
      </c>
      <c r="D450" s="11">
        <v>2.3066628792262454</v>
      </c>
    </row>
    <row r="451" spans="1:4" x14ac:dyDescent="0.2">
      <c r="A451" s="10" t="s">
        <v>450</v>
      </c>
      <c r="B451" s="12">
        <v>15.86</v>
      </c>
      <c r="C451" s="11">
        <v>0.85138629877020211</v>
      </c>
      <c r="D451" s="11">
        <v>0</v>
      </c>
    </row>
    <row r="452" spans="1:4" x14ac:dyDescent="0.2">
      <c r="A452" s="10" t="s">
        <v>451</v>
      </c>
      <c r="B452" s="12">
        <v>14.73</v>
      </c>
      <c r="C452" s="11">
        <v>0</v>
      </c>
      <c r="D452" s="11">
        <v>0.26729569845111001</v>
      </c>
    </row>
    <row r="453" spans="1:4" x14ac:dyDescent="0.2">
      <c r="A453" s="10" t="s">
        <v>452</v>
      </c>
      <c r="B453" s="12">
        <v>11.82</v>
      </c>
      <c r="C453" s="11">
        <v>0</v>
      </c>
      <c r="D453" s="11">
        <v>3.1481493373130731</v>
      </c>
    </row>
    <row r="454" spans="1:4" x14ac:dyDescent="0.2">
      <c r="A454" s="10" t="s">
        <v>453</v>
      </c>
      <c r="B454" s="12">
        <v>12.18</v>
      </c>
      <c r="C454" s="11">
        <v>0</v>
      </c>
      <c r="D454" s="11">
        <v>2.791755072711593</v>
      </c>
    </row>
    <row r="455" spans="1:4" x14ac:dyDescent="0.2">
      <c r="A455" s="10" t="s">
        <v>454</v>
      </c>
      <c r="B455" s="12">
        <v>14.81</v>
      </c>
      <c r="C455" s="11">
        <v>0</v>
      </c>
      <c r="D455" s="11">
        <v>0.18809697298411443</v>
      </c>
    </row>
    <row r="456" spans="1:4" x14ac:dyDescent="0.2">
      <c r="A456" s="10" t="s">
        <v>455</v>
      </c>
      <c r="B456" s="12">
        <v>13.19</v>
      </c>
      <c r="C456" s="11">
        <v>0</v>
      </c>
      <c r="D456" s="11">
        <v>1.7918711636907743</v>
      </c>
    </row>
    <row r="457" spans="1:4" x14ac:dyDescent="0.2">
      <c r="A457" s="10" t="s">
        <v>456</v>
      </c>
      <c r="B457" s="12">
        <v>13.88</v>
      </c>
      <c r="C457" s="11">
        <v>0</v>
      </c>
      <c r="D457" s="11">
        <v>1.1087821565379379</v>
      </c>
    </row>
    <row r="458" spans="1:4" x14ac:dyDescent="0.2">
      <c r="A458" s="10" t="s">
        <v>457</v>
      </c>
      <c r="B458" s="12">
        <v>14.31</v>
      </c>
      <c r="C458" s="11">
        <v>0</v>
      </c>
      <c r="D458" s="11">
        <v>0.68308900715283649</v>
      </c>
    </row>
    <row r="459" spans="1:4" x14ac:dyDescent="0.2">
      <c r="A459" s="10" t="s">
        <v>458</v>
      </c>
      <c r="B459" s="12">
        <v>15.46</v>
      </c>
      <c r="C459" s="11">
        <v>0.45539267143522444</v>
      </c>
      <c r="D459" s="11">
        <v>0</v>
      </c>
    </row>
    <row r="460" spans="1:4" x14ac:dyDescent="0.2">
      <c r="A460" s="10" t="s">
        <v>459</v>
      </c>
      <c r="B460" s="12">
        <v>13.57</v>
      </c>
      <c r="C460" s="11">
        <v>0</v>
      </c>
      <c r="D460" s="11">
        <v>1.4156772177225454</v>
      </c>
    </row>
    <row r="461" spans="1:4" x14ac:dyDescent="0.2">
      <c r="A461" s="10" t="s">
        <v>460</v>
      </c>
      <c r="B461" s="12">
        <v>14.3</v>
      </c>
      <c r="C461" s="11">
        <v>0</v>
      </c>
      <c r="D461" s="11">
        <v>0.69298884783621095</v>
      </c>
    </row>
    <row r="462" spans="1:4" x14ac:dyDescent="0.2">
      <c r="A462" s="10" t="s">
        <v>461</v>
      </c>
      <c r="B462" s="12">
        <v>13.03</v>
      </c>
      <c r="C462" s="11">
        <v>0</v>
      </c>
      <c r="D462" s="11">
        <v>1.9502686146247654</v>
      </c>
    </row>
    <row r="463" spans="1:4" x14ac:dyDescent="0.2">
      <c r="A463" s="10" t="s">
        <v>462</v>
      </c>
      <c r="B463" s="12">
        <v>12.8</v>
      </c>
      <c r="C463" s="11">
        <v>0</v>
      </c>
      <c r="D463" s="11">
        <v>2.1779649503423779</v>
      </c>
    </row>
    <row r="464" spans="1:4" x14ac:dyDescent="0.2">
      <c r="A464" s="10" t="s">
        <v>463</v>
      </c>
      <c r="B464" s="12">
        <v>14.28</v>
      </c>
      <c r="C464" s="11">
        <v>0</v>
      </c>
      <c r="D464" s="11">
        <v>0.71278852920295988</v>
      </c>
    </row>
    <row r="465" spans="1:4" x14ac:dyDescent="0.2">
      <c r="A465" s="10" t="s">
        <v>464</v>
      </c>
      <c r="B465" s="12">
        <v>14.15</v>
      </c>
      <c r="C465" s="11">
        <v>0</v>
      </c>
      <c r="D465" s="11">
        <v>0.84148645808682765</v>
      </c>
    </row>
    <row r="466" spans="1:4" x14ac:dyDescent="0.2">
      <c r="A466" s="10" t="s">
        <v>465</v>
      </c>
      <c r="B466" s="12">
        <v>13.94</v>
      </c>
      <c r="C466" s="11">
        <v>0</v>
      </c>
      <c r="D466" s="11">
        <v>1.0493831124376911</v>
      </c>
    </row>
    <row r="467" spans="1:4" x14ac:dyDescent="0.2">
      <c r="A467" s="10" t="s">
        <v>466</v>
      </c>
      <c r="B467" s="12">
        <v>13.23</v>
      </c>
      <c r="C467" s="11">
        <v>0</v>
      </c>
      <c r="D467" s="11">
        <v>1.7522718009572764</v>
      </c>
    </row>
    <row r="468" spans="1:4" x14ac:dyDescent="0.2">
      <c r="A468" s="10" t="s">
        <v>467</v>
      </c>
      <c r="B468" s="12">
        <v>12.61</v>
      </c>
      <c r="C468" s="11">
        <v>0</v>
      </c>
      <c r="D468" s="11">
        <v>2.3660619233264919</v>
      </c>
    </row>
    <row r="469" spans="1:4" x14ac:dyDescent="0.2">
      <c r="A469" s="10" t="s">
        <v>468</v>
      </c>
      <c r="B469" s="12">
        <v>12.81</v>
      </c>
      <c r="C469" s="11">
        <v>0</v>
      </c>
      <c r="D469" s="11">
        <v>2.1680651096590031</v>
      </c>
    </row>
    <row r="470" spans="1:4" x14ac:dyDescent="0.2">
      <c r="A470" s="10" t="s">
        <v>469</v>
      </c>
      <c r="B470" s="12">
        <v>15.01</v>
      </c>
      <c r="C470" s="11">
        <v>9.8998406833744439E-3</v>
      </c>
      <c r="D470" s="11">
        <v>0</v>
      </c>
    </row>
    <row r="471" spans="1:4" x14ac:dyDescent="0.2">
      <c r="A471" s="10" t="s">
        <v>470</v>
      </c>
      <c r="B471" s="12">
        <v>11.65</v>
      </c>
      <c r="C471" s="11">
        <v>0</v>
      </c>
      <c r="D471" s="11">
        <v>3.3164466289304388</v>
      </c>
    </row>
    <row r="472" spans="1:4" x14ac:dyDescent="0.2">
      <c r="A472" s="10" t="s">
        <v>471</v>
      </c>
      <c r="B472" s="12">
        <v>14.39</v>
      </c>
      <c r="C472" s="11">
        <v>0</v>
      </c>
      <c r="D472" s="11">
        <v>0.60389028168584102</v>
      </c>
    </row>
    <row r="473" spans="1:4" x14ac:dyDescent="0.2">
      <c r="A473" s="10" t="s">
        <v>472</v>
      </c>
      <c r="B473" s="12">
        <v>13.14</v>
      </c>
      <c r="C473" s="11">
        <v>0</v>
      </c>
      <c r="D473" s="11">
        <v>1.8413703671076467</v>
      </c>
    </row>
    <row r="474" spans="1:4" x14ac:dyDescent="0.2">
      <c r="A474" s="10" t="s">
        <v>473</v>
      </c>
      <c r="B474" s="12">
        <v>12.63</v>
      </c>
      <c r="C474" s="11">
        <v>0</v>
      </c>
      <c r="D474" s="11">
        <v>2.3462622419597432</v>
      </c>
    </row>
    <row r="475" spans="1:4" x14ac:dyDescent="0.2">
      <c r="A475" s="10" t="s">
        <v>474</v>
      </c>
      <c r="B475" s="12">
        <v>14.04</v>
      </c>
      <c r="C475" s="11">
        <v>0</v>
      </c>
      <c r="D475" s="11">
        <v>0.9503847056039465</v>
      </c>
    </row>
    <row r="476" spans="1:4" x14ac:dyDescent="0.2">
      <c r="A476" s="10" t="s">
        <v>475</v>
      </c>
      <c r="B476" s="12">
        <v>13.9</v>
      </c>
      <c r="C476" s="11">
        <v>0</v>
      </c>
      <c r="D476" s="11">
        <v>1.088982475171189</v>
      </c>
    </row>
    <row r="477" spans="1:4" x14ac:dyDescent="0.2">
      <c r="A477" s="10" t="s">
        <v>476</v>
      </c>
      <c r="B477" s="12">
        <v>15.89</v>
      </c>
      <c r="C477" s="11">
        <v>0.88108582082032549</v>
      </c>
      <c r="D477" s="11">
        <v>0</v>
      </c>
    </row>
    <row r="478" spans="1:4" x14ac:dyDescent="0.2">
      <c r="A478" s="10" t="s">
        <v>477</v>
      </c>
      <c r="B478" s="12">
        <v>13.93</v>
      </c>
      <c r="C478" s="11">
        <v>0</v>
      </c>
      <c r="D478" s="11">
        <v>1.0592829531210655</v>
      </c>
    </row>
    <row r="479" spans="1:4" x14ac:dyDescent="0.2">
      <c r="A479" s="10" t="s">
        <v>478</v>
      </c>
      <c r="B479" s="12">
        <v>14.24</v>
      </c>
      <c r="C479" s="11">
        <v>0</v>
      </c>
      <c r="D479" s="11">
        <v>0.75238789193645772</v>
      </c>
    </row>
    <row r="480" spans="1:4" x14ac:dyDescent="0.2">
      <c r="A480" s="10" t="s">
        <v>479</v>
      </c>
      <c r="B480" s="12">
        <v>12.43</v>
      </c>
      <c r="C480" s="11">
        <v>0</v>
      </c>
      <c r="D480" s="11">
        <v>2.544259055627232</v>
      </c>
    </row>
    <row r="481" spans="1:4" x14ac:dyDescent="0.2">
      <c r="A481" s="10" t="s">
        <v>480</v>
      </c>
      <c r="B481" s="12">
        <v>13.78</v>
      </c>
      <c r="C481" s="11">
        <v>0</v>
      </c>
      <c r="D481" s="11">
        <v>1.207780563371682</v>
      </c>
    </row>
    <row r="482" spans="1:4" x14ac:dyDescent="0.2">
      <c r="A482" s="10" t="s">
        <v>481</v>
      </c>
      <c r="B482" s="12">
        <v>13.31</v>
      </c>
      <c r="C482" s="11">
        <v>0</v>
      </c>
      <c r="D482" s="11">
        <v>1.6730730754902809</v>
      </c>
    </row>
    <row r="483" spans="1:4" x14ac:dyDescent="0.2">
      <c r="A483" s="10" t="s">
        <v>482</v>
      </c>
      <c r="B483" s="12">
        <v>15.15</v>
      </c>
      <c r="C483" s="11">
        <v>0.14849761025061664</v>
      </c>
      <c r="D483" s="11">
        <v>0</v>
      </c>
    </row>
    <row r="484" spans="1:4" x14ac:dyDescent="0.2">
      <c r="A484" s="10" t="s">
        <v>483</v>
      </c>
      <c r="B484" s="12">
        <v>12.56</v>
      </c>
      <c r="C484" s="11">
        <v>0</v>
      </c>
      <c r="D484" s="11">
        <v>2.4155611267433641</v>
      </c>
    </row>
    <row r="485" spans="1:4" x14ac:dyDescent="0.2">
      <c r="A485" s="10" t="s">
        <v>484</v>
      </c>
      <c r="B485" s="12">
        <v>16.2</v>
      </c>
      <c r="C485" s="11">
        <v>1.1879808820049331</v>
      </c>
      <c r="D485" s="11">
        <v>0</v>
      </c>
    </row>
    <row r="486" spans="1:4" x14ac:dyDescent="0.2">
      <c r="A486" s="10" t="s">
        <v>485</v>
      </c>
      <c r="B486" s="12">
        <v>14.06</v>
      </c>
      <c r="C486" s="11">
        <v>0</v>
      </c>
      <c r="D486" s="11">
        <v>0.93058502423719758</v>
      </c>
    </row>
    <row r="487" spans="1:4" x14ac:dyDescent="0.2">
      <c r="A487" s="10" t="s">
        <v>486</v>
      </c>
      <c r="B487" s="12">
        <v>13.4</v>
      </c>
      <c r="C487" s="11">
        <v>0</v>
      </c>
      <c r="D487" s="11">
        <v>1.5839745093399111</v>
      </c>
    </row>
    <row r="488" spans="1:4" x14ac:dyDescent="0.2">
      <c r="A488" s="10" t="s">
        <v>487</v>
      </c>
      <c r="B488" s="12">
        <v>15.21</v>
      </c>
      <c r="C488" s="11">
        <v>0.2078966543508633</v>
      </c>
      <c r="D488" s="11">
        <v>0</v>
      </c>
    </row>
    <row r="489" spans="1:4" x14ac:dyDescent="0.2">
      <c r="A489" s="10" t="s">
        <v>488</v>
      </c>
      <c r="B489" s="12">
        <v>13.55</v>
      </c>
      <c r="C489" s="11">
        <v>0</v>
      </c>
      <c r="D489" s="11">
        <v>1.4354768990892943</v>
      </c>
    </row>
    <row r="490" spans="1:4" x14ac:dyDescent="0.2">
      <c r="A490" s="10" t="s">
        <v>489</v>
      </c>
      <c r="B490" s="12">
        <v>13.29</v>
      </c>
      <c r="C490" s="11">
        <v>0</v>
      </c>
      <c r="D490" s="11">
        <v>1.6928727568570299</v>
      </c>
    </row>
    <row r="491" spans="1:4" x14ac:dyDescent="0.2">
      <c r="A491" s="10" t="s">
        <v>490</v>
      </c>
      <c r="B491" s="12">
        <v>15.39</v>
      </c>
      <c r="C491" s="11">
        <v>0.38609378665160332</v>
      </c>
      <c r="D491" s="11">
        <v>0</v>
      </c>
    </row>
    <row r="492" spans="1:4" x14ac:dyDescent="0.2">
      <c r="A492" s="10" t="s">
        <v>491</v>
      </c>
      <c r="B492" s="12">
        <v>12.39</v>
      </c>
      <c r="C492" s="11">
        <v>0</v>
      </c>
      <c r="D492" s="11">
        <v>2.5838584183607298</v>
      </c>
    </row>
    <row r="493" spans="1:4" x14ac:dyDescent="0.2">
      <c r="A493" s="10" t="s">
        <v>492</v>
      </c>
      <c r="B493" s="12">
        <v>13.74</v>
      </c>
      <c r="C493" s="11">
        <v>0</v>
      </c>
      <c r="D493" s="11">
        <v>1.2473799261051799</v>
      </c>
    </row>
    <row r="494" spans="1:4" x14ac:dyDescent="0.2">
      <c r="A494" s="10" t="s">
        <v>493</v>
      </c>
      <c r="B494" s="12">
        <v>14.8</v>
      </c>
      <c r="C494" s="11">
        <v>0</v>
      </c>
      <c r="D494" s="11">
        <v>0.19799681366748889</v>
      </c>
    </row>
    <row r="495" spans="1:4" x14ac:dyDescent="0.2">
      <c r="A495" s="10" t="s">
        <v>494</v>
      </c>
      <c r="B495" s="12">
        <v>14.61</v>
      </c>
      <c r="C495" s="11">
        <v>0</v>
      </c>
      <c r="D495" s="11">
        <v>0.38609378665160332</v>
      </c>
    </row>
    <row r="496" spans="1:4" x14ac:dyDescent="0.2">
      <c r="A496" s="10" t="s">
        <v>495</v>
      </c>
      <c r="B496" s="12">
        <v>14.33</v>
      </c>
      <c r="C496" s="11">
        <v>0</v>
      </c>
      <c r="D496" s="11">
        <v>0.66328932578608779</v>
      </c>
    </row>
    <row r="497" spans="1:4" x14ac:dyDescent="0.2">
      <c r="A497" s="10" t="s">
        <v>496</v>
      </c>
      <c r="B497" s="12">
        <v>13.19</v>
      </c>
      <c r="C497" s="11">
        <v>0</v>
      </c>
      <c r="D497" s="11">
        <v>1.7918711636907743</v>
      </c>
    </row>
    <row r="498" spans="1:4" x14ac:dyDescent="0.2">
      <c r="A498" s="10" t="s">
        <v>497</v>
      </c>
      <c r="B498" s="12">
        <v>13.14</v>
      </c>
      <c r="C498" s="11">
        <v>0</v>
      </c>
      <c r="D498" s="11">
        <v>1.8413703671076467</v>
      </c>
    </row>
    <row r="499" spans="1:4" x14ac:dyDescent="0.2">
      <c r="A499" s="10" t="s">
        <v>498</v>
      </c>
      <c r="B499" s="12">
        <v>16.239999999999998</v>
      </c>
      <c r="C499" s="11">
        <v>1.227580244738431</v>
      </c>
      <c r="D499" s="11">
        <v>0</v>
      </c>
    </row>
    <row r="500" spans="1:4" x14ac:dyDescent="0.2">
      <c r="A500" s="10" t="s">
        <v>499</v>
      </c>
      <c r="B500" s="12">
        <v>12.16</v>
      </c>
      <c r="C500" s="11">
        <v>0</v>
      </c>
      <c r="D500" s="11">
        <v>2.8115547540783417</v>
      </c>
    </row>
    <row r="501" spans="1:4" x14ac:dyDescent="0.2">
      <c r="A501" s="10" t="s">
        <v>500</v>
      </c>
      <c r="B501" s="12">
        <v>12.69</v>
      </c>
      <c r="C501" s="11">
        <v>0</v>
      </c>
      <c r="D501" s="11">
        <v>2.2868631978594967</v>
      </c>
    </row>
    <row r="502" spans="1:4" x14ac:dyDescent="0.2">
      <c r="A502" s="10" t="s">
        <v>501</v>
      </c>
      <c r="B502" s="12">
        <v>12.24</v>
      </c>
      <c r="C502" s="11">
        <v>0</v>
      </c>
      <c r="D502" s="11">
        <v>2.732356028611346</v>
      </c>
    </row>
    <row r="503" spans="1:4" x14ac:dyDescent="0.2">
      <c r="A503" s="10" t="s">
        <v>502</v>
      </c>
      <c r="B503" s="12">
        <v>15.25</v>
      </c>
      <c r="C503" s="11">
        <v>0.24749601708436109</v>
      </c>
      <c r="D503" s="11">
        <v>0</v>
      </c>
    </row>
    <row r="504" spans="1:4" x14ac:dyDescent="0.2">
      <c r="A504" s="10" t="s">
        <v>503</v>
      </c>
      <c r="B504" s="12">
        <v>14.09</v>
      </c>
      <c r="C504" s="11">
        <v>0</v>
      </c>
      <c r="D504" s="11">
        <v>0.90088550218707442</v>
      </c>
    </row>
    <row r="505" spans="1:4" x14ac:dyDescent="0.2">
      <c r="A505" s="10" t="s">
        <v>504</v>
      </c>
      <c r="B505" s="12">
        <v>13.25</v>
      </c>
      <c r="C505" s="11">
        <v>0</v>
      </c>
      <c r="D505" s="11">
        <v>1.7324721195905277</v>
      </c>
    </row>
    <row r="506" spans="1:4" x14ac:dyDescent="0.2">
      <c r="A506" s="10" t="s">
        <v>505</v>
      </c>
      <c r="B506" s="12">
        <v>15.35</v>
      </c>
      <c r="C506" s="11">
        <v>0.34649442391810548</v>
      </c>
      <c r="D506" s="11">
        <v>0</v>
      </c>
    </row>
    <row r="507" spans="1:4" x14ac:dyDescent="0.2">
      <c r="A507" s="10" t="s">
        <v>506</v>
      </c>
      <c r="B507" s="12">
        <v>13.72</v>
      </c>
      <c r="C507" s="11">
        <v>0</v>
      </c>
      <c r="D507" s="11">
        <v>1.2671796074719288</v>
      </c>
    </row>
    <row r="508" spans="1:4" x14ac:dyDescent="0.2">
      <c r="A508" s="10" t="s">
        <v>507</v>
      </c>
      <c r="B508" s="12">
        <v>15.46</v>
      </c>
      <c r="C508" s="11">
        <v>0.45539267143522444</v>
      </c>
      <c r="D508" s="11">
        <v>0</v>
      </c>
    </row>
    <row r="509" spans="1:4" x14ac:dyDescent="0.2">
      <c r="A509" s="10" t="s">
        <v>508</v>
      </c>
      <c r="B509" s="12">
        <v>13.94</v>
      </c>
      <c r="C509" s="11">
        <v>0</v>
      </c>
      <c r="D509" s="11">
        <v>1.0493831124376911</v>
      </c>
    </row>
    <row r="510" spans="1:4" x14ac:dyDescent="0.2">
      <c r="A510" s="10" t="s">
        <v>509</v>
      </c>
      <c r="B510" s="12">
        <v>14.93</v>
      </c>
      <c r="C510" s="11">
        <v>0</v>
      </c>
      <c r="D510" s="11">
        <v>6.9298884783621117E-2</v>
      </c>
    </row>
    <row r="511" spans="1:4" x14ac:dyDescent="0.2">
      <c r="A511" s="10" t="s">
        <v>510</v>
      </c>
      <c r="B511" s="12">
        <v>15.46</v>
      </c>
      <c r="C511" s="11">
        <v>0.45539267143522444</v>
      </c>
      <c r="D511" s="11">
        <v>0</v>
      </c>
    </row>
    <row r="512" spans="1:4" x14ac:dyDescent="0.2">
      <c r="A512" s="10" t="s">
        <v>511</v>
      </c>
      <c r="B512" s="12">
        <v>14.62</v>
      </c>
      <c r="C512" s="11">
        <v>0</v>
      </c>
      <c r="D512" s="11">
        <v>0.37619394596822886</v>
      </c>
    </row>
    <row r="513" spans="1:4" x14ac:dyDescent="0.2">
      <c r="A513" s="10" t="s">
        <v>512</v>
      </c>
      <c r="B513" s="12">
        <v>15.12</v>
      </c>
      <c r="C513" s="11">
        <v>0.11879808820049331</v>
      </c>
      <c r="D513" s="11">
        <v>0</v>
      </c>
    </row>
    <row r="514" spans="1:4" x14ac:dyDescent="0.2">
      <c r="A514" s="10" t="s">
        <v>513</v>
      </c>
      <c r="B514" s="12">
        <v>12.74</v>
      </c>
      <c r="C514" s="11">
        <v>0</v>
      </c>
      <c r="D514" s="11">
        <v>2.237363994442624</v>
      </c>
    </row>
    <row r="515" spans="1:4" x14ac:dyDescent="0.2">
      <c r="A515" s="10" t="s">
        <v>514</v>
      </c>
      <c r="B515" s="12">
        <v>14.23</v>
      </c>
      <c r="C515" s="11">
        <v>0</v>
      </c>
      <c r="D515" s="11">
        <v>0.76228773261983218</v>
      </c>
    </row>
    <row r="516" spans="1:4" x14ac:dyDescent="0.2">
      <c r="A516" s="10" t="s">
        <v>515</v>
      </c>
      <c r="B516" s="12">
        <v>13.01</v>
      </c>
      <c r="C516" s="11">
        <v>0</v>
      </c>
      <c r="D516" s="11">
        <v>1.9700682959915143</v>
      </c>
    </row>
    <row r="517" spans="1:4" x14ac:dyDescent="0.2">
      <c r="A517" s="10" t="s">
        <v>516</v>
      </c>
      <c r="B517" s="12">
        <v>12.73</v>
      </c>
      <c r="C517" s="11">
        <v>0</v>
      </c>
      <c r="D517" s="11">
        <v>2.2472638351259988</v>
      </c>
    </row>
    <row r="518" spans="1:4" x14ac:dyDescent="0.2">
      <c r="A518" s="10" t="s">
        <v>517</v>
      </c>
      <c r="B518" s="12">
        <v>15.18</v>
      </c>
      <c r="C518" s="11">
        <v>0.17819713230073997</v>
      </c>
      <c r="D518" s="11">
        <v>0</v>
      </c>
    </row>
    <row r="519" spans="1:4" x14ac:dyDescent="0.2">
      <c r="A519" s="10" t="s">
        <v>518</v>
      </c>
      <c r="B519" s="12">
        <v>15.39</v>
      </c>
      <c r="C519" s="11">
        <v>0.38609378665160332</v>
      </c>
      <c r="D519" s="11">
        <v>0</v>
      </c>
    </row>
    <row r="520" spans="1:4" x14ac:dyDescent="0.2">
      <c r="A520" s="10" t="s">
        <v>519</v>
      </c>
      <c r="B520" s="12">
        <v>12.56</v>
      </c>
      <c r="C520" s="11">
        <v>0</v>
      </c>
      <c r="D520" s="11">
        <v>2.4155611267433641</v>
      </c>
    </row>
    <row r="521" spans="1:4" x14ac:dyDescent="0.2">
      <c r="A521" s="10" t="s">
        <v>520</v>
      </c>
      <c r="B521" s="12">
        <v>14.41</v>
      </c>
      <c r="C521" s="11">
        <v>0</v>
      </c>
      <c r="D521" s="11">
        <v>0.5840906003190921</v>
      </c>
    </row>
    <row r="522" spans="1:4" x14ac:dyDescent="0.2">
      <c r="A522" s="10" t="s">
        <v>521</v>
      </c>
      <c r="B522" s="12">
        <v>13.64</v>
      </c>
      <c r="C522" s="11">
        <v>0</v>
      </c>
      <c r="D522" s="11">
        <v>1.3463783329389245</v>
      </c>
    </row>
    <row r="523" spans="1:4" x14ac:dyDescent="0.2">
      <c r="A523" s="10" t="s">
        <v>522</v>
      </c>
      <c r="B523" s="12">
        <v>14.66</v>
      </c>
      <c r="C523" s="11">
        <v>0</v>
      </c>
      <c r="D523" s="11">
        <v>0.33659458323473113</v>
      </c>
    </row>
    <row r="524" spans="1:4" x14ac:dyDescent="0.2">
      <c r="A524" s="10" t="s">
        <v>523</v>
      </c>
      <c r="B524" s="12">
        <v>15.99</v>
      </c>
      <c r="C524" s="11">
        <v>0.98008422765406988</v>
      </c>
      <c r="D524" s="11">
        <v>0</v>
      </c>
    </row>
    <row r="525" spans="1:4" x14ac:dyDescent="0.2">
      <c r="A525" s="10" t="s">
        <v>524</v>
      </c>
      <c r="B525" s="12">
        <v>12.79</v>
      </c>
      <c r="C525" s="11">
        <v>0</v>
      </c>
      <c r="D525" s="11">
        <v>2.1878647910257518</v>
      </c>
    </row>
    <row r="526" spans="1:4" x14ac:dyDescent="0.2">
      <c r="A526" s="10" t="s">
        <v>525</v>
      </c>
      <c r="B526" s="12">
        <v>13.25</v>
      </c>
      <c r="C526" s="11">
        <v>0</v>
      </c>
      <c r="D526" s="11">
        <v>1.7324721195905277</v>
      </c>
    </row>
    <row r="527" spans="1:4" x14ac:dyDescent="0.2">
      <c r="A527" s="10" t="s">
        <v>526</v>
      </c>
      <c r="B527" s="12">
        <v>14.77</v>
      </c>
      <c r="C527" s="11">
        <v>0</v>
      </c>
      <c r="D527" s="11">
        <v>0.22769633571761222</v>
      </c>
    </row>
    <row r="528" spans="1:4" x14ac:dyDescent="0.2">
      <c r="A528" s="10" t="s">
        <v>527</v>
      </c>
      <c r="B528" s="12">
        <v>13.62</v>
      </c>
      <c r="C528" s="11">
        <v>0</v>
      </c>
      <c r="D528" s="11">
        <v>1.366178014305673</v>
      </c>
    </row>
    <row r="529" spans="1:4" x14ac:dyDescent="0.2">
      <c r="A529" s="10" t="s">
        <v>528</v>
      </c>
      <c r="B529" s="12">
        <v>13.11</v>
      </c>
      <c r="C529" s="11">
        <v>0</v>
      </c>
      <c r="D529" s="11">
        <v>1.8710698891577697</v>
      </c>
    </row>
    <row r="530" spans="1:4" x14ac:dyDescent="0.2">
      <c r="A530" s="10" t="s">
        <v>529</v>
      </c>
      <c r="B530" s="12">
        <v>15.39</v>
      </c>
      <c r="C530" s="11">
        <v>0.38609378665160332</v>
      </c>
      <c r="D530" s="11">
        <v>0</v>
      </c>
    </row>
    <row r="531" spans="1:4" x14ac:dyDescent="0.2">
      <c r="A531" s="10" t="s">
        <v>530</v>
      </c>
      <c r="B531" s="12">
        <v>16.059999999999999</v>
      </c>
      <c r="C531" s="11">
        <v>1.0493831124376911</v>
      </c>
      <c r="D531" s="11">
        <v>0</v>
      </c>
    </row>
    <row r="532" spans="1:4" x14ac:dyDescent="0.2">
      <c r="A532" s="10" t="s">
        <v>531</v>
      </c>
      <c r="B532" s="12">
        <v>13.24</v>
      </c>
      <c r="C532" s="11">
        <v>0</v>
      </c>
      <c r="D532" s="11">
        <v>1.7423719602739021</v>
      </c>
    </row>
    <row r="533" spans="1:4" x14ac:dyDescent="0.2">
      <c r="A533" s="10" t="s">
        <v>532</v>
      </c>
      <c r="B533" s="12">
        <v>15.61</v>
      </c>
      <c r="C533" s="11">
        <v>0.60389028168584102</v>
      </c>
      <c r="D533" s="11">
        <v>0</v>
      </c>
    </row>
    <row r="534" spans="1:4" x14ac:dyDescent="0.2">
      <c r="A534" s="10" t="s">
        <v>533</v>
      </c>
      <c r="B534" s="12">
        <v>13.32</v>
      </c>
      <c r="C534" s="11">
        <v>0</v>
      </c>
      <c r="D534" s="11">
        <v>1.6631732348069064</v>
      </c>
    </row>
    <row r="535" spans="1:4" x14ac:dyDescent="0.2">
      <c r="A535" s="10" t="s">
        <v>534</v>
      </c>
      <c r="B535" s="12">
        <v>15.58</v>
      </c>
      <c r="C535" s="11">
        <v>0.57419075963571764</v>
      </c>
      <c r="D535" s="11">
        <v>0</v>
      </c>
    </row>
    <row r="536" spans="1:4" x14ac:dyDescent="0.2">
      <c r="A536" s="10" t="s">
        <v>535</v>
      </c>
      <c r="B536" s="12">
        <v>14.49</v>
      </c>
      <c r="C536" s="11">
        <v>0</v>
      </c>
      <c r="D536" s="11">
        <v>0.50489187485209663</v>
      </c>
    </row>
    <row r="537" spans="1:4" x14ac:dyDescent="0.2">
      <c r="A537" s="10" t="s">
        <v>536</v>
      </c>
      <c r="B537" s="12">
        <v>13.13</v>
      </c>
      <c r="C537" s="11">
        <v>0</v>
      </c>
      <c r="D537" s="11">
        <v>1.851270207791021</v>
      </c>
    </row>
    <row r="538" spans="1:4" x14ac:dyDescent="0.2">
      <c r="A538" s="10" t="s">
        <v>537</v>
      </c>
      <c r="B538" s="12">
        <v>13.32</v>
      </c>
      <c r="C538" s="11">
        <v>0</v>
      </c>
      <c r="D538" s="11">
        <v>1.6631732348069064</v>
      </c>
    </row>
    <row r="539" spans="1:4" x14ac:dyDescent="0.2">
      <c r="A539" s="10" t="s">
        <v>538</v>
      </c>
      <c r="B539" s="12">
        <v>15.18</v>
      </c>
      <c r="C539" s="11">
        <v>0.17819713230073997</v>
      </c>
      <c r="D539" s="11">
        <v>0</v>
      </c>
    </row>
    <row r="540" spans="1:4" x14ac:dyDescent="0.2">
      <c r="A540" s="10" t="s">
        <v>539</v>
      </c>
      <c r="B540" s="12">
        <v>16.88</v>
      </c>
      <c r="C540" s="11">
        <v>1.8611700484743952</v>
      </c>
      <c r="D540" s="11">
        <v>0</v>
      </c>
    </row>
    <row r="541" spans="1:4" x14ac:dyDescent="0.2">
      <c r="A541" s="10" t="s">
        <v>540</v>
      </c>
      <c r="B541" s="12">
        <v>13.85</v>
      </c>
      <c r="C541" s="11">
        <v>0</v>
      </c>
      <c r="D541" s="11">
        <v>1.1384816785880609</v>
      </c>
    </row>
    <row r="542" spans="1:4" x14ac:dyDescent="0.2">
      <c r="A542" s="10" t="s">
        <v>541</v>
      </c>
      <c r="B542" s="12">
        <v>14.57</v>
      </c>
      <c r="C542" s="11">
        <v>0</v>
      </c>
      <c r="D542" s="11">
        <v>0.42569314938510106</v>
      </c>
    </row>
    <row r="543" spans="1:4" x14ac:dyDescent="0.2">
      <c r="A543" s="10" t="s">
        <v>542</v>
      </c>
      <c r="B543" s="12">
        <v>13.88</v>
      </c>
      <c r="C543" s="11">
        <v>0</v>
      </c>
      <c r="D543" s="11">
        <v>1.1087821565379379</v>
      </c>
    </row>
    <row r="544" spans="1:4" x14ac:dyDescent="0.2">
      <c r="A544" s="10" t="s">
        <v>543</v>
      </c>
      <c r="B544" s="12">
        <v>13.95</v>
      </c>
      <c r="C544" s="11">
        <v>0</v>
      </c>
      <c r="D544" s="11">
        <v>1.0394832717543165</v>
      </c>
    </row>
    <row r="545" spans="1:4" x14ac:dyDescent="0.2">
      <c r="A545" s="10" t="s">
        <v>544</v>
      </c>
      <c r="B545" s="12">
        <v>13.52</v>
      </c>
      <c r="C545" s="11">
        <v>0</v>
      </c>
      <c r="D545" s="11">
        <v>1.4651764211394176</v>
      </c>
    </row>
    <row r="546" spans="1:4" x14ac:dyDescent="0.2">
      <c r="A546" s="10" t="s">
        <v>545</v>
      </c>
      <c r="B546" s="12">
        <v>14.33</v>
      </c>
      <c r="C546" s="11">
        <v>0</v>
      </c>
      <c r="D546" s="11">
        <v>0.66328932578608779</v>
      </c>
    </row>
    <row r="547" spans="1:4" x14ac:dyDescent="0.2">
      <c r="A547" s="10" t="s">
        <v>546</v>
      </c>
      <c r="B547" s="12">
        <v>15.12</v>
      </c>
      <c r="C547" s="11">
        <v>0.11879808820049331</v>
      </c>
      <c r="D547" s="11">
        <v>0</v>
      </c>
    </row>
    <row r="548" spans="1:4" x14ac:dyDescent="0.2">
      <c r="A548" s="10" t="s">
        <v>547</v>
      </c>
      <c r="B548" s="12">
        <v>15.93</v>
      </c>
      <c r="C548" s="11">
        <v>0.92068518355382334</v>
      </c>
      <c r="D548" s="11">
        <v>0</v>
      </c>
    </row>
    <row r="549" spans="1:4" x14ac:dyDescent="0.2">
      <c r="A549" s="10" t="s">
        <v>548</v>
      </c>
      <c r="B549" s="12">
        <v>13.18</v>
      </c>
      <c r="C549" s="11">
        <v>0</v>
      </c>
      <c r="D549" s="11">
        <v>1.8017710043741488</v>
      </c>
    </row>
    <row r="550" spans="1:4" x14ac:dyDescent="0.2">
      <c r="A550" s="10" t="s">
        <v>549</v>
      </c>
      <c r="B550" s="12">
        <v>14.75</v>
      </c>
      <c r="C550" s="11">
        <v>0</v>
      </c>
      <c r="D550" s="11">
        <v>0.24749601708436109</v>
      </c>
    </row>
    <row r="551" spans="1:4" x14ac:dyDescent="0.2">
      <c r="A551" s="10" t="s">
        <v>550</v>
      </c>
      <c r="B551" s="12">
        <v>14</v>
      </c>
      <c r="C551" s="11">
        <v>0</v>
      </c>
      <c r="D551" s="11">
        <v>0.98998406833744435</v>
      </c>
    </row>
    <row r="552" spans="1:4" x14ac:dyDescent="0.2">
      <c r="A552" s="10" t="s">
        <v>551</v>
      </c>
      <c r="B552" s="12">
        <v>14.53</v>
      </c>
      <c r="C552" s="11">
        <v>0</v>
      </c>
      <c r="D552" s="11">
        <v>0.46529251211859879</v>
      </c>
    </row>
    <row r="553" spans="1:4" x14ac:dyDescent="0.2">
      <c r="A553" s="10" t="s">
        <v>552</v>
      </c>
      <c r="B553" s="12">
        <v>13.06</v>
      </c>
      <c r="C553" s="11">
        <v>0</v>
      </c>
      <c r="D553" s="11">
        <v>1.9304689332580165</v>
      </c>
    </row>
    <row r="554" spans="1:4" x14ac:dyDescent="0.2">
      <c r="A554" s="10" t="s">
        <v>553</v>
      </c>
      <c r="B554" s="12">
        <v>13.85</v>
      </c>
      <c r="C554" s="11">
        <v>0</v>
      </c>
      <c r="D554" s="11">
        <v>1.1384816785880609</v>
      </c>
    </row>
    <row r="555" spans="1:4" x14ac:dyDescent="0.2">
      <c r="A555" s="10" t="s">
        <v>554</v>
      </c>
      <c r="B555" s="12">
        <v>15.42</v>
      </c>
      <c r="C555" s="11">
        <v>0.41579330870172659</v>
      </c>
      <c r="D555" s="11">
        <v>0</v>
      </c>
    </row>
    <row r="556" spans="1:4" x14ac:dyDescent="0.2">
      <c r="A556" s="10" t="s">
        <v>555</v>
      </c>
      <c r="B556" s="12">
        <v>13.35</v>
      </c>
      <c r="C556" s="11">
        <v>0</v>
      </c>
      <c r="D556" s="11">
        <v>1.6334737127567831</v>
      </c>
    </row>
    <row r="557" spans="1:4" x14ac:dyDescent="0.2">
      <c r="A557" s="10" t="s">
        <v>556</v>
      </c>
      <c r="B557" s="12">
        <v>14.49</v>
      </c>
      <c r="C557" s="11">
        <v>0</v>
      </c>
      <c r="D557" s="11">
        <v>0.50489187485209663</v>
      </c>
    </row>
    <row r="558" spans="1:4" x14ac:dyDescent="0.2">
      <c r="A558" s="10" t="s">
        <v>557</v>
      </c>
      <c r="B558" s="12">
        <v>14.16</v>
      </c>
      <c r="C558" s="11">
        <v>0</v>
      </c>
      <c r="D558" s="11">
        <v>0.83158661740345319</v>
      </c>
    </row>
    <row r="559" spans="1:4" x14ac:dyDescent="0.2">
      <c r="A559" s="10" t="s">
        <v>558</v>
      </c>
      <c r="B559" s="12">
        <v>14.82</v>
      </c>
      <c r="C559" s="11">
        <v>0</v>
      </c>
      <c r="D559" s="11">
        <v>0.17819713230073997</v>
      </c>
    </row>
    <row r="560" spans="1:4" x14ac:dyDescent="0.2">
      <c r="A560" s="10" t="s">
        <v>559</v>
      </c>
      <c r="B560" s="12">
        <v>12.77</v>
      </c>
      <c r="C560" s="11">
        <v>0</v>
      </c>
      <c r="D560" s="11">
        <v>2.207664472392501</v>
      </c>
    </row>
    <row r="561" spans="1:4" x14ac:dyDescent="0.2">
      <c r="A561" s="10" t="s">
        <v>560</v>
      </c>
      <c r="B561" s="12">
        <v>12.63</v>
      </c>
      <c r="C561" s="11">
        <v>0</v>
      </c>
      <c r="D561" s="11">
        <v>2.3462622419597432</v>
      </c>
    </row>
    <row r="562" spans="1:4" x14ac:dyDescent="0.2">
      <c r="A562" s="10" t="s">
        <v>561</v>
      </c>
      <c r="B562" s="12">
        <v>13.09</v>
      </c>
      <c r="C562" s="11">
        <v>0</v>
      </c>
      <c r="D562" s="11">
        <v>1.8908695705245187</v>
      </c>
    </row>
    <row r="563" spans="1:4" x14ac:dyDescent="0.2">
      <c r="A563" s="10" t="s">
        <v>562</v>
      </c>
      <c r="B563" s="12">
        <v>14.76</v>
      </c>
      <c r="C563" s="11">
        <v>0</v>
      </c>
      <c r="D563" s="11">
        <v>0.23759617640098663</v>
      </c>
    </row>
    <row r="564" spans="1:4" x14ac:dyDescent="0.2">
      <c r="A564" s="10" t="s">
        <v>563</v>
      </c>
      <c r="B564" s="12">
        <v>13.96</v>
      </c>
      <c r="C564" s="11">
        <v>0</v>
      </c>
      <c r="D564" s="11">
        <v>1.0295834310709422</v>
      </c>
    </row>
    <row r="565" spans="1:4" x14ac:dyDescent="0.2">
      <c r="A565" s="10" t="s">
        <v>564</v>
      </c>
      <c r="B565" s="12">
        <v>15.55</v>
      </c>
      <c r="C565" s="11">
        <v>0.54449123758559448</v>
      </c>
      <c r="D565" s="11">
        <v>0</v>
      </c>
    </row>
    <row r="566" spans="1:4" x14ac:dyDescent="0.2">
      <c r="A566" s="10" t="s">
        <v>565</v>
      </c>
      <c r="B566" s="12">
        <v>15.23</v>
      </c>
      <c r="C566" s="11">
        <v>0.22769633571761222</v>
      </c>
      <c r="D566" s="11">
        <v>0</v>
      </c>
    </row>
    <row r="567" spans="1:4" x14ac:dyDescent="0.2">
      <c r="A567" s="10" t="s">
        <v>566</v>
      </c>
      <c r="B567" s="12">
        <v>14.93</v>
      </c>
      <c r="C567" s="11">
        <v>0</v>
      </c>
      <c r="D567" s="11">
        <v>6.9298884783621117E-2</v>
      </c>
    </row>
    <row r="568" spans="1:4" x14ac:dyDescent="0.2">
      <c r="A568" s="10" t="s">
        <v>567</v>
      </c>
      <c r="B568" s="12">
        <v>14.34</v>
      </c>
      <c r="C568" s="11">
        <v>0</v>
      </c>
      <c r="D568" s="11">
        <v>0.65338948510271333</v>
      </c>
    </row>
    <row r="569" spans="1:4" x14ac:dyDescent="0.2">
      <c r="A569" s="10" t="s">
        <v>568</v>
      </c>
      <c r="B569" s="12">
        <v>15.12</v>
      </c>
      <c r="C569" s="11">
        <v>0.11879808820049331</v>
      </c>
      <c r="D569" s="11">
        <v>0</v>
      </c>
    </row>
    <row r="570" spans="1:4" x14ac:dyDescent="0.2">
      <c r="A570" s="10" t="s">
        <v>569</v>
      </c>
      <c r="B570" s="12">
        <v>14.45</v>
      </c>
      <c r="C570" s="11">
        <v>0</v>
      </c>
      <c r="D570" s="11">
        <v>0.54449123758559448</v>
      </c>
    </row>
    <row r="571" spans="1:4" x14ac:dyDescent="0.2">
      <c r="A571" s="10" t="s">
        <v>570</v>
      </c>
      <c r="B571" s="12">
        <v>13.68</v>
      </c>
      <c r="C571" s="11">
        <v>0</v>
      </c>
      <c r="D571" s="11">
        <v>1.3067789702054267</v>
      </c>
    </row>
    <row r="572" spans="1:4" x14ac:dyDescent="0.2">
      <c r="A572" s="10" t="s">
        <v>571</v>
      </c>
      <c r="B572" s="12">
        <v>13.8</v>
      </c>
      <c r="C572" s="11">
        <v>0</v>
      </c>
      <c r="D572" s="11">
        <v>1.1879808820049331</v>
      </c>
    </row>
    <row r="573" spans="1:4" x14ac:dyDescent="0.2">
      <c r="A573" s="10" t="s">
        <v>572</v>
      </c>
      <c r="B573" s="12">
        <v>13.41</v>
      </c>
      <c r="C573" s="11">
        <v>0</v>
      </c>
      <c r="D573" s="11">
        <v>1.5740746686565366</v>
      </c>
    </row>
    <row r="574" spans="1:4" x14ac:dyDescent="0.2">
      <c r="A574" s="10" t="s">
        <v>573</v>
      </c>
      <c r="B574" s="12">
        <v>13.51</v>
      </c>
      <c r="C574" s="11">
        <v>0</v>
      </c>
      <c r="D574" s="11">
        <v>1.4750762618227922</v>
      </c>
    </row>
    <row r="575" spans="1:4" x14ac:dyDescent="0.2">
      <c r="A575" s="10" t="s">
        <v>574</v>
      </c>
      <c r="B575" s="12">
        <v>13.74</v>
      </c>
      <c r="C575" s="11">
        <v>0</v>
      </c>
      <c r="D575" s="11">
        <v>1.2473799261051799</v>
      </c>
    </row>
    <row r="576" spans="1:4" x14ac:dyDescent="0.2">
      <c r="A576" s="10" t="s">
        <v>575</v>
      </c>
      <c r="B576" s="12">
        <v>13.56</v>
      </c>
      <c r="C576" s="11">
        <v>0</v>
      </c>
      <c r="D576" s="11">
        <v>1.4255770584059198</v>
      </c>
    </row>
    <row r="577" spans="1:4" x14ac:dyDescent="0.2">
      <c r="A577" s="10" t="s">
        <v>576</v>
      </c>
      <c r="B577" s="12">
        <v>15.37</v>
      </c>
      <c r="C577" s="11">
        <v>0.3662941052848544</v>
      </c>
      <c r="D577" s="11">
        <v>0</v>
      </c>
    </row>
    <row r="578" spans="1:4" x14ac:dyDescent="0.2">
      <c r="A578" s="10" t="s">
        <v>577</v>
      </c>
      <c r="B578" s="12">
        <v>14.6</v>
      </c>
      <c r="C578" s="11">
        <v>0</v>
      </c>
      <c r="D578" s="11">
        <v>0.39599362733497778</v>
      </c>
    </row>
    <row r="579" spans="1:4" x14ac:dyDescent="0.2">
      <c r="A579" s="10" t="s">
        <v>578</v>
      </c>
      <c r="B579" s="12">
        <v>16.079999999999998</v>
      </c>
      <c r="C579" s="11">
        <v>1.06918279380444</v>
      </c>
      <c r="D579" s="11">
        <v>0</v>
      </c>
    </row>
    <row r="580" spans="1:4" x14ac:dyDescent="0.2">
      <c r="A580" s="10" t="s">
        <v>579</v>
      </c>
      <c r="B580" s="12">
        <v>14.01</v>
      </c>
      <c r="C580" s="11">
        <v>0</v>
      </c>
      <c r="D580" s="11">
        <v>0.98008422765406988</v>
      </c>
    </row>
    <row r="581" spans="1:4" x14ac:dyDescent="0.2">
      <c r="A581" s="10" t="s">
        <v>580</v>
      </c>
      <c r="B581" s="12">
        <v>12.26</v>
      </c>
      <c r="C581" s="11">
        <v>0</v>
      </c>
      <c r="D581" s="11">
        <v>2.7125563472445977</v>
      </c>
    </row>
    <row r="582" spans="1:4" x14ac:dyDescent="0.2">
      <c r="A582" s="10" t="s">
        <v>581</v>
      </c>
      <c r="B582" s="12">
        <v>14.54</v>
      </c>
      <c r="C582" s="11">
        <v>0</v>
      </c>
      <c r="D582" s="11">
        <v>0.45539267143522444</v>
      </c>
    </row>
    <row r="583" spans="1:4" x14ac:dyDescent="0.2">
      <c r="A583" s="10" t="s">
        <v>582</v>
      </c>
      <c r="B583" s="12">
        <v>14.32</v>
      </c>
      <c r="C583" s="11">
        <v>0</v>
      </c>
      <c r="D583" s="11">
        <v>0.67318916646946225</v>
      </c>
    </row>
    <row r="584" spans="1:4" x14ac:dyDescent="0.2">
      <c r="A584" s="10" t="s">
        <v>583</v>
      </c>
      <c r="B584" s="12">
        <v>14.17</v>
      </c>
      <c r="C584" s="11">
        <v>0</v>
      </c>
      <c r="D584" s="11">
        <v>0.82168677672007873</v>
      </c>
    </row>
    <row r="585" spans="1:4" x14ac:dyDescent="0.2">
      <c r="A585" s="10" t="s">
        <v>584</v>
      </c>
      <c r="B585" s="12">
        <v>13.83</v>
      </c>
      <c r="C585" s="11">
        <v>0</v>
      </c>
      <c r="D585" s="11">
        <v>1.1582813599548099</v>
      </c>
    </row>
    <row r="586" spans="1:4" x14ac:dyDescent="0.2">
      <c r="A586" s="10" t="s">
        <v>585</v>
      </c>
      <c r="B586" s="12">
        <v>13.32</v>
      </c>
      <c r="C586" s="11">
        <v>0</v>
      </c>
      <c r="D586" s="11">
        <v>1.6631732348069064</v>
      </c>
    </row>
    <row r="587" spans="1:4" x14ac:dyDescent="0.2">
      <c r="A587" s="10" t="s">
        <v>586</v>
      </c>
      <c r="B587" s="12">
        <v>14.48</v>
      </c>
      <c r="C587" s="11">
        <v>0</v>
      </c>
      <c r="D587" s="11">
        <v>0.51479171553547109</v>
      </c>
    </row>
    <row r="588" spans="1:4" x14ac:dyDescent="0.2">
      <c r="A588" s="10" t="s">
        <v>587</v>
      </c>
      <c r="B588" s="12">
        <v>13.65</v>
      </c>
      <c r="C588" s="11">
        <v>0</v>
      </c>
      <c r="D588" s="11">
        <v>1.3364784922555499</v>
      </c>
    </row>
    <row r="589" spans="1:4" x14ac:dyDescent="0.2">
      <c r="A589" s="10" t="s">
        <v>588</v>
      </c>
      <c r="B589" s="12">
        <v>14.51</v>
      </c>
      <c r="C589" s="11">
        <v>0</v>
      </c>
      <c r="D589" s="11">
        <v>0.48509219348534771</v>
      </c>
    </row>
    <row r="590" spans="1:4" x14ac:dyDescent="0.2">
      <c r="A590" s="10" t="s">
        <v>589</v>
      </c>
      <c r="B590" s="12">
        <v>14.21</v>
      </c>
      <c r="C590" s="11">
        <v>0</v>
      </c>
      <c r="D590" s="11">
        <v>0.7820874139865811</v>
      </c>
    </row>
    <row r="591" spans="1:4" x14ac:dyDescent="0.2">
      <c r="A591" s="10" t="s">
        <v>590</v>
      </c>
      <c r="B591" s="12">
        <v>14.75</v>
      </c>
      <c r="C591" s="11">
        <v>0</v>
      </c>
      <c r="D591" s="11">
        <v>0.24749601708436109</v>
      </c>
    </row>
    <row r="592" spans="1:4" x14ac:dyDescent="0.2">
      <c r="A592" s="10" t="s">
        <v>591</v>
      </c>
      <c r="B592" s="12">
        <v>15.97</v>
      </c>
      <c r="C592" s="11">
        <v>0.96028454628732096</v>
      </c>
      <c r="D592" s="11">
        <v>0</v>
      </c>
    </row>
    <row r="593" spans="1:4" x14ac:dyDescent="0.2">
      <c r="A593" s="10" t="s">
        <v>592</v>
      </c>
      <c r="B593" s="12">
        <v>12.51</v>
      </c>
      <c r="C593" s="11">
        <v>0</v>
      </c>
      <c r="D593" s="11">
        <v>2.4650603301602367</v>
      </c>
    </row>
    <row r="594" spans="1:4" x14ac:dyDescent="0.2">
      <c r="A594" s="10" t="s">
        <v>593</v>
      </c>
      <c r="B594" s="12">
        <v>15.23</v>
      </c>
      <c r="C594" s="11">
        <v>0.22769633571761222</v>
      </c>
      <c r="D594" s="11">
        <v>0</v>
      </c>
    </row>
    <row r="595" spans="1:4" x14ac:dyDescent="0.2">
      <c r="A595" s="10" t="s">
        <v>594</v>
      </c>
      <c r="B595" s="12">
        <v>12.34</v>
      </c>
      <c r="C595" s="11">
        <v>0</v>
      </c>
      <c r="D595" s="11">
        <v>2.633357621777602</v>
      </c>
    </row>
    <row r="596" spans="1:4" x14ac:dyDescent="0.2">
      <c r="A596" s="10" t="s">
        <v>595</v>
      </c>
      <c r="B596" s="12">
        <v>11.67</v>
      </c>
      <c r="C596" s="11">
        <v>0</v>
      </c>
      <c r="D596" s="11">
        <v>3.2966469475636897</v>
      </c>
    </row>
    <row r="597" spans="1:4" x14ac:dyDescent="0.2">
      <c r="A597" s="10" t="s">
        <v>596</v>
      </c>
      <c r="B597" s="12">
        <v>13.49</v>
      </c>
      <c r="C597" s="11">
        <v>0</v>
      </c>
      <c r="D597" s="11">
        <v>1.4948759431895409</v>
      </c>
    </row>
    <row r="598" spans="1:4" x14ac:dyDescent="0.2">
      <c r="A598" s="10" t="s">
        <v>597</v>
      </c>
      <c r="B598" s="12">
        <v>14.82</v>
      </c>
      <c r="C598" s="11">
        <v>0</v>
      </c>
      <c r="D598" s="11">
        <v>0.17819713230073997</v>
      </c>
    </row>
    <row r="599" spans="1:4" x14ac:dyDescent="0.2">
      <c r="A599" s="10" t="s">
        <v>598</v>
      </c>
      <c r="B599" s="12">
        <v>13.29</v>
      </c>
      <c r="C599" s="11">
        <v>0</v>
      </c>
      <c r="D599" s="11">
        <v>1.6928727568570299</v>
      </c>
    </row>
    <row r="600" spans="1:4" x14ac:dyDescent="0.2">
      <c r="A600" s="10" t="s">
        <v>599</v>
      </c>
      <c r="B600" s="12">
        <v>13.31</v>
      </c>
      <c r="C600" s="11">
        <v>0</v>
      </c>
      <c r="D600" s="11">
        <v>1.6730730754902809</v>
      </c>
    </row>
    <row r="601" spans="1:4" x14ac:dyDescent="0.2">
      <c r="A601" s="10" t="s">
        <v>600</v>
      </c>
      <c r="B601" s="12">
        <v>15.3</v>
      </c>
      <c r="C601" s="11">
        <v>0.29699522050123328</v>
      </c>
      <c r="D601" s="11">
        <v>0</v>
      </c>
    </row>
    <row r="602" spans="1:4" x14ac:dyDescent="0.2">
      <c r="A602" s="10" t="s">
        <v>601</v>
      </c>
      <c r="B602" s="12">
        <v>15.62</v>
      </c>
      <c r="C602" s="11">
        <v>0.61379012236921549</v>
      </c>
      <c r="D602" s="11">
        <v>0</v>
      </c>
    </row>
    <row r="603" spans="1:4" x14ac:dyDescent="0.2">
      <c r="A603" s="10" t="s">
        <v>602</v>
      </c>
      <c r="B603" s="12">
        <v>13.31</v>
      </c>
      <c r="C603" s="11">
        <v>0</v>
      </c>
      <c r="D603" s="11">
        <v>1.6730730754902809</v>
      </c>
    </row>
    <row r="604" spans="1:4" x14ac:dyDescent="0.2">
      <c r="A604" s="10" t="s">
        <v>603</v>
      </c>
      <c r="B604" s="12">
        <v>15.73</v>
      </c>
      <c r="C604" s="11">
        <v>0.72268836988633434</v>
      </c>
      <c r="D604" s="11">
        <v>0</v>
      </c>
    </row>
    <row r="605" spans="1:4" x14ac:dyDescent="0.2">
      <c r="A605" s="10" t="s">
        <v>604</v>
      </c>
      <c r="B605" s="12">
        <v>13.53</v>
      </c>
      <c r="C605" s="11">
        <v>0</v>
      </c>
      <c r="D605" s="11">
        <v>1.4552765804560432</v>
      </c>
    </row>
    <row r="606" spans="1:4" x14ac:dyDescent="0.2">
      <c r="A606" s="10" t="s">
        <v>605</v>
      </c>
      <c r="B606" s="12">
        <v>13.57</v>
      </c>
      <c r="C606" s="11">
        <v>0</v>
      </c>
      <c r="D606" s="11">
        <v>1.4156772177225454</v>
      </c>
    </row>
    <row r="607" spans="1:4" x14ac:dyDescent="0.2">
      <c r="A607" s="10" t="s">
        <v>606</v>
      </c>
      <c r="B607" s="12">
        <v>13.79</v>
      </c>
      <c r="C607" s="11">
        <v>0</v>
      </c>
      <c r="D607" s="11">
        <v>1.1978807226883077</v>
      </c>
    </row>
    <row r="608" spans="1:4" x14ac:dyDescent="0.2">
      <c r="A608" s="10" t="s">
        <v>607</v>
      </c>
      <c r="B608" s="12">
        <v>12.75</v>
      </c>
      <c r="C608" s="11">
        <v>0</v>
      </c>
      <c r="D608" s="11">
        <v>2.2274641537592497</v>
      </c>
    </row>
    <row r="609" spans="1:4" x14ac:dyDescent="0.2">
      <c r="A609" s="10" t="s">
        <v>608</v>
      </c>
      <c r="B609" s="12">
        <v>12.7</v>
      </c>
      <c r="C609" s="11">
        <v>0</v>
      </c>
      <c r="D609" s="11">
        <v>2.2769633571761219</v>
      </c>
    </row>
    <row r="610" spans="1:4" x14ac:dyDescent="0.2">
      <c r="A610" s="10" t="s">
        <v>609</v>
      </c>
      <c r="B610" s="12">
        <v>13.68</v>
      </c>
      <c r="C610" s="11">
        <v>0</v>
      </c>
      <c r="D610" s="11">
        <v>1.3067789702054267</v>
      </c>
    </row>
    <row r="611" spans="1:4" x14ac:dyDescent="0.2">
      <c r="A611" s="10" t="s">
        <v>610</v>
      </c>
      <c r="B611" s="12">
        <v>13.53</v>
      </c>
      <c r="C611" s="11">
        <v>0</v>
      </c>
      <c r="D611" s="11">
        <v>1.4552765804560432</v>
      </c>
    </row>
    <row r="612" spans="1:4" x14ac:dyDescent="0.2">
      <c r="A612" s="10" t="s">
        <v>611</v>
      </c>
      <c r="B612" s="12">
        <v>13.9</v>
      </c>
      <c r="C612" s="11">
        <v>0</v>
      </c>
      <c r="D612" s="11">
        <v>1.088982475171189</v>
      </c>
    </row>
    <row r="613" spans="1:4" x14ac:dyDescent="0.2">
      <c r="A613" s="10" t="s">
        <v>612</v>
      </c>
      <c r="B613" s="12">
        <v>12.78</v>
      </c>
      <c r="C613" s="11">
        <v>0</v>
      </c>
      <c r="D613" s="11">
        <v>2.1977646317091266</v>
      </c>
    </row>
    <row r="614" spans="1:4" x14ac:dyDescent="0.2">
      <c r="A614" s="10" t="s">
        <v>613</v>
      </c>
      <c r="B614" s="12">
        <v>13.33</v>
      </c>
      <c r="C614" s="11">
        <v>0</v>
      </c>
      <c r="D614" s="11">
        <v>1.653273394123532</v>
      </c>
    </row>
    <row r="615" spans="1:4" x14ac:dyDescent="0.2">
      <c r="A615" s="10" t="s">
        <v>614</v>
      </c>
      <c r="B615" s="12">
        <v>13.94</v>
      </c>
      <c r="C615" s="11">
        <v>0</v>
      </c>
      <c r="D615" s="11">
        <v>1.0493831124376911</v>
      </c>
    </row>
    <row r="616" spans="1:4" x14ac:dyDescent="0.2">
      <c r="A616" s="10" t="s">
        <v>615</v>
      </c>
      <c r="B616" s="12">
        <v>16.190000000000001</v>
      </c>
      <c r="C616" s="11">
        <v>1.1780810413215588</v>
      </c>
      <c r="D616" s="11">
        <v>0</v>
      </c>
    </row>
    <row r="617" spans="1:4" x14ac:dyDescent="0.2">
      <c r="A617" s="10" t="s">
        <v>616</v>
      </c>
      <c r="B617" s="12">
        <v>14.89</v>
      </c>
      <c r="C617" s="11">
        <v>0</v>
      </c>
      <c r="D617" s="11">
        <v>0.10889824751711888</v>
      </c>
    </row>
    <row r="618" spans="1:4" x14ac:dyDescent="0.2">
      <c r="A618" s="10" t="s">
        <v>617</v>
      </c>
      <c r="B618" s="12">
        <v>12.16</v>
      </c>
      <c r="C618" s="11">
        <v>0</v>
      </c>
      <c r="D618" s="11">
        <v>2.8115547540783417</v>
      </c>
    </row>
    <row r="619" spans="1:4" x14ac:dyDescent="0.2">
      <c r="A619" s="10" t="s">
        <v>618</v>
      </c>
      <c r="B619" s="12">
        <v>13.96</v>
      </c>
      <c r="C619" s="11">
        <v>0</v>
      </c>
      <c r="D619" s="11">
        <v>1.0295834310709422</v>
      </c>
    </row>
    <row r="620" spans="1:4" x14ac:dyDescent="0.2">
      <c r="A620" s="10" t="s">
        <v>619</v>
      </c>
      <c r="B620" s="12">
        <v>15.48</v>
      </c>
      <c r="C620" s="11">
        <v>0.47519235280197325</v>
      </c>
      <c r="D620" s="11">
        <v>0</v>
      </c>
    </row>
    <row r="621" spans="1:4" x14ac:dyDescent="0.2">
      <c r="A621" s="10" t="s">
        <v>620</v>
      </c>
      <c r="B621" s="12">
        <v>13.45</v>
      </c>
      <c r="C621" s="11">
        <v>0</v>
      </c>
      <c r="D621" s="11">
        <v>1.5344753059230387</v>
      </c>
    </row>
    <row r="622" spans="1:4" x14ac:dyDescent="0.2">
      <c r="A622" s="10" t="s">
        <v>621</v>
      </c>
      <c r="B622" s="12">
        <v>13.81</v>
      </c>
      <c r="C622" s="11">
        <v>0</v>
      </c>
      <c r="D622" s="11">
        <v>1.1780810413215588</v>
      </c>
    </row>
    <row r="623" spans="1:4" x14ac:dyDescent="0.2">
      <c r="A623" s="10" t="s">
        <v>622</v>
      </c>
      <c r="B623" s="12">
        <v>12.62</v>
      </c>
      <c r="C623" s="11">
        <v>0</v>
      </c>
      <c r="D623" s="11">
        <v>2.3561620826431176</v>
      </c>
    </row>
    <row r="624" spans="1:4" x14ac:dyDescent="0.2">
      <c r="A624" s="10" t="s">
        <v>623</v>
      </c>
      <c r="B624" s="12">
        <v>13.82</v>
      </c>
      <c r="C624" s="11">
        <v>0</v>
      </c>
      <c r="D624" s="11">
        <v>1.1681812006381842</v>
      </c>
    </row>
    <row r="625" spans="1:4" x14ac:dyDescent="0.2">
      <c r="A625" s="10" t="s">
        <v>624</v>
      </c>
      <c r="B625" s="12">
        <v>13.22</v>
      </c>
      <c r="C625" s="11">
        <v>0</v>
      </c>
      <c r="D625" s="11">
        <v>1.762171641640651</v>
      </c>
    </row>
    <row r="626" spans="1:4" x14ac:dyDescent="0.2">
      <c r="A626" s="10" t="s">
        <v>625</v>
      </c>
      <c r="B626" s="12">
        <v>12.82</v>
      </c>
      <c r="C626" s="11">
        <v>0</v>
      </c>
      <c r="D626" s="11">
        <v>2.1581652689756288</v>
      </c>
    </row>
    <row r="627" spans="1:4" x14ac:dyDescent="0.2">
      <c r="A627" s="10" t="s">
        <v>626</v>
      </c>
      <c r="B627" s="12">
        <v>14.05</v>
      </c>
      <c r="C627" s="11">
        <v>0</v>
      </c>
      <c r="D627" s="11">
        <v>0.94048486492057204</v>
      </c>
    </row>
    <row r="628" spans="1:4" x14ac:dyDescent="0.2">
      <c r="A628" s="10" t="s">
        <v>627</v>
      </c>
      <c r="B628" s="12">
        <v>14.01</v>
      </c>
      <c r="C628" s="11">
        <v>0</v>
      </c>
      <c r="D628" s="11">
        <v>0.98008422765406988</v>
      </c>
    </row>
    <row r="629" spans="1:4" x14ac:dyDescent="0.2">
      <c r="A629" s="10" t="s">
        <v>628</v>
      </c>
      <c r="B629" s="12">
        <v>14.42</v>
      </c>
      <c r="C629" s="11">
        <v>0</v>
      </c>
      <c r="D629" s="11">
        <v>0.57419075963571764</v>
      </c>
    </row>
    <row r="630" spans="1:4" x14ac:dyDescent="0.2">
      <c r="A630" s="10" t="s">
        <v>629</v>
      </c>
      <c r="B630" s="12">
        <v>14.59</v>
      </c>
      <c r="C630" s="11">
        <v>0</v>
      </c>
      <c r="D630" s="11">
        <v>0.40589346801835213</v>
      </c>
    </row>
    <row r="631" spans="1:4" x14ac:dyDescent="0.2">
      <c r="A631" s="10" t="s">
        <v>630</v>
      </c>
      <c r="B631" s="12">
        <v>16.48</v>
      </c>
      <c r="C631" s="11">
        <v>1.4651764211394176</v>
      </c>
      <c r="D631" s="11">
        <v>0</v>
      </c>
    </row>
    <row r="632" spans="1:4" x14ac:dyDescent="0.2">
      <c r="A632" s="10" t="s">
        <v>631</v>
      </c>
      <c r="B632" s="12">
        <v>12.99</v>
      </c>
      <c r="C632" s="11">
        <v>0</v>
      </c>
      <c r="D632" s="11">
        <v>1.9898679773582628</v>
      </c>
    </row>
    <row r="633" spans="1:4" x14ac:dyDescent="0.2">
      <c r="A633" s="10" t="s">
        <v>632</v>
      </c>
      <c r="B633" s="12">
        <v>14.37</v>
      </c>
      <c r="C633" s="11">
        <v>0</v>
      </c>
      <c r="D633" s="11">
        <v>0.62368996305258995</v>
      </c>
    </row>
    <row r="634" spans="1:4" x14ac:dyDescent="0.2">
      <c r="A634" s="10" t="s">
        <v>633</v>
      </c>
      <c r="B634" s="12">
        <v>13.3</v>
      </c>
      <c r="C634" s="11">
        <v>0</v>
      </c>
      <c r="D634" s="11">
        <v>1.6829729161736553</v>
      </c>
    </row>
    <row r="635" spans="1:4" x14ac:dyDescent="0.2">
      <c r="A635" s="10" t="s">
        <v>634</v>
      </c>
      <c r="B635" s="12">
        <v>14.97</v>
      </c>
      <c r="C635" s="11">
        <v>0</v>
      </c>
      <c r="D635" s="11">
        <v>2.9699522050123328E-2</v>
      </c>
    </row>
    <row r="636" spans="1:4" x14ac:dyDescent="0.2">
      <c r="A636" s="10" t="s">
        <v>635</v>
      </c>
      <c r="B636" s="12">
        <v>14.64</v>
      </c>
      <c r="C636" s="11">
        <v>0</v>
      </c>
      <c r="D636" s="11">
        <v>0.35639426460147994</v>
      </c>
    </row>
    <row r="637" spans="1:4" x14ac:dyDescent="0.2">
      <c r="A637" s="10" t="s">
        <v>636</v>
      </c>
      <c r="B637" s="12">
        <v>14.04</v>
      </c>
      <c r="C637" s="11">
        <v>0</v>
      </c>
      <c r="D637" s="11">
        <v>0.9503847056039465</v>
      </c>
    </row>
    <row r="638" spans="1:4" x14ac:dyDescent="0.2">
      <c r="A638" s="10" t="s">
        <v>637</v>
      </c>
      <c r="B638" s="12">
        <v>14.9</v>
      </c>
      <c r="C638" s="11">
        <v>0</v>
      </c>
      <c r="D638" s="11">
        <v>9.8998406833744446E-2</v>
      </c>
    </row>
    <row r="639" spans="1:4" x14ac:dyDescent="0.2">
      <c r="A639" s="10" t="s">
        <v>638</v>
      </c>
      <c r="B639" s="12">
        <v>13.48</v>
      </c>
      <c r="C639" s="11">
        <v>0</v>
      </c>
      <c r="D639" s="11">
        <v>1.5047757838729154</v>
      </c>
    </row>
    <row r="640" spans="1:4" x14ac:dyDescent="0.2">
      <c r="A640" s="10" t="s">
        <v>639</v>
      </c>
      <c r="B640" s="12">
        <v>13.98</v>
      </c>
      <c r="C640" s="11">
        <v>0</v>
      </c>
      <c r="D640" s="11">
        <v>1.0097837497041933</v>
      </c>
    </row>
    <row r="641" spans="1:4" x14ac:dyDescent="0.2">
      <c r="A641" s="10" t="s">
        <v>640</v>
      </c>
      <c r="B641" s="12">
        <v>13.77</v>
      </c>
      <c r="C641" s="11">
        <v>0</v>
      </c>
      <c r="D641" s="11">
        <v>1.2176804040550566</v>
      </c>
    </row>
    <row r="642" spans="1:4" x14ac:dyDescent="0.2">
      <c r="A642" s="10" t="s">
        <v>641</v>
      </c>
      <c r="B642" s="12">
        <v>13.71</v>
      </c>
      <c r="C642" s="11">
        <v>0</v>
      </c>
      <c r="D642" s="11">
        <v>1.2770794481553032</v>
      </c>
    </row>
    <row r="643" spans="1:4" x14ac:dyDescent="0.2">
      <c r="A643" s="10" t="s">
        <v>642</v>
      </c>
      <c r="B643" s="12">
        <v>15.8</v>
      </c>
      <c r="C643" s="11">
        <v>0.79198725466995556</v>
      </c>
      <c r="D643" s="11">
        <v>0</v>
      </c>
    </row>
    <row r="644" spans="1:4" x14ac:dyDescent="0.2">
      <c r="A644" s="10" t="s">
        <v>643</v>
      </c>
      <c r="B644" s="12">
        <v>13.29</v>
      </c>
      <c r="C644" s="11">
        <v>0</v>
      </c>
      <c r="D644" s="11">
        <v>1.6928727568570299</v>
      </c>
    </row>
    <row r="645" spans="1:4" x14ac:dyDescent="0.2">
      <c r="A645" s="10" t="s">
        <v>644</v>
      </c>
      <c r="B645" s="12">
        <v>13.62</v>
      </c>
      <c r="C645" s="11">
        <v>0</v>
      </c>
      <c r="D645" s="11">
        <v>1.366178014305673</v>
      </c>
    </row>
    <row r="646" spans="1:4" x14ac:dyDescent="0.2">
      <c r="A646" s="10" t="s">
        <v>645</v>
      </c>
      <c r="B646" s="12">
        <v>14.06</v>
      </c>
      <c r="C646" s="11">
        <v>0</v>
      </c>
      <c r="D646" s="11">
        <v>0.93058502423719758</v>
      </c>
    </row>
    <row r="647" spans="1:4" x14ac:dyDescent="0.2">
      <c r="A647" s="10" t="s">
        <v>646</v>
      </c>
      <c r="B647" s="12">
        <v>14.19</v>
      </c>
      <c r="C647" s="11">
        <v>0</v>
      </c>
      <c r="D647" s="11">
        <v>0.80188709535333003</v>
      </c>
    </row>
    <row r="648" spans="1:4" x14ac:dyDescent="0.2">
      <c r="A648" s="10" t="s">
        <v>647</v>
      </c>
      <c r="B648" s="12">
        <v>14.47</v>
      </c>
      <c r="C648" s="11">
        <v>0</v>
      </c>
      <c r="D648" s="11">
        <v>0.52469155621884556</v>
      </c>
    </row>
    <row r="649" spans="1:4" x14ac:dyDescent="0.2">
      <c r="A649" s="10" t="s">
        <v>648</v>
      </c>
      <c r="B649" s="12">
        <v>13.81</v>
      </c>
      <c r="C649" s="11">
        <v>0</v>
      </c>
      <c r="D649" s="11">
        <v>1.1780810413215588</v>
      </c>
    </row>
    <row r="650" spans="1:4" x14ac:dyDescent="0.2">
      <c r="A650" s="10" t="s">
        <v>649</v>
      </c>
      <c r="B650" s="12">
        <v>14.76</v>
      </c>
      <c r="C650" s="11">
        <v>0</v>
      </c>
      <c r="D650" s="11">
        <v>0.23759617640098663</v>
      </c>
    </row>
    <row r="651" spans="1:4" x14ac:dyDescent="0.2">
      <c r="A651" s="10" t="s">
        <v>650</v>
      </c>
      <c r="B651" s="12">
        <v>12.69</v>
      </c>
      <c r="C651" s="11">
        <v>0</v>
      </c>
      <c r="D651" s="11">
        <v>2.2868631978594967</v>
      </c>
    </row>
    <row r="652" spans="1:4" x14ac:dyDescent="0.2">
      <c r="A652" s="10" t="s">
        <v>651</v>
      </c>
      <c r="B652" s="12">
        <v>13.74</v>
      </c>
      <c r="C652" s="11">
        <v>0</v>
      </c>
      <c r="D652" s="11">
        <v>1.2473799261051799</v>
      </c>
    </row>
    <row r="653" spans="1:4" x14ac:dyDescent="0.2">
      <c r="A653" s="10" t="s">
        <v>652</v>
      </c>
      <c r="B653" s="12">
        <v>16.38</v>
      </c>
      <c r="C653" s="11">
        <v>1.366178014305673</v>
      </c>
      <c r="D653" s="11">
        <v>0</v>
      </c>
    </row>
    <row r="654" spans="1:4" x14ac:dyDescent="0.2">
      <c r="A654" s="10" t="s">
        <v>653</v>
      </c>
      <c r="B654" s="12">
        <v>13.03</v>
      </c>
      <c r="C654" s="11">
        <v>0</v>
      </c>
      <c r="D654" s="11">
        <v>1.9502686146247654</v>
      </c>
    </row>
    <row r="655" spans="1:4" x14ac:dyDescent="0.2">
      <c r="A655" s="10" t="s">
        <v>654</v>
      </c>
      <c r="B655" s="12">
        <v>16.02</v>
      </c>
      <c r="C655" s="11">
        <v>1.0097837497041933</v>
      </c>
      <c r="D655" s="11">
        <v>0</v>
      </c>
    </row>
    <row r="656" spans="1:4" x14ac:dyDescent="0.2">
      <c r="A656" s="10" t="s">
        <v>655</v>
      </c>
      <c r="B656" s="12">
        <v>12.84</v>
      </c>
      <c r="C656" s="11">
        <v>0</v>
      </c>
      <c r="D656" s="11">
        <v>2.1383655876088801</v>
      </c>
    </row>
    <row r="657" spans="1:4" x14ac:dyDescent="0.2">
      <c r="A657" s="10" t="s">
        <v>656</v>
      </c>
      <c r="B657" s="12">
        <v>14.06</v>
      </c>
      <c r="C657" s="11">
        <v>0</v>
      </c>
      <c r="D657" s="11">
        <v>0.93058502423719758</v>
      </c>
    </row>
    <row r="658" spans="1:4" x14ac:dyDescent="0.2">
      <c r="A658" s="10" t="s">
        <v>657</v>
      </c>
      <c r="B658" s="12">
        <v>14.14</v>
      </c>
      <c r="C658" s="11">
        <v>0</v>
      </c>
      <c r="D658" s="11">
        <v>0.85138629877020211</v>
      </c>
    </row>
    <row r="659" spans="1:4" x14ac:dyDescent="0.2">
      <c r="A659" s="10" t="s">
        <v>658</v>
      </c>
      <c r="B659" s="12">
        <v>12.32</v>
      </c>
      <c r="C659" s="11">
        <v>0</v>
      </c>
      <c r="D659" s="11">
        <v>2.6531573031443512</v>
      </c>
    </row>
    <row r="660" spans="1:4" x14ac:dyDescent="0.2">
      <c r="A660" s="10" t="s">
        <v>659</v>
      </c>
      <c r="B660" s="12">
        <v>16.18</v>
      </c>
      <c r="C660" s="11">
        <v>1.1681812006381842</v>
      </c>
      <c r="D660" s="11">
        <v>0</v>
      </c>
    </row>
    <row r="661" spans="1:4" x14ac:dyDescent="0.2">
      <c r="A661" s="10" t="s">
        <v>660</v>
      </c>
      <c r="B661" s="12">
        <v>13.82</v>
      </c>
      <c r="C661" s="11">
        <v>0</v>
      </c>
      <c r="D661" s="11">
        <v>1.1681812006381842</v>
      </c>
    </row>
    <row r="662" spans="1:4" x14ac:dyDescent="0.2">
      <c r="A662" s="10" t="s">
        <v>661</v>
      </c>
      <c r="B662" s="12">
        <v>15.17</v>
      </c>
      <c r="C662" s="11">
        <v>0.16829729161736556</v>
      </c>
      <c r="D662" s="11">
        <v>0</v>
      </c>
    </row>
    <row r="663" spans="1:4" x14ac:dyDescent="0.2">
      <c r="A663" s="10" t="s">
        <v>662</v>
      </c>
      <c r="B663" s="12">
        <v>14.61</v>
      </c>
      <c r="C663" s="11">
        <v>0</v>
      </c>
      <c r="D663" s="11">
        <v>0.38609378665160332</v>
      </c>
    </row>
    <row r="664" spans="1:4" x14ac:dyDescent="0.2">
      <c r="A664" s="10" t="s">
        <v>663</v>
      </c>
      <c r="B664" s="12">
        <v>13.45</v>
      </c>
      <c r="C664" s="11">
        <v>0</v>
      </c>
      <c r="D664" s="11">
        <v>1.5344753059230387</v>
      </c>
    </row>
    <row r="665" spans="1:4" x14ac:dyDescent="0.2">
      <c r="A665" s="10" t="s">
        <v>664</v>
      </c>
      <c r="B665" s="12">
        <v>13.73</v>
      </c>
      <c r="C665" s="11">
        <v>0</v>
      </c>
      <c r="D665" s="11">
        <v>1.2572797667885542</v>
      </c>
    </row>
    <row r="666" spans="1:4" x14ac:dyDescent="0.2">
      <c r="A666" s="10" t="s">
        <v>665</v>
      </c>
      <c r="B666" s="12">
        <v>15.81</v>
      </c>
      <c r="C666" s="11">
        <v>0.80188709535333003</v>
      </c>
      <c r="D666" s="11">
        <v>0</v>
      </c>
    </row>
    <row r="667" spans="1:4" x14ac:dyDescent="0.2">
      <c r="A667" s="10" t="s">
        <v>666</v>
      </c>
      <c r="B667" s="12">
        <v>12.31</v>
      </c>
      <c r="C667" s="11">
        <v>0</v>
      </c>
      <c r="D667" s="11">
        <v>2.6630571438277251</v>
      </c>
    </row>
    <row r="668" spans="1:4" x14ac:dyDescent="0.2">
      <c r="A668" s="10" t="s">
        <v>667</v>
      </c>
      <c r="B668" s="12">
        <v>13.8</v>
      </c>
      <c r="C668" s="11">
        <v>0</v>
      </c>
      <c r="D668" s="11">
        <v>1.1879808820049331</v>
      </c>
    </row>
    <row r="669" spans="1:4" x14ac:dyDescent="0.2">
      <c r="A669" s="10" t="s">
        <v>668</v>
      </c>
      <c r="B669" s="12">
        <v>15.08</v>
      </c>
      <c r="C669" s="11">
        <v>7.9198725466995551E-2</v>
      </c>
      <c r="D669" s="11">
        <v>0</v>
      </c>
    </row>
    <row r="670" spans="1:4" x14ac:dyDescent="0.2">
      <c r="A670" s="10" t="s">
        <v>669</v>
      </c>
      <c r="B670" s="12">
        <v>12.4</v>
      </c>
      <c r="C670" s="11">
        <v>0</v>
      </c>
      <c r="D670" s="11">
        <v>2.5739585776773555</v>
      </c>
    </row>
    <row r="671" spans="1:4" x14ac:dyDescent="0.2">
      <c r="A671" s="10" t="s">
        <v>670</v>
      </c>
      <c r="B671" s="12">
        <v>14.26</v>
      </c>
      <c r="C671" s="11">
        <v>0</v>
      </c>
      <c r="D671" s="11">
        <v>0.7325882105697088</v>
      </c>
    </row>
    <row r="672" spans="1:4" x14ac:dyDescent="0.2">
      <c r="A672" s="10" t="s">
        <v>671</v>
      </c>
      <c r="B672" s="12">
        <v>13.59</v>
      </c>
      <c r="C672" s="11">
        <v>0</v>
      </c>
      <c r="D672" s="11">
        <v>1.3958775363557965</v>
      </c>
    </row>
    <row r="673" spans="1:4" x14ac:dyDescent="0.2">
      <c r="A673" s="10" t="s">
        <v>672</v>
      </c>
      <c r="B673" s="12">
        <v>14.63</v>
      </c>
      <c r="C673" s="11">
        <v>0</v>
      </c>
      <c r="D673" s="11">
        <v>0.3662941052848544</v>
      </c>
    </row>
    <row r="674" spans="1:4" x14ac:dyDescent="0.2">
      <c r="A674" s="10" t="s">
        <v>673</v>
      </c>
      <c r="B674" s="12">
        <v>12.94</v>
      </c>
      <c r="C674" s="11">
        <v>0</v>
      </c>
      <c r="D674" s="11">
        <v>2.0393671807751352</v>
      </c>
    </row>
    <row r="675" spans="1:4" x14ac:dyDescent="0.2">
      <c r="A675" s="10" t="s">
        <v>674</v>
      </c>
      <c r="B675" s="12">
        <v>13.26</v>
      </c>
      <c r="C675" s="11">
        <v>0</v>
      </c>
      <c r="D675" s="11">
        <v>1.7225722789071531</v>
      </c>
    </row>
    <row r="676" spans="1:4" x14ac:dyDescent="0.2">
      <c r="A676" s="10" t="s">
        <v>675</v>
      </c>
      <c r="B676" s="12">
        <v>13.54</v>
      </c>
      <c r="C676" s="11">
        <v>0</v>
      </c>
      <c r="D676" s="11">
        <v>1.4453767397726687</v>
      </c>
    </row>
    <row r="677" spans="1:4" x14ac:dyDescent="0.2">
      <c r="A677" s="10" t="s">
        <v>676</v>
      </c>
      <c r="B677" s="12">
        <v>13.18</v>
      </c>
      <c r="C677" s="11">
        <v>0</v>
      </c>
      <c r="D677" s="11">
        <v>1.8017710043741488</v>
      </c>
    </row>
    <row r="678" spans="1:4" x14ac:dyDescent="0.2">
      <c r="A678" s="10" t="s">
        <v>677</v>
      </c>
      <c r="B678" s="12">
        <v>13.58</v>
      </c>
      <c r="C678" s="11">
        <v>0</v>
      </c>
      <c r="D678" s="11">
        <v>1.4057773770391708</v>
      </c>
    </row>
    <row r="679" spans="1:4" x14ac:dyDescent="0.2">
      <c r="A679" s="10" t="s">
        <v>678</v>
      </c>
      <c r="B679" s="12">
        <v>13.08</v>
      </c>
      <c r="C679" s="11">
        <v>0</v>
      </c>
      <c r="D679" s="11">
        <v>1.900769411207893</v>
      </c>
    </row>
    <row r="680" spans="1:4" x14ac:dyDescent="0.2">
      <c r="A680" s="10" t="s">
        <v>679</v>
      </c>
      <c r="B680" s="12">
        <v>15.96</v>
      </c>
      <c r="C680" s="11">
        <v>0.9503847056039465</v>
      </c>
      <c r="D680" s="11">
        <v>0</v>
      </c>
    </row>
    <row r="681" spans="1:4" x14ac:dyDescent="0.2">
      <c r="A681" s="10" t="s">
        <v>680</v>
      </c>
      <c r="B681" s="12">
        <v>13.06</v>
      </c>
      <c r="C681" s="11">
        <v>0</v>
      </c>
      <c r="D681" s="11">
        <v>1.9205690925746419</v>
      </c>
    </row>
    <row r="682" spans="1:4" x14ac:dyDescent="0.2">
      <c r="A682" s="10" t="s">
        <v>681</v>
      </c>
      <c r="B682" s="12">
        <v>12.42</v>
      </c>
      <c r="C682" s="11">
        <v>0</v>
      </c>
      <c r="D682" s="11">
        <v>2.5541588963106063</v>
      </c>
    </row>
    <row r="683" spans="1:4" x14ac:dyDescent="0.2">
      <c r="A683" s="10" t="s">
        <v>682</v>
      </c>
      <c r="B683" s="12">
        <v>16.75</v>
      </c>
      <c r="C683" s="11">
        <v>1.7324721195905277</v>
      </c>
      <c r="D683" s="11">
        <v>0</v>
      </c>
    </row>
    <row r="684" spans="1:4" x14ac:dyDescent="0.2">
      <c r="A684" s="10" t="s">
        <v>683</v>
      </c>
      <c r="B684" s="12">
        <v>14.58</v>
      </c>
      <c r="C684" s="11">
        <v>0</v>
      </c>
      <c r="D684" s="11">
        <v>0.41579330870172659</v>
      </c>
    </row>
    <row r="685" spans="1:4" x14ac:dyDescent="0.2">
      <c r="A685" s="10" t="s">
        <v>684</v>
      </c>
      <c r="B685" s="12">
        <v>12.71</v>
      </c>
      <c r="C685" s="11">
        <v>0</v>
      </c>
      <c r="D685" s="11">
        <v>2.2670635164927475</v>
      </c>
    </row>
    <row r="686" spans="1:4" x14ac:dyDescent="0.2">
      <c r="A686" s="10" t="s">
        <v>685</v>
      </c>
      <c r="B686" s="12">
        <v>11.86</v>
      </c>
      <c r="C686" s="11">
        <v>0</v>
      </c>
      <c r="D686" s="11">
        <v>3.1085499745795753</v>
      </c>
    </row>
    <row r="687" spans="1:4" x14ac:dyDescent="0.2">
      <c r="A687" s="10" t="s">
        <v>686</v>
      </c>
      <c r="B687" s="12">
        <v>15.77</v>
      </c>
      <c r="C687" s="11">
        <v>0.76228773261983218</v>
      </c>
      <c r="D687" s="11">
        <v>0</v>
      </c>
    </row>
    <row r="688" spans="1:4" x14ac:dyDescent="0.2">
      <c r="A688" s="10" t="s">
        <v>687</v>
      </c>
      <c r="B688" s="12">
        <v>15.04</v>
      </c>
      <c r="C688" s="11">
        <v>3.9599362733497775E-2</v>
      </c>
      <c r="D688" s="11">
        <v>0</v>
      </c>
    </row>
    <row r="689" spans="1:4" x14ac:dyDescent="0.2">
      <c r="A689" s="10" t="s">
        <v>688</v>
      </c>
      <c r="B689" s="12">
        <v>14.63</v>
      </c>
      <c r="C689" s="11">
        <v>0</v>
      </c>
      <c r="D689" s="11">
        <v>0.3662941052848544</v>
      </c>
    </row>
    <row r="690" spans="1:4" x14ac:dyDescent="0.2">
      <c r="A690" s="10" t="s">
        <v>689</v>
      </c>
      <c r="B690" s="12">
        <v>13.28</v>
      </c>
      <c r="C690" s="11">
        <v>0</v>
      </c>
      <c r="D690" s="11">
        <v>1.7027725975404042</v>
      </c>
    </row>
    <row r="691" spans="1:4" x14ac:dyDescent="0.2">
      <c r="A691" s="10" t="s">
        <v>690</v>
      </c>
      <c r="B691" s="12">
        <v>12.31</v>
      </c>
      <c r="C691" s="11">
        <v>0</v>
      </c>
      <c r="D691" s="11">
        <v>2.6630571438277251</v>
      </c>
    </row>
    <row r="692" spans="1:4" x14ac:dyDescent="0.2">
      <c r="A692" s="10" t="s">
        <v>691</v>
      </c>
      <c r="B692" s="12">
        <v>14.6</v>
      </c>
      <c r="C692" s="11">
        <v>0</v>
      </c>
      <c r="D692" s="11">
        <v>0.39599362733497778</v>
      </c>
    </row>
    <row r="693" spans="1:4" x14ac:dyDescent="0.2">
      <c r="A693" s="10" t="s">
        <v>692</v>
      </c>
      <c r="B693" s="12">
        <v>14.07</v>
      </c>
      <c r="C693" s="11">
        <v>0</v>
      </c>
      <c r="D693" s="11">
        <v>0.92068518355382334</v>
      </c>
    </row>
    <row r="694" spans="1:4" x14ac:dyDescent="0.2">
      <c r="A694" s="10" t="s">
        <v>693</v>
      </c>
      <c r="B694" s="12">
        <v>15.8</v>
      </c>
      <c r="C694" s="11">
        <v>0.79198725466995556</v>
      </c>
      <c r="D694" s="11">
        <v>0</v>
      </c>
    </row>
    <row r="695" spans="1:4" x14ac:dyDescent="0.2">
      <c r="A695" s="10" t="s">
        <v>694</v>
      </c>
      <c r="B695" s="12">
        <v>13.63</v>
      </c>
      <c r="C695" s="11">
        <v>0</v>
      </c>
      <c r="D695" s="11">
        <v>1.3562781736222989</v>
      </c>
    </row>
    <row r="696" spans="1:4" x14ac:dyDescent="0.2">
      <c r="A696" s="10" t="s">
        <v>695</v>
      </c>
      <c r="B696" s="12">
        <v>11.7</v>
      </c>
      <c r="C696" s="11">
        <v>0</v>
      </c>
      <c r="D696" s="11">
        <v>3.2669474255135662</v>
      </c>
    </row>
    <row r="697" spans="1:4" x14ac:dyDescent="0.2">
      <c r="A697" s="10" t="s">
        <v>696</v>
      </c>
      <c r="B697" s="12">
        <v>14.79</v>
      </c>
      <c r="C697" s="11">
        <v>0</v>
      </c>
      <c r="D697" s="11">
        <v>0.2078966543508633</v>
      </c>
    </row>
    <row r="698" spans="1:4" x14ac:dyDescent="0.2">
      <c r="A698" s="10" t="s">
        <v>697</v>
      </c>
      <c r="B698" s="12">
        <v>13.82</v>
      </c>
      <c r="C698" s="11">
        <v>0</v>
      </c>
      <c r="D698" s="11">
        <v>1.1681812006381842</v>
      </c>
    </row>
    <row r="699" spans="1:4" x14ac:dyDescent="0.2">
      <c r="A699" s="10" t="s">
        <v>698</v>
      </c>
      <c r="B699" s="12">
        <v>13.08</v>
      </c>
      <c r="C699" s="11">
        <v>0</v>
      </c>
      <c r="D699" s="11">
        <v>1.900769411207893</v>
      </c>
    </row>
    <row r="700" spans="1:4" x14ac:dyDescent="0.2">
      <c r="A700" s="10" t="s">
        <v>699</v>
      </c>
      <c r="B700" s="12">
        <v>17.29</v>
      </c>
      <c r="C700" s="11">
        <v>2.2670635164927475</v>
      </c>
      <c r="D700" s="11">
        <v>0</v>
      </c>
    </row>
    <row r="701" spans="1:4" x14ac:dyDescent="0.2">
      <c r="A701" s="10" t="s">
        <v>700</v>
      </c>
      <c r="B701" s="12">
        <v>14.32</v>
      </c>
      <c r="C701" s="11">
        <v>0</v>
      </c>
      <c r="D701" s="11">
        <v>0.67318916646946225</v>
      </c>
    </row>
    <row r="702" spans="1:4" x14ac:dyDescent="0.2">
      <c r="A702" s="10" t="s">
        <v>701</v>
      </c>
      <c r="B702" s="12">
        <v>15.2</v>
      </c>
      <c r="C702" s="11">
        <v>0.19799681366748889</v>
      </c>
      <c r="D702" s="11">
        <v>0</v>
      </c>
    </row>
    <row r="703" spans="1:4" x14ac:dyDescent="0.2">
      <c r="A703" s="10" t="s">
        <v>702</v>
      </c>
      <c r="B703" s="12">
        <v>13.1</v>
      </c>
      <c r="C703" s="11">
        <v>0</v>
      </c>
      <c r="D703" s="11">
        <v>1.8809697298411441</v>
      </c>
    </row>
    <row r="704" spans="1:4" x14ac:dyDescent="0.2">
      <c r="A704" s="10" t="s">
        <v>703</v>
      </c>
      <c r="B704" s="12">
        <v>15.88</v>
      </c>
      <c r="C704" s="11">
        <v>0.87118598013695103</v>
      </c>
      <c r="D704" s="11">
        <v>0</v>
      </c>
    </row>
    <row r="705" spans="1:4" x14ac:dyDescent="0.2">
      <c r="A705" s="10" t="s">
        <v>704</v>
      </c>
      <c r="B705" s="12">
        <v>13.14</v>
      </c>
      <c r="C705" s="11">
        <v>0</v>
      </c>
      <c r="D705" s="11">
        <v>1.8413703671076467</v>
      </c>
    </row>
    <row r="706" spans="1:4" x14ac:dyDescent="0.2">
      <c r="A706" s="10" t="s">
        <v>705</v>
      </c>
      <c r="B706" s="12">
        <v>15.51</v>
      </c>
      <c r="C706" s="11">
        <v>0.50489187485209663</v>
      </c>
      <c r="D706" s="11">
        <v>0</v>
      </c>
    </row>
    <row r="707" spans="1:4" x14ac:dyDescent="0.2">
      <c r="A707" s="10" t="s">
        <v>706</v>
      </c>
      <c r="B707" s="12">
        <v>13.71</v>
      </c>
      <c r="C707" s="11">
        <v>0</v>
      </c>
      <c r="D707" s="11">
        <v>1.2770794481553032</v>
      </c>
    </row>
    <row r="708" spans="1:4" x14ac:dyDescent="0.2">
      <c r="A708" s="10" t="s">
        <v>707</v>
      </c>
      <c r="B708" s="12">
        <v>14.15</v>
      </c>
      <c r="C708" s="11">
        <v>0</v>
      </c>
      <c r="D708" s="11">
        <v>0.84148645808682765</v>
      </c>
    </row>
    <row r="709" spans="1:4" x14ac:dyDescent="0.2">
      <c r="A709" s="10" t="s">
        <v>708</v>
      </c>
      <c r="B709" s="12">
        <v>14.47</v>
      </c>
      <c r="C709" s="11">
        <v>0</v>
      </c>
      <c r="D709" s="11">
        <v>0.52469155621884556</v>
      </c>
    </row>
    <row r="710" spans="1:4" x14ac:dyDescent="0.2">
      <c r="A710" s="10" t="s">
        <v>709</v>
      </c>
      <c r="B710" s="12">
        <v>11.79</v>
      </c>
      <c r="C710" s="11">
        <v>0</v>
      </c>
      <c r="D710" s="11">
        <v>3.1778488593631962</v>
      </c>
    </row>
    <row r="711" spans="1:4" x14ac:dyDescent="0.2">
      <c r="A711" s="10" t="s">
        <v>710</v>
      </c>
      <c r="B711" s="12">
        <v>14.78</v>
      </c>
      <c r="C711" s="11">
        <v>0</v>
      </c>
      <c r="D711" s="11">
        <v>0.21779649503423776</v>
      </c>
    </row>
    <row r="712" spans="1:4" x14ac:dyDescent="0.2">
      <c r="A712" s="10" t="s">
        <v>711</v>
      </c>
      <c r="B712" s="12">
        <v>14.17</v>
      </c>
      <c r="C712" s="11">
        <v>0</v>
      </c>
      <c r="D712" s="11">
        <v>0.82168677672007873</v>
      </c>
    </row>
    <row r="713" spans="1:4" x14ac:dyDescent="0.2">
      <c r="A713" s="10" t="s">
        <v>712</v>
      </c>
      <c r="B713" s="12">
        <v>14.46</v>
      </c>
      <c r="C713" s="11">
        <v>0</v>
      </c>
      <c r="D713" s="11">
        <v>0.53459139690222002</v>
      </c>
    </row>
    <row r="714" spans="1:4" x14ac:dyDescent="0.2">
      <c r="A714" s="10" t="s">
        <v>713</v>
      </c>
      <c r="B714" s="12">
        <v>12.34</v>
      </c>
      <c r="C714" s="11">
        <v>0</v>
      </c>
      <c r="D714" s="11">
        <v>2.633357621777602</v>
      </c>
    </row>
    <row r="715" spans="1:4" x14ac:dyDescent="0.2">
      <c r="A715" s="10" t="s">
        <v>714</v>
      </c>
      <c r="B715" s="12">
        <v>15.39</v>
      </c>
      <c r="C715" s="11">
        <v>0.38609378665160332</v>
      </c>
      <c r="D715" s="11">
        <v>0</v>
      </c>
    </row>
    <row r="716" spans="1:4" x14ac:dyDescent="0.2">
      <c r="A716" s="10" t="s">
        <v>715</v>
      </c>
      <c r="B716" s="12">
        <v>12.47</v>
      </c>
      <c r="C716" s="11">
        <v>0</v>
      </c>
      <c r="D716" s="11">
        <v>2.5046596928937341</v>
      </c>
    </row>
    <row r="717" spans="1:4" x14ac:dyDescent="0.2">
      <c r="A717" s="10" t="s">
        <v>716</v>
      </c>
      <c r="B717" s="12">
        <v>13.39</v>
      </c>
      <c r="C717" s="11">
        <v>0</v>
      </c>
      <c r="D717" s="11">
        <v>1.5938743500232855</v>
      </c>
    </row>
    <row r="718" spans="1:4" x14ac:dyDescent="0.2">
      <c r="A718" s="10" t="s">
        <v>717</v>
      </c>
      <c r="B718" s="12">
        <v>13.89</v>
      </c>
      <c r="C718" s="11">
        <v>0</v>
      </c>
      <c r="D718" s="11">
        <v>1.0988823158545633</v>
      </c>
    </row>
    <row r="719" spans="1:4" x14ac:dyDescent="0.2">
      <c r="A719" s="10" t="s">
        <v>718</v>
      </c>
      <c r="B719" s="12">
        <v>14.72</v>
      </c>
      <c r="C719" s="11">
        <v>0</v>
      </c>
      <c r="D719" s="11">
        <v>0.27719553913448447</v>
      </c>
    </row>
    <row r="720" spans="1:4" x14ac:dyDescent="0.2">
      <c r="A720" s="10" t="s">
        <v>719</v>
      </c>
      <c r="B720" s="12">
        <v>12.74</v>
      </c>
      <c r="C720" s="11">
        <v>0</v>
      </c>
      <c r="D720" s="11">
        <v>2.237363994442624</v>
      </c>
    </row>
    <row r="721" spans="1:4" x14ac:dyDescent="0.2">
      <c r="A721" s="10" t="s">
        <v>720</v>
      </c>
      <c r="B721" s="12">
        <v>13.27</v>
      </c>
      <c r="C721" s="11">
        <v>0</v>
      </c>
      <c r="D721" s="11">
        <v>1.7126724382237788</v>
      </c>
    </row>
    <row r="722" spans="1:4" x14ac:dyDescent="0.2">
      <c r="A722" s="10" t="s">
        <v>721</v>
      </c>
      <c r="B722" s="12">
        <v>14.48</v>
      </c>
      <c r="C722" s="11">
        <v>0</v>
      </c>
      <c r="D722" s="11">
        <v>0.51479171553547109</v>
      </c>
    </row>
    <row r="723" spans="1:4" x14ac:dyDescent="0.2">
      <c r="A723" s="10" t="s">
        <v>722</v>
      </c>
      <c r="B723" s="12">
        <v>14.92</v>
      </c>
      <c r="C723" s="11">
        <v>0</v>
      </c>
      <c r="D723" s="11">
        <v>7.9198725466995551E-2</v>
      </c>
    </row>
    <row r="724" spans="1:4" x14ac:dyDescent="0.2">
      <c r="A724" s="10" t="s">
        <v>723</v>
      </c>
      <c r="B724" s="12">
        <v>16.25</v>
      </c>
      <c r="C724" s="11">
        <v>1.2374800854218053</v>
      </c>
      <c r="D724" s="11">
        <v>0</v>
      </c>
    </row>
    <row r="725" spans="1:4" x14ac:dyDescent="0.2">
      <c r="A725" s="10" t="s">
        <v>724</v>
      </c>
      <c r="B725" s="12">
        <v>12.62</v>
      </c>
      <c r="C725" s="11">
        <v>0</v>
      </c>
      <c r="D725" s="11">
        <v>2.3561620826431176</v>
      </c>
    </row>
    <row r="726" spans="1:4" x14ac:dyDescent="0.2">
      <c r="A726" s="10" t="s">
        <v>725</v>
      </c>
      <c r="B726" s="12">
        <v>14.02</v>
      </c>
      <c r="C726" s="11">
        <v>0</v>
      </c>
      <c r="D726" s="11">
        <v>0.97018438697069542</v>
      </c>
    </row>
    <row r="727" spans="1:4" x14ac:dyDescent="0.2">
      <c r="A727" s="10" t="s">
        <v>726</v>
      </c>
      <c r="B727" s="12">
        <v>12.79</v>
      </c>
      <c r="C727" s="11">
        <v>0</v>
      </c>
      <c r="D727" s="11">
        <v>2.1878647910257518</v>
      </c>
    </row>
    <row r="728" spans="1:4" x14ac:dyDescent="0.2">
      <c r="A728" s="10" t="s">
        <v>727</v>
      </c>
      <c r="B728" s="12">
        <v>13.01</v>
      </c>
      <c r="C728" s="11">
        <v>0</v>
      </c>
      <c r="D728" s="11">
        <v>1.9700682959915143</v>
      </c>
    </row>
    <row r="729" spans="1:4" x14ac:dyDescent="0.2">
      <c r="A729" s="10" t="s">
        <v>728</v>
      </c>
      <c r="B729" s="12">
        <v>15.03</v>
      </c>
      <c r="C729" s="11">
        <v>2.9699522050123328E-2</v>
      </c>
      <c r="D729" s="11">
        <v>0</v>
      </c>
    </row>
    <row r="730" spans="1:4" x14ac:dyDescent="0.2">
      <c r="A730" s="10" t="s">
        <v>729</v>
      </c>
      <c r="B730" s="12">
        <v>14.29</v>
      </c>
      <c r="C730" s="11">
        <v>0</v>
      </c>
      <c r="D730" s="11">
        <v>0.70288868851958541</v>
      </c>
    </row>
    <row r="731" spans="1:4" x14ac:dyDescent="0.2">
      <c r="A731" s="10" t="s">
        <v>730</v>
      </c>
      <c r="B731" s="12">
        <v>13.47</v>
      </c>
      <c r="C731" s="11">
        <v>0</v>
      </c>
      <c r="D731" s="11">
        <v>1.5146756245562898</v>
      </c>
    </row>
    <row r="732" spans="1:4" x14ac:dyDescent="0.2">
      <c r="A732" s="10" t="s">
        <v>731</v>
      </c>
      <c r="B732" s="12">
        <v>12.6</v>
      </c>
      <c r="C732" s="11">
        <v>0</v>
      </c>
      <c r="D732" s="11">
        <v>2.3759617640098663</v>
      </c>
    </row>
    <row r="733" spans="1:4" x14ac:dyDescent="0.2">
      <c r="A733" s="10" t="s">
        <v>732</v>
      </c>
      <c r="B733" s="12">
        <v>14.01</v>
      </c>
      <c r="C733" s="11">
        <v>0</v>
      </c>
      <c r="D733" s="11">
        <v>0.98008422765406988</v>
      </c>
    </row>
    <row r="734" spans="1:4" x14ac:dyDescent="0.2">
      <c r="A734" s="10" t="s">
        <v>733</v>
      </c>
      <c r="B734" s="12">
        <v>15.52</v>
      </c>
      <c r="C734" s="11">
        <v>0.51479171553547109</v>
      </c>
      <c r="D734" s="11">
        <v>0</v>
      </c>
    </row>
    <row r="735" spans="1:4" x14ac:dyDescent="0.2">
      <c r="A735" s="10" t="s">
        <v>734</v>
      </c>
      <c r="B735" s="12">
        <v>14.95</v>
      </c>
      <c r="C735" s="11">
        <v>0</v>
      </c>
      <c r="D735" s="11">
        <v>4.9499203416872223E-2</v>
      </c>
    </row>
    <row r="736" spans="1:4" x14ac:dyDescent="0.2">
      <c r="A736" s="10" t="s">
        <v>735</v>
      </c>
      <c r="B736" s="12">
        <v>15.45</v>
      </c>
      <c r="C736" s="11">
        <v>0.44549283075184998</v>
      </c>
      <c r="D736" s="11">
        <v>0</v>
      </c>
    </row>
    <row r="737" spans="1:4" x14ac:dyDescent="0.2">
      <c r="A737" s="10" t="s">
        <v>736</v>
      </c>
      <c r="B737" s="12">
        <v>13.21</v>
      </c>
      <c r="C737" s="11">
        <v>0</v>
      </c>
      <c r="D737" s="11">
        <v>1.7720714823240253</v>
      </c>
    </row>
    <row r="738" spans="1:4" x14ac:dyDescent="0.2">
      <c r="A738" s="10" t="s">
        <v>737</v>
      </c>
      <c r="B738" s="12">
        <v>12.91</v>
      </c>
      <c r="C738" s="11">
        <v>0</v>
      </c>
      <c r="D738" s="11">
        <v>2.0690667028252587</v>
      </c>
    </row>
    <row r="739" spans="1:4" x14ac:dyDescent="0.2">
      <c r="A739" s="10" t="s">
        <v>738</v>
      </c>
      <c r="B739" s="12">
        <v>12.92</v>
      </c>
      <c r="C739" s="11">
        <v>0</v>
      </c>
      <c r="D739" s="11">
        <v>2.0591668621418844</v>
      </c>
    </row>
    <row r="740" spans="1:4" x14ac:dyDescent="0.2">
      <c r="A740" s="10" t="s">
        <v>739</v>
      </c>
      <c r="B740" s="12">
        <v>16.87</v>
      </c>
      <c r="C740" s="11">
        <v>1.851270207791021</v>
      </c>
      <c r="D740" s="11">
        <v>0</v>
      </c>
    </row>
    <row r="741" spans="1:4" x14ac:dyDescent="0.2">
      <c r="A741" s="10" t="s">
        <v>740</v>
      </c>
      <c r="B741" s="12">
        <v>13.69</v>
      </c>
      <c r="C741" s="11">
        <v>0</v>
      </c>
      <c r="D741" s="11">
        <v>1.2968791295220521</v>
      </c>
    </row>
    <row r="742" spans="1:4" x14ac:dyDescent="0.2">
      <c r="A742" s="10" t="s">
        <v>741</v>
      </c>
      <c r="B742" s="12">
        <v>13.61</v>
      </c>
      <c r="C742" s="11">
        <v>0</v>
      </c>
      <c r="D742" s="11">
        <v>1.3760778549890476</v>
      </c>
    </row>
    <row r="743" spans="1:4" x14ac:dyDescent="0.2">
      <c r="A743" s="10" t="s">
        <v>742</v>
      </c>
      <c r="B743" s="12">
        <v>15.76</v>
      </c>
      <c r="C743" s="11">
        <v>0.75238789193645772</v>
      </c>
      <c r="D743" s="11">
        <v>0</v>
      </c>
    </row>
    <row r="744" spans="1:4" x14ac:dyDescent="0.2">
      <c r="A744" s="10" t="s">
        <v>743</v>
      </c>
      <c r="B744" s="12">
        <v>14.5</v>
      </c>
      <c r="C744" s="11">
        <v>0</v>
      </c>
      <c r="D744" s="11">
        <v>0.49499203416872217</v>
      </c>
    </row>
    <row r="745" spans="1:4" x14ac:dyDescent="0.2">
      <c r="A745" s="10" t="s">
        <v>744</v>
      </c>
      <c r="B745" s="12">
        <v>14.95</v>
      </c>
      <c r="C745" s="11">
        <v>0</v>
      </c>
      <c r="D745" s="11">
        <v>4.9499203416872223E-2</v>
      </c>
    </row>
    <row r="746" spans="1:4" x14ac:dyDescent="0.2">
      <c r="A746" s="10" t="s">
        <v>745</v>
      </c>
      <c r="B746" s="12">
        <v>14.74</v>
      </c>
      <c r="C746" s="11">
        <v>0</v>
      </c>
      <c r="D746" s="11">
        <v>0.25739585776773555</v>
      </c>
    </row>
    <row r="747" spans="1:4" x14ac:dyDescent="0.2">
      <c r="A747" s="10" t="s">
        <v>746</v>
      </c>
      <c r="B747" s="12">
        <v>15.67</v>
      </c>
      <c r="C747" s="11">
        <v>0.66328932578608779</v>
      </c>
      <c r="D747" s="11">
        <v>0</v>
      </c>
    </row>
    <row r="748" spans="1:4" x14ac:dyDescent="0.2">
      <c r="A748" s="10" t="s">
        <v>747</v>
      </c>
      <c r="B748" s="12">
        <v>15.61</v>
      </c>
      <c r="C748" s="11">
        <v>0.60389028168584102</v>
      </c>
      <c r="D748" s="11">
        <v>0</v>
      </c>
    </row>
    <row r="749" spans="1:4" x14ac:dyDescent="0.2">
      <c r="A749" s="10" t="s">
        <v>748</v>
      </c>
      <c r="B749" s="12">
        <v>12.92</v>
      </c>
      <c r="C749" s="11">
        <v>0</v>
      </c>
      <c r="D749" s="11">
        <v>2.0591668621418844</v>
      </c>
    </row>
    <row r="750" spans="1:4" x14ac:dyDescent="0.2">
      <c r="A750" s="10" t="s">
        <v>749</v>
      </c>
      <c r="B750" s="12">
        <v>13.61</v>
      </c>
      <c r="C750" s="11">
        <v>0</v>
      </c>
      <c r="D750" s="11">
        <v>1.3760778549890476</v>
      </c>
    </row>
    <row r="751" spans="1:4" x14ac:dyDescent="0.2">
      <c r="A751" s="10" t="s">
        <v>750</v>
      </c>
      <c r="B751" s="12">
        <v>14.97</v>
      </c>
      <c r="C751" s="11">
        <v>0</v>
      </c>
      <c r="D751" s="11">
        <v>2.9699522050123328E-2</v>
      </c>
    </row>
    <row r="752" spans="1:4" x14ac:dyDescent="0.2">
      <c r="A752" s="10" t="s">
        <v>751</v>
      </c>
      <c r="B752" s="12">
        <v>12.88</v>
      </c>
      <c r="C752" s="11">
        <v>0</v>
      </c>
      <c r="D752" s="11">
        <v>2.0987662248753822</v>
      </c>
    </row>
    <row r="753" spans="1:4" x14ac:dyDescent="0.2">
      <c r="A753" s="10" t="s">
        <v>752</v>
      </c>
      <c r="B753" s="12">
        <v>13.97</v>
      </c>
      <c r="C753" s="11">
        <v>0</v>
      </c>
      <c r="D753" s="11">
        <v>1.0196835903875676</v>
      </c>
    </row>
    <row r="754" spans="1:4" x14ac:dyDescent="0.2">
      <c r="A754" s="10" t="s">
        <v>753</v>
      </c>
      <c r="B754" s="12">
        <v>12.87</v>
      </c>
      <c r="C754" s="11">
        <v>0</v>
      </c>
      <c r="D754" s="11">
        <v>2.1086660655587561</v>
      </c>
    </row>
    <row r="755" spans="1:4" x14ac:dyDescent="0.2">
      <c r="A755" s="10" t="s">
        <v>754</v>
      </c>
      <c r="B755" s="12">
        <v>13.45</v>
      </c>
      <c r="C755" s="11">
        <v>0</v>
      </c>
      <c r="D755" s="11">
        <v>1.5344753059230387</v>
      </c>
    </row>
    <row r="756" spans="1:4" x14ac:dyDescent="0.2">
      <c r="A756" s="10" t="s">
        <v>755</v>
      </c>
      <c r="B756" s="12">
        <v>14.42</v>
      </c>
      <c r="C756" s="11">
        <v>0</v>
      </c>
      <c r="D756" s="11">
        <v>0.57419075963571764</v>
      </c>
    </row>
    <row r="757" spans="1:4" x14ac:dyDescent="0.2">
      <c r="A757" s="10" t="s">
        <v>756</v>
      </c>
      <c r="B757" s="12">
        <v>14.78</v>
      </c>
      <c r="C757" s="11">
        <v>0</v>
      </c>
      <c r="D757" s="11">
        <v>0.21779649503423776</v>
      </c>
    </row>
    <row r="758" spans="1:4" x14ac:dyDescent="0.2">
      <c r="A758" s="10" t="s">
        <v>757</v>
      </c>
      <c r="B758" s="12">
        <v>16.75</v>
      </c>
      <c r="C758" s="11">
        <v>1.7324721195905277</v>
      </c>
      <c r="D758" s="11">
        <v>0</v>
      </c>
    </row>
    <row r="759" spans="1:4" x14ac:dyDescent="0.2">
      <c r="A759" s="10" t="s">
        <v>758</v>
      </c>
      <c r="B759" s="12">
        <v>12.41</v>
      </c>
      <c r="C759" s="11">
        <v>0</v>
      </c>
      <c r="D759" s="11">
        <v>2.5640587369939807</v>
      </c>
    </row>
    <row r="760" spans="1:4" x14ac:dyDescent="0.2">
      <c r="A760" s="10" t="s">
        <v>759</v>
      </c>
      <c r="B760" s="12">
        <v>15.13</v>
      </c>
      <c r="C760" s="11">
        <v>0.12869792888386777</v>
      </c>
      <c r="D760" s="11">
        <v>0</v>
      </c>
    </row>
    <row r="761" spans="1:4" x14ac:dyDescent="0.2">
      <c r="A761" s="10" t="s">
        <v>760</v>
      </c>
      <c r="B761" s="12">
        <v>13.22</v>
      </c>
      <c r="C761" s="11">
        <v>0</v>
      </c>
      <c r="D761" s="11">
        <v>1.762171641640651</v>
      </c>
    </row>
    <row r="762" spans="1:4" x14ac:dyDescent="0.2">
      <c r="A762" s="10" t="s">
        <v>761</v>
      </c>
      <c r="B762" s="12">
        <v>14.26</v>
      </c>
      <c r="C762" s="11">
        <v>0</v>
      </c>
      <c r="D762" s="11">
        <v>0.7325882105697088</v>
      </c>
    </row>
    <row r="763" spans="1:4" x14ac:dyDescent="0.2">
      <c r="A763" s="10" t="s">
        <v>762</v>
      </c>
      <c r="B763" s="12">
        <v>13.83</v>
      </c>
      <c r="C763" s="11">
        <v>0</v>
      </c>
      <c r="D763" s="11">
        <v>1.1582813599548099</v>
      </c>
    </row>
    <row r="764" spans="1:4" x14ac:dyDescent="0.2">
      <c r="A764" s="10" t="s">
        <v>763</v>
      </c>
      <c r="B764" s="12">
        <v>13.43</v>
      </c>
      <c r="C764" s="11">
        <v>0</v>
      </c>
      <c r="D764" s="11">
        <v>1.5542749872897876</v>
      </c>
    </row>
    <row r="765" spans="1:4" x14ac:dyDescent="0.2">
      <c r="A765" s="10" t="s">
        <v>764</v>
      </c>
      <c r="B765" s="12">
        <v>15.11</v>
      </c>
      <c r="C765" s="11">
        <v>0.10889824751711888</v>
      </c>
      <c r="D765" s="11">
        <v>0</v>
      </c>
    </row>
    <row r="766" spans="1:4" x14ac:dyDescent="0.2">
      <c r="A766" s="10" t="s">
        <v>765</v>
      </c>
      <c r="B766" s="12">
        <v>13.42</v>
      </c>
      <c r="C766" s="11">
        <v>0</v>
      </c>
      <c r="D766" s="11">
        <v>1.5641748279731622</v>
      </c>
    </row>
    <row r="767" spans="1:4" x14ac:dyDescent="0.2">
      <c r="A767" s="10" t="s">
        <v>766</v>
      </c>
      <c r="B767" s="12">
        <v>13.4</v>
      </c>
      <c r="C767" s="11">
        <v>0</v>
      </c>
      <c r="D767" s="11">
        <v>1.5839745093399111</v>
      </c>
    </row>
    <row r="768" spans="1:4" x14ac:dyDescent="0.2">
      <c r="A768" s="10" t="s">
        <v>767</v>
      </c>
      <c r="B768" s="12">
        <v>14.61</v>
      </c>
      <c r="C768" s="11">
        <v>0</v>
      </c>
      <c r="D768" s="11">
        <v>0.38609378665160332</v>
      </c>
    </row>
    <row r="769" spans="1:4" x14ac:dyDescent="0.2">
      <c r="A769" s="10" t="s">
        <v>768</v>
      </c>
      <c r="B769" s="12">
        <v>12.96</v>
      </c>
      <c r="C769" s="11">
        <v>0</v>
      </c>
      <c r="D769" s="11">
        <v>2.0195674994083865</v>
      </c>
    </row>
    <row r="770" spans="1:4" x14ac:dyDescent="0.2">
      <c r="A770" s="10" t="s">
        <v>769</v>
      </c>
      <c r="B770" s="12">
        <v>12.68</v>
      </c>
      <c r="C770" s="11">
        <v>0</v>
      </c>
      <c r="D770" s="11">
        <v>2.2967630385428706</v>
      </c>
    </row>
    <row r="771" spans="1:4" x14ac:dyDescent="0.2">
      <c r="A771" s="10" t="s">
        <v>770</v>
      </c>
      <c r="B771" s="12">
        <v>13.89</v>
      </c>
      <c r="C771" s="11">
        <v>0</v>
      </c>
      <c r="D771" s="11">
        <v>1.0988823158545633</v>
      </c>
    </row>
    <row r="772" spans="1:4" x14ac:dyDescent="0.2">
      <c r="A772" s="10" t="s">
        <v>771</v>
      </c>
      <c r="B772" s="12">
        <v>13.35</v>
      </c>
      <c r="C772" s="11">
        <v>0</v>
      </c>
      <c r="D772" s="11">
        <v>1.6334737127567831</v>
      </c>
    </row>
    <row r="773" spans="1:4" x14ac:dyDescent="0.2">
      <c r="A773" s="10" t="s">
        <v>772</v>
      </c>
      <c r="B773" s="12">
        <v>13.16</v>
      </c>
      <c r="C773" s="11">
        <v>0</v>
      </c>
      <c r="D773" s="11">
        <v>1.8215706857408978</v>
      </c>
    </row>
    <row r="774" spans="1:4" x14ac:dyDescent="0.2">
      <c r="A774" s="10" t="s">
        <v>773</v>
      </c>
      <c r="B774" s="12">
        <v>13.6</v>
      </c>
      <c r="C774" s="11">
        <v>0</v>
      </c>
      <c r="D774" s="11">
        <v>1.3859776956724219</v>
      </c>
    </row>
    <row r="775" spans="1:4" x14ac:dyDescent="0.2">
      <c r="A775" s="10" t="s">
        <v>774</v>
      </c>
      <c r="B775" s="12">
        <v>12.81</v>
      </c>
      <c r="C775" s="11">
        <v>0</v>
      </c>
      <c r="D775" s="11">
        <v>2.1680651096590031</v>
      </c>
    </row>
    <row r="776" spans="1:4" x14ac:dyDescent="0.2">
      <c r="A776" s="10" t="s">
        <v>775</v>
      </c>
      <c r="B776" s="12">
        <v>14.51</v>
      </c>
      <c r="C776" s="11">
        <v>0</v>
      </c>
      <c r="D776" s="11">
        <v>0.48509219348534771</v>
      </c>
    </row>
    <row r="777" spans="1:4" x14ac:dyDescent="0.2">
      <c r="A777" s="10" t="s">
        <v>776</v>
      </c>
      <c r="B777" s="12">
        <v>13.98</v>
      </c>
      <c r="C777" s="11">
        <v>0</v>
      </c>
      <c r="D777" s="11">
        <v>1.0097837497041933</v>
      </c>
    </row>
    <row r="778" spans="1:4" x14ac:dyDescent="0.2">
      <c r="A778" s="10" t="s">
        <v>777</v>
      </c>
      <c r="B778" s="12">
        <v>14.75</v>
      </c>
      <c r="C778" s="11">
        <v>0</v>
      </c>
      <c r="D778" s="11">
        <v>0.24749601708436109</v>
      </c>
    </row>
    <row r="779" spans="1:4" x14ac:dyDescent="0.2">
      <c r="A779" s="10" t="s">
        <v>778</v>
      </c>
      <c r="B779" s="12">
        <v>15.18</v>
      </c>
      <c r="C779" s="11">
        <v>0.17819713230073997</v>
      </c>
      <c r="D779" s="11">
        <v>0</v>
      </c>
    </row>
    <row r="780" spans="1:4" x14ac:dyDescent="0.2">
      <c r="A780" s="10" t="s">
        <v>779</v>
      </c>
      <c r="B780" s="12">
        <v>13.88</v>
      </c>
      <c r="C780" s="11">
        <v>0</v>
      </c>
      <c r="D780" s="11">
        <v>1.1087821565379379</v>
      </c>
    </row>
    <row r="781" spans="1:4" x14ac:dyDescent="0.2">
      <c r="A781" s="10" t="s">
        <v>780</v>
      </c>
      <c r="B781" s="12">
        <v>15.58</v>
      </c>
      <c r="C781" s="11">
        <v>0.57419075963571764</v>
      </c>
      <c r="D781" s="11">
        <v>0</v>
      </c>
    </row>
    <row r="782" spans="1:4" x14ac:dyDescent="0.2">
      <c r="A782" s="10" t="s">
        <v>781</v>
      </c>
      <c r="B782" s="12">
        <v>13.92</v>
      </c>
      <c r="C782" s="11">
        <v>0</v>
      </c>
      <c r="D782" s="11">
        <v>1.06918279380444</v>
      </c>
    </row>
    <row r="783" spans="1:4" x14ac:dyDescent="0.2">
      <c r="A783" s="10" t="s">
        <v>782</v>
      </c>
      <c r="B783" s="12">
        <v>13.84</v>
      </c>
      <c r="C783" s="11">
        <v>0</v>
      </c>
      <c r="D783" s="11">
        <v>1.1483815192714353</v>
      </c>
    </row>
    <row r="784" spans="1:4" x14ac:dyDescent="0.2">
      <c r="A784" s="10" t="s">
        <v>783</v>
      </c>
      <c r="B784" s="12">
        <v>15.73</v>
      </c>
      <c r="C784" s="11">
        <v>0.72268836988633434</v>
      </c>
      <c r="D784" s="11">
        <v>0</v>
      </c>
    </row>
    <row r="785" spans="1:4" x14ac:dyDescent="0.2">
      <c r="A785" s="10" t="s">
        <v>784</v>
      </c>
      <c r="B785" s="12">
        <v>13.81</v>
      </c>
      <c r="C785" s="11">
        <v>0</v>
      </c>
      <c r="D785" s="11">
        <v>1.1780810413215588</v>
      </c>
    </row>
    <row r="786" spans="1:4" x14ac:dyDescent="0.2">
      <c r="A786" s="10" t="s">
        <v>785</v>
      </c>
      <c r="B786" s="12">
        <v>13.99</v>
      </c>
      <c r="C786" s="11">
        <v>0</v>
      </c>
      <c r="D786" s="11">
        <v>0.99988390902081881</v>
      </c>
    </row>
    <row r="787" spans="1:4" x14ac:dyDescent="0.2">
      <c r="A787" s="10" t="s">
        <v>786</v>
      </c>
      <c r="B787" s="12">
        <v>15.44</v>
      </c>
      <c r="C787" s="11">
        <v>0.43559299006847552</v>
      </c>
      <c r="D787" s="11">
        <v>0</v>
      </c>
    </row>
    <row r="788" spans="1:4" x14ac:dyDescent="0.2">
      <c r="A788" s="10" t="s">
        <v>787</v>
      </c>
      <c r="B788" s="12">
        <v>13.22</v>
      </c>
      <c r="C788" s="11">
        <v>0</v>
      </c>
      <c r="D788" s="11">
        <v>1.762171641640651</v>
      </c>
    </row>
    <row r="789" spans="1:4" x14ac:dyDescent="0.2">
      <c r="A789" s="10" t="s">
        <v>788</v>
      </c>
      <c r="B789" s="12">
        <v>11.85</v>
      </c>
      <c r="C789" s="11">
        <v>0</v>
      </c>
      <c r="D789" s="11">
        <v>3.1184498152629496</v>
      </c>
    </row>
    <row r="790" spans="1:4" x14ac:dyDescent="0.2">
      <c r="A790" s="10" t="s">
        <v>789</v>
      </c>
      <c r="B790" s="12">
        <v>13.36</v>
      </c>
      <c r="C790" s="11">
        <v>0</v>
      </c>
      <c r="D790" s="11">
        <v>1.6235738720734085</v>
      </c>
    </row>
    <row r="791" spans="1:4" x14ac:dyDescent="0.2">
      <c r="A791" s="10" t="s">
        <v>790</v>
      </c>
      <c r="B791" s="12">
        <v>13.57</v>
      </c>
      <c r="C791" s="11">
        <v>0</v>
      </c>
      <c r="D791" s="11">
        <v>1.4156772177225454</v>
      </c>
    </row>
    <row r="792" spans="1:4" x14ac:dyDescent="0.2">
      <c r="A792" s="10" t="s">
        <v>791</v>
      </c>
      <c r="B792" s="12">
        <v>14.73</v>
      </c>
      <c r="C792" s="11">
        <v>0</v>
      </c>
      <c r="D792" s="11">
        <v>0.26729569845111001</v>
      </c>
    </row>
    <row r="793" spans="1:4" x14ac:dyDescent="0.2">
      <c r="A793" s="10" t="s">
        <v>792</v>
      </c>
      <c r="B793" s="12">
        <v>12.77</v>
      </c>
      <c r="C793" s="11">
        <v>0</v>
      </c>
      <c r="D793" s="11">
        <v>2.207664472392501</v>
      </c>
    </row>
    <row r="794" spans="1:4" x14ac:dyDescent="0.2">
      <c r="A794" s="10" t="s">
        <v>793</v>
      </c>
      <c r="B794" s="12">
        <v>15.07</v>
      </c>
      <c r="C794" s="11">
        <v>6.9298884783621117E-2</v>
      </c>
      <c r="D794" s="11">
        <v>0</v>
      </c>
    </row>
    <row r="795" spans="1:4" x14ac:dyDescent="0.2">
      <c r="A795" s="10" t="s">
        <v>794</v>
      </c>
      <c r="B795" s="12">
        <v>14.48</v>
      </c>
      <c r="C795" s="11">
        <v>0</v>
      </c>
      <c r="D795" s="11">
        <v>0.51479171553547109</v>
      </c>
    </row>
    <row r="796" spans="1:4" x14ac:dyDescent="0.2">
      <c r="A796" s="10" t="s">
        <v>795</v>
      </c>
      <c r="B796" s="12">
        <v>15.2</v>
      </c>
      <c r="C796" s="11">
        <v>0.19799681366748889</v>
      </c>
      <c r="D796" s="11">
        <v>0</v>
      </c>
    </row>
    <row r="797" spans="1:4" x14ac:dyDescent="0.2">
      <c r="A797" s="10" t="s">
        <v>796</v>
      </c>
      <c r="B797" s="12">
        <v>14.5</v>
      </c>
      <c r="C797" s="11">
        <v>0</v>
      </c>
      <c r="D797" s="11">
        <v>0.49499203416872217</v>
      </c>
    </row>
    <row r="798" spans="1:4" x14ac:dyDescent="0.2">
      <c r="A798" s="10" t="s">
        <v>797</v>
      </c>
      <c r="B798" s="12">
        <v>14.69</v>
      </c>
      <c r="C798" s="11">
        <v>0</v>
      </c>
      <c r="D798" s="11">
        <v>0.30689506118460774</v>
      </c>
    </row>
    <row r="799" spans="1:4" x14ac:dyDescent="0.2">
      <c r="A799" s="10" t="s">
        <v>798</v>
      </c>
      <c r="B799" s="12">
        <v>15.44</v>
      </c>
      <c r="C799" s="11">
        <v>0.43559299006847552</v>
      </c>
      <c r="D799" s="11">
        <v>0</v>
      </c>
    </row>
    <row r="800" spans="1:4" x14ac:dyDescent="0.2">
      <c r="A800" s="10" t="s">
        <v>799</v>
      </c>
      <c r="B800" s="12">
        <v>13.71</v>
      </c>
      <c r="C800" s="11">
        <v>0</v>
      </c>
      <c r="D800" s="11">
        <v>1.2770794481553032</v>
      </c>
    </row>
    <row r="801" spans="1:4" x14ac:dyDescent="0.2">
      <c r="A801" s="10" t="s">
        <v>800</v>
      </c>
      <c r="B801" s="12">
        <v>14.59</v>
      </c>
      <c r="C801" s="11">
        <v>0</v>
      </c>
      <c r="D801" s="11">
        <v>0.40589346801835213</v>
      </c>
    </row>
    <row r="802" spans="1:4" x14ac:dyDescent="0.2">
      <c r="A802" s="10" t="s">
        <v>801</v>
      </c>
      <c r="B802" s="12">
        <v>13.29</v>
      </c>
      <c r="C802" s="11">
        <v>0</v>
      </c>
      <c r="D802" s="11">
        <v>1.6928727568570299</v>
      </c>
    </row>
    <row r="803" spans="1:4" x14ac:dyDescent="0.2">
      <c r="A803" s="10" t="s">
        <v>802</v>
      </c>
      <c r="B803" s="12">
        <v>14.88</v>
      </c>
      <c r="C803" s="11">
        <v>0</v>
      </c>
      <c r="D803" s="11">
        <v>0.11879808820049331</v>
      </c>
    </row>
    <row r="804" spans="1:4" x14ac:dyDescent="0.2">
      <c r="A804" s="10" t="s">
        <v>803</v>
      </c>
      <c r="B804" s="12">
        <v>14.45</v>
      </c>
      <c r="C804" s="11">
        <v>0</v>
      </c>
      <c r="D804" s="11">
        <v>0.54449123758559448</v>
      </c>
    </row>
    <row r="805" spans="1:4" x14ac:dyDescent="0.2">
      <c r="A805" s="10" t="s">
        <v>804</v>
      </c>
      <c r="B805" s="12">
        <v>14.57</v>
      </c>
      <c r="C805" s="11">
        <v>0</v>
      </c>
      <c r="D805" s="11">
        <v>0.42569314938510106</v>
      </c>
    </row>
    <row r="806" spans="1:4" x14ac:dyDescent="0.2">
      <c r="A806" s="10" t="s">
        <v>805</v>
      </c>
      <c r="B806" s="12">
        <v>15.79</v>
      </c>
      <c r="C806" s="11">
        <v>0.7820874139865811</v>
      </c>
      <c r="D806" s="11">
        <v>0</v>
      </c>
    </row>
    <row r="807" spans="1:4" x14ac:dyDescent="0.2">
      <c r="A807" s="10" t="s">
        <v>806</v>
      </c>
      <c r="B807" s="12">
        <v>13.65</v>
      </c>
      <c r="C807" s="11">
        <v>0</v>
      </c>
      <c r="D807" s="11">
        <v>1.3364784922555499</v>
      </c>
    </row>
    <row r="808" spans="1:4" x14ac:dyDescent="0.2">
      <c r="A808" s="10" t="s">
        <v>807</v>
      </c>
      <c r="B808" s="12">
        <v>14.06</v>
      </c>
      <c r="C808" s="11">
        <v>0</v>
      </c>
      <c r="D808" s="11">
        <v>0.93058502423719758</v>
      </c>
    </row>
    <row r="809" spans="1:4" x14ac:dyDescent="0.2">
      <c r="A809" s="10" t="s">
        <v>808</v>
      </c>
      <c r="B809" s="12">
        <v>13.2</v>
      </c>
      <c r="C809" s="11">
        <v>0</v>
      </c>
      <c r="D809" s="11">
        <v>1.7819713230073999</v>
      </c>
    </row>
    <row r="810" spans="1:4" x14ac:dyDescent="0.2">
      <c r="A810" s="10" t="s">
        <v>809</v>
      </c>
      <c r="B810" s="12">
        <v>13.8</v>
      </c>
      <c r="C810" s="11">
        <v>0</v>
      </c>
      <c r="D810" s="11">
        <v>1.1879808820049331</v>
      </c>
    </row>
    <row r="811" spans="1:4" x14ac:dyDescent="0.2">
      <c r="A811" s="10" t="s">
        <v>810</v>
      </c>
      <c r="B811" s="12">
        <v>13.89</v>
      </c>
      <c r="C811" s="11">
        <v>0</v>
      </c>
      <c r="D811" s="11">
        <v>1.0988823158545633</v>
      </c>
    </row>
    <row r="812" spans="1:4" x14ac:dyDescent="0.2">
      <c r="A812" s="10" t="s">
        <v>811</v>
      </c>
      <c r="B812" s="12">
        <v>14.31</v>
      </c>
      <c r="C812" s="11">
        <v>0</v>
      </c>
      <c r="D812" s="11">
        <v>0.68308900715283649</v>
      </c>
    </row>
    <row r="813" spans="1:4" x14ac:dyDescent="0.2">
      <c r="A813" s="10" t="s">
        <v>812</v>
      </c>
      <c r="B813" s="12">
        <v>15.21</v>
      </c>
      <c r="C813" s="11">
        <v>0.2078966543508633</v>
      </c>
      <c r="D813" s="11">
        <v>0</v>
      </c>
    </row>
    <row r="814" spans="1:4" x14ac:dyDescent="0.2">
      <c r="A814" s="10" t="s">
        <v>813</v>
      </c>
      <c r="B814" s="12">
        <v>14.43</v>
      </c>
      <c r="C814" s="11">
        <v>0</v>
      </c>
      <c r="D814" s="11">
        <v>0.56429091895234318</v>
      </c>
    </row>
    <row r="815" spans="1:4" x14ac:dyDescent="0.2">
      <c r="A815" s="10" t="s">
        <v>814</v>
      </c>
      <c r="B815" s="12">
        <v>14.7</v>
      </c>
      <c r="C815" s="11">
        <v>0</v>
      </c>
      <c r="D815" s="11">
        <v>0.29699522050123328</v>
      </c>
    </row>
    <row r="816" spans="1:4" x14ac:dyDescent="0.2">
      <c r="A816" s="10" t="s">
        <v>815</v>
      </c>
      <c r="B816" s="12">
        <v>13.82</v>
      </c>
      <c r="C816" s="11">
        <v>0</v>
      </c>
      <c r="D816" s="11">
        <v>1.1681812006381842</v>
      </c>
    </row>
    <row r="817" spans="1:4" x14ac:dyDescent="0.2">
      <c r="A817" s="10" t="s">
        <v>816</v>
      </c>
      <c r="B817" s="12">
        <v>13.69</v>
      </c>
      <c r="C817" s="11">
        <v>0</v>
      </c>
      <c r="D817" s="11">
        <v>1.2968791295220521</v>
      </c>
    </row>
    <row r="818" spans="1:4" x14ac:dyDescent="0.2">
      <c r="A818" s="10" t="s">
        <v>817</v>
      </c>
      <c r="B818" s="12">
        <v>14.35</v>
      </c>
      <c r="C818" s="11">
        <v>0</v>
      </c>
      <c r="D818" s="11">
        <v>0.64348964441933887</v>
      </c>
    </row>
    <row r="819" spans="1:4" x14ac:dyDescent="0.2">
      <c r="A819" s="10" t="s">
        <v>818</v>
      </c>
      <c r="B819" s="12">
        <v>13.05</v>
      </c>
      <c r="C819" s="11">
        <v>0</v>
      </c>
      <c r="D819" s="11">
        <v>1.9304689332580165</v>
      </c>
    </row>
    <row r="820" spans="1:4" x14ac:dyDescent="0.2">
      <c r="A820" s="10" t="s">
        <v>819</v>
      </c>
      <c r="B820" s="12">
        <v>12.25</v>
      </c>
      <c r="C820" s="11">
        <v>0</v>
      </c>
      <c r="D820" s="11">
        <v>2.7224561879279721</v>
      </c>
    </row>
    <row r="821" spans="1:4" x14ac:dyDescent="0.2">
      <c r="A821" s="10" t="s">
        <v>820</v>
      </c>
      <c r="B821" s="12">
        <v>12.98</v>
      </c>
      <c r="C821" s="11">
        <v>0</v>
      </c>
      <c r="D821" s="11">
        <v>1.9997678180416376</v>
      </c>
    </row>
    <row r="822" spans="1:4" x14ac:dyDescent="0.2">
      <c r="A822" s="10" t="s">
        <v>821</v>
      </c>
      <c r="B822" s="12">
        <v>15.6</v>
      </c>
      <c r="C822" s="11">
        <v>0.59399044100246656</v>
      </c>
      <c r="D822" s="11">
        <v>0</v>
      </c>
    </row>
    <row r="823" spans="1:4" x14ac:dyDescent="0.2">
      <c r="A823" s="10" t="s">
        <v>822</v>
      </c>
      <c r="B823" s="12">
        <v>15.81</v>
      </c>
      <c r="C823" s="11">
        <v>0.80188709535333003</v>
      </c>
      <c r="D823" s="11">
        <v>0</v>
      </c>
    </row>
    <row r="824" spans="1:4" x14ac:dyDescent="0.2">
      <c r="A824" s="10" t="s">
        <v>823</v>
      </c>
      <c r="B824" s="12">
        <v>15.2</v>
      </c>
      <c r="C824" s="11">
        <v>0.19799681366748889</v>
      </c>
      <c r="D824" s="11">
        <v>0</v>
      </c>
    </row>
    <row r="825" spans="1:4" x14ac:dyDescent="0.2">
      <c r="A825" s="10" t="s">
        <v>824</v>
      </c>
      <c r="B825" s="12">
        <v>14.55</v>
      </c>
      <c r="C825" s="11">
        <v>0</v>
      </c>
      <c r="D825" s="11">
        <v>0.44549283075184998</v>
      </c>
    </row>
    <row r="826" spans="1:4" x14ac:dyDescent="0.2">
      <c r="A826" s="10" t="s">
        <v>825</v>
      </c>
      <c r="B826" s="12">
        <v>12.21</v>
      </c>
      <c r="C826" s="11">
        <v>0</v>
      </c>
      <c r="D826" s="11">
        <v>2.7620555506614699</v>
      </c>
    </row>
    <row r="827" spans="1:4" x14ac:dyDescent="0.2">
      <c r="A827" s="10" t="s">
        <v>826</v>
      </c>
      <c r="B827" s="12">
        <v>14.06</v>
      </c>
      <c r="C827" s="11">
        <v>0</v>
      </c>
      <c r="D827" s="11">
        <v>0.93058502423719758</v>
      </c>
    </row>
    <row r="828" spans="1:4" x14ac:dyDescent="0.2">
      <c r="A828" s="10" t="s">
        <v>827</v>
      </c>
      <c r="B828" s="12">
        <v>13.23</v>
      </c>
      <c r="C828" s="11">
        <v>0</v>
      </c>
      <c r="D828" s="11">
        <v>1.7522718009572764</v>
      </c>
    </row>
    <row r="829" spans="1:4" x14ac:dyDescent="0.2">
      <c r="A829" s="10" t="s">
        <v>828</v>
      </c>
      <c r="B829" s="12">
        <v>12.23</v>
      </c>
      <c r="C829" s="11">
        <v>0</v>
      </c>
      <c r="D829" s="11">
        <v>2.7422558692947208</v>
      </c>
    </row>
    <row r="830" spans="1:4" x14ac:dyDescent="0.2">
      <c r="A830" s="10" t="s">
        <v>829</v>
      </c>
      <c r="B830" s="12">
        <v>14.14</v>
      </c>
      <c r="C830" s="11">
        <v>0</v>
      </c>
      <c r="D830" s="11">
        <v>0.85138629877020211</v>
      </c>
    </row>
    <row r="831" spans="1:4" x14ac:dyDescent="0.2">
      <c r="A831" s="10" t="s">
        <v>830</v>
      </c>
      <c r="B831" s="12">
        <v>13.09</v>
      </c>
      <c r="C831" s="11">
        <v>0</v>
      </c>
      <c r="D831" s="11">
        <v>1.8908695705245187</v>
      </c>
    </row>
    <row r="832" spans="1:4" x14ac:dyDescent="0.2">
      <c r="A832" s="10" t="s">
        <v>831</v>
      </c>
      <c r="B832" s="12">
        <v>13.83</v>
      </c>
      <c r="C832" s="11">
        <v>0</v>
      </c>
      <c r="D832" s="11">
        <v>1.1582813599548099</v>
      </c>
    </row>
    <row r="833" spans="1:4" x14ac:dyDescent="0.2">
      <c r="A833" s="10" t="s">
        <v>832</v>
      </c>
      <c r="B833" s="12">
        <v>12.11</v>
      </c>
      <c r="C833" s="11">
        <v>0</v>
      </c>
      <c r="D833" s="11">
        <v>2.8610539574952143</v>
      </c>
    </row>
    <row r="834" spans="1:4" x14ac:dyDescent="0.2">
      <c r="A834" s="10" t="s">
        <v>833</v>
      </c>
      <c r="B834" s="12">
        <v>14.51</v>
      </c>
      <c r="C834" s="11">
        <v>0</v>
      </c>
      <c r="D834" s="11">
        <v>0.48509219348534771</v>
      </c>
    </row>
    <row r="835" spans="1:4" x14ac:dyDescent="0.2">
      <c r="A835" s="10" t="s">
        <v>834</v>
      </c>
      <c r="B835" s="12">
        <v>12.55</v>
      </c>
      <c r="C835" s="11">
        <v>0</v>
      </c>
      <c r="D835" s="11">
        <v>2.4254609674267389</v>
      </c>
    </row>
    <row r="836" spans="1:4" x14ac:dyDescent="0.2">
      <c r="A836" s="10" t="s">
        <v>835</v>
      </c>
      <c r="B836" s="12">
        <v>12.52</v>
      </c>
      <c r="C836" s="11">
        <v>0</v>
      </c>
      <c r="D836" s="11">
        <v>2.4551604894768619</v>
      </c>
    </row>
    <row r="837" spans="1:4" x14ac:dyDescent="0.2">
      <c r="A837" s="10" t="s">
        <v>836</v>
      </c>
      <c r="B837" s="12">
        <v>12.29</v>
      </c>
      <c r="C837" s="11">
        <v>0</v>
      </c>
      <c r="D837" s="11">
        <v>2.6828568251944742</v>
      </c>
    </row>
    <row r="838" spans="1:4" x14ac:dyDescent="0.2">
      <c r="A838" s="10" t="s">
        <v>837</v>
      </c>
      <c r="B838" s="12">
        <v>12.61</v>
      </c>
      <c r="C838" s="11">
        <v>0</v>
      </c>
      <c r="D838" s="11">
        <v>2.3660619233264919</v>
      </c>
    </row>
    <row r="839" spans="1:4" x14ac:dyDescent="0.2">
      <c r="A839" s="10" t="s">
        <v>838</v>
      </c>
      <c r="B839" s="12">
        <v>15.45</v>
      </c>
      <c r="C839" s="11">
        <v>0.44549283075184998</v>
      </c>
      <c r="D839" s="11">
        <v>0</v>
      </c>
    </row>
    <row r="840" spans="1:4" x14ac:dyDescent="0.2">
      <c r="A840" s="10" t="s">
        <v>839</v>
      </c>
      <c r="B840" s="12">
        <v>13.06</v>
      </c>
      <c r="C840" s="11">
        <v>0</v>
      </c>
      <c r="D840" s="11">
        <v>1.9205690925746419</v>
      </c>
    </row>
    <row r="841" spans="1:4" x14ac:dyDescent="0.2">
      <c r="A841" s="10" t="s">
        <v>840</v>
      </c>
      <c r="B841" s="12">
        <v>14.4</v>
      </c>
      <c r="C841" s="11">
        <v>0</v>
      </c>
      <c r="D841" s="11">
        <v>0.59399044100246656</v>
      </c>
    </row>
    <row r="842" spans="1:4" x14ac:dyDescent="0.2">
      <c r="A842" s="10" t="s">
        <v>841</v>
      </c>
      <c r="B842" s="12">
        <v>14.47</v>
      </c>
      <c r="C842" s="11">
        <v>0</v>
      </c>
      <c r="D842" s="11">
        <v>0.52469155621884556</v>
      </c>
    </row>
    <row r="843" spans="1:4" x14ac:dyDescent="0.2">
      <c r="A843" s="10" t="s">
        <v>842</v>
      </c>
      <c r="B843" s="12">
        <v>15.95</v>
      </c>
      <c r="C843" s="11">
        <v>0.94048486492057204</v>
      </c>
      <c r="D843" s="11">
        <v>0</v>
      </c>
    </row>
    <row r="844" spans="1:4" x14ac:dyDescent="0.2">
      <c r="A844" s="10" t="s">
        <v>843</v>
      </c>
      <c r="B844" s="12">
        <v>13.69</v>
      </c>
      <c r="C844" s="11">
        <v>0</v>
      </c>
      <c r="D844" s="11">
        <v>1.2968791295220521</v>
      </c>
    </row>
    <row r="845" spans="1:4" x14ac:dyDescent="0.2">
      <c r="A845" s="10" t="s">
        <v>844</v>
      </c>
      <c r="B845" s="12">
        <v>13.85</v>
      </c>
      <c r="C845" s="11">
        <v>0</v>
      </c>
      <c r="D845" s="11">
        <v>1.1384816785880609</v>
      </c>
    </row>
    <row r="846" spans="1:4" x14ac:dyDescent="0.2">
      <c r="A846" s="10" t="s">
        <v>845</v>
      </c>
      <c r="B846" s="12">
        <v>14.19</v>
      </c>
      <c r="C846" s="11">
        <v>0</v>
      </c>
      <c r="D846" s="11">
        <v>0.80188709535333003</v>
      </c>
    </row>
    <row r="847" spans="1:4" x14ac:dyDescent="0.2">
      <c r="A847" s="10" t="s">
        <v>846</v>
      </c>
      <c r="B847" s="12">
        <v>15</v>
      </c>
      <c r="C847" s="11">
        <v>0</v>
      </c>
      <c r="D847" s="11">
        <v>0</v>
      </c>
    </row>
    <row r="848" spans="1:4" x14ac:dyDescent="0.2">
      <c r="A848" s="10" t="s">
        <v>847</v>
      </c>
      <c r="B848" s="12">
        <v>12.81</v>
      </c>
      <c r="C848" s="11">
        <v>0</v>
      </c>
      <c r="D848" s="11">
        <v>2.1680651096590031</v>
      </c>
    </row>
    <row r="849" spans="1:4" x14ac:dyDescent="0.2">
      <c r="A849" s="10" t="s">
        <v>848</v>
      </c>
      <c r="B849" s="12">
        <v>13.8</v>
      </c>
      <c r="C849" s="11">
        <v>0</v>
      </c>
      <c r="D849" s="11">
        <v>1.1879808820049331</v>
      </c>
    </row>
    <row r="850" spans="1:4" x14ac:dyDescent="0.2">
      <c r="A850" s="10" t="s">
        <v>849</v>
      </c>
      <c r="B850" s="12">
        <v>14.7</v>
      </c>
      <c r="C850" s="11">
        <v>0</v>
      </c>
      <c r="D850" s="11">
        <v>0.29699522050123328</v>
      </c>
    </row>
    <row r="851" spans="1:4" x14ac:dyDescent="0.2">
      <c r="A851" s="10" t="s">
        <v>850</v>
      </c>
      <c r="B851" s="12">
        <v>13.59</v>
      </c>
      <c r="C851" s="11">
        <v>0</v>
      </c>
      <c r="D851" s="11">
        <v>1.3958775363557965</v>
      </c>
    </row>
    <row r="852" spans="1:4" x14ac:dyDescent="0.2">
      <c r="A852" s="10" t="s">
        <v>851</v>
      </c>
      <c r="B852" s="12">
        <v>15.21</v>
      </c>
      <c r="C852" s="11">
        <v>0.2078966543508633</v>
      </c>
      <c r="D852" s="11">
        <v>0</v>
      </c>
    </row>
    <row r="853" spans="1:4" x14ac:dyDescent="0.2">
      <c r="A853" s="10" t="s">
        <v>852</v>
      </c>
      <c r="B853" s="12">
        <v>15.13</v>
      </c>
      <c r="C853" s="11">
        <v>0.12869792888386777</v>
      </c>
      <c r="D853" s="11">
        <v>0</v>
      </c>
    </row>
    <row r="854" spans="1:4" x14ac:dyDescent="0.2">
      <c r="A854" s="10" t="s">
        <v>853</v>
      </c>
      <c r="B854" s="12">
        <v>12.37</v>
      </c>
      <c r="C854" s="11">
        <v>0</v>
      </c>
      <c r="D854" s="11">
        <v>2.6036580997274785</v>
      </c>
    </row>
    <row r="855" spans="1:4" x14ac:dyDescent="0.2">
      <c r="A855" s="10" t="s">
        <v>854</v>
      </c>
      <c r="B855" s="12">
        <v>15.9</v>
      </c>
      <c r="C855" s="11">
        <v>0.89098566150369995</v>
      </c>
      <c r="D855" s="11">
        <v>0</v>
      </c>
    </row>
    <row r="856" spans="1:4" x14ac:dyDescent="0.2">
      <c r="A856" s="10" t="s">
        <v>855</v>
      </c>
      <c r="B856" s="12">
        <v>14.16</v>
      </c>
      <c r="C856" s="11">
        <v>0</v>
      </c>
      <c r="D856" s="11">
        <v>0.83158661740345319</v>
      </c>
    </row>
    <row r="857" spans="1:4" x14ac:dyDescent="0.2">
      <c r="A857" s="10" t="s">
        <v>856</v>
      </c>
      <c r="B857" s="12">
        <v>14.31</v>
      </c>
      <c r="C857" s="11">
        <v>0</v>
      </c>
      <c r="D857" s="11">
        <v>0.68308900715283649</v>
      </c>
    </row>
    <row r="858" spans="1:4" x14ac:dyDescent="0.2">
      <c r="A858" s="10" t="s">
        <v>857</v>
      </c>
      <c r="B858" s="12">
        <v>13.65</v>
      </c>
      <c r="C858" s="11">
        <v>0</v>
      </c>
      <c r="D858" s="11">
        <v>1.3364784922555499</v>
      </c>
    </row>
    <row r="859" spans="1:4" x14ac:dyDescent="0.2">
      <c r="A859" s="10" t="s">
        <v>858</v>
      </c>
      <c r="B859" s="12">
        <v>14.31</v>
      </c>
      <c r="C859" s="11">
        <v>0</v>
      </c>
      <c r="D859" s="11">
        <v>0.68308900715283649</v>
      </c>
    </row>
    <row r="860" spans="1:4" x14ac:dyDescent="0.2">
      <c r="A860" s="10" t="s">
        <v>859</v>
      </c>
      <c r="B860" s="12">
        <v>15.26</v>
      </c>
      <c r="C860" s="11">
        <v>0.25739585776773555</v>
      </c>
      <c r="D860" s="11">
        <v>0</v>
      </c>
    </row>
    <row r="861" spans="1:4" x14ac:dyDescent="0.2">
      <c r="A861" s="10" t="s">
        <v>860</v>
      </c>
      <c r="B861" s="12">
        <v>15.24</v>
      </c>
      <c r="C861" s="11">
        <v>0.23759617640098663</v>
      </c>
      <c r="D861" s="11">
        <v>0</v>
      </c>
    </row>
    <row r="862" spans="1:4" x14ac:dyDescent="0.2">
      <c r="A862" s="10" t="s">
        <v>861</v>
      </c>
      <c r="B862" s="12">
        <v>13.55</v>
      </c>
      <c r="C862" s="11">
        <v>0</v>
      </c>
      <c r="D862" s="11">
        <v>1.4354768990892943</v>
      </c>
    </row>
    <row r="863" spans="1:4" x14ac:dyDescent="0.2">
      <c r="A863" s="10" t="s">
        <v>862</v>
      </c>
      <c r="B863" s="12">
        <v>14.63</v>
      </c>
      <c r="C863" s="11">
        <v>0</v>
      </c>
      <c r="D863" s="11">
        <v>0.3662941052848544</v>
      </c>
    </row>
    <row r="864" spans="1:4" x14ac:dyDescent="0.2">
      <c r="A864" s="10" t="s">
        <v>863</v>
      </c>
      <c r="B864" s="12">
        <v>13.39</v>
      </c>
      <c r="C864" s="11">
        <v>0</v>
      </c>
      <c r="D864" s="11">
        <v>1.5938743500232855</v>
      </c>
    </row>
    <row r="865" spans="1:4" x14ac:dyDescent="0.2">
      <c r="A865" s="10" t="s">
        <v>864</v>
      </c>
      <c r="B865" s="12">
        <v>12.44</v>
      </c>
      <c r="C865" s="11">
        <v>0</v>
      </c>
      <c r="D865" s="11">
        <v>2.5343592149438576</v>
      </c>
    </row>
    <row r="866" spans="1:4" x14ac:dyDescent="0.2">
      <c r="A866" s="10" t="s">
        <v>865</v>
      </c>
      <c r="B866" s="12">
        <v>13.27</v>
      </c>
      <c r="C866" s="11">
        <v>0</v>
      </c>
      <c r="D866" s="11">
        <v>1.7126724382237788</v>
      </c>
    </row>
    <row r="867" spans="1:4" x14ac:dyDescent="0.2">
      <c r="A867" s="10" t="s">
        <v>866</v>
      </c>
      <c r="B867" s="12">
        <v>15.92</v>
      </c>
      <c r="C867" s="11">
        <v>0.91078534287044888</v>
      </c>
      <c r="D867" s="11">
        <v>0</v>
      </c>
    </row>
    <row r="868" spans="1:4" x14ac:dyDescent="0.2">
      <c r="A868" s="10" t="s">
        <v>867</v>
      </c>
      <c r="B868" s="12">
        <v>14.76</v>
      </c>
      <c r="C868" s="11">
        <v>0</v>
      </c>
      <c r="D868" s="11">
        <v>0.23759617640098663</v>
      </c>
    </row>
    <row r="869" spans="1:4" x14ac:dyDescent="0.2">
      <c r="A869" s="10" t="s">
        <v>868</v>
      </c>
      <c r="B869" s="12">
        <v>15.13</v>
      </c>
      <c r="C869" s="11">
        <v>0.12869792888386777</v>
      </c>
      <c r="D869" s="11">
        <v>0</v>
      </c>
    </row>
    <row r="870" spans="1:4" x14ac:dyDescent="0.2">
      <c r="A870" s="10" t="s">
        <v>869</v>
      </c>
      <c r="B870" s="12">
        <v>13.1</v>
      </c>
      <c r="C870" s="11">
        <v>0</v>
      </c>
      <c r="D870" s="11">
        <v>1.8809697298411441</v>
      </c>
    </row>
    <row r="871" spans="1:4" x14ac:dyDescent="0.2">
      <c r="A871" s="10" t="s">
        <v>870</v>
      </c>
      <c r="B871" s="12">
        <v>12.88</v>
      </c>
      <c r="C871" s="11">
        <v>0</v>
      </c>
      <c r="D871" s="11">
        <v>2.0987662248753822</v>
      </c>
    </row>
    <row r="872" spans="1:4" x14ac:dyDescent="0.2">
      <c r="A872" s="10" t="s">
        <v>871</v>
      </c>
      <c r="B872" s="12">
        <v>13.68</v>
      </c>
      <c r="C872" s="11">
        <v>0</v>
      </c>
      <c r="D872" s="11">
        <v>1.3067789702054267</v>
      </c>
    </row>
    <row r="873" spans="1:4" x14ac:dyDescent="0.2">
      <c r="A873" s="10" t="s">
        <v>872</v>
      </c>
      <c r="B873" s="12">
        <v>12.37</v>
      </c>
      <c r="C873" s="11">
        <v>0</v>
      </c>
      <c r="D873" s="11">
        <v>2.6036580997274785</v>
      </c>
    </row>
    <row r="874" spans="1:4" x14ac:dyDescent="0.2">
      <c r="A874" s="10" t="s">
        <v>873</v>
      </c>
      <c r="B874" s="12">
        <v>15.33</v>
      </c>
      <c r="C874" s="11">
        <v>0.32669474255135666</v>
      </c>
      <c r="D874" s="11">
        <v>0</v>
      </c>
    </row>
    <row r="875" spans="1:4" x14ac:dyDescent="0.2">
      <c r="A875" s="10" t="s">
        <v>874</v>
      </c>
      <c r="B875" s="12">
        <v>15.16</v>
      </c>
      <c r="C875" s="11">
        <v>0.1583974509339911</v>
      </c>
      <c r="D875" s="11">
        <v>0</v>
      </c>
    </row>
    <row r="876" spans="1:4" x14ac:dyDescent="0.2">
      <c r="A876" s="10" t="s">
        <v>875</v>
      </c>
      <c r="B876" s="12">
        <v>15</v>
      </c>
      <c r="C876" s="11">
        <v>0</v>
      </c>
      <c r="D876" s="11">
        <v>0</v>
      </c>
    </row>
    <row r="877" spans="1:4" x14ac:dyDescent="0.2">
      <c r="A877" s="10" t="s">
        <v>876</v>
      </c>
      <c r="B877" s="12">
        <v>14.38</v>
      </c>
      <c r="C877" s="11">
        <v>0</v>
      </c>
      <c r="D877" s="11">
        <v>0.61379012236921549</v>
      </c>
    </row>
    <row r="878" spans="1:4" x14ac:dyDescent="0.2">
      <c r="A878" s="10" t="s">
        <v>877</v>
      </c>
      <c r="B878" s="12">
        <v>15.24</v>
      </c>
      <c r="C878" s="11">
        <v>0.23759617640098663</v>
      </c>
      <c r="D878" s="11">
        <v>0</v>
      </c>
    </row>
    <row r="879" spans="1:4" x14ac:dyDescent="0.2">
      <c r="A879" s="10" t="s">
        <v>878</v>
      </c>
      <c r="B879" s="12">
        <v>12.7</v>
      </c>
      <c r="C879" s="11">
        <v>0</v>
      </c>
      <c r="D879" s="11">
        <v>2.2769633571761219</v>
      </c>
    </row>
    <row r="880" spans="1:4" x14ac:dyDescent="0.2">
      <c r="A880" s="10" t="s">
        <v>879</v>
      </c>
      <c r="B880" s="12">
        <v>14.77</v>
      </c>
      <c r="C880" s="11">
        <v>0</v>
      </c>
      <c r="D880" s="11">
        <v>0.22769633571761222</v>
      </c>
    </row>
    <row r="881" spans="1:4" x14ac:dyDescent="0.2">
      <c r="A881" s="10" t="s">
        <v>880</v>
      </c>
      <c r="B881" s="12">
        <v>14.66</v>
      </c>
      <c r="C881" s="11">
        <v>0</v>
      </c>
      <c r="D881" s="11">
        <v>0.33659458323473113</v>
      </c>
    </row>
    <row r="882" spans="1:4" x14ac:dyDescent="0.2">
      <c r="A882" s="10" t="s">
        <v>881</v>
      </c>
      <c r="B882" s="12">
        <v>15.48</v>
      </c>
      <c r="C882" s="11">
        <v>0.47519235280197325</v>
      </c>
      <c r="D882" s="11">
        <v>0</v>
      </c>
    </row>
    <row r="883" spans="1:4" x14ac:dyDescent="0.2">
      <c r="A883" s="10" t="s">
        <v>882</v>
      </c>
      <c r="B883" s="12">
        <v>13.58</v>
      </c>
      <c r="C883" s="11">
        <v>0</v>
      </c>
      <c r="D883" s="11">
        <v>1.4057773770391708</v>
      </c>
    </row>
    <row r="884" spans="1:4" x14ac:dyDescent="0.2">
      <c r="A884" s="10" t="s">
        <v>883</v>
      </c>
      <c r="B884" s="12">
        <v>13.17</v>
      </c>
      <c r="C884" s="11">
        <v>0</v>
      </c>
      <c r="D884" s="11">
        <v>1.8116708450575232</v>
      </c>
    </row>
    <row r="885" spans="1:4" x14ac:dyDescent="0.2">
      <c r="A885" s="10" t="s">
        <v>884</v>
      </c>
      <c r="B885" s="12">
        <v>15.03</v>
      </c>
      <c r="C885" s="11">
        <v>2.9699522050123328E-2</v>
      </c>
      <c r="D885" s="11">
        <v>0</v>
      </c>
    </row>
    <row r="886" spans="1:4" x14ac:dyDescent="0.2">
      <c r="A886" s="10" t="s">
        <v>885</v>
      </c>
      <c r="B886" s="12">
        <v>13.53</v>
      </c>
      <c r="C886" s="11">
        <v>0</v>
      </c>
      <c r="D886" s="11">
        <v>1.4552765804560432</v>
      </c>
    </row>
    <row r="887" spans="1:4" x14ac:dyDescent="0.2">
      <c r="A887" s="10" t="s">
        <v>886</v>
      </c>
      <c r="B887" s="12">
        <v>15.35</v>
      </c>
      <c r="C887" s="11">
        <v>0.34649442391810548</v>
      </c>
      <c r="D887" s="11">
        <v>0</v>
      </c>
    </row>
    <row r="888" spans="1:4" x14ac:dyDescent="0.2">
      <c r="A888" s="10" t="s">
        <v>887</v>
      </c>
      <c r="B888" s="12">
        <v>14.07</v>
      </c>
      <c r="C888" s="11">
        <v>0</v>
      </c>
      <c r="D888" s="11">
        <v>0.92068518355382334</v>
      </c>
    </row>
    <row r="889" spans="1:4" x14ac:dyDescent="0.2">
      <c r="A889" s="10" t="s">
        <v>888</v>
      </c>
      <c r="B889" s="12">
        <v>14.25</v>
      </c>
      <c r="C889" s="11">
        <v>0</v>
      </c>
      <c r="D889" s="11">
        <v>0.74248805125308326</v>
      </c>
    </row>
    <row r="890" spans="1:4" x14ac:dyDescent="0.2">
      <c r="A890" s="10" t="s">
        <v>889</v>
      </c>
      <c r="B890" s="12">
        <v>12.51</v>
      </c>
      <c r="C890" s="11">
        <v>0</v>
      </c>
      <c r="D890" s="11">
        <v>2.4650603301602367</v>
      </c>
    </row>
    <row r="891" spans="1:4" x14ac:dyDescent="0.2">
      <c r="A891" s="10" t="s">
        <v>890</v>
      </c>
      <c r="B891" s="12">
        <v>12.29</v>
      </c>
      <c r="C891" s="11">
        <v>0</v>
      </c>
      <c r="D891" s="11">
        <v>2.6828568251944742</v>
      </c>
    </row>
    <row r="892" spans="1:4" x14ac:dyDescent="0.2">
      <c r="A892" s="10" t="s">
        <v>891</v>
      </c>
      <c r="B892" s="12">
        <v>14.64</v>
      </c>
      <c r="C892" s="11">
        <v>0</v>
      </c>
      <c r="D892" s="11">
        <v>0.35639426460147994</v>
      </c>
    </row>
    <row r="893" spans="1:4" x14ac:dyDescent="0.2">
      <c r="A893" s="10" t="s">
        <v>892</v>
      </c>
      <c r="B893" s="12">
        <v>12.57</v>
      </c>
      <c r="C893" s="11">
        <v>0</v>
      </c>
      <c r="D893" s="11">
        <v>2.4056612860599897</v>
      </c>
    </row>
    <row r="894" spans="1:4" x14ac:dyDescent="0.2">
      <c r="A894" s="10" t="s">
        <v>893</v>
      </c>
      <c r="B894" s="12">
        <v>14.36</v>
      </c>
      <c r="C894" s="11">
        <v>0</v>
      </c>
      <c r="D894" s="11">
        <v>0.63358980373596441</v>
      </c>
    </row>
    <row r="895" spans="1:4" x14ac:dyDescent="0.2">
      <c r="A895" s="10" t="s">
        <v>894</v>
      </c>
      <c r="B895" s="12">
        <v>14.22</v>
      </c>
      <c r="C895" s="11">
        <v>0</v>
      </c>
      <c r="D895" s="11">
        <v>0.77218757330320664</v>
      </c>
    </row>
    <row r="896" spans="1:4" x14ac:dyDescent="0.2">
      <c r="A896" s="10" t="s">
        <v>895</v>
      </c>
      <c r="B896" s="12">
        <v>13.39</v>
      </c>
      <c r="C896" s="11">
        <v>0</v>
      </c>
      <c r="D896" s="11">
        <v>1.5938743500232855</v>
      </c>
    </row>
    <row r="897" spans="1:4" x14ac:dyDescent="0.2">
      <c r="A897" s="10" t="s">
        <v>896</v>
      </c>
      <c r="B897" s="12">
        <v>13.73</v>
      </c>
      <c r="C897" s="11">
        <v>0</v>
      </c>
      <c r="D897" s="11">
        <v>1.2572797667885542</v>
      </c>
    </row>
    <row r="898" spans="1:4" x14ac:dyDescent="0.2">
      <c r="A898" s="10" t="s">
        <v>897</v>
      </c>
      <c r="B898" s="12">
        <v>13.11</v>
      </c>
      <c r="C898" s="11">
        <v>0</v>
      </c>
      <c r="D898" s="11">
        <v>1.8710698891577697</v>
      </c>
    </row>
    <row r="899" spans="1:4" x14ac:dyDescent="0.2">
      <c r="A899" s="10" t="s">
        <v>898</v>
      </c>
      <c r="B899" s="12">
        <v>14.77</v>
      </c>
      <c r="C899" s="11">
        <v>0</v>
      </c>
      <c r="D899" s="11">
        <v>0.22769633571761222</v>
      </c>
    </row>
    <row r="900" spans="1:4" x14ac:dyDescent="0.2">
      <c r="A900" s="10" t="s">
        <v>899</v>
      </c>
      <c r="B900" s="12">
        <v>15.84</v>
      </c>
      <c r="C900" s="11">
        <v>0.83158661740345319</v>
      </c>
      <c r="D900" s="11">
        <v>0</v>
      </c>
    </row>
    <row r="901" spans="1:4" x14ac:dyDescent="0.2">
      <c r="A901" s="10" t="s">
        <v>900</v>
      </c>
      <c r="B901" s="12">
        <v>14.23</v>
      </c>
      <c r="C901" s="11">
        <v>0</v>
      </c>
      <c r="D901" s="11">
        <v>0.76228773261983218</v>
      </c>
    </row>
    <row r="902" spans="1:4" x14ac:dyDescent="0.2">
      <c r="A902" s="10" t="s">
        <v>901</v>
      </c>
      <c r="B902" s="12">
        <v>14.15</v>
      </c>
      <c r="C902" s="11">
        <v>0</v>
      </c>
      <c r="D902" s="11">
        <v>0.84148645808682765</v>
      </c>
    </row>
    <row r="903" spans="1:4" x14ac:dyDescent="0.2">
      <c r="A903" s="10" t="s">
        <v>902</v>
      </c>
      <c r="B903" s="12">
        <v>16.09</v>
      </c>
      <c r="C903" s="11">
        <v>1.0790826344878144</v>
      </c>
      <c r="D903" s="11">
        <v>0</v>
      </c>
    </row>
    <row r="904" spans="1:4" x14ac:dyDescent="0.2">
      <c r="A904" s="10" t="s">
        <v>903</v>
      </c>
      <c r="B904" s="12">
        <v>13.91</v>
      </c>
      <c r="C904" s="11">
        <v>0</v>
      </c>
      <c r="D904" s="11">
        <v>1.0790826344878144</v>
      </c>
    </row>
    <row r="905" spans="1:4" x14ac:dyDescent="0.2">
      <c r="A905" s="10" t="s">
        <v>904</v>
      </c>
      <c r="B905" s="12">
        <v>15.86</v>
      </c>
      <c r="C905" s="11">
        <v>0.85138629877020211</v>
      </c>
      <c r="D905" s="11">
        <v>0</v>
      </c>
    </row>
    <row r="906" spans="1:4" x14ac:dyDescent="0.2">
      <c r="A906" s="10" t="s">
        <v>905</v>
      </c>
      <c r="B906" s="12">
        <v>12.6</v>
      </c>
      <c r="C906" s="11">
        <v>0</v>
      </c>
      <c r="D906" s="11">
        <v>2.3759617640098663</v>
      </c>
    </row>
    <row r="907" spans="1:4" x14ac:dyDescent="0.2">
      <c r="A907" s="10" t="s">
        <v>906</v>
      </c>
      <c r="B907" s="12">
        <v>13.17</v>
      </c>
      <c r="C907" s="11">
        <v>0</v>
      </c>
      <c r="D907" s="11">
        <v>1.8116708450575232</v>
      </c>
    </row>
    <row r="908" spans="1:4" x14ac:dyDescent="0.2">
      <c r="A908" s="10" t="s">
        <v>907</v>
      </c>
      <c r="B908" s="12">
        <v>12.76</v>
      </c>
      <c r="C908" s="11">
        <v>0</v>
      </c>
      <c r="D908" s="11">
        <v>2.2175643130758758</v>
      </c>
    </row>
    <row r="909" spans="1:4" x14ac:dyDescent="0.2">
      <c r="A909" s="10" t="s">
        <v>908</v>
      </c>
      <c r="B909" s="12">
        <v>13.39</v>
      </c>
      <c r="C909" s="11">
        <v>0</v>
      </c>
      <c r="D909" s="11">
        <v>1.5938743500232855</v>
      </c>
    </row>
    <row r="910" spans="1:4" x14ac:dyDescent="0.2">
      <c r="A910" s="10" t="s">
        <v>909</v>
      </c>
      <c r="B910" s="12">
        <v>13.4</v>
      </c>
      <c r="C910" s="11">
        <v>0</v>
      </c>
      <c r="D910" s="11">
        <v>1.5839745093399111</v>
      </c>
    </row>
    <row r="911" spans="1:4" x14ac:dyDescent="0.2">
      <c r="A911" s="10" t="s">
        <v>910</v>
      </c>
      <c r="B911" s="12">
        <v>12.9</v>
      </c>
      <c r="C911" s="11">
        <v>0</v>
      </c>
      <c r="D911" s="11">
        <v>2.0888663841920074</v>
      </c>
    </row>
    <row r="912" spans="1:4" x14ac:dyDescent="0.2">
      <c r="A912" s="10" t="s">
        <v>911</v>
      </c>
      <c r="B912" s="12">
        <v>12.15</v>
      </c>
      <c r="C912" s="11">
        <v>0</v>
      </c>
      <c r="D912" s="11">
        <v>2.8214545947617165</v>
      </c>
    </row>
    <row r="913" spans="1:4" x14ac:dyDescent="0.2">
      <c r="A913" s="10" t="s">
        <v>912</v>
      </c>
      <c r="B913" s="12">
        <v>13.75</v>
      </c>
      <c r="C913" s="11">
        <v>0</v>
      </c>
      <c r="D913" s="11">
        <v>1.2374800854218053</v>
      </c>
    </row>
    <row r="914" spans="1:4" x14ac:dyDescent="0.2">
      <c r="A914" s="10" t="s">
        <v>913</v>
      </c>
      <c r="B914" s="12">
        <v>16.329999999999998</v>
      </c>
      <c r="C914" s="11">
        <v>1.316678810888801</v>
      </c>
      <c r="D914" s="11">
        <v>0</v>
      </c>
    </row>
    <row r="915" spans="1:4" x14ac:dyDescent="0.2">
      <c r="A915" s="10" t="s">
        <v>914</v>
      </c>
      <c r="B915" s="12">
        <v>15.08</v>
      </c>
      <c r="C915" s="11">
        <v>7.9198725466995551E-2</v>
      </c>
      <c r="D915" s="11">
        <v>0</v>
      </c>
    </row>
    <row r="916" spans="1:4" x14ac:dyDescent="0.2">
      <c r="A916" s="10" t="s">
        <v>915</v>
      </c>
      <c r="B916" s="12">
        <v>12.56</v>
      </c>
      <c r="C916" s="11">
        <v>0</v>
      </c>
      <c r="D916" s="11">
        <v>2.4155611267433641</v>
      </c>
    </row>
    <row r="917" spans="1:4" x14ac:dyDescent="0.2">
      <c r="A917" s="10" t="s">
        <v>916</v>
      </c>
      <c r="B917" s="12">
        <v>14.19</v>
      </c>
      <c r="C917" s="11">
        <v>0</v>
      </c>
      <c r="D917" s="11">
        <v>0.80188709535333003</v>
      </c>
    </row>
    <row r="918" spans="1:4" x14ac:dyDescent="0.2">
      <c r="A918" s="10" t="s">
        <v>917</v>
      </c>
      <c r="B918" s="12">
        <v>14.84</v>
      </c>
      <c r="C918" s="11">
        <v>0</v>
      </c>
      <c r="D918" s="11">
        <v>0.1583974509339911</v>
      </c>
    </row>
    <row r="919" spans="1:4" x14ac:dyDescent="0.2">
      <c r="A919" s="10" t="s">
        <v>918</v>
      </c>
      <c r="B919" s="12">
        <v>14.99</v>
      </c>
      <c r="C919" s="11">
        <v>0</v>
      </c>
      <c r="D919" s="11">
        <v>9.8998406833744439E-3</v>
      </c>
    </row>
    <row r="920" spans="1:4" x14ac:dyDescent="0.2">
      <c r="A920" s="10" t="s">
        <v>919</v>
      </c>
      <c r="B920" s="12">
        <v>11.92</v>
      </c>
      <c r="C920" s="11">
        <v>0</v>
      </c>
      <c r="D920" s="11">
        <v>3.0491509304793287</v>
      </c>
    </row>
    <row r="921" spans="1:4" x14ac:dyDescent="0.2">
      <c r="A921" s="10" t="s">
        <v>920</v>
      </c>
      <c r="B921" s="12">
        <v>12.25</v>
      </c>
      <c r="C921" s="11">
        <v>0</v>
      </c>
      <c r="D921" s="11">
        <v>2.7224561879279721</v>
      </c>
    </row>
    <row r="922" spans="1:4" x14ac:dyDescent="0.2">
      <c r="A922" s="10" t="s">
        <v>921</v>
      </c>
      <c r="B922" s="12">
        <v>14.3</v>
      </c>
      <c r="C922" s="11">
        <v>0</v>
      </c>
      <c r="D922" s="11">
        <v>0.69298884783621095</v>
      </c>
    </row>
    <row r="923" spans="1:4" x14ac:dyDescent="0.2">
      <c r="A923" s="10" t="s">
        <v>922</v>
      </c>
      <c r="B923" s="12">
        <v>15.01</v>
      </c>
      <c r="C923" s="11">
        <v>9.8998406833744439E-3</v>
      </c>
      <c r="D923" s="11">
        <v>0</v>
      </c>
    </row>
    <row r="924" spans="1:4" x14ac:dyDescent="0.2">
      <c r="A924" s="10" t="s">
        <v>923</v>
      </c>
      <c r="B924" s="12">
        <v>14.89</v>
      </c>
      <c r="C924" s="11">
        <v>0</v>
      </c>
      <c r="D924" s="11">
        <v>0.10889824751711888</v>
      </c>
    </row>
    <row r="925" spans="1:4" x14ac:dyDescent="0.2">
      <c r="A925" s="10" t="s">
        <v>924</v>
      </c>
      <c r="B925" s="12">
        <v>15.05</v>
      </c>
      <c r="C925" s="11">
        <v>4.9499203416872223E-2</v>
      </c>
      <c r="D925" s="11">
        <v>0</v>
      </c>
    </row>
    <row r="926" spans="1:4" x14ac:dyDescent="0.2">
      <c r="A926" s="10" t="s">
        <v>925</v>
      </c>
      <c r="B926" s="12">
        <v>15.29</v>
      </c>
      <c r="C926" s="11">
        <v>0.28709537981785882</v>
      </c>
      <c r="D926" s="11">
        <v>0</v>
      </c>
    </row>
    <row r="927" spans="1:4" x14ac:dyDescent="0.2">
      <c r="A927" s="10" t="s">
        <v>926</v>
      </c>
      <c r="B927" s="12">
        <v>15.52</v>
      </c>
      <c r="C927" s="11">
        <v>0.51479171553547109</v>
      </c>
      <c r="D927" s="11">
        <v>0</v>
      </c>
    </row>
    <row r="928" spans="1:4" x14ac:dyDescent="0.2">
      <c r="A928" s="10" t="s">
        <v>927</v>
      </c>
      <c r="B928" s="12">
        <v>15.75</v>
      </c>
      <c r="C928" s="11">
        <v>0.74248805125308326</v>
      </c>
      <c r="D928" s="11">
        <v>0</v>
      </c>
    </row>
    <row r="929" spans="1:4" x14ac:dyDescent="0.2">
      <c r="A929" s="10" t="s">
        <v>928</v>
      </c>
      <c r="B929" s="12">
        <v>13.94</v>
      </c>
      <c r="C929" s="11">
        <v>0</v>
      </c>
      <c r="D929" s="11">
        <v>1.0493831124376911</v>
      </c>
    </row>
    <row r="930" spans="1:4" x14ac:dyDescent="0.2">
      <c r="A930" s="10" t="s">
        <v>929</v>
      </c>
      <c r="B930" s="12">
        <v>11.86</v>
      </c>
      <c r="C930" s="11">
        <v>0</v>
      </c>
      <c r="D930" s="11">
        <v>3.1085499745795753</v>
      </c>
    </row>
    <row r="931" spans="1:4" x14ac:dyDescent="0.2">
      <c r="A931" s="10" t="s">
        <v>930</v>
      </c>
      <c r="B931" s="12">
        <v>17.7</v>
      </c>
      <c r="C931" s="11">
        <v>2.6729569845110999</v>
      </c>
      <c r="D931" s="11">
        <v>0</v>
      </c>
    </row>
    <row r="932" spans="1:4" x14ac:dyDescent="0.2">
      <c r="A932" s="10" t="s">
        <v>931</v>
      </c>
      <c r="B932" s="12">
        <v>14.12</v>
      </c>
      <c r="C932" s="11">
        <v>0</v>
      </c>
      <c r="D932" s="11">
        <v>0.87118598013695103</v>
      </c>
    </row>
    <row r="933" spans="1:4" x14ac:dyDescent="0.2">
      <c r="A933" s="10" t="s">
        <v>932</v>
      </c>
      <c r="B933" s="12">
        <v>14</v>
      </c>
      <c r="C933" s="11">
        <v>0</v>
      </c>
      <c r="D933" s="11">
        <v>0.98998406833744435</v>
      </c>
    </row>
    <row r="934" spans="1:4" x14ac:dyDescent="0.2">
      <c r="A934" s="10" t="s">
        <v>933</v>
      </c>
      <c r="B934" s="12">
        <v>15.96</v>
      </c>
      <c r="C934" s="11">
        <v>0.9503847056039465</v>
      </c>
      <c r="D934" s="11">
        <v>0</v>
      </c>
    </row>
    <row r="935" spans="1:4" x14ac:dyDescent="0.2">
      <c r="A935" s="10" t="s">
        <v>934</v>
      </c>
      <c r="B935" s="12">
        <v>14.72</v>
      </c>
      <c r="C935" s="11">
        <v>0</v>
      </c>
      <c r="D935" s="11">
        <v>0.27719553913448447</v>
      </c>
    </row>
    <row r="936" spans="1:4" x14ac:dyDescent="0.2">
      <c r="A936" s="10" t="s">
        <v>935</v>
      </c>
      <c r="B936" s="12">
        <v>12.32</v>
      </c>
      <c r="C936" s="11">
        <v>0</v>
      </c>
      <c r="D936" s="11">
        <v>2.6531573031443512</v>
      </c>
    </row>
    <row r="937" spans="1:4" x14ac:dyDescent="0.2">
      <c r="A937" s="10" t="s">
        <v>936</v>
      </c>
      <c r="B937" s="12">
        <v>14.06</v>
      </c>
      <c r="C937" s="11">
        <v>0</v>
      </c>
      <c r="D937" s="11">
        <v>0.93058502423719758</v>
      </c>
    </row>
    <row r="938" spans="1:4" x14ac:dyDescent="0.2">
      <c r="A938" s="10" t="s">
        <v>937</v>
      </c>
      <c r="B938" s="12">
        <v>16.02</v>
      </c>
      <c r="C938" s="11">
        <v>1.0097837497041933</v>
      </c>
      <c r="D938" s="11">
        <v>0</v>
      </c>
    </row>
    <row r="939" spans="1:4" x14ac:dyDescent="0.2">
      <c r="A939" s="10" t="s">
        <v>938</v>
      </c>
      <c r="B939" s="12">
        <v>13.59</v>
      </c>
      <c r="C939" s="11">
        <v>0</v>
      </c>
      <c r="D939" s="11">
        <v>1.3958775363557965</v>
      </c>
    </row>
    <row r="940" spans="1:4" x14ac:dyDescent="0.2">
      <c r="A940" s="10" t="s">
        <v>939</v>
      </c>
      <c r="B940" s="12">
        <v>15.44</v>
      </c>
      <c r="C940" s="11">
        <v>0.43559299006847552</v>
      </c>
      <c r="D940" s="11">
        <v>0</v>
      </c>
    </row>
    <row r="941" spans="1:4" x14ac:dyDescent="0.2">
      <c r="A941" s="10" t="s">
        <v>940</v>
      </c>
      <c r="B941" s="12">
        <v>13.5</v>
      </c>
      <c r="C941" s="11">
        <v>0</v>
      </c>
      <c r="D941" s="11">
        <v>1.4849761025061665</v>
      </c>
    </row>
    <row r="942" spans="1:4" x14ac:dyDescent="0.2">
      <c r="A942" s="10" t="s">
        <v>941</v>
      </c>
      <c r="B942" s="12">
        <v>14.14</v>
      </c>
      <c r="C942" s="11">
        <v>0</v>
      </c>
      <c r="D942" s="11">
        <v>0.85138629877020211</v>
      </c>
    </row>
    <row r="943" spans="1:4" x14ac:dyDescent="0.2">
      <c r="A943" s="10" t="s">
        <v>942</v>
      </c>
      <c r="B943" s="12">
        <v>15.45</v>
      </c>
      <c r="C943" s="11">
        <v>0.44549283075184998</v>
      </c>
      <c r="D943" s="11">
        <v>0</v>
      </c>
    </row>
    <row r="944" spans="1:4" x14ac:dyDescent="0.2">
      <c r="A944" s="10" t="s">
        <v>943</v>
      </c>
      <c r="B944" s="12">
        <v>12.9</v>
      </c>
      <c r="C944" s="11">
        <v>0</v>
      </c>
      <c r="D944" s="11">
        <v>2.0789665435086331</v>
      </c>
    </row>
    <row r="945" spans="1:4" x14ac:dyDescent="0.2">
      <c r="A945" s="10" t="s">
        <v>944</v>
      </c>
      <c r="B945" s="12">
        <v>13.18</v>
      </c>
      <c r="C945" s="11">
        <v>0</v>
      </c>
      <c r="D945" s="11">
        <v>1.8017710043741488</v>
      </c>
    </row>
    <row r="946" spans="1:4" x14ac:dyDescent="0.2">
      <c r="A946" s="10" t="s">
        <v>945</v>
      </c>
      <c r="B946" s="12">
        <v>15.47</v>
      </c>
      <c r="C946" s="11">
        <v>0.46529251211859879</v>
      </c>
      <c r="D946" s="11">
        <v>0</v>
      </c>
    </row>
    <row r="947" spans="1:4" x14ac:dyDescent="0.2">
      <c r="A947" s="10" t="s">
        <v>946</v>
      </c>
      <c r="B947" s="12">
        <v>16.3</v>
      </c>
      <c r="C947" s="11">
        <v>1.2869792888386777</v>
      </c>
      <c r="D947" s="11">
        <v>0</v>
      </c>
    </row>
    <row r="948" spans="1:4" x14ac:dyDescent="0.2">
      <c r="A948" s="10" t="s">
        <v>947</v>
      </c>
      <c r="B948" s="12">
        <v>11.28</v>
      </c>
      <c r="C948" s="11">
        <v>0</v>
      </c>
      <c r="D948" s="11">
        <v>3.6827407342152934</v>
      </c>
    </row>
    <row r="949" spans="1:4" x14ac:dyDescent="0.2">
      <c r="A949" s="10" t="s">
        <v>948</v>
      </c>
      <c r="B949" s="12">
        <v>12.49</v>
      </c>
      <c r="C949" s="11">
        <v>0</v>
      </c>
      <c r="D949" s="11">
        <v>2.484860011526985</v>
      </c>
    </row>
    <row r="950" spans="1:4" x14ac:dyDescent="0.2">
      <c r="A950" s="10" t="s">
        <v>949</v>
      </c>
      <c r="B950" s="12">
        <v>13.86</v>
      </c>
      <c r="C950" s="11">
        <v>0</v>
      </c>
      <c r="D950" s="11">
        <v>1.1285818379046864</v>
      </c>
    </row>
    <row r="951" spans="1:4" x14ac:dyDescent="0.2">
      <c r="A951" s="10" t="s">
        <v>950</v>
      </c>
      <c r="B951" s="12">
        <v>13.67</v>
      </c>
      <c r="C951" s="11">
        <v>0</v>
      </c>
      <c r="D951" s="11">
        <v>1.316678810888801</v>
      </c>
    </row>
    <row r="952" spans="1:4" x14ac:dyDescent="0.2">
      <c r="A952" s="10" t="s">
        <v>951</v>
      </c>
      <c r="B952" s="12">
        <v>12.85</v>
      </c>
      <c r="C952" s="11">
        <v>0</v>
      </c>
      <c r="D952" s="11">
        <v>2.1284657469255053</v>
      </c>
    </row>
    <row r="953" spans="1:4" x14ac:dyDescent="0.2">
      <c r="A953" s="10" t="s">
        <v>952</v>
      </c>
      <c r="B953" s="12">
        <v>13.8</v>
      </c>
      <c r="C953" s="11">
        <v>0</v>
      </c>
      <c r="D953" s="11">
        <v>1.1879808820049331</v>
      </c>
    </row>
    <row r="954" spans="1:4" x14ac:dyDescent="0.2">
      <c r="A954" s="10" t="s">
        <v>953</v>
      </c>
      <c r="B954" s="12">
        <v>14.41</v>
      </c>
      <c r="C954" s="11">
        <v>0</v>
      </c>
      <c r="D954" s="11">
        <v>0.5840906003190921</v>
      </c>
    </row>
    <row r="955" spans="1:4" x14ac:dyDescent="0.2">
      <c r="A955" s="10" t="s">
        <v>954</v>
      </c>
      <c r="B955" s="12">
        <v>15.17</v>
      </c>
      <c r="C955" s="11">
        <v>0.16829729161736556</v>
      </c>
      <c r="D955" s="11">
        <v>0</v>
      </c>
    </row>
    <row r="956" spans="1:4" x14ac:dyDescent="0.2">
      <c r="A956" s="10" t="s">
        <v>955</v>
      </c>
      <c r="B956" s="12">
        <v>15.14</v>
      </c>
      <c r="C956" s="11">
        <v>0.13859776956724223</v>
      </c>
      <c r="D956" s="11">
        <v>0</v>
      </c>
    </row>
    <row r="957" spans="1:4" x14ac:dyDescent="0.2">
      <c r="A957" s="10" t="s">
        <v>956</v>
      </c>
      <c r="B957" s="12">
        <v>12.56</v>
      </c>
      <c r="C957" s="11">
        <v>0</v>
      </c>
      <c r="D957" s="11">
        <v>2.4155611267433641</v>
      </c>
    </row>
    <row r="958" spans="1:4" x14ac:dyDescent="0.2">
      <c r="A958" s="10" t="s">
        <v>957</v>
      </c>
      <c r="B958" s="12">
        <v>14.57</v>
      </c>
      <c r="C958" s="11">
        <v>0</v>
      </c>
      <c r="D958" s="11">
        <v>0.42569314938510106</v>
      </c>
    </row>
    <row r="959" spans="1:4" x14ac:dyDescent="0.2">
      <c r="A959" s="10" t="s">
        <v>958</v>
      </c>
      <c r="B959" s="12">
        <v>15.17</v>
      </c>
      <c r="C959" s="11">
        <v>0.16829729161736556</v>
      </c>
      <c r="D959" s="11">
        <v>0</v>
      </c>
    </row>
    <row r="960" spans="1:4" x14ac:dyDescent="0.2">
      <c r="A960" s="10" t="s">
        <v>959</v>
      </c>
      <c r="B960" s="12">
        <v>15.2</v>
      </c>
      <c r="C960" s="11">
        <v>0.19799681366748889</v>
      </c>
      <c r="D960" s="11">
        <v>0</v>
      </c>
    </row>
    <row r="961" spans="1:4" x14ac:dyDescent="0.2">
      <c r="A961" s="10" t="s">
        <v>960</v>
      </c>
      <c r="B961" s="12">
        <v>12.63</v>
      </c>
      <c r="C961" s="11">
        <v>0</v>
      </c>
      <c r="D961" s="11">
        <v>2.3462622419597432</v>
      </c>
    </row>
    <row r="962" spans="1:4" x14ac:dyDescent="0.2">
      <c r="A962" s="10" t="s">
        <v>961</v>
      </c>
      <c r="B962" s="12">
        <v>14.89</v>
      </c>
      <c r="C962" s="11">
        <v>0</v>
      </c>
      <c r="D962" s="11">
        <v>0.10889824751711888</v>
      </c>
    </row>
    <row r="963" spans="1:4" x14ac:dyDescent="0.2">
      <c r="A963" s="10" t="s">
        <v>962</v>
      </c>
      <c r="B963" s="12">
        <v>13.54</v>
      </c>
      <c r="C963" s="11">
        <v>0</v>
      </c>
      <c r="D963" s="11">
        <v>1.4453767397726687</v>
      </c>
    </row>
    <row r="964" spans="1:4" x14ac:dyDescent="0.2">
      <c r="A964" s="10" t="s">
        <v>963</v>
      </c>
      <c r="B964" s="12">
        <v>12.94</v>
      </c>
      <c r="C964" s="11">
        <v>0</v>
      </c>
      <c r="D964" s="11">
        <v>2.0393671807751352</v>
      </c>
    </row>
    <row r="965" spans="1:4" x14ac:dyDescent="0.2">
      <c r="A965" s="10" t="s">
        <v>964</v>
      </c>
      <c r="B965" s="12">
        <v>15.47</v>
      </c>
      <c r="C965" s="11">
        <v>0.46529251211859879</v>
      </c>
      <c r="D965" s="11">
        <v>0</v>
      </c>
    </row>
    <row r="966" spans="1:4" x14ac:dyDescent="0.2">
      <c r="A966" s="10" t="s">
        <v>965</v>
      </c>
      <c r="B966" s="12">
        <v>12.51</v>
      </c>
      <c r="C966" s="11">
        <v>0</v>
      </c>
      <c r="D966" s="11">
        <v>2.4650603301602367</v>
      </c>
    </row>
    <row r="967" spans="1:4" x14ac:dyDescent="0.2">
      <c r="A967" s="10" t="s">
        <v>966</v>
      </c>
      <c r="B967" s="12">
        <v>13.54</v>
      </c>
      <c r="C967" s="11">
        <v>0</v>
      </c>
      <c r="D967" s="11">
        <v>1.4453767397726687</v>
      </c>
    </row>
    <row r="968" spans="1:4" x14ac:dyDescent="0.2">
      <c r="A968" s="10" t="s">
        <v>967</v>
      </c>
      <c r="B968" s="12">
        <v>14.13</v>
      </c>
      <c r="C968" s="11">
        <v>0</v>
      </c>
      <c r="D968" s="11">
        <v>0.86128613945357657</v>
      </c>
    </row>
    <row r="969" spans="1:4" x14ac:dyDescent="0.2">
      <c r="A969" s="10" t="s">
        <v>968</v>
      </c>
      <c r="B969" s="12">
        <v>13.73</v>
      </c>
      <c r="C969" s="11">
        <v>0</v>
      </c>
      <c r="D969" s="11">
        <v>1.2572797667885542</v>
      </c>
    </row>
    <row r="970" spans="1:4" x14ac:dyDescent="0.2">
      <c r="A970" s="10" t="s">
        <v>969</v>
      </c>
      <c r="B970" s="12">
        <v>13.83</v>
      </c>
      <c r="C970" s="11">
        <v>0</v>
      </c>
      <c r="D970" s="11">
        <v>1.1582813599548099</v>
      </c>
    </row>
    <row r="971" spans="1:4" x14ac:dyDescent="0.2">
      <c r="A971" s="10" t="s">
        <v>970</v>
      </c>
      <c r="B971" s="12">
        <v>15.02</v>
      </c>
      <c r="C971" s="11">
        <v>1.9799681366748888E-2</v>
      </c>
      <c r="D971" s="11">
        <v>0</v>
      </c>
    </row>
    <row r="972" spans="1:4" x14ac:dyDescent="0.2">
      <c r="A972" s="10" t="s">
        <v>971</v>
      </c>
      <c r="B972" s="12">
        <v>15.36</v>
      </c>
      <c r="C972" s="11">
        <v>0.35639426460147994</v>
      </c>
      <c r="D972" s="11">
        <v>0</v>
      </c>
    </row>
    <row r="973" spans="1:4" x14ac:dyDescent="0.2">
      <c r="A973" s="10" t="s">
        <v>972</v>
      </c>
      <c r="B973" s="12">
        <v>13.79</v>
      </c>
      <c r="C973" s="11">
        <v>0</v>
      </c>
      <c r="D973" s="11">
        <v>1.1978807226883077</v>
      </c>
    </row>
    <row r="974" spans="1:4" x14ac:dyDescent="0.2">
      <c r="A974" s="10" t="s">
        <v>973</v>
      </c>
      <c r="B974" s="12">
        <v>14.63</v>
      </c>
      <c r="C974" s="11">
        <v>0</v>
      </c>
      <c r="D974" s="11">
        <v>0.3662941052848544</v>
      </c>
    </row>
    <row r="975" spans="1:4" x14ac:dyDescent="0.2">
      <c r="A975" s="10" t="s">
        <v>974</v>
      </c>
      <c r="B975" s="12">
        <v>12.7</v>
      </c>
      <c r="C975" s="11">
        <v>0</v>
      </c>
      <c r="D975" s="11">
        <v>2.2769633571761219</v>
      </c>
    </row>
    <row r="976" spans="1:4" x14ac:dyDescent="0.2">
      <c r="A976" s="10" t="s">
        <v>975</v>
      </c>
      <c r="B976" s="12">
        <v>14.12</v>
      </c>
      <c r="C976" s="11">
        <v>0</v>
      </c>
      <c r="D976" s="11">
        <v>0.87118598013695103</v>
      </c>
    </row>
    <row r="977" spans="1:4" x14ac:dyDescent="0.2">
      <c r="A977" s="10" t="s">
        <v>976</v>
      </c>
      <c r="B977" s="12">
        <v>16.260000000000002</v>
      </c>
      <c r="C977" s="11">
        <v>1.2473799261051799</v>
      </c>
      <c r="D977" s="11">
        <v>0</v>
      </c>
    </row>
    <row r="978" spans="1:4" x14ac:dyDescent="0.2">
      <c r="A978" s="10" t="s">
        <v>977</v>
      </c>
      <c r="B978" s="12">
        <v>13.3</v>
      </c>
      <c r="C978" s="11">
        <v>0</v>
      </c>
      <c r="D978" s="11">
        <v>1.6829729161736553</v>
      </c>
    </row>
    <row r="979" spans="1:4" x14ac:dyDescent="0.2">
      <c r="A979" s="10" t="s">
        <v>978</v>
      </c>
      <c r="B979" s="12">
        <v>14.4</v>
      </c>
      <c r="C979" s="11">
        <v>0</v>
      </c>
      <c r="D979" s="11">
        <v>0.59399044100246656</v>
      </c>
    </row>
    <row r="980" spans="1:4" x14ac:dyDescent="0.2">
      <c r="A980" s="10" t="s">
        <v>979</v>
      </c>
      <c r="B980" s="12">
        <v>14.26</v>
      </c>
      <c r="C980" s="11">
        <v>0</v>
      </c>
      <c r="D980" s="11">
        <v>0.7325882105697088</v>
      </c>
    </row>
    <row r="981" spans="1:4" x14ac:dyDescent="0.2">
      <c r="A981" s="10" t="s">
        <v>980</v>
      </c>
      <c r="B981" s="12">
        <v>12.97</v>
      </c>
      <c r="C981" s="11">
        <v>0</v>
      </c>
      <c r="D981" s="11">
        <v>2.0096676587250117</v>
      </c>
    </row>
    <row r="982" spans="1:4" x14ac:dyDescent="0.2">
      <c r="A982" s="10" t="s">
        <v>981</v>
      </c>
      <c r="B982" s="12">
        <v>15.27</v>
      </c>
      <c r="C982" s="11">
        <v>0.26729569845111001</v>
      </c>
      <c r="D982" s="11">
        <v>0</v>
      </c>
    </row>
    <row r="983" spans="1:4" x14ac:dyDescent="0.2">
      <c r="A983" s="10" t="s">
        <v>982</v>
      </c>
      <c r="B983" s="12">
        <v>12.57</v>
      </c>
      <c r="C983" s="11">
        <v>0</v>
      </c>
      <c r="D983" s="11">
        <v>2.4056612860599897</v>
      </c>
    </row>
    <row r="984" spans="1:4" x14ac:dyDescent="0.2">
      <c r="A984" s="10" t="s">
        <v>983</v>
      </c>
      <c r="B984" s="12">
        <v>12.98</v>
      </c>
      <c r="C984" s="11">
        <v>0</v>
      </c>
      <c r="D984" s="11">
        <v>2.0096676587250117</v>
      </c>
    </row>
    <row r="985" spans="1:4" x14ac:dyDescent="0.2">
      <c r="A985" s="10" t="s">
        <v>984</v>
      </c>
      <c r="B985" s="12">
        <v>13.25</v>
      </c>
      <c r="C985" s="11">
        <v>0</v>
      </c>
      <c r="D985" s="11">
        <v>1.7324721195905277</v>
      </c>
    </row>
    <row r="986" spans="1:4" x14ac:dyDescent="0.2">
      <c r="A986" s="10" t="s">
        <v>985</v>
      </c>
      <c r="B986" s="12">
        <v>12.26</v>
      </c>
      <c r="C986" s="11">
        <v>0</v>
      </c>
      <c r="D986" s="11">
        <v>2.7125563472445977</v>
      </c>
    </row>
    <row r="987" spans="1:4" x14ac:dyDescent="0.2">
      <c r="A987" s="10" t="s">
        <v>986</v>
      </c>
      <c r="B987" s="12">
        <v>13.73</v>
      </c>
      <c r="C987" s="11">
        <v>0</v>
      </c>
      <c r="D987" s="11">
        <v>1.2572797667885542</v>
      </c>
    </row>
    <row r="988" spans="1:4" x14ac:dyDescent="0.2">
      <c r="A988" s="10" t="s">
        <v>987</v>
      </c>
      <c r="B988" s="12">
        <v>14.71</v>
      </c>
      <c r="C988" s="11">
        <v>0</v>
      </c>
      <c r="D988" s="11">
        <v>0.28709537981785882</v>
      </c>
    </row>
    <row r="989" spans="1:4" x14ac:dyDescent="0.2">
      <c r="A989" s="10" t="s">
        <v>988</v>
      </c>
      <c r="B989" s="12">
        <v>12.99</v>
      </c>
      <c r="C989" s="11">
        <v>0</v>
      </c>
      <c r="D989" s="11">
        <v>1.9898679773582628</v>
      </c>
    </row>
    <row r="990" spans="1:4" x14ac:dyDescent="0.2">
      <c r="A990" s="10" t="s">
        <v>989</v>
      </c>
      <c r="B990" s="12">
        <v>11.99</v>
      </c>
      <c r="C990" s="11">
        <v>0</v>
      </c>
      <c r="D990" s="11">
        <v>2.9798520456957074</v>
      </c>
    </row>
    <row r="991" spans="1:4" x14ac:dyDescent="0.2">
      <c r="A991" s="10" t="s">
        <v>990</v>
      </c>
      <c r="B991" s="12">
        <v>12.41</v>
      </c>
      <c r="C991" s="11">
        <v>0</v>
      </c>
      <c r="D991" s="11">
        <v>2.5640587369939807</v>
      </c>
    </row>
    <row r="992" spans="1:4" x14ac:dyDescent="0.2">
      <c r="A992" s="10" t="s">
        <v>991</v>
      </c>
      <c r="B992" s="12">
        <v>12.9</v>
      </c>
      <c r="C992" s="11">
        <v>0</v>
      </c>
      <c r="D992" s="11">
        <v>2.0789665435086331</v>
      </c>
    </row>
    <row r="993" spans="1:4" x14ac:dyDescent="0.2">
      <c r="A993" s="10" t="s">
        <v>992</v>
      </c>
      <c r="B993" s="12">
        <v>13.76</v>
      </c>
      <c r="C993" s="11">
        <v>0</v>
      </c>
      <c r="D993" s="11">
        <v>1.227580244738431</v>
      </c>
    </row>
    <row r="994" spans="1:4" x14ac:dyDescent="0.2">
      <c r="A994" s="10" t="s">
        <v>993</v>
      </c>
      <c r="B994" s="12">
        <v>14.86</v>
      </c>
      <c r="C994" s="11">
        <v>0</v>
      </c>
      <c r="D994" s="11">
        <v>0.13859776956724223</v>
      </c>
    </row>
    <row r="995" spans="1:4" x14ac:dyDescent="0.2">
      <c r="A995" s="10" t="s">
        <v>994</v>
      </c>
      <c r="B995" s="12">
        <v>11.78</v>
      </c>
      <c r="C995" s="11">
        <v>0</v>
      </c>
      <c r="D995" s="11">
        <v>3.187748700046571</v>
      </c>
    </row>
    <row r="996" spans="1:4" x14ac:dyDescent="0.2">
      <c r="A996" s="10" t="s">
        <v>995</v>
      </c>
      <c r="B996" s="12">
        <v>14.33</v>
      </c>
      <c r="C996" s="11">
        <v>0</v>
      </c>
      <c r="D996" s="11">
        <v>0.66328932578608779</v>
      </c>
    </row>
    <row r="997" spans="1:4" x14ac:dyDescent="0.2">
      <c r="A997" s="10" t="s">
        <v>996</v>
      </c>
      <c r="B997" s="12">
        <v>11.52</v>
      </c>
      <c r="C997" s="11">
        <v>0</v>
      </c>
      <c r="D997" s="11">
        <v>3.4451445578143063</v>
      </c>
    </row>
    <row r="998" spans="1:4" x14ac:dyDescent="0.2">
      <c r="A998" s="10" t="s">
        <v>997</v>
      </c>
      <c r="B998" s="12">
        <v>13.39</v>
      </c>
      <c r="C998" s="11">
        <v>0</v>
      </c>
      <c r="D998" s="11">
        <v>1.5938743500232855</v>
      </c>
    </row>
    <row r="999" spans="1:4" x14ac:dyDescent="0.2">
      <c r="A999" s="10" t="s">
        <v>998</v>
      </c>
      <c r="B999" s="12">
        <v>13.88</v>
      </c>
      <c r="C999" s="11">
        <v>0</v>
      </c>
      <c r="D999" s="11">
        <v>1.1087821565379379</v>
      </c>
    </row>
    <row r="1000" spans="1:4" x14ac:dyDescent="0.2">
      <c r="A1000" s="10" t="s">
        <v>999</v>
      </c>
      <c r="B1000" s="12">
        <v>13.38</v>
      </c>
      <c r="C1000" s="11">
        <v>0</v>
      </c>
      <c r="D1000" s="11">
        <v>1.6037741907066601</v>
      </c>
    </row>
    <row r="1001" spans="1:4" x14ac:dyDescent="0.2">
      <c r="A1001" s="10" t="s">
        <v>1000</v>
      </c>
      <c r="B1001" s="12">
        <v>12.75</v>
      </c>
      <c r="C1001" s="11">
        <v>0</v>
      </c>
      <c r="D1001" s="11">
        <v>2.2274641537592497</v>
      </c>
    </row>
    <row r="1002" spans="1:4" x14ac:dyDescent="0.2">
      <c r="A1002" s="10" t="s">
        <v>1001</v>
      </c>
      <c r="B1002" s="12">
        <v>11.84</v>
      </c>
      <c r="C1002" s="11">
        <v>0</v>
      </c>
      <c r="D1002" s="11">
        <v>3.1283496559463244</v>
      </c>
    </row>
    <row r="1003" spans="1:4" x14ac:dyDescent="0.2">
      <c r="A1003" s="10" t="s">
        <v>1002</v>
      </c>
      <c r="B1003" s="12">
        <v>13.59</v>
      </c>
      <c r="C1003" s="11">
        <v>0</v>
      </c>
      <c r="D1003" s="11">
        <v>1.3958775363557965</v>
      </c>
    </row>
    <row r="1004" spans="1:4" x14ac:dyDescent="0.2">
      <c r="A1004" s="10" t="s">
        <v>1003</v>
      </c>
      <c r="B1004" s="12">
        <v>16.170000000000002</v>
      </c>
      <c r="C1004" s="11">
        <v>1.1582813599548099</v>
      </c>
      <c r="D1004" s="11">
        <v>0</v>
      </c>
    </row>
    <row r="1005" spans="1:4" x14ac:dyDescent="0.2">
      <c r="A1005" s="10" t="s">
        <v>1004</v>
      </c>
      <c r="B1005" s="12">
        <v>12.36</v>
      </c>
      <c r="C1005" s="11">
        <v>0</v>
      </c>
      <c r="D1005" s="11">
        <v>2.6135579404108533</v>
      </c>
    </row>
    <row r="1006" spans="1:4" x14ac:dyDescent="0.2">
      <c r="A1006" s="10" t="s">
        <v>1005</v>
      </c>
      <c r="B1006" s="12">
        <v>13.6</v>
      </c>
      <c r="C1006" s="11">
        <v>0</v>
      </c>
      <c r="D1006" s="11">
        <v>1.3859776956724219</v>
      </c>
    </row>
    <row r="1007" spans="1:4" x14ac:dyDescent="0.2">
      <c r="A1007" s="10" t="s">
        <v>1006</v>
      </c>
      <c r="B1007" s="12">
        <v>13.6</v>
      </c>
      <c r="C1007" s="11">
        <v>0</v>
      </c>
      <c r="D1007" s="11">
        <v>1.3859776956724219</v>
      </c>
    </row>
    <row r="1008" spans="1:4" x14ac:dyDescent="0.2">
      <c r="A1008" s="10" t="s">
        <v>1007</v>
      </c>
      <c r="B1008" s="12">
        <v>14.72</v>
      </c>
      <c r="C1008" s="11">
        <v>0</v>
      </c>
      <c r="D1008" s="11">
        <v>0.27719553913448447</v>
      </c>
    </row>
    <row r="1009" spans="1:4" x14ac:dyDescent="0.2">
      <c r="A1009" s="10" t="s">
        <v>1008</v>
      </c>
      <c r="B1009" s="12">
        <v>12.53</v>
      </c>
      <c r="C1009" s="11">
        <v>0</v>
      </c>
      <c r="D1009" s="11">
        <v>2.4452606487934876</v>
      </c>
    </row>
    <row r="1010" spans="1:4" x14ac:dyDescent="0.2">
      <c r="A1010" s="10" t="s">
        <v>1009</v>
      </c>
      <c r="B1010" s="12">
        <v>14.4</v>
      </c>
      <c r="C1010" s="11">
        <v>0</v>
      </c>
      <c r="D1010" s="11">
        <v>0.59399044100246656</v>
      </c>
    </row>
    <row r="1011" spans="1:4" x14ac:dyDescent="0.2">
      <c r="A1011" s="10" t="s">
        <v>1010</v>
      </c>
      <c r="B1011" s="12">
        <v>14.87</v>
      </c>
      <c r="C1011" s="11">
        <v>0</v>
      </c>
      <c r="D1011" s="11">
        <v>0.12869792888386777</v>
      </c>
    </row>
    <row r="1012" spans="1:4" x14ac:dyDescent="0.2">
      <c r="A1012" s="10" t="s">
        <v>1011</v>
      </c>
      <c r="B1012" s="12">
        <v>13.78</v>
      </c>
      <c r="C1012" s="11">
        <v>0</v>
      </c>
      <c r="D1012" s="11">
        <v>1.207780563371682</v>
      </c>
    </row>
    <row r="1013" spans="1:4" x14ac:dyDescent="0.2">
      <c r="A1013" s="10" t="s">
        <v>1012</v>
      </c>
      <c r="B1013" s="12">
        <v>14.32</v>
      </c>
      <c r="C1013" s="11">
        <v>0</v>
      </c>
      <c r="D1013" s="11">
        <v>0.67318916646946225</v>
      </c>
    </row>
    <row r="1014" spans="1:4" x14ac:dyDescent="0.2">
      <c r="A1014" s="10" t="s">
        <v>1013</v>
      </c>
      <c r="B1014" s="12">
        <v>13.65</v>
      </c>
      <c r="C1014" s="11">
        <v>0</v>
      </c>
      <c r="D1014" s="11">
        <v>1.3364784922555499</v>
      </c>
    </row>
    <row r="1015" spans="1:4" x14ac:dyDescent="0.2">
      <c r="A1015" s="10" t="s">
        <v>1014</v>
      </c>
      <c r="B1015" s="12">
        <v>15.33</v>
      </c>
      <c r="C1015" s="11">
        <v>0.32669474255135666</v>
      </c>
      <c r="D1015" s="11">
        <v>0</v>
      </c>
    </row>
    <row r="1016" spans="1:4" x14ac:dyDescent="0.2">
      <c r="A1016" s="10" t="s">
        <v>1015</v>
      </c>
      <c r="B1016" s="12">
        <v>13.73</v>
      </c>
      <c r="C1016" s="11">
        <v>0</v>
      </c>
      <c r="D1016" s="11">
        <v>1.2572797667885542</v>
      </c>
    </row>
    <row r="1017" spans="1:4" x14ac:dyDescent="0.2">
      <c r="A1017" s="10" t="s">
        <v>1016</v>
      </c>
      <c r="B1017" s="12">
        <v>12.28</v>
      </c>
      <c r="C1017" s="11">
        <v>0</v>
      </c>
      <c r="D1017" s="11">
        <v>2.692756665877849</v>
      </c>
    </row>
    <row r="1018" spans="1:4" x14ac:dyDescent="0.2">
      <c r="A1018" s="10" t="s">
        <v>1017</v>
      </c>
      <c r="B1018" s="12">
        <v>14.65</v>
      </c>
      <c r="C1018" s="11">
        <v>0</v>
      </c>
      <c r="D1018" s="11">
        <v>0.34649442391810548</v>
      </c>
    </row>
    <row r="1019" spans="1:4" x14ac:dyDescent="0.2">
      <c r="A1019" s="10" t="s">
        <v>1018</v>
      </c>
      <c r="B1019" s="12">
        <v>14.77</v>
      </c>
      <c r="C1019" s="11">
        <v>0</v>
      </c>
      <c r="D1019" s="11">
        <v>0.22769633571761222</v>
      </c>
    </row>
    <row r="1020" spans="1:4" x14ac:dyDescent="0.2">
      <c r="A1020" s="10" t="s">
        <v>1019</v>
      </c>
      <c r="B1020" s="12">
        <v>14.18</v>
      </c>
      <c r="C1020" s="11">
        <v>0</v>
      </c>
      <c r="D1020" s="11">
        <v>0.81178693603670427</v>
      </c>
    </row>
    <row r="1021" spans="1:4" x14ac:dyDescent="0.2">
      <c r="A1021" s="10" t="s">
        <v>1020</v>
      </c>
      <c r="B1021" s="12">
        <v>14.83</v>
      </c>
      <c r="C1021" s="11">
        <v>0</v>
      </c>
      <c r="D1021" s="11">
        <v>0.16829729161736556</v>
      </c>
    </row>
    <row r="1022" spans="1:4" x14ac:dyDescent="0.2">
      <c r="A1022" s="10" t="s">
        <v>1021</v>
      </c>
      <c r="B1022" s="12">
        <v>15.11</v>
      </c>
      <c r="C1022" s="11">
        <v>0.10889824751711888</v>
      </c>
      <c r="D1022" s="11">
        <v>0</v>
      </c>
    </row>
    <row r="1023" spans="1:4" x14ac:dyDescent="0.2">
      <c r="A1023" s="10" t="s">
        <v>1022</v>
      </c>
      <c r="B1023" s="12">
        <v>12.5</v>
      </c>
      <c r="C1023" s="11">
        <v>0</v>
      </c>
      <c r="D1023" s="11">
        <v>2.4749601708436106</v>
      </c>
    </row>
    <row r="1024" spans="1:4" x14ac:dyDescent="0.2">
      <c r="A1024" s="10" t="s">
        <v>1023</v>
      </c>
      <c r="B1024" s="12">
        <v>13.77</v>
      </c>
      <c r="C1024" s="11">
        <v>0</v>
      </c>
      <c r="D1024" s="11">
        <v>1.2176804040550566</v>
      </c>
    </row>
    <row r="1025" spans="1:4" x14ac:dyDescent="0.2">
      <c r="A1025" s="10" t="s">
        <v>1024</v>
      </c>
      <c r="B1025" s="12">
        <v>13.48</v>
      </c>
      <c r="C1025" s="11">
        <v>0</v>
      </c>
      <c r="D1025" s="11">
        <v>1.5047757838729154</v>
      </c>
    </row>
    <row r="1026" spans="1:4" x14ac:dyDescent="0.2">
      <c r="A1026" s="10" t="s">
        <v>1025</v>
      </c>
      <c r="B1026" s="12">
        <v>14.42</v>
      </c>
      <c r="C1026" s="11">
        <v>0</v>
      </c>
      <c r="D1026" s="11">
        <v>0.57419075963571764</v>
      </c>
    </row>
    <row r="1027" spans="1:4" x14ac:dyDescent="0.2">
      <c r="A1027" s="10" t="s">
        <v>1026</v>
      </c>
      <c r="B1027" s="12">
        <v>15.38</v>
      </c>
      <c r="C1027" s="11">
        <v>0.37619394596822886</v>
      </c>
      <c r="D1027" s="11">
        <v>0</v>
      </c>
    </row>
    <row r="1028" spans="1:4" x14ac:dyDescent="0.2">
      <c r="A1028" s="10" t="s">
        <v>1027</v>
      </c>
      <c r="B1028" s="12">
        <v>14.68</v>
      </c>
      <c r="C1028" s="11">
        <v>0</v>
      </c>
      <c r="D1028" s="11">
        <v>0.3167949018679822</v>
      </c>
    </row>
    <row r="1029" spans="1:4" x14ac:dyDescent="0.2">
      <c r="A1029" s="10" t="s">
        <v>1028</v>
      </c>
      <c r="B1029" s="12">
        <v>13.43</v>
      </c>
      <c r="C1029" s="11">
        <v>0</v>
      </c>
      <c r="D1029" s="11">
        <v>1.5542749872897876</v>
      </c>
    </row>
    <row r="1030" spans="1:4" x14ac:dyDescent="0.2">
      <c r="A1030" s="10" t="s">
        <v>1029</v>
      </c>
      <c r="B1030" s="12">
        <v>15.42</v>
      </c>
      <c r="C1030" s="11">
        <v>0.41579330870172659</v>
      </c>
      <c r="D1030" s="11">
        <v>0</v>
      </c>
    </row>
    <row r="1031" spans="1:4" x14ac:dyDescent="0.2">
      <c r="A1031" s="10" t="s">
        <v>1030</v>
      </c>
      <c r="B1031" s="12">
        <v>14.32</v>
      </c>
      <c r="C1031" s="11">
        <v>0</v>
      </c>
      <c r="D1031" s="11">
        <v>0.67318916646946225</v>
      </c>
    </row>
    <row r="1032" spans="1:4" x14ac:dyDescent="0.2">
      <c r="A1032" s="10" t="s">
        <v>1031</v>
      </c>
      <c r="B1032" s="12">
        <v>13.63</v>
      </c>
      <c r="C1032" s="11">
        <v>0</v>
      </c>
      <c r="D1032" s="11">
        <v>1.3562781736222989</v>
      </c>
    </row>
    <row r="1033" spans="1:4" x14ac:dyDescent="0.2">
      <c r="A1033" s="10" t="s">
        <v>1032</v>
      </c>
      <c r="B1033" s="12">
        <v>14.82</v>
      </c>
      <c r="C1033" s="11">
        <v>0</v>
      </c>
      <c r="D1033" s="11">
        <v>0.17819713230073997</v>
      </c>
    </row>
    <row r="1034" spans="1:4" x14ac:dyDescent="0.2">
      <c r="A1034" s="10" t="s">
        <v>1033</v>
      </c>
      <c r="B1034" s="12">
        <v>12.88</v>
      </c>
      <c r="C1034" s="11">
        <v>0</v>
      </c>
      <c r="D1034" s="11">
        <v>2.0987662248753822</v>
      </c>
    </row>
    <row r="1035" spans="1:4" x14ac:dyDescent="0.2">
      <c r="A1035" s="10" t="s">
        <v>1034</v>
      </c>
      <c r="B1035" s="12">
        <v>12.38</v>
      </c>
      <c r="C1035" s="11">
        <v>0</v>
      </c>
      <c r="D1035" s="11">
        <v>2.5937582590441042</v>
      </c>
    </row>
    <row r="1036" spans="1:4" x14ac:dyDescent="0.2">
      <c r="A1036" s="10" t="s">
        <v>1035</v>
      </c>
      <c r="B1036" s="12">
        <v>12.17</v>
      </c>
      <c r="C1036" s="11">
        <v>0</v>
      </c>
      <c r="D1036" s="11">
        <v>2.8016549133949677</v>
      </c>
    </row>
    <row r="1037" spans="1:4" x14ac:dyDescent="0.2">
      <c r="A1037" s="10" t="s">
        <v>1036</v>
      </c>
      <c r="B1037" s="12">
        <v>15.34</v>
      </c>
      <c r="C1037" s="11">
        <v>0.33659458323473113</v>
      </c>
      <c r="D1037" s="11">
        <v>0</v>
      </c>
    </row>
    <row r="1038" spans="1:4" x14ac:dyDescent="0.2">
      <c r="A1038" s="10" t="s">
        <v>1037</v>
      </c>
      <c r="B1038" s="12">
        <v>14.18</v>
      </c>
      <c r="C1038" s="11">
        <v>0</v>
      </c>
      <c r="D1038" s="11">
        <v>0.81178693603670427</v>
      </c>
    </row>
    <row r="1039" spans="1:4" x14ac:dyDescent="0.2">
      <c r="A1039" s="10" t="s">
        <v>1038</v>
      </c>
      <c r="B1039" s="12">
        <v>14.95</v>
      </c>
      <c r="C1039" s="11">
        <v>0</v>
      </c>
      <c r="D1039" s="11">
        <v>4.9499203416872223E-2</v>
      </c>
    </row>
    <row r="1040" spans="1:4" x14ac:dyDescent="0.2">
      <c r="A1040" s="10" t="s">
        <v>1039</v>
      </c>
      <c r="B1040" s="12">
        <v>15.51</v>
      </c>
      <c r="C1040" s="11">
        <v>0.50489187485209663</v>
      </c>
      <c r="D1040" s="11">
        <v>0</v>
      </c>
    </row>
    <row r="1041" spans="1:4" x14ac:dyDescent="0.2">
      <c r="A1041" s="10" t="s">
        <v>1040</v>
      </c>
      <c r="B1041" s="12">
        <v>13.2</v>
      </c>
      <c r="C1041" s="11">
        <v>0</v>
      </c>
      <c r="D1041" s="11">
        <v>1.7819713230073999</v>
      </c>
    </row>
    <row r="1042" spans="1:4" x14ac:dyDescent="0.2">
      <c r="A1042" s="10" t="s">
        <v>1041</v>
      </c>
      <c r="B1042" s="12">
        <v>12.92</v>
      </c>
      <c r="C1042" s="11">
        <v>0</v>
      </c>
      <c r="D1042" s="11">
        <v>2.0591668621418844</v>
      </c>
    </row>
    <row r="1043" spans="1:4" x14ac:dyDescent="0.2">
      <c r="A1043" s="10" t="s">
        <v>1042</v>
      </c>
      <c r="B1043" s="12">
        <v>12.92</v>
      </c>
      <c r="C1043" s="11">
        <v>0</v>
      </c>
      <c r="D1043" s="11">
        <v>2.0591668621418844</v>
      </c>
    </row>
    <row r="1044" spans="1:4" x14ac:dyDescent="0.2">
      <c r="A1044" s="10" t="s">
        <v>1043</v>
      </c>
      <c r="B1044" s="12">
        <v>12.45</v>
      </c>
      <c r="C1044" s="11">
        <v>0</v>
      </c>
      <c r="D1044" s="11">
        <v>2.5244593742604828</v>
      </c>
    </row>
    <row r="1045" spans="1:4" x14ac:dyDescent="0.2">
      <c r="A1045" s="10" t="s">
        <v>1044</v>
      </c>
      <c r="B1045" s="12">
        <v>14.51</v>
      </c>
      <c r="C1045" s="11">
        <v>0</v>
      </c>
      <c r="D1045" s="11">
        <v>0.48509219348534771</v>
      </c>
    </row>
    <row r="1046" spans="1:4" x14ac:dyDescent="0.2">
      <c r="A1046" s="10" t="s">
        <v>1045</v>
      </c>
      <c r="B1046" s="12">
        <v>14.58</v>
      </c>
      <c r="C1046" s="11">
        <v>0</v>
      </c>
      <c r="D1046" s="11">
        <v>0.41579330870172659</v>
      </c>
    </row>
    <row r="1047" spans="1:4" x14ac:dyDescent="0.2">
      <c r="A1047" s="10" t="s">
        <v>1046</v>
      </c>
      <c r="B1047" s="12">
        <v>14.35</v>
      </c>
      <c r="C1047" s="11">
        <v>0</v>
      </c>
      <c r="D1047" s="11">
        <v>0.64348964441933887</v>
      </c>
    </row>
    <row r="1048" spans="1:4" x14ac:dyDescent="0.2">
      <c r="A1048" s="10" t="s">
        <v>1047</v>
      </c>
      <c r="B1048" s="12">
        <v>16.41</v>
      </c>
      <c r="C1048" s="11">
        <v>1.3958775363557965</v>
      </c>
      <c r="D1048" s="11">
        <v>0</v>
      </c>
    </row>
    <row r="1049" spans="1:4" x14ac:dyDescent="0.2">
      <c r="A1049" s="10" t="s">
        <v>1048</v>
      </c>
      <c r="B1049" s="12">
        <v>14.45</v>
      </c>
      <c r="C1049" s="11">
        <v>0</v>
      </c>
      <c r="D1049" s="11">
        <v>0.55439107826896894</v>
      </c>
    </row>
    <row r="1050" spans="1:4" x14ac:dyDescent="0.2">
      <c r="A1050" s="10" t="s">
        <v>1049</v>
      </c>
      <c r="B1050" s="12">
        <v>15.22</v>
      </c>
      <c r="C1050" s="11">
        <v>0.21779649503423776</v>
      </c>
      <c r="D1050" s="11">
        <v>0</v>
      </c>
    </row>
    <row r="1051" spans="1:4" x14ac:dyDescent="0.2">
      <c r="A1051" s="10" t="s">
        <v>1050</v>
      </c>
      <c r="B1051" s="12">
        <v>15.84</v>
      </c>
      <c r="C1051" s="11">
        <v>0.83158661740345319</v>
      </c>
      <c r="D1051" s="11">
        <v>0</v>
      </c>
    </row>
    <row r="1052" spans="1:4" x14ac:dyDescent="0.2">
      <c r="A1052" s="10" t="s">
        <v>1051</v>
      </c>
      <c r="B1052" s="12">
        <v>13.12</v>
      </c>
      <c r="C1052" s="11">
        <v>0</v>
      </c>
      <c r="D1052" s="11">
        <v>1.8611700484743952</v>
      </c>
    </row>
    <row r="1053" spans="1:4" x14ac:dyDescent="0.2">
      <c r="A1053" s="10" t="s">
        <v>1052</v>
      </c>
      <c r="B1053" s="12">
        <v>13.25</v>
      </c>
      <c r="C1053" s="11">
        <v>0</v>
      </c>
      <c r="D1053" s="11">
        <v>1.7324721195905277</v>
      </c>
    </row>
    <row r="1054" spans="1:4" x14ac:dyDescent="0.2">
      <c r="A1054" s="10" t="s">
        <v>1053</v>
      </c>
      <c r="B1054" s="12">
        <v>12.84</v>
      </c>
      <c r="C1054" s="11">
        <v>0</v>
      </c>
      <c r="D1054" s="11">
        <v>2.1383655876088801</v>
      </c>
    </row>
    <row r="1055" spans="1:4" x14ac:dyDescent="0.2">
      <c r="A1055" s="10" t="s">
        <v>1054</v>
      </c>
      <c r="B1055" s="12">
        <v>14.23</v>
      </c>
      <c r="C1055" s="11">
        <v>0</v>
      </c>
      <c r="D1055" s="11">
        <v>0.76228773261983218</v>
      </c>
    </row>
    <row r="1056" spans="1:4" x14ac:dyDescent="0.2">
      <c r="A1056" s="10" t="s">
        <v>1055</v>
      </c>
      <c r="B1056" s="12">
        <v>15.44</v>
      </c>
      <c r="C1056" s="11">
        <v>0.43559299006847552</v>
      </c>
      <c r="D1056" s="11">
        <v>0</v>
      </c>
    </row>
    <row r="1057" spans="1:4" x14ac:dyDescent="0.2">
      <c r="A1057" s="10" t="s">
        <v>1056</v>
      </c>
      <c r="B1057" s="12">
        <v>13.68</v>
      </c>
      <c r="C1057" s="11">
        <v>0</v>
      </c>
      <c r="D1057" s="11">
        <v>1.3067789702054267</v>
      </c>
    </row>
    <row r="1058" spans="1:4" x14ac:dyDescent="0.2">
      <c r="A1058" s="10" t="s">
        <v>1057</v>
      </c>
      <c r="B1058" s="12">
        <v>14.52</v>
      </c>
      <c r="C1058" s="11">
        <v>0</v>
      </c>
      <c r="D1058" s="11">
        <v>0.47519235280197325</v>
      </c>
    </row>
    <row r="1059" spans="1:4" x14ac:dyDescent="0.2">
      <c r="A1059" s="10" t="s">
        <v>1058</v>
      </c>
      <c r="B1059" s="12">
        <v>14.31</v>
      </c>
      <c r="C1059" s="11">
        <v>0</v>
      </c>
      <c r="D1059" s="11">
        <v>0.68308900715283649</v>
      </c>
    </row>
    <row r="1060" spans="1:4" x14ac:dyDescent="0.2">
      <c r="A1060" s="10" t="s">
        <v>1059</v>
      </c>
      <c r="B1060" s="12">
        <v>14.39</v>
      </c>
      <c r="C1060" s="11">
        <v>0</v>
      </c>
      <c r="D1060" s="11">
        <v>0.60389028168584102</v>
      </c>
    </row>
    <row r="1061" spans="1:4" x14ac:dyDescent="0.2">
      <c r="A1061" s="10" t="s">
        <v>1060</v>
      </c>
      <c r="B1061" s="12">
        <v>12.89</v>
      </c>
      <c r="C1061" s="11">
        <v>0</v>
      </c>
      <c r="D1061" s="11">
        <v>2.0888663841920074</v>
      </c>
    </row>
    <row r="1062" spans="1:4" x14ac:dyDescent="0.2">
      <c r="A1062" s="10" t="s">
        <v>1061</v>
      </c>
      <c r="B1062" s="12">
        <v>12.2</v>
      </c>
      <c r="C1062" s="11">
        <v>0</v>
      </c>
      <c r="D1062" s="11">
        <v>2.7719553913448438</v>
      </c>
    </row>
    <row r="1063" spans="1:4" x14ac:dyDescent="0.2">
      <c r="A1063" s="10" t="s">
        <v>1062</v>
      </c>
      <c r="B1063" s="12">
        <v>13.54</v>
      </c>
      <c r="C1063" s="11">
        <v>0</v>
      </c>
      <c r="D1063" s="11">
        <v>1.4453767397726687</v>
      </c>
    </row>
    <row r="1064" spans="1:4" x14ac:dyDescent="0.2">
      <c r="A1064" s="10" t="s">
        <v>1063</v>
      </c>
      <c r="B1064" s="12">
        <v>14</v>
      </c>
      <c r="C1064" s="11">
        <v>0</v>
      </c>
      <c r="D1064" s="11">
        <v>0.98998406833744435</v>
      </c>
    </row>
    <row r="1065" spans="1:4" x14ac:dyDescent="0.2">
      <c r="A1065" s="10" t="s">
        <v>1064</v>
      </c>
      <c r="B1065" s="12">
        <v>11.53</v>
      </c>
      <c r="C1065" s="11">
        <v>0</v>
      </c>
      <c r="D1065" s="11">
        <v>3.4352447171309319</v>
      </c>
    </row>
    <row r="1066" spans="1:4" x14ac:dyDescent="0.2">
      <c r="A1066" s="10" t="s">
        <v>1065</v>
      </c>
      <c r="B1066" s="12">
        <v>17.12</v>
      </c>
      <c r="C1066" s="11">
        <v>2.0987662248753822</v>
      </c>
      <c r="D1066" s="11">
        <v>0</v>
      </c>
    </row>
    <row r="1067" spans="1:4" x14ac:dyDescent="0.2">
      <c r="A1067" s="10" t="s">
        <v>1066</v>
      </c>
      <c r="B1067" s="12">
        <v>14.77</v>
      </c>
      <c r="C1067" s="11">
        <v>0</v>
      </c>
      <c r="D1067" s="11">
        <v>0.22769633571761222</v>
      </c>
    </row>
    <row r="1068" spans="1:4" x14ac:dyDescent="0.2">
      <c r="A1068" s="10" t="s">
        <v>1067</v>
      </c>
      <c r="B1068" s="12">
        <v>13.7</v>
      </c>
      <c r="C1068" s="11">
        <v>0</v>
      </c>
      <c r="D1068" s="11">
        <v>1.2869792888386777</v>
      </c>
    </row>
    <row r="1069" spans="1:4" x14ac:dyDescent="0.2">
      <c r="A1069" s="10" t="s">
        <v>1068</v>
      </c>
      <c r="B1069" s="12">
        <v>14.01</v>
      </c>
      <c r="C1069" s="11">
        <v>0</v>
      </c>
      <c r="D1069" s="11">
        <v>0.98008422765406988</v>
      </c>
    </row>
    <row r="1070" spans="1:4" x14ac:dyDescent="0.2">
      <c r="A1070" s="10" t="s">
        <v>1069</v>
      </c>
      <c r="B1070" s="12">
        <v>14.25</v>
      </c>
      <c r="C1070" s="11">
        <v>0</v>
      </c>
      <c r="D1070" s="11">
        <v>0.74248805125308326</v>
      </c>
    </row>
    <row r="1071" spans="1:4" x14ac:dyDescent="0.2">
      <c r="A1071" s="10" t="s">
        <v>1070</v>
      </c>
      <c r="B1071" s="12">
        <v>15.26</v>
      </c>
      <c r="C1071" s="11">
        <v>0.25739585776773555</v>
      </c>
      <c r="D1071" s="11">
        <v>0</v>
      </c>
    </row>
    <row r="1072" spans="1:4" x14ac:dyDescent="0.2">
      <c r="A1072" s="10" t="s">
        <v>1071</v>
      </c>
      <c r="B1072" s="12">
        <v>15.41</v>
      </c>
      <c r="C1072" s="11">
        <v>0.40589346801835213</v>
      </c>
      <c r="D1072" s="11">
        <v>0</v>
      </c>
    </row>
    <row r="1073" spans="1:4" x14ac:dyDescent="0.2">
      <c r="A1073" s="10" t="s">
        <v>1072</v>
      </c>
      <c r="B1073" s="12">
        <v>15.48</v>
      </c>
      <c r="C1073" s="11">
        <v>0.47519235280197325</v>
      </c>
      <c r="D1073" s="11">
        <v>0</v>
      </c>
    </row>
    <row r="1074" spans="1:4" x14ac:dyDescent="0.2">
      <c r="A1074" s="10" t="s">
        <v>1073</v>
      </c>
      <c r="B1074" s="12">
        <v>15.61</v>
      </c>
      <c r="C1074" s="11">
        <v>0.60389028168584102</v>
      </c>
      <c r="D1074" s="11">
        <v>0</v>
      </c>
    </row>
    <row r="1075" spans="1:4" x14ac:dyDescent="0.2">
      <c r="A1075" s="10" t="s">
        <v>1074</v>
      </c>
      <c r="B1075" s="12">
        <v>14.69</v>
      </c>
      <c r="C1075" s="11">
        <v>0</v>
      </c>
      <c r="D1075" s="11">
        <v>0.30689506118460774</v>
      </c>
    </row>
    <row r="1076" spans="1:4" x14ac:dyDescent="0.2">
      <c r="A1076" s="10" t="s">
        <v>1075</v>
      </c>
      <c r="B1076" s="12">
        <v>13.42</v>
      </c>
      <c r="C1076" s="11">
        <v>0</v>
      </c>
      <c r="D1076" s="11">
        <v>1.5641748279731622</v>
      </c>
    </row>
    <row r="1077" spans="1:4" x14ac:dyDescent="0.2">
      <c r="A1077" s="10" t="s">
        <v>1076</v>
      </c>
      <c r="B1077" s="12">
        <v>15.06</v>
      </c>
      <c r="C1077" s="11">
        <v>5.9399044100246656E-2</v>
      </c>
      <c r="D1077" s="11">
        <v>0</v>
      </c>
    </row>
    <row r="1078" spans="1:4" x14ac:dyDescent="0.2">
      <c r="A1078" s="10" t="s">
        <v>1077</v>
      </c>
      <c r="B1078" s="12">
        <v>14.64</v>
      </c>
      <c r="C1078" s="11">
        <v>0</v>
      </c>
      <c r="D1078" s="11">
        <v>0.35639426460147994</v>
      </c>
    </row>
    <row r="1079" spans="1:4" x14ac:dyDescent="0.2">
      <c r="A1079" s="10" t="s">
        <v>1078</v>
      </c>
      <c r="B1079" s="12">
        <v>13.09</v>
      </c>
      <c r="C1079" s="11">
        <v>0</v>
      </c>
      <c r="D1079" s="11">
        <v>1.8908695705245187</v>
      </c>
    </row>
    <row r="1080" spans="1:4" x14ac:dyDescent="0.2">
      <c r="A1080" s="10" t="s">
        <v>1079</v>
      </c>
      <c r="B1080" s="12">
        <v>14.7</v>
      </c>
      <c r="C1080" s="11">
        <v>0</v>
      </c>
      <c r="D1080" s="11">
        <v>0.29699522050123328</v>
      </c>
    </row>
    <row r="1081" spans="1:4" x14ac:dyDescent="0.2">
      <c r="A1081" s="10" t="s">
        <v>1080</v>
      </c>
      <c r="B1081" s="12">
        <v>13.33</v>
      </c>
      <c r="C1081" s="11">
        <v>0</v>
      </c>
      <c r="D1081" s="11">
        <v>1.653273394123532</v>
      </c>
    </row>
    <row r="1082" spans="1:4" x14ac:dyDescent="0.2">
      <c r="A1082" s="10" t="s">
        <v>1081</v>
      </c>
      <c r="B1082" s="12">
        <v>15.12</v>
      </c>
      <c r="C1082" s="11">
        <v>0.11879808820049331</v>
      </c>
      <c r="D1082" s="11">
        <v>0</v>
      </c>
    </row>
    <row r="1083" spans="1:4" x14ac:dyDescent="0.2">
      <c r="A1083" s="10" t="s">
        <v>1082</v>
      </c>
      <c r="B1083" s="12">
        <v>13.72</v>
      </c>
      <c r="C1083" s="11">
        <v>0</v>
      </c>
      <c r="D1083" s="11">
        <v>1.2671796074719288</v>
      </c>
    </row>
    <row r="1084" spans="1:4" x14ac:dyDescent="0.2">
      <c r="A1084" s="10" t="s">
        <v>1083</v>
      </c>
      <c r="B1084" s="12">
        <v>14.95</v>
      </c>
      <c r="C1084" s="11">
        <v>0</v>
      </c>
      <c r="D1084" s="11">
        <v>4.9499203416872223E-2</v>
      </c>
    </row>
    <row r="1085" spans="1:4" x14ac:dyDescent="0.2">
      <c r="A1085" s="10" t="s">
        <v>1084</v>
      </c>
      <c r="B1085" s="12">
        <v>13.75</v>
      </c>
      <c r="C1085" s="11">
        <v>0</v>
      </c>
      <c r="D1085" s="11">
        <v>1.2374800854218053</v>
      </c>
    </row>
    <row r="1086" spans="1:4" x14ac:dyDescent="0.2">
      <c r="A1086" s="10" t="s">
        <v>1085</v>
      </c>
      <c r="B1086" s="12">
        <v>13.22</v>
      </c>
      <c r="C1086" s="11">
        <v>0</v>
      </c>
      <c r="D1086" s="11">
        <v>1.762171641640651</v>
      </c>
    </row>
    <row r="1087" spans="1:4" x14ac:dyDescent="0.2">
      <c r="A1087" s="10" t="s">
        <v>1086</v>
      </c>
      <c r="B1087" s="12">
        <v>12.97</v>
      </c>
      <c r="C1087" s="11">
        <v>0</v>
      </c>
      <c r="D1087" s="11">
        <v>2.0096676587250117</v>
      </c>
    </row>
    <row r="1088" spans="1:4" x14ac:dyDescent="0.2">
      <c r="A1088" s="10" t="s">
        <v>1087</v>
      </c>
      <c r="B1088" s="12">
        <v>12.63</v>
      </c>
      <c r="C1088" s="11">
        <v>0</v>
      </c>
      <c r="D1088" s="11">
        <v>2.3462622419597432</v>
      </c>
    </row>
    <row r="1089" spans="1:4" x14ac:dyDescent="0.2">
      <c r="A1089" s="10" t="s">
        <v>1088</v>
      </c>
      <c r="B1089" s="12">
        <v>12.88</v>
      </c>
      <c r="C1089" s="11">
        <v>0</v>
      </c>
      <c r="D1089" s="11">
        <v>2.0987662248753822</v>
      </c>
    </row>
    <row r="1090" spans="1:4" x14ac:dyDescent="0.2">
      <c r="A1090" s="10" t="s">
        <v>1089</v>
      </c>
      <c r="B1090" s="12">
        <v>13.98</v>
      </c>
      <c r="C1090" s="11">
        <v>0</v>
      </c>
      <c r="D1090" s="11">
        <v>1.0097837497041933</v>
      </c>
    </row>
    <row r="1091" spans="1:4" x14ac:dyDescent="0.2">
      <c r="A1091" s="10" t="s">
        <v>1090</v>
      </c>
      <c r="B1091" s="12">
        <v>14.98</v>
      </c>
      <c r="C1091" s="11">
        <v>0</v>
      </c>
      <c r="D1091" s="11">
        <v>1.9799681366748888E-2</v>
      </c>
    </row>
    <row r="1092" spans="1:4" x14ac:dyDescent="0.2">
      <c r="A1092" s="10" t="s">
        <v>1091</v>
      </c>
      <c r="B1092" s="12">
        <v>15.09</v>
      </c>
      <c r="C1092" s="11">
        <v>8.9098566150369984E-2</v>
      </c>
      <c r="D1092" s="11">
        <v>0</v>
      </c>
    </row>
    <row r="1093" spans="1:4" x14ac:dyDescent="0.2">
      <c r="A1093" s="10" t="s">
        <v>1092</v>
      </c>
      <c r="B1093" s="12">
        <v>16.420000000000002</v>
      </c>
      <c r="C1093" s="11">
        <v>1.4057773770391708</v>
      </c>
      <c r="D1093" s="11">
        <v>0</v>
      </c>
    </row>
    <row r="1094" spans="1:4" x14ac:dyDescent="0.2">
      <c r="A1094" s="10" t="s">
        <v>1093</v>
      </c>
      <c r="B1094" s="12">
        <v>13.51</v>
      </c>
      <c r="C1094" s="11">
        <v>0</v>
      </c>
      <c r="D1094" s="11">
        <v>1.4750762618227922</v>
      </c>
    </row>
    <row r="1095" spans="1:4" x14ac:dyDescent="0.2">
      <c r="A1095" s="10" t="s">
        <v>1094</v>
      </c>
      <c r="B1095" s="12">
        <v>14.72</v>
      </c>
      <c r="C1095" s="11">
        <v>0</v>
      </c>
      <c r="D1095" s="11">
        <v>0.27719553913448447</v>
      </c>
    </row>
    <row r="1096" spans="1:4" x14ac:dyDescent="0.2">
      <c r="A1096" s="10" t="s">
        <v>1095</v>
      </c>
      <c r="B1096" s="12">
        <v>14.29</v>
      </c>
      <c r="C1096" s="11">
        <v>0</v>
      </c>
      <c r="D1096" s="11">
        <v>0.70288868851958541</v>
      </c>
    </row>
    <row r="1097" spans="1:4" x14ac:dyDescent="0.2">
      <c r="A1097" s="10" t="s">
        <v>1096</v>
      </c>
      <c r="B1097" s="12">
        <v>13.85</v>
      </c>
      <c r="C1097" s="11">
        <v>0</v>
      </c>
      <c r="D1097" s="11">
        <v>1.1384816785880609</v>
      </c>
    </row>
    <row r="1098" spans="1:4" x14ac:dyDescent="0.2">
      <c r="A1098" s="10" t="s">
        <v>1097</v>
      </c>
      <c r="B1098" s="12">
        <v>13.07</v>
      </c>
      <c r="C1098" s="11">
        <v>0</v>
      </c>
      <c r="D1098" s="11">
        <v>1.9106692518912676</v>
      </c>
    </row>
    <row r="1099" spans="1:4" x14ac:dyDescent="0.2">
      <c r="A1099" s="10" t="s">
        <v>1098</v>
      </c>
      <c r="B1099" s="12">
        <v>15.09</v>
      </c>
      <c r="C1099" s="11">
        <v>8.9098566150369984E-2</v>
      </c>
      <c r="D1099" s="11">
        <v>0</v>
      </c>
    </row>
    <row r="1100" spans="1:4" x14ac:dyDescent="0.2">
      <c r="A1100" s="10" t="s">
        <v>1099</v>
      </c>
      <c r="B1100" s="12">
        <v>13.59</v>
      </c>
      <c r="C1100" s="11">
        <v>0</v>
      </c>
      <c r="D1100" s="11">
        <v>1.3958775363557965</v>
      </c>
    </row>
    <row r="1101" spans="1:4" x14ac:dyDescent="0.2">
      <c r="A1101" s="10" t="s">
        <v>1100</v>
      </c>
      <c r="B1101" s="12">
        <v>14.4</v>
      </c>
      <c r="C1101" s="11">
        <v>0</v>
      </c>
      <c r="D1101" s="11">
        <v>0.59399044100246656</v>
      </c>
    </row>
    <row r="1102" spans="1:4" x14ac:dyDescent="0.2">
      <c r="A1102" s="10" t="s">
        <v>1101</v>
      </c>
      <c r="B1102" s="12">
        <v>13.83</v>
      </c>
      <c r="C1102" s="11">
        <v>0</v>
      </c>
      <c r="D1102" s="11">
        <v>1.1582813599548099</v>
      </c>
    </row>
    <row r="1103" spans="1:4" x14ac:dyDescent="0.2">
      <c r="A1103" s="10" t="s">
        <v>1102</v>
      </c>
      <c r="B1103" s="12">
        <v>13.71</v>
      </c>
      <c r="C1103" s="11">
        <v>0</v>
      </c>
      <c r="D1103" s="11">
        <v>1.2770794481553032</v>
      </c>
    </row>
    <row r="1104" spans="1:4" x14ac:dyDescent="0.2">
      <c r="A1104" s="10" t="s">
        <v>1103</v>
      </c>
      <c r="B1104" s="12">
        <v>14.39</v>
      </c>
      <c r="C1104" s="11">
        <v>0</v>
      </c>
      <c r="D1104" s="11">
        <v>0.60389028168584102</v>
      </c>
    </row>
    <row r="1105" spans="1:4" x14ac:dyDescent="0.2">
      <c r="A1105" s="10" t="s">
        <v>1104</v>
      </c>
      <c r="B1105" s="12">
        <v>13.61</v>
      </c>
      <c r="C1105" s="11">
        <v>0</v>
      </c>
      <c r="D1105" s="11">
        <v>1.3760778549890476</v>
      </c>
    </row>
    <row r="1106" spans="1:4" x14ac:dyDescent="0.2">
      <c r="A1106" s="10" t="s">
        <v>1105</v>
      </c>
      <c r="B1106" s="12">
        <v>14.56</v>
      </c>
      <c r="C1106" s="11">
        <v>0</v>
      </c>
      <c r="D1106" s="11">
        <v>0.43559299006847552</v>
      </c>
    </row>
    <row r="1107" spans="1:4" x14ac:dyDescent="0.2">
      <c r="A1107" s="10" t="s">
        <v>1106</v>
      </c>
      <c r="B1107" s="12">
        <v>14.96</v>
      </c>
      <c r="C1107" s="11">
        <v>0</v>
      </c>
      <c r="D1107" s="11">
        <v>3.9599362733497775E-2</v>
      </c>
    </row>
    <row r="1108" spans="1:4" x14ac:dyDescent="0.2">
      <c r="A1108" s="10" t="s">
        <v>1107</v>
      </c>
      <c r="B1108" s="12">
        <v>14.07</v>
      </c>
      <c r="C1108" s="11">
        <v>0</v>
      </c>
      <c r="D1108" s="11">
        <v>0.92068518355382334</v>
      </c>
    </row>
    <row r="1109" spans="1:4" x14ac:dyDescent="0.2">
      <c r="A1109" s="10" t="s">
        <v>1108</v>
      </c>
      <c r="B1109" s="12">
        <v>14.44</v>
      </c>
      <c r="C1109" s="11">
        <v>0</v>
      </c>
      <c r="D1109" s="11">
        <v>0.55439107826896894</v>
      </c>
    </row>
    <row r="1110" spans="1:4" x14ac:dyDescent="0.2">
      <c r="A1110" s="10" t="s">
        <v>1109</v>
      </c>
      <c r="B1110" s="12">
        <v>15.96</v>
      </c>
      <c r="C1110" s="11">
        <v>0.9503847056039465</v>
      </c>
      <c r="D1110" s="11">
        <v>0</v>
      </c>
    </row>
    <row r="1111" spans="1:4" x14ac:dyDescent="0.2">
      <c r="A1111" s="10" t="s">
        <v>1110</v>
      </c>
      <c r="B1111" s="12">
        <v>15.47</v>
      </c>
      <c r="C1111" s="11">
        <v>0.46529251211859879</v>
      </c>
      <c r="D1111" s="11">
        <v>0</v>
      </c>
    </row>
    <row r="1112" spans="1:4" x14ac:dyDescent="0.2">
      <c r="A1112" s="10" t="s">
        <v>1111</v>
      </c>
      <c r="B1112" s="12">
        <v>13.27</v>
      </c>
      <c r="C1112" s="11">
        <v>0</v>
      </c>
      <c r="D1112" s="11">
        <v>1.7126724382237788</v>
      </c>
    </row>
    <row r="1113" spans="1:4" x14ac:dyDescent="0.2">
      <c r="A1113" s="10" t="s">
        <v>1112</v>
      </c>
      <c r="B1113" s="12">
        <v>16.21</v>
      </c>
      <c r="C1113" s="11">
        <v>1.1978807226883077</v>
      </c>
      <c r="D1113" s="11">
        <v>0</v>
      </c>
    </row>
    <row r="1114" spans="1:4" x14ac:dyDescent="0.2">
      <c r="A1114" s="10" t="s">
        <v>1113</v>
      </c>
      <c r="B1114" s="12">
        <v>15.98</v>
      </c>
      <c r="C1114" s="11">
        <v>0.97018438697069542</v>
      </c>
      <c r="D1114" s="11">
        <v>0</v>
      </c>
    </row>
    <row r="1115" spans="1:4" x14ac:dyDescent="0.2">
      <c r="A1115" s="10" t="s">
        <v>1114</v>
      </c>
      <c r="B1115" s="12">
        <v>15.56</v>
      </c>
      <c r="C1115" s="11">
        <v>0.55439107826896894</v>
      </c>
      <c r="D1115" s="11">
        <v>0</v>
      </c>
    </row>
    <row r="1116" spans="1:4" x14ac:dyDescent="0.2">
      <c r="A1116" s="10" t="s">
        <v>1115</v>
      </c>
      <c r="B1116" s="12">
        <v>13.75</v>
      </c>
      <c r="C1116" s="11">
        <v>0</v>
      </c>
      <c r="D1116" s="11">
        <v>1.2374800854218053</v>
      </c>
    </row>
    <row r="1117" spans="1:4" x14ac:dyDescent="0.2">
      <c r="A1117" s="10" t="s">
        <v>1116</v>
      </c>
      <c r="B1117" s="12">
        <v>13.7</v>
      </c>
      <c r="C1117" s="11">
        <v>0</v>
      </c>
      <c r="D1117" s="11">
        <v>1.2869792888386777</v>
      </c>
    </row>
    <row r="1118" spans="1:4" x14ac:dyDescent="0.2">
      <c r="A1118" s="10" t="s">
        <v>1117</v>
      </c>
      <c r="B1118" s="12">
        <v>14.63</v>
      </c>
      <c r="C1118" s="11">
        <v>0</v>
      </c>
      <c r="D1118" s="11">
        <v>0.3662941052848544</v>
      </c>
    </row>
    <row r="1119" spans="1:4" x14ac:dyDescent="0.2">
      <c r="A1119" s="10" t="s">
        <v>1118</v>
      </c>
      <c r="B1119" s="12">
        <v>12.61</v>
      </c>
      <c r="C1119" s="11">
        <v>0</v>
      </c>
      <c r="D1119" s="11">
        <v>2.3660619233264919</v>
      </c>
    </row>
    <row r="1120" spans="1:4" x14ac:dyDescent="0.2">
      <c r="A1120" s="10" t="s">
        <v>1119</v>
      </c>
      <c r="B1120" s="12">
        <v>14.92</v>
      </c>
      <c r="C1120" s="11">
        <v>0</v>
      </c>
      <c r="D1120" s="11">
        <v>7.9198725466995551E-2</v>
      </c>
    </row>
    <row r="1121" spans="1:4" x14ac:dyDescent="0.2">
      <c r="A1121" s="10" t="s">
        <v>1120</v>
      </c>
      <c r="B1121" s="12">
        <v>14.21</v>
      </c>
      <c r="C1121" s="11">
        <v>0</v>
      </c>
      <c r="D1121" s="11">
        <v>0.7820874139865811</v>
      </c>
    </row>
    <row r="1122" spans="1:4" x14ac:dyDescent="0.2">
      <c r="A1122" s="10" t="s">
        <v>1121</v>
      </c>
      <c r="B1122" s="12">
        <v>15.95</v>
      </c>
      <c r="C1122" s="11">
        <v>0.94048486492057204</v>
      </c>
      <c r="D1122" s="11">
        <v>0</v>
      </c>
    </row>
    <row r="1123" spans="1:4" x14ac:dyDescent="0.2">
      <c r="A1123" s="10" t="s">
        <v>1122</v>
      </c>
      <c r="B1123" s="12">
        <v>17.66</v>
      </c>
      <c r="C1123" s="11">
        <v>2.633357621777602</v>
      </c>
      <c r="D1123" s="11">
        <v>0</v>
      </c>
    </row>
    <row r="1124" spans="1:4" x14ac:dyDescent="0.2">
      <c r="A1124" s="10" t="s">
        <v>1123</v>
      </c>
      <c r="B1124" s="12">
        <v>14.44</v>
      </c>
      <c r="C1124" s="11">
        <v>0</v>
      </c>
      <c r="D1124" s="11">
        <v>0.55439107826896894</v>
      </c>
    </row>
    <row r="1125" spans="1:4" x14ac:dyDescent="0.2">
      <c r="A1125" s="10" t="s">
        <v>1124</v>
      </c>
      <c r="B1125" s="12">
        <v>13.75</v>
      </c>
      <c r="C1125" s="11">
        <v>0</v>
      </c>
      <c r="D1125" s="11">
        <v>1.2374800854218053</v>
      </c>
    </row>
    <row r="1126" spans="1:4" x14ac:dyDescent="0.2">
      <c r="A1126" s="10" t="s">
        <v>1125</v>
      </c>
      <c r="B1126" s="12">
        <v>14.22</v>
      </c>
      <c r="C1126" s="11">
        <v>0</v>
      </c>
      <c r="D1126" s="11">
        <v>0.77218757330320664</v>
      </c>
    </row>
    <row r="1127" spans="1:4" x14ac:dyDescent="0.2">
      <c r="A1127" s="10" t="s">
        <v>1126</v>
      </c>
      <c r="B1127" s="12">
        <v>15.18</v>
      </c>
      <c r="C1127" s="11">
        <v>0.17819713230073997</v>
      </c>
      <c r="D1127" s="11">
        <v>0</v>
      </c>
    </row>
    <row r="1128" spans="1:4" x14ac:dyDescent="0.2">
      <c r="A1128" s="10" t="s">
        <v>1127</v>
      </c>
      <c r="B1128" s="12">
        <v>13.32</v>
      </c>
      <c r="C1128" s="11">
        <v>0</v>
      </c>
      <c r="D1128" s="11">
        <v>1.6631732348069064</v>
      </c>
    </row>
    <row r="1129" spans="1:4" x14ac:dyDescent="0.2">
      <c r="A1129" s="10" t="s">
        <v>1128</v>
      </c>
      <c r="B1129" s="12">
        <v>13.27</v>
      </c>
      <c r="C1129" s="11">
        <v>0</v>
      </c>
      <c r="D1129" s="11">
        <v>1.7126724382237788</v>
      </c>
    </row>
    <row r="1130" spans="1:4" x14ac:dyDescent="0.2">
      <c r="A1130" s="10" t="s">
        <v>1129</v>
      </c>
      <c r="B1130" s="12">
        <v>14.87</v>
      </c>
      <c r="C1130" s="11">
        <v>0</v>
      </c>
      <c r="D1130" s="11">
        <v>0.12869792888386777</v>
      </c>
    </row>
    <row r="1131" spans="1:4" x14ac:dyDescent="0.2">
      <c r="A1131" s="10" t="s">
        <v>1130</v>
      </c>
      <c r="B1131" s="12">
        <v>13.41</v>
      </c>
      <c r="C1131" s="11">
        <v>0</v>
      </c>
      <c r="D1131" s="11">
        <v>1.5740746686565366</v>
      </c>
    </row>
    <row r="1132" spans="1:4" x14ac:dyDescent="0.2">
      <c r="A1132" s="10" t="s">
        <v>1131</v>
      </c>
      <c r="B1132" s="12">
        <v>14.8</v>
      </c>
      <c r="C1132" s="11">
        <v>0</v>
      </c>
      <c r="D1132" s="11">
        <v>0.19799681366748889</v>
      </c>
    </row>
    <row r="1133" spans="1:4" x14ac:dyDescent="0.2">
      <c r="A1133" s="10" t="s">
        <v>1132</v>
      </c>
      <c r="B1133" s="12">
        <v>12.91</v>
      </c>
      <c r="C1133" s="11">
        <v>0</v>
      </c>
      <c r="D1133" s="11">
        <v>2.0690667028252587</v>
      </c>
    </row>
    <row r="1134" spans="1:4" x14ac:dyDescent="0.2">
      <c r="A1134" s="10" t="s">
        <v>1133</v>
      </c>
      <c r="B1134" s="12">
        <v>14.36</v>
      </c>
      <c r="C1134" s="11">
        <v>0</v>
      </c>
      <c r="D1134" s="11">
        <v>0.63358980373596441</v>
      </c>
    </row>
    <row r="1135" spans="1:4" x14ac:dyDescent="0.2">
      <c r="A1135" s="10" t="s">
        <v>1134</v>
      </c>
      <c r="B1135" s="12">
        <v>16.23</v>
      </c>
      <c r="C1135" s="11">
        <v>1.2176804040550566</v>
      </c>
      <c r="D1135" s="11">
        <v>0</v>
      </c>
    </row>
    <row r="1136" spans="1:4" x14ac:dyDescent="0.2">
      <c r="A1136" s="10" t="s">
        <v>1135</v>
      </c>
      <c r="B1136" s="12">
        <v>13.87</v>
      </c>
      <c r="C1136" s="11">
        <v>0</v>
      </c>
      <c r="D1136" s="11">
        <v>1.118681997221312</v>
      </c>
    </row>
    <row r="1137" spans="1:4" x14ac:dyDescent="0.2">
      <c r="A1137" s="10" t="s">
        <v>1136</v>
      </c>
      <c r="B1137" s="12">
        <v>15.34</v>
      </c>
      <c r="C1137" s="11">
        <v>0.33659458323473113</v>
      </c>
      <c r="D1137" s="11">
        <v>0</v>
      </c>
    </row>
    <row r="1138" spans="1:4" x14ac:dyDescent="0.2">
      <c r="A1138" s="10" t="s">
        <v>1137</v>
      </c>
      <c r="B1138" s="12">
        <v>13.14</v>
      </c>
      <c r="C1138" s="11">
        <v>0</v>
      </c>
      <c r="D1138" s="11">
        <v>1.8413703671076467</v>
      </c>
    </row>
    <row r="1139" spans="1:4" x14ac:dyDescent="0.2">
      <c r="A1139" s="10" t="s">
        <v>1138</v>
      </c>
      <c r="B1139" s="12">
        <v>15.71</v>
      </c>
      <c r="C1139" s="11">
        <v>0.70288868851958541</v>
      </c>
      <c r="D1139" s="11">
        <v>0</v>
      </c>
    </row>
    <row r="1140" spans="1:4" x14ac:dyDescent="0.2">
      <c r="A1140" s="10" t="s">
        <v>1139</v>
      </c>
      <c r="B1140" s="12">
        <v>16.14</v>
      </c>
      <c r="C1140" s="11">
        <v>1.1285818379046864</v>
      </c>
      <c r="D1140" s="11">
        <v>0</v>
      </c>
    </row>
    <row r="1141" spans="1:4" x14ac:dyDescent="0.2">
      <c r="A1141" s="10" t="s">
        <v>1140</v>
      </c>
      <c r="B1141" s="12">
        <v>13.55</v>
      </c>
      <c r="C1141" s="11">
        <v>0</v>
      </c>
      <c r="D1141" s="11">
        <v>1.4354768990892943</v>
      </c>
    </row>
    <row r="1142" spans="1:4" x14ac:dyDescent="0.2">
      <c r="A1142" s="10" t="s">
        <v>1141</v>
      </c>
      <c r="B1142" s="12">
        <v>13.5</v>
      </c>
      <c r="C1142" s="11">
        <v>0</v>
      </c>
      <c r="D1142" s="11">
        <v>1.4849761025061665</v>
      </c>
    </row>
    <row r="1143" spans="1:4" x14ac:dyDescent="0.2">
      <c r="A1143" s="10" t="s">
        <v>1142</v>
      </c>
      <c r="B1143" s="12">
        <v>15.06</v>
      </c>
      <c r="C1143" s="11">
        <v>5.9399044100246656E-2</v>
      </c>
      <c r="D1143" s="11">
        <v>0</v>
      </c>
    </row>
    <row r="1144" spans="1:4" x14ac:dyDescent="0.2">
      <c r="A1144" s="10" t="s">
        <v>1143</v>
      </c>
      <c r="B1144" s="12">
        <v>14.72</v>
      </c>
      <c r="C1144" s="11">
        <v>0</v>
      </c>
      <c r="D1144" s="11">
        <v>0.27719553913448447</v>
      </c>
    </row>
    <row r="1145" spans="1:4" x14ac:dyDescent="0.2">
      <c r="A1145" s="10" t="s">
        <v>1144</v>
      </c>
      <c r="B1145" s="12">
        <v>14.27</v>
      </c>
      <c r="C1145" s="11">
        <v>0</v>
      </c>
      <c r="D1145" s="11">
        <v>0.72268836988633434</v>
      </c>
    </row>
    <row r="1146" spans="1:4" x14ac:dyDescent="0.2">
      <c r="A1146" s="10" t="s">
        <v>1145</v>
      </c>
      <c r="B1146" s="12">
        <v>14.52</v>
      </c>
      <c r="C1146" s="11">
        <v>0</v>
      </c>
      <c r="D1146" s="11">
        <v>0.47519235280197325</v>
      </c>
    </row>
    <row r="1147" spans="1:4" x14ac:dyDescent="0.2">
      <c r="A1147" s="10" t="s">
        <v>1146</v>
      </c>
      <c r="B1147" s="12">
        <v>13.17</v>
      </c>
      <c r="C1147" s="11">
        <v>0</v>
      </c>
      <c r="D1147" s="11">
        <v>1.8116708450575232</v>
      </c>
    </row>
    <row r="1148" spans="1:4" x14ac:dyDescent="0.2">
      <c r="A1148" s="10" t="s">
        <v>1147</v>
      </c>
      <c r="B1148" s="12">
        <v>13.85</v>
      </c>
      <c r="C1148" s="11">
        <v>0</v>
      </c>
      <c r="D1148" s="11">
        <v>1.1384816785880609</v>
      </c>
    </row>
    <row r="1149" spans="1:4" x14ac:dyDescent="0.2">
      <c r="A1149" s="10" t="s">
        <v>1148</v>
      </c>
      <c r="B1149" s="12">
        <v>14.68</v>
      </c>
      <c r="C1149" s="11">
        <v>0</v>
      </c>
      <c r="D1149" s="11">
        <v>0.3167949018679822</v>
      </c>
    </row>
    <row r="1150" spans="1:4" x14ac:dyDescent="0.2">
      <c r="A1150" s="10" t="s">
        <v>1149</v>
      </c>
      <c r="B1150" s="12">
        <v>13.84</v>
      </c>
      <c r="C1150" s="11">
        <v>0</v>
      </c>
      <c r="D1150" s="11">
        <v>1.1483815192714353</v>
      </c>
    </row>
    <row r="1151" spans="1:4" x14ac:dyDescent="0.2">
      <c r="A1151" s="10" t="s">
        <v>1150</v>
      </c>
      <c r="B1151" s="12">
        <v>12.44</v>
      </c>
      <c r="C1151" s="11">
        <v>0</v>
      </c>
      <c r="D1151" s="11">
        <v>2.5343592149438576</v>
      </c>
    </row>
    <row r="1152" spans="1:4" x14ac:dyDescent="0.2">
      <c r="A1152" s="10" t="s">
        <v>1151</v>
      </c>
      <c r="B1152" s="12">
        <v>12.94</v>
      </c>
      <c r="C1152" s="11">
        <v>0</v>
      </c>
      <c r="D1152" s="11">
        <v>2.0393671807751352</v>
      </c>
    </row>
    <row r="1153" spans="1:4" x14ac:dyDescent="0.2">
      <c r="A1153" s="10" t="s">
        <v>1152</v>
      </c>
      <c r="B1153" s="12">
        <v>12.46</v>
      </c>
      <c r="C1153" s="11">
        <v>0</v>
      </c>
      <c r="D1153" s="11">
        <v>2.5145595335771085</v>
      </c>
    </row>
    <row r="1154" spans="1:4" x14ac:dyDescent="0.2">
      <c r="A1154" s="10" t="s">
        <v>1153</v>
      </c>
      <c r="B1154" s="12">
        <v>12.49</v>
      </c>
      <c r="C1154" s="11">
        <v>0</v>
      </c>
      <c r="D1154" s="11">
        <v>2.484860011526985</v>
      </c>
    </row>
    <row r="1155" spans="1:4" x14ac:dyDescent="0.2">
      <c r="A1155" s="10" t="s">
        <v>1154</v>
      </c>
      <c r="B1155" s="12">
        <v>14.05</v>
      </c>
      <c r="C1155" s="11">
        <v>0</v>
      </c>
      <c r="D1155" s="11">
        <v>0.94048486492057204</v>
      </c>
    </row>
    <row r="1156" spans="1:4" x14ac:dyDescent="0.2">
      <c r="A1156" s="10" t="s">
        <v>1155</v>
      </c>
      <c r="B1156" s="12">
        <v>12.67</v>
      </c>
      <c r="C1156" s="11">
        <v>0</v>
      </c>
      <c r="D1156" s="11">
        <v>2.3066628792262454</v>
      </c>
    </row>
    <row r="1157" spans="1:4" x14ac:dyDescent="0.2">
      <c r="A1157" s="10" t="s">
        <v>1156</v>
      </c>
      <c r="B1157" s="12">
        <v>13.43</v>
      </c>
      <c r="C1157" s="11">
        <v>0</v>
      </c>
      <c r="D1157" s="11">
        <v>1.5542749872897876</v>
      </c>
    </row>
    <row r="1158" spans="1:4" x14ac:dyDescent="0.2">
      <c r="A1158" s="10" t="s">
        <v>1157</v>
      </c>
      <c r="B1158" s="12">
        <v>14.64</v>
      </c>
      <c r="C1158" s="11">
        <v>0</v>
      </c>
      <c r="D1158" s="11">
        <v>0.35639426460147994</v>
      </c>
    </row>
    <row r="1159" spans="1:4" x14ac:dyDescent="0.2">
      <c r="A1159" s="10" t="s">
        <v>1158</v>
      </c>
      <c r="B1159" s="12">
        <v>15.49</v>
      </c>
      <c r="C1159" s="11">
        <v>0.48509219348534771</v>
      </c>
      <c r="D1159" s="11">
        <v>0</v>
      </c>
    </row>
    <row r="1160" spans="1:4" x14ac:dyDescent="0.2">
      <c r="A1160" s="10" t="s">
        <v>1159</v>
      </c>
      <c r="B1160" s="12">
        <v>13.23</v>
      </c>
      <c r="C1160" s="11">
        <v>0</v>
      </c>
      <c r="D1160" s="11">
        <v>1.7522718009572764</v>
      </c>
    </row>
    <row r="1161" spans="1:4" x14ac:dyDescent="0.2">
      <c r="A1161" s="10" t="s">
        <v>1160</v>
      </c>
      <c r="B1161" s="12">
        <v>14.63</v>
      </c>
      <c r="C1161" s="11">
        <v>0</v>
      </c>
      <c r="D1161" s="11">
        <v>0.3662941052848544</v>
      </c>
    </row>
    <row r="1162" spans="1:4" x14ac:dyDescent="0.2">
      <c r="A1162" s="10" t="s">
        <v>1161</v>
      </c>
      <c r="B1162" s="12">
        <v>14.83</v>
      </c>
      <c r="C1162" s="11">
        <v>0</v>
      </c>
      <c r="D1162" s="11">
        <v>0.16829729161736556</v>
      </c>
    </row>
    <row r="1163" spans="1:4" x14ac:dyDescent="0.2">
      <c r="A1163" s="10" t="s">
        <v>1162</v>
      </c>
      <c r="B1163" s="12">
        <v>13.29</v>
      </c>
      <c r="C1163" s="11">
        <v>0</v>
      </c>
      <c r="D1163" s="11">
        <v>1.6928727568570299</v>
      </c>
    </row>
    <row r="1164" spans="1:4" x14ac:dyDescent="0.2">
      <c r="A1164" s="10" t="s">
        <v>1163</v>
      </c>
      <c r="B1164" s="12">
        <v>12.48</v>
      </c>
      <c r="C1164" s="11">
        <v>0</v>
      </c>
      <c r="D1164" s="11">
        <v>2.4947598522103598</v>
      </c>
    </row>
    <row r="1165" spans="1:4" x14ac:dyDescent="0.2">
      <c r="A1165" s="10" t="s">
        <v>1164</v>
      </c>
      <c r="B1165" s="12">
        <v>13.62</v>
      </c>
      <c r="C1165" s="11">
        <v>0</v>
      </c>
      <c r="D1165" s="11">
        <v>1.366178014305673</v>
      </c>
    </row>
    <row r="1166" spans="1:4" x14ac:dyDescent="0.2">
      <c r="A1166" s="10" t="s">
        <v>1165</v>
      </c>
      <c r="B1166" s="12">
        <v>14.37</v>
      </c>
      <c r="C1166" s="11">
        <v>0</v>
      </c>
      <c r="D1166" s="11">
        <v>0.62368996305258995</v>
      </c>
    </row>
    <row r="1167" spans="1:4" x14ac:dyDescent="0.2">
      <c r="A1167" s="10" t="s">
        <v>1166</v>
      </c>
      <c r="B1167" s="12">
        <v>14.31</v>
      </c>
      <c r="C1167" s="11">
        <v>0</v>
      </c>
      <c r="D1167" s="11">
        <v>0.68308900715283649</v>
      </c>
    </row>
    <row r="1168" spans="1:4" x14ac:dyDescent="0.2">
      <c r="A1168" s="10" t="s">
        <v>1167</v>
      </c>
      <c r="B1168" s="12">
        <v>13.66</v>
      </c>
      <c r="C1168" s="11">
        <v>0</v>
      </c>
      <c r="D1168" s="11">
        <v>1.3265786515721756</v>
      </c>
    </row>
    <row r="1169" spans="1:4" x14ac:dyDescent="0.2">
      <c r="A1169" s="10" t="s">
        <v>1168</v>
      </c>
      <c r="B1169" s="12">
        <v>14.47</v>
      </c>
      <c r="C1169" s="11">
        <v>0</v>
      </c>
      <c r="D1169" s="11">
        <v>0.53459139690222002</v>
      </c>
    </row>
    <row r="1170" spans="1:4" x14ac:dyDescent="0.2">
      <c r="A1170" s="10" t="s">
        <v>1169</v>
      </c>
      <c r="B1170" s="12">
        <v>15.01</v>
      </c>
      <c r="C1170" s="11">
        <v>9.8998406833744439E-3</v>
      </c>
      <c r="D1170" s="11">
        <v>0</v>
      </c>
    </row>
    <row r="1171" spans="1:4" x14ac:dyDescent="0.2">
      <c r="A1171" s="10" t="s">
        <v>1170</v>
      </c>
      <c r="B1171" s="12">
        <v>15.37</v>
      </c>
      <c r="C1171" s="11">
        <v>0.3662941052848544</v>
      </c>
      <c r="D1171" s="11">
        <v>0</v>
      </c>
    </row>
    <row r="1172" spans="1:4" x14ac:dyDescent="0.2">
      <c r="A1172" s="10" t="s">
        <v>1171</v>
      </c>
      <c r="B1172" s="12">
        <v>14.28</v>
      </c>
      <c r="C1172" s="11">
        <v>0</v>
      </c>
      <c r="D1172" s="11">
        <v>0.71278852920295988</v>
      </c>
    </row>
    <row r="1173" spans="1:4" x14ac:dyDescent="0.2">
      <c r="A1173" s="10" t="s">
        <v>1172</v>
      </c>
      <c r="B1173" s="12">
        <v>15.92</v>
      </c>
      <c r="C1173" s="11">
        <v>0.91078534287044888</v>
      </c>
      <c r="D1173" s="11">
        <v>0</v>
      </c>
    </row>
    <row r="1174" spans="1:4" x14ac:dyDescent="0.2">
      <c r="A1174" s="10" t="s">
        <v>1173</v>
      </c>
      <c r="B1174" s="12">
        <v>13.04</v>
      </c>
      <c r="C1174" s="11">
        <v>0</v>
      </c>
      <c r="D1174" s="11">
        <v>1.9403687739413908</v>
      </c>
    </row>
    <row r="1175" spans="1:4" x14ac:dyDescent="0.2">
      <c r="A1175" s="10" t="s">
        <v>1174</v>
      </c>
      <c r="B1175" s="12">
        <v>14.12</v>
      </c>
      <c r="C1175" s="11">
        <v>0</v>
      </c>
      <c r="D1175" s="11">
        <v>0.87118598013695103</v>
      </c>
    </row>
    <row r="1176" spans="1:4" x14ac:dyDescent="0.2">
      <c r="A1176" s="10" t="s">
        <v>1175</v>
      </c>
      <c r="B1176" s="12">
        <v>14.77</v>
      </c>
      <c r="C1176" s="11">
        <v>0</v>
      </c>
      <c r="D1176" s="11">
        <v>0.22769633571761222</v>
      </c>
    </row>
    <row r="1177" spans="1:4" x14ac:dyDescent="0.2">
      <c r="A1177" s="10" t="s">
        <v>1176</v>
      </c>
      <c r="B1177" s="12">
        <v>13.34</v>
      </c>
      <c r="C1177" s="11">
        <v>0</v>
      </c>
      <c r="D1177" s="11">
        <v>1.6433735534401575</v>
      </c>
    </row>
    <row r="1178" spans="1:4" x14ac:dyDescent="0.2">
      <c r="A1178" s="10" t="s">
        <v>1177</v>
      </c>
      <c r="B1178" s="12">
        <v>14.97</v>
      </c>
      <c r="C1178" s="11">
        <v>0</v>
      </c>
      <c r="D1178" s="11">
        <v>2.9699522050123328E-2</v>
      </c>
    </row>
    <row r="1179" spans="1:4" x14ac:dyDescent="0.2">
      <c r="A1179" s="10" t="s">
        <v>1178</v>
      </c>
      <c r="B1179" s="12">
        <v>15.62</v>
      </c>
      <c r="C1179" s="11">
        <v>0.61379012236921549</v>
      </c>
      <c r="D1179" s="11">
        <v>0</v>
      </c>
    </row>
    <row r="1180" spans="1:4" x14ac:dyDescent="0.2">
      <c r="A1180" s="10" t="s">
        <v>1179</v>
      </c>
      <c r="B1180" s="12">
        <v>13.68</v>
      </c>
      <c r="C1180" s="11">
        <v>0</v>
      </c>
      <c r="D1180" s="11">
        <v>1.3067789702054267</v>
      </c>
    </row>
    <row r="1181" spans="1:4" x14ac:dyDescent="0.2">
      <c r="A1181" s="10" t="s">
        <v>1180</v>
      </c>
      <c r="B1181" s="12">
        <v>14.82</v>
      </c>
      <c r="C1181" s="11">
        <v>0</v>
      </c>
      <c r="D1181" s="11">
        <v>0.17819713230073997</v>
      </c>
    </row>
    <row r="1182" spans="1:4" x14ac:dyDescent="0.2">
      <c r="A1182" s="10" t="s">
        <v>1181</v>
      </c>
      <c r="B1182" s="12">
        <v>14.03</v>
      </c>
      <c r="C1182" s="11">
        <v>0</v>
      </c>
      <c r="D1182" s="11">
        <v>0.96028454628732096</v>
      </c>
    </row>
    <row r="1183" spans="1:4" x14ac:dyDescent="0.2">
      <c r="A1183" s="10" t="s">
        <v>1182</v>
      </c>
      <c r="B1183" s="12">
        <v>15.22</v>
      </c>
      <c r="C1183" s="11">
        <v>0.21779649503423776</v>
      </c>
      <c r="D1183" s="11">
        <v>0</v>
      </c>
    </row>
    <row r="1184" spans="1:4" x14ac:dyDescent="0.2">
      <c r="A1184" s="10" t="s">
        <v>1183</v>
      </c>
      <c r="B1184" s="12">
        <v>13.1</v>
      </c>
      <c r="C1184" s="11">
        <v>0</v>
      </c>
      <c r="D1184" s="11">
        <v>1.8809697298411441</v>
      </c>
    </row>
    <row r="1185" spans="1:4" x14ac:dyDescent="0.2">
      <c r="A1185" s="10" t="s">
        <v>1184</v>
      </c>
      <c r="B1185" s="12">
        <v>14.04</v>
      </c>
      <c r="C1185" s="11">
        <v>0</v>
      </c>
      <c r="D1185" s="11">
        <v>0.9503847056039465</v>
      </c>
    </row>
    <row r="1186" spans="1:4" x14ac:dyDescent="0.2">
      <c r="A1186" s="10" t="s">
        <v>1185</v>
      </c>
      <c r="B1186" s="12">
        <v>15.5</v>
      </c>
      <c r="C1186" s="11">
        <v>0.49499203416872217</v>
      </c>
      <c r="D1186" s="11">
        <v>0</v>
      </c>
    </row>
    <row r="1187" spans="1:4" x14ac:dyDescent="0.2">
      <c r="A1187" s="10" t="s">
        <v>1186</v>
      </c>
      <c r="B1187" s="12">
        <v>13.66</v>
      </c>
      <c r="C1187" s="11">
        <v>0</v>
      </c>
      <c r="D1187" s="11">
        <v>1.3265786515721756</v>
      </c>
    </row>
    <row r="1188" spans="1:4" x14ac:dyDescent="0.2">
      <c r="A1188" s="10" t="s">
        <v>1187</v>
      </c>
      <c r="B1188" s="12">
        <v>13.88</v>
      </c>
      <c r="C1188" s="11">
        <v>0</v>
      </c>
      <c r="D1188" s="11">
        <v>1.1087821565379379</v>
      </c>
    </row>
    <row r="1189" spans="1:4" x14ac:dyDescent="0.2">
      <c r="A1189" s="10" t="s">
        <v>1188</v>
      </c>
      <c r="B1189" s="12">
        <v>12.74</v>
      </c>
      <c r="C1189" s="11">
        <v>0</v>
      </c>
      <c r="D1189" s="11">
        <v>2.237363994442624</v>
      </c>
    </row>
    <row r="1190" spans="1:4" x14ac:dyDescent="0.2">
      <c r="A1190" s="10" t="s">
        <v>1189</v>
      </c>
      <c r="B1190" s="12">
        <v>12.96</v>
      </c>
      <c r="C1190" s="11">
        <v>0</v>
      </c>
      <c r="D1190" s="11">
        <v>2.0195674994083865</v>
      </c>
    </row>
    <row r="1191" spans="1:4" x14ac:dyDescent="0.2">
      <c r="A1191" s="10" t="s">
        <v>1190</v>
      </c>
      <c r="B1191" s="12">
        <v>13.14</v>
      </c>
      <c r="C1191" s="11">
        <v>0</v>
      </c>
      <c r="D1191" s="11">
        <v>1.8413703671076467</v>
      </c>
    </row>
    <row r="1192" spans="1:4" x14ac:dyDescent="0.2">
      <c r="A1192" s="10" t="s">
        <v>1191</v>
      </c>
      <c r="B1192" s="12">
        <v>10.91</v>
      </c>
      <c r="C1192" s="11">
        <v>0</v>
      </c>
      <c r="D1192" s="11">
        <v>4.0490348395001474</v>
      </c>
    </row>
    <row r="1193" spans="1:4" x14ac:dyDescent="0.2">
      <c r="A1193" s="10" t="s">
        <v>1192</v>
      </c>
      <c r="B1193" s="12">
        <v>14.75</v>
      </c>
      <c r="C1193" s="11">
        <v>0</v>
      </c>
      <c r="D1193" s="11">
        <v>0.24749601708436109</v>
      </c>
    </row>
    <row r="1194" spans="1:4" x14ac:dyDescent="0.2">
      <c r="A1194" s="10" t="s">
        <v>1193</v>
      </c>
      <c r="B1194" s="12">
        <v>14.48</v>
      </c>
      <c r="C1194" s="11">
        <v>0</v>
      </c>
      <c r="D1194" s="11">
        <v>0.51479171553547109</v>
      </c>
    </row>
    <row r="1195" spans="1:4" x14ac:dyDescent="0.2">
      <c r="A1195" s="10" t="s">
        <v>1194</v>
      </c>
      <c r="B1195" s="12">
        <v>11.6</v>
      </c>
      <c r="C1195" s="11">
        <v>0</v>
      </c>
      <c r="D1195" s="11">
        <v>3.3659458323473106</v>
      </c>
    </row>
    <row r="1196" spans="1:4" x14ac:dyDescent="0.2">
      <c r="A1196" s="10" t="s">
        <v>1195</v>
      </c>
      <c r="B1196" s="12">
        <v>14.54</v>
      </c>
      <c r="C1196" s="11">
        <v>0</v>
      </c>
      <c r="D1196" s="11">
        <v>0.45539267143522444</v>
      </c>
    </row>
    <row r="1197" spans="1:4" x14ac:dyDescent="0.2">
      <c r="A1197" s="10" t="s">
        <v>1196</v>
      </c>
      <c r="B1197" s="12">
        <v>14.19</v>
      </c>
      <c r="C1197" s="11">
        <v>0</v>
      </c>
      <c r="D1197" s="11">
        <v>0.80188709535333003</v>
      </c>
    </row>
    <row r="1198" spans="1:4" x14ac:dyDescent="0.2">
      <c r="A1198" s="10" t="s">
        <v>1197</v>
      </c>
      <c r="B1198" s="12">
        <v>12.06</v>
      </c>
      <c r="C1198" s="11">
        <v>0</v>
      </c>
      <c r="D1198" s="11">
        <v>2.9105531609120865</v>
      </c>
    </row>
    <row r="1199" spans="1:4" x14ac:dyDescent="0.2">
      <c r="A1199" s="10" t="s">
        <v>1198</v>
      </c>
      <c r="B1199" s="12">
        <v>13.72</v>
      </c>
      <c r="C1199" s="11">
        <v>0</v>
      </c>
      <c r="D1199" s="11">
        <v>1.2671796074719288</v>
      </c>
    </row>
    <row r="1200" spans="1:4" x14ac:dyDescent="0.2">
      <c r="A1200" s="10" t="s">
        <v>1199</v>
      </c>
      <c r="B1200" s="12">
        <v>12.76</v>
      </c>
      <c r="C1200" s="11">
        <v>0</v>
      </c>
      <c r="D1200" s="11">
        <v>2.2175643130758758</v>
      </c>
    </row>
    <row r="1201" spans="1:4" x14ac:dyDescent="0.2">
      <c r="A1201" s="10" t="s">
        <v>1200</v>
      </c>
      <c r="B1201" s="12">
        <v>13.84</v>
      </c>
      <c r="C1201" s="11">
        <v>0</v>
      </c>
      <c r="D1201" s="11">
        <v>1.1483815192714353</v>
      </c>
    </row>
    <row r="1202" spans="1:4" x14ac:dyDescent="0.2">
      <c r="A1202" s="10" t="s">
        <v>1201</v>
      </c>
      <c r="B1202" s="12">
        <v>16.34</v>
      </c>
      <c r="C1202" s="11">
        <v>1.3265786515721756</v>
      </c>
      <c r="D1202" s="11">
        <v>0</v>
      </c>
    </row>
    <row r="1203" spans="1:4" x14ac:dyDescent="0.2">
      <c r="A1203" s="10" t="s">
        <v>1202</v>
      </c>
      <c r="B1203" s="12">
        <v>13.78</v>
      </c>
      <c r="C1203" s="11">
        <v>0</v>
      </c>
      <c r="D1203" s="11">
        <v>1.207780563371682</v>
      </c>
    </row>
    <row r="1204" spans="1:4" x14ac:dyDescent="0.2">
      <c r="A1204" s="10" t="s">
        <v>1203</v>
      </c>
      <c r="B1204" s="12">
        <v>14.92</v>
      </c>
      <c r="C1204" s="11">
        <v>0</v>
      </c>
      <c r="D1204" s="11">
        <v>7.9198725466995551E-2</v>
      </c>
    </row>
    <row r="1205" spans="1:4" x14ac:dyDescent="0.2">
      <c r="A1205" s="10" t="s">
        <v>1204</v>
      </c>
      <c r="B1205" s="12">
        <v>15.01</v>
      </c>
      <c r="C1205" s="11">
        <v>9.8998406833744439E-3</v>
      </c>
      <c r="D1205" s="11">
        <v>0</v>
      </c>
    </row>
    <row r="1206" spans="1:4" x14ac:dyDescent="0.2">
      <c r="A1206" s="10" t="s">
        <v>1205</v>
      </c>
      <c r="B1206" s="12">
        <v>15.35</v>
      </c>
      <c r="C1206" s="11">
        <v>0.34649442391810548</v>
      </c>
      <c r="D1206" s="11">
        <v>0</v>
      </c>
    </row>
    <row r="1207" spans="1:4" x14ac:dyDescent="0.2">
      <c r="A1207" s="10" t="s">
        <v>1206</v>
      </c>
      <c r="B1207" s="12">
        <v>13.92</v>
      </c>
      <c r="C1207" s="11">
        <v>0</v>
      </c>
      <c r="D1207" s="11">
        <v>1.06918279380444</v>
      </c>
    </row>
    <row r="1208" spans="1:4" x14ac:dyDescent="0.2">
      <c r="A1208" s="10" t="s">
        <v>1207</v>
      </c>
      <c r="B1208" s="12">
        <v>15.38</v>
      </c>
      <c r="C1208" s="11">
        <v>0.37619394596822886</v>
      </c>
      <c r="D1208" s="11">
        <v>0</v>
      </c>
    </row>
    <row r="1209" spans="1:4" x14ac:dyDescent="0.2">
      <c r="A1209" s="10" t="s">
        <v>1208</v>
      </c>
      <c r="B1209" s="12">
        <v>15.3</v>
      </c>
      <c r="C1209" s="11">
        <v>0.29699522050123328</v>
      </c>
      <c r="D1209" s="11">
        <v>0</v>
      </c>
    </row>
    <row r="1210" spans="1:4" x14ac:dyDescent="0.2">
      <c r="A1210" s="10" t="s">
        <v>1209</v>
      </c>
      <c r="B1210" s="12">
        <v>12.39</v>
      </c>
      <c r="C1210" s="11">
        <v>0</v>
      </c>
      <c r="D1210" s="11">
        <v>2.5838584183607298</v>
      </c>
    </row>
    <row r="1211" spans="1:4" x14ac:dyDescent="0.2">
      <c r="A1211" s="10" t="s">
        <v>1210</v>
      </c>
      <c r="B1211" s="12">
        <v>13.57</v>
      </c>
      <c r="C1211" s="11">
        <v>0</v>
      </c>
      <c r="D1211" s="11">
        <v>1.4156772177225454</v>
      </c>
    </row>
    <row r="1212" spans="1:4" x14ac:dyDescent="0.2">
      <c r="A1212" s="10" t="s">
        <v>1211</v>
      </c>
      <c r="B1212" s="12">
        <v>12.04</v>
      </c>
      <c r="C1212" s="11">
        <v>0</v>
      </c>
      <c r="D1212" s="11">
        <v>2.9303528422788352</v>
      </c>
    </row>
    <row r="1213" spans="1:4" x14ac:dyDescent="0.2">
      <c r="A1213" s="10" t="s">
        <v>1212</v>
      </c>
      <c r="B1213" s="12">
        <v>13.56</v>
      </c>
      <c r="C1213" s="11">
        <v>0</v>
      </c>
      <c r="D1213" s="11">
        <v>1.4255770584059198</v>
      </c>
    </row>
    <row r="1214" spans="1:4" x14ac:dyDescent="0.2">
      <c r="A1214" s="10" t="s">
        <v>1213</v>
      </c>
      <c r="B1214" s="12">
        <v>15.24</v>
      </c>
      <c r="C1214" s="11">
        <v>0.23759617640098663</v>
      </c>
      <c r="D1214" s="11">
        <v>0</v>
      </c>
    </row>
    <row r="1215" spans="1:4" x14ac:dyDescent="0.2">
      <c r="A1215" s="10" t="s">
        <v>1214</v>
      </c>
      <c r="B1215" s="12">
        <v>12.83</v>
      </c>
      <c r="C1215" s="11">
        <v>0</v>
      </c>
      <c r="D1215" s="11">
        <v>2.148265428292254</v>
      </c>
    </row>
    <row r="1216" spans="1:4" x14ac:dyDescent="0.2">
      <c r="A1216" s="10" t="s">
        <v>1215</v>
      </c>
      <c r="B1216" s="12">
        <v>13.88</v>
      </c>
      <c r="C1216" s="11">
        <v>0</v>
      </c>
      <c r="D1216" s="11">
        <v>1.1087821565379379</v>
      </c>
    </row>
    <row r="1217" spans="1:4" x14ac:dyDescent="0.2">
      <c r="A1217" s="10" t="s">
        <v>1216</v>
      </c>
      <c r="B1217" s="12">
        <v>15.94</v>
      </c>
      <c r="C1217" s="11">
        <v>0.93058502423719758</v>
      </c>
      <c r="D1217" s="11">
        <v>0</v>
      </c>
    </row>
    <row r="1218" spans="1:4" x14ac:dyDescent="0.2">
      <c r="A1218" s="10" t="s">
        <v>1217</v>
      </c>
      <c r="B1218" s="12">
        <v>13.77</v>
      </c>
      <c r="C1218" s="11">
        <v>0</v>
      </c>
      <c r="D1218" s="11">
        <v>1.2176804040550566</v>
      </c>
    </row>
    <row r="1219" spans="1:4" x14ac:dyDescent="0.2">
      <c r="A1219" s="10" t="s">
        <v>1218</v>
      </c>
      <c r="B1219" s="12">
        <v>13.59</v>
      </c>
      <c r="C1219" s="11">
        <v>0</v>
      </c>
      <c r="D1219" s="11">
        <v>1.3958775363557965</v>
      </c>
    </row>
    <row r="1220" spans="1:4" x14ac:dyDescent="0.2">
      <c r="A1220" s="10" t="s">
        <v>1219</v>
      </c>
      <c r="B1220" s="12">
        <v>14.59</v>
      </c>
      <c r="C1220" s="11">
        <v>0</v>
      </c>
      <c r="D1220" s="11">
        <v>0.40589346801835213</v>
      </c>
    </row>
    <row r="1221" spans="1:4" x14ac:dyDescent="0.2">
      <c r="A1221" s="10" t="s">
        <v>1220</v>
      </c>
      <c r="B1221" s="12">
        <v>14.67</v>
      </c>
      <c r="C1221" s="11">
        <v>0</v>
      </c>
      <c r="D1221" s="11">
        <v>0.32669474255135666</v>
      </c>
    </row>
    <row r="1222" spans="1:4" x14ac:dyDescent="0.2">
      <c r="A1222" s="10" t="s">
        <v>1221</v>
      </c>
      <c r="B1222" s="12">
        <v>13.98</v>
      </c>
      <c r="C1222" s="11">
        <v>0</v>
      </c>
      <c r="D1222" s="11">
        <v>1.0097837497041933</v>
      </c>
    </row>
    <row r="1223" spans="1:4" x14ac:dyDescent="0.2">
      <c r="A1223" s="10" t="s">
        <v>1222</v>
      </c>
      <c r="B1223" s="12">
        <v>13.36</v>
      </c>
      <c r="C1223" s="11">
        <v>0</v>
      </c>
      <c r="D1223" s="11">
        <v>1.6235738720734085</v>
      </c>
    </row>
    <row r="1224" spans="1:4" x14ac:dyDescent="0.2">
      <c r="A1224" s="10" t="s">
        <v>1223</v>
      </c>
      <c r="B1224" s="12">
        <v>14.2</v>
      </c>
      <c r="C1224" s="11">
        <v>0</v>
      </c>
      <c r="D1224" s="11">
        <v>0.79198725466995556</v>
      </c>
    </row>
    <row r="1225" spans="1:4" x14ac:dyDescent="0.2">
      <c r="A1225" s="10" t="s">
        <v>1224</v>
      </c>
      <c r="B1225" s="12">
        <v>13.43</v>
      </c>
      <c r="C1225" s="11">
        <v>0</v>
      </c>
      <c r="D1225" s="11">
        <v>1.5542749872897876</v>
      </c>
    </row>
    <row r="1226" spans="1:4" x14ac:dyDescent="0.2">
      <c r="A1226" s="10" t="s">
        <v>1225</v>
      </c>
      <c r="B1226" s="12">
        <v>15.47</v>
      </c>
      <c r="C1226" s="11">
        <v>0.46529251211859879</v>
      </c>
      <c r="D1226" s="11">
        <v>0</v>
      </c>
    </row>
    <row r="1227" spans="1:4" x14ac:dyDescent="0.2">
      <c r="A1227" s="10" t="s">
        <v>1226</v>
      </c>
      <c r="B1227" s="12">
        <v>14.36</v>
      </c>
      <c r="C1227" s="11">
        <v>0</v>
      </c>
      <c r="D1227" s="11">
        <v>0.63358980373596441</v>
      </c>
    </row>
    <row r="1228" spans="1:4" x14ac:dyDescent="0.2">
      <c r="A1228" s="10" t="s">
        <v>1227</v>
      </c>
      <c r="B1228" s="12">
        <v>15.94</v>
      </c>
      <c r="C1228" s="11">
        <v>0.93058502423719758</v>
      </c>
      <c r="D1228" s="11">
        <v>0</v>
      </c>
    </row>
    <row r="1229" spans="1:4" x14ac:dyDescent="0.2">
      <c r="A1229" s="10" t="s">
        <v>1228</v>
      </c>
      <c r="B1229" s="12">
        <v>12.72</v>
      </c>
      <c r="C1229" s="11">
        <v>0</v>
      </c>
      <c r="D1229" s="11">
        <v>2.2571636758093727</v>
      </c>
    </row>
    <row r="1230" spans="1:4" x14ac:dyDescent="0.2">
      <c r="A1230" s="10" t="s">
        <v>1229</v>
      </c>
      <c r="B1230" s="12">
        <v>15.08</v>
      </c>
      <c r="C1230" s="11">
        <v>7.9198725466995551E-2</v>
      </c>
      <c r="D1230" s="11">
        <v>0</v>
      </c>
    </row>
    <row r="1231" spans="1:4" x14ac:dyDescent="0.2">
      <c r="A1231" s="10" t="s">
        <v>1230</v>
      </c>
      <c r="B1231" s="12">
        <v>14.67</v>
      </c>
      <c r="C1231" s="11">
        <v>0</v>
      </c>
      <c r="D1231" s="11">
        <v>0.32669474255135666</v>
      </c>
    </row>
    <row r="1232" spans="1:4" x14ac:dyDescent="0.2">
      <c r="A1232" s="10" t="s">
        <v>1231</v>
      </c>
      <c r="B1232" s="12">
        <v>15.08</v>
      </c>
      <c r="C1232" s="11">
        <v>7.9198725466995551E-2</v>
      </c>
      <c r="D1232" s="11">
        <v>0</v>
      </c>
    </row>
    <row r="1233" spans="1:4" x14ac:dyDescent="0.2">
      <c r="A1233" s="10" t="s">
        <v>1232</v>
      </c>
      <c r="B1233" s="12">
        <v>14.63</v>
      </c>
      <c r="C1233" s="11">
        <v>0</v>
      </c>
      <c r="D1233" s="11">
        <v>0.3662941052848544</v>
      </c>
    </row>
    <row r="1234" spans="1:4" x14ac:dyDescent="0.2">
      <c r="A1234" s="10" t="s">
        <v>1233</v>
      </c>
      <c r="B1234" s="12">
        <v>15.5</v>
      </c>
      <c r="C1234" s="11">
        <v>0.49499203416872217</v>
      </c>
      <c r="D1234" s="11">
        <v>0</v>
      </c>
    </row>
    <row r="1235" spans="1:4" x14ac:dyDescent="0.2">
      <c r="A1235" s="10" t="s">
        <v>1234</v>
      </c>
      <c r="B1235" s="12">
        <v>12.39</v>
      </c>
      <c r="C1235" s="11">
        <v>0</v>
      </c>
      <c r="D1235" s="11">
        <v>2.5838584183607298</v>
      </c>
    </row>
    <row r="1236" spans="1:4" x14ac:dyDescent="0.2">
      <c r="A1236" s="10" t="s">
        <v>1235</v>
      </c>
      <c r="B1236" s="12">
        <v>16.010000000000002</v>
      </c>
      <c r="C1236" s="11">
        <v>0.99988390902081881</v>
      </c>
      <c r="D1236" s="11">
        <v>0</v>
      </c>
    </row>
    <row r="1237" spans="1:4" x14ac:dyDescent="0.2">
      <c r="A1237" s="10" t="s">
        <v>1236</v>
      </c>
      <c r="B1237" s="12">
        <v>13.3</v>
      </c>
      <c r="C1237" s="11">
        <v>0</v>
      </c>
      <c r="D1237" s="11">
        <v>1.6829729161736553</v>
      </c>
    </row>
    <row r="1238" spans="1:4" x14ac:dyDescent="0.2">
      <c r="A1238" s="10" t="s">
        <v>1237</v>
      </c>
      <c r="B1238" s="12">
        <v>14.9</v>
      </c>
      <c r="C1238" s="11">
        <v>0</v>
      </c>
      <c r="D1238" s="11">
        <v>9.8998406833744446E-2</v>
      </c>
    </row>
    <row r="1239" spans="1:4" x14ac:dyDescent="0.2">
      <c r="A1239" s="10" t="s">
        <v>1238</v>
      </c>
      <c r="B1239" s="12">
        <v>16</v>
      </c>
      <c r="C1239" s="11">
        <v>0.98998406833744435</v>
      </c>
      <c r="D1239" s="11">
        <v>0</v>
      </c>
    </row>
    <row r="1240" spans="1:4" x14ac:dyDescent="0.2">
      <c r="A1240" s="10" t="s">
        <v>1239</v>
      </c>
      <c r="B1240" s="12">
        <v>12.97</v>
      </c>
      <c r="C1240" s="11">
        <v>0</v>
      </c>
      <c r="D1240" s="11">
        <v>2.0096676587250117</v>
      </c>
    </row>
    <row r="1241" spans="1:4" x14ac:dyDescent="0.2">
      <c r="A1241" s="10" t="s">
        <v>1240</v>
      </c>
      <c r="B1241" s="12">
        <v>16.13</v>
      </c>
      <c r="C1241" s="11">
        <v>1.118681997221312</v>
      </c>
      <c r="D1241" s="11">
        <v>0</v>
      </c>
    </row>
    <row r="1242" spans="1:4" x14ac:dyDescent="0.2">
      <c r="A1242" s="10" t="s">
        <v>1241</v>
      </c>
      <c r="B1242" s="12">
        <v>13.97</v>
      </c>
      <c r="C1242" s="11">
        <v>0</v>
      </c>
      <c r="D1242" s="11">
        <v>1.0196835903875676</v>
      </c>
    </row>
    <row r="1243" spans="1:4" x14ac:dyDescent="0.2">
      <c r="A1243" s="10" t="s">
        <v>1242</v>
      </c>
      <c r="B1243" s="12">
        <v>13.42</v>
      </c>
      <c r="C1243" s="11">
        <v>0</v>
      </c>
      <c r="D1243" s="11">
        <v>1.5641748279731622</v>
      </c>
    </row>
    <row r="1244" spans="1:4" x14ac:dyDescent="0.2">
      <c r="A1244" s="10" t="s">
        <v>1243</v>
      </c>
      <c r="B1244" s="12">
        <v>13.46</v>
      </c>
      <c r="C1244" s="11">
        <v>0</v>
      </c>
      <c r="D1244" s="11">
        <v>1.5245754652396644</v>
      </c>
    </row>
    <row r="1245" spans="1:4" x14ac:dyDescent="0.2">
      <c r="A1245" s="10" t="s">
        <v>1244</v>
      </c>
      <c r="B1245" s="12">
        <v>12.88</v>
      </c>
      <c r="C1245" s="11">
        <v>0</v>
      </c>
      <c r="D1245" s="11">
        <v>2.0987662248753822</v>
      </c>
    </row>
    <row r="1246" spans="1:4" x14ac:dyDescent="0.2">
      <c r="A1246" s="10" t="s">
        <v>1245</v>
      </c>
      <c r="B1246" s="12">
        <v>14.67</v>
      </c>
      <c r="C1246" s="11">
        <v>0</v>
      </c>
      <c r="D1246" s="11">
        <v>0.33659458323473113</v>
      </c>
    </row>
    <row r="1247" spans="1:4" x14ac:dyDescent="0.2">
      <c r="A1247" s="10" t="s">
        <v>1246</v>
      </c>
      <c r="B1247" s="12">
        <v>13.66</v>
      </c>
      <c r="C1247" s="11">
        <v>0</v>
      </c>
      <c r="D1247" s="11">
        <v>1.3265786515721756</v>
      </c>
    </row>
    <row r="1248" spans="1:4" x14ac:dyDescent="0.2">
      <c r="A1248" s="10" t="s">
        <v>1247</v>
      </c>
      <c r="B1248" s="12">
        <v>16.350000000000001</v>
      </c>
      <c r="C1248" s="11">
        <v>1.3364784922555499</v>
      </c>
      <c r="D1248" s="11">
        <v>0</v>
      </c>
    </row>
    <row r="1249" spans="1:4" x14ac:dyDescent="0.2">
      <c r="A1249" s="10" t="s">
        <v>1248</v>
      </c>
      <c r="B1249" s="12">
        <v>14.26</v>
      </c>
      <c r="C1249" s="11">
        <v>0</v>
      </c>
      <c r="D1249" s="11">
        <v>0.7325882105697088</v>
      </c>
    </row>
    <row r="1250" spans="1:4" x14ac:dyDescent="0.2">
      <c r="A1250" s="10" t="s">
        <v>1249</v>
      </c>
      <c r="B1250" s="12">
        <v>14.1</v>
      </c>
      <c r="C1250" s="11">
        <v>0</v>
      </c>
      <c r="D1250" s="11">
        <v>0.89098566150369995</v>
      </c>
    </row>
    <row r="1251" spans="1:4" x14ac:dyDescent="0.2">
      <c r="A1251" s="10" t="s">
        <v>1250</v>
      </c>
      <c r="B1251" s="12">
        <v>13.6</v>
      </c>
      <c r="C1251" s="11">
        <v>0</v>
      </c>
      <c r="D1251" s="11">
        <v>1.3859776956724219</v>
      </c>
    </row>
    <row r="1252" spans="1:4" x14ac:dyDescent="0.2">
      <c r="A1252" s="10" t="s">
        <v>1251</v>
      </c>
      <c r="B1252" s="12">
        <v>15.05</v>
      </c>
      <c r="C1252" s="11">
        <v>4.9499203416872223E-2</v>
      </c>
      <c r="D1252" s="11">
        <v>0</v>
      </c>
    </row>
    <row r="1253" spans="1:4" x14ac:dyDescent="0.2">
      <c r="A1253" s="10" t="s">
        <v>1252</v>
      </c>
      <c r="B1253" s="12">
        <v>15.08</v>
      </c>
      <c r="C1253" s="11">
        <v>7.9198725466995551E-2</v>
      </c>
      <c r="D1253" s="11">
        <v>0</v>
      </c>
    </row>
    <row r="1254" spans="1:4" x14ac:dyDescent="0.2">
      <c r="A1254" s="10" t="s">
        <v>1253</v>
      </c>
      <c r="B1254" s="12">
        <v>16.02</v>
      </c>
      <c r="C1254" s="11">
        <v>1.0097837497041933</v>
      </c>
      <c r="D1254" s="11">
        <v>0</v>
      </c>
    </row>
    <row r="1255" spans="1:4" x14ac:dyDescent="0.2">
      <c r="A1255" s="10" t="s">
        <v>1254</v>
      </c>
      <c r="B1255" s="12">
        <v>13.32</v>
      </c>
      <c r="C1255" s="11">
        <v>0</v>
      </c>
      <c r="D1255" s="11">
        <v>1.6631732348069064</v>
      </c>
    </row>
    <row r="1256" spans="1:4" x14ac:dyDescent="0.2">
      <c r="A1256" s="10" t="s">
        <v>1255</v>
      </c>
      <c r="B1256" s="12">
        <v>13.68</v>
      </c>
      <c r="C1256" s="11">
        <v>0</v>
      </c>
      <c r="D1256" s="11">
        <v>1.3067789702054267</v>
      </c>
    </row>
    <row r="1257" spans="1:4" x14ac:dyDescent="0.2">
      <c r="A1257" s="10" t="s">
        <v>1256</v>
      </c>
      <c r="B1257" s="12">
        <v>14.18</v>
      </c>
      <c r="C1257" s="11">
        <v>0</v>
      </c>
      <c r="D1257" s="11">
        <v>0.81178693603670427</v>
      </c>
    </row>
    <row r="1258" spans="1:4" x14ac:dyDescent="0.2">
      <c r="A1258" s="10" t="s">
        <v>1257</v>
      </c>
      <c r="B1258" s="12">
        <v>14.83</v>
      </c>
      <c r="C1258" s="11">
        <v>0</v>
      </c>
      <c r="D1258" s="11">
        <v>0.16829729161736556</v>
      </c>
    </row>
    <row r="1259" spans="1:4" x14ac:dyDescent="0.2">
      <c r="A1259" s="10" t="s">
        <v>1258</v>
      </c>
      <c r="B1259" s="12">
        <v>16.239999999999998</v>
      </c>
      <c r="C1259" s="11">
        <v>1.227580244738431</v>
      </c>
      <c r="D1259" s="11">
        <v>0</v>
      </c>
    </row>
    <row r="1260" spans="1:4" x14ac:dyDescent="0.2">
      <c r="A1260" s="10" t="s">
        <v>1259</v>
      </c>
      <c r="B1260" s="12">
        <v>13.65</v>
      </c>
      <c r="C1260" s="11">
        <v>0</v>
      </c>
      <c r="D1260" s="11">
        <v>1.3364784922555499</v>
      </c>
    </row>
    <row r="1261" spans="1:4" x14ac:dyDescent="0.2">
      <c r="A1261" s="10" t="s">
        <v>1260</v>
      </c>
      <c r="B1261" s="12">
        <v>12.54</v>
      </c>
      <c r="C1261" s="11">
        <v>0</v>
      </c>
      <c r="D1261" s="11">
        <v>2.4353608081101132</v>
      </c>
    </row>
    <row r="1262" spans="1:4" x14ac:dyDescent="0.2">
      <c r="A1262" s="10" t="s">
        <v>1261</v>
      </c>
      <c r="B1262" s="12">
        <v>15.82</v>
      </c>
      <c r="C1262" s="11">
        <v>0.81178693603670427</v>
      </c>
      <c r="D1262" s="11">
        <v>0</v>
      </c>
    </row>
    <row r="1263" spans="1:4" x14ac:dyDescent="0.2">
      <c r="A1263" s="10" t="s">
        <v>1262</v>
      </c>
      <c r="B1263" s="12">
        <v>16.079999999999998</v>
      </c>
      <c r="C1263" s="11">
        <v>1.06918279380444</v>
      </c>
      <c r="D1263" s="11">
        <v>0</v>
      </c>
    </row>
    <row r="1264" spans="1:4" x14ac:dyDescent="0.2">
      <c r="A1264" s="10" t="s">
        <v>1263</v>
      </c>
      <c r="B1264" s="12">
        <v>14.27</v>
      </c>
      <c r="C1264" s="11">
        <v>0</v>
      </c>
      <c r="D1264" s="11">
        <v>0.72268836988633434</v>
      </c>
    </row>
    <row r="1265" spans="1:4" x14ac:dyDescent="0.2">
      <c r="A1265" s="10" t="s">
        <v>1264</v>
      </c>
      <c r="B1265" s="12">
        <v>12.58</v>
      </c>
      <c r="C1265" s="11">
        <v>0</v>
      </c>
      <c r="D1265" s="11">
        <v>2.3957614453766154</v>
      </c>
    </row>
    <row r="1266" spans="1:4" x14ac:dyDescent="0.2">
      <c r="A1266" s="10" t="s">
        <v>1265</v>
      </c>
      <c r="B1266" s="12">
        <v>12.36</v>
      </c>
      <c r="C1266" s="11">
        <v>0</v>
      </c>
      <c r="D1266" s="11">
        <v>2.6135579404108533</v>
      </c>
    </row>
    <row r="1267" spans="1:4" x14ac:dyDescent="0.2">
      <c r="A1267" s="10" t="s">
        <v>1266</v>
      </c>
      <c r="B1267" s="12">
        <v>13.62</v>
      </c>
      <c r="C1267" s="11">
        <v>0</v>
      </c>
      <c r="D1267" s="11">
        <v>1.366178014305673</v>
      </c>
    </row>
    <row r="1268" spans="1:4" x14ac:dyDescent="0.2">
      <c r="A1268" s="10" t="s">
        <v>1267</v>
      </c>
      <c r="B1268" s="12">
        <v>13.45</v>
      </c>
      <c r="C1268" s="11">
        <v>0</v>
      </c>
      <c r="D1268" s="11">
        <v>1.5344753059230387</v>
      </c>
    </row>
    <row r="1269" spans="1:4" x14ac:dyDescent="0.2">
      <c r="A1269" s="10" t="s">
        <v>1268</v>
      </c>
      <c r="B1269" s="12">
        <v>14.8</v>
      </c>
      <c r="C1269" s="11">
        <v>0</v>
      </c>
      <c r="D1269" s="11">
        <v>0.19799681366748889</v>
      </c>
    </row>
    <row r="1270" spans="1:4" x14ac:dyDescent="0.2">
      <c r="A1270" s="10" t="s">
        <v>1269</v>
      </c>
      <c r="B1270" s="12">
        <v>13.2</v>
      </c>
      <c r="C1270" s="11">
        <v>0</v>
      </c>
      <c r="D1270" s="11">
        <v>1.7819713230073999</v>
      </c>
    </row>
    <row r="1271" spans="1:4" x14ac:dyDescent="0.2">
      <c r="A1271" s="10" t="s">
        <v>1270</v>
      </c>
      <c r="B1271" s="12">
        <v>13.88</v>
      </c>
      <c r="C1271" s="11">
        <v>0</v>
      </c>
      <c r="D1271" s="11">
        <v>1.1087821565379379</v>
      </c>
    </row>
    <row r="1272" spans="1:4" x14ac:dyDescent="0.2">
      <c r="A1272" s="10" t="s">
        <v>1271</v>
      </c>
      <c r="B1272" s="12">
        <v>13.31</v>
      </c>
      <c r="C1272" s="11">
        <v>0</v>
      </c>
      <c r="D1272" s="11">
        <v>1.6730730754902809</v>
      </c>
    </row>
    <row r="1273" spans="1:4" x14ac:dyDescent="0.2">
      <c r="A1273" s="10" t="s">
        <v>1272</v>
      </c>
      <c r="B1273" s="12">
        <v>11.9</v>
      </c>
      <c r="C1273" s="11">
        <v>0</v>
      </c>
      <c r="D1273" s="11">
        <v>3.0689506118460774</v>
      </c>
    </row>
    <row r="1274" spans="1:4" x14ac:dyDescent="0.2">
      <c r="A1274" s="10" t="s">
        <v>1273</v>
      </c>
      <c r="B1274" s="12">
        <v>13.04</v>
      </c>
      <c r="C1274" s="11">
        <v>0</v>
      </c>
      <c r="D1274" s="11">
        <v>1.9403687739413908</v>
      </c>
    </row>
    <row r="1275" spans="1:4" x14ac:dyDescent="0.2">
      <c r="A1275" s="10" t="s">
        <v>1274</v>
      </c>
      <c r="B1275" s="12">
        <v>14.44</v>
      </c>
      <c r="C1275" s="11">
        <v>0</v>
      </c>
      <c r="D1275" s="11">
        <v>0.55439107826896894</v>
      </c>
    </row>
    <row r="1276" spans="1:4" x14ac:dyDescent="0.2">
      <c r="A1276" s="10" t="s">
        <v>1275</v>
      </c>
      <c r="B1276" s="12">
        <v>13.8</v>
      </c>
      <c r="C1276" s="11">
        <v>0</v>
      </c>
      <c r="D1276" s="11">
        <v>1.1879808820049331</v>
      </c>
    </row>
    <row r="1277" spans="1:4" x14ac:dyDescent="0.2">
      <c r="A1277" s="10" t="s">
        <v>1276</v>
      </c>
      <c r="B1277" s="12">
        <v>14.28</v>
      </c>
      <c r="C1277" s="11">
        <v>0</v>
      </c>
      <c r="D1277" s="11">
        <v>0.71278852920295988</v>
      </c>
    </row>
    <row r="1278" spans="1:4" x14ac:dyDescent="0.2">
      <c r="A1278" s="10" t="s">
        <v>1277</v>
      </c>
      <c r="B1278" s="12">
        <v>12.72</v>
      </c>
      <c r="C1278" s="11">
        <v>0</v>
      </c>
      <c r="D1278" s="11">
        <v>2.2571636758093727</v>
      </c>
    </row>
    <row r="1279" spans="1:4" x14ac:dyDescent="0.2">
      <c r="A1279" s="10" t="s">
        <v>1278</v>
      </c>
      <c r="B1279" s="12">
        <v>13.45</v>
      </c>
      <c r="C1279" s="11">
        <v>0</v>
      </c>
      <c r="D1279" s="11">
        <v>1.5344753059230387</v>
      </c>
    </row>
    <row r="1280" spans="1:4" x14ac:dyDescent="0.2">
      <c r="A1280" s="10" t="s">
        <v>1279</v>
      </c>
      <c r="B1280" s="12">
        <v>15.56</v>
      </c>
      <c r="C1280" s="11">
        <v>0.55439107826896894</v>
      </c>
      <c r="D1280" s="11">
        <v>0</v>
      </c>
    </row>
    <row r="1281" spans="1:4" x14ac:dyDescent="0.2">
      <c r="A1281" s="10" t="s">
        <v>1280</v>
      </c>
      <c r="B1281" s="12">
        <v>12.89</v>
      </c>
      <c r="C1281" s="11">
        <v>0</v>
      </c>
      <c r="D1281" s="11">
        <v>2.0888663841920074</v>
      </c>
    </row>
    <row r="1282" spans="1:4" x14ac:dyDescent="0.2">
      <c r="A1282" s="10" t="s">
        <v>1281</v>
      </c>
      <c r="B1282" s="12">
        <v>13.72</v>
      </c>
      <c r="C1282" s="11">
        <v>0</v>
      </c>
      <c r="D1282" s="11">
        <v>1.2671796074719288</v>
      </c>
    </row>
    <row r="1283" spans="1:4" x14ac:dyDescent="0.2">
      <c r="A1283" s="10" t="s">
        <v>1282</v>
      </c>
      <c r="B1283" s="12">
        <v>14.6</v>
      </c>
      <c r="C1283" s="11">
        <v>0</v>
      </c>
      <c r="D1283" s="11">
        <v>0.39599362733497778</v>
      </c>
    </row>
    <row r="1284" spans="1:4" x14ac:dyDescent="0.2">
      <c r="A1284" s="10" t="s">
        <v>1283</v>
      </c>
      <c r="B1284" s="12">
        <v>14.87</v>
      </c>
      <c r="C1284" s="11">
        <v>0</v>
      </c>
      <c r="D1284" s="11">
        <v>0.12869792888386777</v>
      </c>
    </row>
    <row r="1285" spans="1:4" x14ac:dyDescent="0.2">
      <c r="A1285" s="10" t="s">
        <v>1284</v>
      </c>
      <c r="B1285" s="12">
        <v>14.33</v>
      </c>
      <c r="C1285" s="11">
        <v>0</v>
      </c>
      <c r="D1285" s="11">
        <v>0.66328932578608779</v>
      </c>
    </row>
    <row r="1286" spans="1:4" x14ac:dyDescent="0.2">
      <c r="A1286" s="10" t="s">
        <v>1285</v>
      </c>
      <c r="B1286" s="12">
        <v>12.04</v>
      </c>
      <c r="C1286" s="11">
        <v>0</v>
      </c>
      <c r="D1286" s="11">
        <v>2.9303528422788352</v>
      </c>
    </row>
    <row r="1287" spans="1:4" x14ac:dyDescent="0.2">
      <c r="A1287" s="10" t="s">
        <v>1286</v>
      </c>
      <c r="B1287" s="12">
        <v>17.440000000000001</v>
      </c>
      <c r="C1287" s="11">
        <v>2.4155611267433641</v>
      </c>
      <c r="D1287" s="11">
        <v>0</v>
      </c>
    </row>
    <row r="1288" spans="1:4" x14ac:dyDescent="0.2">
      <c r="A1288" s="10" t="s">
        <v>1287</v>
      </c>
      <c r="B1288" s="12">
        <v>11.97</v>
      </c>
      <c r="C1288" s="11">
        <v>0</v>
      </c>
      <c r="D1288" s="11">
        <v>2.9996517270624561</v>
      </c>
    </row>
    <row r="1289" spans="1:4" x14ac:dyDescent="0.2">
      <c r="A1289" s="10" t="s">
        <v>1288</v>
      </c>
      <c r="B1289" s="12">
        <v>14.23</v>
      </c>
      <c r="C1289" s="11">
        <v>0</v>
      </c>
      <c r="D1289" s="11">
        <v>0.76228773261983218</v>
      </c>
    </row>
    <row r="1290" spans="1:4" x14ac:dyDescent="0.2">
      <c r="A1290" s="10" t="s">
        <v>1289</v>
      </c>
      <c r="B1290" s="12">
        <v>13.18</v>
      </c>
      <c r="C1290" s="11">
        <v>0</v>
      </c>
      <c r="D1290" s="11">
        <v>1.8017710043741488</v>
      </c>
    </row>
    <row r="1291" spans="1:4" x14ac:dyDescent="0.2">
      <c r="A1291" s="10" t="s">
        <v>1290</v>
      </c>
      <c r="B1291" s="12">
        <v>13.61</v>
      </c>
      <c r="C1291" s="11">
        <v>0</v>
      </c>
      <c r="D1291" s="11">
        <v>1.3760778549890476</v>
      </c>
    </row>
    <row r="1292" spans="1:4" x14ac:dyDescent="0.2">
      <c r="A1292" s="10" t="s">
        <v>1291</v>
      </c>
      <c r="B1292" s="12">
        <v>13.97</v>
      </c>
      <c r="C1292" s="11">
        <v>0</v>
      </c>
      <c r="D1292" s="11">
        <v>1.0196835903875676</v>
      </c>
    </row>
    <row r="1293" spans="1:4" x14ac:dyDescent="0.2">
      <c r="A1293" s="10" t="s">
        <v>1292</v>
      </c>
      <c r="B1293" s="12">
        <v>13.28</v>
      </c>
      <c r="C1293" s="11">
        <v>0</v>
      </c>
      <c r="D1293" s="11">
        <v>1.7027725975404042</v>
      </c>
    </row>
    <row r="1294" spans="1:4" x14ac:dyDescent="0.2">
      <c r="A1294" s="10" t="s">
        <v>1293</v>
      </c>
      <c r="B1294" s="12">
        <v>13.56</v>
      </c>
      <c r="C1294" s="11">
        <v>0</v>
      </c>
      <c r="D1294" s="11">
        <v>1.4255770584059198</v>
      </c>
    </row>
    <row r="1295" spans="1:4" x14ac:dyDescent="0.2">
      <c r="A1295" s="10" t="s">
        <v>1294</v>
      </c>
      <c r="B1295" s="12">
        <v>13.08</v>
      </c>
      <c r="C1295" s="11">
        <v>0</v>
      </c>
      <c r="D1295" s="11">
        <v>1.900769411207893</v>
      </c>
    </row>
    <row r="1296" spans="1:4" x14ac:dyDescent="0.2">
      <c r="A1296" s="10" t="s">
        <v>1295</v>
      </c>
      <c r="B1296" s="12">
        <v>12.8</v>
      </c>
      <c r="C1296" s="11">
        <v>0</v>
      </c>
      <c r="D1296" s="11">
        <v>2.1779649503423779</v>
      </c>
    </row>
    <row r="1297" spans="1:4" x14ac:dyDescent="0.2">
      <c r="A1297" s="10" t="s">
        <v>1296</v>
      </c>
      <c r="B1297" s="12">
        <v>14.52</v>
      </c>
      <c r="C1297" s="11">
        <v>0</v>
      </c>
      <c r="D1297" s="11">
        <v>0.47519235280197325</v>
      </c>
    </row>
    <row r="1298" spans="1:4" x14ac:dyDescent="0.2">
      <c r="A1298" s="10" t="s">
        <v>1297</v>
      </c>
      <c r="B1298" s="12">
        <v>12.83</v>
      </c>
      <c r="C1298" s="11">
        <v>0</v>
      </c>
      <c r="D1298" s="11">
        <v>2.148265428292254</v>
      </c>
    </row>
    <row r="1299" spans="1:4" x14ac:dyDescent="0.2">
      <c r="A1299" s="10" t="s">
        <v>1298</v>
      </c>
      <c r="B1299" s="12">
        <v>14.1</v>
      </c>
      <c r="C1299" s="11">
        <v>0</v>
      </c>
      <c r="D1299" s="11">
        <v>0.89098566150369995</v>
      </c>
    </row>
    <row r="1300" spans="1:4" x14ac:dyDescent="0.2">
      <c r="A1300" s="10" t="s">
        <v>1299</v>
      </c>
      <c r="B1300" s="12">
        <v>16.18</v>
      </c>
      <c r="C1300" s="11">
        <v>1.1681812006381842</v>
      </c>
      <c r="D1300" s="11">
        <v>0</v>
      </c>
    </row>
    <row r="1301" spans="1:4" x14ac:dyDescent="0.2">
      <c r="A1301" s="10" t="s">
        <v>1300</v>
      </c>
      <c r="B1301" s="12">
        <v>16.32</v>
      </c>
      <c r="C1301" s="11">
        <v>1.3067789702054267</v>
      </c>
      <c r="D1301" s="11">
        <v>0</v>
      </c>
    </row>
    <row r="1302" spans="1:4" x14ac:dyDescent="0.2">
      <c r="A1302" s="10" t="s">
        <v>1301</v>
      </c>
      <c r="B1302" s="12">
        <v>13.57</v>
      </c>
      <c r="C1302" s="11">
        <v>0</v>
      </c>
      <c r="D1302" s="11">
        <v>1.4156772177225454</v>
      </c>
    </row>
    <row r="1303" spans="1:4" x14ac:dyDescent="0.2">
      <c r="A1303" s="10" t="s">
        <v>1302</v>
      </c>
      <c r="B1303" s="12">
        <v>14.35</v>
      </c>
      <c r="C1303" s="11">
        <v>0</v>
      </c>
      <c r="D1303" s="11">
        <v>0.64348964441933887</v>
      </c>
    </row>
    <row r="1304" spans="1:4" x14ac:dyDescent="0.2">
      <c r="A1304" s="10" t="s">
        <v>1303</v>
      </c>
      <c r="B1304" s="12">
        <v>14.76</v>
      </c>
      <c r="C1304" s="11">
        <v>0</v>
      </c>
      <c r="D1304" s="11">
        <v>0.23759617640098663</v>
      </c>
    </row>
    <row r="1305" spans="1:4" x14ac:dyDescent="0.2">
      <c r="A1305" s="10" t="s">
        <v>1304</v>
      </c>
      <c r="B1305" s="12">
        <v>14.2</v>
      </c>
      <c r="C1305" s="11">
        <v>0</v>
      </c>
      <c r="D1305" s="11">
        <v>0.79198725466995556</v>
      </c>
    </row>
    <row r="1306" spans="1:4" x14ac:dyDescent="0.2">
      <c r="A1306" s="10" t="s">
        <v>1305</v>
      </c>
      <c r="B1306" s="12">
        <v>13.4</v>
      </c>
      <c r="C1306" s="11">
        <v>0</v>
      </c>
      <c r="D1306" s="11">
        <v>1.5839745093399111</v>
      </c>
    </row>
    <row r="1307" spans="1:4" x14ac:dyDescent="0.2">
      <c r="A1307" s="10" t="s">
        <v>1306</v>
      </c>
      <c r="B1307" s="12">
        <v>12.54</v>
      </c>
      <c r="C1307" s="11">
        <v>0</v>
      </c>
      <c r="D1307" s="11">
        <v>2.4353608081101132</v>
      </c>
    </row>
    <row r="1308" spans="1:4" x14ac:dyDescent="0.2">
      <c r="A1308" s="10" t="s">
        <v>1307</v>
      </c>
      <c r="B1308" s="12">
        <v>14.57</v>
      </c>
      <c r="C1308" s="11">
        <v>0</v>
      </c>
      <c r="D1308" s="11">
        <v>0.42569314938510106</v>
      </c>
    </row>
    <row r="1309" spans="1:4" x14ac:dyDescent="0.2">
      <c r="A1309" s="10" t="s">
        <v>1308</v>
      </c>
      <c r="B1309" s="12">
        <v>11.54</v>
      </c>
      <c r="C1309" s="11">
        <v>0</v>
      </c>
      <c r="D1309" s="11">
        <v>3.4253448764475576</v>
      </c>
    </row>
    <row r="1310" spans="1:4" x14ac:dyDescent="0.2">
      <c r="A1310" s="10" t="s">
        <v>1309</v>
      </c>
      <c r="B1310" s="12">
        <v>15.46</v>
      </c>
      <c r="C1310" s="11">
        <v>0.45539267143522444</v>
      </c>
      <c r="D1310" s="11">
        <v>0</v>
      </c>
    </row>
    <row r="1311" spans="1:4" x14ac:dyDescent="0.2">
      <c r="A1311" s="10" t="s">
        <v>1310</v>
      </c>
      <c r="B1311" s="12">
        <v>13.66</v>
      </c>
      <c r="C1311" s="11">
        <v>0</v>
      </c>
      <c r="D1311" s="11">
        <v>1.3265786515721756</v>
      </c>
    </row>
    <row r="1312" spans="1:4" x14ac:dyDescent="0.2">
      <c r="A1312" s="10" t="s">
        <v>1311</v>
      </c>
      <c r="B1312" s="12">
        <v>14.74</v>
      </c>
      <c r="C1312" s="11">
        <v>0</v>
      </c>
      <c r="D1312" s="11">
        <v>0.25739585776773555</v>
      </c>
    </row>
    <row r="1313" spans="1:4" x14ac:dyDescent="0.2">
      <c r="A1313" s="10" t="s">
        <v>1312</v>
      </c>
      <c r="B1313" s="12">
        <v>13.73</v>
      </c>
      <c r="C1313" s="11">
        <v>0</v>
      </c>
      <c r="D1313" s="11">
        <v>1.2572797667885542</v>
      </c>
    </row>
    <row r="1314" spans="1:4" x14ac:dyDescent="0.2">
      <c r="A1314" s="10" t="s">
        <v>1313</v>
      </c>
      <c r="B1314" s="12">
        <v>14.87</v>
      </c>
      <c r="C1314" s="11">
        <v>0</v>
      </c>
      <c r="D1314" s="11">
        <v>0.12869792888386777</v>
      </c>
    </row>
    <row r="1315" spans="1:4" x14ac:dyDescent="0.2">
      <c r="A1315" s="10" t="s">
        <v>1314</v>
      </c>
      <c r="B1315" s="12">
        <v>15.59</v>
      </c>
      <c r="C1315" s="11">
        <v>0.5840906003190921</v>
      </c>
      <c r="D1315" s="11">
        <v>0</v>
      </c>
    </row>
    <row r="1316" spans="1:4" x14ac:dyDescent="0.2">
      <c r="A1316" s="10" t="s">
        <v>1315</v>
      </c>
      <c r="B1316" s="12">
        <v>13.94</v>
      </c>
      <c r="C1316" s="11">
        <v>0</v>
      </c>
      <c r="D1316" s="11">
        <v>1.0493831124376911</v>
      </c>
    </row>
    <row r="1317" spans="1:4" x14ac:dyDescent="0.2">
      <c r="A1317" s="10" t="s">
        <v>1316</v>
      </c>
      <c r="B1317" s="12">
        <v>15.14</v>
      </c>
      <c r="C1317" s="11">
        <v>0.13859776956724223</v>
      </c>
      <c r="D1317" s="11">
        <v>0</v>
      </c>
    </row>
    <row r="1318" spans="1:4" x14ac:dyDescent="0.2">
      <c r="A1318" s="10" t="s">
        <v>1317</v>
      </c>
      <c r="B1318" s="12">
        <v>12.46</v>
      </c>
      <c r="C1318" s="11">
        <v>0</v>
      </c>
      <c r="D1318" s="11">
        <v>2.5145595335771085</v>
      </c>
    </row>
    <row r="1319" spans="1:4" x14ac:dyDescent="0.2">
      <c r="A1319" s="10" t="s">
        <v>1318</v>
      </c>
      <c r="B1319" s="12">
        <v>11.58</v>
      </c>
      <c r="C1319" s="11">
        <v>0</v>
      </c>
      <c r="D1319" s="11">
        <v>3.3857455137140597</v>
      </c>
    </row>
    <row r="1320" spans="1:4" x14ac:dyDescent="0.2">
      <c r="A1320" s="10" t="s">
        <v>1319</v>
      </c>
      <c r="B1320" s="12">
        <v>13.56</v>
      </c>
      <c r="C1320" s="11">
        <v>0</v>
      </c>
      <c r="D1320" s="11">
        <v>1.4255770584059198</v>
      </c>
    </row>
    <row r="1321" spans="1:4" x14ac:dyDescent="0.2">
      <c r="A1321" s="10" t="s">
        <v>1320</v>
      </c>
      <c r="B1321" s="12">
        <v>14.16</v>
      </c>
      <c r="C1321" s="11">
        <v>0</v>
      </c>
      <c r="D1321" s="11">
        <v>0.83158661740345319</v>
      </c>
    </row>
    <row r="1322" spans="1:4" x14ac:dyDescent="0.2">
      <c r="A1322" s="10" t="s">
        <v>1321</v>
      </c>
      <c r="B1322" s="12">
        <v>15.39</v>
      </c>
      <c r="C1322" s="11">
        <v>0.38609378665160332</v>
      </c>
      <c r="D1322" s="11">
        <v>0</v>
      </c>
    </row>
    <row r="1323" spans="1:4" x14ac:dyDescent="0.2">
      <c r="A1323" s="10" t="s">
        <v>1322</v>
      </c>
      <c r="B1323" s="12">
        <v>13.2</v>
      </c>
      <c r="C1323" s="11">
        <v>0</v>
      </c>
      <c r="D1323" s="11">
        <v>1.7819713230073999</v>
      </c>
    </row>
    <row r="1324" spans="1:4" x14ac:dyDescent="0.2">
      <c r="A1324" s="10" t="s">
        <v>1323</v>
      </c>
      <c r="B1324" s="12">
        <v>14.21</v>
      </c>
      <c r="C1324" s="11">
        <v>0</v>
      </c>
      <c r="D1324" s="11">
        <v>0.7820874139865811</v>
      </c>
    </row>
    <row r="1325" spans="1:4" x14ac:dyDescent="0.2">
      <c r="A1325" s="10" t="s">
        <v>1324</v>
      </c>
      <c r="B1325" s="12">
        <v>14.92</v>
      </c>
      <c r="C1325" s="11">
        <v>0</v>
      </c>
      <c r="D1325" s="11">
        <v>7.9198725466995551E-2</v>
      </c>
    </row>
    <row r="1326" spans="1:4" x14ac:dyDescent="0.2">
      <c r="A1326" s="10" t="s">
        <v>1325</v>
      </c>
      <c r="B1326" s="12">
        <v>12.51</v>
      </c>
      <c r="C1326" s="11">
        <v>0</v>
      </c>
      <c r="D1326" s="11">
        <v>2.4650603301602367</v>
      </c>
    </row>
    <row r="1327" spans="1:4" x14ac:dyDescent="0.2">
      <c r="A1327" s="10" t="s">
        <v>1326</v>
      </c>
      <c r="B1327" s="12">
        <v>14.44</v>
      </c>
      <c r="C1327" s="11">
        <v>0</v>
      </c>
      <c r="D1327" s="11">
        <v>0.55439107826896894</v>
      </c>
    </row>
    <row r="1328" spans="1:4" x14ac:dyDescent="0.2">
      <c r="A1328" s="10" t="s">
        <v>1327</v>
      </c>
      <c r="B1328" s="12">
        <v>13.81</v>
      </c>
      <c r="C1328" s="11">
        <v>0</v>
      </c>
      <c r="D1328" s="11">
        <v>1.1780810413215588</v>
      </c>
    </row>
    <row r="1329" spans="1:4" x14ac:dyDescent="0.2">
      <c r="A1329" s="10" t="s">
        <v>1328</v>
      </c>
      <c r="B1329" s="12">
        <v>13.7</v>
      </c>
      <c r="C1329" s="11">
        <v>0</v>
      </c>
      <c r="D1329" s="11">
        <v>1.2869792888386777</v>
      </c>
    </row>
    <row r="1330" spans="1:4" x14ac:dyDescent="0.2">
      <c r="A1330" s="10" t="s">
        <v>1329</v>
      </c>
      <c r="B1330" s="12">
        <v>14.92</v>
      </c>
      <c r="C1330" s="11">
        <v>0</v>
      </c>
      <c r="D1330" s="11">
        <v>7.9198725466995551E-2</v>
      </c>
    </row>
    <row r="1331" spans="1:4" x14ac:dyDescent="0.2">
      <c r="A1331" s="10" t="s">
        <v>1330</v>
      </c>
      <c r="B1331" s="12">
        <v>12.07</v>
      </c>
      <c r="C1331" s="11">
        <v>0</v>
      </c>
      <c r="D1331" s="11">
        <v>2.9006533202287121</v>
      </c>
    </row>
    <row r="1332" spans="1:4" x14ac:dyDescent="0.2">
      <c r="A1332" s="10" t="s">
        <v>1331</v>
      </c>
      <c r="B1332" s="12">
        <v>12.41</v>
      </c>
      <c r="C1332" s="11">
        <v>0</v>
      </c>
      <c r="D1332" s="11">
        <v>2.5640587369939807</v>
      </c>
    </row>
    <row r="1333" spans="1:4" x14ac:dyDescent="0.2">
      <c r="A1333" s="10" t="s">
        <v>1332</v>
      </c>
      <c r="B1333" s="12">
        <v>16.02</v>
      </c>
      <c r="C1333" s="11">
        <v>1.0097837497041933</v>
      </c>
      <c r="D1333" s="11">
        <v>0</v>
      </c>
    </row>
    <row r="1334" spans="1:4" x14ac:dyDescent="0.2">
      <c r="A1334" s="10" t="s">
        <v>1333</v>
      </c>
      <c r="B1334" s="12">
        <v>16.55</v>
      </c>
      <c r="C1334" s="11">
        <v>1.5344753059230387</v>
      </c>
      <c r="D1334" s="11">
        <v>0</v>
      </c>
    </row>
    <row r="1335" spans="1:4" x14ac:dyDescent="0.2">
      <c r="A1335" s="10" t="s">
        <v>1334</v>
      </c>
      <c r="B1335" s="12">
        <v>17.78</v>
      </c>
      <c r="C1335" s="11">
        <v>2.7521557099780951</v>
      </c>
      <c r="D1335" s="11">
        <v>0</v>
      </c>
    </row>
    <row r="1336" spans="1:4" x14ac:dyDescent="0.2">
      <c r="A1336" s="10" t="s">
        <v>1335</v>
      </c>
      <c r="B1336" s="12">
        <v>13.26</v>
      </c>
      <c r="C1336" s="11">
        <v>0</v>
      </c>
      <c r="D1336" s="11">
        <v>1.7225722789071531</v>
      </c>
    </row>
    <row r="1337" spans="1:4" x14ac:dyDescent="0.2">
      <c r="A1337" s="10" t="s">
        <v>1336</v>
      </c>
      <c r="B1337" s="12">
        <v>13.5</v>
      </c>
      <c r="C1337" s="11">
        <v>0</v>
      </c>
      <c r="D1337" s="11">
        <v>1.4849761025061665</v>
      </c>
    </row>
    <row r="1338" spans="1:4" x14ac:dyDescent="0.2">
      <c r="A1338" s="10" t="s">
        <v>1337</v>
      </c>
      <c r="B1338" s="12">
        <v>15.65</v>
      </c>
      <c r="C1338" s="11">
        <v>0.64348964441933887</v>
      </c>
      <c r="D1338" s="11">
        <v>0</v>
      </c>
    </row>
    <row r="1339" spans="1:4" x14ac:dyDescent="0.2">
      <c r="A1339" s="10" t="s">
        <v>1338</v>
      </c>
      <c r="B1339" s="12">
        <v>13.83</v>
      </c>
      <c r="C1339" s="11">
        <v>0</v>
      </c>
      <c r="D1339" s="11">
        <v>1.1582813599548099</v>
      </c>
    </row>
    <row r="1340" spans="1:4" x14ac:dyDescent="0.2">
      <c r="A1340" s="10" t="s">
        <v>1339</v>
      </c>
      <c r="B1340" s="12">
        <v>14.96</v>
      </c>
      <c r="C1340" s="11">
        <v>0</v>
      </c>
      <c r="D1340" s="11">
        <v>3.9599362733497775E-2</v>
      </c>
    </row>
    <row r="1341" spans="1:4" x14ac:dyDescent="0.2">
      <c r="A1341" s="10" t="s">
        <v>1340</v>
      </c>
      <c r="B1341" s="12">
        <v>14.54</v>
      </c>
      <c r="C1341" s="11">
        <v>0</v>
      </c>
      <c r="D1341" s="11">
        <v>0.45539267143522444</v>
      </c>
    </row>
    <row r="1342" spans="1:4" x14ac:dyDescent="0.2">
      <c r="A1342" s="10" t="s">
        <v>1341</v>
      </c>
      <c r="B1342" s="12">
        <v>16.309999999999999</v>
      </c>
      <c r="C1342" s="11">
        <v>1.2968791295220521</v>
      </c>
      <c r="D1342" s="11">
        <v>0</v>
      </c>
    </row>
    <row r="1343" spans="1:4" x14ac:dyDescent="0.2">
      <c r="A1343" s="10" t="s">
        <v>1342</v>
      </c>
      <c r="B1343" s="12">
        <v>13.78</v>
      </c>
      <c r="C1343" s="11">
        <v>0</v>
      </c>
      <c r="D1343" s="11">
        <v>1.207780563371682</v>
      </c>
    </row>
    <row r="1344" spans="1:4" x14ac:dyDescent="0.2">
      <c r="A1344" s="10" t="s">
        <v>1343</v>
      </c>
      <c r="B1344" s="12">
        <v>14.87</v>
      </c>
      <c r="C1344" s="11">
        <v>0</v>
      </c>
      <c r="D1344" s="11">
        <v>0.12869792888386777</v>
      </c>
    </row>
    <row r="1345" spans="1:4" x14ac:dyDescent="0.2">
      <c r="A1345" s="10" t="s">
        <v>1344</v>
      </c>
      <c r="B1345" s="12">
        <v>16.37</v>
      </c>
      <c r="C1345" s="11">
        <v>1.3562781736222989</v>
      </c>
      <c r="D1345" s="11">
        <v>0</v>
      </c>
    </row>
    <row r="1346" spans="1:4" x14ac:dyDescent="0.2">
      <c r="A1346" s="10" t="s">
        <v>1345</v>
      </c>
      <c r="B1346" s="12">
        <v>15.03</v>
      </c>
      <c r="C1346" s="11">
        <v>2.9699522050123328E-2</v>
      </c>
      <c r="D1346" s="11">
        <v>0</v>
      </c>
    </row>
    <row r="1347" spans="1:4" x14ac:dyDescent="0.2">
      <c r="A1347" s="10" t="s">
        <v>1346</v>
      </c>
      <c r="B1347" s="12">
        <v>15.13</v>
      </c>
      <c r="C1347" s="11">
        <v>0.12869792888386777</v>
      </c>
      <c r="D1347" s="11">
        <v>0</v>
      </c>
    </row>
    <row r="1348" spans="1:4" x14ac:dyDescent="0.2">
      <c r="A1348" s="10" t="s">
        <v>1347</v>
      </c>
      <c r="B1348" s="12">
        <v>15.15</v>
      </c>
      <c r="C1348" s="11">
        <v>0.14849761025061664</v>
      </c>
      <c r="D1348" s="11">
        <v>0</v>
      </c>
    </row>
    <row r="1349" spans="1:4" x14ac:dyDescent="0.2">
      <c r="A1349" s="10" t="s">
        <v>1348</v>
      </c>
      <c r="B1349" s="12">
        <v>14.41</v>
      </c>
      <c r="C1349" s="11">
        <v>0</v>
      </c>
      <c r="D1349" s="11">
        <v>0.5840906003190921</v>
      </c>
    </row>
    <row r="1350" spans="1:4" x14ac:dyDescent="0.2">
      <c r="A1350" s="10" t="s">
        <v>1349</v>
      </c>
      <c r="B1350" s="12">
        <v>17.63</v>
      </c>
      <c r="C1350" s="11">
        <v>2.6036580997274785</v>
      </c>
      <c r="D1350" s="11">
        <v>0</v>
      </c>
    </row>
    <row r="1351" spans="1:4" x14ac:dyDescent="0.2">
      <c r="A1351" s="10" t="s">
        <v>1350</v>
      </c>
      <c r="B1351" s="12">
        <v>12.25</v>
      </c>
      <c r="C1351" s="11">
        <v>0</v>
      </c>
      <c r="D1351" s="11">
        <v>2.7224561879279721</v>
      </c>
    </row>
    <row r="1352" spans="1:4" x14ac:dyDescent="0.2">
      <c r="A1352" s="10" t="s">
        <v>1351</v>
      </c>
      <c r="B1352" s="12">
        <v>13.41</v>
      </c>
      <c r="C1352" s="11">
        <v>0</v>
      </c>
      <c r="D1352" s="11">
        <v>1.5740746686565366</v>
      </c>
    </row>
    <row r="1353" spans="1:4" x14ac:dyDescent="0.2">
      <c r="A1353" s="10" t="s">
        <v>1352</v>
      </c>
      <c r="B1353" s="12">
        <v>14.84</v>
      </c>
      <c r="C1353" s="11">
        <v>0</v>
      </c>
      <c r="D1353" s="11">
        <v>0.1583974509339911</v>
      </c>
    </row>
    <row r="1354" spans="1:4" x14ac:dyDescent="0.2">
      <c r="A1354" s="10" t="s">
        <v>1353</v>
      </c>
      <c r="B1354" s="12">
        <v>13.88</v>
      </c>
      <c r="C1354" s="11">
        <v>0</v>
      </c>
      <c r="D1354" s="11">
        <v>1.1087821565379379</v>
      </c>
    </row>
    <row r="1355" spans="1:4" x14ac:dyDescent="0.2">
      <c r="A1355" s="10" t="s">
        <v>1354</v>
      </c>
      <c r="B1355" s="12">
        <v>12.87</v>
      </c>
      <c r="C1355" s="11">
        <v>0</v>
      </c>
      <c r="D1355" s="11">
        <v>2.1086660655587561</v>
      </c>
    </row>
    <row r="1356" spans="1:4" x14ac:dyDescent="0.2">
      <c r="A1356" s="10" t="s">
        <v>1355</v>
      </c>
      <c r="B1356" s="12">
        <v>11.81</v>
      </c>
      <c r="C1356" s="11">
        <v>0</v>
      </c>
      <c r="D1356" s="11">
        <v>3.1580491779964475</v>
      </c>
    </row>
    <row r="1357" spans="1:4" x14ac:dyDescent="0.2">
      <c r="A1357" s="10" t="s">
        <v>1356</v>
      </c>
      <c r="B1357" s="12">
        <v>12.72</v>
      </c>
      <c r="C1357" s="11">
        <v>0</v>
      </c>
      <c r="D1357" s="11">
        <v>2.2571636758093727</v>
      </c>
    </row>
    <row r="1358" spans="1:4" x14ac:dyDescent="0.2">
      <c r="A1358" s="10" t="s">
        <v>1357</v>
      </c>
      <c r="B1358" s="12">
        <v>14.05</v>
      </c>
      <c r="C1358" s="11">
        <v>0</v>
      </c>
      <c r="D1358" s="11">
        <v>0.94048486492057204</v>
      </c>
    </row>
    <row r="1359" spans="1:4" x14ac:dyDescent="0.2">
      <c r="A1359" s="10" t="s">
        <v>1358</v>
      </c>
      <c r="B1359" s="12">
        <v>12.79</v>
      </c>
      <c r="C1359" s="11">
        <v>0</v>
      </c>
      <c r="D1359" s="11">
        <v>2.1878647910257518</v>
      </c>
    </row>
    <row r="1360" spans="1:4" x14ac:dyDescent="0.2">
      <c r="A1360" s="10" t="s">
        <v>1359</v>
      </c>
      <c r="B1360" s="12">
        <v>15.39</v>
      </c>
      <c r="C1360" s="11">
        <v>0.38609378665160332</v>
      </c>
      <c r="D1360" s="11">
        <v>0</v>
      </c>
    </row>
    <row r="1361" spans="1:4" x14ac:dyDescent="0.2">
      <c r="A1361" s="10" t="s">
        <v>1360</v>
      </c>
      <c r="B1361" s="12">
        <v>14.58</v>
      </c>
      <c r="C1361" s="11">
        <v>0</v>
      </c>
      <c r="D1361" s="11">
        <v>0.42569314938510106</v>
      </c>
    </row>
    <row r="1362" spans="1:4" x14ac:dyDescent="0.2">
      <c r="A1362" s="10" t="s">
        <v>1361</v>
      </c>
      <c r="B1362" s="12">
        <v>14.01</v>
      </c>
      <c r="C1362" s="11">
        <v>0</v>
      </c>
      <c r="D1362" s="11">
        <v>0.98008422765406988</v>
      </c>
    </row>
    <row r="1363" spans="1:4" x14ac:dyDescent="0.2">
      <c r="A1363" s="10" t="s">
        <v>1362</v>
      </c>
      <c r="B1363" s="12">
        <v>15.2</v>
      </c>
      <c r="C1363" s="11">
        <v>0.19799681366748889</v>
      </c>
      <c r="D1363" s="11">
        <v>0</v>
      </c>
    </row>
    <row r="1364" spans="1:4" x14ac:dyDescent="0.2">
      <c r="A1364" s="10" t="s">
        <v>1363</v>
      </c>
      <c r="B1364" s="12">
        <v>12.94</v>
      </c>
      <c r="C1364" s="11">
        <v>0</v>
      </c>
      <c r="D1364" s="11">
        <v>2.0393671807751352</v>
      </c>
    </row>
    <row r="1365" spans="1:4" x14ac:dyDescent="0.2">
      <c r="A1365" s="10" t="s">
        <v>1364</v>
      </c>
      <c r="B1365" s="12">
        <v>12.39</v>
      </c>
      <c r="C1365" s="11">
        <v>0</v>
      </c>
      <c r="D1365" s="11">
        <v>2.5838584183607298</v>
      </c>
    </row>
    <row r="1366" spans="1:4" x14ac:dyDescent="0.2">
      <c r="A1366" s="10" t="s">
        <v>1365</v>
      </c>
      <c r="B1366" s="12">
        <v>15.83</v>
      </c>
      <c r="C1366" s="11">
        <v>0.82168677672007873</v>
      </c>
      <c r="D1366" s="11">
        <v>0</v>
      </c>
    </row>
    <row r="1367" spans="1:4" x14ac:dyDescent="0.2">
      <c r="A1367" s="10" t="s">
        <v>1366</v>
      </c>
      <c r="B1367" s="12">
        <v>13.72</v>
      </c>
      <c r="C1367" s="11">
        <v>0</v>
      </c>
      <c r="D1367" s="11">
        <v>1.2671796074719288</v>
      </c>
    </row>
    <row r="1368" spans="1:4" x14ac:dyDescent="0.2">
      <c r="A1368" s="10" t="s">
        <v>1367</v>
      </c>
      <c r="B1368" s="12">
        <v>13.39</v>
      </c>
      <c r="C1368" s="11">
        <v>0</v>
      </c>
      <c r="D1368" s="11">
        <v>1.5938743500232855</v>
      </c>
    </row>
    <row r="1369" spans="1:4" x14ac:dyDescent="0.2">
      <c r="A1369" s="10" t="s">
        <v>1368</v>
      </c>
      <c r="B1369" s="12">
        <v>14.01</v>
      </c>
      <c r="C1369" s="11">
        <v>0</v>
      </c>
      <c r="D1369" s="11">
        <v>0.98008422765406988</v>
      </c>
    </row>
    <row r="1370" spans="1:4" x14ac:dyDescent="0.2">
      <c r="A1370" s="10" t="s">
        <v>1369</v>
      </c>
      <c r="B1370" s="12">
        <v>17.52</v>
      </c>
      <c r="C1370" s="11">
        <v>2.4947598522103598</v>
      </c>
      <c r="D1370" s="11">
        <v>0</v>
      </c>
    </row>
    <row r="1371" spans="1:4" x14ac:dyDescent="0.2">
      <c r="A1371" s="10" t="s">
        <v>1370</v>
      </c>
      <c r="B1371" s="12">
        <v>13.86</v>
      </c>
      <c r="C1371" s="11">
        <v>0</v>
      </c>
      <c r="D1371" s="11">
        <v>1.1285818379046864</v>
      </c>
    </row>
    <row r="1372" spans="1:4" x14ac:dyDescent="0.2">
      <c r="A1372" s="10" t="s">
        <v>1371</v>
      </c>
      <c r="B1372" s="12">
        <v>14.44</v>
      </c>
      <c r="C1372" s="11">
        <v>0</v>
      </c>
      <c r="D1372" s="11">
        <v>0.55439107826896894</v>
      </c>
    </row>
    <row r="1373" spans="1:4" x14ac:dyDescent="0.2">
      <c r="A1373" s="10" t="s">
        <v>1372</v>
      </c>
      <c r="B1373" s="12">
        <v>13.56</v>
      </c>
      <c r="C1373" s="11">
        <v>0</v>
      </c>
      <c r="D1373" s="11">
        <v>1.4255770584059198</v>
      </c>
    </row>
    <row r="1374" spans="1:4" x14ac:dyDescent="0.2">
      <c r="A1374" s="10" t="s">
        <v>1373</v>
      </c>
      <c r="B1374" s="12">
        <v>12.23</v>
      </c>
      <c r="C1374" s="11">
        <v>0</v>
      </c>
      <c r="D1374" s="11">
        <v>2.7422558692947208</v>
      </c>
    </row>
    <row r="1375" spans="1:4" x14ac:dyDescent="0.2">
      <c r="A1375" s="10" t="s">
        <v>1374</v>
      </c>
      <c r="B1375" s="12">
        <v>14</v>
      </c>
      <c r="C1375" s="11">
        <v>0</v>
      </c>
      <c r="D1375" s="11">
        <v>0.98998406833744435</v>
      </c>
    </row>
    <row r="1376" spans="1:4" x14ac:dyDescent="0.2">
      <c r="A1376" s="10" t="s">
        <v>1375</v>
      </c>
      <c r="B1376" s="12">
        <v>14.72</v>
      </c>
      <c r="C1376" s="11">
        <v>0</v>
      </c>
      <c r="D1376" s="11">
        <v>0.27719553913448447</v>
      </c>
    </row>
    <row r="1377" spans="1:4" x14ac:dyDescent="0.2">
      <c r="A1377" s="10" t="s">
        <v>1376</v>
      </c>
      <c r="B1377" s="12">
        <v>12.49</v>
      </c>
      <c r="C1377" s="11">
        <v>0</v>
      </c>
      <c r="D1377" s="11">
        <v>2.484860011526985</v>
      </c>
    </row>
    <row r="1378" spans="1:4" x14ac:dyDescent="0.2">
      <c r="A1378" s="10" t="s">
        <v>1377</v>
      </c>
      <c r="B1378" s="12">
        <v>12.09</v>
      </c>
      <c r="C1378" s="11">
        <v>0</v>
      </c>
      <c r="D1378" s="11">
        <v>2.880853638861963</v>
      </c>
    </row>
    <row r="1379" spans="1:4" x14ac:dyDescent="0.2">
      <c r="A1379" s="10" t="s">
        <v>1378</v>
      </c>
      <c r="B1379" s="12">
        <v>12.11</v>
      </c>
      <c r="C1379" s="11">
        <v>0</v>
      </c>
      <c r="D1379" s="11">
        <v>2.8610539574952143</v>
      </c>
    </row>
    <row r="1380" spans="1:4" x14ac:dyDescent="0.2">
      <c r="A1380" s="10" t="s">
        <v>1379</v>
      </c>
      <c r="B1380" s="12">
        <v>13.17</v>
      </c>
      <c r="C1380" s="11">
        <v>0</v>
      </c>
      <c r="D1380" s="11">
        <v>1.8116708450575232</v>
      </c>
    </row>
    <row r="1381" spans="1:4" x14ac:dyDescent="0.2">
      <c r="A1381" s="10" t="s">
        <v>1380</v>
      </c>
      <c r="B1381" s="12">
        <v>14.69</v>
      </c>
      <c r="C1381" s="11">
        <v>0</v>
      </c>
      <c r="D1381" s="11">
        <v>0.30689506118460774</v>
      </c>
    </row>
    <row r="1382" spans="1:4" x14ac:dyDescent="0.2">
      <c r="A1382" s="10" t="s">
        <v>1381</v>
      </c>
      <c r="B1382" s="12">
        <v>15.56</v>
      </c>
      <c r="C1382" s="11">
        <v>0.55439107826896894</v>
      </c>
      <c r="D1382" s="11">
        <v>0</v>
      </c>
    </row>
    <row r="1383" spans="1:4" x14ac:dyDescent="0.2">
      <c r="A1383" s="10" t="s">
        <v>1382</v>
      </c>
      <c r="B1383" s="12">
        <v>13.58</v>
      </c>
      <c r="C1383" s="11">
        <v>0</v>
      </c>
      <c r="D1383" s="11">
        <v>1.4057773770391708</v>
      </c>
    </row>
    <row r="1384" spans="1:4" x14ac:dyDescent="0.2">
      <c r="A1384" s="10" t="s">
        <v>1383</v>
      </c>
      <c r="B1384" s="12">
        <v>13.95</v>
      </c>
      <c r="C1384" s="11">
        <v>0</v>
      </c>
      <c r="D1384" s="11">
        <v>1.0394832717543165</v>
      </c>
    </row>
    <row r="1385" spans="1:4" x14ac:dyDescent="0.2">
      <c r="A1385" s="10" t="s">
        <v>1384</v>
      </c>
      <c r="B1385" s="12">
        <v>14.63</v>
      </c>
      <c r="C1385" s="11">
        <v>0</v>
      </c>
      <c r="D1385" s="11">
        <v>0.3662941052848544</v>
      </c>
    </row>
    <row r="1386" spans="1:4" x14ac:dyDescent="0.2">
      <c r="A1386" s="10" t="s">
        <v>1385</v>
      </c>
      <c r="B1386" s="12">
        <v>15.44</v>
      </c>
      <c r="C1386" s="11">
        <v>0.43559299006847552</v>
      </c>
      <c r="D1386" s="11">
        <v>0</v>
      </c>
    </row>
    <row r="1387" spans="1:4" x14ac:dyDescent="0.2">
      <c r="A1387" s="10" t="s">
        <v>1386</v>
      </c>
      <c r="B1387" s="12">
        <v>16.05</v>
      </c>
      <c r="C1387" s="11">
        <v>1.0394832717543165</v>
      </c>
      <c r="D1387" s="11">
        <v>0</v>
      </c>
    </row>
    <row r="1388" spans="1:4" x14ac:dyDescent="0.2">
      <c r="A1388" s="10" t="s">
        <v>1387</v>
      </c>
      <c r="B1388" s="12">
        <v>13.32</v>
      </c>
      <c r="C1388" s="11">
        <v>0</v>
      </c>
      <c r="D1388" s="11">
        <v>1.6631732348069064</v>
      </c>
    </row>
    <row r="1389" spans="1:4" x14ac:dyDescent="0.2">
      <c r="A1389" s="10" t="s">
        <v>1388</v>
      </c>
      <c r="B1389" s="12">
        <v>12.06</v>
      </c>
      <c r="C1389" s="11">
        <v>0</v>
      </c>
      <c r="D1389" s="11">
        <v>2.9105531609120865</v>
      </c>
    </row>
    <row r="1390" spans="1:4" x14ac:dyDescent="0.2">
      <c r="A1390" s="10" t="s">
        <v>1389</v>
      </c>
      <c r="B1390" s="12">
        <v>14.39</v>
      </c>
      <c r="C1390" s="11">
        <v>0</v>
      </c>
      <c r="D1390" s="11">
        <v>0.60389028168584102</v>
      </c>
    </row>
    <row r="1391" spans="1:4" x14ac:dyDescent="0.2">
      <c r="A1391" s="10" t="s">
        <v>1390</v>
      </c>
      <c r="B1391" s="12">
        <v>14.4</v>
      </c>
      <c r="C1391" s="11">
        <v>0</v>
      </c>
      <c r="D1391" s="11">
        <v>0.59399044100246656</v>
      </c>
    </row>
    <row r="1392" spans="1:4" x14ac:dyDescent="0.2">
      <c r="A1392" s="10" t="s">
        <v>1391</v>
      </c>
      <c r="B1392" s="12">
        <v>13.85</v>
      </c>
      <c r="C1392" s="11">
        <v>0</v>
      </c>
      <c r="D1392" s="11">
        <v>1.1384816785880609</v>
      </c>
    </row>
    <row r="1393" spans="1:4" x14ac:dyDescent="0.2">
      <c r="A1393" s="10" t="s">
        <v>1392</v>
      </c>
      <c r="B1393" s="12">
        <v>17.39</v>
      </c>
      <c r="C1393" s="11">
        <v>2.3660619233264919</v>
      </c>
      <c r="D1393" s="11">
        <v>0</v>
      </c>
    </row>
    <row r="1394" spans="1:4" x14ac:dyDescent="0.2">
      <c r="A1394" s="10" t="s">
        <v>1393</v>
      </c>
      <c r="B1394" s="12">
        <v>13.4</v>
      </c>
      <c r="C1394" s="11">
        <v>0</v>
      </c>
      <c r="D1394" s="11">
        <v>1.5839745093399111</v>
      </c>
    </row>
    <row r="1395" spans="1:4" x14ac:dyDescent="0.2">
      <c r="A1395" s="10" t="s">
        <v>1394</v>
      </c>
      <c r="B1395" s="12">
        <v>13.9</v>
      </c>
      <c r="C1395" s="11">
        <v>0</v>
      </c>
      <c r="D1395" s="11">
        <v>1.088982475171189</v>
      </c>
    </row>
    <row r="1396" spans="1:4" x14ac:dyDescent="0.2">
      <c r="A1396" s="10" t="s">
        <v>1395</v>
      </c>
      <c r="B1396" s="12">
        <v>14.04</v>
      </c>
      <c r="C1396" s="11">
        <v>0</v>
      </c>
      <c r="D1396" s="11">
        <v>0.9503847056039465</v>
      </c>
    </row>
    <row r="1397" spans="1:4" x14ac:dyDescent="0.2">
      <c r="A1397" s="10" t="s">
        <v>1396</v>
      </c>
      <c r="B1397" s="12">
        <v>15.41</v>
      </c>
      <c r="C1397" s="11">
        <v>0.40589346801835213</v>
      </c>
      <c r="D1397" s="11">
        <v>0</v>
      </c>
    </row>
    <row r="1398" spans="1:4" x14ac:dyDescent="0.2">
      <c r="A1398" s="10" t="s">
        <v>1397</v>
      </c>
      <c r="B1398" s="12">
        <v>15.9</v>
      </c>
      <c r="C1398" s="11">
        <v>0.89098566150369995</v>
      </c>
      <c r="D1398" s="11">
        <v>0</v>
      </c>
    </row>
    <row r="1399" spans="1:4" x14ac:dyDescent="0.2">
      <c r="A1399" s="10" t="s">
        <v>1398</v>
      </c>
      <c r="B1399" s="12">
        <v>15.28</v>
      </c>
      <c r="C1399" s="11">
        <v>0.27719553913448447</v>
      </c>
      <c r="D1399" s="11">
        <v>0</v>
      </c>
    </row>
    <row r="1400" spans="1:4" x14ac:dyDescent="0.2">
      <c r="A1400" s="10" t="s">
        <v>1399</v>
      </c>
      <c r="B1400" s="12">
        <v>14.17</v>
      </c>
      <c r="C1400" s="11">
        <v>0</v>
      </c>
      <c r="D1400" s="11">
        <v>0.82168677672007873</v>
      </c>
    </row>
    <row r="1401" spans="1:4" x14ac:dyDescent="0.2">
      <c r="A1401" s="10" t="s">
        <v>1400</v>
      </c>
      <c r="B1401" s="12">
        <v>13.09</v>
      </c>
      <c r="C1401" s="11">
        <v>0</v>
      </c>
      <c r="D1401" s="11">
        <v>1.8908695705245187</v>
      </c>
    </row>
    <row r="1402" spans="1:4" x14ac:dyDescent="0.2">
      <c r="A1402" s="10" t="s">
        <v>1401</v>
      </c>
      <c r="B1402" s="12">
        <v>14.99</v>
      </c>
      <c r="C1402" s="11">
        <v>0</v>
      </c>
      <c r="D1402" s="11">
        <v>9.8998406833744439E-3</v>
      </c>
    </row>
    <row r="1403" spans="1:4" x14ac:dyDescent="0.2">
      <c r="A1403" s="10" t="s">
        <v>1402</v>
      </c>
      <c r="B1403" s="12">
        <v>13.79</v>
      </c>
      <c r="C1403" s="11">
        <v>0</v>
      </c>
      <c r="D1403" s="11">
        <v>1.1978807226883077</v>
      </c>
    </row>
    <row r="1404" spans="1:4" x14ac:dyDescent="0.2">
      <c r="A1404" s="10" t="s">
        <v>1403</v>
      </c>
      <c r="B1404" s="12">
        <v>14.26</v>
      </c>
      <c r="C1404" s="11">
        <v>0</v>
      </c>
      <c r="D1404" s="11">
        <v>0.7325882105697088</v>
      </c>
    </row>
    <row r="1405" spans="1:4" x14ac:dyDescent="0.2">
      <c r="A1405" s="10" t="s">
        <v>1404</v>
      </c>
      <c r="B1405" s="12">
        <v>14.36</v>
      </c>
      <c r="C1405" s="11">
        <v>0</v>
      </c>
      <c r="D1405" s="11">
        <v>0.63358980373596441</v>
      </c>
    </row>
    <row r="1406" spans="1:4" x14ac:dyDescent="0.2">
      <c r="A1406" s="10" t="s">
        <v>1405</v>
      </c>
      <c r="B1406" s="12">
        <v>13.55</v>
      </c>
      <c r="C1406" s="11">
        <v>0</v>
      </c>
      <c r="D1406" s="11">
        <v>1.4354768990892943</v>
      </c>
    </row>
    <row r="1407" spans="1:4" x14ac:dyDescent="0.2">
      <c r="A1407" s="10" t="s">
        <v>1406</v>
      </c>
      <c r="B1407" s="12">
        <v>13.84</v>
      </c>
      <c r="C1407" s="11">
        <v>0</v>
      </c>
      <c r="D1407" s="11">
        <v>1.1483815192714353</v>
      </c>
    </row>
    <row r="1408" spans="1:4" x14ac:dyDescent="0.2">
      <c r="A1408" s="10" t="s">
        <v>1407</v>
      </c>
      <c r="B1408" s="12">
        <v>14.48</v>
      </c>
      <c r="C1408" s="11">
        <v>0</v>
      </c>
      <c r="D1408" s="11">
        <v>0.51479171553547109</v>
      </c>
    </row>
    <row r="1409" spans="1:4" x14ac:dyDescent="0.2">
      <c r="A1409" s="10" t="s">
        <v>1408</v>
      </c>
      <c r="B1409" s="12">
        <v>15.75</v>
      </c>
      <c r="C1409" s="11">
        <v>0.74248805125308326</v>
      </c>
      <c r="D1409" s="11">
        <v>0</v>
      </c>
    </row>
    <row r="1410" spans="1:4" x14ac:dyDescent="0.2">
      <c r="A1410" s="10" t="s">
        <v>1409</v>
      </c>
      <c r="B1410" s="12">
        <v>14.38</v>
      </c>
      <c r="C1410" s="11">
        <v>0</v>
      </c>
      <c r="D1410" s="11">
        <v>0.61379012236921549</v>
      </c>
    </row>
    <row r="1411" spans="1:4" x14ac:dyDescent="0.2">
      <c r="A1411" s="10" t="s">
        <v>1410</v>
      </c>
      <c r="B1411" s="12">
        <v>16.149999999999999</v>
      </c>
      <c r="C1411" s="11">
        <v>1.1384816785880609</v>
      </c>
      <c r="D1411" s="11">
        <v>0</v>
      </c>
    </row>
    <row r="1412" spans="1:4" x14ac:dyDescent="0.2">
      <c r="A1412" s="10" t="s">
        <v>1411</v>
      </c>
      <c r="B1412" s="12">
        <v>13.73</v>
      </c>
      <c r="C1412" s="11">
        <v>0</v>
      </c>
      <c r="D1412" s="11">
        <v>1.2572797667885542</v>
      </c>
    </row>
    <row r="1413" spans="1:4" x14ac:dyDescent="0.2">
      <c r="A1413" s="10" t="s">
        <v>1412</v>
      </c>
      <c r="B1413" s="12">
        <v>15.06</v>
      </c>
      <c r="C1413" s="11">
        <v>5.9399044100246656E-2</v>
      </c>
      <c r="D1413" s="11">
        <v>0</v>
      </c>
    </row>
    <row r="1414" spans="1:4" x14ac:dyDescent="0.2">
      <c r="A1414" s="10" t="s">
        <v>1413</v>
      </c>
      <c r="B1414" s="12">
        <v>14.6</v>
      </c>
      <c r="C1414" s="11">
        <v>0</v>
      </c>
      <c r="D1414" s="11">
        <v>0.39599362733497778</v>
      </c>
    </row>
    <row r="1415" spans="1:4" x14ac:dyDescent="0.2">
      <c r="A1415" s="10" t="s">
        <v>1414</v>
      </c>
      <c r="B1415" s="12">
        <v>12.95</v>
      </c>
      <c r="C1415" s="11">
        <v>0</v>
      </c>
      <c r="D1415" s="11">
        <v>2.0294673400917609</v>
      </c>
    </row>
    <row r="1416" spans="1:4" x14ac:dyDescent="0.2">
      <c r="A1416" s="10" t="s">
        <v>1415</v>
      </c>
      <c r="B1416" s="12">
        <v>15.83</v>
      </c>
      <c r="C1416" s="11">
        <v>0.82168677672007873</v>
      </c>
      <c r="D1416" s="11">
        <v>0</v>
      </c>
    </row>
    <row r="1417" spans="1:4" x14ac:dyDescent="0.2">
      <c r="A1417" s="10" t="s">
        <v>1416</v>
      </c>
      <c r="B1417" s="12">
        <v>12.85</v>
      </c>
      <c r="C1417" s="11">
        <v>0</v>
      </c>
      <c r="D1417" s="11">
        <v>2.1284657469255053</v>
      </c>
    </row>
    <row r="1418" spans="1:4" x14ac:dyDescent="0.2">
      <c r="A1418" s="10" t="s">
        <v>1417</v>
      </c>
      <c r="B1418" s="12">
        <v>14.33</v>
      </c>
      <c r="C1418" s="11">
        <v>0</v>
      </c>
      <c r="D1418" s="11">
        <v>0.66328932578608779</v>
      </c>
    </row>
    <row r="1419" spans="1:4" x14ac:dyDescent="0.2">
      <c r="A1419" s="10" t="s">
        <v>1418</v>
      </c>
      <c r="B1419" s="12">
        <v>10.65</v>
      </c>
      <c r="C1419" s="11">
        <v>0</v>
      </c>
      <c r="D1419" s="11">
        <v>4.3064306972678823</v>
      </c>
    </row>
    <row r="1420" spans="1:4" x14ac:dyDescent="0.2">
      <c r="A1420" s="10" t="s">
        <v>1419</v>
      </c>
      <c r="B1420" s="12">
        <v>15.89</v>
      </c>
      <c r="C1420" s="11">
        <v>0.88108582082032549</v>
      </c>
      <c r="D1420" s="11">
        <v>0</v>
      </c>
    </row>
    <row r="1421" spans="1:4" x14ac:dyDescent="0.2">
      <c r="A1421" s="10" t="s">
        <v>1420</v>
      </c>
      <c r="B1421" s="12">
        <v>13.6</v>
      </c>
      <c r="C1421" s="11">
        <v>0</v>
      </c>
      <c r="D1421" s="11">
        <v>1.3859776956724219</v>
      </c>
    </row>
    <row r="1422" spans="1:4" x14ac:dyDescent="0.2">
      <c r="A1422" s="10" t="s">
        <v>1421</v>
      </c>
      <c r="B1422" s="12">
        <v>13.91</v>
      </c>
      <c r="C1422" s="11">
        <v>0</v>
      </c>
      <c r="D1422" s="11">
        <v>1.0790826344878144</v>
      </c>
    </row>
    <row r="1423" spans="1:4" x14ac:dyDescent="0.2">
      <c r="A1423" s="10" t="s">
        <v>1422</v>
      </c>
      <c r="B1423" s="12">
        <v>14.15</v>
      </c>
      <c r="C1423" s="11">
        <v>0</v>
      </c>
      <c r="D1423" s="11">
        <v>0.84148645808682765</v>
      </c>
    </row>
    <row r="1424" spans="1:4" x14ac:dyDescent="0.2">
      <c r="A1424" s="10" t="s">
        <v>1423</v>
      </c>
      <c r="B1424" s="12">
        <v>15.24</v>
      </c>
      <c r="C1424" s="11">
        <v>0.23759617640098663</v>
      </c>
      <c r="D1424" s="11">
        <v>0</v>
      </c>
    </row>
    <row r="1425" spans="1:4" x14ac:dyDescent="0.2">
      <c r="A1425" s="10" t="s">
        <v>1424</v>
      </c>
      <c r="B1425" s="12">
        <v>14.82</v>
      </c>
      <c r="C1425" s="11">
        <v>0</v>
      </c>
      <c r="D1425" s="11">
        <v>0.17819713230073997</v>
      </c>
    </row>
    <row r="1426" spans="1:4" x14ac:dyDescent="0.2">
      <c r="A1426" s="10" t="s">
        <v>1425</v>
      </c>
      <c r="B1426" s="12">
        <v>12.75</v>
      </c>
      <c r="C1426" s="11">
        <v>0</v>
      </c>
      <c r="D1426" s="11">
        <v>2.2274641537592497</v>
      </c>
    </row>
    <row r="1427" spans="1:4" x14ac:dyDescent="0.2">
      <c r="A1427" s="10" t="s">
        <v>1426</v>
      </c>
      <c r="B1427" s="12">
        <v>13.45</v>
      </c>
      <c r="C1427" s="11">
        <v>0</v>
      </c>
      <c r="D1427" s="11">
        <v>1.5344753059230387</v>
      </c>
    </row>
    <row r="1428" spans="1:4" x14ac:dyDescent="0.2">
      <c r="A1428" s="10" t="s">
        <v>1427</v>
      </c>
      <c r="B1428" s="12">
        <v>16.62</v>
      </c>
      <c r="C1428" s="11">
        <v>1.6037741907066601</v>
      </c>
      <c r="D1428" s="11">
        <v>0</v>
      </c>
    </row>
    <row r="1429" spans="1:4" x14ac:dyDescent="0.2">
      <c r="A1429" s="10" t="s">
        <v>1428</v>
      </c>
      <c r="B1429" s="12">
        <v>12.74</v>
      </c>
      <c r="C1429" s="11">
        <v>0</v>
      </c>
      <c r="D1429" s="11">
        <v>2.237363994442624</v>
      </c>
    </row>
    <row r="1430" spans="1:4" x14ac:dyDescent="0.2">
      <c r="A1430" s="10" t="s">
        <v>1429</v>
      </c>
      <c r="B1430" s="12">
        <v>13.68</v>
      </c>
      <c r="C1430" s="11">
        <v>0</v>
      </c>
      <c r="D1430" s="11">
        <v>1.3067789702054267</v>
      </c>
    </row>
    <row r="1431" spans="1:4" x14ac:dyDescent="0.2">
      <c r="A1431" s="10" t="s">
        <v>1430</v>
      </c>
      <c r="B1431" s="12">
        <v>17.600000000000001</v>
      </c>
      <c r="C1431" s="11">
        <v>2.5739585776773555</v>
      </c>
      <c r="D1431" s="11">
        <v>0</v>
      </c>
    </row>
    <row r="1432" spans="1:4" x14ac:dyDescent="0.2">
      <c r="A1432" s="10" t="s">
        <v>1431</v>
      </c>
      <c r="B1432" s="12">
        <v>12.59</v>
      </c>
      <c r="C1432" s="11">
        <v>0</v>
      </c>
      <c r="D1432" s="11">
        <v>2.385861604693241</v>
      </c>
    </row>
    <row r="1433" spans="1:4" x14ac:dyDescent="0.2">
      <c r="A1433" s="10" t="s">
        <v>1432</v>
      </c>
      <c r="B1433" s="12">
        <v>14.23</v>
      </c>
      <c r="C1433" s="11">
        <v>0</v>
      </c>
      <c r="D1433" s="11">
        <v>0.76228773261983218</v>
      </c>
    </row>
    <row r="1434" spans="1:4" x14ac:dyDescent="0.2">
      <c r="A1434" s="10" t="s">
        <v>1433</v>
      </c>
      <c r="B1434" s="12">
        <v>12.96</v>
      </c>
      <c r="C1434" s="11">
        <v>0</v>
      </c>
      <c r="D1434" s="11">
        <v>2.0195674994083865</v>
      </c>
    </row>
    <row r="1435" spans="1:4" x14ac:dyDescent="0.2">
      <c r="A1435" s="10" t="s">
        <v>1434</v>
      </c>
      <c r="B1435" s="12">
        <v>16.93</v>
      </c>
      <c r="C1435" s="11">
        <v>1.9106692518912676</v>
      </c>
      <c r="D1435" s="11">
        <v>0</v>
      </c>
    </row>
    <row r="1436" spans="1:4" x14ac:dyDescent="0.2">
      <c r="A1436" s="10" t="s">
        <v>1435</v>
      </c>
      <c r="B1436" s="12">
        <v>14.36</v>
      </c>
      <c r="C1436" s="11">
        <v>0</v>
      </c>
      <c r="D1436" s="11">
        <v>0.63358980373596441</v>
      </c>
    </row>
    <row r="1437" spans="1:4" x14ac:dyDescent="0.2">
      <c r="A1437" s="10" t="s">
        <v>1436</v>
      </c>
      <c r="B1437" s="12">
        <v>13.02</v>
      </c>
      <c r="C1437" s="11">
        <v>0</v>
      </c>
      <c r="D1437" s="11">
        <v>1.9601684553081398</v>
      </c>
    </row>
    <row r="1438" spans="1:4" x14ac:dyDescent="0.2">
      <c r="A1438" s="10" t="s">
        <v>1437</v>
      </c>
      <c r="B1438" s="12">
        <v>14.55</v>
      </c>
      <c r="C1438" s="11">
        <v>0</v>
      </c>
      <c r="D1438" s="11">
        <v>0.45539267143522444</v>
      </c>
    </row>
    <row r="1439" spans="1:4" x14ac:dyDescent="0.2">
      <c r="A1439" s="10" t="s">
        <v>1438</v>
      </c>
      <c r="B1439" s="12">
        <v>13.67</v>
      </c>
      <c r="C1439" s="11">
        <v>0</v>
      </c>
      <c r="D1439" s="11">
        <v>1.316678810888801</v>
      </c>
    </row>
    <row r="1440" spans="1:4" x14ac:dyDescent="0.2">
      <c r="A1440" s="10" t="s">
        <v>1439</v>
      </c>
      <c r="B1440" s="12">
        <v>13.67</v>
      </c>
      <c r="C1440" s="11">
        <v>0</v>
      </c>
      <c r="D1440" s="11">
        <v>1.316678810888801</v>
      </c>
    </row>
    <row r="1441" spans="1:4" x14ac:dyDescent="0.2">
      <c r="A1441" s="10" t="s">
        <v>1440</v>
      </c>
      <c r="B1441" s="12">
        <v>12.85</v>
      </c>
      <c r="C1441" s="11">
        <v>0</v>
      </c>
      <c r="D1441" s="11">
        <v>2.1284657469255053</v>
      </c>
    </row>
    <row r="1442" spans="1:4" x14ac:dyDescent="0.2">
      <c r="A1442" s="10" t="s">
        <v>1441</v>
      </c>
      <c r="B1442" s="12">
        <v>14.27</v>
      </c>
      <c r="C1442" s="11">
        <v>0</v>
      </c>
      <c r="D1442" s="11">
        <v>0.72268836988633434</v>
      </c>
    </row>
    <row r="1443" spans="1:4" x14ac:dyDescent="0.2">
      <c r="A1443" s="10" t="s">
        <v>1442</v>
      </c>
      <c r="B1443" s="12">
        <v>14.75</v>
      </c>
      <c r="C1443" s="11">
        <v>0</v>
      </c>
      <c r="D1443" s="11">
        <v>0.24749601708436109</v>
      </c>
    </row>
    <row r="1444" spans="1:4" x14ac:dyDescent="0.2">
      <c r="A1444" s="10" t="s">
        <v>1443</v>
      </c>
      <c r="B1444" s="12">
        <v>15.46</v>
      </c>
      <c r="C1444" s="11">
        <v>0.45539267143522444</v>
      </c>
      <c r="D1444" s="11">
        <v>0</v>
      </c>
    </row>
    <row r="1445" spans="1:4" x14ac:dyDescent="0.2">
      <c r="A1445" s="10" t="s">
        <v>1444</v>
      </c>
      <c r="B1445" s="12">
        <v>14.18</v>
      </c>
      <c r="C1445" s="11">
        <v>0</v>
      </c>
      <c r="D1445" s="11">
        <v>0.81178693603670427</v>
      </c>
    </row>
    <row r="1446" spans="1:4" x14ac:dyDescent="0.2">
      <c r="A1446" s="10" t="s">
        <v>1445</v>
      </c>
      <c r="B1446" s="12">
        <v>13.47</v>
      </c>
      <c r="C1446" s="11">
        <v>0</v>
      </c>
      <c r="D1446" s="11">
        <v>1.5146756245562898</v>
      </c>
    </row>
    <row r="1447" spans="1:4" x14ac:dyDescent="0.2">
      <c r="A1447" s="10" t="s">
        <v>1446</v>
      </c>
      <c r="B1447" s="12">
        <v>13.23</v>
      </c>
      <c r="C1447" s="11">
        <v>0</v>
      </c>
      <c r="D1447" s="11">
        <v>1.7522718009572764</v>
      </c>
    </row>
    <row r="1448" spans="1:4" x14ac:dyDescent="0.2">
      <c r="A1448" s="10" t="s">
        <v>1447</v>
      </c>
      <c r="B1448" s="12">
        <v>16.41</v>
      </c>
      <c r="C1448" s="11">
        <v>1.3958775363557965</v>
      </c>
      <c r="D1448" s="11">
        <v>0</v>
      </c>
    </row>
    <row r="1449" spans="1:4" x14ac:dyDescent="0.2">
      <c r="A1449" s="10" t="s">
        <v>1448</v>
      </c>
      <c r="B1449" s="12">
        <v>12.14</v>
      </c>
      <c r="C1449" s="11">
        <v>0</v>
      </c>
      <c r="D1449" s="11">
        <v>2.8313544354450908</v>
      </c>
    </row>
    <row r="1450" spans="1:4" x14ac:dyDescent="0.2">
      <c r="A1450" s="10" t="s">
        <v>1449</v>
      </c>
      <c r="B1450" s="12">
        <v>14.84</v>
      </c>
      <c r="C1450" s="11">
        <v>0</v>
      </c>
      <c r="D1450" s="11">
        <v>0.1583974509339911</v>
      </c>
    </row>
    <row r="1451" spans="1:4" x14ac:dyDescent="0.2">
      <c r="A1451" s="10" t="s">
        <v>1450</v>
      </c>
      <c r="B1451" s="12">
        <v>14.42</v>
      </c>
      <c r="C1451" s="11">
        <v>0</v>
      </c>
      <c r="D1451" s="11">
        <v>0.57419075963571764</v>
      </c>
    </row>
    <row r="1452" spans="1:4" x14ac:dyDescent="0.2">
      <c r="A1452" s="10" t="s">
        <v>1451</v>
      </c>
      <c r="B1452" s="12">
        <v>14.09</v>
      </c>
      <c r="C1452" s="11">
        <v>0</v>
      </c>
      <c r="D1452" s="11">
        <v>0.90088550218707442</v>
      </c>
    </row>
    <row r="1453" spans="1:4" x14ac:dyDescent="0.2">
      <c r="A1453" s="10" t="s">
        <v>1452</v>
      </c>
      <c r="B1453" s="12">
        <v>13.39</v>
      </c>
      <c r="C1453" s="11">
        <v>0</v>
      </c>
      <c r="D1453" s="11">
        <v>1.5938743500232855</v>
      </c>
    </row>
    <row r="1454" spans="1:4" x14ac:dyDescent="0.2">
      <c r="A1454" s="10" t="s">
        <v>1453</v>
      </c>
      <c r="B1454" s="12">
        <v>13.71</v>
      </c>
      <c r="C1454" s="11">
        <v>0</v>
      </c>
      <c r="D1454" s="11">
        <v>1.2770794481553032</v>
      </c>
    </row>
    <row r="1455" spans="1:4" x14ac:dyDescent="0.2">
      <c r="A1455" s="10" t="s">
        <v>1454</v>
      </c>
      <c r="B1455" s="12">
        <v>15.41</v>
      </c>
      <c r="C1455" s="11">
        <v>0.40589346801835213</v>
      </c>
      <c r="D1455" s="11">
        <v>0</v>
      </c>
    </row>
    <row r="1456" spans="1:4" x14ac:dyDescent="0.2">
      <c r="A1456" s="10" t="s">
        <v>1455</v>
      </c>
      <c r="B1456" s="12">
        <v>13.71</v>
      </c>
      <c r="C1456" s="11">
        <v>0</v>
      </c>
      <c r="D1456" s="11">
        <v>1.2770794481553032</v>
      </c>
    </row>
    <row r="1457" spans="1:4" x14ac:dyDescent="0.2">
      <c r="A1457" s="10" t="s">
        <v>1456</v>
      </c>
      <c r="B1457" s="12">
        <v>16.48</v>
      </c>
      <c r="C1457" s="11">
        <v>1.4651764211394176</v>
      </c>
      <c r="D1457" s="11">
        <v>0</v>
      </c>
    </row>
    <row r="1458" spans="1:4" x14ac:dyDescent="0.2">
      <c r="A1458" s="10" t="s">
        <v>1457</v>
      </c>
      <c r="B1458" s="12">
        <v>14.49</v>
      </c>
      <c r="C1458" s="11">
        <v>0</v>
      </c>
      <c r="D1458" s="11">
        <v>0.50489187485209663</v>
      </c>
    </row>
    <row r="1459" spans="1:4" x14ac:dyDescent="0.2">
      <c r="A1459" s="10" t="s">
        <v>1458</v>
      </c>
      <c r="B1459" s="12">
        <v>15.02</v>
      </c>
      <c r="C1459" s="11">
        <v>1.9799681366748888E-2</v>
      </c>
      <c r="D1459" s="11">
        <v>0</v>
      </c>
    </row>
    <row r="1460" spans="1:4" x14ac:dyDescent="0.2">
      <c r="A1460" s="10" t="s">
        <v>1459</v>
      </c>
      <c r="B1460" s="12">
        <v>13.7</v>
      </c>
      <c r="C1460" s="11">
        <v>0</v>
      </c>
      <c r="D1460" s="11">
        <v>1.2869792888386777</v>
      </c>
    </row>
    <row r="1461" spans="1:4" x14ac:dyDescent="0.2">
      <c r="A1461" s="10" t="s">
        <v>1460</v>
      </c>
      <c r="B1461" s="12">
        <v>15.31</v>
      </c>
      <c r="C1461" s="11">
        <v>0.30689506118460774</v>
      </c>
      <c r="D1461" s="11">
        <v>0</v>
      </c>
    </row>
    <row r="1462" spans="1:4" x14ac:dyDescent="0.2">
      <c r="A1462" s="10" t="s">
        <v>1461</v>
      </c>
      <c r="B1462" s="12">
        <v>16.14</v>
      </c>
      <c r="C1462" s="11">
        <v>1.1285818379046864</v>
      </c>
      <c r="D1462" s="11">
        <v>0</v>
      </c>
    </row>
    <row r="1463" spans="1:4" x14ac:dyDescent="0.2">
      <c r="A1463" s="10" t="s">
        <v>1462</v>
      </c>
      <c r="B1463" s="12">
        <v>13.42</v>
      </c>
      <c r="C1463" s="11">
        <v>0</v>
      </c>
      <c r="D1463" s="11">
        <v>1.5641748279731622</v>
      </c>
    </row>
    <row r="1464" spans="1:4" x14ac:dyDescent="0.2">
      <c r="A1464" s="10" t="s">
        <v>1463</v>
      </c>
      <c r="B1464" s="12">
        <v>14.71</v>
      </c>
      <c r="C1464" s="11">
        <v>0</v>
      </c>
      <c r="D1464" s="11">
        <v>0.28709537981785882</v>
      </c>
    </row>
    <row r="1465" spans="1:4" x14ac:dyDescent="0.2">
      <c r="A1465" s="10" t="s">
        <v>1464</v>
      </c>
      <c r="B1465" s="12">
        <v>12.85</v>
      </c>
      <c r="C1465" s="11">
        <v>0</v>
      </c>
      <c r="D1465" s="11">
        <v>2.1284657469255053</v>
      </c>
    </row>
    <row r="1466" spans="1:4" x14ac:dyDescent="0.2">
      <c r="A1466" s="10" t="s">
        <v>1465</v>
      </c>
      <c r="B1466" s="12">
        <v>14.39</v>
      </c>
      <c r="C1466" s="11">
        <v>0</v>
      </c>
      <c r="D1466" s="11">
        <v>0.60389028168584102</v>
      </c>
    </row>
    <row r="1467" spans="1:4" x14ac:dyDescent="0.2">
      <c r="A1467" s="10" t="s">
        <v>1466</v>
      </c>
      <c r="B1467" s="12">
        <v>14.88</v>
      </c>
      <c r="C1467" s="11">
        <v>0</v>
      </c>
      <c r="D1467" s="11">
        <v>0.11879808820049331</v>
      </c>
    </row>
    <row r="1468" spans="1:4" x14ac:dyDescent="0.2">
      <c r="A1468" s="10" t="s">
        <v>1467</v>
      </c>
      <c r="B1468" s="12">
        <v>13.57</v>
      </c>
      <c r="C1468" s="11">
        <v>0</v>
      </c>
      <c r="D1468" s="11">
        <v>1.4156772177225454</v>
      </c>
    </row>
    <row r="1469" spans="1:4" x14ac:dyDescent="0.2">
      <c r="A1469" s="10" t="s">
        <v>1468</v>
      </c>
      <c r="B1469" s="12">
        <v>14.95</v>
      </c>
      <c r="C1469" s="11">
        <v>0</v>
      </c>
      <c r="D1469" s="11">
        <v>4.9499203416872223E-2</v>
      </c>
    </row>
    <row r="1470" spans="1:4" x14ac:dyDescent="0.2">
      <c r="A1470" s="10" t="s">
        <v>1469</v>
      </c>
      <c r="B1470" s="12">
        <v>14.47</v>
      </c>
      <c r="C1470" s="11">
        <v>0</v>
      </c>
      <c r="D1470" s="11">
        <v>0.52469155621884556</v>
      </c>
    </row>
    <row r="1471" spans="1:4" x14ac:dyDescent="0.2">
      <c r="A1471" s="10" t="s">
        <v>1470</v>
      </c>
      <c r="B1471" s="12">
        <v>14.29</v>
      </c>
      <c r="C1471" s="11">
        <v>0</v>
      </c>
      <c r="D1471" s="11">
        <v>0.70288868851958541</v>
      </c>
    </row>
    <row r="1472" spans="1:4" x14ac:dyDescent="0.2">
      <c r="A1472" s="10" t="s">
        <v>1471</v>
      </c>
      <c r="B1472" s="12">
        <v>14.55</v>
      </c>
      <c r="C1472" s="11">
        <v>0</v>
      </c>
      <c r="D1472" s="11">
        <v>0.44549283075184998</v>
      </c>
    </row>
    <row r="1473" spans="1:4" x14ac:dyDescent="0.2">
      <c r="A1473" s="10" t="s">
        <v>1472</v>
      </c>
      <c r="B1473" s="12">
        <v>14.62</v>
      </c>
      <c r="C1473" s="11">
        <v>0</v>
      </c>
      <c r="D1473" s="11">
        <v>0.37619394596822886</v>
      </c>
    </row>
    <row r="1474" spans="1:4" x14ac:dyDescent="0.2">
      <c r="A1474" s="10" t="s">
        <v>1473</v>
      </c>
      <c r="B1474" s="12">
        <v>13.26</v>
      </c>
      <c r="C1474" s="11">
        <v>0</v>
      </c>
      <c r="D1474" s="11">
        <v>1.7225722789071531</v>
      </c>
    </row>
    <row r="1475" spans="1:4" x14ac:dyDescent="0.2">
      <c r="A1475" s="10" t="s">
        <v>1474</v>
      </c>
      <c r="B1475" s="12">
        <v>16.27</v>
      </c>
      <c r="C1475" s="11">
        <v>1.2572797667885542</v>
      </c>
      <c r="D1475" s="11">
        <v>0</v>
      </c>
    </row>
    <row r="1476" spans="1:4" x14ac:dyDescent="0.2">
      <c r="A1476" s="10" t="s">
        <v>1475</v>
      </c>
      <c r="B1476" s="12">
        <v>15.2</v>
      </c>
      <c r="C1476" s="11">
        <v>0.19799681366748889</v>
      </c>
      <c r="D1476" s="11">
        <v>0</v>
      </c>
    </row>
    <row r="1477" spans="1:4" x14ac:dyDescent="0.2">
      <c r="A1477" s="10" t="s">
        <v>1476</v>
      </c>
      <c r="B1477" s="12">
        <v>13.56</v>
      </c>
      <c r="C1477" s="11">
        <v>0</v>
      </c>
      <c r="D1477" s="11">
        <v>1.4255770584059198</v>
      </c>
    </row>
    <row r="1478" spans="1:4" x14ac:dyDescent="0.2">
      <c r="A1478" s="10" t="s">
        <v>1477</v>
      </c>
      <c r="B1478" s="12">
        <v>13.79</v>
      </c>
      <c r="C1478" s="11">
        <v>0</v>
      </c>
      <c r="D1478" s="11">
        <v>1.1978807226883077</v>
      </c>
    </row>
    <row r="1479" spans="1:4" x14ac:dyDescent="0.2">
      <c r="A1479" s="10" t="s">
        <v>1478</v>
      </c>
      <c r="B1479" s="12">
        <v>12.77</v>
      </c>
      <c r="C1479" s="11">
        <v>0</v>
      </c>
      <c r="D1479" s="11">
        <v>2.207664472392501</v>
      </c>
    </row>
    <row r="1480" spans="1:4" x14ac:dyDescent="0.2">
      <c r="A1480" s="10" t="s">
        <v>1479</v>
      </c>
      <c r="B1480" s="12">
        <v>16.29</v>
      </c>
      <c r="C1480" s="11">
        <v>1.2770794481553032</v>
      </c>
      <c r="D1480" s="11">
        <v>0</v>
      </c>
    </row>
    <row r="1481" spans="1:4" x14ac:dyDescent="0.2">
      <c r="A1481" s="10" t="s">
        <v>1480</v>
      </c>
      <c r="B1481" s="12">
        <v>13.47</v>
      </c>
      <c r="C1481" s="11">
        <v>0</v>
      </c>
      <c r="D1481" s="11">
        <v>1.5146756245562898</v>
      </c>
    </row>
    <row r="1482" spans="1:4" x14ac:dyDescent="0.2">
      <c r="A1482" s="10" t="s">
        <v>1481</v>
      </c>
      <c r="B1482" s="12">
        <v>15.75</v>
      </c>
      <c r="C1482" s="11">
        <v>0.74248805125308326</v>
      </c>
      <c r="D1482" s="11">
        <v>0</v>
      </c>
    </row>
    <row r="1483" spans="1:4" x14ac:dyDescent="0.2">
      <c r="A1483" s="10" t="s">
        <v>1482</v>
      </c>
      <c r="B1483" s="12">
        <v>15.03</v>
      </c>
      <c r="C1483" s="11">
        <v>2.9699522050123328E-2</v>
      </c>
      <c r="D1483" s="11">
        <v>0</v>
      </c>
    </row>
    <row r="1484" spans="1:4" x14ac:dyDescent="0.2">
      <c r="A1484" s="10" t="s">
        <v>1483</v>
      </c>
      <c r="B1484" s="12">
        <v>13.64</v>
      </c>
      <c r="C1484" s="11">
        <v>0</v>
      </c>
      <c r="D1484" s="11">
        <v>1.3463783329389245</v>
      </c>
    </row>
    <row r="1485" spans="1:4" x14ac:dyDescent="0.2">
      <c r="A1485" s="10" t="s">
        <v>1484</v>
      </c>
      <c r="B1485" s="12">
        <v>13.07</v>
      </c>
      <c r="C1485" s="11">
        <v>0</v>
      </c>
      <c r="D1485" s="11">
        <v>1.9106692518912676</v>
      </c>
    </row>
    <row r="1486" spans="1:4" x14ac:dyDescent="0.2">
      <c r="A1486" s="10" t="s">
        <v>1485</v>
      </c>
      <c r="B1486" s="12">
        <v>14.35</v>
      </c>
      <c r="C1486" s="11">
        <v>0</v>
      </c>
      <c r="D1486" s="11">
        <v>0.64348964441933887</v>
      </c>
    </row>
    <row r="1487" spans="1:4" x14ac:dyDescent="0.2">
      <c r="A1487" s="10" t="s">
        <v>1486</v>
      </c>
      <c r="B1487" s="12">
        <v>14.14</v>
      </c>
      <c r="C1487" s="11">
        <v>0</v>
      </c>
      <c r="D1487" s="11">
        <v>0.85138629877020211</v>
      </c>
    </row>
    <row r="1488" spans="1:4" x14ac:dyDescent="0.2">
      <c r="A1488" s="10" t="s">
        <v>1487</v>
      </c>
      <c r="B1488" s="12">
        <v>14.85</v>
      </c>
      <c r="C1488" s="11">
        <v>0</v>
      </c>
      <c r="D1488" s="11">
        <v>0.14849761025061664</v>
      </c>
    </row>
    <row r="1489" spans="1:4" x14ac:dyDescent="0.2">
      <c r="A1489" s="10" t="s">
        <v>1488</v>
      </c>
      <c r="B1489" s="12">
        <v>13.91</v>
      </c>
      <c r="C1489" s="11">
        <v>0</v>
      </c>
      <c r="D1489" s="11">
        <v>1.0790826344878144</v>
      </c>
    </row>
    <row r="1490" spans="1:4" x14ac:dyDescent="0.2">
      <c r="A1490" s="10" t="s">
        <v>1489</v>
      </c>
      <c r="B1490" s="12">
        <v>13.32</v>
      </c>
      <c r="C1490" s="11">
        <v>0</v>
      </c>
      <c r="D1490" s="11">
        <v>1.6631732348069064</v>
      </c>
    </row>
    <row r="1491" spans="1:4" x14ac:dyDescent="0.2">
      <c r="A1491" s="10" t="s">
        <v>1490</v>
      </c>
      <c r="B1491" s="12">
        <v>13.87</v>
      </c>
      <c r="C1491" s="11">
        <v>0</v>
      </c>
      <c r="D1491" s="11">
        <v>1.118681997221312</v>
      </c>
    </row>
    <row r="1492" spans="1:4" x14ac:dyDescent="0.2">
      <c r="A1492" s="10" t="s">
        <v>1491</v>
      </c>
      <c r="B1492" s="12">
        <v>13.61</v>
      </c>
      <c r="C1492" s="11">
        <v>0</v>
      </c>
      <c r="D1492" s="11">
        <v>1.3760778549890476</v>
      </c>
    </row>
    <row r="1493" spans="1:4" x14ac:dyDescent="0.2">
      <c r="A1493" s="10" t="s">
        <v>1492</v>
      </c>
      <c r="B1493" s="12">
        <v>12.31</v>
      </c>
      <c r="C1493" s="11">
        <v>0</v>
      </c>
      <c r="D1493" s="11">
        <v>2.6630571438277251</v>
      </c>
    </row>
    <row r="1494" spans="1:4" x14ac:dyDescent="0.2">
      <c r="A1494" s="10" t="s">
        <v>1493</v>
      </c>
      <c r="B1494" s="12">
        <v>12.11</v>
      </c>
      <c r="C1494" s="11">
        <v>0</v>
      </c>
      <c r="D1494" s="11">
        <v>2.8610539574952143</v>
      </c>
    </row>
    <row r="1495" spans="1:4" x14ac:dyDescent="0.2">
      <c r="A1495" s="10" t="s">
        <v>1494</v>
      </c>
      <c r="B1495" s="12">
        <v>12.88</v>
      </c>
      <c r="C1495" s="11">
        <v>0</v>
      </c>
      <c r="D1495" s="11">
        <v>2.0987662248753822</v>
      </c>
    </row>
    <row r="1496" spans="1:4" x14ac:dyDescent="0.2">
      <c r="A1496" s="10" t="s">
        <v>1495</v>
      </c>
      <c r="B1496" s="12">
        <v>12.57</v>
      </c>
      <c r="C1496" s="11">
        <v>0</v>
      </c>
      <c r="D1496" s="11">
        <v>2.4056612860599897</v>
      </c>
    </row>
    <row r="1497" spans="1:4" x14ac:dyDescent="0.2">
      <c r="A1497" s="10" t="s">
        <v>1496</v>
      </c>
      <c r="B1497" s="12">
        <v>15.32</v>
      </c>
      <c r="C1497" s="11">
        <v>0.3167949018679822</v>
      </c>
      <c r="D1497" s="11">
        <v>0</v>
      </c>
    </row>
    <row r="1498" spans="1:4" x14ac:dyDescent="0.2">
      <c r="A1498" s="10" t="s">
        <v>1497</v>
      </c>
      <c r="B1498" s="12">
        <v>11.91</v>
      </c>
      <c r="C1498" s="11">
        <v>0</v>
      </c>
      <c r="D1498" s="11">
        <v>3.0590507711627031</v>
      </c>
    </row>
    <row r="1499" spans="1:4" x14ac:dyDescent="0.2">
      <c r="A1499" s="10" t="s">
        <v>1498</v>
      </c>
      <c r="B1499" s="12">
        <v>15.19</v>
      </c>
      <c r="C1499" s="11">
        <v>0.18809697298411443</v>
      </c>
      <c r="D1499" s="11">
        <v>0</v>
      </c>
    </row>
    <row r="1500" spans="1:4" x14ac:dyDescent="0.2">
      <c r="A1500" s="10" t="s">
        <v>1499</v>
      </c>
      <c r="B1500" s="12">
        <v>12.09</v>
      </c>
      <c r="C1500" s="11">
        <v>0</v>
      </c>
      <c r="D1500" s="11">
        <v>2.880853638861963</v>
      </c>
    </row>
    <row r="1501" spans="1:4" x14ac:dyDescent="0.2">
      <c r="A1501" s="10" t="s">
        <v>1500</v>
      </c>
      <c r="B1501" s="12">
        <v>15.51</v>
      </c>
      <c r="C1501" s="11">
        <v>0.50489187485209663</v>
      </c>
      <c r="D1501" s="11">
        <v>0</v>
      </c>
    </row>
    <row r="1502" spans="1:4" x14ac:dyDescent="0.2">
      <c r="A1502" s="10" t="s">
        <v>1501</v>
      </c>
      <c r="B1502" s="12">
        <v>14.93</v>
      </c>
      <c r="C1502" s="11">
        <v>0</v>
      </c>
      <c r="D1502" s="11">
        <v>6.9298884783621117E-2</v>
      </c>
    </row>
    <row r="1503" spans="1:4" x14ac:dyDescent="0.2">
      <c r="A1503" s="10" t="s">
        <v>1502</v>
      </c>
      <c r="B1503" s="12">
        <v>15.84</v>
      </c>
      <c r="C1503" s="11">
        <v>0.83158661740345319</v>
      </c>
      <c r="D1503" s="11">
        <v>0</v>
      </c>
    </row>
    <row r="1504" spans="1:4" x14ac:dyDescent="0.2">
      <c r="A1504" s="10" t="s">
        <v>1503</v>
      </c>
      <c r="B1504" s="12">
        <v>13.31</v>
      </c>
      <c r="C1504" s="11">
        <v>0</v>
      </c>
      <c r="D1504" s="11">
        <v>1.6730730754902809</v>
      </c>
    </row>
    <row r="1505" spans="1:4" x14ac:dyDescent="0.2">
      <c r="A1505" s="10" t="s">
        <v>1504</v>
      </c>
      <c r="B1505" s="12">
        <v>14.53</v>
      </c>
      <c r="C1505" s="11">
        <v>0</v>
      </c>
      <c r="D1505" s="11">
        <v>0.46529251211859879</v>
      </c>
    </row>
    <row r="1506" spans="1:4" x14ac:dyDescent="0.2">
      <c r="A1506" s="10" t="s">
        <v>1505</v>
      </c>
      <c r="B1506" s="12">
        <v>13.19</v>
      </c>
      <c r="C1506" s="11">
        <v>0</v>
      </c>
      <c r="D1506" s="11">
        <v>1.7918711636907743</v>
      </c>
    </row>
    <row r="1507" spans="1:4" x14ac:dyDescent="0.2">
      <c r="A1507" s="10" t="s">
        <v>1506</v>
      </c>
      <c r="B1507" s="12">
        <v>13.62</v>
      </c>
      <c r="C1507" s="11">
        <v>0</v>
      </c>
      <c r="D1507" s="11">
        <v>1.366178014305673</v>
      </c>
    </row>
    <row r="1508" spans="1:4" x14ac:dyDescent="0.2">
      <c r="A1508" s="10" t="s">
        <v>1507</v>
      </c>
      <c r="B1508" s="12">
        <v>13.72</v>
      </c>
      <c r="C1508" s="11">
        <v>0</v>
      </c>
      <c r="D1508" s="11">
        <v>1.2671796074719288</v>
      </c>
    </row>
    <row r="1509" spans="1:4" x14ac:dyDescent="0.2">
      <c r="A1509" s="10" t="s">
        <v>1508</v>
      </c>
      <c r="B1509" s="12">
        <v>12.11</v>
      </c>
      <c r="C1509" s="11">
        <v>0</v>
      </c>
      <c r="D1509" s="11">
        <v>2.8610539574952143</v>
      </c>
    </row>
    <row r="1510" spans="1:4" x14ac:dyDescent="0.2">
      <c r="A1510" s="10" t="s">
        <v>1509</v>
      </c>
      <c r="B1510" s="12">
        <v>14.07</v>
      </c>
      <c r="C1510" s="11">
        <v>0</v>
      </c>
      <c r="D1510" s="11">
        <v>0.92068518355382334</v>
      </c>
    </row>
    <row r="1511" spans="1:4" x14ac:dyDescent="0.2">
      <c r="A1511" s="10" t="s">
        <v>1510</v>
      </c>
      <c r="B1511" s="12">
        <v>12.34</v>
      </c>
      <c r="C1511" s="11">
        <v>0</v>
      </c>
      <c r="D1511" s="11">
        <v>2.633357621777602</v>
      </c>
    </row>
    <row r="1512" spans="1:4" x14ac:dyDescent="0.2">
      <c r="A1512" s="10" t="s">
        <v>1511</v>
      </c>
      <c r="B1512" s="12">
        <v>13.69</v>
      </c>
      <c r="C1512" s="11">
        <v>0</v>
      </c>
      <c r="D1512" s="11">
        <v>1.2968791295220521</v>
      </c>
    </row>
    <row r="1513" spans="1:4" x14ac:dyDescent="0.2">
      <c r="A1513" s="10" t="s">
        <v>1512</v>
      </c>
      <c r="B1513" s="12">
        <v>13.25</v>
      </c>
      <c r="C1513" s="11">
        <v>0</v>
      </c>
      <c r="D1513" s="11">
        <v>1.7324721195905277</v>
      </c>
    </row>
    <row r="1514" spans="1:4" x14ac:dyDescent="0.2">
      <c r="A1514" s="10" t="s">
        <v>1513</v>
      </c>
      <c r="B1514" s="12">
        <v>13.68</v>
      </c>
      <c r="C1514" s="11">
        <v>0</v>
      </c>
      <c r="D1514" s="11">
        <v>1.3067789702054267</v>
      </c>
    </row>
    <row r="1515" spans="1:4" x14ac:dyDescent="0.2">
      <c r="A1515" s="10" t="s">
        <v>1514</v>
      </c>
      <c r="B1515" s="12">
        <v>13.94</v>
      </c>
      <c r="C1515" s="11">
        <v>0</v>
      </c>
      <c r="D1515" s="11">
        <v>1.0493831124376911</v>
      </c>
    </row>
    <row r="1516" spans="1:4" x14ac:dyDescent="0.2">
      <c r="A1516" s="10" t="s">
        <v>1515</v>
      </c>
      <c r="B1516" s="12">
        <v>15.19</v>
      </c>
      <c r="C1516" s="11">
        <v>0.18809697298411443</v>
      </c>
      <c r="D1516" s="11">
        <v>0</v>
      </c>
    </row>
    <row r="1517" spans="1:4" x14ac:dyDescent="0.2">
      <c r="A1517" s="10" t="s">
        <v>1516</v>
      </c>
      <c r="B1517" s="12">
        <v>14.5</v>
      </c>
      <c r="C1517" s="11">
        <v>0</v>
      </c>
      <c r="D1517" s="11">
        <v>0.49499203416872217</v>
      </c>
    </row>
    <row r="1518" spans="1:4" x14ac:dyDescent="0.2">
      <c r="A1518" s="10" t="s">
        <v>1517</v>
      </c>
      <c r="B1518" s="12">
        <v>14.87</v>
      </c>
      <c r="C1518" s="11">
        <v>0</v>
      </c>
      <c r="D1518" s="11">
        <v>0.12869792888386777</v>
      </c>
    </row>
    <row r="1519" spans="1:4" x14ac:dyDescent="0.2">
      <c r="A1519" s="10" t="s">
        <v>1518</v>
      </c>
      <c r="B1519" s="12">
        <v>14.76</v>
      </c>
      <c r="C1519" s="11">
        <v>0</v>
      </c>
      <c r="D1519" s="11">
        <v>0.23759617640098663</v>
      </c>
    </row>
    <row r="1520" spans="1:4" x14ac:dyDescent="0.2">
      <c r="A1520" s="10" t="s">
        <v>1519</v>
      </c>
      <c r="B1520" s="12">
        <v>15.54</v>
      </c>
      <c r="C1520" s="11">
        <v>0.53459139690222002</v>
      </c>
      <c r="D1520" s="11">
        <v>0</v>
      </c>
    </row>
    <row r="1521" spans="1:4" x14ac:dyDescent="0.2">
      <c r="A1521" s="10" t="s">
        <v>1520</v>
      </c>
      <c r="B1521" s="12">
        <v>16.45</v>
      </c>
      <c r="C1521" s="11">
        <v>1.4354768990892943</v>
      </c>
      <c r="D1521" s="11">
        <v>0</v>
      </c>
    </row>
    <row r="1522" spans="1:4" x14ac:dyDescent="0.2">
      <c r="A1522" s="10" t="s">
        <v>1521</v>
      </c>
      <c r="B1522" s="12">
        <v>13.04</v>
      </c>
      <c r="C1522" s="11">
        <v>0</v>
      </c>
      <c r="D1522" s="11">
        <v>1.9403687739413908</v>
      </c>
    </row>
    <row r="1523" spans="1:4" x14ac:dyDescent="0.2">
      <c r="A1523" s="10" t="s">
        <v>1522</v>
      </c>
      <c r="B1523" s="12">
        <v>14.13</v>
      </c>
      <c r="C1523" s="11">
        <v>0</v>
      </c>
      <c r="D1523" s="11">
        <v>0.86128613945357657</v>
      </c>
    </row>
    <row r="1524" spans="1:4" x14ac:dyDescent="0.2">
      <c r="A1524" s="10" t="s">
        <v>1523</v>
      </c>
      <c r="B1524" s="12">
        <v>13.98</v>
      </c>
      <c r="C1524" s="11">
        <v>0</v>
      </c>
      <c r="D1524" s="11">
        <v>1.0097837497041933</v>
      </c>
    </row>
    <row r="1525" spans="1:4" x14ac:dyDescent="0.2">
      <c r="A1525" s="10" t="s">
        <v>1524</v>
      </c>
      <c r="B1525" s="12">
        <v>14.26</v>
      </c>
      <c r="C1525" s="11">
        <v>0</v>
      </c>
      <c r="D1525" s="11">
        <v>0.7325882105697088</v>
      </c>
    </row>
    <row r="1526" spans="1:4" x14ac:dyDescent="0.2">
      <c r="A1526" s="10" t="s">
        <v>1525</v>
      </c>
      <c r="B1526" s="12">
        <v>14.25</v>
      </c>
      <c r="C1526" s="11">
        <v>0</v>
      </c>
      <c r="D1526" s="11">
        <v>0.74248805125308326</v>
      </c>
    </row>
    <row r="1527" spans="1:4" x14ac:dyDescent="0.2">
      <c r="A1527" s="10" t="s">
        <v>1526</v>
      </c>
      <c r="B1527" s="12">
        <v>13.85</v>
      </c>
      <c r="C1527" s="11">
        <v>0</v>
      </c>
      <c r="D1527" s="11">
        <v>1.1384816785880609</v>
      </c>
    </row>
    <row r="1528" spans="1:4" x14ac:dyDescent="0.2">
      <c r="A1528" s="10" t="s">
        <v>1527</v>
      </c>
      <c r="B1528" s="12">
        <v>15.03</v>
      </c>
      <c r="C1528" s="11">
        <v>2.9699522050123328E-2</v>
      </c>
      <c r="D1528" s="11">
        <v>0</v>
      </c>
    </row>
    <row r="1529" spans="1:4" x14ac:dyDescent="0.2">
      <c r="A1529" s="10" t="s">
        <v>1528</v>
      </c>
      <c r="B1529" s="12">
        <v>14.13</v>
      </c>
      <c r="C1529" s="11">
        <v>0</v>
      </c>
      <c r="D1529" s="11">
        <v>0.86128613945357657</v>
      </c>
    </row>
    <row r="1530" spans="1:4" x14ac:dyDescent="0.2">
      <c r="A1530" s="10" t="s">
        <v>1529</v>
      </c>
      <c r="B1530" s="12">
        <v>14.12</v>
      </c>
      <c r="C1530" s="11">
        <v>0</v>
      </c>
      <c r="D1530" s="11">
        <v>0.87118598013695103</v>
      </c>
    </row>
    <row r="1531" spans="1:4" x14ac:dyDescent="0.2">
      <c r="A1531" s="10" t="s">
        <v>1530</v>
      </c>
      <c r="B1531" s="12">
        <v>14.07</v>
      </c>
      <c r="C1531" s="11">
        <v>0</v>
      </c>
      <c r="D1531" s="11">
        <v>0.92068518355382334</v>
      </c>
    </row>
    <row r="1532" spans="1:4" x14ac:dyDescent="0.2">
      <c r="A1532" s="10" t="s">
        <v>1531</v>
      </c>
      <c r="B1532" s="12">
        <v>12.78</v>
      </c>
      <c r="C1532" s="11">
        <v>0</v>
      </c>
      <c r="D1532" s="11">
        <v>2.207664472392501</v>
      </c>
    </row>
    <row r="1533" spans="1:4" x14ac:dyDescent="0.2">
      <c r="A1533" s="10" t="s">
        <v>1532</v>
      </c>
      <c r="B1533" s="12">
        <v>14.46</v>
      </c>
      <c r="C1533" s="11">
        <v>0</v>
      </c>
      <c r="D1533" s="11">
        <v>0.53459139690222002</v>
      </c>
    </row>
    <row r="1534" spans="1:4" x14ac:dyDescent="0.2">
      <c r="A1534" s="10" t="s">
        <v>1533</v>
      </c>
      <c r="B1534" s="12">
        <v>15.07</v>
      </c>
      <c r="C1534" s="11">
        <v>6.9298884783621117E-2</v>
      </c>
      <c r="D1534" s="11">
        <v>0</v>
      </c>
    </row>
    <row r="1535" spans="1:4" x14ac:dyDescent="0.2">
      <c r="A1535" s="10" t="s">
        <v>1534</v>
      </c>
      <c r="B1535" s="12">
        <v>13.66</v>
      </c>
      <c r="C1535" s="11">
        <v>0</v>
      </c>
      <c r="D1535" s="11">
        <v>1.3265786515721756</v>
      </c>
    </row>
    <row r="1536" spans="1:4" x14ac:dyDescent="0.2">
      <c r="A1536" s="10" t="s">
        <v>1535</v>
      </c>
      <c r="B1536" s="12">
        <v>12.46</v>
      </c>
      <c r="C1536" s="11">
        <v>0</v>
      </c>
      <c r="D1536" s="11">
        <v>2.5145595335771085</v>
      </c>
    </row>
    <row r="1537" spans="1:4" x14ac:dyDescent="0.2">
      <c r="A1537" s="10" t="s">
        <v>1536</v>
      </c>
      <c r="B1537" s="12">
        <v>13.8</v>
      </c>
      <c r="C1537" s="11">
        <v>0</v>
      </c>
      <c r="D1537" s="11">
        <v>1.1879808820049331</v>
      </c>
    </row>
    <row r="1538" spans="1:4" x14ac:dyDescent="0.2">
      <c r="A1538" s="10" t="s">
        <v>1537</v>
      </c>
      <c r="B1538" s="12">
        <v>13.84</v>
      </c>
      <c r="C1538" s="11">
        <v>0</v>
      </c>
      <c r="D1538" s="11">
        <v>1.1483815192714353</v>
      </c>
    </row>
    <row r="1539" spans="1:4" x14ac:dyDescent="0.2">
      <c r="A1539" s="10" t="s">
        <v>1538</v>
      </c>
      <c r="B1539" s="12">
        <v>13.48</v>
      </c>
      <c r="C1539" s="11">
        <v>0</v>
      </c>
      <c r="D1539" s="11">
        <v>1.5047757838729154</v>
      </c>
    </row>
    <row r="1540" spans="1:4" x14ac:dyDescent="0.2">
      <c r="A1540" s="10" t="s">
        <v>1539</v>
      </c>
      <c r="B1540" s="12">
        <v>16.77</v>
      </c>
      <c r="C1540" s="11">
        <v>1.7522718009572764</v>
      </c>
      <c r="D1540" s="11">
        <v>0</v>
      </c>
    </row>
    <row r="1541" spans="1:4" x14ac:dyDescent="0.2">
      <c r="A1541" s="10" t="s">
        <v>1540</v>
      </c>
      <c r="B1541" s="12">
        <v>12.61</v>
      </c>
      <c r="C1541" s="11">
        <v>0</v>
      </c>
      <c r="D1541" s="11">
        <v>2.3660619233264919</v>
      </c>
    </row>
    <row r="1542" spans="1:4" x14ac:dyDescent="0.2">
      <c r="A1542" s="10" t="s">
        <v>1541</v>
      </c>
      <c r="B1542" s="12">
        <v>12.8</v>
      </c>
      <c r="C1542" s="11">
        <v>0</v>
      </c>
      <c r="D1542" s="11">
        <v>2.1779649503423779</v>
      </c>
    </row>
    <row r="1543" spans="1:4" x14ac:dyDescent="0.2">
      <c r="A1543" s="10" t="s">
        <v>1542</v>
      </c>
      <c r="B1543" s="12">
        <v>13.59</v>
      </c>
      <c r="C1543" s="11">
        <v>0</v>
      </c>
      <c r="D1543" s="11">
        <v>1.3958775363557965</v>
      </c>
    </row>
    <row r="1544" spans="1:4" x14ac:dyDescent="0.2">
      <c r="A1544" s="10" t="s">
        <v>1543</v>
      </c>
      <c r="B1544" s="12">
        <v>14.93</v>
      </c>
      <c r="C1544" s="11">
        <v>0</v>
      </c>
      <c r="D1544" s="11">
        <v>6.9298884783621117E-2</v>
      </c>
    </row>
    <row r="1545" spans="1:4" x14ac:dyDescent="0.2">
      <c r="A1545" s="10" t="s">
        <v>1544</v>
      </c>
      <c r="B1545" s="12">
        <v>14.25</v>
      </c>
      <c r="C1545" s="11">
        <v>0</v>
      </c>
      <c r="D1545" s="11">
        <v>0.74248805125308326</v>
      </c>
    </row>
    <row r="1546" spans="1:4" x14ac:dyDescent="0.2">
      <c r="A1546" s="10" t="s">
        <v>1545</v>
      </c>
      <c r="B1546" s="12">
        <v>15.8</v>
      </c>
      <c r="C1546" s="11">
        <v>0.79198725466995556</v>
      </c>
      <c r="D1546" s="11">
        <v>0</v>
      </c>
    </row>
    <row r="1547" spans="1:4" x14ac:dyDescent="0.2">
      <c r="A1547" s="10" t="s">
        <v>1546</v>
      </c>
      <c r="B1547" s="12">
        <v>13.34</v>
      </c>
      <c r="C1547" s="11">
        <v>0</v>
      </c>
      <c r="D1547" s="11">
        <v>1.6433735534401575</v>
      </c>
    </row>
    <row r="1548" spans="1:4" x14ac:dyDescent="0.2">
      <c r="A1548" s="10" t="s">
        <v>1547</v>
      </c>
      <c r="B1548" s="12">
        <v>13.22</v>
      </c>
      <c r="C1548" s="11">
        <v>0</v>
      </c>
      <c r="D1548" s="11">
        <v>1.762171641640651</v>
      </c>
    </row>
    <row r="1549" spans="1:4" x14ac:dyDescent="0.2">
      <c r="A1549" s="10" t="s">
        <v>1548</v>
      </c>
      <c r="B1549" s="12">
        <v>14.44</v>
      </c>
      <c r="C1549" s="11">
        <v>0</v>
      </c>
      <c r="D1549" s="11">
        <v>0.55439107826896894</v>
      </c>
    </row>
    <row r="1550" spans="1:4" x14ac:dyDescent="0.2">
      <c r="A1550" s="10" t="s">
        <v>1549</v>
      </c>
      <c r="B1550" s="12">
        <v>16.82</v>
      </c>
      <c r="C1550" s="11">
        <v>1.8017710043741488</v>
      </c>
      <c r="D1550" s="11">
        <v>0</v>
      </c>
    </row>
    <row r="1551" spans="1:4" x14ac:dyDescent="0.2">
      <c r="A1551" s="10" t="s">
        <v>1550</v>
      </c>
      <c r="B1551" s="12">
        <v>12.7</v>
      </c>
      <c r="C1551" s="11">
        <v>0</v>
      </c>
      <c r="D1551" s="11">
        <v>2.2769633571761219</v>
      </c>
    </row>
    <row r="1552" spans="1:4" x14ac:dyDescent="0.2">
      <c r="A1552" s="10" t="s">
        <v>1551</v>
      </c>
      <c r="B1552" s="12">
        <v>13.19</v>
      </c>
      <c r="C1552" s="11">
        <v>0</v>
      </c>
      <c r="D1552" s="11">
        <v>1.7918711636907743</v>
      </c>
    </row>
    <row r="1553" spans="1:4" x14ac:dyDescent="0.2">
      <c r="A1553" s="10" t="s">
        <v>1552</v>
      </c>
      <c r="B1553" s="12">
        <v>13.12</v>
      </c>
      <c r="C1553" s="11">
        <v>0</v>
      </c>
      <c r="D1553" s="11">
        <v>1.8611700484743952</v>
      </c>
    </row>
    <row r="1554" spans="1:4" x14ac:dyDescent="0.2">
      <c r="A1554" s="10" t="s">
        <v>1553</v>
      </c>
      <c r="B1554" s="12">
        <v>14.54</v>
      </c>
      <c r="C1554" s="11">
        <v>0</v>
      </c>
      <c r="D1554" s="11">
        <v>0.46529251211859879</v>
      </c>
    </row>
    <row r="1555" spans="1:4" x14ac:dyDescent="0.2">
      <c r="A1555" s="10" t="s">
        <v>1554</v>
      </c>
      <c r="B1555" s="12">
        <v>13.11</v>
      </c>
      <c r="C1555" s="11">
        <v>0</v>
      </c>
      <c r="D1555" s="11">
        <v>1.8710698891577697</v>
      </c>
    </row>
    <row r="1556" spans="1:4" x14ac:dyDescent="0.2">
      <c r="A1556" s="10" t="s">
        <v>1555</v>
      </c>
      <c r="B1556" s="12">
        <v>13.88</v>
      </c>
      <c r="C1556" s="11">
        <v>0</v>
      </c>
      <c r="D1556" s="11">
        <v>1.1087821565379379</v>
      </c>
    </row>
    <row r="1557" spans="1:4" x14ac:dyDescent="0.2">
      <c r="A1557" s="10" t="s">
        <v>1556</v>
      </c>
      <c r="B1557" s="12">
        <v>16.73</v>
      </c>
      <c r="C1557" s="11">
        <v>1.7126724382237788</v>
      </c>
      <c r="D1557" s="11">
        <v>0</v>
      </c>
    </row>
    <row r="1558" spans="1:4" x14ac:dyDescent="0.2">
      <c r="A1558" s="10" t="s">
        <v>1557</v>
      </c>
      <c r="B1558" s="12">
        <v>15.45</v>
      </c>
      <c r="C1558" s="11">
        <v>0.44549283075184998</v>
      </c>
      <c r="D1558" s="11">
        <v>0</v>
      </c>
    </row>
    <row r="1559" spans="1:4" x14ac:dyDescent="0.2">
      <c r="A1559" s="10" t="s">
        <v>1558</v>
      </c>
      <c r="B1559" s="12">
        <v>14.47</v>
      </c>
      <c r="C1559" s="11">
        <v>0</v>
      </c>
      <c r="D1559" s="11">
        <v>0.52469155621884556</v>
      </c>
    </row>
    <row r="1560" spans="1:4" x14ac:dyDescent="0.2">
      <c r="A1560" s="10" t="s">
        <v>1559</v>
      </c>
      <c r="B1560" s="12">
        <v>13.43</v>
      </c>
      <c r="C1560" s="11">
        <v>0</v>
      </c>
      <c r="D1560" s="11">
        <v>1.5542749872897876</v>
      </c>
    </row>
    <row r="1561" spans="1:4" x14ac:dyDescent="0.2">
      <c r="A1561" s="10" t="s">
        <v>1560</v>
      </c>
      <c r="B1561" s="12">
        <v>13.57</v>
      </c>
      <c r="C1561" s="11">
        <v>0</v>
      </c>
      <c r="D1561" s="11">
        <v>1.4156772177225454</v>
      </c>
    </row>
    <row r="1562" spans="1:4" x14ac:dyDescent="0.2">
      <c r="A1562" s="10" t="s">
        <v>1561</v>
      </c>
      <c r="B1562" s="12">
        <v>13.93</v>
      </c>
      <c r="C1562" s="11">
        <v>0</v>
      </c>
      <c r="D1562" s="11">
        <v>1.0592829531210655</v>
      </c>
    </row>
    <row r="1563" spans="1:4" x14ac:dyDescent="0.2">
      <c r="A1563" s="10" t="s">
        <v>1562</v>
      </c>
      <c r="B1563" s="12">
        <v>15.57</v>
      </c>
      <c r="C1563" s="11">
        <v>0.56429091895234318</v>
      </c>
      <c r="D1563" s="11">
        <v>0</v>
      </c>
    </row>
    <row r="1564" spans="1:4" x14ac:dyDescent="0.2">
      <c r="A1564" s="10" t="s">
        <v>1563</v>
      </c>
      <c r="B1564" s="12">
        <v>14.76</v>
      </c>
      <c r="C1564" s="11">
        <v>0</v>
      </c>
      <c r="D1564" s="11">
        <v>0.23759617640098663</v>
      </c>
    </row>
    <row r="1565" spans="1:4" x14ac:dyDescent="0.2">
      <c r="A1565" s="10" t="s">
        <v>1564</v>
      </c>
      <c r="B1565" s="12">
        <v>12.76</v>
      </c>
      <c r="C1565" s="11">
        <v>0</v>
      </c>
      <c r="D1565" s="11">
        <v>2.2175643130758758</v>
      </c>
    </row>
    <row r="1566" spans="1:4" x14ac:dyDescent="0.2">
      <c r="A1566" s="10" t="s">
        <v>1565</v>
      </c>
      <c r="B1566" s="12">
        <v>15.18</v>
      </c>
      <c r="C1566" s="11">
        <v>0.17819713230073997</v>
      </c>
      <c r="D1566" s="11">
        <v>0</v>
      </c>
    </row>
    <row r="1567" spans="1:4" x14ac:dyDescent="0.2">
      <c r="A1567" s="10" t="s">
        <v>1566</v>
      </c>
      <c r="B1567" s="12">
        <v>13.66</v>
      </c>
      <c r="C1567" s="11">
        <v>0</v>
      </c>
      <c r="D1567" s="11">
        <v>1.3265786515721756</v>
      </c>
    </row>
    <row r="1568" spans="1:4" x14ac:dyDescent="0.2">
      <c r="A1568" s="10" t="s">
        <v>1567</v>
      </c>
      <c r="B1568" s="12">
        <v>14.5</v>
      </c>
      <c r="C1568" s="11">
        <v>0</v>
      </c>
      <c r="D1568" s="11">
        <v>0.49499203416872217</v>
      </c>
    </row>
    <row r="1569" spans="1:4" x14ac:dyDescent="0.2">
      <c r="A1569" s="10" t="s">
        <v>1568</v>
      </c>
      <c r="B1569" s="12">
        <v>12.9</v>
      </c>
      <c r="C1569" s="11">
        <v>0</v>
      </c>
      <c r="D1569" s="11">
        <v>2.0789665435086331</v>
      </c>
    </row>
    <row r="1570" spans="1:4" x14ac:dyDescent="0.2">
      <c r="A1570" s="10" t="s">
        <v>1569</v>
      </c>
      <c r="B1570" s="12">
        <v>13.32</v>
      </c>
      <c r="C1570" s="11">
        <v>0</v>
      </c>
      <c r="D1570" s="11">
        <v>1.6631732348069064</v>
      </c>
    </row>
    <row r="1571" spans="1:4" x14ac:dyDescent="0.2">
      <c r="A1571" s="10" t="s">
        <v>1570</v>
      </c>
      <c r="B1571" s="12">
        <v>14.96</v>
      </c>
      <c r="C1571" s="11">
        <v>0</v>
      </c>
      <c r="D1571" s="11">
        <v>3.9599362733497775E-2</v>
      </c>
    </row>
    <row r="1572" spans="1:4" x14ac:dyDescent="0.2">
      <c r="A1572" s="10" t="s">
        <v>1571</v>
      </c>
      <c r="B1572" s="12">
        <v>12.28</v>
      </c>
      <c r="C1572" s="11">
        <v>0</v>
      </c>
      <c r="D1572" s="11">
        <v>2.692756665877849</v>
      </c>
    </row>
    <row r="1573" spans="1:4" x14ac:dyDescent="0.2">
      <c r="A1573" s="10" t="s">
        <v>1572</v>
      </c>
      <c r="B1573" s="12">
        <v>15.94</v>
      </c>
      <c r="C1573" s="11">
        <v>0.93058502423719758</v>
      </c>
      <c r="D1573" s="11">
        <v>0</v>
      </c>
    </row>
    <row r="1574" spans="1:4" x14ac:dyDescent="0.2">
      <c r="A1574" s="10" t="s">
        <v>1573</v>
      </c>
      <c r="B1574" s="12">
        <v>12.61</v>
      </c>
      <c r="C1574" s="11">
        <v>0</v>
      </c>
      <c r="D1574" s="11">
        <v>2.3660619233264919</v>
      </c>
    </row>
    <row r="1575" spans="1:4" x14ac:dyDescent="0.2">
      <c r="A1575" s="10" t="s">
        <v>1574</v>
      </c>
      <c r="B1575" s="12">
        <v>15.22</v>
      </c>
      <c r="C1575" s="11">
        <v>0.21779649503423776</v>
      </c>
      <c r="D1575" s="11">
        <v>0</v>
      </c>
    </row>
    <row r="1576" spans="1:4" x14ac:dyDescent="0.2">
      <c r="A1576" s="10" t="s">
        <v>1575</v>
      </c>
      <c r="B1576" s="12">
        <v>16.09</v>
      </c>
      <c r="C1576" s="11">
        <v>1.0790826344878144</v>
      </c>
      <c r="D1576" s="11">
        <v>0</v>
      </c>
    </row>
    <row r="1577" spans="1:4" x14ac:dyDescent="0.2">
      <c r="A1577" s="10" t="s">
        <v>1576</v>
      </c>
      <c r="B1577" s="12">
        <v>13.17</v>
      </c>
      <c r="C1577" s="11">
        <v>0</v>
      </c>
      <c r="D1577" s="11">
        <v>1.8116708450575232</v>
      </c>
    </row>
    <row r="1578" spans="1:4" x14ac:dyDescent="0.2">
      <c r="A1578" s="10" t="s">
        <v>1577</v>
      </c>
      <c r="B1578" s="12">
        <v>13.76</v>
      </c>
      <c r="C1578" s="11">
        <v>0</v>
      </c>
      <c r="D1578" s="11">
        <v>1.227580244738431</v>
      </c>
    </row>
    <row r="1579" spans="1:4" x14ac:dyDescent="0.2">
      <c r="A1579" s="10" t="s">
        <v>1578</v>
      </c>
      <c r="B1579" s="12">
        <v>12.47</v>
      </c>
      <c r="C1579" s="11">
        <v>0</v>
      </c>
      <c r="D1579" s="11">
        <v>2.5046596928937341</v>
      </c>
    </row>
    <row r="1580" spans="1:4" x14ac:dyDescent="0.2">
      <c r="A1580" s="10" t="s">
        <v>1579</v>
      </c>
      <c r="B1580" s="12">
        <v>13.31</v>
      </c>
      <c r="C1580" s="11">
        <v>0</v>
      </c>
      <c r="D1580" s="11">
        <v>1.6730730754902809</v>
      </c>
    </row>
    <row r="1581" spans="1:4" x14ac:dyDescent="0.2">
      <c r="A1581" s="10" t="s">
        <v>1580</v>
      </c>
      <c r="B1581" s="12">
        <v>10.55</v>
      </c>
      <c r="C1581" s="11">
        <v>0</v>
      </c>
      <c r="D1581" s="11">
        <v>4.4054291041016276</v>
      </c>
    </row>
    <row r="1582" spans="1:4" x14ac:dyDescent="0.2">
      <c r="A1582" s="10" t="s">
        <v>1581</v>
      </c>
      <c r="B1582" s="12">
        <v>15.36</v>
      </c>
      <c r="C1582" s="11">
        <v>0.35639426460147994</v>
      </c>
      <c r="D1582" s="11">
        <v>0</v>
      </c>
    </row>
    <row r="1583" spans="1:4" x14ac:dyDescent="0.2">
      <c r="A1583" s="10" t="s">
        <v>1582</v>
      </c>
      <c r="B1583" s="12">
        <v>12.48</v>
      </c>
      <c r="C1583" s="11">
        <v>0</v>
      </c>
      <c r="D1583" s="11">
        <v>2.4947598522103598</v>
      </c>
    </row>
    <row r="1584" spans="1:4" x14ac:dyDescent="0.2">
      <c r="A1584" s="10" t="s">
        <v>1583</v>
      </c>
      <c r="B1584" s="12">
        <v>12.97</v>
      </c>
      <c r="C1584" s="11">
        <v>0</v>
      </c>
      <c r="D1584" s="11">
        <v>2.0096676587250117</v>
      </c>
    </row>
    <row r="1585" spans="1:4" x14ac:dyDescent="0.2">
      <c r="A1585" s="10" t="s">
        <v>1584</v>
      </c>
      <c r="B1585" s="12">
        <v>13.77</v>
      </c>
      <c r="C1585" s="11">
        <v>0</v>
      </c>
      <c r="D1585" s="11">
        <v>1.2176804040550566</v>
      </c>
    </row>
    <row r="1586" spans="1:4" x14ac:dyDescent="0.2">
      <c r="A1586" s="10" t="s">
        <v>1585</v>
      </c>
      <c r="B1586" s="12">
        <v>14.22</v>
      </c>
      <c r="C1586" s="11">
        <v>0</v>
      </c>
      <c r="D1586" s="11">
        <v>0.77218757330320664</v>
      </c>
    </row>
    <row r="1587" spans="1:4" x14ac:dyDescent="0.2">
      <c r="A1587" s="10" t="s">
        <v>1586</v>
      </c>
      <c r="B1587" s="12">
        <v>14.41</v>
      </c>
      <c r="C1587" s="11">
        <v>0</v>
      </c>
      <c r="D1587" s="11">
        <v>0.5840906003190921</v>
      </c>
    </row>
    <row r="1588" spans="1:4" x14ac:dyDescent="0.2">
      <c r="A1588" s="10" t="s">
        <v>1587</v>
      </c>
      <c r="B1588" s="12">
        <v>13.27</v>
      </c>
      <c r="C1588" s="11">
        <v>0</v>
      </c>
      <c r="D1588" s="11">
        <v>1.7126724382237788</v>
      </c>
    </row>
    <row r="1589" spans="1:4" x14ac:dyDescent="0.2">
      <c r="A1589" s="10" t="s">
        <v>1588</v>
      </c>
      <c r="B1589" s="12">
        <v>12.17</v>
      </c>
      <c r="C1589" s="11">
        <v>0</v>
      </c>
      <c r="D1589" s="11">
        <v>2.8016549133949677</v>
      </c>
    </row>
    <row r="1590" spans="1:4" x14ac:dyDescent="0.2">
      <c r="A1590" s="10" t="s">
        <v>1589</v>
      </c>
      <c r="B1590" s="12">
        <v>14.66</v>
      </c>
      <c r="C1590" s="11">
        <v>0</v>
      </c>
      <c r="D1590" s="11">
        <v>0.33659458323473113</v>
      </c>
    </row>
    <row r="1591" spans="1:4" x14ac:dyDescent="0.2">
      <c r="A1591" s="10" t="s">
        <v>1590</v>
      </c>
      <c r="B1591" s="12">
        <v>14.52</v>
      </c>
      <c r="C1591" s="11">
        <v>0</v>
      </c>
      <c r="D1591" s="11">
        <v>0.47519235280197325</v>
      </c>
    </row>
    <row r="1592" spans="1:4" x14ac:dyDescent="0.2">
      <c r="A1592" s="10" t="s">
        <v>1591</v>
      </c>
      <c r="B1592" s="12">
        <v>13.34</v>
      </c>
      <c r="C1592" s="11">
        <v>0</v>
      </c>
      <c r="D1592" s="11">
        <v>1.6433735534401575</v>
      </c>
    </row>
    <row r="1593" spans="1:4" x14ac:dyDescent="0.2">
      <c r="A1593" s="10" t="s">
        <v>1592</v>
      </c>
      <c r="B1593" s="12">
        <v>14.18</v>
      </c>
      <c r="C1593" s="11">
        <v>0</v>
      </c>
      <c r="D1593" s="11">
        <v>0.81178693603670427</v>
      </c>
    </row>
    <row r="1594" spans="1:4" x14ac:dyDescent="0.2">
      <c r="A1594" s="10" t="s">
        <v>1593</v>
      </c>
      <c r="B1594" s="12">
        <v>15.16</v>
      </c>
      <c r="C1594" s="11">
        <v>0.1583974509339911</v>
      </c>
      <c r="D1594" s="11">
        <v>0</v>
      </c>
    </row>
    <row r="1595" spans="1:4" x14ac:dyDescent="0.2">
      <c r="A1595" s="10" t="s">
        <v>1594</v>
      </c>
      <c r="B1595" s="12">
        <v>12.74</v>
      </c>
      <c r="C1595" s="11">
        <v>0</v>
      </c>
      <c r="D1595" s="11">
        <v>2.237363994442624</v>
      </c>
    </row>
    <row r="1596" spans="1:4" x14ac:dyDescent="0.2">
      <c r="A1596" s="10" t="s">
        <v>1595</v>
      </c>
      <c r="B1596" s="12">
        <v>12.87</v>
      </c>
      <c r="C1596" s="11">
        <v>0</v>
      </c>
      <c r="D1596" s="11">
        <v>2.1086660655587561</v>
      </c>
    </row>
    <row r="1597" spans="1:4" x14ac:dyDescent="0.2">
      <c r="A1597" s="10" t="s">
        <v>1596</v>
      </c>
      <c r="B1597" s="12">
        <v>12.48</v>
      </c>
      <c r="C1597" s="11">
        <v>0</v>
      </c>
      <c r="D1597" s="11">
        <v>2.4947598522103598</v>
      </c>
    </row>
    <row r="1598" spans="1:4" x14ac:dyDescent="0.2">
      <c r="A1598" s="10" t="s">
        <v>1597</v>
      </c>
      <c r="B1598" s="12">
        <v>12.28</v>
      </c>
      <c r="C1598" s="11">
        <v>0</v>
      </c>
      <c r="D1598" s="11">
        <v>2.692756665877849</v>
      </c>
    </row>
    <row r="1599" spans="1:4" x14ac:dyDescent="0.2">
      <c r="A1599" s="10" t="s">
        <v>1598</v>
      </c>
      <c r="B1599" s="12">
        <v>11.99</v>
      </c>
      <c r="C1599" s="11">
        <v>0</v>
      </c>
      <c r="D1599" s="11">
        <v>2.9798520456957074</v>
      </c>
    </row>
    <row r="1600" spans="1:4" x14ac:dyDescent="0.2">
      <c r="A1600" s="10" t="s">
        <v>1599</v>
      </c>
      <c r="B1600" s="12">
        <v>14.94</v>
      </c>
      <c r="C1600" s="11">
        <v>0</v>
      </c>
      <c r="D1600" s="11">
        <v>5.9399044100246656E-2</v>
      </c>
    </row>
    <row r="1601" spans="1:4" x14ac:dyDescent="0.2">
      <c r="A1601" s="10" t="s">
        <v>1600</v>
      </c>
      <c r="B1601" s="12">
        <v>13.98</v>
      </c>
      <c r="C1601" s="11">
        <v>0</v>
      </c>
      <c r="D1601" s="11">
        <v>1.0097837497041933</v>
      </c>
    </row>
    <row r="1602" spans="1:4" x14ac:dyDescent="0.2">
      <c r="A1602" s="10" t="s">
        <v>1601</v>
      </c>
      <c r="B1602" s="12">
        <v>14.65</v>
      </c>
      <c r="C1602" s="11">
        <v>0</v>
      </c>
      <c r="D1602" s="11">
        <v>0.34649442391810548</v>
      </c>
    </row>
    <row r="1603" spans="1:4" x14ac:dyDescent="0.2">
      <c r="A1603" s="10" t="s">
        <v>1602</v>
      </c>
      <c r="B1603" s="12">
        <v>15.24</v>
      </c>
      <c r="C1603" s="11">
        <v>0.23759617640098663</v>
      </c>
      <c r="D1603" s="11">
        <v>0</v>
      </c>
    </row>
    <row r="1604" spans="1:4" x14ac:dyDescent="0.2">
      <c r="A1604" s="10" t="s">
        <v>1603</v>
      </c>
      <c r="B1604" s="12">
        <v>13.1</v>
      </c>
      <c r="C1604" s="11">
        <v>0</v>
      </c>
      <c r="D1604" s="11">
        <v>1.8809697298411441</v>
      </c>
    </row>
    <row r="1605" spans="1:4" x14ac:dyDescent="0.2">
      <c r="A1605" s="10" t="s">
        <v>1604</v>
      </c>
      <c r="B1605" s="12">
        <v>15.64</v>
      </c>
      <c r="C1605" s="11">
        <v>0.63358980373596441</v>
      </c>
      <c r="D1605" s="11">
        <v>0</v>
      </c>
    </row>
    <row r="1606" spans="1:4" x14ac:dyDescent="0.2">
      <c r="A1606" s="10" t="s">
        <v>1605</v>
      </c>
      <c r="B1606" s="12">
        <v>13.41</v>
      </c>
      <c r="C1606" s="11">
        <v>0</v>
      </c>
      <c r="D1606" s="11">
        <v>1.5740746686565366</v>
      </c>
    </row>
    <row r="1607" spans="1:4" x14ac:dyDescent="0.2">
      <c r="A1607" s="10" t="s">
        <v>1606</v>
      </c>
      <c r="B1607" s="12">
        <v>15.2</v>
      </c>
      <c r="C1607" s="11">
        <v>0.19799681366748889</v>
      </c>
      <c r="D1607" s="11">
        <v>0</v>
      </c>
    </row>
    <row r="1608" spans="1:4" x14ac:dyDescent="0.2">
      <c r="A1608" s="10" t="s">
        <v>1607</v>
      </c>
      <c r="B1608" s="12">
        <v>14.17</v>
      </c>
      <c r="C1608" s="11">
        <v>0</v>
      </c>
      <c r="D1608" s="11">
        <v>0.82168677672007873</v>
      </c>
    </row>
    <row r="1609" spans="1:4" x14ac:dyDescent="0.2">
      <c r="A1609" s="10" t="s">
        <v>1608</v>
      </c>
      <c r="B1609" s="12">
        <v>13.54</v>
      </c>
      <c r="C1609" s="11">
        <v>0</v>
      </c>
      <c r="D1609" s="11">
        <v>1.4453767397726687</v>
      </c>
    </row>
    <row r="1610" spans="1:4" x14ac:dyDescent="0.2">
      <c r="A1610" s="10" t="s">
        <v>1609</v>
      </c>
      <c r="B1610" s="12">
        <v>14.22</v>
      </c>
      <c r="C1610" s="11">
        <v>0</v>
      </c>
      <c r="D1610" s="11">
        <v>0.77218757330320664</v>
      </c>
    </row>
    <row r="1611" spans="1:4" x14ac:dyDescent="0.2">
      <c r="A1611" s="10" t="s">
        <v>1610</v>
      </c>
      <c r="B1611" s="12">
        <v>13.59</v>
      </c>
      <c r="C1611" s="11">
        <v>0</v>
      </c>
      <c r="D1611" s="11">
        <v>1.3958775363557965</v>
      </c>
    </row>
    <row r="1612" spans="1:4" x14ac:dyDescent="0.2">
      <c r="A1612" s="10" t="s">
        <v>1611</v>
      </c>
      <c r="B1612" s="12">
        <v>14.31</v>
      </c>
      <c r="C1612" s="11">
        <v>0</v>
      </c>
      <c r="D1612" s="11">
        <v>0.68308900715283649</v>
      </c>
    </row>
    <row r="1613" spans="1:4" x14ac:dyDescent="0.2">
      <c r="A1613" s="10" t="s">
        <v>1612</v>
      </c>
      <c r="B1613" s="12">
        <v>16.22</v>
      </c>
      <c r="C1613" s="11">
        <v>1.207780563371682</v>
      </c>
      <c r="D1613" s="11">
        <v>0</v>
      </c>
    </row>
    <row r="1614" spans="1:4" x14ac:dyDescent="0.2">
      <c r="A1614" s="10" t="s">
        <v>1613</v>
      </c>
      <c r="B1614" s="12">
        <v>12.48</v>
      </c>
      <c r="C1614" s="11">
        <v>0</v>
      </c>
      <c r="D1614" s="11">
        <v>2.4947598522103598</v>
      </c>
    </row>
    <row r="1615" spans="1:4" x14ac:dyDescent="0.2">
      <c r="A1615" s="10" t="s">
        <v>1614</v>
      </c>
      <c r="B1615" s="12">
        <v>14.13</v>
      </c>
      <c r="C1615" s="11">
        <v>0</v>
      </c>
      <c r="D1615" s="11">
        <v>0.86128613945357657</v>
      </c>
    </row>
    <row r="1616" spans="1:4" x14ac:dyDescent="0.2">
      <c r="A1616" s="10" t="s">
        <v>1615</v>
      </c>
      <c r="B1616" s="12">
        <v>12.54</v>
      </c>
      <c r="C1616" s="11">
        <v>0</v>
      </c>
      <c r="D1616" s="11">
        <v>2.4353608081101132</v>
      </c>
    </row>
    <row r="1617" spans="1:4" x14ac:dyDescent="0.2">
      <c r="A1617" s="10" t="s">
        <v>1616</v>
      </c>
      <c r="B1617" s="12">
        <v>15.34</v>
      </c>
      <c r="C1617" s="11">
        <v>0.33659458323473113</v>
      </c>
      <c r="D1617" s="11">
        <v>0</v>
      </c>
    </row>
    <row r="1618" spans="1:4" x14ac:dyDescent="0.2">
      <c r="A1618" s="10" t="s">
        <v>1617</v>
      </c>
      <c r="B1618" s="12">
        <v>16.440000000000001</v>
      </c>
      <c r="C1618" s="11">
        <v>1.4255770584059198</v>
      </c>
      <c r="D1618" s="11">
        <v>0</v>
      </c>
    </row>
    <row r="1619" spans="1:4" x14ac:dyDescent="0.2">
      <c r="A1619" s="10" t="s">
        <v>1618</v>
      </c>
      <c r="B1619" s="12">
        <v>13.44</v>
      </c>
      <c r="C1619" s="11">
        <v>0</v>
      </c>
      <c r="D1619" s="11">
        <v>1.5443751466064133</v>
      </c>
    </row>
    <row r="1620" spans="1:4" x14ac:dyDescent="0.2">
      <c r="A1620" s="10" t="s">
        <v>1619</v>
      </c>
      <c r="B1620" s="12">
        <v>14.84</v>
      </c>
      <c r="C1620" s="11">
        <v>0</v>
      </c>
      <c r="D1620" s="11">
        <v>0.1583974509339911</v>
      </c>
    </row>
    <row r="1621" spans="1:4" x14ac:dyDescent="0.2">
      <c r="A1621" s="10" t="s">
        <v>1620</v>
      </c>
      <c r="B1621" s="12">
        <v>13.28</v>
      </c>
      <c r="C1621" s="11">
        <v>0</v>
      </c>
      <c r="D1621" s="11">
        <v>1.7027725975404042</v>
      </c>
    </row>
    <row r="1622" spans="1:4" x14ac:dyDescent="0.2">
      <c r="A1622" s="10" t="s">
        <v>1621</v>
      </c>
      <c r="B1622" s="12">
        <v>14.51</v>
      </c>
      <c r="C1622" s="11">
        <v>0</v>
      </c>
      <c r="D1622" s="11">
        <v>0.48509219348534771</v>
      </c>
    </row>
    <row r="1623" spans="1:4" x14ac:dyDescent="0.2">
      <c r="A1623" s="10" t="s">
        <v>1622</v>
      </c>
      <c r="B1623" s="12">
        <v>12.71</v>
      </c>
      <c r="C1623" s="11">
        <v>0</v>
      </c>
      <c r="D1623" s="11">
        <v>2.2670635164927475</v>
      </c>
    </row>
    <row r="1624" spans="1:4" x14ac:dyDescent="0.2">
      <c r="A1624" s="10" t="s">
        <v>1623</v>
      </c>
      <c r="B1624" s="12">
        <v>16.010000000000002</v>
      </c>
      <c r="C1624" s="11">
        <v>0.99988390902081881</v>
      </c>
      <c r="D1624" s="11">
        <v>0</v>
      </c>
    </row>
    <row r="1625" spans="1:4" x14ac:dyDescent="0.2">
      <c r="A1625" s="10" t="s">
        <v>1624</v>
      </c>
      <c r="B1625" s="12">
        <v>14.45</v>
      </c>
      <c r="C1625" s="11">
        <v>0</v>
      </c>
      <c r="D1625" s="11">
        <v>0.54449123758559448</v>
      </c>
    </row>
    <row r="1626" spans="1:4" x14ac:dyDescent="0.2">
      <c r="A1626" s="10" t="s">
        <v>1625</v>
      </c>
      <c r="B1626" s="12">
        <v>15.51</v>
      </c>
      <c r="C1626" s="11">
        <v>0.50489187485209663</v>
      </c>
      <c r="D1626" s="11">
        <v>0</v>
      </c>
    </row>
    <row r="1627" spans="1:4" x14ac:dyDescent="0.2">
      <c r="A1627" s="10" t="s">
        <v>1626</v>
      </c>
      <c r="B1627" s="12">
        <v>13.8</v>
      </c>
      <c r="C1627" s="11">
        <v>0</v>
      </c>
      <c r="D1627" s="11">
        <v>1.1879808820049331</v>
      </c>
    </row>
    <row r="1628" spans="1:4" x14ac:dyDescent="0.2">
      <c r="A1628" s="10" t="s">
        <v>1627</v>
      </c>
      <c r="B1628" s="12">
        <v>13.63</v>
      </c>
      <c r="C1628" s="11">
        <v>0</v>
      </c>
      <c r="D1628" s="11">
        <v>1.3562781736222989</v>
      </c>
    </row>
    <row r="1629" spans="1:4" x14ac:dyDescent="0.2">
      <c r="A1629" s="10" t="s">
        <v>1628</v>
      </c>
      <c r="B1629" s="12">
        <v>14.37</v>
      </c>
      <c r="C1629" s="11">
        <v>0</v>
      </c>
      <c r="D1629" s="11">
        <v>0.62368996305258995</v>
      </c>
    </row>
    <row r="1630" spans="1:4" x14ac:dyDescent="0.2">
      <c r="A1630" s="10" t="s">
        <v>1629</v>
      </c>
      <c r="B1630" s="12">
        <v>14.1</v>
      </c>
      <c r="C1630" s="11">
        <v>0</v>
      </c>
      <c r="D1630" s="11">
        <v>0.89098566150369995</v>
      </c>
    </row>
    <row r="1631" spans="1:4" x14ac:dyDescent="0.2">
      <c r="A1631" s="10" t="s">
        <v>1630</v>
      </c>
      <c r="B1631" s="12">
        <v>14.73</v>
      </c>
      <c r="C1631" s="11">
        <v>0</v>
      </c>
      <c r="D1631" s="11">
        <v>0.26729569845111001</v>
      </c>
    </row>
    <row r="1632" spans="1:4" x14ac:dyDescent="0.2">
      <c r="A1632" s="10" t="s">
        <v>1631</v>
      </c>
      <c r="B1632" s="12">
        <v>15.87</v>
      </c>
      <c r="C1632" s="11">
        <v>0.86128613945357657</v>
      </c>
      <c r="D1632" s="11">
        <v>0</v>
      </c>
    </row>
    <row r="1633" spans="1:4" x14ac:dyDescent="0.2">
      <c r="A1633" s="10" t="s">
        <v>1632</v>
      </c>
      <c r="B1633" s="12">
        <v>17.18</v>
      </c>
      <c r="C1633" s="11">
        <v>2.1581652689756288</v>
      </c>
      <c r="D1633" s="11">
        <v>0</v>
      </c>
    </row>
    <row r="1634" spans="1:4" x14ac:dyDescent="0.2">
      <c r="A1634" s="10" t="s">
        <v>1633</v>
      </c>
      <c r="B1634" s="12">
        <v>13.5</v>
      </c>
      <c r="C1634" s="11">
        <v>0</v>
      </c>
      <c r="D1634" s="11">
        <v>1.4849761025061665</v>
      </c>
    </row>
    <row r="1635" spans="1:4" x14ac:dyDescent="0.2">
      <c r="A1635" s="10" t="s">
        <v>1634</v>
      </c>
      <c r="B1635" s="12">
        <v>11.99</v>
      </c>
      <c r="C1635" s="11">
        <v>0</v>
      </c>
      <c r="D1635" s="11">
        <v>2.9798520456957074</v>
      </c>
    </row>
    <row r="1636" spans="1:4" x14ac:dyDescent="0.2">
      <c r="A1636" s="10" t="s">
        <v>1635</v>
      </c>
      <c r="B1636" s="12">
        <v>15.09</v>
      </c>
      <c r="C1636" s="11">
        <v>8.9098566150369984E-2</v>
      </c>
      <c r="D1636" s="11">
        <v>0</v>
      </c>
    </row>
    <row r="1637" spans="1:4" x14ac:dyDescent="0.2">
      <c r="A1637" s="10" t="s">
        <v>1636</v>
      </c>
      <c r="B1637" s="12">
        <v>13.22</v>
      </c>
      <c r="C1637" s="11">
        <v>0</v>
      </c>
      <c r="D1637" s="11">
        <v>1.7720714823240253</v>
      </c>
    </row>
    <row r="1638" spans="1:4" x14ac:dyDescent="0.2">
      <c r="A1638" s="10" t="s">
        <v>1637</v>
      </c>
      <c r="B1638" s="12">
        <v>12.35</v>
      </c>
      <c r="C1638" s="11">
        <v>0</v>
      </c>
      <c r="D1638" s="11">
        <v>2.6234577810942272</v>
      </c>
    </row>
    <row r="1639" spans="1:4" x14ac:dyDescent="0.2">
      <c r="A1639" s="10" t="s">
        <v>1638</v>
      </c>
      <c r="B1639" s="12">
        <v>16.54</v>
      </c>
      <c r="C1639" s="11">
        <v>1.5245754652396644</v>
      </c>
      <c r="D1639" s="11">
        <v>0</v>
      </c>
    </row>
    <row r="1640" spans="1:4" x14ac:dyDescent="0.2">
      <c r="A1640" s="10" t="s">
        <v>1639</v>
      </c>
      <c r="B1640" s="12">
        <v>14.5</v>
      </c>
      <c r="C1640" s="11">
        <v>0</v>
      </c>
      <c r="D1640" s="11">
        <v>0.49499203416872217</v>
      </c>
    </row>
    <row r="1641" spans="1:4" x14ac:dyDescent="0.2">
      <c r="A1641" s="10" t="s">
        <v>1640</v>
      </c>
      <c r="B1641" s="12">
        <v>14.58</v>
      </c>
      <c r="C1641" s="11">
        <v>0</v>
      </c>
      <c r="D1641" s="11">
        <v>0.41579330870172659</v>
      </c>
    </row>
    <row r="1642" spans="1:4" x14ac:dyDescent="0.2">
      <c r="A1642" s="10" t="s">
        <v>1641</v>
      </c>
      <c r="B1642" s="12">
        <v>13.63</v>
      </c>
      <c r="C1642" s="11">
        <v>0</v>
      </c>
      <c r="D1642" s="11">
        <v>1.3562781736222989</v>
      </c>
    </row>
    <row r="1643" spans="1:4" x14ac:dyDescent="0.2">
      <c r="A1643" s="10" t="s">
        <v>1642</v>
      </c>
      <c r="B1643" s="12">
        <v>15.17</v>
      </c>
      <c r="C1643" s="11">
        <v>0.16829729161736556</v>
      </c>
      <c r="D1643" s="11">
        <v>0</v>
      </c>
    </row>
    <row r="1644" spans="1:4" x14ac:dyDescent="0.2">
      <c r="A1644" s="10" t="s">
        <v>1643</v>
      </c>
      <c r="B1644" s="12">
        <v>15.58</v>
      </c>
      <c r="C1644" s="11">
        <v>0.57419075963571764</v>
      </c>
      <c r="D1644" s="11">
        <v>0</v>
      </c>
    </row>
    <row r="1645" spans="1:4" x14ac:dyDescent="0.2">
      <c r="A1645" s="10" t="s">
        <v>1644</v>
      </c>
      <c r="B1645" s="12">
        <v>12.59</v>
      </c>
      <c r="C1645" s="11">
        <v>0</v>
      </c>
      <c r="D1645" s="11">
        <v>2.385861604693241</v>
      </c>
    </row>
    <row r="1646" spans="1:4" x14ac:dyDescent="0.2">
      <c r="A1646" s="10" t="s">
        <v>1645</v>
      </c>
      <c r="B1646" s="12">
        <v>14.81</v>
      </c>
      <c r="C1646" s="11">
        <v>0</v>
      </c>
      <c r="D1646" s="11">
        <v>0.18809697298411443</v>
      </c>
    </row>
    <row r="1647" spans="1:4" x14ac:dyDescent="0.2">
      <c r="A1647" s="10" t="s">
        <v>1646</v>
      </c>
      <c r="B1647" s="12">
        <v>14.99</v>
      </c>
      <c r="C1647" s="11">
        <v>0</v>
      </c>
      <c r="D1647" s="11">
        <v>9.8998406833744439E-3</v>
      </c>
    </row>
    <row r="1648" spans="1:4" x14ac:dyDescent="0.2">
      <c r="A1648" s="10" t="s">
        <v>1647</v>
      </c>
      <c r="B1648" s="12">
        <v>13.36</v>
      </c>
      <c r="C1648" s="11">
        <v>0</v>
      </c>
      <c r="D1648" s="11">
        <v>1.6235738720734085</v>
      </c>
    </row>
    <row r="1649" spans="1:4" x14ac:dyDescent="0.2">
      <c r="A1649" s="10" t="s">
        <v>1648</v>
      </c>
      <c r="B1649" s="12">
        <v>13.61</v>
      </c>
      <c r="C1649" s="11">
        <v>0</v>
      </c>
      <c r="D1649" s="11">
        <v>1.3760778549890476</v>
      </c>
    </row>
    <row r="1650" spans="1:4" x14ac:dyDescent="0.2">
      <c r="A1650" s="10" t="s">
        <v>1649</v>
      </c>
      <c r="B1650" s="12">
        <v>12.37</v>
      </c>
      <c r="C1650" s="11">
        <v>0</v>
      </c>
      <c r="D1650" s="11">
        <v>2.6036580997274785</v>
      </c>
    </row>
    <row r="1651" spans="1:4" x14ac:dyDescent="0.2">
      <c r="A1651" s="10" t="s">
        <v>1650</v>
      </c>
      <c r="B1651" s="12">
        <v>14.83</v>
      </c>
      <c r="C1651" s="11">
        <v>0</v>
      </c>
      <c r="D1651" s="11">
        <v>0.16829729161736556</v>
      </c>
    </row>
    <row r="1652" spans="1:4" x14ac:dyDescent="0.2">
      <c r="A1652" s="10" t="s">
        <v>1651</v>
      </c>
      <c r="B1652" s="12">
        <v>18.22</v>
      </c>
      <c r="C1652" s="11">
        <v>3.187748700046571</v>
      </c>
      <c r="D1652" s="11">
        <v>0</v>
      </c>
    </row>
    <row r="1653" spans="1:4" x14ac:dyDescent="0.2">
      <c r="A1653" s="10" t="s">
        <v>1652</v>
      </c>
      <c r="B1653" s="12">
        <v>12.7</v>
      </c>
      <c r="C1653" s="11">
        <v>0</v>
      </c>
      <c r="D1653" s="11">
        <v>2.2769633571761219</v>
      </c>
    </row>
    <row r="1654" spans="1:4" x14ac:dyDescent="0.2">
      <c r="A1654" s="10" t="s">
        <v>1653</v>
      </c>
      <c r="B1654" s="12">
        <v>12.45</v>
      </c>
      <c r="C1654" s="11">
        <v>0</v>
      </c>
      <c r="D1654" s="11">
        <v>2.5244593742604828</v>
      </c>
    </row>
    <row r="1655" spans="1:4" x14ac:dyDescent="0.2">
      <c r="A1655" s="10" t="s">
        <v>1654</v>
      </c>
      <c r="B1655" s="12">
        <v>13.4</v>
      </c>
      <c r="C1655" s="11">
        <v>0</v>
      </c>
      <c r="D1655" s="11">
        <v>1.5839745093399111</v>
      </c>
    </row>
    <row r="1656" spans="1:4" x14ac:dyDescent="0.2">
      <c r="A1656" s="10" t="s">
        <v>1655</v>
      </c>
      <c r="B1656" s="12">
        <v>11.79</v>
      </c>
      <c r="C1656" s="11">
        <v>0</v>
      </c>
      <c r="D1656" s="11">
        <v>3.1778488593631962</v>
      </c>
    </row>
    <row r="1657" spans="1:4" x14ac:dyDescent="0.2">
      <c r="A1657" s="10" t="s">
        <v>1656</v>
      </c>
      <c r="B1657" s="12">
        <v>14.84</v>
      </c>
      <c r="C1657" s="11">
        <v>0</v>
      </c>
      <c r="D1657" s="11">
        <v>0.1583974509339911</v>
      </c>
    </row>
    <row r="1658" spans="1:4" x14ac:dyDescent="0.2">
      <c r="A1658" s="10" t="s">
        <v>1657</v>
      </c>
      <c r="B1658" s="12">
        <v>15.69</v>
      </c>
      <c r="C1658" s="11">
        <v>0.68308900715283649</v>
      </c>
      <c r="D1658" s="11">
        <v>0</v>
      </c>
    </row>
    <row r="1659" spans="1:4" x14ac:dyDescent="0.2">
      <c r="A1659" s="10" t="s">
        <v>1658</v>
      </c>
      <c r="B1659" s="12">
        <v>14.64</v>
      </c>
      <c r="C1659" s="11">
        <v>0</v>
      </c>
      <c r="D1659" s="11">
        <v>0.35639426460147994</v>
      </c>
    </row>
    <row r="1660" spans="1:4" x14ac:dyDescent="0.2">
      <c r="A1660" s="10" t="s">
        <v>1659</v>
      </c>
      <c r="B1660" s="12">
        <v>12.81</v>
      </c>
      <c r="C1660" s="11">
        <v>0</v>
      </c>
      <c r="D1660" s="11">
        <v>2.1680651096590031</v>
      </c>
    </row>
    <row r="1661" spans="1:4" x14ac:dyDescent="0.2">
      <c r="A1661" s="10" t="s">
        <v>1660</v>
      </c>
      <c r="B1661" s="12">
        <v>14.56</v>
      </c>
      <c r="C1661" s="11">
        <v>0</v>
      </c>
      <c r="D1661" s="11">
        <v>0.43559299006847552</v>
      </c>
    </row>
    <row r="1662" spans="1:4" x14ac:dyDescent="0.2">
      <c r="A1662" s="10" t="s">
        <v>1661</v>
      </c>
      <c r="B1662" s="12">
        <v>14.98</v>
      </c>
      <c r="C1662" s="11">
        <v>0</v>
      </c>
      <c r="D1662" s="11">
        <v>1.9799681366748888E-2</v>
      </c>
    </row>
    <row r="1663" spans="1:4" x14ac:dyDescent="0.2">
      <c r="A1663" s="10" t="s">
        <v>1662</v>
      </c>
      <c r="B1663" s="12">
        <v>17.760000000000002</v>
      </c>
      <c r="C1663" s="11">
        <v>2.732356028611346</v>
      </c>
      <c r="D1663" s="11">
        <v>0</v>
      </c>
    </row>
    <row r="1664" spans="1:4" x14ac:dyDescent="0.2">
      <c r="A1664" s="10" t="s">
        <v>1663</v>
      </c>
      <c r="B1664" s="12">
        <v>12.96</v>
      </c>
      <c r="C1664" s="11">
        <v>0</v>
      </c>
      <c r="D1664" s="11">
        <v>2.0195674994083865</v>
      </c>
    </row>
    <row r="1665" spans="1:4" x14ac:dyDescent="0.2">
      <c r="A1665" s="10" t="s">
        <v>1664</v>
      </c>
      <c r="B1665" s="12">
        <v>14.82</v>
      </c>
      <c r="C1665" s="11">
        <v>0</v>
      </c>
      <c r="D1665" s="11">
        <v>0.17819713230073997</v>
      </c>
    </row>
    <row r="1666" spans="1:4" x14ac:dyDescent="0.2">
      <c r="A1666" s="10" t="s">
        <v>1665</v>
      </c>
      <c r="B1666" s="12">
        <v>13.22</v>
      </c>
      <c r="C1666" s="11">
        <v>0</v>
      </c>
      <c r="D1666" s="11">
        <v>1.762171641640651</v>
      </c>
    </row>
    <row r="1667" spans="1:4" x14ac:dyDescent="0.2">
      <c r="A1667" s="10" t="s">
        <v>1666</v>
      </c>
      <c r="B1667" s="12">
        <v>15.53</v>
      </c>
      <c r="C1667" s="11">
        <v>0.52469155621884556</v>
      </c>
      <c r="D1667" s="11">
        <v>0</v>
      </c>
    </row>
    <row r="1668" spans="1:4" x14ac:dyDescent="0.2">
      <c r="A1668" s="10" t="s">
        <v>1667</v>
      </c>
      <c r="B1668" s="12">
        <v>12.59</v>
      </c>
      <c r="C1668" s="11">
        <v>0</v>
      </c>
      <c r="D1668" s="11">
        <v>2.385861604693241</v>
      </c>
    </row>
    <row r="1669" spans="1:4" x14ac:dyDescent="0.2">
      <c r="A1669" s="10" t="s">
        <v>1668</v>
      </c>
      <c r="B1669" s="12">
        <v>13.97</v>
      </c>
      <c r="C1669" s="11">
        <v>0</v>
      </c>
      <c r="D1669" s="11">
        <v>1.0196835903875676</v>
      </c>
    </row>
    <row r="1670" spans="1:4" x14ac:dyDescent="0.2">
      <c r="A1670" s="10" t="s">
        <v>1669</v>
      </c>
      <c r="B1670" s="12">
        <v>16.850000000000001</v>
      </c>
      <c r="C1670" s="11">
        <v>1.8314705264242721</v>
      </c>
      <c r="D1670" s="11">
        <v>0</v>
      </c>
    </row>
    <row r="1671" spans="1:4" x14ac:dyDescent="0.2">
      <c r="A1671" s="10" t="s">
        <v>1670</v>
      </c>
      <c r="B1671" s="12">
        <v>13.27</v>
      </c>
      <c r="C1671" s="11">
        <v>0</v>
      </c>
      <c r="D1671" s="11">
        <v>1.7126724382237788</v>
      </c>
    </row>
    <row r="1672" spans="1:4" x14ac:dyDescent="0.2">
      <c r="A1672" s="10" t="s">
        <v>1671</v>
      </c>
      <c r="B1672" s="12">
        <v>13.53</v>
      </c>
      <c r="C1672" s="11">
        <v>0</v>
      </c>
      <c r="D1672" s="11">
        <v>1.4552765804560432</v>
      </c>
    </row>
    <row r="1673" spans="1:4" x14ac:dyDescent="0.2">
      <c r="A1673" s="10" t="s">
        <v>1672</v>
      </c>
      <c r="B1673" s="12">
        <v>12.86</v>
      </c>
      <c r="C1673" s="11">
        <v>0</v>
      </c>
      <c r="D1673" s="11">
        <v>2.1185659062421309</v>
      </c>
    </row>
    <row r="1674" spans="1:4" x14ac:dyDescent="0.2">
      <c r="A1674" s="10" t="s">
        <v>1673</v>
      </c>
      <c r="B1674" s="12">
        <v>15.93</v>
      </c>
      <c r="C1674" s="11">
        <v>0.92068518355382334</v>
      </c>
      <c r="D1674" s="11">
        <v>0</v>
      </c>
    </row>
    <row r="1675" spans="1:4" x14ac:dyDescent="0.2">
      <c r="A1675" s="10" t="s">
        <v>1674</v>
      </c>
      <c r="B1675" s="12">
        <v>14.29</v>
      </c>
      <c r="C1675" s="11">
        <v>0</v>
      </c>
      <c r="D1675" s="11">
        <v>0.70288868851958541</v>
      </c>
    </row>
    <row r="1676" spans="1:4" x14ac:dyDescent="0.2">
      <c r="A1676" s="10" t="s">
        <v>1675</v>
      </c>
      <c r="B1676" s="12">
        <v>13.43</v>
      </c>
      <c r="C1676" s="11">
        <v>0</v>
      </c>
      <c r="D1676" s="11">
        <v>1.5542749872897876</v>
      </c>
    </row>
    <row r="1677" spans="1:4" x14ac:dyDescent="0.2">
      <c r="A1677" s="10" t="s">
        <v>1676</v>
      </c>
      <c r="B1677" s="12">
        <v>13.57</v>
      </c>
      <c r="C1677" s="11">
        <v>0</v>
      </c>
      <c r="D1677" s="11">
        <v>1.4156772177225454</v>
      </c>
    </row>
    <row r="1678" spans="1:4" x14ac:dyDescent="0.2">
      <c r="A1678" s="10" t="s">
        <v>1677</v>
      </c>
      <c r="B1678" s="12">
        <v>13.28</v>
      </c>
      <c r="C1678" s="11">
        <v>0</v>
      </c>
      <c r="D1678" s="11">
        <v>1.7027725975404042</v>
      </c>
    </row>
    <row r="1679" spans="1:4" x14ac:dyDescent="0.2">
      <c r="A1679" s="10" t="s">
        <v>1678</v>
      </c>
      <c r="B1679" s="12">
        <v>13.18</v>
      </c>
      <c r="C1679" s="11">
        <v>0</v>
      </c>
      <c r="D1679" s="11">
        <v>1.8017710043741488</v>
      </c>
    </row>
    <row r="1680" spans="1:4" x14ac:dyDescent="0.2">
      <c r="A1680" s="10" t="s">
        <v>1679</v>
      </c>
      <c r="B1680" s="12">
        <v>12.61</v>
      </c>
      <c r="C1680" s="11">
        <v>0</v>
      </c>
      <c r="D1680" s="11">
        <v>2.3660619233264919</v>
      </c>
    </row>
    <row r="1681" spans="1:4" x14ac:dyDescent="0.2">
      <c r="A1681" s="10" t="s">
        <v>1680</v>
      </c>
      <c r="B1681" s="12">
        <v>13.85</v>
      </c>
      <c r="C1681" s="11">
        <v>0</v>
      </c>
      <c r="D1681" s="11">
        <v>1.1384816785880609</v>
      </c>
    </row>
    <row r="1682" spans="1:4" x14ac:dyDescent="0.2">
      <c r="A1682" s="10" t="s">
        <v>1681</v>
      </c>
      <c r="B1682" s="12">
        <v>14.16</v>
      </c>
      <c r="C1682" s="11">
        <v>0</v>
      </c>
      <c r="D1682" s="11">
        <v>0.83158661740345319</v>
      </c>
    </row>
    <row r="1683" spans="1:4" x14ac:dyDescent="0.2">
      <c r="A1683" s="10" t="s">
        <v>1682</v>
      </c>
      <c r="B1683" s="12">
        <v>15.01</v>
      </c>
      <c r="C1683" s="11">
        <v>9.8998406833744439E-3</v>
      </c>
      <c r="D1683" s="11">
        <v>0</v>
      </c>
    </row>
    <row r="1684" spans="1:4" x14ac:dyDescent="0.2">
      <c r="A1684" s="10" t="s">
        <v>1683</v>
      </c>
      <c r="B1684" s="12">
        <v>13.15</v>
      </c>
      <c r="C1684" s="11">
        <v>0</v>
      </c>
      <c r="D1684" s="11">
        <v>1.8314705264242721</v>
      </c>
    </row>
    <row r="1685" spans="1:4" x14ac:dyDescent="0.2">
      <c r="A1685" s="10" t="s">
        <v>1684</v>
      </c>
      <c r="B1685" s="12">
        <v>15.31</v>
      </c>
      <c r="C1685" s="11">
        <v>0.30689506118460774</v>
      </c>
      <c r="D1685" s="11">
        <v>0</v>
      </c>
    </row>
    <row r="1686" spans="1:4" x14ac:dyDescent="0.2">
      <c r="A1686" s="10" t="s">
        <v>1685</v>
      </c>
      <c r="B1686" s="12">
        <v>16.22</v>
      </c>
      <c r="C1686" s="11">
        <v>1.207780563371682</v>
      </c>
      <c r="D1686" s="11">
        <v>0</v>
      </c>
    </row>
    <row r="1687" spans="1:4" x14ac:dyDescent="0.2">
      <c r="A1687" s="10" t="s">
        <v>1686</v>
      </c>
      <c r="B1687" s="12">
        <v>13.98</v>
      </c>
      <c r="C1687" s="11">
        <v>0</v>
      </c>
      <c r="D1687" s="11">
        <v>1.0097837497041933</v>
      </c>
    </row>
    <row r="1688" spans="1:4" x14ac:dyDescent="0.2">
      <c r="A1688" s="10" t="s">
        <v>1687</v>
      </c>
      <c r="B1688" s="12">
        <v>14.76</v>
      </c>
      <c r="C1688" s="11">
        <v>0</v>
      </c>
      <c r="D1688" s="11">
        <v>0.23759617640098663</v>
      </c>
    </row>
    <row r="1689" spans="1:4" x14ac:dyDescent="0.2">
      <c r="A1689" s="10" t="s">
        <v>1688</v>
      </c>
      <c r="B1689" s="12">
        <v>14.41</v>
      </c>
      <c r="C1689" s="11">
        <v>0</v>
      </c>
      <c r="D1689" s="11">
        <v>0.5840906003190921</v>
      </c>
    </row>
    <row r="1690" spans="1:4" x14ac:dyDescent="0.2">
      <c r="A1690" s="10" t="s">
        <v>1689</v>
      </c>
      <c r="B1690" s="12">
        <v>14.61</v>
      </c>
      <c r="C1690" s="11">
        <v>0</v>
      </c>
      <c r="D1690" s="11">
        <v>0.38609378665160332</v>
      </c>
    </row>
    <row r="1691" spans="1:4" x14ac:dyDescent="0.2">
      <c r="A1691" s="10" t="s">
        <v>1690</v>
      </c>
      <c r="B1691" s="12">
        <v>16.28</v>
      </c>
      <c r="C1691" s="11">
        <v>1.2671796074719288</v>
      </c>
      <c r="D1691" s="11">
        <v>0</v>
      </c>
    </row>
    <row r="1692" spans="1:4" x14ac:dyDescent="0.2">
      <c r="A1692" s="10" t="s">
        <v>1691</v>
      </c>
      <c r="B1692" s="12">
        <v>12.42</v>
      </c>
      <c r="C1692" s="11">
        <v>0</v>
      </c>
      <c r="D1692" s="11">
        <v>2.5541588963106063</v>
      </c>
    </row>
    <row r="1693" spans="1:4" x14ac:dyDescent="0.2">
      <c r="A1693" s="10" t="s">
        <v>1692</v>
      </c>
      <c r="B1693" s="12">
        <v>12.68</v>
      </c>
      <c r="C1693" s="11">
        <v>0</v>
      </c>
      <c r="D1693" s="11">
        <v>2.2967630385428706</v>
      </c>
    </row>
    <row r="1694" spans="1:4" x14ac:dyDescent="0.2">
      <c r="A1694" s="10" t="s">
        <v>1693</v>
      </c>
      <c r="B1694" s="12">
        <v>13.94</v>
      </c>
      <c r="C1694" s="11">
        <v>0</v>
      </c>
      <c r="D1694" s="11">
        <v>1.0493831124376911</v>
      </c>
    </row>
    <row r="1695" spans="1:4" x14ac:dyDescent="0.2">
      <c r="A1695" s="10" t="s">
        <v>1694</v>
      </c>
      <c r="B1695" s="12">
        <v>13.96</v>
      </c>
      <c r="C1695" s="11">
        <v>0</v>
      </c>
      <c r="D1695" s="11">
        <v>1.0295834310709422</v>
      </c>
    </row>
    <row r="1696" spans="1:4" x14ac:dyDescent="0.2">
      <c r="A1696" s="10" t="s">
        <v>1695</v>
      </c>
      <c r="B1696" s="12">
        <v>11.63</v>
      </c>
      <c r="C1696" s="11">
        <v>0</v>
      </c>
      <c r="D1696" s="11">
        <v>3.3362463102971875</v>
      </c>
    </row>
    <row r="1697" spans="1:4" x14ac:dyDescent="0.2">
      <c r="A1697" s="10" t="s">
        <v>1696</v>
      </c>
      <c r="B1697" s="12">
        <v>16.8</v>
      </c>
      <c r="C1697" s="11">
        <v>1.7819713230073999</v>
      </c>
      <c r="D1697" s="11">
        <v>0</v>
      </c>
    </row>
    <row r="1698" spans="1:4" x14ac:dyDescent="0.2">
      <c r="A1698" s="10" t="s">
        <v>1697</v>
      </c>
      <c r="B1698" s="12">
        <v>14.05</v>
      </c>
      <c r="C1698" s="11">
        <v>0</v>
      </c>
      <c r="D1698" s="11">
        <v>0.94048486492057204</v>
      </c>
    </row>
    <row r="1699" spans="1:4" x14ac:dyDescent="0.2">
      <c r="A1699" s="10" t="s">
        <v>1698</v>
      </c>
      <c r="B1699" s="12">
        <v>13.74</v>
      </c>
      <c r="C1699" s="11">
        <v>0</v>
      </c>
      <c r="D1699" s="11">
        <v>1.2473799261051799</v>
      </c>
    </row>
    <row r="1700" spans="1:4" x14ac:dyDescent="0.2">
      <c r="A1700" s="10" t="s">
        <v>1699</v>
      </c>
      <c r="B1700" s="12">
        <v>12.68</v>
      </c>
      <c r="C1700" s="11">
        <v>0</v>
      </c>
      <c r="D1700" s="11">
        <v>2.2967630385428706</v>
      </c>
    </row>
    <row r="1701" spans="1:4" x14ac:dyDescent="0.2">
      <c r="A1701" s="10" t="s">
        <v>1700</v>
      </c>
      <c r="B1701" s="12">
        <v>12.24</v>
      </c>
      <c r="C1701" s="11">
        <v>0</v>
      </c>
      <c r="D1701" s="11">
        <v>2.732356028611346</v>
      </c>
    </row>
    <row r="1702" spans="1:4" x14ac:dyDescent="0.2">
      <c r="A1702" s="10" t="s">
        <v>1701</v>
      </c>
      <c r="B1702" s="12">
        <v>11.9</v>
      </c>
      <c r="C1702" s="11">
        <v>0</v>
      </c>
      <c r="D1702" s="11">
        <v>3.0689506118460774</v>
      </c>
    </row>
    <row r="1703" spans="1:4" x14ac:dyDescent="0.2">
      <c r="A1703" s="10" t="s">
        <v>1702</v>
      </c>
      <c r="B1703" s="12">
        <v>13</v>
      </c>
      <c r="C1703" s="11">
        <v>0</v>
      </c>
      <c r="D1703" s="11">
        <v>1.9898679773582628</v>
      </c>
    </row>
    <row r="1704" spans="1:4" x14ac:dyDescent="0.2">
      <c r="A1704" s="10" t="s">
        <v>1703</v>
      </c>
      <c r="B1704" s="12">
        <v>12.44</v>
      </c>
      <c r="C1704" s="11">
        <v>0</v>
      </c>
      <c r="D1704" s="11">
        <v>2.5343592149438576</v>
      </c>
    </row>
    <row r="1705" spans="1:4" x14ac:dyDescent="0.2">
      <c r="A1705" s="10" t="s">
        <v>1704</v>
      </c>
      <c r="B1705" s="12">
        <v>17.440000000000001</v>
      </c>
      <c r="C1705" s="11">
        <v>2.4155611267433641</v>
      </c>
      <c r="D1705" s="11">
        <v>0</v>
      </c>
    </row>
    <row r="1706" spans="1:4" x14ac:dyDescent="0.2">
      <c r="A1706" s="10" t="s">
        <v>1705</v>
      </c>
      <c r="B1706" s="12">
        <v>17.34</v>
      </c>
      <c r="C1706" s="11">
        <v>2.3165627199096197</v>
      </c>
      <c r="D1706" s="11">
        <v>0</v>
      </c>
    </row>
    <row r="1707" spans="1:4" x14ac:dyDescent="0.2">
      <c r="A1707" s="10" t="s">
        <v>1706</v>
      </c>
      <c r="B1707" s="12">
        <v>14.47</v>
      </c>
      <c r="C1707" s="11">
        <v>0</v>
      </c>
      <c r="D1707" s="11">
        <v>0.52469155621884556</v>
      </c>
    </row>
    <row r="1708" spans="1:4" x14ac:dyDescent="0.2">
      <c r="A1708" s="10" t="s">
        <v>1707</v>
      </c>
      <c r="B1708" s="12">
        <v>15.89</v>
      </c>
      <c r="C1708" s="11">
        <v>0.88108582082032549</v>
      </c>
      <c r="D1708" s="11">
        <v>0</v>
      </c>
    </row>
    <row r="1709" spans="1:4" x14ac:dyDescent="0.2">
      <c r="A1709" s="10" t="s">
        <v>1708</v>
      </c>
      <c r="B1709" s="12">
        <v>15.76</v>
      </c>
      <c r="C1709" s="11">
        <v>0.75238789193645772</v>
      </c>
      <c r="D1709" s="11">
        <v>0</v>
      </c>
    </row>
    <row r="1710" spans="1:4" x14ac:dyDescent="0.2">
      <c r="A1710" s="10" t="s">
        <v>1709</v>
      </c>
      <c r="B1710" s="12">
        <v>14.38</v>
      </c>
      <c r="C1710" s="11">
        <v>0</v>
      </c>
      <c r="D1710" s="11">
        <v>0.61379012236921549</v>
      </c>
    </row>
    <row r="1711" spans="1:4" x14ac:dyDescent="0.2">
      <c r="A1711" s="10" t="s">
        <v>1710</v>
      </c>
      <c r="B1711" s="12">
        <v>14.14</v>
      </c>
      <c r="C1711" s="11">
        <v>0</v>
      </c>
      <c r="D1711" s="11">
        <v>0.85138629877020211</v>
      </c>
    </row>
    <row r="1712" spans="1:4" x14ac:dyDescent="0.2">
      <c r="A1712" s="10" t="s">
        <v>1711</v>
      </c>
      <c r="B1712" s="12">
        <v>11.75</v>
      </c>
      <c r="C1712" s="11">
        <v>0</v>
      </c>
      <c r="D1712" s="11">
        <v>3.217448222096694</v>
      </c>
    </row>
    <row r="1713" spans="1:4" x14ac:dyDescent="0.2">
      <c r="A1713" s="10" t="s">
        <v>1712</v>
      </c>
      <c r="B1713" s="12">
        <v>15.5</v>
      </c>
      <c r="C1713" s="11">
        <v>0.49499203416872217</v>
      </c>
      <c r="D1713" s="11">
        <v>0</v>
      </c>
    </row>
    <row r="1714" spans="1:4" x14ac:dyDescent="0.2">
      <c r="A1714" s="10" t="s">
        <v>1713</v>
      </c>
      <c r="B1714" s="12">
        <v>13.93</v>
      </c>
      <c r="C1714" s="11">
        <v>0</v>
      </c>
      <c r="D1714" s="11">
        <v>1.0592829531210655</v>
      </c>
    </row>
    <row r="1715" spans="1:4" x14ac:dyDescent="0.2">
      <c r="A1715" s="10" t="s">
        <v>1714</v>
      </c>
      <c r="B1715" s="12">
        <v>14.34</v>
      </c>
      <c r="C1715" s="11">
        <v>0</v>
      </c>
      <c r="D1715" s="11">
        <v>0.65338948510271333</v>
      </c>
    </row>
    <row r="1716" spans="1:4" x14ac:dyDescent="0.2">
      <c r="A1716" s="10" t="s">
        <v>1715</v>
      </c>
      <c r="B1716" s="12">
        <v>12.38</v>
      </c>
      <c r="C1716" s="11">
        <v>0</v>
      </c>
      <c r="D1716" s="11">
        <v>2.5937582590441042</v>
      </c>
    </row>
    <row r="1717" spans="1:4" x14ac:dyDescent="0.2">
      <c r="A1717" s="10" t="s">
        <v>1716</v>
      </c>
      <c r="B1717" s="12">
        <v>14.56</v>
      </c>
      <c r="C1717" s="11">
        <v>0</v>
      </c>
      <c r="D1717" s="11">
        <v>0.43559299006847552</v>
      </c>
    </row>
    <row r="1718" spans="1:4" x14ac:dyDescent="0.2">
      <c r="A1718" s="10" t="s">
        <v>1717</v>
      </c>
      <c r="B1718" s="12">
        <v>13.95</v>
      </c>
      <c r="C1718" s="11">
        <v>0</v>
      </c>
      <c r="D1718" s="11">
        <v>1.0394832717543165</v>
      </c>
    </row>
    <row r="1719" spans="1:4" x14ac:dyDescent="0.2">
      <c r="A1719" s="10" t="s">
        <v>1718</v>
      </c>
      <c r="B1719" s="12">
        <v>13.1</v>
      </c>
      <c r="C1719" s="11">
        <v>0</v>
      </c>
      <c r="D1719" s="11">
        <v>1.8809697298411441</v>
      </c>
    </row>
    <row r="1720" spans="1:4" x14ac:dyDescent="0.2">
      <c r="A1720" s="10" t="s">
        <v>1719</v>
      </c>
      <c r="B1720" s="12">
        <v>14.33</v>
      </c>
      <c r="C1720" s="11">
        <v>0</v>
      </c>
      <c r="D1720" s="11">
        <v>0.66328932578608779</v>
      </c>
    </row>
    <row r="1721" spans="1:4" x14ac:dyDescent="0.2">
      <c r="A1721" s="10" t="s">
        <v>1720</v>
      </c>
      <c r="B1721" s="12">
        <v>13.04</v>
      </c>
      <c r="C1721" s="11">
        <v>0</v>
      </c>
      <c r="D1721" s="11">
        <v>1.9403687739413908</v>
      </c>
    </row>
    <row r="1722" spans="1:4" x14ac:dyDescent="0.2">
      <c r="A1722" s="10" t="s">
        <v>1721</v>
      </c>
      <c r="B1722" s="12">
        <v>16.739999999999998</v>
      </c>
      <c r="C1722" s="11">
        <v>1.7225722789071531</v>
      </c>
      <c r="D1722" s="11">
        <v>0</v>
      </c>
    </row>
    <row r="1723" spans="1:4" x14ac:dyDescent="0.2">
      <c r="A1723" s="10" t="s">
        <v>1722</v>
      </c>
      <c r="B1723" s="12">
        <v>16.43</v>
      </c>
      <c r="C1723" s="11">
        <v>1.4156772177225454</v>
      </c>
      <c r="D1723" s="11">
        <v>0</v>
      </c>
    </row>
    <row r="1724" spans="1:4" x14ac:dyDescent="0.2">
      <c r="A1724" s="10" t="s">
        <v>1723</v>
      </c>
      <c r="B1724" s="12">
        <v>13.2</v>
      </c>
      <c r="C1724" s="11">
        <v>0</v>
      </c>
      <c r="D1724" s="11">
        <v>1.7819713230073999</v>
      </c>
    </row>
    <row r="1725" spans="1:4" x14ac:dyDescent="0.2">
      <c r="A1725" s="10" t="s">
        <v>1724</v>
      </c>
      <c r="B1725" s="12">
        <v>12.36</v>
      </c>
      <c r="C1725" s="11">
        <v>0</v>
      </c>
      <c r="D1725" s="11">
        <v>2.6135579404108533</v>
      </c>
    </row>
    <row r="1726" spans="1:4" x14ac:dyDescent="0.2">
      <c r="A1726" s="10" t="s">
        <v>1725</v>
      </c>
      <c r="B1726" s="12">
        <v>13.66</v>
      </c>
      <c r="C1726" s="11">
        <v>0</v>
      </c>
      <c r="D1726" s="11">
        <v>1.3265786515721756</v>
      </c>
    </row>
    <row r="1727" spans="1:4" x14ac:dyDescent="0.2">
      <c r="A1727" s="10" t="s">
        <v>1726</v>
      </c>
      <c r="B1727" s="12">
        <v>12.08</v>
      </c>
      <c r="C1727" s="11">
        <v>0</v>
      </c>
      <c r="D1727" s="11">
        <v>2.8907534795453373</v>
      </c>
    </row>
    <row r="1728" spans="1:4" x14ac:dyDescent="0.2">
      <c r="A1728" s="10" t="s">
        <v>1727</v>
      </c>
      <c r="B1728" s="12">
        <v>13.58</v>
      </c>
      <c r="C1728" s="11">
        <v>0</v>
      </c>
      <c r="D1728" s="11">
        <v>1.4057773770391708</v>
      </c>
    </row>
    <row r="1729" spans="1:4" x14ac:dyDescent="0.2">
      <c r="A1729" s="10" t="s">
        <v>1728</v>
      </c>
      <c r="B1729" s="12">
        <v>15.39</v>
      </c>
      <c r="C1729" s="11">
        <v>0.38609378665160332</v>
      </c>
      <c r="D1729" s="11">
        <v>0</v>
      </c>
    </row>
    <row r="1730" spans="1:4" x14ac:dyDescent="0.2">
      <c r="A1730" s="10" t="s">
        <v>1729</v>
      </c>
      <c r="B1730" s="12">
        <v>16.04</v>
      </c>
      <c r="C1730" s="11">
        <v>1.0295834310709422</v>
      </c>
      <c r="D1730" s="11">
        <v>0</v>
      </c>
    </row>
    <row r="1731" spans="1:4" x14ac:dyDescent="0.2">
      <c r="A1731" s="10" t="s">
        <v>1730</v>
      </c>
      <c r="B1731" s="12">
        <v>14.64</v>
      </c>
      <c r="C1731" s="11">
        <v>0</v>
      </c>
      <c r="D1731" s="11">
        <v>0.35639426460147994</v>
      </c>
    </row>
    <row r="1732" spans="1:4" x14ac:dyDescent="0.2">
      <c r="A1732" s="10" t="s">
        <v>1731</v>
      </c>
      <c r="B1732" s="12">
        <v>14.53</v>
      </c>
      <c r="C1732" s="11">
        <v>0</v>
      </c>
      <c r="D1732" s="11">
        <v>0.46529251211859879</v>
      </c>
    </row>
    <row r="1733" spans="1:4" x14ac:dyDescent="0.2">
      <c r="A1733" s="10" t="s">
        <v>1732</v>
      </c>
      <c r="B1733" s="12">
        <v>13.34</v>
      </c>
      <c r="C1733" s="11">
        <v>0</v>
      </c>
      <c r="D1733" s="11">
        <v>1.6433735534401575</v>
      </c>
    </row>
    <row r="1734" spans="1:4" x14ac:dyDescent="0.2">
      <c r="A1734" s="10" t="s">
        <v>1733</v>
      </c>
      <c r="B1734" s="12">
        <v>14.25</v>
      </c>
      <c r="C1734" s="11">
        <v>0</v>
      </c>
      <c r="D1734" s="11">
        <v>0.74248805125308326</v>
      </c>
    </row>
    <row r="1735" spans="1:4" x14ac:dyDescent="0.2">
      <c r="A1735" s="10" t="s">
        <v>1734</v>
      </c>
      <c r="B1735" s="12">
        <v>14.58</v>
      </c>
      <c r="C1735" s="11">
        <v>0</v>
      </c>
      <c r="D1735" s="11">
        <v>0.41579330870172659</v>
      </c>
    </row>
    <row r="1736" spans="1:4" x14ac:dyDescent="0.2">
      <c r="A1736" s="10" t="s">
        <v>1735</v>
      </c>
      <c r="B1736" s="12">
        <v>15.2</v>
      </c>
      <c r="C1736" s="11">
        <v>0.19799681366748889</v>
      </c>
      <c r="D1736" s="11">
        <v>0</v>
      </c>
    </row>
    <row r="1737" spans="1:4" x14ac:dyDescent="0.2">
      <c r="A1737" s="10" t="s">
        <v>1736</v>
      </c>
      <c r="B1737" s="12">
        <v>12.09</v>
      </c>
      <c r="C1737" s="11">
        <v>0</v>
      </c>
      <c r="D1737" s="11">
        <v>2.880853638861963</v>
      </c>
    </row>
    <row r="1738" spans="1:4" x14ac:dyDescent="0.2">
      <c r="A1738" s="10" t="s">
        <v>1737</v>
      </c>
      <c r="B1738" s="12">
        <v>12.61</v>
      </c>
      <c r="C1738" s="11">
        <v>0</v>
      </c>
      <c r="D1738" s="11">
        <v>2.3660619233264919</v>
      </c>
    </row>
    <row r="1739" spans="1:4" x14ac:dyDescent="0.2">
      <c r="A1739" s="10" t="s">
        <v>1738</v>
      </c>
      <c r="B1739" s="12">
        <v>14.39</v>
      </c>
      <c r="C1739" s="11">
        <v>0</v>
      </c>
      <c r="D1739" s="11">
        <v>0.60389028168584102</v>
      </c>
    </row>
    <row r="1740" spans="1:4" x14ac:dyDescent="0.2">
      <c r="A1740" s="10" t="s">
        <v>1739</v>
      </c>
      <c r="B1740" s="12">
        <v>15.28</v>
      </c>
      <c r="C1740" s="11">
        <v>0.27719553913448447</v>
      </c>
      <c r="D1740" s="11">
        <v>0</v>
      </c>
    </row>
    <row r="1741" spans="1:4" x14ac:dyDescent="0.2">
      <c r="A1741" s="10" t="s">
        <v>1740</v>
      </c>
      <c r="B1741" s="12">
        <v>15.29</v>
      </c>
      <c r="C1741" s="11">
        <v>0.28709537981785882</v>
      </c>
      <c r="D1741" s="11">
        <v>0</v>
      </c>
    </row>
    <row r="1742" spans="1:4" x14ac:dyDescent="0.2">
      <c r="A1742" s="10" t="s">
        <v>1741</v>
      </c>
      <c r="B1742" s="12">
        <v>14.14</v>
      </c>
      <c r="C1742" s="11">
        <v>0</v>
      </c>
      <c r="D1742" s="11">
        <v>0.85138629877020211</v>
      </c>
    </row>
    <row r="1743" spans="1:4" x14ac:dyDescent="0.2">
      <c r="A1743" s="10" t="s">
        <v>1742</v>
      </c>
      <c r="B1743" s="12">
        <v>13.98</v>
      </c>
      <c r="C1743" s="11">
        <v>0</v>
      </c>
      <c r="D1743" s="11">
        <v>1.0097837497041933</v>
      </c>
    </row>
    <row r="1744" spans="1:4" x14ac:dyDescent="0.2">
      <c r="A1744" s="10" t="s">
        <v>1743</v>
      </c>
      <c r="B1744" s="12">
        <v>13.27</v>
      </c>
      <c r="C1744" s="11">
        <v>0</v>
      </c>
      <c r="D1744" s="11">
        <v>1.7126724382237788</v>
      </c>
    </row>
    <row r="1745" spans="1:4" x14ac:dyDescent="0.2">
      <c r="A1745" s="10" t="s">
        <v>1744</v>
      </c>
      <c r="B1745" s="12">
        <v>13.1</v>
      </c>
      <c r="C1745" s="11">
        <v>0</v>
      </c>
      <c r="D1745" s="11">
        <v>1.8809697298411441</v>
      </c>
    </row>
    <row r="1746" spans="1:4" x14ac:dyDescent="0.2">
      <c r="A1746" s="10" t="s">
        <v>1745</v>
      </c>
      <c r="B1746" s="12">
        <v>14.39</v>
      </c>
      <c r="C1746" s="11">
        <v>0</v>
      </c>
      <c r="D1746" s="11">
        <v>0.60389028168584102</v>
      </c>
    </row>
    <row r="1747" spans="1:4" x14ac:dyDescent="0.2">
      <c r="A1747" s="10" t="s">
        <v>1746</v>
      </c>
      <c r="B1747" s="12">
        <v>12.15</v>
      </c>
      <c r="C1747" s="11">
        <v>0</v>
      </c>
      <c r="D1747" s="11">
        <v>2.8214545947617165</v>
      </c>
    </row>
    <row r="1748" spans="1:4" x14ac:dyDescent="0.2">
      <c r="A1748" s="10" t="s">
        <v>1747</v>
      </c>
      <c r="B1748" s="12">
        <v>14.71</v>
      </c>
      <c r="C1748" s="11">
        <v>0</v>
      </c>
      <c r="D1748" s="11">
        <v>0.28709537981785882</v>
      </c>
    </row>
    <row r="1749" spans="1:4" x14ac:dyDescent="0.2">
      <c r="A1749" s="10" t="s">
        <v>1748</v>
      </c>
      <c r="B1749" s="12">
        <v>16.559999999999999</v>
      </c>
      <c r="C1749" s="11">
        <v>1.5443751466064133</v>
      </c>
      <c r="D1749" s="11">
        <v>0</v>
      </c>
    </row>
    <row r="1750" spans="1:4" x14ac:dyDescent="0.2">
      <c r="A1750" s="10" t="s">
        <v>1749</v>
      </c>
      <c r="B1750" s="12">
        <v>13.38</v>
      </c>
      <c r="C1750" s="11">
        <v>0</v>
      </c>
      <c r="D1750" s="11">
        <v>1.6037741907066601</v>
      </c>
    </row>
    <row r="1751" spans="1:4" x14ac:dyDescent="0.2">
      <c r="A1751" s="10" t="s">
        <v>1750</v>
      </c>
      <c r="B1751" s="12">
        <v>12.49</v>
      </c>
      <c r="C1751" s="11">
        <v>0</v>
      </c>
      <c r="D1751" s="11">
        <v>2.484860011526985</v>
      </c>
    </row>
    <row r="1752" spans="1:4" x14ac:dyDescent="0.2">
      <c r="A1752" s="10" t="s">
        <v>1751</v>
      </c>
      <c r="B1752" s="12">
        <v>14.05</v>
      </c>
      <c r="C1752" s="11">
        <v>0</v>
      </c>
      <c r="D1752" s="11">
        <v>0.94048486492057204</v>
      </c>
    </row>
    <row r="1753" spans="1:4" x14ac:dyDescent="0.2">
      <c r="A1753" s="10" t="s">
        <v>1752</v>
      </c>
      <c r="B1753" s="12">
        <v>12.93</v>
      </c>
      <c r="C1753" s="11">
        <v>0</v>
      </c>
      <c r="D1753" s="11">
        <v>2.0492670214585096</v>
      </c>
    </row>
    <row r="1754" spans="1:4" x14ac:dyDescent="0.2">
      <c r="A1754" s="10" t="s">
        <v>1753</v>
      </c>
      <c r="B1754" s="12">
        <v>13.39</v>
      </c>
      <c r="C1754" s="11">
        <v>0</v>
      </c>
      <c r="D1754" s="11">
        <v>1.5938743500232855</v>
      </c>
    </row>
    <row r="1755" spans="1:4" x14ac:dyDescent="0.2">
      <c r="A1755" s="10" t="s">
        <v>1754</v>
      </c>
      <c r="B1755" s="12">
        <v>13.52</v>
      </c>
      <c r="C1755" s="11">
        <v>0</v>
      </c>
      <c r="D1755" s="11">
        <v>1.4651764211394176</v>
      </c>
    </row>
    <row r="1756" spans="1:4" x14ac:dyDescent="0.2">
      <c r="A1756" s="10" t="s">
        <v>1755</v>
      </c>
      <c r="B1756" s="12">
        <v>13.64</v>
      </c>
      <c r="C1756" s="11">
        <v>0</v>
      </c>
      <c r="D1756" s="11">
        <v>1.3463783329389245</v>
      </c>
    </row>
    <row r="1757" spans="1:4" x14ac:dyDescent="0.2">
      <c r="A1757" s="10" t="s">
        <v>1756</v>
      </c>
      <c r="B1757" s="12">
        <v>12.95</v>
      </c>
      <c r="C1757" s="11">
        <v>0</v>
      </c>
      <c r="D1757" s="11">
        <v>2.0294673400917609</v>
      </c>
    </row>
    <row r="1758" spans="1:4" x14ac:dyDescent="0.2">
      <c r="A1758" s="10" t="s">
        <v>1757</v>
      </c>
      <c r="B1758" s="12">
        <v>13.35</v>
      </c>
      <c r="C1758" s="11">
        <v>0</v>
      </c>
      <c r="D1758" s="11">
        <v>1.6334737127567831</v>
      </c>
    </row>
    <row r="1759" spans="1:4" x14ac:dyDescent="0.2">
      <c r="A1759" s="10" t="s">
        <v>1758</v>
      </c>
      <c r="B1759" s="12">
        <v>16.98</v>
      </c>
      <c r="C1759" s="11">
        <v>1.9601684553081398</v>
      </c>
      <c r="D1759" s="11">
        <v>0</v>
      </c>
    </row>
    <row r="1760" spans="1:4" x14ac:dyDescent="0.2">
      <c r="A1760" s="10" t="s">
        <v>1759</v>
      </c>
      <c r="B1760" s="12">
        <v>14.79</v>
      </c>
      <c r="C1760" s="11">
        <v>0</v>
      </c>
      <c r="D1760" s="11">
        <v>0.2078966543508633</v>
      </c>
    </row>
    <row r="1761" spans="1:4" x14ac:dyDescent="0.2">
      <c r="A1761" s="10" t="s">
        <v>1760</v>
      </c>
      <c r="B1761" s="12">
        <v>14.51</v>
      </c>
      <c r="C1761" s="11">
        <v>0</v>
      </c>
      <c r="D1761" s="11">
        <v>0.48509219348534771</v>
      </c>
    </row>
    <row r="1762" spans="1:4" x14ac:dyDescent="0.2">
      <c r="A1762" s="10" t="s">
        <v>1761</v>
      </c>
      <c r="B1762" s="12">
        <v>15.11</v>
      </c>
      <c r="C1762" s="11">
        <v>0.10889824751711888</v>
      </c>
      <c r="D1762" s="11">
        <v>0</v>
      </c>
    </row>
    <row r="1763" spans="1:4" x14ac:dyDescent="0.2">
      <c r="A1763" s="10" t="s">
        <v>1762</v>
      </c>
      <c r="B1763" s="12">
        <v>13.13</v>
      </c>
      <c r="C1763" s="11">
        <v>0</v>
      </c>
      <c r="D1763" s="11">
        <v>1.851270207791021</v>
      </c>
    </row>
    <row r="1764" spans="1:4" x14ac:dyDescent="0.2">
      <c r="A1764" s="10" t="s">
        <v>1763</v>
      </c>
      <c r="B1764" s="12">
        <v>15.1</v>
      </c>
      <c r="C1764" s="11">
        <v>9.8998406833744446E-2</v>
      </c>
      <c r="D1764" s="11">
        <v>0</v>
      </c>
    </row>
    <row r="1765" spans="1:4" x14ac:dyDescent="0.2">
      <c r="A1765" s="10" t="s">
        <v>1764</v>
      </c>
      <c r="B1765" s="12">
        <v>12.78</v>
      </c>
      <c r="C1765" s="11">
        <v>0</v>
      </c>
      <c r="D1765" s="11">
        <v>2.1977646317091266</v>
      </c>
    </row>
    <row r="1766" spans="1:4" x14ac:dyDescent="0.2">
      <c r="A1766" s="10" t="s">
        <v>1765</v>
      </c>
      <c r="B1766" s="12">
        <v>14.09</v>
      </c>
      <c r="C1766" s="11">
        <v>0</v>
      </c>
      <c r="D1766" s="11">
        <v>0.90088550218707442</v>
      </c>
    </row>
    <row r="1767" spans="1:4" x14ac:dyDescent="0.2">
      <c r="A1767" s="10" t="s">
        <v>1766</v>
      </c>
      <c r="B1767" s="12">
        <v>13.6</v>
      </c>
      <c r="C1767" s="11">
        <v>0</v>
      </c>
      <c r="D1767" s="11">
        <v>1.3859776956724219</v>
      </c>
    </row>
    <row r="1768" spans="1:4" x14ac:dyDescent="0.2">
      <c r="A1768" s="10" t="s">
        <v>1767</v>
      </c>
      <c r="B1768" s="12">
        <v>14</v>
      </c>
      <c r="C1768" s="11">
        <v>0</v>
      </c>
      <c r="D1768" s="11">
        <v>0.98998406833744435</v>
      </c>
    </row>
    <row r="1769" spans="1:4" x14ac:dyDescent="0.2">
      <c r="A1769" s="10" t="s">
        <v>1768</v>
      </c>
      <c r="B1769" s="12">
        <v>17.02</v>
      </c>
      <c r="C1769" s="11">
        <v>1.9997678180416376</v>
      </c>
      <c r="D1769" s="11">
        <v>0</v>
      </c>
    </row>
    <row r="1770" spans="1:4" x14ac:dyDescent="0.2">
      <c r="A1770" s="10" t="s">
        <v>1769</v>
      </c>
      <c r="B1770" s="12">
        <v>16.510000000000002</v>
      </c>
      <c r="C1770" s="11">
        <v>1.4948759431895409</v>
      </c>
      <c r="D1770" s="11">
        <v>0</v>
      </c>
    </row>
    <row r="1771" spans="1:4" x14ac:dyDescent="0.2">
      <c r="A1771" s="10" t="s">
        <v>1770</v>
      </c>
      <c r="B1771" s="12">
        <v>14.83</v>
      </c>
      <c r="C1771" s="11">
        <v>0</v>
      </c>
      <c r="D1771" s="11">
        <v>0.16829729161736556</v>
      </c>
    </row>
    <row r="1772" spans="1:4" x14ac:dyDescent="0.2">
      <c r="A1772" s="10" t="s">
        <v>1771</v>
      </c>
      <c r="B1772" s="12">
        <v>12.2</v>
      </c>
      <c r="C1772" s="11">
        <v>0</v>
      </c>
      <c r="D1772" s="11">
        <v>2.7719553913448438</v>
      </c>
    </row>
    <row r="1773" spans="1:4" x14ac:dyDescent="0.2">
      <c r="A1773" s="10" t="s">
        <v>1772</v>
      </c>
      <c r="B1773" s="12">
        <v>14.56</v>
      </c>
      <c r="C1773" s="11">
        <v>0</v>
      </c>
      <c r="D1773" s="11">
        <v>0.43559299006847552</v>
      </c>
    </row>
    <row r="1774" spans="1:4" x14ac:dyDescent="0.2">
      <c r="A1774" s="10" t="s">
        <v>1773</v>
      </c>
      <c r="B1774" s="12">
        <v>14.12</v>
      </c>
      <c r="C1774" s="11">
        <v>0</v>
      </c>
      <c r="D1774" s="11">
        <v>0.87118598013695103</v>
      </c>
    </row>
    <row r="1775" spans="1:4" x14ac:dyDescent="0.2">
      <c r="A1775" s="10" t="s">
        <v>1774</v>
      </c>
      <c r="B1775" s="12">
        <v>14.83</v>
      </c>
      <c r="C1775" s="11">
        <v>0</v>
      </c>
      <c r="D1775" s="11">
        <v>0.16829729161736556</v>
      </c>
    </row>
    <row r="1776" spans="1:4" x14ac:dyDescent="0.2">
      <c r="A1776" s="10" t="s">
        <v>1775</v>
      </c>
      <c r="B1776" s="12">
        <v>13.31</v>
      </c>
      <c r="C1776" s="11">
        <v>0</v>
      </c>
      <c r="D1776" s="11">
        <v>1.6730730754902809</v>
      </c>
    </row>
    <row r="1777" spans="1:4" x14ac:dyDescent="0.2">
      <c r="A1777" s="10" t="s">
        <v>1776</v>
      </c>
      <c r="B1777" s="12">
        <v>15.13</v>
      </c>
      <c r="C1777" s="11">
        <v>0.12869792888386777</v>
      </c>
      <c r="D1777" s="11">
        <v>0</v>
      </c>
    </row>
    <row r="1778" spans="1:4" x14ac:dyDescent="0.2">
      <c r="A1778" s="10" t="s">
        <v>1777</v>
      </c>
      <c r="B1778" s="12">
        <v>16.489999999999998</v>
      </c>
      <c r="C1778" s="11">
        <v>1.4750762618227922</v>
      </c>
      <c r="D1778" s="11">
        <v>0</v>
      </c>
    </row>
    <row r="1779" spans="1:4" x14ac:dyDescent="0.2">
      <c r="A1779" s="10" t="s">
        <v>1778</v>
      </c>
      <c r="B1779" s="12">
        <v>14</v>
      </c>
      <c r="C1779" s="11">
        <v>0</v>
      </c>
      <c r="D1779" s="11">
        <v>0.98998406833744435</v>
      </c>
    </row>
    <row r="1780" spans="1:4" x14ac:dyDescent="0.2">
      <c r="A1780" s="10" t="s">
        <v>1779</v>
      </c>
      <c r="B1780" s="12">
        <v>14.19</v>
      </c>
      <c r="C1780" s="11">
        <v>0</v>
      </c>
      <c r="D1780" s="11">
        <v>0.81178693603670427</v>
      </c>
    </row>
    <row r="1781" spans="1:4" x14ac:dyDescent="0.2">
      <c r="A1781" s="10" t="s">
        <v>1780</v>
      </c>
      <c r="B1781" s="12">
        <v>14.19</v>
      </c>
      <c r="C1781" s="11">
        <v>0</v>
      </c>
      <c r="D1781" s="11">
        <v>0.80188709535333003</v>
      </c>
    </row>
    <row r="1782" spans="1:4" x14ac:dyDescent="0.2">
      <c r="A1782" s="10" t="s">
        <v>1781</v>
      </c>
      <c r="B1782" s="12">
        <v>12.18</v>
      </c>
      <c r="C1782" s="11">
        <v>0</v>
      </c>
      <c r="D1782" s="11">
        <v>2.791755072711593</v>
      </c>
    </row>
    <row r="1783" spans="1:4" x14ac:dyDescent="0.2">
      <c r="A1783" s="10" t="s">
        <v>1782</v>
      </c>
      <c r="B1783" s="12">
        <v>14.1</v>
      </c>
      <c r="C1783" s="11">
        <v>0</v>
      </c>
      <c r="D1783" s="11">
        <v>0.89098566150369995</v>
      </c>
    </row>
    <row r="1784" spans="1:4" x14ac:dyDescent="0.2">
      <c r="A1784" s="10" t="s">
        <v>1783</v>
      </c>
      <c r="B1784" s="12">
        <v>13.03</v>
      </c>
      <c r="C1784" s="11">
        <v>0</v>
      </c>
      <c r="D1784" s="11">
        <v>1.9502686146247654</v>
      </c>
    </row>
    <row r="1785" spans="1:4" x14ac:dyDescent="0.2">
      <c r="A1785" s="10" t="s">
        <v>1784</v>
      </c>
      <c r="B1785" s="12">
        <v>12.42</v>
      </c>
      <c r="C1785" s="11">
        <v>0</v>
      </c>
      <c r="D1785" s="11">
        <v>2.5541588963106063</v>
      </c>
    </row>
    <row r="1786" spans="1:4" x14ac:dyDescent="0.2">
      <c r="A1786" s="10" t="s">
        <v>1785</v>
      </c>
      <c r="B1786" s="12">
        <v>14.58</v>
      </c>
      <c r="C1786" s="11">
        <v>0</v>
      </c>
      <c r="D1786" s="11">
        <v>0.41579330870172659</v>
      </c>
    </row>
    <row r="1787" spans="1:4" x14ac:dyDescent="0.2">
      <c r="A1787" s="10" t="s">
        <v>1786</v>
      </c>
      <c r="B1787" s="12">
        <v>15.86</v>
      </c>
      <c r="C1787" s="11">
        <v>0.85138629877020211</v>
      </c>
      <c r="D1787" s="11">
        <v>0</v>
      </c>
    </row>
    <row r="1788" spans="1:4" x14ac:dyDescent="0.2">
      <c r="A1788" s="10" t="s">
        <v>1787</v>
      </c>
      <c r="B1788" s="12">
        <v>14.47</v>
      </c>
      <c r="C1788" s="11">
        <v>0</v>
      </c>
      <c r="D1788" s="11">
        <v>0.52469155621884556</v>
      </c>
    </row>
    <row r="1789" spans="1:4" x14ac:dyDescent="0.2">
      <c r="A1789" s="10" t="s">
        <v>1788</v>
      </c>
      <c r="B1789" s="12">
        <v>13.25</v>
      </c>
      <c r="C1789" s="11">
        <v>0</v>
      </c>
      <c r="D1789" s="11">
        <v>1.7324721195905277</v>
      </c>
    </row>
    <row r="1790" spans="1:4" x14ac:dyDescent="0.2">
      <c r="A1790" s="10" t="s">
        <v>1789</v>
      </c>
      <c r="B1790" s="12">
        <v>12.6</v>
      </c>
      <c r="C1790" s="11">
        <v>0</v>
      </c>
      <c r="D1790" s="11">
        <v>2.3759617640098663</v>
      </c>
    </row>
    <row r="1791" spans="1:4" x14ac:dyDescent="0.2">
      <c r="A1791" s="10" t="s">
        <v>1790</v>
      </c>
      <c r="B1791" s="12">
        <v>13.31</v>
      </c>
      <c r="C1791" s="11">
        <v>0</v>
      </c>
      <c r="D1791" s="11">
        <v>1.6730730754902809</v>
      </c>
    </row>
    <row r="1792" spans="1:4" x14ac:dyDescent="0.2">
      <c r="A1792" s="10" t="s">
        <v>1791</v>
      </c>
      <c r="B1792" s="12">
        <v>14.63</v>
      </c>
      <c r="C1792" s="11">
        <v>0</v>
      </c>
      <c r="D1792" s="11">
        <v>0.3662941052848544</v>
      </c>
    </row>
    <row r="1793" spans="1:4" x14ac:dyDescent="0.2">
      <c r="A1793" s="10" t="s">
        <v>1792</v>
      </c>
      <c r="B1793" s="12">
        <v>13.74</v>
      </c>
      <c r="C1793" s="11">
        <v>0</v>
      </c>
      <c r="D1793" s="11">
        <v>1.2473799261051799</v>
      </c>
    </row>
    <row r="1794" spans="1:4" x14ac:dyDescent="0.2">
      <c r="A1794" s="10" t="s">
        <v>1793</v>
      </c>
      <c r="B1794" s="12">
        <v>15.51</v>
      </c>
      <c r="C1794" s="11">
        <v>0.50489187485209663</v>
      </c>
      <c r="D1794" s="11">
        <v>0</v>
      </c>
    </row>
    <row r="1795" spans="1:4" x14ac:dyDescent="0.2">
      <c r="A1795" s="10" t="s">
        <v>1794</v>
      </c>
      <c r="B1795" s="12">
        <v>15.13</v>
      </c>
      <c r="C1795" s="11">
        <v>0.12869792888386777</v>
      </c>
      <c r="D1795" s="11">
        <v>0</v>
      </c>
    </row>
    <row r="1796" spans="1:4" x14ac:dyDescent="0.2">
      <c r="A1796" s="10" t="s">
        <v>1795</v>
      </c>
      <c r="B1796" s="12">
        <v>14.48</v>
      </c>
      <c r="C1796" s="11">
        <v>0</v>
      </c>
      <c r="D1796" s="11">
        <v>0.51479171553547109</v>
      </c>
    </row>
    <row r="1797" spans="1:4" x14ac:dyDescent="0.2">
      <c r="A1797" s="10" t="s">
        <v>1796</v>
      </c>
      <c r="B1797" s="12">
        <v>13.5</v>
      </c>
      <c r="C1797" s="11">
        <v>0</v>
      </c>
      <c r="D1797" s="11">
        <v>1.4849761025061665</v>
      </c>
    </row>
    <row r="1798" spans="1:4" x14ac:dyDescent="0.2">
      <c r="A1798" s="10" t="s">
        <v>1797</v>
      </c>
      <c r="B1798" s="12">
        <v>14.92</v>
      </c>
      <c r="C1798" s="11">
        <v>0</v>
      </c>
      <c r="D1798" s="11">
        <v>7.9198725466995551E-2</v>
      </c>
    </row>
    <row r="1799" spans="1:4" x14ac:dyDescent="0.2">
      <c r="A1799" s="10" t="s">
        <v>1798</v>
      </c>
      <c r="B1799" s="12">
        <v>15.28</v>
      </c>
      <c r="C1799" s="11">
        <v>0.27719553913448447</v>
      </c>
      <c r="D1799" s="11">
        <v>0</v>
      </c>
    </row>
    <row r="1800" spans="1:4" x14ac:dyDescent="0.2">
      <c r="A1800" s="10" t="s">
        <v>1799</v>
      </c>
      <c r="B1800" s="12">
        <v>13.25</v>
      </c>
      <c r="C1800" s="11">
        <v>0</v>
      </c>
      <c r="D1800" s="11">
        <v>1.7324721195905277</v>
      </c>
    </row>
    <row r="1801" spans="1:4" x14ac:dyDescent="0.2">
      <c r="A1801" s="10" t="s">
        <v>1800</v>
      </c>
      <c r="B1801" s="12">
        <v>14.5</v>
      </c>
      <c r="C1801" s="11">
        <v>0</v>
      </c>
      <c r="D1801" s="11">
        <v>0.49499203416872217</v>
      </c>
    </row>
    <row r="1802" spans="1:4" x14ac:dyDescent="0.2">
      <c r="A1802" s="10" t="s">
        <v>1801</v>
      </c>
      <c r="B1802" s="12">
        <v>14.41</v>
      </c>
      <c r="C1802" s="11">
        <v>0</v>
      </c>
      <c r="D1802" s="11">
        <v>0.5840906003190921</v>
      </c>
    </row>
    <row r="1803" spans="1:4" x14ac:dyDescent="0.2">
      <c r="A1803" s="10" t="s">
        <v>1802</v>
      </c>
      <c r="B1803" s="12">
        <v>14.58</v>
      </c>
      <c r="C1803" s="11">
        <v>0</v>
      </c>
      <c r="D1803" s="11">
        <v>0.41579330870172659</v>
      </c>
    </row>
    <row r="1804" spans="1:4" x14ac:dyDescent="0.2">
      <c r="A1804" s="10" t="s">
        <v>1803</v>
      </c>
      <c r="B1804" s="12">
        <v>14.6</v>
      </c>
      <c r="C1804" s="11">
        <v>0</v>
      </c>
      <c r="D1804" s="11">
        <v>0.39599362733497778</v>
      </c>
    </row>
    <row r="1805" spans="1:4" x14ac:dyDescent="0.2">
      <c r="A1805" s="10" t="s">
        <v>1804</v>
      </c>
      <c r="B1805" s="12">
        <v>14.93</v>
      </c>
      <c r="C1805" s="11">
        <v>0</v>
      </c>
      <c r="D1805" s="11">
        <v>6.9298884783621117E-2</v>
      </c>
    </row>
    <row r="1806" spans="1:4" x14ac:dyDescent="0.2">
      <c r="A1806" s="10" t="s">
        <v>1805</v>
      </c>
      <c r="B1806" s="12">
        <v>12.78</v>
      </c>
      <c r="C1806" s="11">
        <v>0</v>
      </c>
      <c r="D1806" s="11">
        <v>2.1977646317091266</v>
      </c>
    </row>
    <row r="1807" spans="1:4" x14ac:dyDescent="0.2">
      <c r="A1807" s="10" t="s">
        <v>1806</v>
      </c>
      <c r="B1807" s="12">
        <v>12.93</v>
      </c>
      <c r="C1807" s="11">
        <v>0</v>
      </c>
      <c r="D1807" s="11">
        <v>2.0492670214585096</v>
      </c>
    </row>
    <row r="1808" spans="1:4" x14ac:dyDescent="0.2">
      <c r="A1808" s="10" t="s">
        <v>1807</v>
      </c>
      <c r="B1808" s="12">
        <v>14.6</v>
      </c>
      <c r="C1808" s="11">
        <v>0</v>
      </c>
      <c r="D1808" s="11">
        <v>0.39599362733497778</v>
      </c>
    </row>
    <row r="1809" spans="1:4" x14ac:dyDescent="0.2">
      <c r="A1809" s="10" t="s">
        <v>1808</v>
      </c>
      <c r="B1809" s="12">
        <v>13.05</v>
      </c>
      <c r="C1809" s="11">
        <v>0</v>
      </c>
      <c r="D1809" s="11">
        <v>1.9304689332580165</v>
      </c>
    </row>
    <row r="1810" spans="1:4" x14ac:dyDescent="0.2">
      <c r="A1810" s="10" t="s">
        <v>1809</v>
      </c>
      <c r="B1810" s="12">
        <v>15.33</v>
      </c>
      <c r="C1810" s="11">
        <v>0.32669474255135666</v>
      </c>
      <c r="D1810" s="11">
        <v>0</v>
      </c>
    </row>
    <row r="1811" spans="1:4" x14ac:dyDescent="0.2">
      <c r="A1811" s="10" t="s">
        <v>1810</v>
      </c>
      <c r="B1811" s="12">
        <v>13.08</v>
      </c>
      <c r="C1811" s="11">
        <v>0</v>
      </c>
      <c r="D1811" s="11">
        <v>1.900769411207893</v>
      </c>
    </row>
    <row r="1812" spans="1:4" x14ac:dyDescent="0.2">
      <c r="A1812" s="10" t="s">
        <v>1811</v>
      </c>
      <c r="B1812" s="12">
        <v>14.29</v>
      </c>
      <c r="C1812" s="11">
        <v>0</v>
      </c>
      <c r="D1812" s="11">
        <v>0.70288868851958541</v>
      </c>
    </row>
    <row r="1813" spans="1:4" x14ac:dyDescent="0.2">
      <c r="A1813" s="10" t="s">
        <v>1812</v>
      </c>
      <c r="B1813" s="12">
        <v>15.27</v>
      </c>
      <c r="C1813" s="11">
        <v>0.26729569845111001</v>
      </c>
      <c r="D1813" s="11">
        <v>0</v>
      </c>
    </row>
    <row r="1814" spans="1:4" x14ac:dyDescent="0.2">
      <c r="A1814" s="10" t="s">
        <v>1813</v>
      </c>
      <c r="B1814" s="12">
        <v>13.45</v>
      </c>
      <c r="C1814" s="11">
        <v>0</v>
      </c>
      <c r="D1814" s="11">
        <v>1.5344753059230387</v>
      </c>
    </row>
    <row r="1815" spans="1:4" x14ac:dyDescent="0.2">
      <c r="A1815" s="10" t="s">
        <v>1814</v>
      </c>
      <c r="B1815" s="12">
        <v>13.52</v>
      </c>
      <c r="C1815" s="11">
        <v>0</v>
      </c>
      <c r="D1815" s="11">
        <v>1.4651764211394176</v>
      </c>
    </row>
    <row r="1816" spans="1:4" x14ac:dyDescent="0.2">
      <c r="A1816" s="10" t="s">
        <v>1815</v>
      </c>
      <c r="B1816" s="12">
        <v>12.03</v>
      </c>
      <c r="C1816" s="11">
        <v>0</v>
      </c>
      <c r="D1816" s="11">
        <v>2.94025268296221</v>
      </c>
    </row>
    <row r="1817" spans="1:4" x14ac:dyDescent="0.2">
      <c r="A1817" s="10" t="s">
        <v>1816</v>
      </c>
      <c r="B1817" s="12">
        <v>14.13</v>
      </c>
      <c r="C1817" s="11">
        <v>0</v>
      </c>
      <c r="D1817" s="11">
        <v>0.86128613945357657</v>
      </c>
    </row>
    <row r="1818" spans="1:4" x14ac:dyDescent="0.2">
      <c r="A1818" s="10" t="s">
        <v>1817</v>
      </c>
      <c r="B1818" s="12">
        <v>16.91</v>
      </c>
      <c r="C1818" s="11">
        <v>1.8908695705245187</v>
      </c>
      <c r="D1818" s="11">
        <v>0</v>
      </c>
    </row>
    <row r="1819" spans="1:4" x14ac:dyDescent="0.2">
      <c r="A1819" s="10" t="s">
        <v>1818</v>
      </c>
      <c r="B1819" s="12">
        <v>15.27</v>
      </c>
      <c r="C1819" s="11">
        <v>0.26729569845111001</v>
      </c>
      <c r="D1819" s="11">
        <v>0</v>
      </c>
    </row>
    <row r="1820" spans="1:4" x14ac:dyDescent="0.2">
      <c r="A1820" s="10" t="s">
        <v>1819</v>
      </c>
      <c r="B1820" s="12">
        <v>15.3</v>
      </c>
      <c r="C1820" s="11">
        <v>0.29699522050123328</v>
      </c>
      <c r="D1820" s="11">
        <v>0</v>
      </c>
    </row>
    <row r="1821" spans="1:4" x14ac:dyDescent="0.2">
      <c r="A1821" s="10" t="s">
        <v>1820</v>
      </c>
      <c r="B1821" s="12">
        <v>12.6</v>
      </c>
      <c r="C1821" s="11">
        <v>0</v>
      </c>
      <c r="D1821" s="11">
        <v>2.3759617640098663</v>
      </c>
    </row>
    <row r="1822" spans="1:4" x14ac:dyDescent="0.2">
      <c r="A1822" s="10" t="s">
        <v>1821</v>
      </c>
      <c r="B1822" s="12">
        <v>13.86</v>
      </c>
      <c r="C1822" s="11">
        <v>0</v>
      </c>
      <c r="D1822" s="11">
        <v>1.1285818379046864</v>
      </c>
    </row>
    <row r="1823" spans="1:4" x14ac:dyDescent="0.2">
      <c r="A1823" s="10" t="s">
        <v>1822</v>
      </c>
      <c r="B1823" s="12">
        <v>14.04</v>
      </c>
      <c r="C1823" s="11">
        <v>0</v>
      </c>
      <c r="D1823" s="11">
        <v>0.9503847056039465</v>
      </c>
    </row>
    <row r="1824" spans="1:4" x14ac:dyDescent="0.2">
      <c r="A1824" s="10" t="s">
        <v>1823</v>
      </c>
      <c r="B1824" s="12">
        <v>14.75</v>
      </c>
      <c r="C1824" s="11">
        <v>0</v>
      </c>
      <c r="D1824" s="11">
        <v>0.24749601708436109</v>
      </c>
    </row>
    <row r="1825" spans="1:4" x14ac:dyDescent="0.2">
      <c r="A1825" s="10" t="s">
        <v>1824</v>
      </c>
      <c r="B1825" s="12">
        <v>14.48</v>
      </c>
      <c r="C1825" s="11">
        <v>0</v>
      </c>
      <c r="D1825" s="11">
        <v>0.51479171553547109</v>
      </c>
    </row>
    <row r="1826" spans="1:4" x14ac:dyDescent="0.2">
      <c r="A1826" s="10" t="s">
        <v>1825</v>
      </c>
      <c r="B1826" s="12">
        <v>14.48</v>
      </c>
      <c r="C1826" s="11">
        <v>0</v>
      </c>
      <c r="D1826" s="11">
        <v>0.51479171553547109</v>
      </c>
    </row>
    <row r="1827" spans="1:4" x14ac:dyDescent="0.2">
      <c r="A1827" s="10" t="s">
        <v>1826</v>
      </c>
      <c r="B1827" s="12">
        <v>13.14</v>
      </c>
      <c r="C1827" s="11">
        <v>0</v>
      </c>
      <c r="D1827" s="11">
        <v>1.8413703671076467</v>
      </c>
    </row>
    <row r="1828" spans="1:4" x14ac:dyDescent="0.2">
      <c r="A1828" s="10" t="s">
        <v>1827</v>
      </c>
      <c r="B1828" s="12">
        <v>13.69</v>
      </c>
      <c r="C1828" s="11">
        <v>0</v>
      </c>
      <c r="D1828" s="11">
        <v>1.2968791295220521</v>
      </c>
    </row>
    <row r="1829" spans="1:4" x14ac:dyDescent="0.2">
      <c r="A1829" s="10" t="s">
        <v>1828</v>
      </c>
      <c r="B1829" s="12">
        <v>13.2</v>
      </c>
      <c r="C1829" s="11">
        <v>0</v>
      </c>
      <c r="D1829" s="11">
        <v>1.7819713230073999</v>
      </c>
    </row>
    <row r="1830" spans="1:4" x14ac:dyDescent="0.2">
      <c r="A1830" s="10" t="s">
        <v>1829</v>
      </c>
      <c r="B1830" s="12">
        <v>15.14</v>
      </c>
      <c r="C1830" s="11">
        <v>0.13859776956724223</v>
      </c>
      <c r="D1830" s="11">
        <v>0</v>
      </c>
    </row>
    <row r="1831" spans="1:4" x14ac:dyDescent="0.2">
      <c r="A1831" s="10" t="s">
        <v>1830</v>
      </c>
      <c r="B1831" s="12">
        <v>13.96</v>
      </c>
      <c r="C1831" s="11">
        <v>0</v>
      </c>
      <c r="D1831" s="11">
        <v>1.0295834310709422</v>
      </c>
    </row>
    <row r="1832" spans="1:4" x14ac:dyDescent="0.2">
      <c r="A1832" s="10" t="s">
        <v>1831</v>
      </c>
      <c r="B1832" s="12">
        <v>11.27</v>
      </c>
      <c r="C1832" s="11">
        <v>0</v>
      </c>
      <c r="D1832" s="11">
        <v>3.6926405748986673</v>
      </c>
    </row>
    <row r="1833" spans="1:4" x14ac:dyDescent="0.2">
      <c r="A1833" s="10" t="s">
        <v>1832</v>
      </c>
      <c r="B1833" s="12">
        <v>16.73</v>
      </c>
      <c r="C1833" s="11">
        <v>1.7126724382237788</v>
      </c>
      <c r="D1833" s="11">
        <v>0</v>
      </c>
    </row>
    <row r="1834" spans="1:4" x14ac:dyDescent="0.2">
      <c r="A1834" s="10" t="s">
        <v>1833</v>
      </c>
      <c r="B1834" s="12">
        <v>15.03</v>
      </c>
      <c r="C1834" s="11">
        <v>2.9699522050123328E-2</v>
      </c>
      <c r="D1834" s="11">
        <v>0</v>
      </c>
    </row>
    <row r="1835" spans="1:4" x14ac:dyDescent="0.2">
      <c r="A1835" s="10" t="s">
        <v>1834</v>
      </c>
      <c r="B1835" s="12">
        <v>14.58</v>
      </c>
      <c r="C1835" s="11">
        <v>0</v>
      </c>
      <c r="D1835" s="11">
        <v>0.41579330870172659</v>
      </c>
    </row>
    <row r="1836" spans="1:4" x14ac:dyDescent="0.2">
      <c r="A1836" s="10" t="s">
        <v>1835</v>
      </c>
      <c r="B1836" s="12">
        <v>15.23</v>
      </c>
      <c r="C1836" s="11">
        <v>0.22769633571761222</v>
      </c>
      <c r="D1836" s="11">
        <v>0</v>
      </c>
    </row>
    <row r="1837" spans="1:4" x14ac:dyDescent="0.2">
      <c r="A1837" s="10" t="s">
        <v>1836</v>
      </c>
      <c r="B1837" s="12">
        <v>15.16</v>
      </c>
      <c r="C1837" s="11">
        <v>0.1583974509339911</v>
      </c>
      <c r="D1837" s="11">
        <v>0</v>
      </c>
    </row>
    <row r="1838" spans="1:4" x14ac:dyDescent="0.2">
      <c r="A1838" s="10" t="s">
        <v>1837</v>
      </c>
      <c r="B1838" s="12">
        <v>13.55</v>
      </c>
      <c r="C1838" s="11">
        <v>0</v>
      </c>
      <c r="D1838" s="11">
        <v>1.4354768990892943</v>
      </c>
    </row>
    <row r="1839" spans="1:4" x14ac:dyDescent="0.2">
      <c r="A1839" s="10" t="s">
        <v>1838</v>
      </c>
      <c r="B1839" s="12">
        <v>13.89</v>
      </c>
      <c r="C1839" s="11">
        <v>0</v>
      </c>
      <c r="D1839" s="11">
        <v>1.0988823158545633</v>
      </c>
    </row>
    <row r="1840" spans="1:4" x14ac:dyDescent="0.2">
      <c r="A1840" s="10" t="s">
        <v>1839</v>
      </c>
      <c r="B1840" s="12">
        <v>15.17</v>
      </c>
      <c r="C1840" s="11">
        <v>0.16829729161736556</v>
      </c>
      <c r="D1840" s="11">
        <v>0</v>
      </c>
    </row>
    <row r="1841" spans="1:4" x14ac:dyDescent="0.2">
      <c r="A1841" s="10" t="s">
        <v>1840</v>
      </c>
      <c r="B1841" s="12">
        <v>14.08</v>
      </c>
      <c r="C1841" s="11">
        <v>0</v>
      </c>
      <c r="D1841" s="11">
        <v>0.91078534287044888</v>
      </c>
    </row>
    <row r="1842" spans="1:4" x14ac:dyDescent="0.2">
      <c r="A1842" s="10" t="s">
        <v>1841</v>
      </c>
      <c r="B1842" s="12">
        <v>13.77</v>
      </c>
      <c r="C1842" s="11">
        <v>0</v>
      </c>
      <c r="D1842" s="11">
        <v>1.2176804040550566</v>
      </c>
    </row>
    <row r="1843" spans="1:4" x14ac:dyDescent="0.2">
      <c r="A1843" s="10" t="s">
        <v>1842</v>
      </c>
      <c r="B1843" s="12">
        <v>14.25</v>
      </c>
      <c r="C1843" s="11">
        <v>0</v>
      </c>
      <c r="D1843" s="11">
        <v>0.74248805125308326</v>
      </c>
    </row>
    <row r="1844" spans="1:4" x14ac:dyDescent="0.2">
      <c r="A1844" s="10" t="s">
        <v>1843</v>
      </c>
      <c r="B1844" s="12">
        <v>16.04</v>
      </c>
      <c r="C1844" s="11">
        <v>1.0295834310709422</v>
      </c>
      <c r="D1844" s="11">
        <v>0</v>
      </c>
    </row>
    <row r="1845" spans="1:4" x14ac:dyDescent="0.2">
      <c r="A1845" s="10" t="s">
        <v>1844</v>
      </c>
      <c r="B1845" s="12">
        <v>13.63</v>
      </c>
      <c r="C1845" s="11">
        <v>0</v>
      </c>
      <c r="D1845" s="11">
        <v>1.3562781736222989</v>
      </c>
    </row>
    <row r="1846" spans="1:4" x14ac:dyDescent="0.2">
      <c r="A1846" s="10" t="s">
        <v>1845</v>
      </c>
      <c r="B1846" s="12">
        <v>13.53</v>
      </c>
      <c r="C1846" s="11">
        <v>0</v>
      </c>
      <c r="D1846" s="11">
        <v>1.4552765804560432</v>
      </c>
    </row>
    <row r="1847" spans="1:4" x14ac:dyDescent="0.2">
      <c r="A1847" s="10" t="s">
        <v>1846</v>
      </c>
      <c r="B1847" s="12">
        <v>14.52</v>
      </c>
      <c r="C1847" s="11">
        <v>0</v>
      </c>
      <c r="D1847" s="11">
        <v>0.47519235280197325</v>
      </c>
    </row>
    <row r="1848" spans="1:4" x14ac:dyDescent="0.2">
      <c r="A1848" s="10" t="s">
        <v>1847</v>
      </c>
      <c r="B1848" s="12">
        <v>13.13</v>
      </c>
      <c r="C1848" s="11">
        <v>0</v>
      </c>
      <c r="D1848" s="11">
        <v>1.851270207791021</v>
      </c>
    </row>
    <row r="1849" spans="1:4" x14ac:dyDescent="0.2">
      <c r="A1849" s="10" t="s">
        <v>1848</v>
      </c>
      <c r="B1849" s="12">
        <v>14.12</v>
      </c>
      <c r="C1849" s="11">
        <v>0</v>
      </c>
      <c r="D1849" s="11">
        <v>0.88108582082032549</v>
      </c>
    </row>
    <row r="1850" spans="1:4" x14ac:dyDescent="0.2">
      <c r="A1850" s="10" t="s">
        <v>1849</v>
      </c>
      <c r="B1850" s="12">
        <v>12.87</v>
      </c>
      <c r="C1850" s="11">
        <v>0</v>
      </c>
      <c r="D1850" s="11">
        <v>2.1086660655587561</v>
      </c>
    </row>
    <row r="1851" spans="1:4" x14ac:dyDescent="0.2">
      <c r="A1851" s="10" t="s">
        <v>1850</v>
      </c>
      <c r="B1851" s="12">
        <v>13.59</v>
      </c>
      <c r="C1851" s="11">
        <v>0</v>
      </c>
      <c r="D1851" s="11">
        <v>1.3958775363557965</v>
      </c>
    </row>
    <row r="1852" spans="1:4" x14ac:dyDescent="0.2">
      <c r="A1852" s="10" t="s">
        <v>1851</v>
      </c>
      <c r="B1852" s="12">
        <v>13.93</v>
      </c>
      <c r="C1852" s="11">
        <v>0</v>
      </c>
      <c r="D1852" s="11">
        <v>1.0592829531210655</v>
      </c>
    </row>
    <row r="1853" spans="1:4" x14ac:dyDescent="0.2">
      <c r="A1853" s="10" t="s">
        <v>1852</v>
      </c>
      <c r="B1853" s="12">
        <v>13.42</v>
      </c>
      <c r="C1853" s="11">
        <v>0</v>
      </c>
      <c r="D1853" s="11">
        <v>1.5641748279731622</v>
      </c>
    </row>
    <row r="1854" spans="1:4" x14ac:dyDescent="0.2">
      <c r="A1854" s="10" t="s">
        <v>1853</v>
      </c>
      <c r="B1854" s="12">
        <v>15.37</v>
      </c>
      <c r="C1854" s="11">
        <v>0.3662941052848544</v>
      </c>
      <c r="D1854" s="11">
        <v>0</v>
      </c>
    </row>
    <row r="1855" spans="1:4" x14ac:dyDescent="0.2">
      <c r="A1855" s="10" t="s">
        <v>1854</v>
      </c>
      <c r="B1855" s="12">
        <v>13.84</v>
      </c>
      <c r="C1855" s="11">
        <v>0</v>
      </c>
      <c r="D1855" s="11">
        <v>1.1483815192714353</v>
      </c>
    </row>
    <row r="1856" spans="1:4" x14ac:dyDescent="0.2">
      <c r="A1856" s="10" t="s">
        <v>1855</v>
      </c>
      <c r="B1856" s="12">
        <v>14.19</v>
      </c>
      <c r="C1856" s="11">
        <v>0</v>
      </c>
      <c r="D1856" s="11">
        <v>0.80188709535333003</v>
      </c>
    </row>
    <row r="1857" spans="1:4" x14ac:dyDescent="0.2">
      <c r="A1857" s="10" t="s">
        <v>1856</v>
      </c>
      <c r="B1857" s="12">
        <v>13.96</v>
      </c>
      <c r="C1857" s="11">
        <v>0</v>
      </c>
      <c r="D1857" s="11">
        <v>1.0295834310709422</v>
      </c>
    </row>
    <row r="1858" spans="1:4" x14ac:dyDescent="0.2">
      <c r="A1858" s="10" t="s">
        <v>1857</v>
      </c>
      <c r="B1858" s="12">
        <v>15.41</v>
      </c>
      <c r="C1858" s="11">
        <v>0.40589346801835213</v>
      </c>
      <c r="D1858" s="11">
        <v>0</v>
      </c>
    </row>
    <row r="1859" spans="1:4" x14ac:dyDescent="0.2">
      <c r="A1859" s="10" t="s">
        <v>1858</v>
      </c>
      <c r="B1859" s="12">
        <v>14.08</v>
      </c>
      <c r="C1859" s="11">
        <v>0</v>
      </c>
      <c r="D1859" s="11">
        <v>0.91078534287044888</v>
      </c>
    </row>
    <row r="1860" spans="1:4" x14ac:dyDescent="0.2">
      <c r="A1860" s="10" t="s">
        <v>1859</v>
      </c>
      <c r="B1860" s="12">
        <v>14.06</v>
      </c>
      <c r="C1860" s="11">
        <v>0</v>
      </c>
      <c r="D1860" s="11">
        <v>0.93058502423719758</v>
      </c>
    </row>
    <row r="1861" spans="1:4" x14ac:dyDescent="0.2">
      <c r="A1861" s="10" t="s">
        <v>1860</v>
      </c>
      <c r="B1861" s="12">
        <v>14.65</v>
      </c>
      <c r="C1861" s="11">
        <v>0</v>
      </c>
      <c r="D1861" s="11">
        <v>0.34649442391810548</v>
      </c>
    </row>
    <row r="1862" spans="1:4" x14ac:dyDescent="0.2">
      <c r="A1862" s="10" t="s">
        <v>1861</v>
      </c>
      <c r="B1862" s="12">
        <v>13.66</v>
      </c>
      <c r="C1862" s="11">
        <v>0</v>
      </c>
      <c r="D1862" s="11">
        <v>1.3265786515721756</v>
      </c>
    </row>
    <row r="1863" spans="1:4" x14ac:dyDescent="0.2">
      <c r="A1863" s="10" t="s">
        <v>1862</v>
      </c>
      <c r="B1863" s="12">
        <v>16.77</v>
      </c>
      <c r="C1863" s="11">
        <v>1.7522718009572764</v>
      </c>
      <c r="D1863" s="11">
        <v>0</v>
      </c>
    </row>
    <row r="1864" spans="1:4" x14ac:dyDescent="0.2">
      <c r="A1864" s="10" t="s">
        <v>1863</v>
      </c>
      <c r="B1864" s="12">
        <v>14.52</v>
      </c>
      <c r="C1864" s="11">
        <v>0</v>
      </c>
      <c r="D1864" s="11">
        <v>0.47519235280197325</v>
      </c>
    </row>
    <row r="1865" spans="1:4" x14ac:dyDescent="0.2">
      <c r="A1865" s="10" t="s">
        <v>1864</v>
      </c>
      <c r="B1865" s="12">
        <v>12.4</v>
      </c>
      <c r="C1865" s="11">
        <v>0</v>
      </c>
      <c r="D1865" s="11">
        <v>2.5739585776773555</v>
      </c>
    </row>
    <row r="1866" spans="1:4" x14ac:dyDescent="0.2">
      <c r="A1866" s="10" t="s">
        <v>1865</v>
      </c>
      <c r="B1866" s="12">
        <v>14.66</v>
      </c>
      <c r="C1866" s="11">
        <v>0</v>
      </c>
      <c r="D1866" s="11">
        <v>0.33659458323473113</v>
      </c>
    </row>
    <row r="1867" spans="1:4" x14ac:dyDescent="0.2">
      <c r="A1867" s="10" t="s">
        <v>1866</v>
      </c>
      <c r="B1867" s="12">
        <v>13.54</v>
      </c>
      <c r="C1867" s="11">
        <v>0</v>
      </c>
      <c r="D1867" s="11">
        <v>1.4453767397726687</v>
      </c>
    </row>
    <row r="1868" spans="1:4" x14ac:dyDescent="0.2">
      <c r="A1868" s="10" t="s">
        <v>1867</v>
      </c>
      <c r="B1868" s="12">
        <v>12.81</v>
      </c>
      <c r="C1868" s="11">
        <v>0</v>
      </c>
      <c r="D1868" s="11">
        <v>2.1680651096590031</v>
      </c>
    </row>
    <row r="1869" spans="1:4" x14ac:dyDescent="0.2">
      <c r="A1869" s="10" t="s">
        <v>1868</v>
      </c>
      <c r="B1869" s="12">
        <v>13.39</v>
      </c>
      <c r="C1869" s="11">
        <v>0</v>
      </c>
      <c r="D1869" s="11">
        <v>1.5938743500232855</v>
      </c>
    </row>
    <row r="1870" spans="1:4" x14ac:dyDescent="0.2">
      <c r="A1870" s="10" t="s">
        <v>1869</v>
      </c>
      <c r="B1870" s="12">
        <v>14.1</v>
      </c>
      <c r="C1870" s="11">
        <v>0</v>
      </c>
      <c r="D1870" s="11">
        <v>0.89098566150369995</v>
      </c>
    </row>
    <row r="1871" spans="1:4" x14ac:dyDescent="0.2">
      <c r="A1871" s="10" t="s">
        <v>1870</v>
      </c>
      <c r="B1871" s="12">
        <v>12.49</v>
      </c>
      <c r="C1871" s="11">
        <v>0</v>
      </c>
      <c r="D1871" s="11">
        <v>2.484860011526985</v>
      </c>
    </row>
    <row r="1872" spans="1:4" x14ac:dyDescent="0.2">
      <c r="A1872" s="10" t="s">
        <v>1871</v>
      </c>
      <c r="B1872" s="12">
        <v>16.86</v>
      </c>
      <c r="C1872" s="11">
        <v>1.8413703671076467</v>
      </c>
      <c r="D1872" s="11">
        <v>0</v>
      </c>
    </row>
    <row r="1873" spans="1:4" x14ac:dyDescent="0.2">
      <c r="A1873" s="10" t="s">
        <v>1872</v>
      </c>
      <c r="B1873" s="12">
        <v>13.4</v>
      </c>
      <c r="C1873" s="11">
        <v>0</v>
      </c>
      <c r="D1873" s="11">
        <v>1.5839745093399111</v>
      </c>
    </row>
    <row r="1874" spans="1:4" x14ac:dyDescent="0.2">
      <c r="A1874" s="10" t="s">
        <v>1873</v>
      </c>
      <c r="B1874" s="12">
        <v>14.78</v>
      </c>
      <c r="C1874" s="11">
        <v>0</v>
      </c>
      <c r="D1874" s="11">
        <v>0.21779649503423776</v>
      </c>
    </row>
    <row r="1875" spans="1:4" x14ac:dyDescent="0.2">
      <c r="A1875" s="10" t="s">
        <v>1874</v>
      </c>
      <c r="B1875" s="12">
        <v>13.52</v>
      </c>
      <c r="C1875" s="11">
        <v>0</v>
      </c>
      <c r="D1875" s="11">
        <v>1.4651764211394176</v>
      </c>
    </row>
    <row r="1876" spans="1:4" x14ac:dyDescent="0.2">
      <c r="A1876" s="10" t="s">
        <v>1875</v>
      </c>
      <c r="B1876" s="12">
        <v>13.87</v>
      </c>
      <c r="C1876" s="11">
        <v>0</v>
      </c>
      <c r="D1876" s="11">
        <v>1.118681997221312</v>
      </c>
    </row>
    <row r="1877" spans="1:4" x14ac:dyDescent="0.2">
      <c r="A1877" s="10" t="s">
        <v>1876</v>
      </c>
      <c r="B1877" s="12">
        <v>15.53</v>
      </c>
      <c r="C1877" s="11">
        <v>0.52469155621884556</v>
      </c>
      <c r="D1877" s="11">
        <v>0</v>
      </c>
    </row>
    <row r="1878" spans="1:4" x14ac:dyDescent="0.2">
      <c r="A1878" s="10" t="s">
        <v>1877</v>
      </c>
      <c r="B1878" s="12">
        <v>14.74</v>
      </c>
      <c r="C1878" s="11">
        <v>0</v>
      </c>
      <c r="D1878" s="11">
        <v>0.25739585776773555</v>
      </c>
    </row>
    <row r="1879" spans="1:4" x14ac:dyDescent="0.2">
      <c r="A1879" s="10" t="s">
        <v>1878</v>
      </c>
      <c r="B1879" s="12">
        <v>12.46</v>
      </c>
      <c r="C1879" s="11">
        <v>0</v>
      </c>
      <c r="D1879" s="11">
        <v>2.5145595335771085</v>
      </c>
    </row>
    <row r="1880" spans="1:4" x14ac:dyDescent="0.2">
      <c r="A1880" s="10" t="s">
        <v>1879</v>
      </c>
      <c r="B1880" s="12">
        <v>15.96</v>
      </c>
      <c r="C1880" s="11">
        <v>0.9503847056039465</v>
      </c>
      <c r="D1880" s="11">
        <v>0</v>
      </c>
    </row>
    <row r="1881" spans="1:4" x14ac:dyDescent="0.2">
      <c r="A1881" s="10" t="s">
        <v>1880</v>
      </c>
      <c r="B1881" s="12">
        <v>14.16</v>
      </c>
      <c r="C1881" s="11">
        <v>0</v>
      </c>
      <c r="D1881" s="11">
        <v>0.83158661740345319</v>
      </c>
    </row>
    <row r="1882" spans="1:4" x14ac:dyDescent="0.2">
      <c r="A1882" s="10" t="s">
        <v>1881</v>
      </c>
      <c r="B1882" s="12">
        <v>14.55</v>
      </c>
      <c r="C1882" s="11">
        <v>0</v>
      </c>
      <c r="D1882" s="11">
        <v>0.44549283075184998</v>
      </c>
    </row>
    <row r="1883" spans="1:4" x14ac:dyDescent="0.2">
      <c r="A1883" s="10" t="s">
        <v>1882</v>
      </c>
      <c r="B1883" s="12">
        <v>13.61</v>
      </c>
      <c r="C1883" s="11">
        <v>0</v>
      </c>
      <c r="D1883" s="11">
        <v>1.3760778549890476</v>
      </c>
    </row>
    <row r="1884" spans="1:4" x14ac:dyDescent="0.2">
      <c r="A1884" s="10" t="s">
        <v>1883</v>
      </c>
      <c r="B1884" s="12">
        <v>14.63</v>
      </c>
      <c r="C1884" s="11">
        <v>0</v>
      </c>
      <c r="D1884" s="11">
        <v>0.3662941052848544</v>
      </c>
    </row>
    <row r="1885" spans="1:4" x14ac:dyDescent="0.2">
      <c r="A1885" s="10" t="s">
        <v>1884</v>
      </c>
      <c r="B1885" s="12">
        <v>14.24</v>
      </c>
      <c r="C1885" s="11">
        <v>0</v>
      </c>
      <c r="D1885" s="11">
        <v>0.75238789193645772</v>
      </c>
    </row>
    <row r="1886" spans="1:4" x14ac:dyDescent="0.2">
      <c r="A1886" s="10" t="s">
        <v>1885</v>
      </c>
      <c r="B1886" s="12">
        <v>14.24</v>
      </c>
      <c r="C1886" s="11">
        <v>0</v>
      </c>
      <c r="D1886" s="11">
        <v>0.75238789193645772</v>
      </c>
    </row>
    <row r="1887" spans="1:4" x14ac:dyDescent="0.2">
      <c r="A1887" s="10" t="s">
        <v>1886</v>
      </c>
      <c r="B1887" s="12">
        <v>13.13</v>
      </c>
      <c r="C1887" s="11">
        <v>0</v>
      </c>
      <c r="D1887" s="11">
        <v>1.851270207791021</v>
      </c>
    </row>
    <row r="1888" spans="1:4" x14ac:dyDescent="0.2">
      <c r="A1888" s="10" t="s">
        <v>1887</v>
      </c>
      <c r="B1888" s="12">
        <v>13.95</v>
      </c>
      <c r="C1888" s="11">
        <v>0</v>
      </c>
      <c r="D1888" s="11">
        <v>1.0394832717543165</v>
      </c>
    </row>
    <row r="1889" spans="1:4" x14ac:dyDescent="0.2">
      <c r="A1889" s="10" t="s">
        <v>1888</v>
      </c>
      <c r="B1889" s="12">
        <v>16.48</v>
      </c>
      <c r="C1889" s="11">
        <v>1.4651764211394176</v>
      </c>
      <c r="D1889" s="11">
        <v>0</v>
      </c>
    </row>
    <row r="1890" spans="1:4" x14ac:dyDescent="0.2">
      <c r="A1890" s="10" t="s">
        <v>1889</v>
      </c>
      <c r="B1890" s="12">
        <v>13.71</v>
      </c>
      <c r="C1890" s="11">
        <v>0</v>
      </c>
      <c r="D1890" s="11">
        <v>1.2770794481553032</v>
      </c>
    </row>
    <row r="1891" spans="1:4" x14ac:dyDescent="0.2">
      <c r="A1891" s="10" t="s">
        <v>1890</v>
      </c>
      <c r="B1891" s="12">
        <v>14.1</v>
      </c>
      <c r="C1891" s="11">
        <v>0</v>
      </c>
      <c r="D1891" s="11">
        <v>0.89098566150369995</v>
      </c>
    </row>
    <row r="1892" spans="1:4" x14ac:dyDescent="0.2">
      <c r="A1892" s="10" t="s">
        <v>1891</v>
      </c>
      <c r="B1892" s="12">
        <v>15.54</v>
      </c>
      <c r="C1892" s="11">
        <v>0.53459139690222002</v>
      </c>
      <c r="D1892" s="11">
        <v>0</v>
      </c>
    </row>
    <row r="1893" spans="1:4" x14ac:dyDescent="0.2">
      <c r="A1893" s="10" t="s">
        <v>1892</v>
      </c>
      <c r="B1893" s="12">
        <v>14.42</v>
      </c>
      <c r="C1893" s="11">
        <v>0</v>
      </c>
      <c r="D1893" s="11">
        <v>0.57419075963571764</v>
      </c>
    </row>
    <row r="1894" spans="1:4" x14ac:dyDescent="0.2">
      <c r="A1894" s="10" t="s">
        <v>1893</v>
      </c>
      <c r="B1894" s="12">
        <v>15.13</v>
      </c>
      <c r="C1894" s="11">
        <v>0.12869792888386777</v>
      </c>
      <c r="D1894" s="11">
        <v>0</v>
      </c>
    </row>
    <row r="1895" spans="1:4" x14ac:dyDescent="0.2">
      <c r="A1895" s="10" t="s">
        <v>1894</v>
      </c>
      <c r="B1895" s="12">
        <v>14.19</v>
      </c>
      <c r="C1895" s="11">
        <v>0</v>
      </c>
      <c r="D1895" s="11">
        <v>0.80188709535333003</v>
      </c>
    </row>
    <row r="1896" spans="1:4" x14ac:dyDescent="0.2">
      <c r="A1896" s="10" t="s">
        <v>1895</v>
      </c>
      <c r="B1896" s="12">
        <v>14.51</v>
      </c>
      <c r="C1896" s="11">
        <v>0</v>
      </c>
      <c r="D1896" s="11">
        <v>0.48509219348534771</v>
      </c>
    </row>
    <row r="1897" spans="1:4" x14ac:dyDescent="0.2">
      <c r="A1897" s="10" t="s">
        <v>1896</v>
      </c>
      <c r="B1897" s="12">
        <v>14.95</v>
      </c>
      <c r="C1897" s="11">
        <v>0</v>
      </c>
      <c r="D1897" s="11">
        <v>4.9499203416872223E-2</v>
      </c>
    </row>
    <row r="1898" spans="1:4" x14ac:dyDescent="0.2">
      <c r="A1898" s="10" t="s">
        <v>1897</v>
      </c>
      <c r="B1898" s="12">
        <v>12.92</v>
      </c>
      <c r="C1898" s="11">
        <v>0</v>
      </c>
      <c r="D1898" s="11">
        <v>2.0591668621418844</v>
      </c>
    </row>
    <row r="1899" spans="1:4" x14ac:dyDescent="0.2">
      <c r="A1899" s="10" t="s">
        <v>1898</v>
      </c>
      <c r="B1899" s="12">
        <v>15.74</v>
      </c>
      <c r="C1899" s="11">
        <v>0.7325882105697088</v>
      </c>
      <c r="D1899" s="11">
        <v>0</v>
      </c>
    </row>
    <row r="1900" spans="1:4" x14ac:dyDescent="0.2">
      <c r="A1900" s="10" t="s">
        <v>1899</v>
      </c>
      <c r="B1900" s="12">
        <v>13.84</v>
      </c>
      <c r="C1900" s="11">
        <v>0</v>
      </c>
      <c r="D1900" s="11">
        <v>1.1483815192714353</v>
      </c>
    </row>
    <row r="1901" spans="1:4" x14ac:dyDescent="0.2">
      <c r="A1901" s="10" t="s">
        <v>1900</v>
      </c>
      <c r="B1901" s="12">
        <v>12.92</v>
      </c>
      <c r="C1901" s="11">
        <v>0</v>
      </c>
      <c r="D1901" s="11">
        <v>2.0591668621418844</v>
      </c>
    </row>
    <row r="1902" spans="1:4" x14ac:dyDescent="0.2">
      <c r="A1902" s="10" t="s">
        <v>1901</v>
      </c>
      <c r="B1902" s="12">
        <v>15.09</v>
      </c>
      <c r="C1902" s="11">
        <v>8.9098566150369984E-2</v>
      </c>
      <c r="D1902" s="11">
        <v>0</v>
      </c>
    </row>
    <row r="1903" spans="1:4" x14ac:dyDescent="0.2">
      <c r="A1903" s="10" t="s">
        <v>1902</v>
      </c>
      <c r="B1903" s="12">
        <v>13.37</v>
      </c>
      <c r="C1903" s="11">
        <v>0</v>
      </c>
      <c r="D1903" s="11">
        <v>1.6136740313900342</v>
      </c>
    </row>
    <row r="1904" spans="1:4" x14ac:dyDescent="0.2">
      <c r="A1904" s="10" t="s">
        <v>1903</v>
      </c>
      <c r="B1904" s="12">
        <v>15.64</v>
      </c>
      <c r="C1904" s="11">
        <v>0.63358980373596441</v>
      </c>
      <c r="D1904" s="11">
        <v>0</v>
      </c>
    </row>
    <row r="1905" spans="1:4" x14ac:dyDescent="0.2">
      <c r="A1905" s="10" t="s">
        <v>1904</v>
      </c>
      <c r="B1905" s="12">
        <v>13.39</v>
      </c>
      <c r="C1905" s="11">
        <v>0</v>
      </c>
      <c r="D1905" s="11">
        <v>1.5938743500232855</v>
      </c>
    </row>
    <row r="1906" spans="1:4" x14ac:dyDescent="0.2">
      <c r="A1906" s="10" t="s">
        <v>1905</v>
      </c>
      <c r="B1906" s="12">
        <v>13.95</v>
      </c>
      <c r="C1906" s="11">
        <v>0</v>
      </c>
      <c r="D1906" s="11">
        <v>1.0394832717543165</v>
      </c>
    </row>
    <row r="1907" spans="1:4" x14ac:dyDescent="0.2">
      <c r="A1907" s="10" t="s">
        <v>1906</v>
      </c>
      <c r="B1907" s="12">
        <v>12.67</v>
      </c>
      <c r="C1907" s="11">
        <v>0</v>
      </c>
      <c r="D1907" s="11">
        <v>2.3066628792262454</v>
      </c>
    </row>
    <row r="1908" spans="1:4" x14ac:dyDescent="0.2">
      <c r="A1908" s="10" t="s">
        <v>1907</v>
      </c>
      <c r="B1908" s="12">
        <v>12.96</v>
      </c>
      <c r="C1908" s="11">
        <v>0</v>
      </c>
      <c r="D1908" s="11">
        <v>2.0195674994083865</v>
      </c>
    </row>
    <row r="1909" spans="1:4" x14ac:dyDescent="0.2">
      <c r="A1909" s="10" t="s">
        <v>1908</v>
      </c>
      <c r="B1909" s="12">
        <v>12.37</v>
      </c>
      <c r="C1909" s="11">
        <v>0</v>
      </c>
      <c r="D1909" s="11">
        <v>2.6036580997274785</v>
      </c>
    </row>
    <row r="1910" spans="1:4" x14ac:dyDescent="0.2">
      <c r="A1910" s="10" t="s">
        <v>1909</v>
      </c>
      <c r="B1910" s="12">
        <v>13.24</v>
      </c>
      <c r="C1910" s="11">
        <v>0</v>
      </c>
      <c r="D1910" s="11">
        <v>1.7423719602739021</v>
      </c>
    </row>
    <row r="1911" spans="1:4" x14ac:dyDescent="0.2">
      <c r="A1911" s="10" t="s">
        <v>1910</v>
      </c>
      <c r="B1911" s="12">
        <v>15.12</v>
      </c>
      <c r="C1911" s="11">
        <v>0.11879808820049331</v>
      </c>
      <c r="D1911" s="11">
        <v>0</v>
      </c>
    </row>
    <row r="1912" spans="1:4" x14ac:dyDescent="0.2">
      <c r="A1912" s="10" t="s">
        <v>1911</v>
      </c>
      <c r="B1912" s="12">
        <v>11.94</v>
      </c>
      <c r="C1912" s="11">
        <v>0</v>
      </c>
      <c r="D1912" s="11">
        <v>3.0293512491125796</v>
      </c>
    </row>
    <row r="1913" spans="1:4" x14ac:dyDescent="0.2">
      <c r="A1913" s="10" t="s">
        <v>1912</v>
      </c>
      <c r="B1913" s="12">
        <v>13.97</v>
      </c>
      <c r="C1913" s="11">
        <v>0</v>
      </c>
      <c r="D1913" s="11">
        <v>1.0196835903875676</v>
      </c>
    </row>
    <row r="1914" spans="1:4" x14ac:dyDescent="0.2">
      <c r="A1914" s="10" t="s">
        <v>1913</v>
      </c>
      <c r="B1914" s="12">
        <v>12.81</v>
      </c>
      <c r="C1914" s="11">
        <v>0</v>
      </c>
      <c r="D1914" s="11">
        <v>2.1680651096590031</v>
      </c>
    </row>
    <row r="1915" spans="1:4" x14ac:dyDescent="0.2">
      <c r="A1915" s="10" t="s">
        <v>1914</v>
      </c>
      <c r="B1915" s="12">
        <v>14.12</v>
      </c>
      <c r="C1915" s="11">
        <v>0</v>
      </c>
      <c r="D1915" s="11">
        <v>0.87118598013695103</v>
      </c>
    </row>
    <row r="1916" spans="1:4" x14ac:dyDescent="0.2">
      <c r="A1916" s="10" t="s">
        <v>1915</v>
      </c>
      <c r="B1916" s="12">
        <v>13.5</v>
      </c>
      <c r="C1916" s="11">
        <v>0</v>
      </c>
      <c r="D1916" s="11">
        <v>1.4849761025061665</v>
      </c>
    </row>
    <row r="1917" spans="1:4" x14ac:dyDescent="0.2">
      <c r="A1917" s="10" t="s">
        <v>1916</v>
      </c>
      <c r="B1917" s="12">
        <v>16.46</v>
      </c>
      <c r="C1917" s="11">
        <v>1.4453767397726687</v>
      </c>
      <c r="D1917" s="11">
        <v>0</v>
      </c>
    </row>
    <row r="1918" spans="1:4" x14ac:dyDescent="0.2">
      <c r="A1918" s="10" t="s">
        <v>1917</v>
      </c>
      <c r="B1918" s="12">
        <v>15.15</v>
      </c>
      <c r="C1918" s="11">
        <v>0.14849761025061664</v>
      </c>
      <c r="D1918" s="11">
        <v>0</v>
      </c>
    </row>
    <row r="1919" spans="1:4" x14ac:dyDescent="0.2">
      <c r="A1919" s="10" t="s">
        <v>1918</v>
      </c>
      <c r="B1919" s="12">
        <v>16.600000000000001</v>
      </c>
      <c r="C1919" s="11">
        <v>1.5839745093399111</v>
      </c>
      <c r="D1919" s="11">
        <v>0</v>
      </c>
    </row>
    <row r="1920" spans="1:4" x14ac:dyDescent="0.2">
      <c r="A1920" s="10" t="s">
        <v>1919</v>
      </c>
      <c r="B1920" s="12">
        <v>13.61</v>
      </c>
      <c r="C1920" s="11">
        <v>0</v>
      </c>
      <c r="D1920" s="11">
        <v>1.3760778549890476</v>
      </c>
    </row>
    <row r="1921" spans="1:4" x14ac:dyDescent="0.2">
      <c r="A1921" s="10" t="s">
        <v>1920</v>
      </c>
      <c r="B1921" s="12">
        <v>13.51</v>
      </c>
      <c r="C1921" s="11">
        <v>0</v>
      </c>
      <c r="D1921" s="11">
        <v>1.4750762618227922</v>
      </c>
    </row>
    <row r="1922" spans="1:4" x14ac:dyDescent="0.2">
      <c r="A1922" s="10" t="s">
        <v>1921</v>
      </c>
      <c r="B1922" s="12">
        <v>13.31</v>
      </c>
      <c r="C1922" s="11">
        <v>0</v>
      </c>
      <c r="D1922" s="11">
        <v>1.6730730754902809</v>
      </c>
    </row>
    <row r="1923" spans="1:4" x14ac:dyDescent="0.2">
      <c r="A1923" s="10" t="s">
        <v>1922</v>
      </c>
      <c r="B1923" s="12">
        <v>14.37</v>
      </c>
      <c r="C1923" s="11">
        <v>0</v>
      </c>
      <c r="D1923" s="11">
        <v>0.62368996305258995</v>
      </c>
    </row>
    <row r="1924" spans="1:4" x14ac:dyDescent="0.2">
      <c r="A1924" s="10" t="s">
        <v>1923</v>
      </c>
      <c r="B1924" s="12">
        <v>15.5</v>
      </c>
      <c r="C1924" s="11">
        <v>0.49499203416872217</v>
      </c>
      <c r="D1924" s="11">
        <v>0</v>
      </c>
    </row>
    <row r="1925" spans="1:4" x14ac:dyDescent="0.2">
      <c r="A1925" s="10" t="s">
        <v>1924</v>
      </c>
      <c r="B1925" s="12">
        <v>12</v>
      </c>
      <c r="C1925" s="11">
        <v>0</v>
      </c>
      <c r="D1925" s="11">
        <v>2.969952205012333</v>
      </c>
    </row>
    <row r="1926" spans="1:4" x14ac:dyDescent="0.2">
      <c r="A1926" s="10" t="s">
        <v>1925</v>
      </c>
      <c r="B1926" s="12">
        <v>14.58</v>
      </c>
      <c r="C1926" s="11">
        <v>0</v>
      </c>
      <c r="D1926" s="11">
        <v>0.41579330870172659</v>
      </c>
    </row>
    <row r="1927" spans="1:4" x14ac:dyDescent="0.2">
      <c r="A1927" s="10" t="s">
        <v>1926</v>
      </c>
      <c r="B1927" s="12">
        <v>16.86</v>
      </c>
      <c r="C1927" s="11">
        <v>1.8413703671076467</v>
      </c>
      <c r="D1927" s="11">
        <v>0</v>
      </c>
    </row>
    <row r="1928" spans="1:4" x14ac:dyDescent="0.2">
      <c r="A1928" s="10" t="s">
        <v>1927</v>
      </c>
      <c r="B1928" s="12">
        <v>12.65</v>
      </c>
      <c r="C1928" s="11">
        <v>0</v>
      </c>
      <c r="D1928" s="11">
        <v>2.3264625605929945</v>
      </c>
    </row>
    <row r="1929" spans="1:4" x14ac:dyDescent="0.2">
      <c r="A1929" s="10" t="s">
        <v>1928</v>
      </c>
      <c r="B1929" s="12">
        <v>11.35</v>
      </c>
      <c r="C1929" s="11">
        <v>0</v>
      </c>
      <c r="D1929" s="11">
        <v>3.6134418494316716</v>
      </c>
    </row>
    <row r="1930" spans="1:4" x14ac:dyDescent="0.2">
      <c r="A1930" s="10" t="s">
        <v>1929</v>
      </c>
      <c r="B1930" s="12">
        <v>13.42</v>
      </c>
      <c r="C1930" s="11">
        <v>0</v>
      </c>
      <c r="D1930" s="11">
        <v>1.5641748279731622</v>
      </c>
    </row>
    <row r="1931" spans="1:4" x14ac:dyDescent="0.2">
      <c r="A1931" s="10" t="s">
        <v>1930</v>
      </c>
      <c r="B1931" s="12">
        <v>11.73</v>
      </c>
      <c r="C1931" s="11">
        <v>0</v>
      </c>
      <c r="D1931" s="11">
        <v>3.2372479034634432</v>
      </c>
    </row>
    <row r="1932" spans="1:4" x14ac:dyDescent="0.2">
      <c r="A1932" s="10" t="s">
        <v>1931</v>
      </c>
      <c r="B1932" s="12">
        <v>15</v>
      </c>
      <c r="C1932" s="11">
        <v>0</v>
      </c>
      <c r="D1932" s="11">
        <v>0</v>
      </c>
    </row>
    <row r="1933" spans="1:4" x14ac:dyDescent="0.2">
      <c r="A1933" s="10" t="s">
        <v>1932</v>
      </c>
      <c r="B1933" s="12">
        <v>13.61</v>
      </c>
      <c r="C1933" s="11">
        <v>0</v>
      </c>
      <c r="D1933" s="11">
        <v>1.3760778549890476</v>
      </c>
    </row>
    <row r="1934" spans="1:4" x14ac:dyDescent="0.2">
      <c r="A1934" s="10" t="s">
        <v>1933</v>
      </c>
      <c r="B1934" s="12">
        <v>13.64</v>
      </c>
      <c r="C1934" s="11">
        <v>0</v>
      </c>
      <c r="D1934" s="11">
        <v>1.3463783329389245</v>
      </c>
    </row>
    <row r="1935" spans="1:4" x14ac:dyDescent="0.2">
      <c r="A1935" s="10" t="s">
        <v>1934</v>
      </c>
      <c r="B1935" s="12">
        <v>15.54</v>
      </c>
      <c r="C1935" s="11">
        <v>0.53459139690222002</v>
      </c>
      <c r="D1935" s="11">
        <v>0</v>
      </c>
    </row>
    <row r="1936" spans="1:4" x14ac:dyDescent="0.2">
      <c r="A1936" s="10" t="s">
        <v>1935</v>
      </c>
      <c r="B1936" s="12">
        <v>13.88</v>
      </c>
      <c r="C1936" s="11">
        <v>0</v>
      </c>
      <c r="D1936" s="11">
        <v>1.1087821565379379</v>
      </c>
    </row>
    <row r="1937" spans="1:4" x14ac:dyDescent="0.2">
      <c r="A1937" s="10" t="s">
        <v>1936</v>
      </c>
      <c r="B1937" s="12">
        <v>14.89</v>
      </c>
      <c r="C1937" s="11">
        <v>0</v>
      </c>
      <c r="D1937" s="11">
        <v>0.10889824751711888</v>
      </c>
    </row>
    <row r="1938" spans="1:4" x14ac:dyDescent="0.2">
      <c r="A1938" s="10" t="s">
        <v>1937</v>
      </c>
      <c r="B1938" s="12">
        <v>13.68</v>
      </c>
      <c r="C1938" s="11">
        <v>0</v>
      </c>
      <c r="D1938" s="11">
        <v>1.3067789702054267</v>
      </c>
    </row>
    <row r="1939" spans="1:4" x14ac:dyDescent="0.2">
      <c r="A1939" s="10" t="s">
        <v>1938</v>
      </c>
      <c r="B1939" s="12">
        <v>15.69</v>
      </c>
      <c r="C1939" s="11">
        <v>0.68308900715283649</v>
      </c>
      <c r="D1939" s="11">
        <v>0</v>
      </c>
    </row>
    <row r="1940" spans="1:4" x14ac:dyDescent="0.2">
      <c r="A1940" s="10" t="s">
        <v>1939</v>
      </c>
      <c r="B1940" s="12">
        <v>15.96</v>
      </c>
      <c r="C1940" s="11">
        <v>0.9503847056039465</v>
      </c>
      <c r="D1940" s="11">
        <v>0</v>
      </c>
    </row>
    <row r="1941" spans="1:4" x14ac:dyDescent="0.2">
      <c r="A1941" s="10" t="s">
        <v>1940</v>
      </c>
      <c r="B1941" s="12">
        <v>14.84</v>
      </c>
      <c r="C1941" s="11">
        <v>0</v>
      </c>
      <c r="D1941" s="11">
        <v>0.1583974509339911</v>
      </c>
    </row>
    <row r="1942" spans="1:4" x14ac:dyDescent="0.2">
      <c r="A1942" s="10" t="s">
        <v>1941</v>
      </c>
      <c r="B1942" s="12">
        <v>15.8</v>
      </c>
      <c r="C1942" s="11">
        <v>0.79198725466995556</v>
      </c>
      <c r="D1942" s="11">
        <v>0</v>
      </c>
    </row>
    <row r="1943" spans="1:4" x14ac:dyDescent="0.2">
      <c r="A1943" s="10" t="s">
        <v>1942</v>
      </c>
      <c r="B1943" s="12">
        <v>13.62</v>
      </c>
      <c r="C1943" s="11">
        <v>0</v>
      </c>
      <c r="D1943" s="11">
        <v>1.366178014305673</v>
      </c>
    </row>
    <row r="1944" spans="1:4" x14ac:dyDescent="0.2">
      <c r="A1944" s="10" t="s">
        <v>1943</v>
      </c>
      <c r="B1944" s="12">
        <v>13.8</v>
      </c>
      <c r="C1944" s="11">
        <v>0</v>
      </c>
      <c r="D1944" s="11">
        <v>1.1879808820049331</v>
      </c>
    </row>
    <row r="1945" spans="1:4" x14ac:dyDescent="0.2">
      <c r="A1945" s="10" t="s">
        <v>1944</v>
      </c>
      <c r="B1945" s="12">
        <v>13.83</v>
      </c>
      <c r="C1945" s="11">
        <v>0</v>
      </c>
      <c r="D1945" s="11">
        <v>1.1582813599548099</v>
      </c>
    </row>
    <row r="1946" spans="1:4" x14ac:dyDescent="0.2">
      <c r="A1946" s="10" t="s">
        <v>1945</v>
      </c>
      <c r="B1946" s="12">
        <v>16.52</v>
      </c>
      <c r="C1946" s="11">
        <v>1.5047757838729154</v>
      </c>
      <c r="D1946" s="11">
        <v>0</v>
      </c>
    </row>
    <row r="1947" spans="1:4" x14ac:dyDescent="0.2">
      <c r="A1947" s="10" t="s">
        <v>1946</v>
      </c>
      <c r="B1947" s="12">
        <v>15.2</v>
      </c>
      <c r="C1947" s="11">
        <v>0.19799681366748889</v>
      </c>
      <c r="D1947" s="11">
        <v>0</v>
      </c>
    </row>
    <row r="1948" spans="1:4" x14ac:dyDescent="0.2">
      <c r="A1948" s="10" t="s">
        <v>1947</v>
      </c>
      <c r="B1948" s="12">
        <v>12.66</v>
      </c>
      <c r="C1948" s="11">
        <v>0</v>
      </c>
      <c r="D1948" s="11">
        <v>2.3165627199096197</v>
      </c>
    </row>
    <row r="1949" spans="1:4" x14ac:dyDescent="0.2">
      <c r="A1949" s="10" t="s">
        <v>1948</v>
      </c>
      <c r="B1949" s="12">
        <v>16.97</v>
      </c>
      <c r="C1949" s="11">
        <v>1.9502686146247654</v>
      </c>
      <c r="D1949" s="11">
        <v>0</v>
      </c>
    </row>
    <row r="1950" spans="1:4" x14ac:dyDescent="0.2">
      <c r="A1950" s="10" t="s">
        <v>1949</v>
      </c>
      <c r="B1950" s="12">
        <v>12.64</v>
      </c>
      <c r="C1950" s="11">
        <v>0</v>
      </c>
      <c r="D1950" s="11">
        <v>2.3363624012763684</v>
      </c>
    </row>
    <row r="1951" spans="1:4" x14ac:dyDescent="0.2">
      <c r="A1951" s="10" t="s">
        <v>1950</v>
      </c>
      <c r="B1951" s="12">
        <v>13.39</v>
      </c>
      <c r="C1951" s="11">
        <v>0</v>
      </c>
      <c r="D1951" s="11">
        <v>1.5938743500232855</v>
      </c>
    </row>
    <row r="1952" spans="1:4" x14ac:dyDescent="0.2">
      <c r="A1952" s="10" t="s">
        <v>1951</v>
      </c>
      <c r="B1952" s="12">
        <v>13.21</v>
      </c>
      <c r="C1952" s="11">
        <v>0</v>
      </c>
      <c r="D1952" s="11">
        <v>1.7720714823240253</v>
      </c>
    </row>
    <row r="1953" spans="1:4" x14ac:dyDescent="0.2">
      <c r="A1953" s="10" t="s">
        <v>1952</v>
      </c>
      <c r="B1953" s="12">
        <v>14.23</v>
      </c>
      <c r="C1953" s="11">
        <v>0</v>
      </c>
      <c r="D1953" s="11">
        <v>0.76228773261983218</v>
      </c>
    </row>
    <row r="1954" spans="1:4" x14ac:dyDescent="0.2">
      <c r="A1954" s="10" t="s">
        <v>1953</v>
      </c>
      <c r="B1954" s="12">
        <v>14.49</v>
      </c>
      <c r="C1954" s="11">
        <v>0</v>
      </c>
      <c r="D1954" s="11">
        <v>0.50489187485209663</v>
      </c>
    </row>
    <row r="1955" spans="1:4" x14ac:dyDescent="0.2">
      <c r="A1955" s="10" t="s">
        <v>1954</v>
      </c>
      <c r="B1955" s="12">
        <v>13.13</v>
      </c>
      <c r="C1955" s="11">
        <v>0</v>
      </c>
      <c r="D1955" s="11">
        <v>1.851270207791021</v>
      </c>
    </row>
    <row r="1956" spans="1:4" x14ac:dyDescent="0.2">
      <c r="A1956" s="10" t="s">
        <v>1955</v>
      </c>
      <c r="B1956" s="12">
        <v>12.78</v>
      </c>
      <c r="C1956" s="11">
        <v>0</v>
      </c>
      <c r="D1956" s="11">
        <v>2.1977646317091266</v>
      </c>
    </row>
    <row r="1957" spans="1:4" x14ac:dyDescent="0.2">
      <c r="A1957" s="10" t="s">
        <v>1956</v>
      </c>
      <c r="B1957" s="12">
        <v>14.76</v>
      </c>
      <c r="C1957" s="11">
        <v>0</v>
      </c>
      <c r="D1957" s="11">
        <v>0.23759617640098663</v>
      </c>
    </row>
    <row r="1958" spans="1:4" x14ac:dyDescent="0.2">
      <c r="A1958" s="10" t="s">
        <v>1957</v>
      </c>
      <c r="B1958" s="12">
        <v>14.44</v>
      </c>
      <c r="C1958" s="11">
        <v>0</v>
      </c>
      <c r="D1958" s="11">
        <v>0.55439107826896894</v>
      </c>
    </row>
    <row r="1959" spans="1:4" x14ac:dyDescent="0.2">
      <c r="A1959" s="10" t="s">
        <v>1958</v>
      </c>
      <c r="B1959" s="12">
        <v>13.99</v>
      </c>
      <c r="C1959" s="11">
        <v>0</v>
      </c>
      <c r="D1959" s="11">
        <v>0.99988390902081881</v>
      </c>
    </row>
    <row r="1960" spans="1:4" x14ac:dyDescent="0.2">
      <c r="A1960" s="10" t="s">
        <v>1959</v>
      </c>
      <c r="B1960" s="12">
        <v>13.27</v>
      </c>
      <c r="C1960" s="11">
        <v>0</v>
      </c>
      <c r="D1960" s="11">
        <v>1.7126724382237788</v>
      </c>
    </row>
    <row r="1961" spans="1:4" x14ac:dyDescent="0.2">
      <c r="A1961" s="10" t="s">
        <v>1960</v>
      </c>
      <c r="B1961" s="12">
        <v>14.96</v>
      </c>
      <c r="C1961" s="11">
        <v>0</v>
      </c>
      <c r="D1961" s="11">
        <v>3.9599362733497775E-2</v>
      </c>
    </row>
    <row r="1962" spans="1:4" x14ac:dyDescent="0.2">
      <c r="A1962" s="10" t="s">
        <v>1961</v>
      </c>
      <c r="B1962" s="12">
        <v>14.74</v>
      </c>
      <c r="C1962" s="11">
        <v>0</v>
      </c>
      <c r="D1962" s="11">
        <v>0.25739585776773555</v>
      </c>
    </row>
    <row r="1963" spans="1:4" x14ac:dyDescent="0.2">
      <c r="A1963" s="10" t="s">
        <v>1962</v>
      </c>
      <c r="B1963" s="12">
        <v>13.27</v>
      </c>
      <c r="C1963" s="11">
        <v>0</v>
      </c>
      <c r="D1963" s="11">
        <v>1.7126724382237788</v>
      </c>
    </row>
    <row r="1964" spans="1:4" x14ac:dyDescent="0.2">
      <c r="A1964" s="10" t="s">
        <v>1963</v>
      </c>
      <c r="B1964" s="12">
        <v>14.4</v>
      </c>
      <c r="C1964" s="11">
        <v>0</v>
      </c>
      <c r="D1964" s="11">
        <v>0.59399044100246656</v>
      </c>
    </row>
    <row r="1965" spans="1:4" x14ac:dyDescent="0.2">
      <c r="A1965" s="10" t="s">
        <v>1964</v>
      </c>
      <c r="B1965" s="12">
        <v>13.43</v>
      </c>
      <c r="C1965" s="11">
        <v>0</v>
      </c>
      <c r="D1965" s="11">
        <v>1.5542749872897876</v>
      </c>
    </row>
    <row r="1966" spans="1:4" x14ac:dyDescent="0.2">
      <c r="A1966" s="10" t="s">
        <v>1965</v>
      </c>
      <c r="B1966" s="12">
        <v>15.4</v>
      </c>
      <c r="C1966" s="11">
        <v>0.39599362733497778</v>
      </c>
      <c r="D1966" s="11">
        <v>0</v>
      </c>
    </row>
    <row r="1967" spans="1:4" x14ac:dyDescent="0.2">
      <c r="A1967" s="10" t="s">
        <v>1966</v>
      </c>
      <c r="B1967" s="12">
        <v>14.06</v>
      </c>
      <c r="C1967" s="11">
        <v>0</v>
      </c>
      <c r="D1967" s="11">
        <v>0.93058502423719758</v>
      </c>
    </row>
    <row r="1968" spans="1:4" x14ac:dyDescent="0.2">
      <c r="A1968" s="10" t="s">
        <v>1967</v>
      </c>
      <c r="B1968" s="12">
        <v>13.22</v>
      </c>
      <c r="C1968" s="11">
        <v>0</v>
      </c>
      <c r="D1968" s="11">
        <v>1.762171641640651</v>
      </c>
    </row>
    <row r="1969" spans="1:4" x14ac:dyDescent="0.2">
      <c r="A1969" s="10" t="s">
        <v>1968</v>
      </c>
      <c r="B1969" s="12">
        <v>12.43</v>
      </c>
      <c r="C1969" s="11">
        <v>0</v>
      </c>
      <c r="D1969" s="11">
        <v>2.544259055627232</v>
      </c>
    </row>
    <row r="1970" spans="1:4" x14ac:dyDescent="0.2">
      <c r="A1970" s="10" t="s">
        <v>1969</v>
      </c>
      <c r="B1970" s="12">
        <v>12.87</v>
      </c>
      <c r="C1970" s="11">
        <v>0</v>
      </c>
      <c r="D1970" s="11">
        <v>2.1086660655587561</v>
      </c>
    </row>
    <row r="1971" spans="1:4" x14ac:dyDescent="0.2">
      <c r="A1971" s="10" t="s">
        <v>1970</v>
      </c>
      <c r="B1971" s="12">
        <v>16.190000000000001</v>
      </c>
      <c r="C1971" s="11">
        <v>1.1780810413215588</v>
      </c>
      <c r="D1971" s="11">
        <v>0</v>
      </c>
    </row>
    <row r="1972" spans="1:4" x14ac:dyDescent="0.2">
      <c r="A1972" s="10" t="s">
        <v>1971</v>
      </c>
      <c r="B1972" s="12">
        <v>14.58</v>
      </c>
      <c r="C1972" s="11">
        <v>0</v>
      </c>
      <c r="D1972" s="11">
        <v>0.41579330870172659</v>
      </c>
    </row>
    <row r="1973" spans="1:4" x14ac:dyDescent="0.2">
      <c r="A1973" s="10" t="s">
        <v>1972</v>
      </c>
      <c r="B1973" s="12">
        <v>15.04</v>
      </c>
      <c r="C1973" s="11">
        <v>3.9599362733497775E-2</v>
      </c>
      <c r="D1973" s="11">
        <v>0</v>
      </c>
    </row>
    <row r="1974" spans="1:4" x14ac:dyDescent="0.2">
      <c r="A1974" s="10" t="s">
        <v>1973</v>
      </c>
      <c r="B1974" s="12">
        <v>14.29</v>
      </c>
      <c r="C1974" s="11">
        <v>0</v>
      </c>
      <c r="D1974" s="11">
        <v>0.70288868851958541</v>
      </c>
    </row>
    <row r="1975" spans="1:4" x14ac:dyDescent="0.2">
      <c r="A1975" s="10" t="s">
        <v>1974</v>
      </c>
      <c r="B1975" s="12">
        <v>13.41</v>
      </c>
      <c r="C1975" s="11">
        <v>0</v>
      </c>
      <c r="D1975" s="11">
        <v>1.5740746686565366</v>
      </c>
    </row>
    <row r="1976" spans="1:4" x14ac:dyDescent="0.2">
      <c r="A1976" s="10" t="s">
        <v>1975</v>
      </c>
      <c r="B1976" s="12">
        <v>15.16</v>
      </c>
      <c r="C1976" s="11">
        <v>0.1583974509339911</v>
      </c>
      <c r="D1976" s="11">
        <v>0</v>
      </c>
    </row>
    <row r="1977" spans="1:4" x14ac:dyDescent="0.2">
      <c r="A1977" s="10" t="s">
        <v>1976</v>
      </c>
      <c r="B1977" s="12">
        <v>13.03</v>
      </c>
      <c r="C1977" s="11">
        <v>0</v>
      </c>
      <c r="D1977" s="11">
        <v>1.9502686146247654</v>
      </c>
    </row>
    <row r="1978" spans="1:4" x14ac:dyDescent="0.2">
      <c r="A1978" s="10" t="s">
        <v>1977</v>
      </c>
      <c r="B1978" s="12">
        <v>11.87</v>
      </c>
      <c r="C1978" s="11">
        <v>0</v>
      </c>
      <c r="D1978" s="11">
        <v>3.0986501338962005</v>
      </c>
    </row>
    <row r="1979" spans="1:4" x14ac:dyDescent="0.2">
      <c r="A1979" s="10" t="s">
        <v>1978</v>
      </c>
      <c r="B1979" s="12">
        <v>12.14</v>
      </c>
      <c r="C1979" s="11">
        <v>0</v>
      </c>
      <c r="D1979" s="11">
        <v>2.8313544354450908</v>
      </c>
    </row>
    <row r="1980" spans="1:4" x14ac:dyDescent="0.2">
      <c r="A1980" s="10" t="s">
        <v>1979</v>
      </c>
      <c r="B1980" s="12">
        <v>12.68</v>
      </c>
      <c r="C1980" s="11">
        <v>0</v>
      </c>
      <c r="D1980" s="11">
        <v>2.2967630385428706</v>
      </c>
    </row>
    <row r="1981" spans="1:4" x14ac:dyDescent="0.2">
      <c r="A1981" s="10" t="s">
        <v>1980</v>
      </c>
      <c r="B1981" s="12">
        <v>13.87</v>
      </c>
      <c r="C1981" s="11">
        <v>0</v>
      </c>
      <c r="D1981" s="11">
        <v>1.118681997221312</v>
      </c>
    </row>
    <row r="1982" spans="1:4" x14ac:dyDescent="0.2">
      <c r="A1982" s="10" t="s">
        <v>1981</v>
      </c>
      <c r="B1982" s="12">
        <v>15.05</v>
      </c>
      <c r="C1982" s="11">
        <v>4.9499203416872223E-2</v>
      </c>
      <c r="D1982" s="11">
        <v>0</v>
      </c>
    </row>
    <row r="1983" spans="1:4" x14ac:dyDescent="0.2">
      <c r="A1983" s="10" t="s">
        <v>1982</v>
      </c>
      <c r="B1983" s="12">
        <v>13.56</v>
      </c>
      <c r="C1983" s="11">
        <v>0</v>
      </c>
      <c r="D1983" s="11">
        <v>1.4255770584059198</v>
      </c>
    </row>
    <row r="1984" spans="1:4" x14ac:dyDescent="0.2">
      <c r="A1984" s="10" t="s">
        <v>1983</v>
      </c>
      <c r="B1984" s="12">
        <v>14.93</v>
      </c>
      <c r="C1984" s="11">
        <v>0</v>
      </c>
      <c r="D1984" s="11">
        <v>6.9298884783621117E-2</v>
      </c>
    </row>
    <row r="1985" spans="1:4" x14ac:dyDescent="0.2">
      <c r="A1985" s="10" t="s">
        <v>1984</v>
      </c>
      <c r="B1985" s="12">
        <v>13.36</v>
      </c>
      <c r="C1985" s="11">
        <v>0</v>
      </c>
      <c r="D1985" s="11">
        <v>1.6235738720734085</v>
      </c>
    </row>
    <row r="1986" spans="1:4" x14ac:dyDescent="0.2">
      <c r="A1986" s="10" t="s">
        <v>1985</v>
      </c>
      <c r="B1986" s="12">
        <v>15.11</v>
      </c>
      <c r="C1986" s="11">
        <v>0.10889824751711888</v>
      </c>
      <c r="D1986" s="11">
        <v>0</v>
      </c>
    </row>
    <row r="1987" spans="1:4" x14ac:dyDescent="0.2">
      <c r="A1987" s="10" t="s">
        <v>1986</v>
      </c>
      <c r="B1987" s="12">
        <v>15.04</v>
      </c>
      <c r="C1987" s="11">
        <v>3.9599362733497775E-2</v>
      </c>
      <c r="D1987" s="11">
        <v>0</v>
      </c>
    </row>
    <row r="1988" spans="1:4" x14ac:dyDescent="0.2">
      <c r="A1988" s="10" t="s">
        <v>1987</v>
      </c>
      <c r="B1988" s="12">
        <v>13.19</v>
      </c>
      <c r="C1988" s="11">
        <v>0</v>
      </c>
      <c r="D1988" s="11">
        <v>1.7918711636907743</v>
      </c>
    </row>
    <row r="1989" spans="1:4" x14ac:dyDescent="0.2">
      <c r="A1989" s="10" t="s">
        <v>1988</v>
      </c>
      <c r="B1989" s="12">
        <v>13.07</v>
      </c>
      <c r="C1989" s="11">
        <v>0</v>
      </c>
      <c r="D1989" s="11">
        <v>1.9106692518912676</v>
      </c>
    </row>
    <row r="1990" spans="1:4" x14ac:dyDescent="0.2">
      <c r="A1990" s="10" t="s">
        <v>1989</v>
      </c>
      <c r="B1990" s="12">
        <v>13.61</v>
      </c>
      <c r="C1990" s="11">
        <v>0</v>
      </c>
      <c r="D1990" s="11">
        <v>1.3760778549890476</v>
      </c>
    </row>
    <row r="1991" spans="1:4" x14ac:dyDescent="0.2">
      <c r="A1991" s="10" t="s">
        <v>1990</v>
      </c>
      <c r="B1991" s="12">
        <v>13.55</v>
      </c>
      <c r="C1991" s="11">
        <v>0</v>
      </c>
      <c r="D1991" s="11">
        <v>1.4354768990892943</v>
      </c>
    </row>
    <row r="1992" spans="1:4" x14ac:dyDescent="0.2">
      <c r="A1992" s="10" t="s">
        <v>1991</v>
      </c>
      <c r="B1992" s="12">
        <v>14.44</v>
      </c>
      <c r="C1992" s="11">
        <v>0</v>
      </c>
      <c r="D1992" s="11">
        <v>0.55439107826896894</v>
      </c>
    </row>
    <row r="1993" spans="1:4" x14ac:dyDescent="0.2">
      <c r="A1993" s="10" t="s">
        <v>1992</v>
      </c>
      <c r="B1993" s="12">
        <v>14.52</v>
      </c>
      <c r="C1993" s="11">
        <v>0</v>
      </c>
      <c r="D1993" s="11">
        <v>0.47519235280197325</v>
      </c>
    </row>
    <row r="1994" spans="1:4" x14ac:dyDescent="0.2">
      <c r="A1994" s="10" t="s">
        <v>1993</v>
      </c>
      <c r="B1994" s="12">
        <v>12.61</v>
      </c>
      <c r="C1994" s="11">
        <v>0</v>
      </c>
      <c r="D1994" s="11">
        <v>2.3660619233264919</v>
      </c>
    </row>
    <row r="1995" spans="1:4" x14ac:dyDescent="0.2">
      <c r="A1995" s="10" t="s">
        <v>1994</v>
      </c>
      <c r="B1995" s="12">
        <v>15.81</v>
      </c>
      <c r="C1995" s="11">
        <v>0.80188709535333003</v>
      </c>
      <c r="D1995" s="11">
        <v>0</v>
      </c>
    </row>
    <row r="1996" spans="1:4" x14ac:dyDescent="0.2">
      <c r="A1996" s="10" t="s">
        <v>1995</v>
      </c>
      <c r="B1996" s="12">
        <v>14.74</v>
      </c>
      <c r="C1996" s="11">
        <v>0</v>
      </c>
      <c r="D1996" s="11">
        <v>0.25739585776773555</v>
      </c>
    </row>
    <row r="1997" spans="1:4" x14ac:dyDescent="0.2">
      <c r="A1997" s="10" t="s">
        <v>1996</v>
      </c>
      <c r="B1997" s="12">
        <v>17.07</v>
      </c>
      <c r="C1997" s="11">
        <v>2.0492670214585096</v>
      </c>
      <c r="D1997" s="11">
        <v>0</v>
      </c>
    </row>
    <row r="1998" spans="1:4" x14ac:dyDescent="0.2">
      <c r="A1998" s="10" t="s">
        <v>1997</v>
      </c>
      <c r="B1998" s="12">
        <v>14.67</v>
      </c>
      <c r="C1998" s="11">
        <v>0</v>
      </c>
      <c r="D1998" s="11">
        <v>0.32669474255135666</v>
      </c>
    </row>
    <row r="1999" spans="1:4" x14ac:dyDescent="0.2">
      <c r="A1999" s="10" t="s">
        <v>1998</v>
      </c>
      <c r="B1999" s="12">
        <v>15.45</v>
      </c>
      <c r="C1999" s="11">
        <v>0.44549283075184998</v>
      </c>
      <c r="D1999" s="11">
        <v>0</v>
      </c>
    </row>
    <row r="2000" spans="1:4" x14ac:dyDescent="0.2">
      <c r="A2000" s="10" t="s">
        <v>1999</v>
      </c>
      <c r="B2000" s="12">
        <v>14.45</v>
      </c>
      <c r="C2000" s="11">
        <v>0</v>
      </c>
      <c r="D2000" s="11">
        <v>0.54449123758559448</v>
      </c>
    </row>
    <row r="2001" spans="1:4" x14ac:dyDescent="0.2">
      <c r="A2001" s="10" t="s">
        <v>2000</v>
      </c>
      <c r="B2001" s="12">
        <v>13.59</v>
      </c>
      <c r="C2001" s="11">
        <v>0</v>
      </c>
      <c r="D2001" s="11">
        <v>1.3958775363557965</v>
      </c>
    </row>
    <row r="2002" spans="1:4" x14ac:dyDescent="0.2">
      <c r="A2002" s="10" t="s">
        <v>2001</v>
      </c>
      <c r="B2002" s="12">
        <v>14.94</v>
      </c>
      <c r="C2002" s="11">
        <v>0</v>
      </c>
      <c r="D2002" s="11">
        <v>5.9399044100246656E-2</v>
      </c>
    </row>
    <row r="2003" spans="1:4" x14ac:dyDescent="0.2">
      <c r="A2003" s="10" t="s">
        <v>2002</v>
      </c>
      <c r="B2003" s="12">
        <v>15.78</v>
      </c>
      <c r="C2003" s="11">
        <v>0.77218757330320664</v>
      </c>
      <c r="D2003" s="11">
        <v>0</v>
      </c>
    </row>
    <row r="2004" spans="1:4" x14ac:dyDescent="0.2">
      <c r="A2004" s="10" t="s">
        <v>2003</v>
      </c>
      <c r="B2004" s="12">
        <v>13.99</v>
      </c>
      <c r="C2004" s="11">
        <v>0</v>
      </c>
      <c r="D2004" s="11">
        <v>0.99988390902081881</v>
      </c>
    </row>
    <row r="2005" spans="1:4" x14ac:dyDescent="0.2">
      <c r="A2005" s="10" t="s">
        <v>2004</v>
      </c>
      <c r="B2005" s="12">
        <v>14.41</v>
      </c>
      <c r="C2005" s="11">
        <v>0</v>
      </c>
      <c r="D2005" s="11">
        <v>0.5840906003190921</v>
      </c>
    </row>
    <row r="2006" spans="1:4" x14ac:dyDescent="0.2">
      <c r="A2006" s="10" t="s">
        <v>2005</v>
      </c>
      <c r="B2006" s="12">
        <v>15</v>
      </c>
      <c r="C2006" s="11">
        <v>0</v>
      </c>
      <c r="D2006" s="11">
        <v>0</v>
      </c>
    </row>
    <row r="2007" spans="1:4" x14ac:dyDescent="0.2">
      <c r="A2007" s="10" t="s">
        <v>2006</v>
      </c>
      <c r="B2007" s="12">
        <v>14.19</v>
      </c>
      <c r="C2007" s="11">
        <v>0</v>
      </c>
      <c r="D2007" s="11">
        <v>0.80188709535333003</v>
      </c>
    </row>
    <row r="2008" spans="1:4" x14ac:dyDescent="0.2">
      <c r="A2008" s="10" t="s">
        <v>2007</v>
      </c>
      <c r="B2008" s="12">
        <v>13.85</v>
      </c>
      <c r="C2008" s="11">
        <v>0</v>
      </c>
      <c r="D2008" s="11">
        <v>1.1384816785880609</v>
      </c>
    </row>
    <row r="2009" spans="1:4" x14ac:dyDescent="0.2">
      <c r="A2009" s="10" t="s">
        <v>2008</v>
      </c>
      <c r="B2009" s="12">
        <v>13.16</v>
      </c>
      <c r="C2009" s="11">
        <v>0</v>
      </c>
      <c r="D2009" s="11">
        <v>1.8215706857408978</v>
      </c>
    </row>
    <row r="2010" spans="1:4" x14ac:dyDescent="0.2">
      <c r="A2010" s="10" t="s">
        <v>2009</v>
      </c>
      <c r="B2010" s="12">
        <v>14.25</v>
      </c>
      <c r="C2010" s="11">
        <v>0</v>
      </c>
      <c r="D2010" s="11">
        <v>0.74248805125308326</v>
      </c>
    </row>
    <row r="2011" spans="1:4" x14ac:dyDescent="0.2">
      <c r="A2011" s="10" t="s">
        <v>2010</v>
      </c>
      <c r="B2011" s="12">
        <v>13.3</v>
      </c>
      <c r="C2011" s="11">
        <v>0</v>
      </c>
      <c r="D2011" s="11">
        <v>1.6829729161736553</v>
      </c>
    </row>
    <row r="2012" spans="1:4" x14ac:dyDescent="0.2">
      <c r="A2012" s="10" t="s">
        <v>2011</v>
      </c>
      <c r="B2012" s="12">
        <v>14.08</v>
      </c>
      <c r="C2012" s="11">
        <v>0</v>
      </c>
      <c r="D2012" s="11">
        <v>0.91078534287044888</v>
      </c>
    </row>
    <row r="2013" spans="1:4" x14ac:dyDescent="0.2">
      <c r="A2013" s="10" t="s">
        <v>2012</v>
      </c>
      <c r="B2013" s="12">
        <v>15.35</v>
      </c>
      <c r="C2013" s="11">
        <v>0.34649442391810548</v>
      </c>
      <c r="D2013" s="11">
        <v>0</v>
      </c>
    </row>
    <row r="2014" spans="1:4" x14ac:dyDescent="0.2">
      <c r="A2014" s="10" t="s">
        <v>2013</v>
      </c>
      <c r="B2014" s="12">
        <v>14.66</v>
      </c>
      <c r="C2014" s="11">
        <v>0</v>
      </c>
      <c r="D2014" s="11">
        <v>0.33659458323473113</v>
      </c>
    </row>
    <row r="2015" spans="1:4" x14ac:dyDescent="0.2">
      <c r="A2015" s="10" t="s">
        <v>2014</v>
      </c>
      <c r="B2015" s="12">
        <v>14.68</v>
      </c>
      <c r="C2015" s="11">
        <v>0</v>
      </c>
      <c r="D2015" s="11">
        <v>0.3167949018679822</v>
      </c>
    </row>
    <row r="2016" spans="1:4" x14ac:dyDescent="0.2">
      <c r="A2016" s="10" t="s">
        <v>2015</v>
      </c>
      <c r="B2016" s="12">
        <v>14.39</v>
      </c>
      <c r="C2016" s="11">
        <v>0</v>
      </c>
      <c r="D2016" s="11">
        <v>0.60389028168584102</v>
      </c>
    </row>
    <row r="2017" spans="1:4" x14ac:dyDescent="0.2">
      <c r="A2017" s="10" t="s">
        <v>2016</v>
      </c>
      <c r="B2017" s="12">
        <v>13.78</v>
      </c>
      <c r="C2017" s="11">
        <v>0</v>
      </c>
      <c r="D2017" s="11">
        <v>1.207780563371682</v>
      </c>
    </row>
    <row r="2018" spans="1:4" x14ac:dyDescent="0.2">
      <c r="A2018" s="10" t="s">
        <v>2017</v>
      </c>
      <c r="B2018" s="12">
        <v>13.36</v>
      </c>
      <c r="C2018" s="11">
        <v>0</v>
      </c>
      <c r="D2018" s="11">
        <v>1.6235738720734085</v>
      </c>
    </row>
    <row r="2019" spans="1:4" x14ac:dyDescent="0.2">
      <c r="A2019" s="10" t="s">
        <v>2018</v>
      </c>
      <c r="B2019" s="12">
        <v>14.05</v>
      </c>
      <c r="C2019" s="11">
        <v>0</v>
      </c>
      <c r="D2019" s="11">
        <v>0.94048486492057204</v>
      </c>
    </row>
    <row r="2020" spans="1:4" x14ac:dyDescent="0.2">
      <c r="A2020" s="10" t="s">
        <v>2019</v>
      </c>
      <c r="B2020" s="12">
        <v>13.12</v>
      </c>
      <c r="C2020" s="11">
        <v>0</v>
      </c>
      <c r="D2020" s="11">
        <v>1.8611700484743952</v>
      </c>
    </row>
    <row r="2021" spans="1:4" x14ac:dyDescent="0.2">
      <c r="A2021" s="10" t="s">
        <v>2020</v>
      </c>
      <c r="B2021" s="12">
        <v>15.18</v>
      </c>
      <c r="C2021" s="11">
        <v>0.17819713230073997</v>
      </c>
      <c r="D2021" s="11">
        <v>0</v>
      </c>
    </row>
    <row r="2022" spans="1:4" x14ac:dyDescent="0.2">
      <c r="A2022" s="10" t="s">
        <v>2021</v>
      </c>
      <c r="B2022" s="12">
        <v>15.9</v>
      </c>
      <c r="C2022" s="11">
        <v>0.89098566150369995</v>
      </c>
      <c r="D2022" s="11">
        <v>0</v>
      </c>
    </row>
    <row r="2023" spans="1:4" x14ac:dyDescent="0.2">
      <c r="A2023" s="10" t="s">
        <v>2022</v>
      </c>
      <c r="B2023" s="12">
        <v>13.99</v>
      </c>
      <c r="C2023" s="11">
        <v>0</v>
      </c>
      <c r="D2023" s="11">
        <v>0.99988390902081881</v>
      </c>
    </row>
    <row r="2024" spans="1:4" x14ac:dyDescent="0.2">
      <c r="A2024" s="10" t="s">
        <v>2023</v>
      </c>
      <c r="B2024" s="12">
        <v>13.13</v>
      </c>
      <c r="C2024" s="11">
        <v>0</v>
      </c>
      <c r="D2024" s="11">
        <v>1.851270207791021</v>
      </c>
    </row>
    <row r="2025" spans="1:4" x14ac:dyDescent="0.2">
      <c r="A2025" s="10" t="s">
        <v>2024</v>
      </c>
      <c r="B2025" s="12">
        <v>13.65</v>
      </c>
      <c r="C2025" s="11">
        <v>0</v>
      </c>
      <c r="D2025" s="11">
        <v>1.3463783329389245</v>
      </c>
    </row>
    <row r="2026" spans="1:4" x14ac:dyDescent="0.2">
      <c r="A2026" s="10" t="s">
        <v>2025</v>
      </c>
      <c r="B2026" s="12">
        <v>14.71</v>
      </c>
      <c r="C2026" s="11">
        <v>0</v>
      </c>
      <c r="D2026" s="11">
        <v>0.28709537981785882</v>
      </c>
    </row>
    <row r="2027" spans="1:4" x14ac:dyDescent="0.2">
      <c r="A2027" s="10" t="s">
        <v>2026</v>
      </c>
      <c r="B2027" s="12">
        <v>14.79</v>
      </c>
      <c r="C2027" s="11">
        <v>0</v>
      </c>
      <c r="D2027" s="11">
        <v>0.2078966543508633</v>
      </c>
    </row>
    <row r="2028" spans="1:4" x14ac:dyDescent="0.2">
      <c r="A2028" s="10" t="s">
        <v>2027</v>
      </c>
      <c r="B2028" s="12">
        <v>13.55</v>
      </c>
      <c r="C2028" s="11">
        <v>0</v>
      </c>
      <c r="D2028" s="11">
        <v>1.4354768990892943</v>
      </c>
    </row>
    <row r="2029" spans="1:4" x14ac:dyDescent="0.2">
      <c r="A2029" s="10" t="s">
        <v>2028</v>
      </c>
      <c r="B2029" s="12">
        <v>13.54</v>
      </c>
      <c r="C2029" s="11">
        <v>0</v>
      </c>
      <c r="D2029" s="11">
        <v>1.4453767397726687</v>
      </c>
    </row>
    <row r="2030" spans="1:4" x14ac:dyDescent="0.2">
      <c r="A2030" s="10" t="s">
        <v>2029</v>
      </c>
      <c r="B2030" s="12">
        <v>14.91</v>
      </c>
      <c r="C2030" s="11">
        <v>0</v>
      </c>
      <c r="D2030" s="11">
        <v>8.9098566150369984E-2</v>
      </c>
    </row>
    <row r="2031" spans="1:4" x14ac:dyDescent="0.2">
      <c r="A2031" s="10" t="s">
        <v>2030</v>
      </c>
      <c r="B2031" s="12">
        <v>12.77</v>
      </c>
      <c r="C2031" s="11">
        <v>0</v>
      </c>
      <c r="D2031" s="11">
        <v>2.207664472392501</v>
      </c>
    </row>
    <row r="2032" spans="1:4" x14ac:dyDescent="0.2">
      <c r="A2032" s="10" t="s">
        <v>2031</v>
      </c>
      <c r="B2032" s="12">
        <v>13.76</v>
      </c>
      <c r="C2032" s="11">
        <v>0</v>
      </c>
      <c r="D2032" s="11">
        <v>1.227580244738431</v>
      </c>
    </row>
    <row r="2033" spans="1:4" x14ac:dyDescent="0.2">
      <c r="A2033" s="10" t="s">
        <v>2032</v>
      </c>
      <c r="B2033" s="12">
        <v>14.39</v>
      </c>
      <c r="C2033" s="11">
        <v>0</v>
      </c>
      <c r="D2033" s="11">
        <v>0.60389028168584102</v>
      </c>
    </row>
    <row r="2034" spans="1:4" x14ac:dyDescent="0.2">
      <c r="A2034" s="10" t="s">
        <v>2033</v>
      </c>
      <c r="B2034" s="12">
        <v>13.24</v>
      </c>
      <c r="C2034" s="11">
        <v>0</v>
      </c>
      <c r="D2034" s="11">
        <v>1.7423719602739021</v>
      </c>
    </row>
    <row r="2035" spans="1:4" x14ac:dyDescent="0.2">
      <c r="A2035" s="10" t="s">
        <v>2034</v>
      </c>
      <c r="B2035" s="12">
        <v>15.43</v>
      </c>
      <c r="C2035" s="11">
        <v>0.42569314938510106</v>
      </c>
      <c r="D2035" s="11">
        <v>0</v>
      </c>
    </row>
    <row r="2036" spans="1:4" x14ac:dyDescent="0.2">
      <c r="A2036" s="10" t="s">
        <v>2035</v>
      </c>
      <c r="B2036" s="12">
        <v>15.67</v>
      </c>
      <c r="C2036" s="11">
        <v>0.66328932578608779</v>
      </c>
      <c r="D2036" s="11">
        <v>0</v>
      </c>
    </row>
    <row r="2037" spans="1:4" x14ac:dyDescent="0.2">
      <c r="A2037" s="10" t="s">
        <v>2036</v>
      </c>
      <c r="B2037" s="12">
        <v>15.71</v>
      </c>
      <c r="C2037" s="11">
        <v>0.70288868851958541</v>
      </c>
      <c r="D2037" s="11">
        <v>0</v>
      </c>
    </row>
    <row r="2038" spans="1:4" x14ac:dyDescent="0.2">
      <c r="A2038" s="10" t="s">
        <v>2037</v>
      </c>
      <c r="B2038" s="12">
        <v>16.72</v>
      </c>
      <c r="C2038" s="11">
        <v>1.7027725975404042</v>
      </c>
      <c r="D2038" s="11">
        <v>0</v>
      </c>
    </row>
    <row r="2039" spans="1:4" x14ac:dyDescent="0.2">
      <c r="A2039" s="10" t="s">
        <v>2038</v>
      </c>
      <c r="B2039" s="12">
        <v>13.41</v>
      </c>
      <c r="C2039" s="11">
        <v>0</v>
      </c>
      <c r="D2039" s="11">
        <v>1.5740746686565366</v>
      </c>
    </row>
    <row r="2040" spans="1:4" x14ac:dyDescent="0.2">
      <c r="A2040" s="10" t="s">
        <v>2039</v>
      </c>
      <c r="B2040" s="12">
        <v>11.62</v>
      </c>
      <c r="C2040" s="11">
        <v>0</v>
      </c>
      <c r="D2040" s="11">
        <v>3.3461461509805619</v>
      </c>
    </row>
    <row r="2041" spans="1:4" x14ac:dyDescent="0.2">
      <c r="A2041" s="10" t="s">
        <v>2040</v>
      </c>
      <c r="B2041" s="12">
        <v>16.420000000000002</v>
      </c>
      <c r="C2041" s="11">
        <v>1.4057773770391708</v>
      </c>
      <c r="D2041" s="11">
        <v>0</v>
      </c>
    </row>
    <row r="2042" spans="1:4" x14ac:dyDescent="0.2">
      <c r="A2042" s="10" t="s">
        <v>2041</v>
      </c>
      <c r="B2042" s="12">
        <v>14.21</v>
      </c>
      <c r="C2042" s="11">
        <v>0</v>
      </c>
      <c r="D2042" s="11">
        <v>0.7820874139865811</v>
      </c>
    </row>
    <row r="2043" spans="1:4" x14ac:dyDescent="0.2">
      <c r="A2043" s="10" t="s">
        <v>2042</v>
      </c>
      <c r="B2043" s="12">
        <v>14.18</v>
      </c>
      <c r="C2043" s="11">
        <v>0</v>
      </c>
      <c r="D2043" s="11">
        <v>0.81178693603670427</v>
      </c>
    </row>
    <row r="2044" spans="1:4" x14ac:dyDescent="0.2">
      <c r="A2044" s="10" t="s">
        <v>2043</v>
      </c>
      <c r="B2044" s="12">
        <v>14.84</v>
      </c>
      <c r="C2044" s="11">
        <v>0</v>
      </c>
      <c r="D2044" s="11">
        <v>0.1583974509339911</v>
      </c>
    </row>
    <row r="2045" spans="1:4" x14ac:dyDescent="0.2">
      <c r="A2045" s="10" t="s">
        <v>2044</v>
      </c>
      <c r="B2045" s="12">
        <v>12.27</v>
      </c>
      <c r="C2045" s="11">
        <v>0</v>
      </c>
      <c r="D2045" s="11">
        <v>2.7026565065612229</v>
      </c>
    </row>
    <row r="2046" spans="1:4" x14ac:dyDescent="0.2">
      <c r="A2046" s="10" t="s">
        <v>2045</v>
      </c>
      <c r="B2046" s="12">
        <v>14.33</v>
      </c>
      <c r="C2046" s="11">
        <v>0</v>
      </c>
      <c r="D2046" s="11">
        <v>0.66328932578608779</v>
      </c>
    </row>
    <row r="2047" spans="1:4" x14ac:dyDescent="0.2">
      <c r="A2047" s="10" t="s">
        <v>2046</v>
      </c>
      <c r="B2047" s="12">
        <v>14.89</v>
      </c>
      <c r="C2047" s="11">
        <v>0</v>
      </c>
      <c r="D2047" s="11">
        <v>0.10889824751711888</v>
      </c>
    </row>
    <row r="2048" spans="1:4" x14ac:dyDescent="0.2">
      <c r="A2048" s="10" t="s">
        <v>2047</v>
      </c>
      <c r="B2048" s="12">
        <v>14.17</v>
      </c>
      <c r="C2048" s="11">
        <v>0</v>
      </c>
      <c r="D2048" s="11">
        <v>0.82168677672007873</v>
      </c>
    </row>
    <row r="2049" spans="1:4" x14ac:dyDescent="0.2">
      <c r="A2049" s="10" t="s">
        <v>2048</v>
      </c>
      <c r="B2049" s="12">
        <v>11.87</v>
      </c>
      <c r="C2049" s="11">
        <v>0</v>
      </c>
      <c r="D2049" s="11">
        <v>3.0986501338962005</v>
      </c>
    </row>
    <row r="2050" spans="1:4" x14ac:dyDescent="0.2">
      <c r="A2050" s="10" t="s">
        <v>2049</v>
      </c>
      <c r="B2050" s="12">
        <v>14.64</v>
      </c>
      <c r="C2050" s="11">
        <v>0</v>
      </c>
      <c r="D2050" s="11">
        <v>0.35639426460147994</v>
      </c>
    </row>
    <row r="2051" spans="1:4" x14ac:dyDescent="0.2">
      <c r="A2051" s="10" t="s">
        <v>2050</v>
      </c>
      <c r="B2051" s="12">
        <v>15.53</v>
      </c>
      <c r="C2051" s="11">
        <v>0.52469155621884556</v>
      </c>
      <c r="D2051" s="11">
        <v>0</v>
      </c>
    </row>
    <row r="2052" spans="1:4" x14ac:dyDescent="0.2">
      <c r="A2052" s="10" t="s">
        <v>2051</v>
      </c>
      <c r="B2052" s="12">
        <v>14.92</v>
      </c>
      <c r="C2052" s="11">
        <v>0</v>
      </c>
      <c r="D2052" s="11">
        <v>7.9198725466995551E-2</v>
      </c>
    </row>
    <row r="2053" spans="1:4" x14ac:dyDescent="0.2">
      <c r="A2053" s="10" t="s">
        <v>2052</v>
      </c>
      <c r="B2053" s="12">
        <v>14.9</v>
      </c>
      <c r="C2053" s="11">
        <v>0</v>
      </c>
      <c r="D2053" s="11">
        <v>9.8998406833744446E-2</v>
      </c>
    </row>
    <row r="2054" spans="1:4" x14ac:dyDescent="0.2">
      <c r="A2054" s="10" t="s">
        <v>2053</v>
      </c>
      <c r="B2054" s="12">
        <v>13.2</v>
      </c>
      <c r="C2054" s="11">
        <v>0</v>
      </c>
      <c r="D2054" s="11">
        <v>1.7819713230073999</v>
      </c>
    </row>
    <row r="2055" spans="1:4" x14ac:dyDescent="0.2">
      <c r="A2055" s="10" t="s">
        <v>2054</v>
      </c>
      <c r="B2055" s="12">
        <v>13.1</v>
      </c>
      <c r="C2055" s="11">
        <v>0</v>
      </c>
      <c r="D2055" s="11">
        <v>1.8809697298411441</v>
      </c>
    </row>
    <row r="2056" spans="1:4" x14ac:dyDescent="0.2">
      <c r="A2056" s="10" t="s">
        <v>2055</v>
      </c>
      <c r="B2056" s="12">
        <v>14.89</v>
      </c>
      <c r="C2056" s="11">
        <v>0</v>
      </c>
      <c r="D2056" s="11">
        <v>0.10889824751711888</v>
      </c>
    </row>
    <row r="2057" spans="1:4" x14ac:dyDescent="0.2">
      <c r="A2057" s="10" t="s">
        <v>2056</v>
      </c>
      <c r="B2057" s="12">
        <v>13.34</v>
      </c>
      <c r="C2057" s="11">
        <v>0</v>
      </c>
      <c r="D2057" s="11">
        <v>1.6433735534401575</v>
      </c>
    </row>
    <row r="2058" spans="1:4" x14ac:dyDescent="0.2">
      <c r="A2058" s="10" t="s">
        <v>2057</v>
      </c>
      <c r="B2058" s="12">
        <v>14.2</v>
      </c>
      <c r="C2058" s="11">
        <v>0</v>
      </c>
      <c r="D2058" s="11">
        <v>0.79198725466995556</v>
      </c>
    </row>
    <row r="2059" spans="1:4" x14ac:dyDescent="0.2">
      <c r="A2059" s="10" t="s">
        <v>2058</v>
      </c>
      <c r="B2059" s="12">
        <v>11.61</v>
      </c>
      <c r="C2059" s="11">
        <v>0</v>
      </c>
      <c r="D2059" s="11">
        <v>3.3560459916639362</v>
      </c>
    </row>
    <row r="2060" spans="1:4" x14ac:dyDescent="0.2">
      <c r="A2060" s="10" t="s">
        <v>2059</v>
      </c>
      <c r="B2060" s="12">
        <v>15.12</v>
      </c>
      <c r="C2060" s="11">
        <v>0.11879808820049331</v>
      </c>
      <c r="D2060" s="11">
        <v>0</v>
      </c>
    </row>
    <row r="2061" spans="1:4" x14ac:dyDescent="0.2">
      <c r="A2061" s="10" t="s">
        <v>2060</v>
      </c>
      <c r="B2061" s="12">
        <v>13.22</v>
      </c>
      <c r="C2061" s="11">
        <v>0</v>
      </c>
      <c r="D2061" s="11">
        <v>1.762171641640651</v>
      </c>
    </row>
    <row r="2062" spans="1:4" x14ac:dyDescent="0.2">
      <c r="A2062" s="10" t="s">
        <v>2061</v>
      </c>
      <c r="B2062" s="12">
        <v>12.52</v>
      </c>
      <c r="C2062" s="11">
        <v>0</v>
      </c>
      <c r="D2062" s="11">
        <v>2.4551604894768619</v>
      </c>
    </row>
    <row r="2063" spans="1:4" x14ac:dyDescent="0.2">
      <c r="A2063" s="10" t="s">
        <v>2062</v>
      </c>
      <c r="B2063" s="12">
        <v>13.72</v>
      </c>
      <c r="C2063" s="11">
        <v>0</v>
      </c>
      <c r="D2063" s="11">
        <v>1.2671796074719288</v>
      </c>
    </row>
    <row r="2064" spans="1:4" x14ac:dyDescent="0.2">
      <c r="A2064" s="10" t="s">
        <v>2063</v>
      </c>
      <c r="B2064" s="12">
        <v>12.61</v>
      </c>
      <c r="C2064" s="11">
        <v>0</v>
      </c>
      <c r="D2064" s="11">
        <v>2.3660619233264919</v>
      </c>
    </row>
    <row r="2065" spans="1:4" x14ac:dyDescent="0.2">
      <c r="A2065" s="10" t="s">
        <v>2064</v>
      </c>
      <c r="B2065" s="12">
        <v>15.27</v>
      </c>
      <c r="C2065" s="11">
        <v>0.26729569845111001</v>
      </c>
      <c r="D2065" s="11">
        <v>0</v>
      </c>
    </row>
    <row r="2066" spans="1:4" x14ac:dyDescent="0.2">
      <c r="A2066" s="10" t="s">
        <v>2065</v>
      </c>
      <c r="B2066" s="12">
        <v>13.09</v>
      </c>
      <c r="C2066" s="11">
        <v>0</v>
      </c>
      <c r="D2066" s="11">
        <v>1.8908695705245187</v>
      </c>
    </row>
    <row r="2067" spans="1:4" x14ac:dyDescent="0.2">
      <c r="A2067" s="10" t="s">
        <v>2066</v>
      </c>
      <c r="B2067" s="12">
        <v>12.67</v>
      </c>
      <c r="C2067" s="11">
        <v>0</v>
      </c>
      <c r="D2067" s="11">
        <v>2.3066628792262454</v>
      </c>
    </row>
    <row r="2068" spans="1:4" x14ac:dyDescent="0.2">
      <c r="A2068" s="10" t="s">
        <v>2067</v>
      </c>
      <c r="B2068" s="12">
        <v>14.91</v>
      </c>
      <c r="C2068" s="11">
        <v>0</v>
      </c>
      <c r="D2068" s="11">
        <v>8.9098566150369984E-2</v>
      </c>
    </row>
    <row r="2069" spans="1:4" x14ac:dyDescent="0.2">
      <c r="A2069" s="10" t="s">
        <v>2068</v>
      </c>
      <c r="B2069" s="12">
        <v>13.53</v>
      </c>
      <c r="C2069" s="11">
        <v>0</v>
      </c>
      <c r="D2069" s="11">
        <v>1.4552765804560432</v>
      </c>
    </row>
    <row r="2070" spans="1:4" x14ac:dyDescent="0.2">
      <c r="A2070" s="10" t="s">
        <v>2069</v>
      </c>
      <c r="B2070" s="12">
        <v>13.06</v>
      </c>
      <c r="C2070" s="11">
        <v>0</v>
      </c>
      <c r="D2070" s="11">
        <v>1.9205690925746419</v>
      </c>
    </row>
    <row r="2071" spans="1:4" x14ac:dyDescent="0.2">
      <c r="A2071" s="10" t="s">
        <v>2070</v>
      </c>
      <c r="B2071" s="12">
        <v>13.75</v>
      </c>
      <c r="C2071" s="11">
        <v>0</v>
      </c>
      <c r="D2071" s="11">
        <v>1.2374800854218053</v>
      </c>
    </row>
    <row r="2072" spans="1:4" x14ac:dyDescent="0.2">
      <c r="A2072" s="10" t="s">
        <v>2071</v>
      </c>
      <c r="B2072" s="12">
        <v>14.62</v>
      </c>
      <c r="C2072" s="11">
        <v>0</v>
      </c>
      <c r="D2072" s="11">
        <v>0.37619394596822886</v>
      </c>
    </row>
    <row r="2073" spans="1:4" x14ac:dyDescent="0.2">
      <c r="A2073" s="10" t="s">
        <v>2072</v>
      </c>
      <c r="B2073" s="12">
        <v>14.39</v>
      </c>
      <c r="C2073" s="11">
        <v>0</v>
      </c>
      <c r="D2073" s="11">
        <v>0.60389028168584102</v>
      </c>
    </row>
    <row r="2074" spans="1:4" x14ac:dyDescent="0.2">
      <c r="A2074" s="10" t="s">
        <v>2073</v>
      </c>
      <c r="B2074" s="12">
        <v>14.76</v>
      </c>
      <c r="C2074" s="11">
        <v>0</v>
      </c>
      <c r="D2074" s="11">
        <v>0.23759617640098663</v>
      </c>
    </row>
    <row r="2075" spans="1:4" x14ac:dyDescent="0.2">
      <c r="A2075" s="10" t="s">
        <v>2074</v>
      </c>
      <c r="B2075" s="12">
        <v>16.440000000000001</v>
      </c>
      <c r="C2075" s="11">
        <v>1.4255770584059198</v>
      </c>
      <c r="D2075" s="11">
        <v>0</v>
      </c>
    </row>
    <row r="2076" spans="1:4" x14ac:dyDescent="0.2">
      <c r="A2076" s="10" t="s">
        <v>2075</v>
      </c>
      <c r="B2076" s="12">
        <v>14.09</v>
      </c>
      <c r="C2076" s="11">
        <v>0</v>
      </c>
      <c r="D2076" s="11">
        <v>0.90088550218707442</v>
      </c>
    </row>
    <row r="2077" spans="1:4" x14ac:dyDescent="0.2">
      <c r="A2077" s="10" t="s">
        <v>2076</v>
      </c>
      <c r="B2077" s="12">
        <v>13.65</v>
      </c>
      <c r="C2077" s="11">
        <v>0</v>
      </c>
      <c r="D2077" s="11">
        <v>1.3364784922555499</v>
      </c>
    </row>
    <row r="2078" spans="1:4" x14ac:dyDescent="0.2">
      <c r="A2078" s="10" t="s">
        <v>2077</v>
      </c>
      <c r="B2078" s="12">
        <v>12.38</v>
      </c>
      <c r="C2078" s="11">
        <v>0</v>
      </c>
      <c r="D2078" s="11">
        <v>2.5937582590441042</v>
      </c>
    </row>
    <row r="2079" spans="1:4" x14ac:dyDescent="0.2">
      <c r="A2079" s="10" t="s">
        <v>2078</v>
      </c>
      <c r="B2079" s="12">
        <v>12.58</v>
      </c>
      <c r="C2079" s="11">
        <v>0</v>
      </c>
      <c r="D2079" s="11">
        <v>2.3957614453766154</v>
      </c>
    </row>
    <row r="2080" spans="1:4" x14ac:dyDescent="0.2">
      <c r="A2080" s="10" t="s">
        <v>2079</v>
      </c>
      <c r="B2080" s="12">
        <v>14.8</v>
      </c>
      <c r="C2080" s="11">
        <v>0</v>
      </c>
      <c r="D2080" s="11">
        <v>0.19799681366748889</v>
      </c>
    </row>
    <row r="2081" spans="1:4" x14ac:dyDescent="0.2">
      <c r="A2081" s="10" t="s">
        <v>2080</v>
      </c>
      <c r="B2081" s="12">
        <v>13</v>
      </c>
      <c r="C2081" s="11">
        <v>0</v>
      </c>
      <c r="D2081" s="11">
        <v>1.9799681366748887</v>
      </c>
    </row>
    <row r="2082" spans="1:4" x14ac:dyDescent="0.2">
      <c r="A2082" s="10" t="s">
        <v>2081</v>
      </c>
      <c r="B2082" s="12">
        <v>14.53</v>
      </c>
      <c r="C2082" s="11">
        <v>0</v>
      </c>
      <c r="D2082" s="11">
        <v>0.46529251211859879</v>
      </c>
    </row>
    <row r="2083" spans="1:4" x14ac:dyDescent="0.2">
      <c r="A2083" s="10" t="s">
        <v>2082</v>
      </c>
      <c r="B2083" s="12">
        <v>11.45</v>
      </c>
      <c r="C2083" s="11">
        <v>0</v>
      </c>
      <c r="D2083" s="11">
        <v>3.5144434425979272</v>
      </c>
    </row>
    <row r="2084" spans="1:4" x14ac:dyDescent="0.2">
      <c r="A2084" s="10" t="s">
        <v>2083</v>
      </c>
      <c r="B2084" s="12">
        <v>12.41</v>
      </c>
      <c r="C2084" s="11">
        <v>0</v>
      </c>
      <c r="D2084" s="11">
        <v>2.5640587369939807</v>
      </c>
    </row>
    <row r="2085" spans="1:4" x14ac:dyDescent="0.2">
      <c r="A2085" s="10" t="s">
        <v>2084</v>
      </c>
      <c r="B2085" s="12">
        <v>12.23</v>
      </c>
      <c r="C2085" s="11">
        <v>0</v>
      </c>
      <c r="D2085" s="11">
        <v>2.7422558692947208</v>
      </c>
    </row>
    <row r="2086" spans="1:4" x14ac:dyDescent="0.2">
      <c r="A2086" s="10" t="s">
        <v>2085</v>
      </c>
      <c r="B2086" s="12">
        <v>16.010000000000002</v>
      </c>
      <c r="C2086" s="11">
        <v>0.99988390902081881</v>
      </c>
      <c r="D2086" s="11">
        <v>0</v>
      </c>
    </row>
    <row r="2087" spans="1:4" x14ac:dyDescent="0.2">
      <c r="A2087" s="10" t="s">
        <v>2086</v>
      </c>
      <c r="B2087" s="12">
        <v>12.44</v>
      </c>
      <c r="C2087" s="11">
        <v>0</v>
      </c>
      <c r="D2087" s="11">
        <v>2.5343592149438576</v>
      </c>
    </row>
    <row r="2088" spans="1:4" x14ac:dyDescent="0.2">
      <c r="A2088" s="10" t="s">
        <v>2087</v>
      </c>
      <c r="B2088" s="12">
        <v>13.89</v>
      </c>
      <c r="C2088" s="11">
        <v>0</v>
      </c>
      <c r="D2088" s="11">
        <v>1.0988823158545633</v>
      </c>
    </row>
    <row r="2089" spans="1:4" x14ac:dyDescent="0.2">
      <c r="A2089" s="10" t="s">
        <v>2088</v>
      </c>
      <c r="B2089" s="12">
        <v>13.91</v>
      </c>
      <c r="C2089" s="11">
        <v>0</v>
      </c>
      <c r="D2089" s="11">
        <v>1.0790826344878144</v>
      </c>
    </row>
    <row r="2090" spans="1:4" x14ac:dyDescent="0.2">
      <c r="A2090" s="10" t="s">
        <v>2089</v>
      </c>
      <c r="B2090" s="12">
        <v>13.37</v>
      </c>
      <c r="C2090" s="11">
        <v>0</v>
      </c>
      <c r="D2090" s="11">
        <v>1.6136740313900342</v>
      </c>
    </row>
    <row r="2091" spans="1:4" x14ac:dyDescent="0.2">
      <c r="A2091" s="10" t="s">
        <v>2090</v>
      </c>
      <c r="B2091" s="12">
        <v>15.3</v>
      </c>
      <c r="C2091" s="11">
        <v>0.29699522050123328</v>
      </c>
      <c r="D2091" s="11">
        <v>0</v>
      </c>
    </row>
    <row r="2092" spans="1:4" x14ac:dyDescent="0.2">
      <c r="A2092" s="10" t="s">
        <v>2091</v>
      </c>
      <c r="B2092" s="12">
        <v>14.37</v>
      </c>
      <c r="C2092" s="11">
        <v>0</v>
      </c>
      <c r="D2092" s="11">
        <v>0.62368996305258995</v>
      </c>
    </row>
    <row r="2093" spans="1:4" x14ac:dyDescent="0.2">
      <c r="A2093" s="10" t="s">
        <v>2092</v>
      </c>
      <c r="B2093" s="12">
        <v>13.42</v>
      </c>
      <c r="C2093" s="11">
        <v>0</v>
      </c>
      <c r="D2093" s="11">
        <v>1.5641748279731622</v>
      </c>
    </row>
    <row r="2094" spans="1:4" x14ac:dyDescent="0.2">
      <c r="A2094" s="10" t="s">
        <v>2093</v>
      </c>
      <c r="B2094" s="12">
        <v>13.6</v>
      </c>
      <c r="C2094" s="11">
        <v>0</v>
      </c>
      <c r="D2094" s="11">
        <v>1.3859776956724219</v>
      </c>
    </row>
    <row r="2095" spans="1:4" x14ac:dyDescent="0.2">
      <c r="A2095" s="10" t="s">
        <v>2094</v>
      </c>
      <c r="B2095" s="12">
        <v>14.89</v>
      </c>
      <c r="C2095" s="11">
        <v>0</v>
      </c>
      <c r="D2095" s="11">
        <v>0.10889824751711888</v>
      </c>
    </row>
    <row r="2096" spans="1:4" x14ac:dyDescent="0.2">
      <c r="A2096" s="10" t="s">
        <v>2095</v>
      </c>
      <c r="B2096" s="12">
        <v>14.31</v>
      </c>
      <c r="C2096" s="11">
        <v>0</v>
      </c>
      <c r="D2096" s="11">
        <v>0.68308900715283649</v>
      </c>
    </row>
    <row r="2097" spans="1:4" x14ac:dyDescent="0.2">
      <c r="A2097" s="10" t="s">
        <v>2096</v>
      </c>
      <c r="B2097" s="12">
        <v>13.99</v>
      </c>
      <c r="C2097" s="11">
        <v>0</v>
      </c>
      <c r="D2097" s="11">
        <v>0.99988390902081881</v>
      </c>
    </row>
    <row r="2098" spans="1:4" x14ac:dyDescent="0.2">
      <c r="A2098" s="10" t="s">
        <v>2097</v>
      </c>
      <c r="B2098" s="12">
        <v>15.45</v>
      </c>
      <c r="C2098" s="11">
        <v>0.44549283075184998</v>
      </c>
      <c r="D2098" s="11">
        <v>0</v>
      </c>
    </row>
    <row r="2099" spans="1:4" x14ac:dyDescent="0.2">
      <c r="A2099" s="10" t="s">
        <v>2098</v>
      </c>
      <c r="B2099" s="12">
        <v>13.87</v>
      </c>
      <c r="C2099" s="11">
        <v>0</v>
      </c>
      <c r="D2099" s="11">
        <v>1.118681997221312</v>
      </c>
    </row>
    <row r="2100" spans="1:4" x14ac:dyDescent="0.2">
      <c r="A2100" s="10" t="s">
        <v>2099</v>
      </c>
      <c r="B2100" s="12">
        <v>14.21</v>
      </c>
      <c r="C2100" s="11">
        <v>0</v>
      </c>
      <c r="D2100" s="11">
        <v>0.7820874139865811</v>
      </c>
    </row>
    <row r="2101" spans="1:4" x14ac:dyDescent="0.2">
      <c r="A2101" s="10" t="s">
        <v>2100</v>
      </c>
      <c r="B2101" s="12">
        <v>13.45</v>
      </c>
      <c r="C2101" s="11">
        <v>0</v>
      </c>
      <c r="D2101" s="11">
        <v>1.5344753059230387</v>
      </c>
    </row>
    <row r="2102" spans="1:4" x14ac:dyDescent="0.2">
      <c r="A2102" s="10" t="s">
        <v>2101</v>
      </c>
      <c r="B2102" s="12">
        <v>16.8</v>
      </c>
      <c r="C2102" s="11">
        <v>1.7819713230073999</v>
      </c>
      <c r="D2102" s="11">
        <v>0</v>
      </c>
    </row>
    <row r="2103" spans="1:4" x14ac:dyDescent="0.2">
      <c r="A2103" s="10" t="s">
        <v>2102</v>
      </c>
      <c r="B2103" s="12">
        <v>15.45</v>
      </c>
      <c r="C2103" s="11">
        <v>0.44549283075184998</v>
      </c>
      <c r="D2103" s="11">
        <v>0</v>
      </c>
    </row>
    <row r="2104" spans="1:4" x14ac:dyDescent="0.2">
      <c r="A2104" s="10" t="s">
        <v>2103</v>
      </c>
      <c r="B2104" s="12">
        <v>14.14</v>
      </c>
      <c r="C2104" s="11">
        <v>0</v>
      </c>
      <c r="D2104" s="11">
        <v>0.85138629877020211</v>
      </c>
    </row>
    <row r="2105" spans="1:4" x14ac:dyDescent="0.2">
      <c r="A2105" s="10" t="s">
        <v>2104</v>
      </c>
      <c r="B2105" s="12">
        <v>12.69</v>
      </c>
      <c r="C2105" s="11">
        <v>0</v>
      </c>
      <c r="D2105" s="11">
        <v>2.2868631978594967</v>
      </c>
    </row>
    <row r="2106" spans="1:4" x14ac:dyDescent="0.2">
      <c r="A2106" s="10" t="s">
        <v>2105</v>
      </c>
      <c r="B2106" s="12">
        <v>13.34</v>
      </c>
      <c r="C2106" s="11">
        <v>0</v>
      </c>
      <c r="D2106" s="11">
        <v>1.6433735534401575</v>
      </c>
    </row>
    <row r="2107" spans="1:4" x14ac:dyDescent="0.2">
      <c r="A2107" s="10" t="s">
        <v>2106</v>
      </c>
      <c r="B2107" s="12">
        <v>15.29</v>
      </c>
      <c r="C2107" s="11">
        <v>0.28709537981785882</v>
      </c>
      <c r="D2107" s="11">
        <v>0</v>
      </c>
    </row>
    <row r="2108" spans="1:4" x14ac:dyDescent="0.2">
      <c r="A2108" s="10" t="s">
        <v>2107</v>
      </c>
      <c r="B2108" s="12">
        <v>14.51</v>
      </c>
      <c r="C2108" s="11">
        <v>0</v>
      </c>
      <c r="D2108" s="11">
        <v>0.48509219348534771</v>
      </c>
    </row>
    <row r="2109" spans="1:4" x14ac:dyDescent="0.2">
      <c r="A2109" s="10" t="s">
        <v>2108</v>
      </c>
      <c r="B2109" s="12">
        <v>15.35</v>
      </c>
      <c r="C2109" s="11">
        <v>0.34649442391810548</v>
      </c>
      <c r="D2109" s="11">
        <v>0</v>
      </c>
    </row>
    <row r="2110" spans="1:4" x14ac:dyDescent="0.2">
      <c r="A2110" s="10" t="s">
        <v>2109</v>
      </c>
      <c r="B2110" s="12">
        <v>12.44</v>
      </c>
      <c r="C2110" s="11">
        <v>0</v>
      </c>
      <c r="D2110" s="11">
        <v>2.5343592149438576</v>
      </c>
    </row>
    <row r="2111" spans="1:4" x14ac:dyDescent="0.2">
      <c r="A2111" s="10" t="s">
        <v>2110</v>
      </c>
      <c r="B2111" s="12">
        <v>13.79</v>
      </c>
      <c r="C2111" s="11">
        <v>0</v>
      </c>
      <c r="D2111" s="11">
        <v>1.1978807226883077</v>
      </c>
    </row>
    <row r="2112" spans="1:4" x14ac:dyDescent="0.2">
      <c r="A2112" s="10" t="s">
        <v>2111</v>
      </c>
      <c r="B2112" s="12">
        <v>13.24</v>
      </c>
      <c r="C2112" s="11">
        <v>0</v>
      </c>
      <c r="D2112" s="11">
        <v>1.7423719602739021</v>
      </c>
    </row>
    <row r="2113" spans="1:4" x14ac:dyDescent="0.2">
      <c r="A2113" s="10" t="s">
        <v>2112</v>
      </c>
      <c r="B2113" s="12">
        <v>13.3</v>
      </c>
      <c r="C2113" s="11">
        <v>0</v>
      </c>
      <c r="D2113" s="11">
        <v>1.6829729161736553</v>
      </c>
    </row>
    <row r="2114" spans="1:4" x14ac:dyDescent="0.2">
      <c r="A2114" s="10" t="s">
        <v>2113</v>
      </c>
      <c r="B2114" s="12">
        <v>13.11</v>
      </c>
      <c r="C2114" s="11">
        <v>0</v>
      </c>
      <c r="D2114" s="11">
        <v>1.8710698891577697</v>
      </c>
    </row>
    <row r="2115" spans="1:4" x14ac:dyDescent="0.2">
      <c r="A2115" s="10" t="s">
        <v>2114</v>
      </c>
      <c r="B2115" s="12">
        <v>13.24</v>
      </c>
      <c r="C2115" s="11">
        <v>0</v>
      </c>
      <c r="D2115" s="11">
        <v>1.7423719602739021</v>
      </c>
    </row>
    <row r="2116" spans="1:4" x14ac:dyDescent="0.2">
      <c r="A2116" s="10" t="s">
        <v>2115</v>
      </c>
      <c r="B2116" s="12">
        <v>14.63</v>
      </c>
      <c r="C2116" s="11">
        <v>0</v>
      </c>
      <c r="D2116" s="11">
        <v>0.3662941052848544</v>
      </c>
    </row>
    <row r="2117" spans="1:4" x14ac:dyDescent="0.2">
      <c r="A2117" s="10" t="s">
        <v>2116</v>
      </c>
      <c r="B2117" s="12">
        <v>15.17</v>
      </c>
      <c r="C2117" s="11">
        <v>0.16829729161736556</v>
      </c>
      <c r="D2117" s="11">
        <v>0</v>
      </c>
    </row>
    <row r="2118" spans="1:4" x14ac:dyDescent="0.2">
      <c r="A2118" s="10" t="s">
        <v>2117</v>
      </c>
      <c r="B2118" s="12">
        <v>13.7</v>
      </c>
      <c r="C2118" s="11">
        <v>0</v>
      </c>
      <c r="D2118" s="11">
        <v>1.2869792888386777</v>
      </c>
    </row>
    <row r="2119" spans="1:4" x14ac:dyDescent="0.2">
      <c r="A2119" s="10" t="s">
        <v>2118</v>
      </c>
      <c r="B2119" s="12">
        <v>13.18</v>
      </c>
      <c r="C2119" s="11">
        <v>0</v>
      </c>
      <c r="D2119" s="11">
        <v>1.8017710043741488</v>
      </c>
    </row>
    <row r="2120" spans="1:4" x14ac:dyDescent="0.2">
      <c r="A2120" s="10" t="s">
        <v>2119</v>
      </c>
      <c r="B2120" s="12">
        <v>13.23</v>
      </c>
      <c r="C2120" s="11">
        <v>0</v>
      </c>
      <c r="D2120" s="11">
        <v>1.7522718009572764</v>
      </c>
    </row>
    <row r="2121" spans="1:4" x14ac:dyDescent="0.2">
      <c r="A2121" s="10" t="s">
        <v>2120</v>
      </c>
      <c r="B2121" s="12">
        <v>15.75</v>
      </c>
      <c r="C2121" s="11">
        <v>0.74248805125308326</v>
      </c>
      <c r="D2121" s="11">
        <v>0</v>
      </c>
    </row>
    <row r="2122" spans="1:4" x14ac:dyDescent="0.2">
      <c r="A2122" s="10" t="s">
        <v>2121</v>
      </c>
      <c r="B2122" s="12">
        <v>14.79</v>
      </c>
      <c r="C2122" s="11">
        <v>0</v>
      </c>
      <c r="D2122" s="11">
        <v>0.2078966543508633</v>
      </c>
    </row>
    <row r="2123" spans="1:4" x14ac:dyDescent="0.2">
      <c r="A2123" s="10" t="s">
        <v>2122</v>
      </c>
      <c r="B2123" s="12">
        <v>14.08</v>
      </c>
      <c r="C2123" s="11">
        <v>0</v>
      </c>
      <c r="D2123" s="11">
        <v>0.91078534287044888</v>
      </c>
    </row>
    <row r="2124" spans="1:4" x14ac:dyDescent="0.2">
      <c r="A2124" s="10" t="s">
        <v>2123</v>
      </c>
      <c r="B2124" s="12">
        <v>13.25</v>
      </c>
      <c r="C2124" s="11">
        <v>0</v>
      </c>
      <c r="D2124" s="11">
        <v>1.7324721195905277</v>
      </c>
    </row>
    <row r="2125" spans="1:4" x14ac:dyDescent="0.2">
      <c r="A2125" s="10" t="s">
        <v>2124</v>
      </c>
      <c r="B2125" s="12">
        <v>15.93</v>
      </c>
      <c r="C2125" s="11">
        <v>0.92068518355382334</v>
      </c>
      <c r="D2125" s="11">
        <v>0</v>
      </c>
    </row>
    <row r="2126" spans="1:4" x14ac:dyDescent="0.2">
      <c r="A2126" s="10" t="s">
        <v>2125</v>
      </c>
      <c r="B2126" s="12">
        <v>13.42</v>
      </c>
      <c r="C2126" s="11">
        <v>0</v>
      </c>
      <c r="D2126" s="11">
        <v>1.5641748279731622</v>
      </c>
    </row>
    <row r="2127" spans="1:4" x14ac:dyDescent="0.2">
      <c r="A2127" s="10" t="s">
        <v>2126</v>
      </c>
      <c r="B2127" s="12">
        <v>13.35</v>
      </c>
      <c r="C2127" s="11">
        <v>0</v>
      </c>
      <c r="D2127" s="11">
        <v>1.6334737127567831</v>
      </c>
    </row>
    <row r="2128" spans="1:4" x14ac:dyDescent="0.2">
      <c r="A2128" s="10" t="s">
        <v>2127</v>
      </c>
      <c r="B2128" s="12">
        <v>14.57</v>
      </c>
      <c r="C2128" s="11">
        <v>0</v>
      </c>
      <c r="D2128" s="11">
        <v>0.42569314938510106</v>
      </c>
    </row>
    <row r="2129" spans="1:4" x14ac:dyDescent="0.2">
      <c r="A2129" s="10" t="s">
        <v>2128</v>
      </c>
      <c r="B2129" s="12">
        <v>12.43</v>
      </c>
      <c r="C2129" s="11">
        <v>0</v>
      </c>
      <c r="D2129" s="11">
        <v>2.544259055627232</v>
      </c>
    </row>
    <row r="2130" spans="1:4" x14ac:dyDescent="0.2">
      <c r="A2130" s="10" t="s">
        <v>2129</v>
      </c>
      <c r="B2130" s="12">
        <v>13.2</v>
      </c>
      <c r="C2130" s="11">
        <v>0</v>
      </c>
      <c r="D2130" s="11">
        <v>1.7819713230073999</v>
      </c>
    </row>
    <row r="2131" spans="1:4" x14ac:dyDescent="0.2">
      <c r="A2131" s="10" t="s">
        <v>2130</v>
      </c>
      <c r="B2131" s="12">
        <v>13.63</v>
      </c>
      <c r="C2131" s="11">
        <v>0</v>
      </c>
      <c r="D2131" s="11">
        <v>1.3562781736222989</v>
      </c>
    </row>
    <row r="2132" spans="1:4" x14ac:dyDescent="0.2">
      <c r="A2132" s="10" t="s">
        <v>2131</v>
      </c>
      <c r="B2132" s="12">
        <v>14.07</v>
      </c>
      <c r="C2132" s="11">
        <v>0</v>
      </c>
      <c r="D2132" s="11">
        <v>0.92068518355382334</v>
      </c>
    </row>
    <row r="2133" spans="1:4" x14ac:dyDescent="0.2">
      <c r="A2133" s="10" t="s">
        <v>2132</v>
      </c>
      <c r="B2133" s="12">
        <v>14.74</v>
      </c>
      <c r="C2133" s="11">
        <v>0</v>
      </c>
      <c r="D2133" s="11">
        <v>0.25739585776773555</v>
      </c>
    </row>
    <row r="2134" spans="1:4" x14ac:dyDescent="0.2">
      <c r="A2134" s="10" t="s">
        <v>2133</v>
      </c>
      <c r="B2134" s="12">
        <v>12.75</v>
      </c>
      <c r="C2134" s="11">
        <v>0</v>
      </c>
      <c r="D2134" s="11">
        <v>2.2274641537592497</v>
      </c>
    </row>
    <row r="2135" spans="1:4" x14ac:dyDescent="0.2">
      <c r="A2135" s="10" t="s">
        <v>2134</v>
      </c>
      <c r="B2135" s="12">
        <v>14.88</v>
      </c>
      <c r="C2135" s="11">
        <v>0</v>
      </c>
      <c r="D2135" s="11">
        <v>0.11879808820049331</v>
      </c>
    </row>
    <row r="2136" spans="1:4" x14ac:dyDescent="0.2">
      <c r="A2136" s="10" t="s">
        <v>2135</v>
      </c>
      <c r="B2136" s="12">
        <v>14.05</v>
      </c>
      <c r="C2136" s="11">
        <v>0</v>
      </c>
      <c r="D2136" s="11">
        <v>0.94048486492057204</v>
      </c>
    </row>
    <row r="2137" spans="1:4" x14ac:dyDescent="0.2">
      <c r="A2137" s="10" t="s">
        <v>2136</v>
      </c>
      <c r="B2137" s="12">
        <v>14.31</v>
      </c>
      <c r="C2137" s="11">
        <v>0</v>
      </c>
      <c r="D2137" s="11">
        <v>0.68308900715283649</v>
      </c>
    </row>
    <row r="2138" spans="1:4" x14ac:dyDescent="0.2">
      <c r="A2138" s="10" t="s">
        <v>2137</v>
      </c>
      <c r="B2138" s="12">
        <v>13.19</v>
      </c>
      <c r="C2138" s="11">
        <v>0</v>
      </c>
      <c r="D2138" s="11">
        <v>1.7918711636907743</v>
      </c>
    </row>
    <row r="2139" spans="1:4" x14ac:dyDescent="0.2">
      <c r="A2139" s="10" t="s">
        <v>2138</v>
      </c>
      <c r="B2139" s="12">
        <v>13.1</v>
      </c>
      <c r="C2139" s="11">
        <v>0</v>
      </c>
      <c r="D2139" s="11">
        <v>1.8809697298411441</v>
      </c>
    </row>
    <row r="2140" spans="1:4" x14ac:dyDescent="0.2">
      <c r="A2140" s="10" t="s">
        <v>2139</v>
      </c>
      <c r="B2140" s="12">
        <v>12.7</v>
      </c>
      <c r="C2140" s="11">
        <v>0</v>
      </c>
      <c r="D2140" s="11">
        <v>2.2769633571761219</v>
      </c>
    </row>
    <row r="2141" spans="1:4" x14ac:dyDescent="0.2">
      <c r="A2141" s="10" t="s">
        <v>2140</v>
      </c>
      <c r="B2141" s="12">
        <v>13.92</v>
      </c>
      <c r="C2141" s="11">
        <v>0</v>
      </c>
      <c r="D2141" s="11">
        <v>1.06918279380444</v>
      </c>
    </row>
    <row r="2142" spans="1:4" x14ac:dyDescent="0.2">
      <c r="A2142" s="10" t="s">
        <v>2141</v>
      </c>
      <c r="B2142" s="12">
        <v>14.56</v>
      </c>
      <c r="C2142" s="11">
        <v>0</v>
      </c>
      <c r="D2142" s="11">
        <v>0.43559299006847552</v>
      </c>
    </row>
    <row r="2143" spans="1:4" x14ac:dyDescent="0.2">
      <c r="A2143" s="10" t="s">
        <v>2142</v>
      </c>
      <c r="B2143" s="12">
        <v>13.63</v>
      </c>
      <c r="C2143" s="11">
        <v>0</v>
      </c>
      <c r="D2143" s="11">
        <v>1.3562781736222989</v>
      </c>
    </row>
    <row r="2144" spans="1:4" x14ac:dyDescent="0.2">
      <c r="A2144" s="10" t="s">
        <v>2143</v>
      </c>
      <c r="B2144" s="12">
        <v>14.3</v>
      </c>
      <c r="C2144" s="11">
        <v>0</v>
      </c>
      <c r="D2144" s="11">
        <v>0.69298884783621095</v>
      </c>
    </row>
    <row r="2145" spans="1:4" x14ac:dyDescent="0.2">
      <c r="A2145" s="10" t="s">
        <v>2144</v>
      </c>
      <c r="B2145" s="12">
        <v>14.57</v>
      </c>
      <c r="C2145" s="11">
        <v>0</v>
      </c>
      <c r="D2145" s="11">
        <v>0.42569314938510106</v>
      </c>
    </row>
    <row r="2146" spans="1:4" x14ac:dyDescent="0.2">
      <c r="A2146" s="10" t="s">
        <v>2145</v>
      </c>
      <c r="B2146" s="12">
        <v>14.45</v>
      </c>
      <c r="C2146" s="11">
        <v>0</v>
      </c>
      <c r="D2146" s="11">
        <v>0.54449123758559448</v>
      </c>
    </row>
    <row r="2147" spans="1:4" x14ac:dyDescent="0.2">
      <c r="A2147" s="10" t="s">
        <v>2146</v>
      </c>
      <c r="B2147" s="12">
        <v>14.4</v>
      </c>
      <c r="C2147" s="11">
        <v>0</v>
      </c>
      <c r="D2147" s="11">
        <v>0.59399044100246656</v>
      </c>
    </row>
    <row r="2148" spans="1:4" x14ac:dyDescent="0.2">
      <c r="A2148" s="10" t="s">
        <v>2147</v>
      </c>
      <c r="B2148" s="12">
        <v>16.809999999999999</v>
      </c>
      <c r="C2148" s="11">
        <v>1.7918711636907743</v>
      </c>
      <c r="D2148" s="11">
        <v>0</v>
      </c>
    </row>
    <row r="2149" spans="1:4" x14ac:dyDescent="0.2">
      <c r="A2149" s="10" t="s">
        <v>2148</v>
      </c>
      <c r="B2149" s="12">
        <v>16.09</v>
      </c>
      <c r="C2149" s="11">
        <v>1.0790826344878144</v>
      </c>
      <c r="D2149" s="11">
        <v>0</v>
      </c>
    </row>
    <row r="2150" spans="1:4" x14ac:dyDescent="0.2">
      <c r="A2150" s="10" t="s">
        <v>2149</v>
      </c>
      <c r="B2150" s="12">
        <v>14.81</v>
      </c>
      <c r="C2150" s="11">
        <v>0</v>
      </c>
      <c r="D2150" s="11">
        <v>0.18809697298411443</v>
      </c>
    </row>
    <row r="2151" spans="1:4" x14ac:dyDescent="0.2">
      <c r="A2151" s="10" t="s">
        <v>2150</v>
      </c>
      <c r="B2151" s="12">
        <v>14.89</v>
      </c>
      <c r="C2151" s="11">
        <v>0</v>
      </c>
      <c r="D2151" s="11">
        <v>0.10889824751711888</v>
      </c>
    </row>
    <row r="2152" spans="1:4" x14ac:dyDescent="0.2">
      <c r="A2152" s="10" t="s">
        <v>2151</v>
      </c>
      <c r="B2152" s="12">
        <v>14.63</v>
      </c>
      <c r="C2152" s="11">
        <v>0</v>
      </c>
      <c r="D2152" s="11">
        <v>0.3662941052848544</v>
      </c>
    </row>
    <row r="2153" spans="1:4" x14ac:dyDescent="0.2">
      <c r="A2153" s="10" t="s">
        <v>2152</v>
      </c>
      <c r="B2153" s="12">
        <v>13.44</v>
      </c>
      <c r="C2153" s="11">
        <v>0</v>
      </c>
      <c r="D2153" s="11">
        <v>1.5443751466064133</v>
      </c>
    </row>
    <row r="2154" spans="1:4" x14ac:dyDescent="0.2">
      <c r="A2154" s="10" t="s">
        <v>2153</v>
      </c>
      <c r="B2154" s="12">
        <v>15.01</v>
      </c>
      <c r="C2154" s="11">
        <v>9.8998406833744439E-3</v>
      </c>
      <c r="D2154" s="11">
        <v>0</v>
      </c>
    </row>
    <row r="2155" spans="1:4" x14ac:dyDescent="0.2">
      <c r="A2155" s="10" t="s">
        <v>2154</v>
      </c>
      <c r="B2155" s="12">
        <v>13.64</v>
      </c>
      <c r="C2155" s="11">
        <v>0</v>
      </c>
      <c r="D2155" s="11">
        <v>1.3463783329389245</v>
      </c>
    </row>
    <row r="2156" spans="1:4" x14ac:dyDescent="0.2">
      <c r="A2156" s="10" t="s">
        <v>2155</v>
      </c>
      <c r="B2156" s="12">
        <v>15.01</v>
      </c>
      <c r="C2156" s="11">
        <v>9.8998406833744439E-3</v>
      </c>
      <c r="D2156" s="11">
        <v>0</v>
      </c>
    </row>
    <row r="2157" spans="1:4" x14ac:dyDescent="0.2">
      <c r="A2157" s="10" t="s">
        <v>2156</v>
      </c>
      <c r="B2157" s="12">
        <v>14.61</v>
      </c>
      <c r="C2157" s="11">
        <v>0</v>
      </c>
      <c r="D2157" s="11">
        <v>0.38609378665160332</v>
      </c>
    </row>
    <row r="2158" spans="1:4" x14ac:dyDescent="0.2">
      <c r="A2158" s="10" t="s">
        <v>2157</v>
      </c>
      <c r="B2158" s="12">
        <v>13.12</v>
      </c>
      <c r="C2158" s="11">
        <v>0</v>
      </c>
      <c r="D2158" s="11">
        <v>1.8611700484743952</v>
      </c>
    </row>
    <row r="2159" spans="1:4" x14ac:dyDescent="0.2">
      <c r="A2159" s="10" t="s">
        <v>2158</v>
      </c>
      <c r="B2159" s="12">
        <v>14.15</v>
      </c>
      <c r="C2159" s="11">
        <v>0</v>
      </c>
      <c r="D2159" s="11">
        <v>0.84148645808682765</v>
      </c>
    </row>
    <row r="2160" spans="1:4" x14ac:dyDescent="0.2">
      <c r="A2160" s="10" t="s">
        <v>2159</v>
      </c>
      <c r="B2160" s="12">
        <v>15.35</v>
      </c>
      <c r="C2160" s="11">
        <v>0.34649442391810548</v>
      </c>
      <c r="D2160" s="11">
        <v>0</v>
      </c>
    </row>
    <row r="2161" spans="1:4" x14ac:dyDescent="0.2">
      <c r="A2161" s="10" t="s">
        <v>2160</v>
      </c>
      <c r="B2161" s="12">
        <v>14.94</v>
      </c>
      <c r="C2161" s="11">
        <v>0</v>
      </c>
      <c r="D2161" s="11">
        <v>5.9399044100246656E-2</v>
      </c>
    </row>
    <row r="2162" spans="1:4" x14ac:dyDescent="0.2">
      <c r="A2162" s="10" t="s">
        <v>2161</v>
      </c>
      <c r="B2162" s="12">
        <v>14.1</v>
      </c>
      <c r="C2162" s="11">
        <v>0</v>
      </c>
      <c r="D2162" s="11">
        <v>0.89098566150369995</v>
      </c>
    </row>
    <row r="2163" spans="1:4" x14ac:dyDescent="0.2">
      <c r="A2163" s="10" t="s">
        <v>2162</v>
      </c>
      <c r="B2163" s="12">
        <v>14.83</v>
      </c>
      <c r="C2163" s="11">
        <v>0</v>
      </c>
      <c r="D2163" s="11">
        <v>0.16829729161736556</v>
      </c>
    </row>
    <row r="2164" spans="1:4" x14ac:dyDescent="0.2">
      <c r="A2164" s="10" t="s">
        <v>2163</v>
      </c>
      <c r="B2164" s="12">
        <v>13.6</v>
      </c>
      <c r="C2164" s="11">
        <v>0</v>
      </c>
      <c r="D2164" s="11">
        <v>1.3859776956724219</v>
      </c>
    </row>
    <row r="2165" spans="1:4" x14ac:dyDescent="0.2">
      <c r="A2165" s="10" t="s">
        <v>2164</v>
      </c>
      <c r="B2165" s="12">
        <v>12.94</v>
      </c>
      <c r="C2165" s="11">
        <v>0</v>
      </c>
      <c r="D2165" s="11">
        <v>2.0393671807751352</v>
      </c>
    </row>
    <row r="2166" spans="1:4" x14ac:dyDescent="0.2">
      <c r="A2166" s="10" t="s">
        <v>2165</v>
      </c>
      <c r="B2166" s="12">
        <v>15.09</v>
      </c>
      <c r="C2166" s="11">
        <v>8.9098566150369984E-2</v>
      </c>
      <c r="D2166" s="11">
        <v>0</v>
      </c>
    </row>
    <row r="2167" spans="1:4" x14ac:dyDescent="0.2">
      <c r="A2167" s="10" t="s">
        <v>2166</v>
      </c>
      <c r="B2167" s="12">
        <v>15.52</v>
      </c>
      <c r="C2167" s="11">
        <v>0.51479171553547109</v>
      </c>
      <c r="D2167" s="11">
        <v>0</v>
      </c>
    </row>
    <row r="2168" spans="1:4" x14ac:dyDescent="0.2">
      <c r="A2168" s="10" t="s">
        <v>2167</v>
      </c>
      <c r="B2168" s="12">
        <v>13.28</v>
      </c>
      <c r="C2168" s="11">
        <v>0</v>
      </c>
      <c r="D2168" s="11">
        <v>1.7027725975404042</v>
      </c>
    </row>
    <row r="2169" spans="1:4" x14ac:dyDescent="0.2">
      <c r="A2169" s="10" t="s">
        <v>2168</v>
      </c>
      <c r="B2169" s="12">
        <v>14.06</v>
      </c>
      <c r="C2169" s="11">
        <v>0</v>
      </c>
      <c r="D2169" s="11">
        <v>0.93058502423719758</v>
      </c>
    </row>
    <row r="2170" spans="1:4" x14ac:dyDescent="0.2">
      <c r="A2170" s="10" t="s">
        <v>2169</v>
      </c>
      <c r="B2170" s="12">
        <v>14.37</v>
      </c>
      <c r="C2170" s="11">
        <v>0</v>
      </c>
      <c r="D2170" s="11">
        <v>0.62368996305258995</v>
      </c>
    </row>
    <row r="2171" spans="1:4" x14ac:dyDescent="0.2">
      <c r="A2171" s="10" t="s">
        <v>2170</v>
      </c>
      <c r="B2171" s="12">
        <v>15.34</v>
      </c>
      <c r="C2171" s="11">
        <v>0.33659458323473113</v>
      </c>
      <c r="D2171" s="11">
        <v>0</v>
      </c>
    </row>
    <row r="2172" spans="1:4" x14ac:dyDescent="0.2">
      <c r="A2172" s="10" t="s">
        <v>2171</v>
      </c>
      <c r="B2172" s="12">
        <v>12.33</v>
      </c>
      <c r="C2172" s="11">
        <v>0</v>
      </c>
      <c r="D2172" s="11">
        <v>2.6432574624609764</v>
      </c>
    </row>
    <row r="2173" spans="1:4" x14ac:dyDescent="0.2">
      <c r="A2173" s="10" t="s">
        <v>2172</v>
      </c>
      <c r="B2173" s="12">
        <v>12.84</v>
      </c>
      <c r="C2173" s="11">
        <v>0</v>
      </c>
      <c r="D2173" s="11">
        <v>2.1383655876088801</v>
      </c>
    </row>
    <row r="2174" spans="1:4" x14ac:dyDescent="0.2">
      <c r="A2174" s="10" t="s">
        <v>2173</v>
      </c>
      <c r="B2174" s="12">
        <v>14.65</v>
      </c>
      <c r="C2174" s="11">
        <v>0</v>
      </c>
      <c r="D2174" s="11">
        <v>0.34649442391810548</v>
      </c>
    </row>
    <row r="2175" spans="1:4" x14ac:dyDescent="0.2">
      <c r="A2175" s="10" t="s">
        <v>2174</v>
      </c>
      <c r="B2175" s="12">
        <v>14.7</v>
      </c>
      <c r="C2175" s="11">
        <v>0</v>
      </c>
      <c r="D2175" s="11">
        <v>0.29699522050123328</v>
      </c>
    </row>
    <row r="2176" spans="1:4" x14ac:dyDescent="0.2">
      <c r="A2176" s="10" t="s">
        <v>2175</v>
      </c>
      <c r="B2176" s="12">
        <v>14.42</v>
      </c>
      <c r="C2176" s="11">
        <v>0</v>
      </c>
      <c r="D2176" s="11">
        <v>0.57419075963571764</v>
      </c>
    </row>
    <row r="2177" spans="1:4" x14ac:dyDescent="0.2">
      <c r="A2177" s="10" t="s">
        <v>2176</v>
      </c>
      <c r="B2177" s="12">
        <v>14.24</v>
      </c>
      <c r="C2177" s="11">
        <v>0</v>
      </c>
      <c r="D2177" s="11">
        <v>0.75238789193645772</v>
      </c>
    </row>
    <row r="2178" spans="1:4" x14ac:dyDescent="0.2">
      <c r="A2178" s="10" t="s">
        <v>2177</v>
      </c>
      <c r="B2178" s="12">
        <v>13.77</v>
      </c>
      <c r="C2178" s="11">
        <v>0</v>
      </c>
      <c r="D2178" s="11">
        <v>1.2176804040550566</v>
      </c>
    </row>
    <row r="2179" spans="1:4" x14ac:dyDescent="0.2">
      <c r="A2179" s="10" t="s">
        <v>2178</v>
      </c>
      <c r="B2179" s="12">
        <v>15.73</v>
      </c>
      <c r="C2179" s="11">
        <v>0.72268836988633434</v>
      </c>
      <c r="D2179" s="11">
        <v>0</v>
      </c>
    </row>
    <row r="2180" spans="1:4" x14ac:dyDescent="0.2">
      <c r="A2180" s="10" t="s">
        <v>2179</v>
      </c>
      <c r="B2180" s="12">
        <v>14.63</v>
      </c>
      <c r="C2180" s="11">
        <v>0</v>
      </c>
      <c r="D2180" s="11">
        <v>0.3662941052848544</v>
      </c>
    </row>
    <row r="2181" spans="1:4" x14ac:dyDescent="0.2">
      <c r="A2181" s="10" t="s">
        <v>2180</v>
      </c>
      <c r="B2181" s="12">
        <v>12.82</v>
      </c>
      <c r="C2181" s="11">
        <v>0</v>
      </c>
      <c r="D2181" s="11">
        <v>2.1581652689756288</v>
      </c>
    </row>
    <row r="2182" spans="1:4" x14ac:dyDescent="0.2">
      <c r="A2182" s="10" t="s">
        <v>2181</v>
      </c>
      <c r="B2182" s="12">
        <v>13.07</v>
      </c>
      <c r="C2182" s="11">
        <v>0</v>
      </c>
      <c r="D2182" s="11">
        <v>1.9106692518912676</v>
      </c>
    </row>
    <row r="2183" spans="1:4" x14ac:dyDescent="0.2">
      <c r="A2183" s="10" t="s">
        <v>2182</v>
      </c>
      <c r="B2183" s="12">
        <v>14.51</v>
      </c>
      <c r="C2183" s="11">
        <v>0</v>
      </c>
      <c r="D2183" s="11">
        <v>0.48509219348534771</v>
      </c>
    </row>
    <row r="2184" spans="1:4" x14ac:dyDescent="0.2">
      <c r="A2184" s="10" t="s">
        <v>2183</v>
      </c>
      <c r="B2184" s="12">
        <v>13.09</v>
      </c>
      <c r="C2184" s="11">
        <v>0</v>
      </c>
      <c r="D2184" s="11">
        <v>1.8908695705245187</v>
      </c>
    </row>
    <row r="2185" spans="1:4" x14ac:dyDescent="0.2">
      <c r="A2185" s="10" t="s">
        <v>2184</v>
      </c>
      <c r="B2185" s="12">
        <v>14.67</v>
      </c>
      <c r="C2185" s="11">
        <v>0</v>
      </c>
      <c r="D2185" s="11">
        <v>0.33659458323473113</v>
      </c>
    </row>
    <row r="2186" spans="1:4" x14ac:dyDescent="0.2">
      <c r="A2186" s="10" t="s">
        <v>2185</v>
      </c>
      <c r="B2186" s="12">
        <v>13.81</v>
      </c>
      <c r="C2186" s="11">
        <v>0</v>
      </c>
      <c r="D2186" s="11">
        <v>1.1780810413215588</v>
      </c>
    </row>
    <row r="2187" spans="1:4" x14ac:dyDescent="0.2">
      <c r="A2187" s="10" t="s">
        <v>2186</v>
      </c>
      <c r="B2187" s="12">
        <v>14.89</v>
      </c>
      <c r="C2187" s="11">
        <v>0</v>
      </c>
      <c r="D2187" s="11">
        <v>0.11879808820049331</v>
      </c>
    </row>
    <row r="2188" spans="1:4" x14ac:dyDescent="0.2">
      <c r="A2188" s="10" t="s">
        <v>2187</v>
      </c>
      <c r="B2188" s="12">
        <v>13.77</v>
      </c>
      <c r="C2188" s="11">
        <v>0</v>
      </c>
      <c r="D2188" s="11">
        <v>1.2176804040550566</v>
      </c>
    </row>
    <row r="2189" spans="1:4" x14ac:dyDescent="0.2">
      <c r="A2189" s="10" t="s">
        <v>2188</v>
      </c>
      <c r="B2189" s="12">
        <v>13.61</v>
      </c>
      <c r="C2189" s="11">
        <v>0</v>
      </c>
      <c r="D2189" s="11">
        <v>1.3760778549890476</v>
      </c>
    </row>
    <row r="2190" spans="1:4" x14ac:dyDescent="0.2">
      <c r="A2190" s="10" t="s">
        <v>2189</v>
      </c>
      <c r="B2190" s="12">
        <v>14.92</v>
      </c>
      <c r="C2190" s="11">
        <v>0</v>
      </c>
      <c r="D2190" s="11">
        <v>7.9198725466995551E-2</v>
      </c>
    </row>
    <row r="2191" spans="1:4" x14ac:dyDescent="0.2">
      <c r="A2191" s="10" t="s">
        <v>2190</v>
      </c>
      <c r="B2191" s="12">
        <v>15.13</v>
      </c>
      <c r="C2191" s="11">
        <v>0.12869792888386777</v>
      </c>
      <c r="D2191" s="11">
        <v>0</v>
      </c>
    </row>
    <row r="2192" spans="1:4" x14ac:dyDescent="0.2">
      <c r="A2192" s="10" t="s">
        <v>2191</v>
      </c>
      <c r="B2192" s="12">
        <v>14.37</v>
      </c>
      <c r="C2192" s="11">
        <v>0</v>
      </c>
      <c r="D2192" s="11">
        <v>0.62368996305258995</v>
      </c>
    </row>
    <row r="2193" spans="1:4" x14ac:dyDescent="0.2">
      <c r="A2193" s="10" t="s">
        <v>2192</v>
      </c>
      <c r="B2193" s="12">
        <v>13.66</v>
      </c>
      <c r="C2193" s="11">
        <v>0</v>
      </c>
      <c r="D2193" s="11">
        <v>1.3265786515721756</v>
      </c>
    </row>
    <row r="2194" spans="1:4" x14ac:dyDescent="0.2">
      <c r="A2194" s="10" t="s">
        <v>2193</v>
      </c>
      <c r="B2194" s="12">
        <v>13.82</v>
      </c>
      <c r="C2194" s="11">
        <v>0</v>
      </c>
      <c r="D2194" s="11">
        <v>1.1681812006381842</v>
      </c>
    </row>
    <row r="2195" spans="1:4" x14ac:dyDescent="0.2">
      <c r="A2195" s="10" t="s">
        <v>2194</v>
      </c>
      <c r="B2195" s="12">
        <v>13.38</v>
      </c>
      <c r="C2195" s="11">
        <v>0</v>
      </c>
      <c r="D2195" s="11">
        <v>1.6037741907066601</v>
      </c>
    </row>
    <row r="2196" spans="1:4" x14ac:dyDescent="0.2">
      <c r="A2196" s="10" t="s">
        <v>2195</v>
      </c>
      <c r="B2196" s="12">
        <v>15.94</v>
      </c>
      <c r="C2196" s="11">
        <v>0.93058502423719758</v>
      </c>
      <c r="D2196" s="11">
        <v>0</v>
      </c>
    </row>
    <row r="2197" spans="1:4" x14ac:dyDescent="0.2">
      <c r="A2197" s="10" t="s">
        <v>2196</v>
      </c>
      <c r="B2197" s="12">
        <v>14.08</v>
      </c>
      <c r="C2197" s="11">
        <v>0</v>
      </c>
      <c r="D2197" s="11">
        <v>0.91078534287044888</v>
      </c>
    </row>
    <row r="2198" spans="1:4" x14ac:dyDescent="0.2">
      <c r="A2198" s="10" t="s">
        <v>2197</v>
      </c>
      <c r="B2198" s="12">
        <v>15.05</v>
      </c>
      <c r="C2198" s="11">
        <v>4.9499203416872223E-2</v>
      </c>
      <c r="D2198" s="11">
        <v>0</v>
      </c>
    </row>
    <row r="2199" spans="1:4" x14ac:dyDescent="0.2">
      <c r="A2199" s="10" t="s">
        <v>2198</v>
      </c>
      <c r="B2199" s="12">
        <v>16.899999999999999</v>
      </c>
      <c r="C2199" s="11">
        <v>1.8809697298411441</v>
      </c>
      <c r="D2199" s="11">
        <v>0</v>
      </c>
    </row>
    <row r="2200" spans="1:4" x14ac:dyDescent="0.2">
      <c r="A2200" s="10" t="s">
        <v>2199</v>
      </c>
      <c r="B2200" s="12">
        <v>13.14</v>
      </c>
      <c r="C2200" s="11">
        <v>0</v>
      </c>
      <c r="D2200" s="11">
        <v>1.8413703671076467</v>
      </c>
    </row>
    <row r="2201" spans="1:4" x14ac:dyDescent="0.2">
      <c r="A2201" s="10" t="s">
        <v>2200</v>
      </c>
      <c r="B2201" s="12">
        <v>13.96</v>
      </c>
      <c r="C2201" s="11">
        <v>0</v>
      </c>
      <c r="D2201" s="11">
        <v>1.0295834310709422</v>
      </c>
    </row>
    <row r="2202" spans="1:4" x14ac:dyDescent="0.2">
      <c r="A2202" s="10" t="s">
        <v>2201</v>
      </c>
      <c r="B2202" s="12">
        <v>14.62</v>
      </c>
      <c r="C2202" s="11">
        <v>0</v>
      </c>
      <c r="D2202" s="11">
        <v>0.37619394596822886</v>
      </c>
    </row>
    <row r="2203" spans="1:4" x14ac:dyDescent="0.2">
      <c r="A2203" s="10" t="s">
        <v>2202</v>
      </c>
      <c r="B2203" s="12">
        <v>12.55</v>
      </c>
      <c r="C2203" s="11">
        <v>0</v>
      </c>
      <c r="D2203" s="11">
        <v>2.4254609674267389</v>
      </c>
    </row>
    <row r="2204" spans="1:4" x14ac:dyDescent="0.2">
      <c r="A2204" s="10" t="s">
        <v>2203</v>
      </c>
      <c r="B2204" s="12">
        <v>13.74</v>
      </c>
      <c r="C2204" s="11">
        <v>0</v>
      </c>
      <c r="D2204" s="11">
        <v>1.2473799261051799</v>
      </c>
    </row>
    <row r="2205" spans="1:4" x14ac:dyDescent="0.2">
      <c r="A2205" s="10" t="s">
        <v>2204</v>
      </c>
      <c r="B2205" s="12">
        <v>13.83</v>
      </c>
      <c r="C2205" s="11">
        <v>0</v>
      </c>
      <c r="D2205" s="11">
        <v>1.1582813599548099</v>
      </c>
    </row>
    <row r="2206" spans="1:4" x14ac:dyDescent="0.2">
      <c r="A2206" s="10" t="s">
        <v>2205</v>
      </c>
      <c r="B2206" s="12">
        <v>14.69</v>
      </c>
      <c r="C2206" s="11">
        <v>0</v>
      </c>
      <c r="D2206" s="11">
        <v>0.30689506118460774</v>
      </c>
    </row>
    <row r="2207" spans="1:4" x14ac:dyDescent="0.2">
      <c r="A2207" s="10" t="s">
        <v>2206</v>
      </c>
      <c r="B2207" s="12">
        <v>14.93</v>
      </c>
      <c r="C2207" s="11">
        <v>0</v>
      </c>
      <c r="D2207" s="11">
        <v>6.9298884783621117E-2</v>
      </c>
    </row>
    <row r="2208" spans="1:4" x14ac:dyDescent="0.2">
      <c r="A2208" s="10" t="s">
        <v>2207</v>
      </c>
      <c r="B2208" s="12">
        <v>13.04</v>
      </c>
      <c r="C2208" s="11">
        <v>0</v>
      </c>
      <c r="D2208" s="11">
        <v>1.9403687739413908</v>
      </c>
    </row>
    <row r="2209" spans="1:4" x14ac:dyDescent="0.2">
      <c r="A2209" s="10" t="s">
        <v>2208</v>
      </c>
      <c r="B2209" s="12">
        <v>13.89</v>
      </c>
      <c r="C2209" s="11">
        <v>0</v>
      </c>
      <c r="D2209" s="11">
        <v>1.0988823158545633</v>
      </c>
    </row>
    <row r="2210" spans="1:4" x14ac:dyDescent="0.2">
      <c r="A2210" s="10" t="s">
        <v>2209</v>
      </c>
      <c r="B2210" s="12">
        <v>13.46</v>
      </c>
      <c r="C2210" s="11">
        <v>0</v>
      </c>
      <c r="D2210" s="11">
        <v>1.5245754652396644</v>
      </c>
    </row>
    <row r="2211" spans="1:4" x14ac:dyDescent="0.2">
      <c r="A2211" s="10" t="s">
        <v>2210</v>
      </c>
      <c r="B2211" s="12">
        <v>13.06</v>
      </c>
      <c r="C2211" s="11">
        <v>0</v>
      </c>
      <c r="D2211" s="11">
        <v>1.9205690925746419</v>
      </c>
    </row>
    <row r="2212" spans="1:4" x14ac:dyDescent="0.2">
      <c r="A2212" s="10" t="s">
        <v>2211</v>
      </c>
      <c r="B2212" s="12">
        <v>15.29</v>
      </c>
      <c r="C2212" s="11">
        <v>0.28709537981785882</v>
      </c>
      <c r="D2212" s="11">
        <v>0</v>
      </c>
    </row>
    <row r="2213" spans="1:4" x14ac:dyDescent="0.2">
      <c r="A2213" s="10" t="s">
        <v>2212</v>
      </c>
      <c r="B2213" s="12">
        <v>12.67</v>
      </c>
      <c r="C2213" s="11">
        <v>0</v>
      </c>
      <c r="D2213" s="11">
        <v>2.3066628792262454</v>
      </c>
    </row>
    <row r="2214" spans="1:4" x14ac:dyDescent="0.2">
      <c r="A2214" s="10" t="s">
        <v>2213</v>
      </c>
      <c r="B2214" s="12">
        <v>13.76</v>
      </c>
      <c r="C2214" s="11">
        <v>0</v>
      </c>
      <c r="D2214" s="11">
        <v>1.227580244738431</v>
      </c>
    </row>
    <row r="2215" spans="1:4" x14ac:dyDescent="0.2">
      <c r="A2215" s="10" t="s">
        <v>2214</v>
      </c>
      <c r="B2215" s="12">
        <v>15.44</v>
      </c>
      <c r="C2215" s="11">
        <v>0.43559299006847552</v>
      </c>
      <c r="D2215" s="11">
        <v>0</v>
      </c>
    </row>
    <row r="2216" spans="1:4" x14ac:dyDescent="0.2">
      <c r="A2216" s="10" t="s">
        <v>2215</v>
      </c>
      <c r="B2216" s="12">
        <v>15.1</v>
      </c>
      <c r="C2216" s="11">
        <v>9.8998406833744446E-2</v>
      </c>
      <c r="D2216" s="11">
        <v>0</v>
      </c>
    </row>
    <row r="2217" spans="1:4" x14ac:dyDescent="0.2">
      <c r="A2217" s="10" t="s">
        <v>2216</v>
      </c>
      <c r="B2217" s="12">
        <v>14.01</v>
      </c>
      <c r="C2217" s="11">
        <v>0</v>
      </c>
      <c r="D2217" s="11">
        <v>0.98008422765406988</v>
      </c>
    </row>
    <row r="2218" spans="1:4" x14ac:dyDescent="0.2">
      <c r="A2218" s="10" t="s">
        <v>2217</v>
      </c>
      <c r="B2218" s="12">
        <v>14.65</v>
      </c>
      <c r="C2218" s="11">
        <v>0</v>
      </c>
      <c r="D2218" s="11">
        <v>0.34649442391810548</v>
      </c>
    </row>
    <row r="2219" spans="1:4" x14ac:dyDescent="0.2">
      <c r="A2219" s="10" t="s">
        <v>2218</v>
      </c>
      <c r="B2219" s="12">
        <v>14.31</v>
      </c>
      <c r="C2219" s="11">
        <v>0</v>
      </c>
      <c r="D2219" s="11">
        <v>0.68308900715283649</v>
      </c>
    </row>
    <row r="2220" spans="1:4" x14ac:dyDescent="0.2">
      <c r="A2220" s="10" t="s">
        <v>2219</v>
      </c>
      <c r="B2220" s="12">
        <v>12.7</v>
      </c>
      <c r="C2220" s="11">
        <v>0</v>
      </c>
      <c r="D2220" s="11">
        <v>2.2769633571761219</v>
      </c>
    </row>
    <row r="2221" spans="1:4" x14ac:dyDescent="0.2">
      <c r="A2221" s="10" t="s">
        <v>2220</v>
      </c>
      <c r="B2221" s="12">
        <v>15.04</v>
      </c>
      <c r="C2221" s="11">
        <v>3.9599362733497775E-2</v>
      </c>
      <c r="D2221" s="11">
        <v>0</v>
      </c>
    </row>
    <row r="2222" spans="1:4" x14ac:dyDescent="0.2">
      <c r="A2222" s="10" t="s">
        <v>2221</v>
      </c>
      <c r="B2222" s="12">
        <v>13.96</v>
      </c>
      <c r="C2222" s="11">
        <v>0</v>
      </c>
      <c r="D2222" s="11">
        <v>1.0295834310709422</v>
      </c>
    </row>
    <row r="2223" spans="1:4" x14ac:dyDescent="0.2">
      <c r="A2223" s="10" t="s">
        <v>2222</v>
      </c>
      <c r="B2223" s="12">
        <v>14.79</v>
      </c>
      <c r="C2223" s="11">
        <v>0</v>
      </c>
      <c r="D2223" s="11">
        <v>0.2078966543508633</v>
      </c>
    </row>
    <row r="2224" spans="1:4" x14ac:dyDescent="0.2">
      <c r="A2224" s="10" t="s">
        <v>2223</v>
      </c>
      <c r="B2224" s="12">
        <v>15.51</v>
      </c>
      <c r="C2224" s="11">
        <v>0.50489187485209663</v>
      </c>
      <c r="D2224" s="11">
        <v>0</v>
      </c>
    </row>
    <row r="2225" spans="1:4" x14ac:dyDescent="0.2">
      <c r="A2225" s="10" t="s">
        <v>2224</v>
      </c>
      <c r="B2225" s="12">
        <v>14.39</v>
      </c>
      <c r="C2225" s="11">
        <v>0</v>
      </c>
      <c r="D2225" s="11">
        <v>0.60389028168584102</v>
      </c>
    </row>
    <row r="2226" spans="1:4" x14ac:dyDescent="0.2">
      <c r="A2226" s="10" t="s">
        <v>2225</v>
      </c>
      <c r="B2226" s="12">
        <v>14.65</v>
      </c>
      <c r="C2226" s="11">
        <v>0</v>
      </c>
      <c r="D2226" s="11">
        <v>0.34649442391810548</v>
      </c>
    </row>
    <row r="2227" spans="1:4" x14ac:dyDescent="0.2">
      <c r="A2227" s="10" t="s">
        <v>2226</v>
      </c>
      <c r="B2227" s="12">
        <v>13.21</v>
      </c>
      <c r="C2227" s="11">
        <v>0</v>
      </c>
      <c r="D2227" s="11">
        <v>1.7720714823240253</v>
      </c>
    </row>
    <row r="2228" spans="1:4" x14ac:dyDescent="0.2">
      <c r="A2228" s="10" t="s">
        <v>2227</v>
      </c>
      <c r="B2228" s="12">
        <v>13.18</v>
      </c>
      <c r="C2228" s="11">
        <v>0</v>
      </c>
      <c r="D2228" s="11">
        <v>1.8017710043741488</v>
      </c>
    </row>
    <row r="2229" spans="1:4" x14ac:dyDescent="0.2">
      <c r="A2229" s="10" t="s">
        <v>2228</v>
      </c>
      <c r="B2229" s="12">
        <v>14.29</v>
      </c>
      <c r="C2229" s="11">
        <v>0</v>
      </c>
      <c r="D2229" s="11">
        <v>0.70288868851958541</v>
      </c>
    </row>
    <row r="2230" spans="1:4" x14ac:dyDescent="0.2">
      <c r="A2230" s="10" t="s">
        <v>2229</v>
      </c>
      <c r="B2230" s="12">
        <v>15.06</v>
      </c>
      <c r="C2230" s="11">
        <v>5.9399044100246656E-2</v>
      </c>
      <c r="D2230" s="11">
        <v>0</v>
      </c>
    </row>
    <row r="2231" spans="1:4" x14ac:dyDescent="0.2">
      <c r="A2231" s="10" t="s">
        <v>2230</v>
      </c>
      <c r="B2231" s="12">
        <v>16.149999999999999</v>
      </c>
      <c r="C2231" s="11">
        <v>1.1384816785880609</v>
      </c>
      <c r="D2231" s="11">
        <v>0</v>
      </c>
    </row>
    <row r="2232" spans="1:4" x14ac:dyDescent="0.2">
      <c r="A2232" s="10" t="s">
        <v>2231</v>
      </c>
      <c r="B2232" s="12">
        <v>14.07</v>
      </c>
      <c r="C2232" s="11">
        <v>0</v>
      </c>
      <c r="D2232" s="11">
        <v>0.92068518355382334</v>
      </c>
    </row>
    <row r="2233" spans="1:4" x14ac:dyDescent="0.2">
      <c r="A2233" s="10" t="s">
        <v>2232</v>
      </c>
      <c r="B2233" s="12">
        <v>14.81</v>
      </c>
      <c r="C2233" s="11">
        <v>0</v>
      </c>
      <c r="D2233" s="11">
        <v>0.18809697298411443</v>
      </c>
    </row>
    <row r="2234" spans="1:4" x14ac:dyDescent="0.2">
      <c r="A2234" s="10" t="s">
        <v>2233</v>
      </c>
      <c r="B2234" s="12">
        <v>15.19</v>
      </c>
      <c r="C2234" s="11">
        <v>0.18809697298411443</v>
      </c>
      <c r="D2234" s="11">
        <v>0</v>
      </c>
    </row>
    <row r="2235" spans="1:4" x14ac:dyDescent="0.2">
      <c r="A2235" s="10" t="s">
        <v>2234</v>
      </c>
      <c r="B2235" s="12">
        <v>13.62</v>
      </c>
      <c r="C2235" s="11">
        <v>0</v>
      </c>
      <c r="D2235" s="11">
        <v>1.366178014305673</v>
      </c>
    </row>
    <row r="2236" spans="1:4" x14ac:dyDescent="0.2">
      <c r="A2236" s="10" t="s">
        <v>2235</v>
      </c>
      <c r="B2236" s="12">
        <v>15.33</v>
      </c>
      <c r="C2236" s="11">
        <v>0.32669474255135666</v>
      </c>
      <c r="D2236" s="11">
        <v>0</v>
      </c>
    </row>
    <row r="2237" spans="1:4" x14ac:dyDescent="0.2">
      <c r="A2237" s="10" t="s">
        <v>2236</v>
      </c>
      <c r="B2237" s="12">
        <v>14.37</v>
      </c>
      <c r="C2237" s="11">
        <v>0</v>
      </c>
      <c r="D2237" s="11">
        <v>0.62368996305258995</v>
      </c>
    </row>
    <row r="2238" spans="1:4" x14ac:dyDescent="0.2">
      <c r="A2238" s="10" t="s">
        <v>2237</v>
      </c>
      <c r="B2238" s="12">
        <v>15.69</v>
      </c>
      <c r="C2238" s="11">
        <v>0.68308900715283649</v>
      </c>
      <c r="D2238" s="11">
        <v>0</v>
      </c>
    </row>
    <row r="2239" spans="1:4" x14ac:dyDescent="0.2">
      <c r="A2239" s="10" t="s">
        <v>2238</v>
      </c>
      <c r="B2239" s="12">
        <v>13.02</v>
      </c>
      <c r="C2239" s="11">
        <v>0</v>
      </c>
      <c r="D2239" s="11">
        <v>1.9601684553081398</v>
      </c>
    </row>
    <row r="2240" spans="1:4" x14ac:dyDescent="0.2">
      <c r="A2240" s="10" t="s">
        <v>2239</v>
      </c>
      <c r="B2240" s="12">
        <v>12.73</v>
      </c>
      <c r="C2240" s="11">
        <v>0</v>
      </c>
      <c r="D2240" s="11">
        <v>2.2472638351259988</v>
      </c>
    </row>
    <row r="2241" spans="1:4" x14ac:dyDescent="0.2">
      <c r="A2241" s="10" t="s">
        <v>2240</v>
      </c>
      <c r="B2241" s="12">
        <v>14.76</v>
      </c>
      <c r="C2241" s="11">
        <v>0</v>
      </c>
      <c r="D2241" s="11">
        <v>0.23759617640098663</v>
      </c>
    </row>
    <row r="2242" spans="1:4" x14ac:dyDescent="0.2">
      <c r="A2242" s="10" t="s">
        <v>2241</v>
      </c>
      <c r="B2242" s="12">
        <v>12.85</v>
      </c>
      <c r="C2242" s="11">
        <v>0</v>
      </c>
      <c r="D2242" s="11">
        <v>2.1284657469255053</v>
      </c>
    </row>
    <row r="2243" spans="1:4" x14ac:dyDescent="0.2">
      <c r="A2243" s="10" t="s">
        <v>2242</v>
      </c>
      <c r="B2243" s="12">
        <v>14.58</v>
      </c>
      <c r="C2243" s="11">
        <v>0</v>
      </c>
      <c r="D2243" s="11">
        <v>0.41579330870172659</v>
      </c>
    </row>
    <row r="2244" spans="1:4" x14ac:dyDescent="0.2">
      <c r="A2244" s="10" t="s">
        <v>2243</v>
      </c>
      <c r="B2244" s="12">
        <v>14.94</v>
      </c>
      <c r="C2244" s="11">
        <v>0</v>
      </c>
      <c r="D2244" s="11">
        <v>5.9399044100246656E-2</v>
      </c>
    </row>
    <row r="2245" spans="1:4" x14ac:dyDescent="0.2">
      <c r="A2245" s="10" t="s">
        <v>2244</v>
      </c>
      <c r="B2245" s="12">
        <v>14.89</v>
      </c>
      <c r="C2245" s="11">
        <v>0</v>
      </c>
      <c r="D2245" s="11">
        <v>0.10889824751711888</v>
      </c>
    </row>
    <row r="2246" spans="1:4" x14ac:dyDescent="0.2">
      <c r="A2246" s="10" t="s">
        <v>2245</v>
      </c>
      <c r="B2246" s="12">
        <v>13.29</v>
      </c>
      <c r="C2246" s="11">
        <v>0</v>
      </c>
      <c r="D2246" s="11">
        <v>1.6928727568570299</v>
      </c>
    </row>
    <row r="2247" spans="1:4" x14ac:dyDescent="0.2">
      <c r="A2247" s="10" t="s">
        <v>2246</v>
      </c>
      <c r="B2247" s="12">
        <v>12.19</v>
      </c>
      <c r="C2247" s="11">
        <v>0</v>
      </c>
      <c r="D2247" s="11">
        <v>2.7818552320282186</v>
      </c>
    </row>
    <row r="2248" spans="1:4" x14ac:dyDescent="0.2">
      <c r="A2248" s="10" t="s">
        <v>2247</v>
      </c>
      <c r="B2248" s="12">
        <v>13.18</v>
      </c>
      <c r="C2248" s="11">
        <v>0</v>
      </c>
      <c r="D2248" s="11">
        <v>1.8017710043741488</v>
      </c>
    </row>
    <row r="2249" spans="1:4" x14ac:dyDescent="0.2">
      <c r="A2249" s="10" t="s">
        <v>2248</v>
      </c>
      <c r="B2249" s="12">
        <v>15.41</v>
      </c>
      <c r="C2249" s="11">
        <v>0.40589346801835213</v>
      </c>
      <c r="D2249" s="11">
        <v>0</v>
      </c>
    </row>
    <row r="2250" spans="1:4" x14ac:dyDescent="0.2">
      <c r="A2250" s="10" t="s">
        <v>2249</v>
      </c>
      <c r="B2250" s="12">
        <v>13.56</v>
      </c>
      <c r="C2250" s="11">
        <v>0</v>
      </c>
      <c r="D2250" s="11">
        <v>1.4255770584059198</v>
      </c>
    </row>
    <row r="2251" spans="1:4" x14ac:dyDescent="0.2">
      <c r="A2251" s="10" t="s">
        <v>2250</v>
      </c>
      <c r="B2251" s="12">
        <v>14.1</v>
      </c>
      <c r="C2251" s="11">
        <v>0</v>
      </c>
      <c r="D2251" s="11">
        <v>0.89098566150369995</v>
      </c>
    </row>
    <row r="2252" spans="1:4" x14ac:dyDescent="0.2">
      <c r="A2252" s="10" t="s">
        <v>2251</v>
      </c>
      <c r="B2252" s="12">
        <v>14.71</v>
      </c>
      <c r="C2252" s="11">
        <v>0</v>
      </c>
      <c r="D2252" s="11">
        <v>0.28709537981785882</v>
      </c>
    </row>
    <row r="2253" spans="1:4" x14ac:dyDescent="0.2">
      <c r="A2253" s="10" t="s">
        <v>2252</v>
      </c>
      <c r="B2253" s="12">
        <v>14.7</v>
      </c>
      <c r="C2253" s="11">
        <v>0</v>
      </c>
      <c r="D2253" s="11">
        <v>0.29699522050123328</v>
      </c>
    </row>
    <row r="2254" spans="1:4" x14ac:dyDescent="0.2">
      <c r="A2254" s="10" t="s">
        <v>2253</v>
      </c>
      <c r="B2254" s="12">
        <v>13.72</v>
      </c>
      <c r="C2254" s="11">
        <v>0</v>
      </c>
      <c r="D2254" s="11">
        <v>1.2671796074719288</v>
      </c>
    </row>
    <row r="2255" spans="1:4" x14ac:dyDescent="0.2">
      <c r="A2255" s="10" t="s">
        <v>2254</v>
      </c>
      <c r="B2255" s="12">
        <v>13.19</v>
      </c>
      <c r="C2255" s="11">
        <v>0</v>
      </c>
      <c r="D2255" s="11">
        <v>1.7918711636907743</v>
      </c>
    </row>
    <row r="2256" spans="1:4" x14ac:dyDescent="0.2">
      <c r="A2256" s="10" t="s">
        <v>2255</v>
      </c>
      <c r="B2256" s="12">
        <v>14.1</v>
      </c>
      <c r="C2256" s="11">
        <v>0</v>
      </c>
      <c r="D2256" s="11">
        <v>0.89098566150369995</v>
      </c>
    </row>
    <row r="2257" spans="1:4" x14ac:dyDescent="0.2">
      <c r="A2257" s="10" t="s">
        <v>2256</v>
      </c>
      <c r="B2257" s="12">
        <v>14.16</v>
      </c>
      <c r="C2257" s="11">
        <v>0</v>
      </c>
      <c r="D2257" s="11">
        <v>0.83158661740345319</v>
      </c>
    </row>
    <row r="2258" spans="1:4" x14ac:dyDescent="0.2">
      <c r="A2258" s="10" t="s">
        <v>2257</v>
      </c>
      <c r="B2258" s="12">
        <v>14.7</v>
      </c>
      <c r="C2258" s="11">
        <v>0</v>
      </c>
      <c r="D2258" s="11">
        <v>0.29699522050123328</v>
      </c>
    </row>
    <row r="2259" spans="1:4" x14ac:dyDescent="0.2">
      <c r="A2259" s="10" t="s">
        <v>2258</v>
      </c>
      <c r="B2259" s="12">
        <v>14.56</v>
      </c>
      <c r="C2259" s="11">
        <v>0</v>
      </c>
      <c r="D2259" s="11">
        <v>0.43559299006847552</v>
      </c>
    </row>
    <row r="2260" spans="1:4" x14ac:dyDescent="0.2">
      <c r="A2260" s="10" t="s">
        <v>2259</v>
      </c>
      <c r="B2260" s="12">
        <v>14.67</v>
      </c>
      <c r="C2260" s="11">
        <v>0</v>
      </c>
      <c r="D2260" s="11">
        <v>0.32669474255135666</v>
      </c>
    </row>
    <row r="2261" spans="1:4" x14ac:dyDescent="0.2">
      <c r="A2261" s="10" t="s">
        <v>2260</v>
      </c>
      <c r="B2261" s="12">
        <v>16.34</v>
      </c>
      <c r="C2261" s="11">
        <v>1.3265786515721756</v>
      </c>
      <c r="D2261" s="11">
        <v>0</v>
      </c>
    </row>
    <row r="2262" spans="1:4" x14ac:dyDescent="0.2">
      <c r="A2262" s="10" t="s">
        <v>2261</v>
      </c>
      <c r="B2262" s="12">
        <v>15.2</v>
      </c>
      <c r="C2262" s="11">
        <v>0.19799681366748889</v>
      </c>
      <c r="D2262" s="11">
        <v>0</v>
      </c>
    </row>
    <row r="2263" spans="1:4" x14ac:dyDescent="0.2">
      <c r="A2263" s="10" t="s">
        <v>2262</v>
      </c>
      <c r="B2263" s="12">
        <v>13.31</v>
      </c>
      <c r="C2263" s="11">
        <v>0</v>
      </c>
      <c r="D2263" s="11">
        <v>1.6730730754902809</v>
      </c>
    </row>
    <row r="2264" spans="1:4" x14ac:dyDescent="0.2">
      <c r="A2264" s="10" t="s">
        <v>2263</v>
      </c>
      <c r="B2264" s="12">
        <v>13.95</v>
      </c>
      <c r="C2264" s="11">
        <v>0</v>
      </c>
      <c r="D2264" s="11">
        <v>1.0394832717543165</v>
      </c>
    </row>
    <row r="2265" spans="1:4" x14ac:dyDescent="0.2">
      <c r="A2265" s="10" t="s">
        <v>2264</v>
      </c>
      <c r="B2265" s="12">
        <v>14.53</v>
      </c>
      <c r="C2265" s="11">
        <v>0</v>
      </c>
      <c r="D2265" s="11">
        <v>0.46529251211859879</v>
      </c>
    </row>
    <row r="2266" spans="1:4" x14ac:dyDescent="0.2">
      <c r="A2266" s="10" t="s">
        <v>2265</v>
      </c>
      <c r="B2266" s="12">
        <v>13.09</v>
      </c>
      <c r="C2266" s="11">
        <v>0</v>
      </c>
      <c r="D2266" s="11">
        <v>1.8908695705245187</v>
      </c>
    </row>
    <row r="2267" spans="1:4" x14ac:dyDescent="0.2">
      <c r="A2267" s="10" t="s">
        <v>2266</v>
      </c>
      <c r="B2267" s="12">
        <v>13.36</v>
      </c>
      <c r="C2267" s="11">
        <v>0</v>
      </c>
      <c r="D2267" s="11">
        <v>1.6235738720734085</v>
      </c>
    </row>
    <row r="2268" spans="1:4" x14ac:dyDescent="0.2">
      <c r="A2268" s="10" t="s">
        <v>2267</v>
      </c>
      <c r="B2268" s="12">
        <v>15.8</v>
      </c>
      <c r="C2268" s="11">
        <v>0.79198725466995556</v>
      </c>
      <c r="D2268" s="11">
        <v>0</v>
      </c>
    </row>
    <row r="2269" spans="1:4" x14ac:dyDescent="0.2">
      <c r="A2269" s="10" t="s">
        <v>2268</v>
      </c>
      <c r="B2269" s="12">
        <v>11.89</v>
      </c>
      <c r="C2269" s="11">
        <v>0</v>
      </c>
      <c r="D2269" s="11">
        <v>3.0788504525294518</v>
      </c>
    </row>
    <row r="2270" spans="1:4" x14ac:dyDescent="0.2">
      <c r="A2270" s="10" t="s">
        <v>2269</v>
      </c>
      <c r="B2270" s="12">
        <v>13.36</v>
      </c>
      <c r="C2270" s="11">
        <v>0</v>
      </c>
      <c r="D2270" s="11">
        <v>1.6235738720734085</v>
      </c>
    </row>
    <row r="2271" spans="1:4" x14ac:dyDescent="0.2">
      <c r="A2271" s="10" t="s">
        <v>2270</v>
      </c>
      <c r="B2271" s="12">
        <v>15.99</v>
      </c>
      <c r="C2271" s="11">
        <v>0.98008422765406988</v>
      </c>
      <c r="D2271" s="11">
        <v>0</v>
      </c>
    </row>
    <row r="2272" spans="1:4" x14ac:dyDescent="0.2">
      <c r="A2272" s="10" t="s">
        <v>2271</v>
      </c>
      <c r="B2272" s="12">
        <v>14.3</v>
      </c>
      <c r="C2272" s="11">
        <v>0</v>
      </c>
      <c r="D2272" s="11">
        <v>0.69298884783621095</v>
      </c>
    </row>
    <row r="2273" spans="1:4" x14ac:dyDescent="0.2">
      <c r="A2273" s="10" t="s">
        <v>2272</v>
      </c>
      <c r="B2273" s="12">
        <v>15.57</v>
      </c>
      <c r="C2273" s="11">
        <v>0.56429091895234318</v>
      </c>
      <c r="D2273" s="11">
        <v>0</v>
      </c>
    </row>
    <row r="2274" spans="1:4" x14ac:dyDescent="0.2">
      <c r="A2274" s="10" t="s">
        <v>2273</v>
      </c>
      <c r="B2274" s="12">
        <v>13.01</v>
      </c>
      <c r="C2274" s="11">
        <v>0</v>
      </c>
      <c r="D2274" s="11">
        <v>1.9700682959915143</v>
      </c>
    </row>
    <row r="2275" spans="1:4" x14ac:dyDescent="0.2">
      <c r="A2275" s="10" t="s">
        <v>2274</v>
      </c>
      <c r="B2275" s="12">
        <v>13.43</v>
      </c>
      <c r="C2275" s="11">
        <v>0</v>
      </c>
      <c r="D2275" s="11">
        <v>1.5542749872897876</v>
      </c>
    </row>
    <row r="2276" spans="1:4" x14ac:dyDescent="0.2">
      <c r="A2276" s="10" t="s">
        <v>2275</v>
      </c>
      <c r="B2276" s="12">
        <v>13.94</v>
      </c>
      <c r="C2276" s="11">
        <v>0</v>
      </c>
      <c r="D2276" s="11">
        <v>1.0493831124376911</v>
      </c>
    </row>
    <row r="2277" spans="1:4" x14ac:dyDescent="0.2">
      <c r="A2277" s="10" t="s">
        <v>2276</v>
      </c>
      <c r="B2277" s="12">
        <v>14.32</v>
      </c>
      <c r="C2277" s="11">
        <v>0</v>
      </c>
      <c r="D2277" s="11">
        <v>0.67318916646946225</v>
      </c>
    </row>
    <row r="2278" spans="1:4" x14ac:dyDescent="0.2">
      <c r="A2278" s="10" t="s">
        <v>2277</v>
      </c>
      <c r="B2278" s="12">
        <v>13.9</v>
      </c>
      <c r="C2278" s="11">
        <v>0</v>
      </c>
      <c r="D2278" s="11">
        <v>1.088982475171189</v>
      </c>
    </row>
    <row r="2279" spans="1:4" x14ac:dyDescent="0.2">
      <c r="A2279" s="10" t="s">
        <v>2278</v>
      </c>
      <c r="B2279" s="12">
        <v>13.64</v>
      </c>
      <c r="C2279" s="11">
        <v>0</v>
      </c>
      <c r="D2279" s="11">
        <v>1.3463783329389245</v>
      </c>
    </row>
    <row r="2280" spans="1:4" x14ac:dyDescent="0.2">
      <c r="A2280" s="10" t="s">
        <v>2279</v>
      </c>
      <c r="B2280" s="12">
        <v>14.38</v>
      </c>
      <c r="C2280" s="11">
        <v>0</v>
      </c>
      <c r="D2280" s="11">
        <v>0.61379012236921549</v>
      </c>
    </row>
    <row r="2281" spans="1:4" x14ac:dyDescent="0.2">
      <c r="A2281" s="10" t="s">
        <v>2280</v>
      </c>
      <c r="B2281" s="12">
        <v>13.38</v>
      </c>
      <c r="C2281" s="11">
        <v>0</v>
      </c>
      <c r="D2281" s="11">
        <v>1.6037741907066601</v>
      </c>
    </row>
    <row r="2282" spans="1:4" x14ac:dyDescent="0.2">
      <c r="A2282" s="10" t="s">
        <v>2281</v>
      </c>
      <c r="B2282" s="12">
        <v>16.5</v>
      </c>
      <c r="C2282" s="11">
        <v>1.4849761025061665</v>
      </c>
      <c r="D2282" s="11">
        <v>0</v>
      </c>
    </row>
    <row r="2283" spans="1:4" x14ac:dyDescent="0.2">
      <c r="A2283" s="10" t="s">
        <v>2282</v>
      </c>
      <c r="B2283" s="12">
        <v>14.55</v>
      </c>
      <c r="C2283" s="11">
        <v>0</v>
      </c>
      <c r="D2283" s="11">
        <v>0.44549283075184998</v>
      </c>
    </row>
    <row r="2284" spans="1:4" x14ac:dyDescent="0.2">
      <c r="A2284" s="10" t="s">
        <v>2283</v>
      </c>
      <c r="B2284" s="12">
        <v>14.59</v>
      </c>
      <c r="C2284" s="11">
        <v>0</v>
      </c>
      <c r="D2284" s="11">
        <v>0.40589346801835213</v>
      </c>
    </row>
    <row r="2285" spans="1:4" x14ac:dyDescent="0.2">
      <c r="A2285" s="10" t="s">
        <v>2284</v>
      </c>
      <c r="B2285" s="12">
        <v>15.07</v>
      </c>
      <c r="C2285" s="11">
        <v>6.9298884783621117E-2</v>
      </c>
      <c r="D2285" s="11">
        <v>0</v>
      </c>
    </row>
    <row r="2286" spans="1:4" x14ac:dyDescent="0.2">
      <c r="A2286" s="10" t="s">
        <v>2285</v>
      </c>
      <c r="B2286" s="12">
        <v>15.17</v>
      </c>
      <c r="C2286" s="11">
        <v>0.16829729161736556</v>
      </c>
      <c r="D2286" s="11">
        <v>0</v>
      </c>
    </row>
    <row r="2287" spans="1:4" x14ac:dyDescent="0.2">
      <c r="A2287" s="10" t="s">
        <v>2286</v>
      </c>
      <c r="B2287" s="12">
        <v>13.65</v>
      </c>
      <c r="C2287" s="11">
        <v>0</v>
      </c>
      <c r="D2287" s="11">
        <v>1.3364784922555499</v>
      </c>
    </row>
    <row r="2288" spans="1:4" x14ac:dyDescent="0.2">
      <c r="A2288" s="10" t="s">
        <v>2287</v>
      </c>
      <c r="B2288" s="12">
        <v>15.22</v>
      </c>
      <c r="C2288" s="11">
        <v>0.21779649503423776</v>
      </c>
      <c r="D2288" s="11">
        <v>0</v>
      </c>
    </row>
    <row r="2289" spans="1:4" x14ac:dyDescent="0.2">
      <c r="A2289" s="10" t="s">
        <v>2288</v>
      </c>
      <c r="B2289" s="12">
        <v>13.96</v>
      </c>
      <c r="C2289" s="11">
        <v>0</v>
      </c>
      <c r="D2289" s="11">
        <v>1.0295834310709422</v>
      </c>
    </row>
    <row r="2290" spans="1:4" x14ac:dyDescent="0.2">
      <c r="A2290" s="10" t="s">
        <v>2289</v>
      </c>
      <c r="B2290" s="12">
        <v>15.93</v>
      </c>
      <c r="C2290" s="11">
        <v>0.92068518355382334</v>
      </c>
      <c r="D2290" s="11">
        <v>0</v>
      </c>
    </row>
    <row r="2291" spans="1:4" x14ac:dyDescent="0.2">
      <c r="A2291" s="10" t="s">
        <v>2290</v>
      </c>
      <c r="B2291" s="12">
        <v>14.84</v>
      </c>
      <c r="C2291" s="11">
        <v>0</v>
      </c>
      <c r="D2291" s="11">
        <v>0.1583974509339911</v>
      </c>
    </row>
    <row r="2292" spans="1:4" x14ac:dyDescent="0.2">
      <c r="A2292" s="10" t="s">
        <v>2291</v>
      </c>
      <c r="B2292" s="12">
        <v>15.25</v>
      </c>
      <c r="C2292" s="11">
        <v>0.24749601708436109</v>
      </c>
      <c r="D2292" s="11">
        <v>0</v>
      </c>
    </row>
    <row r="2293" spans="1:4" x14ac:dyDescent="0.2">
      <c r="A2293" s="10" t="s">
        <v>2292</v>
      </c>
      <c r="B2293" s="12">
        <v>13.49</v>
      </c>
      <c r="C2293" s="11">
        <v>0</v>
      </c>
      <c r="D2293" s="11">
        <v>1.4948759431895409</v>
      </c>
    </row>
    <row r="2294" spans="1:4" x14ac:dyDescent="0.2">
      <c r="A2294" s="10" t="s">
        <v>2293</v>
      </c>
      <c r="B2294" s="12">
        <v>12.78</v>
      </c>
      <c r="C2294" s="11">
        <v>0</v>
      </c>
      <c r="D2294" s="11">
        <v>2.1977646317091266</v>
      </c>
    </row>
    <row r="2295" spans="1:4" x14ac:dyDescent="0.2">
      <c r="A2295" s="10" t="s">
        <v>2294</v>
      </c>
      <c r="B2295" s="12">
        <v>13.53</v>
      </c>
      <c r="C2295" s="11">
        <v>0</v>
      </c>
      <c r="D2295" s="11">
        <v>1.4552765804560432</v>
      </c>
    </row>
    <row r="2296" spans="1:4" x14ac:dyDescent="0.2">
      <c r="A2296" s="10" t="s">
        <v>2295</v>
      </c>
      <c r="B2296" s="12">
        <v>13.39</v>
      </c>
      <c r="C2296" s="11">
        <v>0</v>
      </c>
      <c r="D2296" s="11">
        <v>1.5938743500232855</v>
      </c>
    </row>
    <row r="2297" spans="1:4" x14ac:dyDescent="0.2">
      <c r="A2297" s="10" t="s">
        <v>2296</v>
      </c>
      <c r="B2297" s="12">
        <v>15.36</v>
      </c>
      <c r="C2297" s="11">
        <v>0.35639426460147994</v>
      </c>
      <c r="D2297" s="11">
        <v>0</v>
      </c>
    </row>
    <row r="2298" spans="1:4" x14ac:dyDescent="0.2">
      <c r="A2298" s="10" t="s">
        <v>2297</v>
      </c>
      <c r="B2298" s="12">
        <v>12.64</v>
      </c>
      <c r="C2298" s="11">
        <v>0</v>
      </c>
      <c r="D2298" s="11">
        <v>2.3363624012763684</v>
      </c>
    </row>
    <row r="2299" spans="1:4" x14ac:dyDescent="0.2">
      <c r="A2299" s="10" t="s">
        <v>2298</v>
      </c>
      <c r="B2299" s="12">
        <v>14.19</v>
      </c>
      <c r="C2299" s="11">
        <v>0</v>
      </c>
      <c r="D2299" s="11">
        <v>0.80188709535333003</v>
      </c>
    </row>
    <row r="2300" spans="1:4" x14ac:dyDescent="0.2">
      <c r="A2300" s="10" t="s">
        <v>2299</v>
      </c>
      <c r="B2300" s="12">
        <v>13.41</v>
      </c>
      <c r="C2300" s="11">
        <v>0</v>
      </c>
      <c r="D2300" s="11">
        <v>1.5740746686565366</v>
      </c>
    </row>
    <row r="2301" spans="1:4" x14ac:dyDescent="0.2">
      <c r="A2301" s="10" t="s">
        <v>2300</v>
      </c>
      <c r="B2301" s="12">
        <v>14.65</v>
      </c>
      <c r="C2301" s="11">
        <v>0</v>
      </c>
      <c r="D2301" s="11">
        <v>0.34649442391810548</v>
      </c>
    </row>
    <row r="2302" spans="1:4" x14ac:dyDescent="0.2">
      <c r="A2302" s="10" t="s">
        <v>2301</v>
      </c>
      <c r="B2302" s="12">
        <v>15.44</v>
      </c>
      <c r="C2302" s="11">
        <v>0.43559299006847552</v>
      </c>
      <c r="D2302" s="11">
        <v>0</v>
      </c>
    </row>
    <row r="2303" spans="1:4" x14ac:dyDescent="0.2">
      <c r="A2303" s="10" t="s">
        <v>2302</v>
      </c>
      <c r="B2303" s="12">
        <v>14.58</v>
      </c>
      <c r="C2303" s="11">
        <v>0</v>
      </c>
      <c r="D2303" s="11">
        <v>0.41579330870172659</v>
      </c>
    </row>
    <row r="2304" spans="1:4" x14ac:dyDescent="0.2">
      <c r="A2304" s="10" t="s">
        <v>2303</v>
      </c>
      <c r="B2304" s="12">
        <v>14.19</v>
      </c>
      <c r="C2304" s="11">
        <v>0</v>
      </c>
      <c r="D2304" s="11">
        <v>0.80188709535333003</v>
      </c>
    </row>
    <row r="2305" spans="1:4" x14ac:dyDescent="0.2">
      <c r="A2305" s="10" t="s">
        <v>2304</v>
      </c>
      <c r="B2305" s="12">
        <v>13.55</v>
      </c>
      <c r="C2305" s="11">
        <v>0</v>
      </c>
      <c r="D2305" s="11">
        <v>1.4354768990892943</v>
      </c>
    </row>
    <row r="2306" spans="1:4" x14ac:dyDescent="0.2">
      <c r="A2306" s="10" t="s">
        <v>2305</v>
      </c>
      <c r="B2306" s="12">
        <v>13.15</v>
      </c>
      <c r="C2306" s="11">
        <v>0</v>
      </c>
      <c r="D2306" s="11">
        <v>1.8314705264242721</v>
      </c>
    </row>
    <row r="2307" spans="1:4" x14ac:dyDescent="0.2">
      <c r="A2307" s="10" t="s">
        <v>2306</v>
      </c>
      <c r="B2307" s="12">
        <v>13.77</v>
      </c>
      <c r="C2307" s="11">
        <v>0</v>
      </c>
      <c r="D2307" s="11">
        <v>1.2176804040550566</v>
      </c>
    </row>
    <row r="2308" spans="1:4" x14ac:dyDescent="0.2">
      <c r="A2308" s="10" t="s">
        <v>2307</v>
      </c>
      <c r="B2308" s="12">
        <v>13.06</v>
      </c>
      <c r="C2308" s="11">
        <v>0</v>
      </c>
      <c r="D2308" s="11">
        <v>1.9205690925746419</v>
      </c>
    </row>
    <row r="2309" spans="1:4" x14ac:dyDescent="0.2">
      <c r="A2309" s="10" t="s">
        <v>2308</v>
      </c>
      <c r="B2309" s="12">
        <v>13.44</v>
      </c>
      <c r="C2309" s="11">
        <v>0</v>
      </c>
      <c r="D2309" s="11">
        <v>1.5443751466064133</v>
      </c>
    </row>
    <row r="2310" spans="1:4" x14ac:dyDescent="0.2">
      <c r="A2310" s="10" t="s">
        <v>2309</v>
      </c>
      <c r="B2310" s="12">
        <v>14.05</v>
      </c>
      <c r="C2310" s="11">
        <v>0</v>
      </c>
      <c r="D2310" s="11">
        <v>0.94048486492057204</v>
      </c>
    </row>
    <row r="2311" spans="1:4" x14ac:dyDescent="0.2">
      <c r="A2311" s="10" t="s">
        <v>2310</v>
      </c>
      <c r="B2311" s="12">
        <v>14.2</v>
      </c>
      <c r="C2311" s="11">
        <v>0</v>
      </c>
      <c r="D2311" s="11">
        <v>0.79198725466995556</v>
      </c>
    </row>
    <row r="2312" spans="1:4" x14ac:dyDescent="0.2">
      <c r="A2312" s="10" t="s">
        <v>2311</v>
      </c>
      <c r="B2312" s="12">
        <v>13.67</v>
      </c>
      <c r="C2312" s="11">
        <v>0</v>
      </c>
      <c r="D2312" s="11">
        <v>1.316678810888801</v>
      </c>
    </row>
    <row r="2313" spans="1:4" x14ac:dyDescent="0.2">
      <c r="A2313" s="10" t="s">
        <v>2312</v>
      </c>
      <c r="B2313" s="12">
        <v>14.23</v>
      </c>
      <c r="C2313" s="11">
        <v>0</v>
      </c>
      <c r="D2313" s="11">
        <v>0.76228773261983218</v>
      </c>
    </row>
    <row r="2314" spans="1:4" x14ac:dyDescent="0.2">
      <c r="A2314" s="10" t="s">
        <v>2313</v>
      </c>
      <c r="B2314" s="12">
        <v>13.38</v>
      </c>
      <c r="C2314" s="11">
        <v>0</v>
      </c>
      <c r="D2314" s="11">
        <v>1.6037741907066601</v>
      </c>
    </row>
    <row r="2315" spans="1:4" x14ac:dyDescent="0.2">
      <c r="A2315" s="10" t="s">
        <v>2314</v>
      </c>
      <c r="B2315" s="12">
        <v>13.82</v>
      </c>
      <c r="C2315" s="11">
        <v>0</v>
      </c>
      <c r="D2315" s="11">
        <v>1.1681812006381842</v>
      </c>
    </row>
    <row r="2316" spans="1:4" x14ac:dyDescent="0.2">
      <c r="A2316" s="10" t="s">
        <v>2315</v>
      </c>
      <c r="B2316" s="12">
        <v>15.2</v>
      </c>
      <c r="C2316" s="11">
        <v>0.19799681366748889</v>
      </c>
      <c r="D2316" s="11">
        <v>0</v>
      </c>
    </row>
    <row r="2317" spans="1:4" x14ac:dyDescent="0.2">
      <c r="A2317" s="10" t="s">
        <v>2316</v>
      </c>
      <c r="B2317" s="12">
        <v>13.28</v>
      </c>
      <c r="C2317" s="11">
        <v>0</v>
      </c>
      <c r="D2317" s="11">
        <v>1.7027725975404042</v>
      </c>
    </row>
    <row r="2318" spans="1:4" x14ac:dyDescent="0.2">
      <c r="A2318" s="10" t="s">
        <v>2317</v>
      </c>
      <c r="B2318" s="12">
        <v>13.74</v>
      </c>
      <c r="C2318" s="11">
        <v>0</v>
      </c>
      <c r="D2318" s="11">
        <v>1.2473799261051799</v>
      </c>
    </row>
    <row r="2319" spans="1:4" x14ac:dyDescent="0.2">
      <c r="A2319" s="10" t="s">
        <v>2318</v>
      </c>
      <c r="B2319" s="12">
        <v>15.18</v>
      </c>
      <c r="C2319" s="11">
        <v>0.17819713230073997</v>
      </c>
      <c r="D2319" s="11">
        <v>0</v>
      </c>
    </row>
    <row r="2320" spans="1:4" x14ac:dyDescent="0.2">
      <c r="A2320" s="10" t="s">
        <v>2319</v>
      </c>
      <c r="B2320" s="12">
        <v>15.22</v>
      </c>
      <c r="C2320" s="11">
        <v>0.21779649503423776</v>
      </c>
      <c r="D2320" s="11">
        <v>0</v>
      </c>
    </row>
    <row r="2321" spans="1:4" x14ac:dyDescent="0.2">
      <c r="A2321" s="10" t="s">
        <v>2320</v>
      </c>
      <c r="B2321" s="12">
        <v>13.46</v>
      </c>
      <c r="C2321" s="11">
        <v>0</v>
      </c>
      <c r="D2321" s="11">
        <v>1.5245754652396644</v>
      </c>
    </row>
    <row r="2322" spans="1:4" x14ac:dyDescent="0.2">
      <c r="A2322" s="10" t="s">
        <v>2321</v>
      </c>
      <c r="B2322" s="12">
        <v>13</v>
      </c>
      <c r="C2322" s="11">
        <v>0</v>
      </c>
      <c r="D2322" s="11">
        <v>1.9799681366748887</v>
      </c>
    </row>
    <row r="2323" spans="1:4" x14ac:dyDescent="0.2">
      <c r="A2323" s="10" t="s">
        <v>2322</v>
      </c>
      <c r="B2323" s="12">
        <v>13.54</v>
      </c>
      <c r="C2323" s="11">
        <v>0</v>
      </c>
      <c r="D2323" s="11">
        <v>1.4453767397726687</v>
      </c>
    </row>
    <row r="2324" spans="1:4" x14ac:dyDescent="0.2">
      <c r="A2324" s="10" t="s">
        <v>2323</v>
      </c>
      <c r="B2324" s="12">
        <v>14.58</v>
      </c>
      <c r="C2324" s="11">
        <v>0</v>
      </c>
      <c r="D2324" s="11">
        <v>0.41579330870172659</v>
      </c>
    </row>
    <row r="2325" spans="1:4" x14ac:dyDescent="0.2">
      <c r="A2325" s="10" t="s">
        <v>2324</v>
      </c>
      <c r="B2325" s="12">
        <v>13.98</v>
      </c>
      <c r="C2325" s="11">
        <v>0</v>
      </c>
      <c r="D2325" s="11">
        <v>1.0097837497041933</v>
      </c>
    </row>
    <row r="2326" spans="1:4" x14ac:dyDescent="0.2">
      <c r="A2326" s="10" t="s">
        <v>2325</v>
      </c>
      <c r="B2326" s="12">
        <v>13.27</v>
      </c>
      <c r="C2326" s="11">
        <v>0</v>
      </c>
      <c r="D2326" s="11">
        <v>1.7126724382237788</v>
      </c>
    </row>
    <row r="2327" spans="1:4" x14ac:dyDescent="0.2">
      <c r="A2327" s="10" t="s">
        <v>2326</v>
      </c>
      <c r="B2327" s="12">
        <v>12.76</v>
      </c>
      <c r="C2327" s="11">
        <v>0</v>
      </c>
      <c r="D2327" s="11">
        <v>2.2175643130758758</v>
      </c>
    </row>
    <row r="2328" spans="1:4" x14ac:dyDescent="0.2">
      <c r="A2328" s="10" t="s">
        <v>2327</v>
      </c>
      <c r="B2328" s="12">
        <v>18.18</v>
      </c>
      <c r="C2328" s="11">
        <v>3.1481493373130731</v>
      </c>
      <c r="D2328" s="11">
        <v>0</v>
      </c>
    </row>
    <row r="2329" spans="1:4" x14ac:dyDescent="0.2">
      <c r="A2329" s="10" t="s">
        <v>2328</v>
      </c>
      <c r="B2329" s="12">
        <v>15.27</v>
      </c>
      <c r="C2329" s="11">
        <v>0.26729569845111001</v>
      </c>
      <c r="D2329" s="11">
        <v>0</v>
      </c>
    </row>
    <row r="2330" spans="1:4" x14ac:dyDescent="0.2">
      <c r="A2330" s="10" t="s">
        <v>2329</v>
      </c>
      <c r="B2330" s="12">
        <v>15.55</v>
      </c>
      <c r="C2330" s="11">
        <v>0.54449123758559448</v>
      </c>
      <c r="D2330" s="11">
        <v>0</v>
      </c>
    </row>
    <row r="2331" spans="1:4" x14ac:dyDescent="0.2">
      <c r="A2331" s="10" t="s">
        <v>2330</v>
      </c>
      <c r="B2331" s="12">
        <v>12.93</v>
      </c>
      <c r="C2331" s="11">
        <v>0</v>
      </c>
      <c r="D2331" s="11">
        <v>2.0492670214585096</v>
      </c>
    </row>
    <row r="2332" spans="1:4" x14ac:dyDescent="0.2">
      <c r="A2332" s="10" t="s">
        <v>2331</v>
      </c>
      <c r="B2332" s="12">
        <v>13.82</v>
      </c>
      <c r="C2332" s="11">
        <v>0</v>
      </c>
      <c r="D2332" s="11">
        <v>1.1681812006381842</v>
      </c>
    </row>
    <row r="2333" spans="1:4" x14ac:dyDescent="0.2">
      <c r="A2333" s="10" t="s">
        <v>2332</v>
      </c>
      <c r="B2333" s="12">
        <v>15.33</v>
      </c>
      <c r="C2333" s="11">
        <v>0.32669474255135666</v>
      </c>
      <c r="D2333" s="11">
        <v>0</v>
      </c>
    </row>
    <row r="2334" spans="1:4" x14ac:dyDescent="0.2">
      <c r="A2334" s="10" t="s">
        <v>2333</v>
      </c>
      <c r="B2334" s="12">
        <v>13.92</v>
      </c>
      <c r="C2334" s="11">
        <v>0</v>
      </c>
      <c r="D2334" s="11">
        <v>1.06918279380444</v>
      </c>
    </row>
    <row r="2335" spans="1:4" x14ac:dyDescent="0.2">
      <c r="A2335" s="10" t="s">
        <v>2334</v>
      </c>
      <c r="B2335" s="12">
        <v>13.37</v>
      </c>
      <c r="C2335" s="11">
        <v>0</v>
      </c>
      <c r="D2335" s="11">
        <v>1.6136740313900342</v>
      </c>
    </row>
    <row r="2336" spans="1:4" x14ac:dyDescent="0.2">
      <c r="A2336" s="10" t="s">
        <v>2335</v>
      </c>
      <c r="B2336" s="12">
        <v>13.56</v>
      </c>
      <c r="C2336" s="11">
        <v>0</v>
      </c>
      <c r="D2336" s="11">
        <v>1.4255770584059198</v>
      </c>
    </row>
    <row r="2337" spans="1:4" x14ac:dyDescent="0.2">
      <c r="A2337" s="10" t="s">
        <v>2336</v>
      </c>
      <c r="B2337" s="12">
        <v>14.46</v>
      </c>
      <c r="C2337" s="11">
        <v>0</v>
      </c>
      <c r="D2337" s="11">
        <v>0.53459139690222002</v>
      </c>
    </row>
    <row r="2338" spans="1:4" x14ac:dyDescent="0.2">
      <c r="A2338" s="10" t="s">
        <v>2337</v>
      </c>
      <c r="B2338" s="12">
        <v>13.47</v>
      </c>
      <c r="C2338" s="11">
        <v>0</v>
      </c>
      <c r="D2338" s="11">
        <v>1.5146756245562898</v>
      </c>
    </row>
    <row r="2339" spans="1:4" x14ac:dyDescent="0.2">
      <c r="A2339" s="10" t="s">
        <v>2338</v>
      </c>
      <c r="B2339" s="12">
        <v>16.760000000000002</v>
      </c>
      <c r="C2339" s="11">
        <v>1.7423719602739021</v>
      </c>
      <c r="D2339" s="11">
        <v>0</v>
      </c>
    </row>
    <row r="2340" spans="1:4" x14ac:dyDescent="0.2">
      <c r="A2340" s="10" t="s">
        <v>2339</v>
      </c>
      <c r="B2340" s="12">
        <v>16.23</v>
      </c>
      <c r="C2340" s="11">
        <v>1.2176804040550566</v>
      </c>
      <c r="D2340" s="11">
        <v>0</v>
      </c>
    </row>
    <row r="2341" spans="1:4" x14ac:dyDescent="0.2">
      <c r="A2341" s="10" t="s">
        <v>2340</v>
      </c>
      <c r="B2341" s="12">
        <v>12.96</v>
      </c>
      <c r="C2341" s="11">
        <v>0</v>
      </c>
      <c r="D2341" s="11">
        <v>2.0195674994083865</v>
      </c>
    </row>
    <row r="2342" spans="1:4" x14ac:dyDescent="0.2">
      <c r="A2342" s="10" t="s">
        <v>2341</v>
      </c>
      <c r="B2342" s="12">
        <v>13.53</v>
      </c>
      <c r="C2342" s="11">
        <v>0</v>
      </c>
      <c r="D2342" s="11">
        <v>1.4552765804560432</v>
      </c>
    </row>
    <row r="2343" spans="1:4" x14ac:dyDescent="0.2">
      <c r="A2343" s="10" t="s">
        <v>2342</v>
      </c>
      <c r="B2343" s="12">
        <v>13.4</v>
      </c>
      <c r="C2343" s="11">
        <v>0</v>
      </c>
      <c r="D2343" s="11">
        <v>1.5839745093399111</v>
      </c>
    </row>
    <row r="2344" spans="1:4" x14ac:dyDescent="0.2">
      <c r="A2344" s="10" t="s">
        <v>2343</v>
      </c>
      <c r="B2344" s="12">
        <v>14.45</v>
      </c>
      <c r="C2344" s="11">
        <v>0</v>
      </c>
      <c r="D2344" s="11">
        <v>0.54449123758559448</v>
      </c>
    </row>
    <row r="2345" spans="1:4" x14ac:dyDescent="0.2">
      <c r="A2345" s="10" t="s">
        <v>2344</v>
      </c>
      <c r="B2345" s="12">
        <v>12.55</v>
      </c>
      <c r="C2345" s="11">
        <v>0</v>
      </c>
      <c r="D2345" s="11">
        <v>2.4254609674267389</v>
      </c>
    </row>
    <row r="2346" spans="1:4" x14ac:dyDescent="0.2">
      <c r="A2346" s="10" t="s">
        <v>2345</v>
      </c>
      <c r="B2346" s="12">
        <v>12.44</v>
      </c>
      <c r="C2346" s="11">
        <v>0</v>
      </c>
      <c r="D2346" s="11">
        <v>2.5343592149438576</v>
      </c>
    </row>
    <row r="2347" spans="1:4" x14ac:dyDescent="0.2">
      <c r="A2347" s="10" t="s">
        <v>2346</v>
      </c>
      <c r="B2347" s="12">
        <v>15.48</v>
      </c>
      <c r="C2347" s="11">
        <v>0.47519235280197325</v>
      </c>
      <c r="D2347" s="11">
        <v>0</v>
      </c>
    </row>
    <row r="2348" spans="1:4" x14ac:dyDescent="0.2">
      <c r="A2348" s="10" t="s">
        <v>2347</v>
      </c>
      <c r="B2348" s="12">
        <v>14.05</v>
      </c>
      <c r="C2348" s="11">
        <v>0</v>
      </c>
      <c r="D2348" s="11">
        <v>0.94048486492057204</v>
      </c>
    </row>
    <row r="2349" spans="1:4" x14ac:dyDescent="0.2">
      <c r="A2349" s="10" t="s">
        <v>2348</v>
      </c>
      <c r="B2349" s="12">
        <v>14.34</v>
      </c>
      <c r="C2349" s="11">
        <v>0</v>
      </c>
      <c r="D2349" s="11">
        <v>0.65338948510271333</v>
      </c>
    </row>
    <row r="2350" spans="1:4" x14ac:dyDescent="0.2">
      <c r="A2350" s="10" t="s">
        <v>2349</v>
      </c>
      <c r="B2350" s="12">
        <v>14.74</v>
      </c>
      <c r="C2350" s="11">
        <v>0</v>
      </c>
      <c r="D2350" s="11">
        <v>0.25739585776773555</v>
      </c>
    </row>
    <row r="2351" spans="1:4" x14ac:dyDescent="0.2">
      <c r="A2351" s="10" t="s">
        <v>2350</v>
      </c>
      <c r="B2351" s="12">
        <v>12.98</v>
      </c>
      <c r="C2351" s="11">
        <v>0</v>
      </c>
      <c r="D2351" s="11">
        <v>1.9997678180416376</v>
      </c>
    </row>
    <row r="2352" spans="1:4" x14ac:dyDescent="0.2">
      <c r="A2352" s="10" t="s">
        <v>2351</v>
      </c>
      <c r="B2352" s="12">
        <v>14.33</v>
      </c>
      <c r="C2352" s="11">
        <v>0</v>
      </c>
      <c r="D2352" s="11">
        <v>0.66328932578608779</v>
      </c>
    </row>
    <row r="2353" spans="1:4" x14ac:dyDescent="0.2">
      <c r="A2353" s="10" t="s">
        <v>2352</v>
      </c>
      <c r="B2353" s="12">
        <v>14.03</v>
      </c>
      <c r="C2353" s="11">
        <v>0</v>
      </c>
      <c r="D2353" s="11">
        <v>0.96028454628732096</v>
      </c>
    </row>
    <row r="2354" spans="1:4" x14ac:dyDescent="0.2">
      <c r="A2354" s="10" t="s">
        <v>2353</v>
      </c>
      <c r="B2354" s="12">
        <v>12.84</v>
      </c>
      <c r="C2354" s="11">
        <v>0</v>
      </c>
      <c r="D2354" s="11">
        <v>2.1383655876088801</v>
      </c>
    </row>
    <row r="2355" spans="1:4" x14ac:dyDescent="0.2">
      <c r="A2355" s="10" t="s">
        <v>2354</v>
      </c>
      <c r="B2355" s="12">
        <v>15.26</v>
      </c>
      <c r="C2355" s="11">
        <v>0.25739585776773555</v>
      </c>
      <c r="D2355" s="11">
        <v>0</v>
      </c>
    </row>
    <row r="2356" spans="1:4" x14ac:dyDescent="0.2">
      <c r="A2356" s="10" t="s">
        <v>2355</v>
      </c>
      <c r="B2356" s="12">
        <v>14.36</v>
      </c>
      <c r="C2356" s="11">
        <v>0</v>
      </c>
      <c r="D2356" s="11">
        <v>0.63358980373596441</v>
      </c>
    </row>
    <row r="2357" spans="1:4" x14ac:dyDescent="0.2">
      <c r="A2357" s="10" t="s">
        <v>2356</v>
      </c>
      <c r="B2357" s="12">
        <v>12.84</v>
      </c>
      <c r="C2357" s="11">
        <v>0</v>
      </c>
      <c r="D2357" s="11">
        <v>2.1383655876088801</v>
      </c>
    </row>
    <row r="2358" spans="1:4" x14ac:dyDescent="0.2">
      <c r="A2358" s="10" t="s">
        <v>2357</v>
      </c>
      <c r="B2358" s="12">
        <v>16.39</v>
      </c>
      <c r="C2358" s="11">
        <v>1.3760778549890476</v>
      </c>
      <c r="D2358" s="11">
        <v>0</v>
      </c>
    </row>
    <row r="2359" spans="1:4" x14ac:dyDescent="0.2">
      <c r="A2359" s="10" t="s">
        <v>2358</v>
      </c>
      <c r="B2359" s="12">
        <v>14.54</v>
      </c>
      <c r="C2359" s="11">
        <v>0</v>
      </c>
      <c r="D2359" s="11">
        <v>0.45539267143522444</v>
      </c>
    </row>
    <row r="2360" spans="1:4" x14ac:dyDescent="0.2">
      <c r="A2360" s="10" t="s">
        <v>2359</v>
      </c>
      <c r="B2360" s="12">
        <v>12.8</v>
      </c>
      <c r="C2360" s="11">
        <v>0</v>
      </c>
      <c r="D2360" s="11">
        <v>2.1779649503423779</v>
      </c>
    </row>
    <row r="2361" spans="1:4" x14ac:dyDescent="0.2">
      <c r="A2361" s="10" t="s">
        <v>2360</v>
      </c>
      <c r="B2361" s="12">
        <v>14.24</v>
      </c>
      <c r="C2361" s="11">
        <v>0</v>
      </c>
      <c r="D2361" s="11">
        <v>0.75238789193645772</v>
      </c>
    </row>
    <row r="2362" spans="1:4" x14ac:dyDescent="0.2">
      <c r="A2362" s="10" t="s">
        <v>2361</v>
      </c>
      <c r="B2362" s="12">
        <v>15.85</v>
      </c>
      <c r="C2362" s="11">
        <v>0.84148645808682765</v>
      </c>
      <c r="D2362" s="11">
        <v>0</v>
      </c>
    </row>
    <row r="2363" spans="1:4" x14ac:dyDescent="0.2">
      <c r="A2363" s="10" t="s">
        <v>2362</v>
      </c>
      <c r="B2363" s="12">
        <v>13.37</v>
      </c>
      <c r="C2363" s="11">
        <v>0</v>
      </c>
      <c r="D2363" s="11">
        <v>1.6136740313900342</v>
      </c>
    </row>
    <row r="2364" spans="1:4" x14ac:dyDescent="0.2">
      <c r="A2364" s="10" t="s">
        <v>2363</v>
      </c>
      <c r="B2364" s="12">
        <v>16.2</v>
      </c>
      <c r="C2364" s="11">
        <v>1.1879808820049331</v>
      </c>
      <c r="D2364" s="11">
        <v>0</v>
      </c>
    </row>
    <row r="2365" spans="1:4" x14ac:dyDescent="0.2">
      <c r="A2365" s="10" t="s">
        <v>2364</v>
      </c>
      <c r="B2365" s="12">
        <v>14.42</v>
      </c>
      <c r="C2365" s="11">
        <v>0</v>
      </c>
      <c r="D2365" s="11">
        <v>0.57419075963571764</v>
      </c>
    </row>
    <row r="2366" spans="1:4" x14ac:dyDescent="0.2">
      <c r="A2366" s="10" t="s">
        <v>2365</v>
      </c>
      <c r="B2366" s="12">
        <v>15.86</v>
      </c>
      <c r="C2366" s="11">
        <v>0.85138629877020211</v>
      </c>
      <c r="D2366" s="11">
        <v>0</v>
      </c>
    </row>
    <row r="2367" spans="1:4" x14ac:dyDescent="0.2">
      <c r="A2367" s="10" t="s">
        <v>2366</v>
      </c>
      <c r="B2367" s="12">
        <v>12.81</v>
      </c>
      <c r="C2367" s="11">
        <v>0</v>
      </c>
      <c r="D2367" s="11">
        <v>2.1680651096590031</v>
      </c>
    </row>
    <row r="2368" spans="1:4" x14ac:dyDescent="0.2">
      <c r="A2368" s="10" t="s">
        <v>2367</v>
      </c>
      <c r="B2368" s="12">
        <v>14.56</v>
      </c>
      <c r="C2368" s="11">
        <v>0</v>
      </c>
      <c r="D2368" s="11">
        <v>0.43559299006847552</v>
      </c>
    </row>
    <row r="2369" spans="1:4" x14ac:dyDescent="0.2">
      <c r="A2369" s="10" t="s">
        <v>2368</v>
      </c>
      <c r="B2369" s="12">
        <v>12.85</v>
      </c>
      <c r="C2369" s="11">
        <v>0</v>
      </c>
      <c r="D2369" s="11">
        <v>2.1284657469255053</v>
      </c>
    </row>
    <row r="2370" spans="1:4" x14ac:dyDescent="0.2">
      <c r="A2370" s="10" t="s">
        <v>2369</v>
      </c>
      <c r="B2370" s="12">
        <v>13.78</v>
      </c>
      <c r="C2370" s="11">
        <v>0</v>
      </c>
      <c r="D2370" s="11">
        <v>1.207780563371682</v>
      </c>
    </row>
    <row r="2371" spans="1:4" x14ac:dyDescent="0.2">
      <c r="A2371" s="10" t="s">
        <v>2370</v>
      </c>
      <c r="B2371" s="12">
        <v>15.33</v>
      </c>
      <c r="C2371" s="11">
        <v>0.32669474255135666</v>
      </c>
      <c r="D2371" s="11">
        <v>0</v>
      </c>
    </row>
    <row r="2372" spans="1:4" x14ac:dyDescent="0.2">
      <c r="A2372" s="10" t="s">
        <v>2371</v>
      </c>
      <c r="B2372" s="12">
        <v>14.34</v>
      </c>
      <c r="C2372" s="11">
        <v>0</v>
      </c>
      <c r="D2372" s="11">
        <v>0.65338948510271333</v>
      </c>
    </row>
    <row r="2373" spans="1:4" x14ac:dyDescent="0.2">
      <c r="A2373" s="10" t="s">
        <v>2372</v>
      </c>
      <c r="B2373" s="12">
        <v>11.6</v>
      </c>
      <c r="C2373" s="11">
        <v>0</v>
      </c>
      <c r="D2373" s="11">
        <v>3.3758456730306854</v>
      </c>
    </row>
    <row r="2374" spans="1:4" x14ac:dyDescent="0.2">
      <c r="A2374" s="10" t="s">
        <v>2373</v>
      </c>
      <c r="B2374" s="12">
        <v>12.51</v>
      </c>
      <c r="C2374" s="11">
        <v>0</v>
      </c>
      <c r="D2374" s="11">
        <v>2.4650603301602367</v>
      </c>
    </row>
    <row r="2375" spans="1:4" x14ac:dyDescent="0.2">
      <c r="A2375" s="10" t="s">
        <v>2374</v>
      </c>
      <c r="B2375" s="12">
        <v>14.17</v>
      </c>
      <c r="C2375" s="11">
        <v>0</v>
      </c>
      <c r="D2375" s="11">
        <v>0.82168677672007873</v>
      </c>
    </row>
    <row r="2376" spans="1:4" x14ac:dyDescent="0.2">
      <c r="A2376" s="10" t="s">
        <v>2375</v>
      </c>
      <c r="B2376" s="12">
        <v>14.83</v>
      </c>
      <c r="C2376" s="11">
        <v>0</v>
      </c>
      <c r="D2376" s="11">
        <v>0.16829729161736556</v>
      </c>
    </row>
    <row r="2377" spans="1:4" x14ac:dyDescent="0.2">
      <c r="A2377" s="10" t="s">
        <v>2376</v>
      </c>
      <c r="B2377" s="12">
        <v>14.72</v>
      </c>
      <c r="C2377" s="11">
        <v>0</v>
      </c>
      <c r="D2377" s="11">
        <v>0.27719553913448447</v>
      </c>
    </row>
    <row r="2378" spans="1:4" x14ac:dyDescent="0.2">
      <c r="A2378" s="10" t="s">
        <v>2377</v>
      </c>
      <c r="B2378" s="12">
        <v>14.26</v>
      </c>
      <c r="C2378" s="11">
        <v>0</v>
      </c>
      <c r="D2378" s="11">
        <v>0.7325882105697088</v>
      </c>
    </row>
    <row r="2379" spans="1:4" x14ac:dyDescent="0.2">
      <c r="A2379" s="10" t="s">
        <v>2378</v>
      </c>
      <c r="B2379" s="12">
        <v>14.89</v>
      </c>
      <c r="C2379" s="11">
        <v>0</v>
      </c>
      <c r="D2379" s="11">
        <v>0.10889824751711888</v>
      </c>
    </row>
    <row r="2380" spans="1:4" x14ac:dyDescent="0.2">
      <c r="A2380" s="10" t="s">
        <v>2379</v>
      </c>
      <c r="B2380" s="12">
        <v>13.64</v>
      </c>
      <c r="C2380" s="11">
        <v>0</v>
      </c>
      <c r="D2380" s="11">
        <v>1.3463783329389245</v>
      </c>
    </row>
    <row r="2381" spans="1:4" x14ac:dyDescent="0.2">
      <c r="A2381" s="10" t="s">
        <v>2380</v>
      </c>
      <c r="B2381" s="12">
        <v>14.22</v>
      </c>
      <c r="C2381" s="11">
        <v>0</v>
      </c>
      <c r="D2381" s="11">
        <v>0.77218757330320664</v>
      </c>
    </row>
    <row r="2382" spans="1:4" x14ac:dyDescent="0.2">
      <c r="A2382" s="10" t="s">
        <v>2381</v>
      </c>
      <c r="B2382" s="12">
        <v>13.03</v>
      </c>
      <c r="C2382" s="11">
        <v>0</v>
      </c>
      <c r="D2382" s="11">
        <v>1.9502686146247654</v>
      </c>
    </row>
    <row r="2383" spans="1:4" x14ac:dyDescent="0.2">
      <c r="A2383" s="10" t="s">
        <v>2382</v>
      </c>
      <c r="B2383" s="12">
        <v>14.52</v>
      </c>
      <c r="C2383" s="11">
        <v>0</v>
      </c>
      <c r="D2383" s="11">
        <v>0.47519235280197325</v>
      </c>
    </row>
    <row r="2384" spans="1:4" x14ac:dyDescent="0.2">
      <c r="A2384" s="10" t="s">
        <v>2383</v>
      </c>
      <c r="B2384" s="12">
        <v>13.64</v>
      </c>
      <c r="C2384" s="11">
        <v>0</v>
      </c>
      <c r="D2384" s="11">
        <v>1.3463783329389245</v>
      </c>
    </row>
    <row r="2385" spans="1:4" x14ac:dyDescent="0.2">
      <c r="A2385" s="10" t="s">
        <v>2384</v>
      </c>
      <c r="B2385" s="12">
        <v>15.93</v>
      </c>
      <c r="C2385" s="11">
        <v>0.92068518355382334</v>
      </c>
      <c r="D2385" s="11">
        <v>0</v>
      </c>
    </row>
    <row r="2386" spans="1:4" x14ac:dyDescent="0.2">
      <c r="A2386" s="10" t="s">
        <v>2385</v>
      </c>
      <c r="B2386" s="12">
        <v>13.7</v>
      </c>
      <c r="C2386" s="11">
        <v>0</v>
      </c>
      <c r="D2386" s="11">
        <v>1.2869792888386777</v>
      </c>
    </row>
    <row r="2387" spans="1:4" x14ac:dyDescent="0.2">
      <c r="A2387" s="10" t="s">
        <v>2386</v>
      </c>
      <c r="B2387" s="12">
        <v>14.92</v>
      </c>
      <c r="C2387" s="11">
        <v>0</v>
      </c>
      <c r="D2387" s="11">
        <v>7.9198725466995551E-2</v>
      </c>
    </row>
    <row r="2388" spans="1:4" x14ac:dyDescent="0.2">
      <c r="A2388" s="10" t="s">
        <v>2387</v>
      </c>
      <c r="B2388" s="12">
        <v>15.04</v>
      </c>
      <c r="C2388" s="11">
        <v>3.9599362733497775E-2</v>
      </c>
      <c r="D2388" s="11">
        <v>0</v>
      </c>
    </row>
    <row r="2389" spans="1:4" x14ac:dyDescent="0.2">
      <c r="A2389" s="10" t="s">
        <v>2388</v>
      </c>
      <c r="B2389" s="12">
        <v>14.08</v>
      </c>
      <c r="C2389" s="11">
        <v>0</v>
      </c>
      <c r="D2389" s="11">
        <v>0.91078534287044888</v>
      </c>
    </row>
    <row r="2390" spans="1:4" x14ac:dyDescent="0.2">
      <c r="A2390" s="10" t="s">
        <v>2389</v>
      </c>
      <c r="B2390" s="12">
        <v>13.4</v>
      </c>
      <c r="C2390" s="11">
        <v>0</v>
      </c>
      <c r="D2390" s="11">
        <v>1.5839745093399111</v>
      </c>
    </row>
    <row r="2391" spans="1:4" x14ac:dyDescent="0.2">
      <c r="A2391" s="10" t="s">
        <v>2390</v>
      </c>
      <c r="B2391" s="12">
        <v>14.27</v>
      </c>
      <c r="C2391" s="11">
        <v>0</v>
      </c>
      <c r="D2391" s="11">
        <v>0.72268836988633434</v>
      </c>
    </row>
    <row r="2392" spans="1:4" x14ac:dyDescent="0.2">
      <c r="A2392" s="10" t="s">
        <v>2391</v>
      </c>
      <c r="B2392" s="12">
        <v>15.35</v>
      </c>
      <c r="C2392" s="11">
        <v>0.34649442391810548</v>
      </c>
      <c r="D2392" s="11">
        <v>0</v>
      </c>
    </row>
    <row r="2393" spans="1:4" x14ac:dyDescent="0.2">
      <c r="A2393" s="10" t="s">
        <v>2392</v>
      </c>
      <c r="B2393" s="12">
        <v>14.99</v>
      </c>
      <c r="C2393" s="11">
        <v>0</v>
      </c>
      <c r="D2393" s="11">
        <v>9.8998406833744439E-3</v>
      </c>
    </row>
    <row r="2394" spans="1:4" x14ac:dyDescent="0.2">
      <c r="A2394" s="10" t="s">
        <v>2393</v>
      </c>
      <c r="B2394" s="12">
        <v>12.54</v>
      </c>
      <c r="C2394" s="11">
        <v>0</v>
      </c>
      <c r="D2394" s="11">
        <v>2.4353608081101132</v>
      </c>
    </row>
    <row r="2395" spans="1:4" x14ac:dyDescent="0.2">
      <c r="A2395" s="10" t="s">
        <v>2394</v>
      </c>
      <c r="B2395" s="12">
        <v>14.93</v>
      </c>
      <c r="C2395" s="11">
        <v>0</v>
      </c>
      <c r="D2395" s="11">
        <v>6.9298884783621117E-2</v>
      </c>
    </row>
    <row r="2396" spans="1:4" x14ac:dyDescent="0.2">
      <c r="A2396" s="10" t="s">
        <v>2395</v>
      </c>
      <c r="B2396" s="12">
        <v>13.42</v>
      </c>
      <c r="C2396" s="11">
        <v>0</v>
      </c>
      <c r="D2396" s="11">
        <v>1.5740746686565366</v>
      </c>
    </row>
    <row r="2397" spans="1:4" x14ac:dyDescent="0.2">
      <c r="A2397" s="10" t="s">
        <v>2396</v>
      </c>
      <c r="B2397" s="12">
        <v>14.97</v>
      </c>
      <c r="C2397" s="11">
        <v>0</v>
      </c>
      <c r="D2397" s="11">
        <v>2.9699522050123328E-2</v>
      </c>
    </row>
    <row r="2398" spans="1:4" x14ac:dyDescent="0.2">
      <c r="A2398" s="10" t="s">
        <v>2397</v>
      </c>
      <c r="B2398" s="12">
        <v>13.77</v>
      </c>
      <c r="C2398" s="11">
        <v>0</v>
      </c>
      <c r="D2398" s="11">
        <v>1.2176804040550566</v>
      </c>
    </row>
    <row r="2399" spans="1:4" x14ac:dyDescent="0.2">
      <c r="A2399" s="10" t="s">
        <v>2398</v>
      </c>
      <c r="B2399" s="12">
        <v>14.19</v>
      </c>
      <c r="C2399" s="11">
        <v>0</v>
      </c>
      <c r="D2399" s="11">
        <v>0.80188709535333003</v>
      </c>
    </row>
    <row r="2400" spans="1:4" x14ac:dyDescent="0.2">
      <c r="A2400" s="10" t="s">
        <v>2399</v>
      </c>
      <c r="B2400" s="12">
        <v>13.26</v>
      </c>
      <c r="C2400" s="11">
        <v>0</v>
      </c>
      <c r="D2400" s="11">
        <v>1.7225722789071531</v>
      </c>
    </row>
    <row r="2401" spans="1:4" x14ac:dyDescent="0.2">
      <c r="A2401" s="10" t="s">
        <v>2400</v>
      </c>
      <c r="B2401" s="12">
        <v>15.06</v>
      </c>
      <c r="C2401" s="11">
        <v>5.9399044100246656E-2</v>
      </c>
      <c r="D2401" s="11">
        <v>0</v>
      </c>
    </row>
    <row r="2402" spans="1:4" x14ac:dyDescent="0.2">
      <c r="A2402" s="10" t="s">
        <v>2401</v>
      </c>
      <c r="B2402" s="12">
        <v>13.67</v>
      </c>
      <c r="C2402" s="11">
        <v>0</v>
      </c>
      <c r="D2402" s="11">
        <v>1.316678810888801</v>
      </c>
    </row>
    <row r="2403" spans="1:4" x14ac:dyDescent="0.2">
      <c r="A2403" s="10" t="s">
        <v>2402</v>
      </c>
      <c r="B2403" s="12">
        <v>14.15</v>
      </c>
      <c r="C2403" s="11">
        <v>0</v>
      </c>
      <c r="D2403" s="11">
        <v>0.84148645808682765</v>
      </c>
    </row>
    <row r="2404" spans="1:4" x14ac:dyDescent="0.2">
      <c r="A2404" s="10" t="s">
        <v>2403</v>
      </c>
      <c r="B2404" s="12">
        <v>12.61</v>
      </c>
      <c r="C2404" s="11">
        <v>0</v>
      </c>
      <c r="D2404" s="11">
        <v>2.3660619233264919</v>
      </c>
    </row>
    <row r="2405" spans="1:4" x14ac:dyDescent="0.2">
      <c r="A2405" s="10" t="s">
        <v>2404</v>
      </c>
      <c r="B2405" s="12">
        <v>13.21</v>
      </c>
      <c r="C2405" s="11">
        <v>0</v>
      </c>
      <c r="D2405" s="11">
        <v>1.7720714823240253</v>
      </c>
    </row>
    <row r="2406" spans="1:4" x14ac:dyDescent="0.2">
      <c r="A2406" s="10" t="s">
        <v>2405</v>
      </c>
      <c r="B2406" s="12">
        <v>15.35</v>
      </c>
      <c r="C2406" s="11">
        <v>0.34649442391810548</v>
      </c>
      <c r="D2406" s="11">
        <v>0</v>
      </c>
    </row>
    <row r="2407" spans="1:4" x14ac:dyDescent="0.2">
      <c r="A2407" s="10" t="s">
        <v>2406</v>
      </c>
      <c r="B2407" s="12">
        <v>15.57</v>
      </c>
      <c r="C2407" s="11">
        <v>0.56429091895234318</v>
      </c>
      <c r="D2407" s="11">
        <v>0</v>
      </c>
    </row>
    <row r="2408" spans="1:4" x14ac:dyDescent="0.2">
      <c r="A2408" s="10" t="s">
        <v>2407</v>
      </c>
      <c r="B2408" s="12">
        <v>13.07</v>
      </c>
      <c r="C2408" s="11">
        <v>0</v>
      </c>
      <c r="D2408" s="11">
        <v>1.9106692518912676</v>
      </c>
    </row>
    <row r="2409" spans="1:4" x14ac:dyDescent="0.2">
      <c r="A2409" s="10" t="s">
        <v>2408</v>
      </c>
      <c r="B2409" s="12">
        <v>12.82</v>
      </c>
      <c r="C2409" s="11">
        <v>0</v>
      </c>
      <c r="D2409" s="11">
        <v>2.1581652689756288</v>
      </c>
    </row>
    <row r="2410" spans="1:4" x14ac:dyDescent="0.2">
      <c r="A2410" s="10" t="s">
        <v>2409</v>
      </c>
      <c r="B2410" s="12">
        <v>13.15</v>
      </c>
      <c r="C2410" s="11">
        <v>0</v>
      </c>
      <c r="D2410" s="11">
        <v>1.8314705264242721</v>
      </c>
    </row>
    <row r="2411" spans="1:4" x14ac:dyDescent="0.2">
      <c r="A2411" s="10" t="s">
        <v>2410</v>
      </c>
      <c r="B2411" s="12">
        <v>13.9</v>
      </c>
      <c r="C2411" s="11">
        <v>0</v>
      </c>
      <c r="D2411" s="11">
        <v>1.088982475171189</v>
      </c>
    </row>
    <row r="2412" spans="1:4" x14ac:dyDescent="0.2">
      <c r="A2412" s="10" t="s">
        <v>2411</v>
      </c>
      <c r="B2412" s="12">
        <v>14</v>
      </c>
      <c r="C2412" s="11">
        <v>0</v>
      </c>
      <c r="D2412" s="11">
        <v>0.98998406833744435</v>
      </c>
    </row>
    <row r="2413" spans="1:4" x14ac:dyDescent="0.2">
      <c r="A2413" s="10" t="s">
        <v>2412</v>
      </c>
      <c r="B2413" s="12">
        <v>14.01</v>
      </c>
      <c r="C2413" s="11">
        <v>0</v>
      </c>
      <c r="D2413" s="11">
        <v>0.98008422765406988</v>
      </c>
    </row>
    <row r="2414" spans="1:4" x14ac:dyDescent="0.2">
      <c r="A2414" s="10" t="s">
        <v>2413</v>
      </c>
      <c r="B2414" s="12">
        <v>15.22</v>
      </c>
      <c r="C2414" s="11">
        <v>0.21779649503423776</v>
      </c>
      <c r="D2414" s="11">
        <v>0</v>
      </c>
    </row>
    <row r="2415" spans="1:4" x14ac:dyDescent="0.2">
      <c r="A2415" s="10" t="s">
        <v>2414</v>
      </c>
      <c r="B2415" s="12">
        <v>12.55</v>
      </c>
      <c r="C2415" s="11">
        <v>0</v>
      </c>
      <c r="D2415" s="11">
        <v>2.4254609674267389</v>
      </c>
    </row>
    <row r="2416" spans="1:4" x14ac:dyDescent="0.2">
      <c r="A2416" s="10" t="s">
        <v>2415</v>
      </c>
      <c r="B2416" s="12">
        <v>14.25</v>
      </c>
      <c r="C2416" s="11">
        <v>0</v>
      </c>
      <c r="D2416" s="11">
        <v>0.74248805125308326</v>
      </c>
    </row>
    <row r="2417" spans="1:4" x14ac:dyDescent="0.2">
      <c r="A2417" s="10" t="s">
        <v>2416</v>
      </c>
      <c r="B2417" s="12">
        <v>14.62</v>
      </c>
      <c r="C2417" s="11">
        <v>0</v>
      </c>
      <c r="D2417" s="11">
        <v>0.37619394596822886</v>
      </c>
    </row>
    <row r="2418" spans="1:4" x14ac:dyDescent="0.2">
      <c r="A2418" s="10" t="s">
        <v>2417</v>
      </c>
      <c r="B2418" s="12">
        <v>12.77</v>
      </c>
      <c r="C2418" s="11">
        <v>0</v>
      </c>
      <c r="D2418" s="11">
        <v>2.207664472392501</v>
      </c>
    </row>
    <row r="2419" spans="1:4" x14ac:dyDescent="0.2">
      <c r="A2419" s="10" t="s">
        <v>2418</v>
      </c>
      <c r="B2419" s="12">
        <v>13.82</v>
      </c>
      <c r="C2419" s="11">
        <v>0</v>
      </c>
      <c r="D2419" s="11">
        <v>1.1681812006381842</v>
      </c>
    </row>
    <row r="2420" spans="1:4" x14ac:dyDescent="0.2">
      <c r="A2420" s="10" t="s">
        <v>2419</v>
      </c>
      <c r="B2420" s="12">
        <v>12.71</v>
      </c>
      <c r="C2420" s="11">
        <v>0</v>
      </c>
      <c r="D2420" s="11">
        <v>2.2670635164927475</v>
      </c>
    </row>
    <row r="2421" spans="1:4" x14ac:dyDescent="0.2">
      <c r="A2421" s="10" t="s">
        <v>2420</v>
      </c>
      <c r="B2421" s="12">
        <v>12.49</v>
      </c>
      <c r="C2421" s="11">
        <v>0</v>
      </c>
      <c r="D2421" s="11">
        <v>2.484860011526985</v>
      </c>
    </row>
    <row r="2422" spans="1:4" x14ac:dyDescent="0.2">
      <c r="A2422" s="10" t="s">
        <v>2421</v>
      </c>
      <c r="B2422" s="12">
        <v>13.99</v>
      </c>
      <c r="C2422" s="11">
        <v>0</v>
      </c>
      <c r="D2422" s="11">
        <v>0.99988390902081881</v>
      </c>
    </row>
    <row r="2423" spans="1:4" x14ac:dyDescent="0.2">
      <c r="A2423" s="10" t="s">
        <v>2422</v>
      </c>
      <c r="B2423" s="12">
        <v>14.95</v>
      </c>
      <c r="C2423" s="11">
        <v>0</v>
      </c>
      <c r="D2423" s="11">
        <v>4.9499203416872223E-2</v>
      </c>
    </row>
    <row r="2424" spans="1:4" x14ac:dyDescent="0.2">
      <c r="A2424" s="10" t="s">
        <v>2423</v>
      </c>
      <c r="B2424" s="12">
        <v>15.52</v>
      </c>
      <c r="C2424" s="11">
        <v>0.51479171553547109</v>
      </c>
      <c r="D2424" s="11">
        <v>0</v>
      </c>
    </row>
    <row r="2425" spans="1:4" x14ac:dyDescent="0.2">
      <c r="A2425" s="10" t="s">
        <v>2424</v>
      </c>
      <c r="B2425" s="12">
        <v>11.86</v>
      </c>
      <c r="C2425" s="11">
        <v>0</v>
      </c>
      <c r="D2425" s="11">
        <v>3.1085499745795753</v>
      </c>
    </row>
    <row r="2426" spans="1:4" x14ac:dyDescent="0.2">
      <c r="A2426" s="10" t="s">
        <v>2425</v>
      </c>
      <c r="B2426" s="12">
        <v>12.33</v>
      </c>
      <c r="C2426" s="11">
        <v>0</v>
      </c>
      <c r="D2426" s="11">
        <v>2.6432574624609764</v>
      </c>
    </row>
    <row r="2427" spans="1:4" x14ac:dyDescent="0.2">
      <c r="A2427" s="10" t="s">
        <v>2426</v>
      </c>
      <c r="B2427" s="12">
        <v>13.08</v>
      </c>
      <c r="C2427" s="11">
        <v>0</v>
      </c>
      <c r="D2427" s="11">
        <v>1.900769411207893</v>
      </c>
    </row>
    <row r="2428" spans="1:4" x14ac:dyDescent="0.2">
      <c r="A2428" s="10" t="s">
        <v>2427</v>
      </c>
      <c r="B2428" s="12">
        <v>15.53</v>
      </c>
      <c r="C2428" s="11">
        <v>0.52469155621884556</v>
      </c>
      <c r="D2428" s="11">
        <v>0</v>
      </c>
    </row>
    <row r="2429" spans="1:4" x14ac:dyDescent="0.2">
      <c r="A2429" s="10" t="s">
        <v>2428</v>
      </c>
      <c r="B2429" s="12">
        <v>13.65</v>
      </c>
      <c r="C2429" s="11">
        <v>0</v>
      </c>
      <c r="D2429" s="11">
        <v>1.3364784922555499</v>
      </c>
    </row>
    <row r="2430" spans="1:4" x14ac:dyDescent="0.2">
      <c r="A2430" s="10" t="s">
        <v>2429</v>
      </c>
      <c r="B2430" s="12">
        <v>13.9</v>
      </c>
      <c r="C2430" s="11">
        <v>0</v>
      </c>
      <c r="D2430" s="11">
        <v>1.088982475171189</v>
      </c>
    </row>
    <row r="2431" spans="1:4" x14ac:dyDescent="0.2">
      <c r="A2431" s="10" t="s">
        <v>2430</v>
      </c>
      <c r="B2431" s="12">
        <v>14.79</v>
      </c>
      <c r="C2431" s="11">
        <v>0</v>
      </c>
      <c r="D2431" s="11">
        <v>0.2078966543508633</v>
      </c>
    </row>
    <row r="2432" spans="1:4" x14ac:dyDescent="0.2">
      <c r="A2432" s="10" t="s">
        <v>2431</v>
      </c>
      <c r="B2432" s="12">
        <v>13.32</v>
      </c>
      <c r="C2432" s="11">
        <v>0</v>
      </c>
      <c r="D2432" s="11">
        <v>1.6631732348069064</v>
      </c>
    </row>
    <row r="2433" spans="1:4" x14ac:dyDescent="0.2">
      <c r="A2433" s="10" t="s">
        <v>2432</v>
      </c>
      <c r="B2433" s="12">
        <v>13.93</v>
      </c>
      <c r="C2433" s="11">
        <v>0</v>
      </c>
      <c r="D2433" s="11">
        <v>1.0592829531210655</v>
      </c>
    </row>
    <row r="2434" spans="1:4" x14ac:dyDescent="0.2">
      <c r="A2434" s="10" t="s">
        <v>2433</v>
      </c>
      <c r="B2434" s="12">
        <v>13.23</v>
      </c>
      <c r="C2434" s="11">
        <v>0</v>
      </c>
      <c r="D2434" s="11">
        <v>1.7522718009572764</v>
      </c>
    </row>
    <row r="2435" spans="1:4" x14ac:dyDescent="0.2">
      <c r="A2435" s="10" t="s">
        <v>2434</v>
      </c>
      <c r="B2435" s="12">
        <v>13.25</v>
      </c>
      <c r="C2435" s="11">
        <v>0</v>
      </c>
      <c r="D2435" s="11">
        <v>1.7324721195905277</v>
      </c>
    </row>
    <row r="2436" spans="1:4" x14ac:dyDescent="0.2">
      <c r="A2436" s="10" t="s">
        <v>2435</v>
      </c>
      <c r="B2436" s="12">
        <v>14.55</v>
      </c>
      <c r="C2436" s="11">
        <v>0</v>
      </c>
      <c r="D2436" s="11">
        <v>0.44549283075184998</v>
      </c>
    </row>
    <row r="2437" spans="1:4" x14ac:dyDescent="0.2">
      <c r="A2437" s="10" t="s">
        <v>2436</v>
      </c>
      <c r="B2437" s="12">
        <v>15.62</v>
      </c>
      <c r="C2437" s="11">
        <v>0.61379012236921549</v>
      </c>
      <c r="D2437" s="11">
        <v>0</v>
      </c>
    </row>
    <row r="2438" spans="1:4" x14ac:dyDescent="0.2">
      <c r="A2438" s="10" t="s">
        <v>2437</v>
      </c>
      <c r="B2438" s="12">
        <v>13.86</v>
      </c>
      <c r="C2438" s="11">
        <v>0</v>
      </c>
      <c r="D2438" s="11">
        <v>1.1285818379046864</v>
      </c>
    </row>
    <row r="2439" spans="1:4" x14ac:dyDescent="0.2">
      <c r="A2439" s="10" t="s">
        <v>2438</v>
      </c>
      <c r="B2439" s="12">
        <v>16.04</v>
      </c>
      <c r="C2439" s="11">
        <v>1.0295834310709422</v>
      </c>
      <c r="D2439" s="11">
        <v>0</v>
      </c>
    </row>
    <row r="2440" spans="1:4" x14ac:dyDescent="0.2">
      <c r="A2440" s="10" t="s">
        <v>2439</v>
      </c>
      <c r="B2440" s="12">
        <v>14.89</v>
      </c>
      <c r="C2440" s="11">
        <v>0</v>
      </c>
      <c r="D2440" s="11">
        <v>0.10889824751711888</v>
      </c>
    </row>
    <row r="2441" spans="1:4" x14ac:dyDescent="0.2">
      <c r="A2441" s="10" t="s">
        <v>2440</v>
      </c>
      <c r="B2441" s="12">
        <v>14.24</v>
      </c>
      <c r="C2441" s="11">
        <v>0</v>
      </c>
      <c r="D2441" s="11">
        <v>0.75238789193645772</v>
      </c>
    </row>
    <row r="2442" spans="1:4" x14ac:dyDescent="0.2">
      <c r="A2442" s="10" t="s">
        <v>2441</v>
      </c>
      <c r="B2442" s="12">
        <v>13.83</v>
      </c>
      <c r="C2442" s="11">
        <v>0</v>
      </c>
      <c r="D2442" s="11">
        <v>1.1582813599548099</v>
      </c>
    </row>
    <row r="2443" spans="1:4" x14ac:dyDescent="0.2">
      <c r="A2443" s="10" t="s">
        <v>2442</v>
      </c>
      <c r="B2443" s="12">
        <v>15.22</v>
      </c>
      <c r="C2443" s="11">
        <v>0.21779649503423776</v>
      </c>
      <c r="D2443" s="11">
        <v>0</v>
      </c>
    </row>
    <row r="2444" spans="1:4" x14ac:dyDescent="0.2">
      <c r="A2444" s="10" t="s">
        <v>2443</v>
      </c>
      <c r="B2444" s="12">
        <v>14.76</v>
      </c>
      <c r="C2444" s="11">
        <v>0</v>
      </c>
      <c r="D2444" s="11">
        <v>0.23759617640098663</v>
      </c>
    </row>
    <row r="2445" spans="1:4" x14ac:dyDescent="0.2">
      <c r="A2445" s="10" t="s">
        <v>2444</v>
      </c>
      <c r="B2445" s="12">
        <v>16.71</v>
      </c>
      <c r="C2445" s="11">
        <v>1.6928727568570299</v>
      </c>
      <c r="D2445" s="11">
        <v>0</v>
      </c>
    </row>
    <row r="2446" spans="1:4" x14ac:dyDescent="0.2">
      <c r="A2446" s="10" t="s">
        <v>2445</v>
      </c>
      <c r="B2446" s="12">
        <v>14.58</v>
      </c>
      <c r="C2446" s="11">
        <v>0</v>
      </c>
      <c r="D2446" s="11">
        <v>0.41579330870172659</v>
      </c>
    </row>
    <row r="2447" spans="1:4" x14ac:dyDescent="0.2">
      <c r="A2447" s="10" t="s">
        <v>2446</v>
      </c>
      <c r="B2447" s="12">
        <v>13.79</v>
      </c>
      <c r="C2447" s="11">
        <v>0</v>
      </c>
      <c r="D2447" s="11">
        <v>1.1978807226883077</v>
      </c>
    </row>
    <row r="2448" spans="1:4" x14ac:dyDescent="0.2">
      <c r="A2448" s="10" t="s">
        <v>2447</v>
      </c>
      <c r="B2448" s="12">
        <v>14.72</v>
      </c>
      <c r="C2448" s="11">
        <v>0</v>
      </c>
      <c r="D2448" s="11">
        <v>0.27719553913448447</v>
      </c>
    </row>
    <row r="2449" spans="1:4" x14ac:dyDescent="0.2">
      <c r="A2449" s="10" t="s">
        <v>2448</v>
      </c>
      <c r="B2449" s="12">
        <v>14.15</v>
      </c>
      <c r="C2449" s="11">
        <v>0</v>
      </c>
      <c r="D2449" s="11">
        <v>0.84148645808682765</v>
      </c>
    </row>
    <row r="2450" spans="1:4" x14ac:dyDescent="0.2">
      <c r="A2450" s="10" t="s">
        <v>2449</v>
      </c>
      <c r="B2450" s="12">
        <v>14.41</v>
      </c>
      <c r="C2450" s="11">
        <v>0</v>
      </c>
      <c r="D2450" s="11">
        <v>0.5840906003190921</v>
      </c>
    </row>
    <row r="2451" spans="1:4" x14ac:dyDescent="0.2">
      <c r="A2451" s="10" t="s">
        <v>2450</v>
      </c>
      <c r="B2451" s="12">
        <v>12.92</v>
      </c>
      <c r="C2451" s="11">
        <v>0</v>
      </c>
      <c r="D2451" s="11">
        <v>2.0591668621418844</v>
      </c>
    </row>
    <row r="2452" spans="1:4" x14ac:dyDescent="0.2">
      <c r="A2452" s="10" t="s">
        <v>2451</v>
      </c>
      <c r="B2452" s="12">
        <v>13.81</v>
      </c>
      <c r="C2452" s="11">
        <v>0</v>
      </c>
      <c r="D2452" s="11">
        <v>1.1780810413215588</v>
      </c>
    </row>
    <row r="2453" spans="1:4" x14ac:dyDescent="0.2">
      <c r="A2453" s="10" t="s">
        <v>2452</v>
      </c>
      <c r="B2453" s="12">
        <v>15.28</v>
      </c>
      <c r="C2453" s="11">
        <v>0.27719553913448447</v>
      </c>
      <c r="D2453" s="11">
        <v>0</v>
      </c>
    </row>
    <row r="2454" spans="1:4" x14ac:dyDescent="0.2">
      <c r="A2454" s="10" t="s">
        <v>2453</v>
      </c>
      <c r="B2454" s="12">
        <v>15.27</v>
      </c>
      <c r="C2454" s="11">
        <v>0.26729569845111001</v>
      </c>
      <c r="D2454" s="11">
        <v>0</v>
      </c>
    </row>
    <row r="2455" spans="1:4" x14ac:dyDescent="0.2">
      <c r="A2455" s="10" t="s">
        <v>2454</v>
      </c>
      <c r="B2455" s="12">
        <v>13.51</v>
      </c>
      <c r="C2455" s="11">
        <v>0</v>
      </c>
      <c r="D2455" s="11">
        <v>1.4750762618227922</v>
      </c>
    </row>
    <row r="2456" spans="1:4" x14ac:dyDescent="0.2">
      <c r="A2456" s="10" t="s">
        <v>2455</v>
      </c>
      <c r="B2456" s="12">
        <v>15.26</v>
      </c>
      <c r="C2456" s="11">
        <v>0.25739585776773555</v>
      </c>
      <c r="D2456" s="11">
        <v>0</v>
      </c>
    </row>
    <row r="2457" spans="1:4" x14ac:dyDescent="0.2">
      <c r="A2457" s="10" t="s">
        <v>2456</v>
      </c>
      <c r="B2457" s="12">
        <v>13.92</v>
      </c>
      <c r="C2457" s="11">
        <v>0</v>
      </c>
      <c r="D2457" s="11">
        <v>1.06918279380444</v>
      </c>
    </row>
    <row r="2458" spans="1:4" x14ac:dyDescent="0.2">
      <c r="A2458" s="10" t="s">
        <v>2457</v>
      </c>
      <c r="B2458" s="12">
        <v>13.23</v>
      </c>
      <c r="C2458" s="11">
        <v>0</v>
      </c>
      <c r="D2458" s="11">
        <v>1.7522718009572764</v>
      </c>
    </row>
    <row r="2459" spans="1:4" x14ac:dyDescent="0.2">
      <c r="A2459" s="10" t="s">
        <v>2458</v>
      </c>
      <c r="B2459" s="12">
        <v>14.55</v>
      </c>
      <c r="C2459" s="11">
        <v>0</v>
      </c>
      <c r="D2459" s="11">
        <v>0.44549283075184998</v>
      </c>
    </row>
    <row r="2460" spans="1:4" x14ac:dyDescent="0.2">
      <c r="A2460" s="10" t="s">
        <v>2459</v>
      </c>
      <c r="B2460" s="12">
        <v>13.94</v>
      </c>
      <c r="C2460" s="11">
        <v>0</v>
      </c>
      <c r="D2460" s="11">
        <v>1.0493831124376911</v>
      </c>
    </row>
    <row r="2461" spans="1:4" x14ac:dyDescent="0.2">
      <c r="A2461" s="10" t="s">
        <v>2460</v>
      </c>
      <c r="B2461" s="12">
        <v>15.27</v>
      </c>
      <c r="C2461" s="11">
        <v>0.26729569845111001</v>
      </c>
      <c r="D2461" s="11">
        <v>0</v>
      </c>
    </row>
    <row r="2462" spans="1:4" x14ac:dyDescent="0.2">
      <c r="A2462" s="10" t="s">
        <v>2461</v>
      </c>
      <c r="B2462" s="12">
        <v>15.16</v>
      </c>
      <c r="C2462" s="11">
        <v>0.1583974509339911</v>
      </c>
      <c r="D2462" s="11">
        <v>0</v>
      </c>
    </row>
    <row r="2463" spans="1:4" x14ac:dyDescent="0.2">
      <c r="A2463" s="10" t="s">
        <v>2462</v>
      </c>
      <c r="B2463" s="12">
        <v>16.3</v>
      </c>
      <c r="C2463" s="11">
        <v>1.2869792888386777</v>
      </c>
      <c r="D2463" s="11">
        <v>0</v>
      </c>
    </row>
    <row r="2464" spans="1:4" x14ac:dyDescent="0.2">
      <c r="A2464" s="10" t="s">
        <v>2463</v>
      </c>
      <c r="B2464" s="12">
        <v>13.37</v>
      </c>
      <c r="C2464" s="11">
        <v>0</v>
      </c>
      <c r="D2464" s="11">
        <v>1.6136740313900342</v>
      </c>
    </row>
    <row r="2465" spans="1:4" x14ac:dyDescent="0.2">
      <c r="A2465" s="10" t="s">
        <v>2464</v>
      </c>
      <c r="B2465" s="12">
        <v>15.37</v>
      </c>
      <c r="C2465" s="11">
        <v>0.3662941052848544</v>
      </c>
      <c r="D2465" s="11">
        <v>0</v>
      </c>
    </row>
    <row r="2466" spans="1:4" x14ac:dyDescent="0.2">
      <c r="A2466" s="10" t="s">
        <v>2465</v>
      </c>
      <c r="B2466" s="12">
        <v>14.19</v>
      </c>
      <c r="C2466" s="11">
        <v>0</v>
      </c>
      <c r="D2466" s="11">
        <v>0.80188709535333003</v>
      </c>
    </row>
    <row r="2467" spans="1:4" x14ac:dyDescent="0.2">
      <c r="A2467" s="10" t="s">
        <v>2466</v>
      </c>
      <c r="B2467" s="12">
        <v>13.77</v>
      </c>
      <c r="C2467" s="11">
        <v>0</v>
      </c>
      <c r="D2467" s="11">
        <v>1.2176804040550566</v>
      </c>
    </row>
    <row r="2468" spans="1:4" x14ac:dyDescent="0.2">
      <c r="A2468" s="10" t="s">
        <v>2467</v>
      </c>
      <c r="B2468" s="12">
        <v>14.48</v>
      </c>
      <c r="C2468" s="11">
        <v>0</v>
      </c>
      <c r="D2468" s="11">
        <v>0.51479171553547109</v>
      </c>
    </row>
    <row r="2469" spans="1:4" x14ac:dyDescent="0.2">
      <c r="A2469" s="10" t="s">
        <v>2468</v>
      </c>
      <c r="B2469" s="12">
        <v>12.58</v>
      </c>
      <c r="C2469" s="11">
        <v>0</v>
      </c>
      <c r="D2469" s="11">
        <v>2.3957614453766154</v>
      </c>
    </row>
    <row r="2470" spans="1:4" x14ac:dyDescent="0.2">
      <c r="A2470" s="10" t="s">
        <v>2469</v>
      </c>
      <c r="B2470" s="12">
        <v>14.46</v>
      </c>
      <c r="C2470" s="11">
        <v>0</v>
      </c>
      <c r="D2470" s="11">
        <v>0.53459139690222002</v>
      </c>
    </row>
    <row r="2471" spans="1:4" x14ac:dyDescent="0.2">
      <c r="A2471" s="10" t="s">
        <v>2470</v>
      </c>
      <c r="B2471" s="12">
        <v>13.22</v>
      </c>
      <c r="C2471" s="11">
        <v>0</v>
      </c>
      <c r="D2471" s="11">
        <v>1.762171641640651</v>
      </c>
    </row>
    <row r="2472" spans="1:4" x14ac:dyDescent="0.2">
      <c r="A2472" s="10" t="s">
        <v>2471</v>
      </c>
      <c r="B2472" s="12">
        <v>12.87</v>
      </c>
      <c r="C2472" s="11">
        <v>0</v>
      </c>
      <c r="D2472" s="11">
        <v>2.1086660655587561</v>
      </c>
    </row>
    <row r="2473" spans="1:4" x14ac:dyDescent="0.2">
      <c r="A2473" s="10" t="s">
        <v>2472</v>
      </c>
      <c r="B2473" s="12">
        <v>11.6</v>
      </c>
      <c r="C2473" s="11">
        <v>0</v>
      </c>
      <c r="D2473" s="11">
        <v>3.3659458323473106</v>
      </c>
    </row>
    <row r="2474" spans="1:4" x14ac:dyDescent="0.2">
      <c r="A2474" s="10" t="s">
        <v>2473</v>
      </c>
      <c r="B2474" s="12">
        <v>14.85</v>
      </c>
      <c r="C2474" s="11">
        <v>0</v>
      </c>
      <c r="D2474" s="11">
        <v>0.1583974509339911</v>
      </c>
    </row>
    <row r="2475" spans="1:4" x14ac:dyDescent="0.2">
      <c r="A2475" s="10" t="s">
        <v>2474</v>
      </c>
      <c r="B2475" s="12">
        <v>14.25</v>
      </c>
      <c r="C2475" s="11">
        <v>0</v>
      </c>
      <c r="D2475" s="11">
        <v>0.74248805125308326</v>
      </c>
    </row>
    <row r="2476" spans="1:4" x14ac:dyDescent="0.2">
      <c r="A2476" s="10" t="s">
        <v>2475</v>
      </c>
      <c r="B2476" s="12">
        <v>14.92</v>
      </c>
      <c r="C2476" s="11">
        <v>0</v>
      </c>
      <c r="D2476" s="11">
        <v>7.9198725466995551E-2</v>
      </c>
    </row>
    <row r="2477" spans="1:4" x14ac:dyDescent="0.2">
      <c r="A2477" s="10" t="s">
        <v>2476</v>
      </c>
      <c r="B2477" s="12">
        <v>11.78</v>
      </c>
      <c r="C2477" s="11">
        <v>0</v>
      </c>
      <c r="D2477" s="11">
        <v>3.1976485407299453</v>
      </c>
    </row>
    <row r="2478" spans="1:4" x14ac:dyDescent="0.2">
      <c r="A2478" s="10" t="s">
        <v>2477</v>
      </c>
      <c r="B2478" s="12">
        <v>15.5</v>
      </c>
      <c r="C2478" s="11">
        <v>0.49499203416872217</v>
      </c>
      <c r="D2478" s="11">
        <v>0</v>
      </c>
    </row>
    <row r="2479" spans="1:4" x14ac:dyDescent="0.2">
      <c r="A2479" s="10" t="s">
        <v>2478</v>
      </c>
      <c r="B2479" s="12">
        <v>13.74</v>
      </c>
      <c r="C2479" s="11">
        <v>0</v>
      </c>
      <c r="D2479" s="11">
        <v>1.2473799261051799</v>
      </c>
    </row>
    <row r="2480" spans="1:4" x14ac:dyDescent="0.2">
      <c r="A2480" s="10" t="s">
        <v>2479</v>
      </c>
      <c r="B2480" s="12">
        <v>14.02</v>
      </c>
      <c r="C2480" s="11">
        <v>0</v>
      </c>
      <c r="D2480" s="11">
        <v>0.97018438697069542</v>
      </c>
    </row>
    <row r="2481" spans="1:4" x14ac:dyDescent="0.2">
      <c r="A2481" s="10" t="s">
        <v>2480</v>
      </c>
      <c r="B2481" s="12">
        <v>14.42</v>
      </c>
      <c r="C2481" s="11">
        <v>0</v>
      </c>
      <c r="D2481" s="11">
        <v>0.57419075963571764</v>
      </c>
    </row>
    <row r="2482" spans="1:4" x14ac:dyDescent="0.2">
      <c r="A2482" s="10" t="s">
        <v>2481</v>
      </c>
      <c r="B2482" s="12">
        <v>14.08</v>
      </c>
      <c r="C2482" s="11">
        <v>0</v>
      </c>
      <c r="D2482" s="11">
        <v>0.91078534287044888</v>
      </c>
    </row>
    <row r="2483" spans="1:4" x14ac:dyDescent="0.2">
      <c r="A2483" s="10" t="s">
        <v>2482</v>
      </c>
      <c r="B2483" s="12">
        <v>14.62</v>
      </c>
      <c r="C2483" s="11">
        <v>0</v>
      </c>
      <c r="D2483" s="11">
        <v>0.37619394596822886</v>
      </c>
    </row>
    <row r="2484" spans="1:4" x14ac:dyDescent="0.2">
      <c r="A2484" s="10" t="s">
        <v>2483</v>
      </c>
      <c r="B2484" s="12">
        <v>14.26</v>
      </c>
      <c r="C2484" s="11">
        <v>0</v>
      </c>
      <c r="D2484" s="11">
        <v>0.7325882105697088</v>
      </c>
    </row>
    <row r="2485" spans="1:4" x14ac:dyDescent="0.2">
      <c r="A2485" s="10" t="s">
        <v>2484</v>
      </c>
      <c r="B2485" s="12">
        <v>13.44</v>
      </c>
      <c r="C2485" s="11">
        <v>0</v>
      </c>
      <c r="D2485" s="11">
        <v>1.5443751466064133</v>
      </c>
    </row>
    <row r="2486" spans="1:4" x14ac:dyDescent="0.2">
      <c r="A2486" s="10" t="s">
        <v>2485</v>
      </c>
      <c r="B2486" s="12">
        <v>14.23</v>
      </c>
      <c r="C2486" s="11">
        <v>0</v>
      </c>
      <c r="D2486" s="11">
        <v>0.76228773261983218</v>
      </c>
    </row>
    <row r="2487" spans="1:4" x14ac:dyDescent="0.2">
      <c r="A2487" s="10" t="s">
        <v>2486</v>
      </c>
      <c r="B2487" s="12">
        <v>14.44</v>
      </c>
      <c r="C2487" s="11">
        <v>0</v>
      </c>
      <c r="D2487" s="11">
        <v>0.55439107826896894</v>
      </c>
    </row>
    <row r="2488" spans="1:4" x14ac:dyDescent="0.2">
      <c r="A2488" s="10" t="s">
        <v>2487</v>
      </c>
      <c r="B2488" s="12">
        <v>14.75</v>
      </c>
      <c r="C2488" s="11">
        <v>0</v>
      </c>
      <c r="D2488" s="11">
        <v>0.24749601708436109</v>
      </c>
    </row>
    <row r="2489" spans="1:4" x14ac:dyDescent="0.2">
      <c r="A2489" s="10" t="s">
        <v>2488</v>
      </c>
      <c r="B2489" s="12">
        <v>14.45</v>
      </c>
      <c r="C2489" s="11">
        <v>0</v>
      </c>
      <c r="D2489" s="11">
        <v>0.54449123758559448</v>
      </c>
    </row>
    <row r="2490" spans="1:4" x14ac:dyDescent="0.2">
      <c r="A2490" s="10" t="s">
        <v>2489</v>
      </c>
      <c r="B2490" s="12">
        <v>13.8</v>
      </c>
      <c r="C2490" s="11">
        <v>0</v>
      </c>
      <c r="D2490" s="11">
        <v>1.1879808820049331</v>
      </c>
    </row>
    <row r="2491" spans="1:4" x14ac:dyDescent="0.2">
      <c r="A2491" s="10" t="s">
        <v>2490</v>
      </c>
      <c r="B2491" s="12">
        <v>13.51</v>
      </c>
      <c r="C2491" s="11">
        <v>0</v>
      </c>
      <c r="D2491" s="11">
        <v>1.4750762618227922</v>
      </c>
    </row>
    <row r="2492" spans="1:4" x14ac:dyDescent="0.2">
      <c r="A2492" s="10" t="s">
        <v>2491</v>
      </c>
      <c r="B2492" s="12">
        <v>14.08</v>
      </c>
      <c r="C2492" s="11">
        <v>0</v>
      </c>
      <c r="D2492" s="11">
        <v>0.91078534287044888</v>
      </c>
    </row>
    <row r="2493" spans="1:4" x14ac:dyDescent="0.2">
      <c r="A2493" s="10" t="s">
        <v>2492</v>
      </c>
      <c r="B2493" s="12">
        <v>14.44</v>
      </c>
      <c r="C2493" s="11">
        <v>0</v>
      </c>
      <c r="D2493" s="11">
        <v>0.55439107826896894</v>
      </c>
    </row>
    <row r="2494" spans="1:4" x14ac:dyDescent="0.2">
      <c r="A2494" s="10" t="s">
        <v>2493</v>
      </c>
      <c r="B2494" s="12">
        <v>13.96</v>
      </c>
      <c r="C2494" s="11">
        <v>0</v>
      </c>
      <c r="D2494" s="11">
        <v>1.0295834310709422</v>
      </c>
    </row>
    <row r="2495" spans="1:4" x14ac:dyDescent="0.2">
      <c r="A2495" s="10" t="s">
        <v>2494</v>
      </c>
      <c r="B2495" s="12">
        <v>15.35</v>
      </c>
      <c r="C2495" s="11">
        <v>0.34649442391810548</v>
      </c>
      <c r="D2495" s="11">
        <v>0</v>
      </c>
    </row>
    <row r="2496" spans="1:4" x14ac:dyDescent="0.2">
      <c r="A2496" s="10" t="s">
        <v>2495</v>
      </c>
      <c r="B2496" s="12">
        <v>13.78</v>
      </c>
      <c r="C2496" s="11">
        <v>0</v>
      </c>
      <c r="D2496" s="11">
        <v>1.207780563371682</v>
      </c>
    </row>
    <row r="2497" spans="1:4" x14ac:dyDescent="0.2">
      <c r="A2497" s="10" t="s">
        <v>2496</v>
      </c>
      <c r="B2497" s="12">
        <v>13.55</v>
      </c>
      <c r="C2497" s="11">
        <v>0</v>
      </c>
      <c r="D2497" s="11">
        <v>1.4354768990892943</v>
      </c>
    </row>
    <row r="2498" spans="1:4" x14ac:dyDescent="0.2">
      <c r="A2498" s="10" t="s">
        <v>2497</v>
      </c>
      <c r="B2498" s="12">
        <v>11.58</v>
      </c>
      <c r="C2498" s="11">
        <v>0</v>
      </c>
      <c r="D2498" s="11">
        <v>3.3857455137140597</v>
      </c>
    </row>
    <row r="2499" spans="1:4" x14ac:dyDescent="0.2">
      <c r="A2499" s="10" t="s">
        <v>2498</v>
      </c>
      <c r="B2499" s="12">
        <v>13.87</v>
      </c>
      <c r="C2499" s="11">
        <v>0</v>
      </c>
      <c r="D2499" s="11">
        <v>1.118681997221312</v>
      </c>
    </row>
    <row r="2500" spans="1:4" x14ac:dyDescent="0.2">
      <c r="A2500" s="10" t="s">
        <v>2499</v>
      </c>
      <c r="B2500" s="12">
        <v>13.89</v>
      </c>
      <c r="C2500" s="11">
        <v>0</v>
      </c>
      <c r="D2500" s="11">
        <v>1.0988823158545633</v>
      </c>
    </row>
    <row r="2501" spans="1:4" x14ac:dyDescent="0.2">
      <c r="A2501" s="10" t="s">
        <v>2500</v>
      </c>
      <c r="B2501" s="12">
        <v>15.01</v>
      </c>
      <c r="C2501" s="11">
        <v>9.8998406833744439E-3</v>
      </c>
      <c r="D2501" s="11">
        <v>0</v>
      </c>
    </row>
    <row r="2502" spans="1:4" x14ac:dyDescent="0.2">
      <c r="A2502" s="10" t="s">
        <v>2501</v>
      </c>
      <c r="B2502" s="12">
        <v>14.78</v>
      </c>
      <c r="C2502" s="11">
        <v>0</v>
      </c>
      <c r="D2502" s="11">
        <v>0.21779649503423776</v>
      </c>
    </row>
    <row r="2503" spans="1:4" x14ac:dyDescent="0.2">
      <c r="A2503" s="10" t="s">
        <v>2502</v>
      </c>
      <c r="B2503" s="12">
        <v>15.83</v>
      </c>
      <c r="C2503" s="11">
        <v>0.82168677672007873</v>
      </c>
      <c r="D2503" s="11">
        <v>0</v>
      </c>
    </row>
    <row r="2504" spans="1:4" x14ac:dyDescent="0.2">
      <c r="A2504" s="10" t="s">
        <v>2503</v>
      </c>
      <c r="B2504" s="12">
        <v>13.77</v>
      </c>
      <c r="C2504" s="11">
        <v>0</v>
      </c>
      <c r="D2504" s="11">
        <v>1.2176804040550566</v>
      </c>
    </row>
    <row r="2505" spans="1:4" x14ac:dyDescent="0.2">
      <c r="A2505" s="10" t="s">
        <v>2504</v>
      </c>
      <c r="B2505" s="12">
        <v>14.14</v>
      </c>
      <c r="C2505" s="11">
        <v>0</v>
      </c>
      <c r="D2505" s="11">
        <v>0.85138629877020211</v>
      </c>
    </row>
    <row r="2506" spans="1:4" x14ac:dyDescent="0.2">
      <c r="A2506" s="10" t="s">
        <v>2505</v>
      </c>
      <c r="B2506" s="12">
        <v>14.51</v>
      </c>
      <c r="C2506" s="11">
        <v>0</v>
      </c>
      <c r="D2506" s="11">
        <v>0.48509219348534771</v>
      </c>
    </row>
    <row r="2507" spans="1:4" x14ac:dyDescent="0.2">
      <c r="A2507" s="10" t="s">
        <v>2506</v>
      </c>
      <c r="B2507" s="12">
        <v>13.47</v>
      </c>
      <c r="C2507" s="11">
        <v>0</v>
      </c>
      <c r="D2507" s="11">
        <v>1.5146756245562898</v>
      </c>
    </row>
    <row r="2508" spans="1:4" x14ac:dyDescent="0.2">
      <c r="A2508" s="10" t="s">
        <v>2507</v>
      </c>
      <c r="B2508" s="12">
        <v>16.25</v>
      </c>
      <c r="C2508" s="11">
        <v>1.2374800854218053</v>
      </c>
      <c r="D2508" s="11">
        <v>0</v>
      </c>
    </row>
    <row r="2509" spans="1:4" x14ac:dyDescent="0.2">
      <c r="A2509" s="10" t="s">
        <v>2508</v>
      </c>
      <c r="B2509" s="12">
        <v>14.56</v>
      </c>
      <c r="C2509" s="11">
        <v>0</v>
      </c>
      <c r="D2509" s="11">
        <v>0.43559299006847552</v>
      </c>
    </row>
    <row r="2510" spans="1:4" x14ac:dyDescent="0.2">
      <c r="A2510" s="10" t="s">
        <v>2509</v>
      </c>
      <c r="B2510" s="12">
        <v>13.71</v>
      </c>
      <c r="C2510" s="11">
        <v>0</v>
      </c>
      <c r="D2510" s="11">
        <v>1.2770794481553032</v>
      </c>
    </row>
    <row r="2511" spans="1:4" x14ac:dyDescent="0.2">
      <c r="A2511" s="10" t="s">
        <v>2510</v>
      </c>
      <c r="B2511" s="12">
        <v>13.02</v>
      </c>
      <c r="C2511" s="11">
        <v>0</v>
      </c>
      <c r="D2511" s="11">
        <v>1.9601684553081398</v>
      </c>
    </row>
    <row r="2512" spans="1:4" x14ac:dyDescent="0.2">
      <c r="A2512" s="10" t="s">
        <v>2511</v>
      </c>
      <c r="B2512" s="12">
        <v>13.67</v>
      </c>
      <c r="C2512" s="11">
        <v>0</v>
      </c>
      <c r="D2512" s="11">
        <v>1.316678810888801</v>
      </c>
    </row>
    <row r="2513" spans="1:4" x14ac:dyDescent="0.2">
      <c r="A2513" s="10" t="s">
        <v>2512</v>
      </c>
      <c r="B2513" s="12">
        <v>12.96</v>
      </c>
      <c r="C2513" s="11">
        <v>0</v>
      </c>
      <c r="D2513" s="11">
        <v>2.0195674994083865</v>
      </c>
    </row>
    <row r="2514" spans="1:4" x14ac:dyDescent="0.2">
      <c r="A2514" s="10" t="s">
        <v>2513</v>
      </c>
      <c r="B2514" s="12">
        <v>12.87</v>
      </c>
      <c r="C2514" s="11">
        <v>0</v>
      </c>
      <c r="D2514" s="11">
        <v>2.1086660655587561</v>
      </c>
    </row>
    <row r="2515" spans="1:4" x14ac:dyDescent="0.2">
      <c r="A2515" s="10" t="s">
        <v>2514</v>
      </c>
      <c r="B2515" s="12">
        <v>15.03</v>
      </c>
      <c r="C2515" s="11">
        <v>2.9699522050123328E-2</v>
      </c>
      <c r="D2515" s="11">
        <v>0</v>
      </c>
    </row>
    <row r="2516" spans="1:4" x14ac:dyDescent="0.2">
      <c r="A2516" s="10" t="s">
        <v>2515</v>
      </c>
      <c r="B2516" s="12">
        <v>12.01</v>
      </c>
      <c r="C2516" s="11">
        <v>0</v>
      </c>
      <c r="D2516" s="11">
        <v>2.9600523643289587</v>
      </c>
    </row>
    <row r="2517" spans="1:4" x14ac:dyDescent="0.2">
      <c r="A2517" s="10" t="s">
        <v>2516</v>
      </c>
      <c r="B2517" s="12">
        <v>14.4</v>
      </c>
      <c r="C2517" s="11">
        <v>0</v>
      </c>
      <c r="D2517" s="11">
        <v>0.59399044100246656</v>
      </c>
    </row>
    <row r="2518" spans="1:4" x14ac:dyDescent="0.2">
      <c r="A2518" s="10" t="s">
        <v>2517</v>
      </c>
      <c r="B2518" s="12">
        <v>15.44</v>
      </c>
      <c r="C2518" s="11">
        <v>0.43559299006847552</v>
      </c>
      <c r="D2518" s="11">
        <v>0</v>
      </c>
    </row>
    <row r="2519" spans="1:4" x14ac:dyDescent="0.2">
      <c r="A2519" s="10" t="s">
        <v>2518</v>
      </c>
      <c r="B2519" s="12">
        <v>13.61</v>
      </c>
      <c r="C2519" s="11">
        <v>0</v>
      </c>
      <c r="D2519" s="11">
        <v>1.3760778549890476</v>
      </c>
    </row>
    <row r="2520" spans="1:4" x14ac:dyDescent="0.2">
      <c r="A2520" s="10" t="s">
        <v>2519</v>
      </c>
      <c r="B2520" s="12">
        <v>13.95</v>
      </c>
      <c r="C2520" s="11">
        <v>0</v>
      </c>
      <c r="D2520" s="11">
        <v>1.0394832717543165</v>
      </c>
    </row>
    <row r="2521" spans="1:4" x14ac:dyDescent="0.2">
      <c r="A2521" s="10" t="s">
        <v>2520</v>
      </c>
      <c r="B2521" s="12">
        <v>14.33</v>
      </c>
      <c r="C2521" s="11">
        <v>0</v>
      </c>
      <c r="D2521" s="11">
        <v>0.66328932578608779</v>
      </c>
    </row>
    <row r="2522" spans="1:4" x14ac:dyDescent="0.2">
      <c r="A2522" s="10" t="s">
        <v>2521</v>
      </c>
      <c r="B2522" s="12">
        <v>13.78</v>
      </c>
      <c r="C2522" s="11">
        <v>0</v>
      </c>
      <c r="D2522" s="11">
        <v>1.207780563371682</v>
      </c>
    </row>
    <row r="2523" spans="1:4" x14ac:dyDescent="0.2">
      <c r="A2523" s="10" t="s">
        <v>2522</v>
      </c>
      <c r="B2523" s="12">
        <v>12.61</v>
      </c>
      <c r="C2523" s="11">
        <v>0</v>
      </c>
      <c r="D2523" s="11">
        <v>2.3660619233264919</v>
      </c>
    </row>
    <row r="2524" spans="1:4" x14ac:dyDescent="0.2">
      <c r="A2524" s="10" t="s">
        <v>2523</v>
      </c>
      <c r="B2524" s="12">
        <v>14.22</v>
      </c>
      <c r="C2524" s="11">
        <v>0</v>
      </c>
      <c r="D2524" s="11">
        <v>0.77218757330320664</v>
      </c>
    </row>
    <row r="2525" spans="1:4" x14ac:dyDescent="0.2">
      <c r="A2525" s="10" t="s">
        <v>2524</v>
      </c>
      <c r="B2525" s="12">
        <v>13.58</v>
      </c>
      <c r="C2525" s="11">
        <v>0</v>
      </c>
      <c r="D2525" s="11">
        <v>1.4057773770391708</v>
      </c>
    </row>
    <row r="2526" spans="1:4" x14ac:dyDescent="0.2">
      <c r="A2526" s="10" t="s">
        <v>2525</v>
      </c>
      <c r="B2526" s="12">
        <v>13.71</v>
      </c>
      <c r="C2526" s="11">
        <v>0</v>
      </c>
      <c r="D2526" s="11">
        <v>1.2770794481553032</v>
      </c>
    </row>
    <row r="2527" spans="1:4" x14ac:dyDescent="0.2">
      <c r="A2527" s="10" t="s">
        <v>2526</v>
      </c>
      <c r="B2527" s="12">
        <v>15.97</v>
      </c>
      <c r="C2527" s="11">
        <v>0.96028454628732096</v>
      </c>
      <c r="D2527" s="11">
        <v>0</v>
      </c>
    </row>
    <row r="2528" spans="1:4" x14ac:dyDescent="0.2">
      <c r="A2528" s="10" t="s">
        <v>2527</v>
      </c>
      <c r="B2528" s="12">
        <v>16.809999999999999</v>
      </c>
      <c r="C2528" s="11">
        <v>1.7918711636907743</v>
      </c>
      <c r="D2528" s="11">
        <v>0</v>
      </c>
    </row>
    <row r="2529" spans="1:4" x14ac:dyDescent="0.2">
      <c r="A2529" s="10" t="s">
        <v>2528</v>
      </c>
      <c r="B2529" s="12">
        <v>15.54</v>
      </c>
      <c r="C2529" s="11">
        <v>0.53459139690222002</v>
      </c>
      <c r="D2529" s="11">
        <v>0</v>
      </c>
    </row>
    <row r="2530" spans="1:4" x14ac:dyDescent="0.2">
      <c r="A2530" s="10" t="s">
        <v>2529</v>
      </c>
      <c r="B2530" s="12">
        <v>13.81</v>
      </c>
      <c r="C2530" s="11">
        <v>0</v>
      </c>
      <c r="D2530" s="11">
        <v>1.1780810413215588</v>
      </c>
    </row>
    <row r="2531" spans="1:4" x14ac:dyDescent="0.2">
      <c r="A2531" s="10" t="s">
        <v>2530</v>
      </c>
      <c r="B2531" s="12">
        <v>12.77</v>
      </c>
      <c r="C2531" s="11">
        <v>0</v>
      </c>
      <c r="D2531" s="11">
        <v>2.207664472392501</v>
      </c>
    </row>
    <row r="2532" spans="1:4" x14ac:dyDescent="0.2">
      <c r="A2532" s="10" t="s">
        <v>2531</v>
      </c>
      <c r="B2532" s="12">
        <v>13.16</v>
      </c>
      <c r="C2532" s="11">
        <v>0</v>
      </c>
      <c r="D2532" s="11">
        <v>1.8215706857408978</v>
      </c>
    </row>
    <row r="2533" spans="1:4" x14ac:dyDescent="0.2">
      <c r="A2533" s="10" t="s">
        <v>2532</v>
      </c>
      <c r="B2533" s="12">
        <v>14.59</v>
      </c>
      <c r="C2533" s="11">
        <v>0</v>
      </c>
      <c r="D2533" s="11">
        <v>0.40589346801835213</v>
      </c>
    </row>
    <row r="2534" spans="1:4" x14ac:dyDescent="0.2">
      <c r="A2534" s="10" t="s">
        <v>2533</v>
      </c>
      <c r="B2534" s="12">
        <v>15.84</v>
      </c>
      <c r="C2534" s="11">
        <v>0.83158661740345319</v>
      </c>
      <c r="D2534" s="11">
        <v>0</v>
      </c>
    </row>
    <row r="2535" spans="1:4" x14ac:dyDescent="0.2">
      <c r="A2535" s="10" t="s">
        <v>2534</v>
      </c>
      <c r="B2535" s="12">
        <v>13.55</v>
      </c>
      <c r="C2535" s="11">
        <v>0</v>
      </c>
      <c r="D2535" s="11">
        <v>1.4354768990892943</v>
      </c>
    </row>
    <row r="2536" spans="1:4" x14ac:dyDescent="0.2">
      <c r="A2536" s="10" t="s">
        <v>2535</v>
      </c>
      <c r="B2536" s="12">
        <v>14.47</v>
      </c>
      <c r="C2536" s="11">
        <v>0</v>
      </c>
      <c r="D2536" s="11">
        <v>0.52469155621884556</v>
      </c>
    </row>
    <row r="2537" spans="1:4" x14ac:dyDescent="0.2">
      <c r="A2537" s="10" t="s">
        <v>2536</v>
      </c>
      <c r="B2537" s="12">
        <v>16.420000000000002</v>
      </c>
      <c r="C2537" s="11">
        <v>1.4057773770391708</v>
      </c>
      <c r="D2537" s="11">
        <v>0</v>
      </c>
    </row>
    <row r="2538" spans="1:4" x14ac:dyDescent="0.2">
      <c r="A2538" s="10" t="s">
        <v>2537</v>
      </c>
      <c r="B2538" s="12">
        <v>14.45</v>
      </c>
      <c r="C2538" s="11">
        <v>0</v>
      </c>
      <c r="D2538" s="11">
        <v>0.54449123758559448</v>
      </c>
    </row>
    <row r="2539" spans="1:4" x14ac:dyDescent="0.2">
      <c r="A2539" s="10" t="s">
        <v>2538</v>
      </c>
      <c r="B2539" s="12">
        <v>14.1</v>
      </c>
      <c r="C2539" s="11">
        <v>0</v>
      </c>
      <c r="D2539" s="11">
        <v>0.89098566150369995</v>
      </c>
    </row>
    <row r="2540" spans="1:4" x14ac:dyDescent="0.2">
      <c r="A2540" s="10" t="s">
        <v>2539</v>
      </c>
      <c r="B2540" s="12">
        <v>15.28</v>
      </c>
      <c r="C2540" s="11">
        <v>0.27719553913448447</v>
      </c>
      <c r="D2540" s="11">
        <v>0</v>
      </c>
    </row>
    <row r="2541" spans="1:4" x14ac:dyDescent="0.2">
      <c r="A2541" s="10" t="s">
        <v>2540</v>
      </c>
      <c r="B2541" s="12">
        <v>14.68</v>
      </c>
      <c r="C2541" s="11">
        <v>0</v>
      </c>
      <c r="D2541" s="11">
        <v>0.3167949018679822</v>
      </c>
    </row>
    <row r="2542" spans="1:4" x14ac:dyDescent="0.2">
      <c r="A2542" s="10" t="s">
        <v>2541</v>
      </c>
      <c r="B2542" s="12">
        <v>14.07</v>
      </c>
      <c r="C2542" s="11">
        <v>0</v>
      </c>
      <c r="D2542" s="11">
        <v>0.92068518355382334</v>
      </c>
    </row>
    <row r="2543" spans="1:4" x14ac:dyDescent="0.2">
      <c r="A2543" s="10" t="s">
        <v>2542</v>
      </c>
      <c r="B2543" s="12">
        <v>11.79</v>
      </c>
      <c r="C2543" s="11">
        <v>0</v>
      </c>
      <c r="D2543" s="11">
        <v>3.1778488593631962</v>
      </c>
    </row>
    <row r="2544" spans="1:4" x14ac:dyDescent="0.2">
      <c r="A2544" s="10" t="s">
        <v>2543</v>
      </c>
      <c r="B2544" s="12">
        <v>14.14</v>
      </c>
      <c r="C2544" s="11">
        <v>0</v>
      </c>
      <c r="D2544" s="11">
        <v>0.85138629877020211</v>
      </c>
    </row>
    <row r="2545" spans="1:4" x14ac:dyDescent="0.2">
      <c r="A2545" s="10" t="s">
        <v>2544</v>
      </c>
      <c r="B2545" s="12">
        <v>14.33</v>
      </c>
      <c r="C2545" s="11">
        <v>0</v>
      </c>
      <c r="D2545" s="11">
        <v>0.66328932578608779</v>
      </c>
    </row>
    <row r="2546" spans="1:4" x14ac:dyDescent="0.2">
      <c r="A2546" s="10" t="s">
        <v>2545</v>
      </c>
      <c r="B2546" s="12">
        <v>14.26</v>
      </c>
      <c r="C2546" s="11">
        <v>0</v>
      </c>
      <c r="D2546" s="11">
        <v>0.7325882105697088</v>
      </c>
    </row>
    <row r="2547" spans="1:4" x14ac:dyDescent="0.2">
      <c r="A2547" s="10" t="s">
        <v>2546</v>
      </c>
      <c r="B2547" s="12">
        <v>12.53</v>
      </c>
      <c r="C2547" s="11">
        <v>0</v>
      </c>
      <c r="D2547" s="11">
        <v>2.4452606487934876</v>
      </c>
    </row>
    <row r="2548" spans="1:4" x14ac:dyDescent="0.2">
      <c r="A2548" s="10" t="s">
        <v>2547</v>
      </c>
      <c r="B2548" s="12">
        <v>12.89</v>
      </c>
      <c r="C2548" s="11">
        <v>0</v>
      </c>
      <c r="D2548" s="11">
        <v>2.0888663841920074</v>
      </c>
    </row>
    <row r="2549" spans="1:4" x14ac:dyDescent="0.2">
      <c r="A2549" s="10" t="s">
        <v>2548</v>
      </c>
      <c r="B2549" s="12">
        <v>13.5</v>
      </c>
      <c r="C2549" s="11">
        <v>0</v>
      </c>
      <c r="D2549" s="11">
        <v>1.4849761025061665</v>
      </c>
    </row>
    <row r="2550" spans="1:4" x14ac:dyDescent="0.2">
      <c r="A2550" s="10" t="s">
        <v>2549</v>
      </c>
      <c r="B2550" s="12">
        <v>15.46</v>
      </c>
      <c r="C2550" s="11">
        <v>0.45539267143522444</v>
      </c>
      <c r="D2550" s="11">
        <v>0</v>
      </c>
    </row>
    <row r="2551" spans="1:4" x14ac:dyDescent="0.2">
      <c r="A2551" s="10" t="s">
        <v>2550</v>
      </c>
      <c r="B2551" s="12">
        <v>14.81</v>
      </c>
      <c r="C2551" s="11">
        <v>0</v>
      </c>
      <c r="D2551" s="11">
        <v>0.18809697298411443</v>
      </c>
    </row>
    <row r="2552" spans="1:4" x14ac:dyDescent="0.2">
      <c r="A2552" s="10" t="s">
        <v>2551</v>
      </c>
      <c r="B2552" s="12">
        <v>16.82</v>
      </c>
      <c r="C2552" s="11">
        <v>1.8017710043741488</v>
      </c>
      <c r="D2552" s="11">
        <v>0</v>
      </c>
    </row>
    <row r="2553" spans="1:4" x14ac:dyDescent="0.2">
      <c r="A2553" s="10" t="s">
        <v>2552</v>
      </c>
      <c r="B2553" s="12">
        <v>14.36</v>
      </c>
      <c r="C2553" s="11">
        <v>0</v>
      </c>
      <c r="D2553" s="11">
        <v>0.63358980373596441</v>
      </c>
    </row>
    <row r="2554" spans="1:4" x14ac:dyDescent="0.2">
      <c r="A2554" s="10" t="s">
        <v>2553</v>
      </c>
      <c r="B2554" s="12">
        <v>12.99</v>
      </c>
      <c r="C2554" s="11">
        <v>0</v>
      </c>
      <c r="D2554" s="11">
        <v>1.9898679773582628</v>
      </c>
    </row>
    <row r="2555" spans="1:4" x14ac:dyDescent="0.2">
      <c r="A2555" s="10" t="s">
        <v>2554</v>
      </c>
      <c r="B2555" s="12">
        <v>15.68</v>
      </c>
      <c r="C2555" s="11">
        <v>0.67318916646946225</v>
      </c>
      <c r="D2555" s="11">
        <v>0</v>
      </c>
    </row>
    <row r="2556" spans="1:4" x14ac:dyDescent="0.2">
      <c r="A2556" s="10" t="s">
        <v>2555</v>
      </c>
      <c r="B2556" s="12">
        <v>13.48</v>
      </c>
      <c r="C2556" s="11">
        <v>0</v>
      </c>
      <c r="D2556" s="11">
        <v>1.5047757838729154</v>
      </c>
    </row>
    <row r="2557" spans="1:4" x14ac:dyDescent="0.2">
      <c r="A2557" s="10" t="s">
        <v>2556</v>
      </c>
      <c r="B2557" s="12">
        <v>14.1</v>
      </c>
      <c r="C2557" s="11">
        <v>0</v>
      </c>
      <c r="D2557" s="11">
        <v>0.89098566150369995</v>
      </c>
    </row>
    <row r="2558" spans="1:4" x14ac:dyDescent="0.2">
      <c r="A2558" s="10" t="s">
        <v>2557</v>
      </c>
      <c r="B2558" s="12">
        <v>14.74</v>
      </c>
      <c r="C2558" s="11">
        <v>0</v>
      </c>
      <c r="D2558" s="11">
        <v>0.25739585776773555</v>
      </c>
    </row>
    <row r="2559" spans="1:4" x14ac:dyDescent="0.2">
      <c r="A2559" s="10" t="s">
        <v>2558</v>
      </c>
      <c r="B2559" s="12">
        <v>12.25</v>
      </c>
      <c r="C2559" s="11">
        <v>0</v>
      </c>
      <c r="D2559" s="11">
        <v>2.7224561879279721</v>
      </c>
    </row>
    <row r="2560" spans="1:4" x14ac:dyDescent="0.2">
      <c r="A2560" s="10" t="s">
        <v>2559</v>
      </c>
      <c r="B2560" s="12">
        <v>12.73</v>
      </c>
      <c r="C2560" s="11">
        <v>0</v>
      </c>
      <c r="D2560" s="11">
        <v>2.2472638351259988</v>
      </c>
    </row>
    <row r="2561" spans="1:4" x14ac:dyDescent="0.2">
      <c r="A2561" s="10" t="s">
        <v>2560</v>
      </c>
      <c r="B2561" s="12">
        <v>13.5</v>
      </c>
      <c r="C2561" s="11">
        <v>0</v>
      </c>
      <c r="D2561" s="11">
        <v>1.4849761025061665</v>
      </c>
    </row>
    <row r="2562" spans="1:4" x14ac:dyDescent="0.2">
      <c r="A2562" s="10" t="s">
        <v>2561</v>
      </c>
      <c r="B2562" s="12">
        <v>14.11</v>
      </c>
      <c r="C2562" s="11">
        <v>0</v>
      </c>
      <c r="D2562" s="11">
        <v>0.88108582082032549</v>
      </c>
    </row>
    <row r="2563" spans="1:4" x14ac:dyDescent="0.2">
      <c r="A2563" s="10" t="s">
        <v>2562</v>
      </c>
      <c r="B2563" s="12">
        <v>15.75</v>
      </c>
      <c r="C2563" s="11">
        <v>0.74248805125308326</v>
      </c>
      <c r="D2563" s="11">
        <v>0</v>
      </c>
    </row>
    <row r="2564" spans="1:4" x14ac:dyDescent="0.2">
      <c r="A2564" s="10" t="s">
        <v>2563</v>
      </c>
      <c r="B2564" s="12">
        <v>14.29</v>
      </c>
      <c r="C2564" s="11">
        <v>0</v>
      </c>
      <c r="D2564" s="11">
        <v>0.70288868851958541</v>
      </c>
    </row>
    <row r="2565" spans="1:4" x14ac:dyDescent="0.2">
      <c r="A2565" s="10" t="s">
        <v>2564</v>
      </c>
      <c r="B2565" s="12">
        <v>13.88</v>
      </c>
      <c r="C2565" s="11">
        <v>0</v>
      </c>
      <c r="D2565" s="11">
        <v>1.1087821565379379</v>
      </c>
    </row>
    <row r="2566" spans="1:4" x14ac:dyDescent="0.2">
      <c r="A2566" s="10" t="s">
        <v>2565</v>
      </c>
      <c r="B2566" s="12">
        <v>14</v>
      </c>
      <c r="C2566" s="11">
        <v>0</v>
      </c>
      <c r="D2566" s="11">
        <v>0.98998406833744435</v>
      </c>
    </row>
    <row r="2567" spans="1:4" x14ac:dyDescent="0.2">
      <c r="A2567" s="10" t="s">
        <v>2566</v>
      </c>
      <c r="B2567" s="12">
        <v>13.01</v>
      </c>
      <c r="C2567" s="11">
        <v>0</v>
      </c>
      <c r="D2567" s="11">
        <v>1.9700682959915143</v>
      </c>
    </row>
    <row r="2568" spans="1:4" x14ac:dyDescent="0.2">
      <c r="A2568" s="10" t="s">
        <v>2567</v>
      </c>
      <c r="B2568" s="12">
        <v>13.98</v>
      </c>
      <c r="C2568" s="11">
        <v>0</v>
      </c>
      <c r="D2568" s="11">
        <v>1.0097837497041933</v>
      </c>
    </row>
    <row r="2569" spans="1:4" x14ac:dyDescent="0.2">
      <c r="A2569" s="10" t="s">
        <v>2568</v>
      </c>
      <c r="B2569" s="12">
        <v>14.67</v>
      </c>
      <c r="C2569" s="11">
        <v>0</v>
      </c>
      <c r="D2569" s="11">
        <v>0.32669474255135666</v>
      </c>
    </row>
    <row r="2570" spans="1:4" x14ac:dyDescent="0.2">
      <c r="A2570" s="10" t="s">
        <v>2569</v>
      </c>
      <c r="B2570" s="12">
        <v>14.6</v>
      </c>
      <c r="C2570" s="11">
        <v>0</v>
      </c>
      <c r="D2570" s="11">
        <v>0.39599362733497778</v>
      </c>
    </row>
    <row r="2571" spans="1:4" x14ac:dyDescent="0.2">
      <c r="A2571" s="10" t="s">
        <v>2570</v>
      </c>
      <c r="B2571" s="12">
        <v>13.88</v>
      </c>
      <c r="C2571" s="11">
        <v>0</v>
      </c>
      <c r="D2571" s="11">
        <v>1.1087821565379379</v>
      </c>
    </row>
    <row r="2572" spans="1:4" x14ac:dyDescent="0.2">
      <c r="A2572" s="10" t="s">
        <v>2571</v>
      </c>
      <c r="B2572" s="12">
        <v>14.9</v>
      </c>
      <c r="C2572" s="11">
        <v>0</v>
      </c>
      <c r="D2572" s="11">
        <v>9.8998406833744446E-2</v>
      </c>
    </row>
    <row r="2573" spans="1:4" x14ac:dyDescent="0.2">
      <c r="A2573" s="10" t="s">
        <v>2572</v>
      </c>
      <c r="B2573" s="12">
        <v>14.5</v>
      </c>
      <c r="C2573" s="11">
        <v>0</v>
      </c>
      <c r="D2573" s="11">
        <v>0.49499203416872217</v>
      </c>
    </row>
    <row r="2574" spans="1:4" x14ac:dyDescent="0.2">
      <c r="A2574" s="10" t="s">
        <v>2573</v>
      </c>
      <c r="B2574" s="12">
        <v>13.34</v>
      </c>
      <c r="C2574" s="11">
        <v>0</v>
      </c>
      <c r="D2574" s="11">
        <v>1.6433735534401575</v>
      </c>
    </row>
    <row r="2575" spans="1:4" x14ac:dyDescent="0.2">
      <c r="A2575" s="10" t="s">
        <v>2574</v>
      </c>
      <c r="B2575" s="12">
        <v>12.41</v>
      </c>
      <c r="C2575" s="11">
        <v>0</v>
      </c>
      <c r="D2575" s="11">
        <v>2.5640587369939807</v>
      </c>
    </row>
    <row r="2576" spans="1:4" x14ac:dyDescent="0.2">
      <c r="A2576" s="10" t="s">
        <v>2575</v>
      </c>
      <c r="B2576" s="12">
        <v>13.6</v>
      </c>
      <c r="C2576" s="11">
        <v>0</v>
      </c>
      <c r="D2576" s="11">
        <v>1.3859776956724219</v>
      </c>
    </row>
    <row r="2577" spans="1:4" x14ac:dyDescent="0.2">
      <c r="A2577" s="10" t="s">
        <v>2576</v>
      </c>
      <c r="B2577" s="12">
        <v>14.02</v>
      </c>
      <c r="C2577" s="11">
        <v>0</v>
      </c>
      <c r="D2577" s="11">
        <v>0.97018438697069542</v>
      </c>
    </row>
    <row r="2578" spans="1:4" x14ac:dyDescent="0.2">
      <c r="A2578" s="10" t="s">
        <v>2577</v>
      </c>
      <c r="B2578" s="12">
        <v>14.63</v>
      </c>
      <c r="C2578" s="11">
        <v>0</v>
      </c>
      <c r="D2578" s="11">
        <v>0.3662941052848544</v>
      </c>
    </row>
    <row r="2579" spans="1:4" x14ac:dyDescent="0.2">
      <c r="A2579" s="10" t="s">
        <v>2578</v>
      </c>
      <c r="B2579" s="12">
        <v>15.12</v>
      </c>
      <c r="C2579" s="11">
        <v>0.11879808820049331</v>
      </c>
      <c r="D2579" s="11">
        <v>0</v>
      </c>
    </row>
    <row r="2580" spans="1:4" x14ac:dyDescent="0.2">
      <c r="A2580" s="10" t="s">
        <v>2579</v>
      </c>
      <c r="B2580" s="12">
        <v>13.15</v>
      </c>
      <c r="C2580" s="11">
        <v>0</v>
      </c>
      <c r="D2580" s="11">
        <v>1.8314705264242721</v>
      </c>
    </row>
    <row r="2581" spans="1:4" x14ac:dyDescent="0.2">
      <c r="A2581" s="10" t="s">
        <v>2580</v>
      </c>
      <c r="B2581" s="12">
        <v>11.38</v>
      </c>
      <c r="C2581" s="11">
        <v>0</v>
      </c>
      <c r="D2581" s="11">
        <v>3.5837423273815485</v>
      </c>
    </row>
    <row r="2582" spans="1:4" x14ac:dyDescent="0.2">
      <c r="A2582" s="10" t="s">
        <v>2581</v>
      </c>
      <c r="B2582" s="12">
        <v>13.37</v>
      </c>
      <c r="C2582" s="11">
        <v>0</v>
      </c>
      <c r="D2582" s="11">
        <v>1.6136740313900342</v>
      </c>
    </row>
    <row r="2583" spans="1:4" x14ac:dyDescent="0.2">
      <c r="A2583" s="10" t="s">
        <v>2582</v>
      </c>
      <c r="B2583" s="12">
        <v>13.03</v>
      </c>
      <c r="C2583" s="11">
        <v>0</v>
      </c>
      <c r="D2583" s="11">
        <v>1.9502686146247654</v>
      </c>
    </row>
    <row r="2584" spans="1:4" x14ac:dyDescent="0.2">
      <c r="A2584" s="10" t="s">
        <v>2583</v>
      </c>
      <c r="B2584" s="12">
        <v>15.07</v>
      </c>
      <c r="C2584" s="11">
        <v>6.9298884783621117E-2</v>
      </c>
      <c r="D2584" s="11">
        <v>0</v>
      </c>
    </row>
    <row r="2585" spans="1:4" x14ac:dyDescent="0.2">
      <c r="A2585" s="10" t="s">
        <v>2584</v>
      </c>
      <c r="B2585" s="12">
        <v>12.81</v>
      </c>
      <c r="C2585" s="11">
        <v>0</v>
      </c>
      <c r="D2585" s="11">
        <v>2.1680651096590031</v>
      </c>
    </row>
    <row r="2586" spans="1:4" x14ac:dyDescent="0.2">
      <c r="A2586" s="10" t="s">
        <v>2585</v>
      </c>
      <c r="B2586" s="12">
        <v>13.83</v>
      </c>
      <c r="C2586" s="11">
        <v>0</v>
      </c>
      <c r="D2586" s="11">
        <v>1.1582813599548099</v>
      </c>
    </row>
    <row r="2587" spans="1:4" x14ac:dyDescent="0.2">
      <c r="A2587" s="10" t="s">
        <v>2586</v>
      </c>
      <c r="B2587" s="12">
        <v>14.75</v>
      </c>
      <c r="C2587" s="11">
        <v>0</v>
      </c>
      <c r="D2587" s="11">
        <v>0.24749601708436109</v>
      </c>
    </row>
    <row r="2588" spans="1:4" x14ac:dyDescent="0.2">
      <c r="A2588" s="10" t="s">
        <v>2587</v>
      </c>
      <c r="B2588" s="12">
        <v>15.62</v>
      </c>
      <c r="C2588" s="11">
        <v>0.61379012236921549</v>
      </c>
      <c r="D2588" s="11">
        <v>0</v>
      </c>
    </row>
    <row r="2589" spans="1:4" x14ac:dyDescent="0.2">
      <c r="A2589" s="10" t="s">
        <v>2588</v>
      </c>
      <c r="B2589" s="12">
        <v>12.51</v>
      </c>
      <c r="C2589" s="11">
        <v>0</v>
      </c>
      <c r="D2589" s="11">
        <v>2.4650603301602367</v>
      </c>
    </row>
    <row r="2590" spans="1:4" x14ac:dyDescent="0.2">
      <c r="A2590" s="10" t="s">
        <v>2589</v>
      </c>
      <c r="B2590" s="12">
        <v>13.84</v>
      </c>
      <c r="C2590" s="11">
        <v>0</v>
      </c>
      <c r="D2590" s="11">
        <v>1.1483815192714353</v>
      </c>
    </row>
    <row r="2591" spans="1:4" x14ac:dyDescent="0.2">
      <c r="A2591" s="10" t="s">
        <v>2590</v>
      </c>
      <c r="B2591" s="12">
        <v>12.27</v>
      </c>
      <c r="C2591" s="11">
        <v>0</v>
      </c>
      <c r="D2591" s="11">
        <v>2.7026565065612229</v>
      </c>
    </row>
    <row r="2592" spans="1:4" x14ac:dyDescent="0.2">
      <c r="A2592" s="10" t="s">
        <v>2591</v>
      </c>
      <c r="B2592" s="12">
        <v>14.93</v>
      </c>
      <c r="C2592" s="11">
        <v>0</v>
      </c>
      <c r="D2592" s="11">
        <v>6.9298884783621117E-2</v>
      </c>
    </row>
    <row r="2593" spans="1:4" x14ac:dyDescent="0.2">
      <c r="A2593" s="10" t="s">
        <v>2592</v>
      </c>
      <c r="B2593" s="12">
        <v>13.8</v>
      </c>
      <c r="C2593" s="11">
        <v>0</v>
      </c>
      <c r="D2593" s="11">
        <v>1.1879808820049331</v>
      </c>
    </row>
    <row r="2594" spans="1:4" x14ac:dyDescent="0.2">
      <c r="A2594" s="10" t="s">
        <v>2593</v>
      </c>
      <c r="B2594" s="12">
        <v>13.53</v>
      </c>
      <c r="C2594" s="11">
        <v>0</v>
      </c>
      <c r="D2594" s="11">
        <v>1.4552765804560432</v>
      </c>
    </row>
    <row r="2595" spans="1:4" x14ac:dyDescent="0.2">
      <c r="A2595" s="10" t="s">
        <v>2594</v>
      </c>
      <c r="B2595" s="12">
        <v>17.670000000000002</v>
      </c>
      <c r="C2595" s="11">
        <v>2.6432574624609764</v>
      </c>
      <c r="D2595" s="11">
        <v>0</v>
      </c>
    </row>
    <row r="2596" spans="1:4" x14ac:dyDescent="0.2">
      <c r="A2596" s="10" t="s">
        <v>2595</v>
      </c>
      <c r="B2596" s="12">
        <v>14.78</v>
      </c>
      <c r="C2596" s="11">
        <v>0</v>
      </c>
      <c r="D2596" s="11">
        <v>0.21779649503423776</v>
      </c>
    </row>
    <row r="2597" spans="1:4" x14ac:dyDescent="0.2">
      <c r="A2597" s="10" t="s">
        <v>2596</v>
      </c>
      <c r="B2597" s="12">
        <v>15.18</v>
      </c>
      <c r="C2597" s="11">
        <v>0.17819713230073997</v>
      </c>
      <c r="D2597" s="11">
        <v>0</v>
      </c>
    </row>
    <row r="2598" spans="1:4" x14ac:dyDescent="0.2">
      <c r="A2598" s="10" t="s">
        <v>2597</v>
      </c>
      <c r="B2598" s="12">
        <v>13.65</v>
      </c>
      <c r="C2598" s="11">
        <v>0</v>
      </c>
      <c r="D2598" s="11">
        <v>1.3364784922555499</v>
      </c>
    </row>
    <row r="2599" spans="1:4" x14ac:dyDescent="0.2">
      <c r="A2599" s="10" t="s">
        <v>2598</v>
      </c>
      <c r="B2599" s="12">
        <v>12.96</v>
      </c>
      <c r="C2599" s="11">
        <v>0</v>
      </c>
      <c r="D2599" s="11">
        <v>2.0195674994083865</v>
      </c>
    </row>
    <row r="2600" spans="1:4" x14ac:dyDescent="0.2">
      <c r="A2600" s="10" t="s">
        <v>2599</v>
      </c>
      <c r="B2600" s="12">
        <v>12.3</v>
      </c>
      <c r="C2600" s="11">
        <v>0</v>
      </c>
      <c r="D2600" s="11">
        <v>2.6729569845110999</v>
      </c>
    </row>
    <row r="2601" spans="1:4" x14ac:dyDescent="0.2">
      <c r="A2601" s="10" t="s">
        <v>2600</v>
      </c>
      <c r="B2601" s="12">
        <v>14.19</v>
      </c>
      <c r="C2601" s="11">
        <v>0</v>
      </c>
      <c r="D2601" s="11">
        <v>0.80188709535333003</v>
      </c>
    </row>
    <row r="2602" spans="1:4" x14ac:dyDescent="0.2">
      <c r="A2602" s="10" t="s">
        <v>2601</v>
      </c>
      <c r="B2602" s="12">
        <v>12.53</v>
      </c>
      <c r="C2602" s="11">
        <v>0</v>
      </c>
      <c r="D2602" s="11">
        <v>2.4452606487934876</v>
      </c>
    </row>
    <row r="2603" spans="1:4" x14ac:dyDescent="0.2">
      <c r="A2603" s="10" t="s">
        <v>2602</v>
      </c>
      <c r="B2603" s="12">
        <v>12.82</v>
      </c>
      <c r="C2603" s="11">
        <v>0</v>
      </c>
      <c r="D2603" s="11">
        <v>2.1581652689756288</v>
      </c>
    </row>
    <row r="2604" spans="1:4" x14ac:dyDescent="0.2">
      <c r="A2604" s="10" t="s">
        <v>2603</v>
      </c>
      <c r="B2604" s="12">
        <v>16.48</v>
      </c>
      <c r="C2604" s="11">
        <v>1.4651764211394176</v>
      </c>
      <c r="D2604" s="11">
        <v>0</v>
      </c>
    </row>
    <row r="2605" spans="1:4" x14ac:dyDescent="0.2">
      <c r="A2605" s="10" t="s">
        <v>2604</v>
      </c>
      <c r="B2605" s="12">
        <v>14.2</v>
      </c>
      <c r="C2605" s="11">
        <v>0</v>
      </c>
      <c r="D2605" s="11">
        <v>0.79198725466995556</v>
      </c>
    </row>
    <row r="2606" spans="1:4" x14ac:dyDescent="0.2">
      <c r="A2606" s="10" t="s">
        <v>2605</v>
      </c>
      <c r="B2606" s="12">
        <v>15.14</v>
      </c>
      <c r="C2606" s="11">
        <v>0.13859776956724223</v>
      </c>
      <c r="D2606" s="11">
        <v>0</v>
      </c>
    </row>
    <row r="2607" spans="1:4" x14ac:dyDescent="0.2">
      <c r="A2607" s="10" t="s">
        <v>2606</v>
      </c>
      <c r="B2607" s="12">
        <v>13.8</v>
      </c>
      <c r="C2607" s="11">
        <v>0</v>
      </c>
      <c r="D2607" s="11">
        <v>1.1879808820049331</v>
      </c>
    </row>
    <row r="2608" spans="1:4" x14ac:dyDescent="0.2">
      <c r="A2608" s="10" t="s">
        <v>2607</v>
      </c>
      <c r="B2608" s="12">
        <v>13.74</v>
      </c>
      <c r="C2608" s="11">
        <v>0</v>
      </c>
      <c r="D2608" s="11">
        <v>1.2473799261051799</v>
      </c>
    </row>
    <row r="2609" spans="1:4" x14ac:dyDescent="0.2">
      <c r="A2609" s="10" t="s">
        <v>2608</v>
      </c>
      <c r="B2609" s="12">
        <v>12.44</v>
      </c>
      <c r="C2609" s="11">
        <v>0</v>
      </c>
      <c r="D2609" s="11">
        <v>2.5343592149438576</v>
      </c>
    </row>
    <row r="2610" spans="1:4" x14ac:dyDescent="0.2">
      <c r="A2610" s="10" t="s">
        <v>2609</v>
      </c>
      <c r="B2610" s="12">
        <v>13.63</v>
      </c>
      <c r="C2610" s="11">
        <v>0</v>
      </c>
      <c r="D2610" s="11">
        <v>1.3562781736222989</v>
      </c>
    </row>
    <row r="2611" spans="1:4" x14ac:dyDescent="0.2">
      <c r="A2611" s="10" t="s">
        <v>2610</v>
      </c>
      <c r="B2611" s="12">
        <v>15.58</v>
      </c>
      <c r="C2611" s="11">
        <v>0.57419075963571764</v>
      </c>
      <c r="D2611" s="11">
        <v>0</v>
      </c>
    </row>
    <row r="2612" spans="1:4" x14ac:dyDescent="0.2">
      <c r="A2612" s="10" t="s">
        <v>2611</v>
      </c>
      <c r="B2612" s="12">
        <v>15.63</v>
      </c>
      <c r="C2612" s="11">
        <v>0.62368996305258995</v>
      </c>
      <c r="D2612" s="11">
        <v>0</v>
      </c>
    </row>
    <row r="2613" spans="1:4" x14ac:dyDescent="0.2">
      <c r="A2613" s="10" t="s">
        <v>2612</v>
      </c>
      <c r="B2613" s="12">
        <v>14.22</v>
      </c>
      <c r="C2613" s="11">
        <v>0</v>
      </c>
      <c r="D2613" s="11">
        <v>0.77218757330320664</v>
      </c>
    </row>
    <row r="2614" spans="1:4" x14ac:dyDescent="0.2">
      <c r="A2614" s="10" t="s">
        <v>2613</v>
      </c>
      <c r="B2614" s="12">
        <v>14.22</v>
      </c>
      <c r="C2614" s="11">
        <v>0</v>
      </c>
      <c r="D2614" s="11">
        <v>0.77218757330320664</v>
      </c>
    </row>
    <row r="2615" spans="1:4" x14ac:dyDescent="0.2">
      <c r="A2615" s="10" t="s">
        <v>2614</v>
      </c>
      <c r="B2615" s="12">
        <v>13.46</v>
      </c>
      <c r="C2615" s="11">
        <v>0</v>
      </c>
      <c r="D2615" s="11">
        <v>1.5245754652396644</v>
      </c>
    </row>
    <row r="2616" spans="1:4" x14ac:dyDescent="0.2">
      <c r="A2616" s="10" t="s">
        <v>2615</v>
      </c>
      <c r="B2616" s="12">
        <v>12.5</v>
      </c>
      <c r="C2616" s="11">
        <v>0</v>
      </c>
      <c r="D2616" s="11">
        <v>2.4749601708436106</v>
      </c>
    </row>
    <row r="2617" spans="1:4" x14ac:dyDescent="0.2">
      <c r="A2617" s="10" t="s">
        <v>2616</v>
      </c>
      <c r="B2617" s="12">
        <v>15.02</v>
      </c>
      <c r="C2617" s="11">
        <v>1.9799681366748888E-2</v>
      </c>
      <c r="D2617" s="11">
        <v>0</v>
      </c>
    </row>
    <row r="2618" spans="1:4" x14ac:dyDescent="0.2">
      <c r="A2618" s="10" t="s">
        <v>2617</v>
      </c>
      <c r="B2618" s="12">
        <v>13.36</v>
      </c>
      <c r="C2618" s="11">
        <v>0</v>
      </c>
      <c r="D2618" s="11">
        <v>1.6235738720734085</v>
      </c>
    </row>
    <row r="2619" spans="1:4" x14ac:dyDescent="0.2">
      <c r="A2619" s="10" t="s">
        <v>2618</v>
      </c>
      <c r="B2619" s="12">
        <v>15.29</v>
      </c>
      <c r="C2619" s="11">
        <v>0.28709537981785882</v>
      </c>
      <c r="D2619" s="11">
        <v>0</v>
      </c>
    </row>
    <row r="2620" spans="1:4" x14ac:dyDescent="0.2">
      <c r="A2620" s="10" t="s">
        <v>2619</v>
      </c>
      <c r="B2620" s="12">
        <v>15.32</v>
      </c>
      <c r="C2620" s="11">
        <v>0.3167949018679822</v>
      </c>
      <c r="D2620" s="11">
        <v>0</v>
      </c>
    </row>
    <row r="2621" spans="1:4" x14ac:dyDescent="0.2">
      <c r="A2621" s="10" t="s">
        <v>2620</v>
      </c>
      <c r="B2621" s="12">
        <v>13.6</v>
      </c>
      <c r="C2621" s="11">
        <v>0</v>
      </c>
      <c r="D2621" s="11">
        <v>1.3859776956724219</v>
      </c>
    </row>
    <row r="2622" spans="1:4" x14ac:dyDescent="0.2">
      <c r="A2622" s="10" t="s">
        <v>2621</v>
      </c>
      <c r="B2622" s="12">
        <v>13.79</v>
      </c>
      <c r="C2622" s="11">
        <v>0</v>
      </c>
      <c r="D2622" s="11">
        <v>1.1978807226883077</v>
      </c>
    </row>
    <row r="2623" spans="1:4" x14ac:dyDescent="0.2">
      <c r="A2623" s="10" t="s">
        <v>2622</v>
      </c>
      <c r="B2623" s="12">
        <v>13.94</v>
      </c>
      <c r="C2623" s="11">
        <v>0</v>
      </c>
      <c r="D2623" s="11">
        <v>1.0493831124376911</v>
      </c>
    </row>
    <row r="2624" spans="1:4" x14ac:dyDescent="0.2">
      <c r="A2624" s="10" t="s">
        <v>2623</v>
      </c>
      <c r="B2624" s="12">
        <v>14.06</v>
      </c>
      <c r="C2624" s="11">
        <v>0</v>
      </c>
      <c r="D2624" s="11">
        <v>0.93058502423719758</v>
      </c>
    </row>
    <row r="2625" spans="1:4" x14ac:dyDescent="0.2">
      <c r="A2625" s="10" t="s">
        <v>2624</v>
      </c>
      <c r="B2625" s="12">
        <v>15.72</v>
      </c>
      <c r="C2625" s="11">
        <v>0.71278852920295988</v>
      </c>
      <c r="D2625" s="11">
        <v>0</v>
      </c>
    </row>
    <row r="2626" spans="1:4" x14ac:dyDescent="0.2">
      <c r="A2626" s="10" t="s">
        <v>2625</v>
      </c>
      <c r="B2626" s="12">
        <v>13.09</v>
      </c>
      <c r="C2626" s="11">
        <v>0</v>
      </c>
      <c r="D2626" s="11">
        <v>1.8908695705245187</v>
      </c>
    </row>
    <row r="2627" spans="1:4" x14ac:dyDescent="0.2">
      <c r="A2627" s="10" t="s">
        <v>2626</v>
      </c>
      <c r="B2627" s="12">
        <v>13.94</v>
      </c>
      <c r="C2627" s="11">
        <v>0</v>
      </c>
      <c r="D2627" s="11">
        <v>1.0493831124376911</v>
      </c>
    </row>
    <row r="2628" spans="1:4" x14ac:dyDescent="0.2">
      <c r="A2628" s="10" t="s">
        <v>2627</v>
      </c>
      <c r="B2628" s="12">
        <v>15.13</v>
      </c>
      <c r="C2628" s="11">
        <v>0.12869792888386777</v>
      </c>
      <c r="D2628" s="11">
        <v>0</v>
      </c>
    </row>
    <row r="2629" spans="1:4" x14ac:dyDescent="0.2">
      <c r="A2629" s="10" t="s">
        <v>2628</v>
      </c>
      <c r="B2629" s="12">
        <v>13.97</v>
      </c>
      <c r="C2629" s="11">
        <v>0</v>
      </c>
      <c r="D2629" s="11">
        <v>1.0196835903875676</v>
      </c>
    </row>
    <row r="2630" spans="1:4" x14ac:dyDescent="0.2">
      <c r="A2630" s="10" t="s">
        <v>2629</v>
      </c>
      <c r="B2630" s="12">
        <v>14.54</v>
      </c>
      <c r="C2630" s="11">
        <v>0</v>
      </c>
      <c r="D2630" s="11">
        <v>0.45539267143522444</v>
      </c>
    </row>
    <row r="2631" spans="1:4" x14ac:dyDescent="0.2">
      <c r="A2631" s="10" t="s">
        <v>2630</v>
      </c>
      <c r="B2631" s="12">
        <v>14.12</v>
      </c>
      <c r="C2631" s="11">
        <v>0</v>
      </c>
      <c r="D2631" s="11">
        <v>0.87118598013695103</v>
      </c>
    </row>
    <row r="2632" spans="1:4" x14ac:dyDescent="0.2">
      <c r="A2632" s="10" t="s">
        <v>2631</v>
      </c>
      <c r="B2632" s="12">
        <v>13.1</v>
      </c>
      <c r="C2632" s="11">
        <v>0</v>
      </c>
      <c r="D2632" s="11">
        <v>1.8809697298411441</v>
      </c>
    </row>
    <row r="2633" spans="1:4" x14ac:dyDescent="0.2">
      <c r="A2633" s="10" t="s">
        <v>2632</v>
      </c>
      <c r="B2633" s="12">
        <v>12.39</v>
      </c>
      <c r="C2633" s="11">
        <v>0</v>
      </c>
      <c r="D2633" s="11">
        <v>2.5838584183607298</v>
      </c>
    </row>
    <row r="2634" spans="1:4" x14ac:dyDescent="0.2">
      <c r="A2634" s="10" t="s">
        <v>2633</v>
      </c>
      <c r="B2634" s="12">
        <v>13.62</v>
      </c>
      <c r="C2634" s="11">
        <v>0</v>
      </c>
      <c r="D2634" s="11">
        <v>1.366178014305673</v>
      </c>
    </row>
    <row r="2635" spans="1:4" x14ac:dyDescent="0.2">
      <c r="A2635" s="10" t="s">
        <v>2634</v>
      </c>
      <c r="B2635" s="12">
        <v>14.76</v>
      </c>
      <c r="C2635" s="11">
        <v>0</v>
      </c>
      <c r="D2635" s="11">
        <v>0.23759617640098663</v>
      </c>
    </row>
    <row r="2636" spans="1:4" x14ac:dyDescent="0.2">
      <c r="A2636" s="10" t="s">
        <v>2635</v>
      </c>
      <c r="B2636" s="12">
        <v>13.79</v>
      </c>
      <c r="C2636" s="11">
        <v>0</v>
      </c>
      <c r="D2636" s="11">
        <v>1.1978807226883077</v>
      </c>
    </row>
    <row r="2637" spans="1:4" x14ac:dyDescent="0.2">
      <c r="A2637" s="10" t="s">
        <v>2636</v>
      </c>
      <c r="B2637" s="12">
        <v>12.38</v>
      </c>
      <c r="C2637" s="11">
        <v>0</v>
      </c>
      <c r="D2637" s="11">
        <v>2.5937582590441042</v>
      </c>
    </row>
    <row r="2638" spans="1:4" x14ac:dyDescent="0.2">
      <c r="A2638" s="10" t="s">
        <v>2637</v>
      </c>
      <c r="B2638" s="12">
        <v>13.93</v>
      </c>
      <c r="C2638" s="11">
        <v>0</v>
      </c>
      <c r="D2638" s="11">
        <v>1.0592829531210655</v>
      </c>
    </row>
    <row r="2639" spans="1:4" x14ac:dyDescent="0.2">
      <c r="A2639" s="10" t="s">
        <v>2638</v>
      </c>
      <c r="B2639" s="12">
        <v>12.3</v>
      </c>
      <c r="C2639" s="11">
        <v>0</v>
      </c>
      <c r="D2639" s="11">
        <v>2.6729569845110999</v>
      </c>
    </row>
    <row r="2640" spans="1:4" x14ac:dyDescent="0.2">
      <c r="A2640" s="10" t="s">
        <v>2639</v>
      </c>
      <c r="B2640" s="12">
        <v>12.78</v>
      </c>
      <c r="C2640" s="11">
        <v>0</v>
      </c>
      <c r="D2640" s="11">
        <v>2.1977646317091266</v>
      </c>
    </row>
    <row r="2641" spans="1:4" x14ac:dyDescent="0.2">
      <c r="A2641" s="10" t="s">
        <v>2640</v>
      </c>
      <c r="B2641" s="12">
        <v>14</v>
      </c>
      <c r="C2641" s="11">
        <v>0</v>
      </c>
      <c r="D2641" s="11">
        <v>0.98998406833744435</v>
      </c>
    </row>
    <row r="2642" spans="1:4" x14ac:dyDescent="0.2">
      <c r="A2642" s="10" t="s">
        <v>2641</v>
      </c>
      <c r="B2642" s="12">
        <v>12.94</v>
      </c>
      <c r="C2642" s="11">
        <v>0</v>
      </c>
      <c r="D2642" s="11">
        <v>2.0393671807751352</v>
      </c>
    </row>
    <row r="2643" spans="1:4" x14ac:dyDescent="0.2">
      <c r="A2643" s="10" t="s">
        <v>2642</v>
      </c>
      <c r="B2643" s="12">
        <v>13.48</v>
      </c>
      <c r="C2643" s="11">
        <v>0</v>
      </c>
      <c r="D2643" s="11">
        <v>1.5047757838729154</v>
      </c>
    </row>
    <row r="2644" spans="1:4" x14ac:dyDescent="0.2">
      <c r="A2644" s="10" t="s">
        <v>2643</v>
      </c>
      <c r="B2644" s="12">
        <v>14.76</v>
      </c>
      <c r="C2644" s="11">
        <v>0</v>
      </c>
      <c r="D2644" s="11">
        <v>0.23759617640098663</v>
      </c>
    </row>
    <row r="2645" spans="1:4" x14ac:dyDescent="0.2">
      <c r="A2645" s="10" t="s">
        <v>2644</v>
      </c>
      <c r="B2645" s="12">
        <v>13.9</v>
      </c>
      <c r="C2645" s="11">
        <v>0</v>
      </c>
      <c r="D2645" s="11">
        <v>1.088982475171189</v>
      </c>
    </row>
    <row r="2646" spans="1:4" x14ac:dyDescent="0.2">
      <c r="A2646" s="10" t="s">
        <v>2645</v>
      </c>
      <c r="B2646" s="12">
        <v>14.89</v>
      </c>
      <c r="C2646" s="11">
        <v>0</v>
      </c>
      <c r="D2646" s="11">
        <v>0.10889824751711888</v>
      </c>
    </row>
    <row r="2647" spans="1:4" x14ac:dyDescent="0.2">
      <c r="A2647" s="10" t="s">
        <v>2646</v>
      </c>
      <c r="B2647" s="12">
        <v>14.89</v>
      </c>
      <c r="C2647" s="11">
        <v>0</v>
      </c>
      <c r="D2647" s="11">
        <v>0.10889824751711888</v>
      </c>
    </row>
    <row r="2648" spans="1:4" x14ac:dyDescent="0.2">
      <c r="A2648" s="10" t="s">
        <v>2647</v>
      </c>
      <c r="B2648" s="12">
        <v>13.98</v>
      </c>
      <c r="C2648" s="11">
        <v>0</v>
      </c>
      <c r="D2648" s="11">
        <v>1.0097837497041933</v>
      </c>
    </row>
    <row r="2649" spans="1:4" x14ac:dyDescent="0.2">
      <c r="A2649" s="10" t="s">
        <v>2648</v>
      </c>
      <c r="B2649" s="12">
        <v>12.67</v>
      </c>
      <c r="C2649" s="11">
        <v>0</v>
      </c>
      <c r="D2649" s="11">
        <v>2.3066628792262454</v>
      </c>
    </row>
    <row r="2650" spans="1:4" x14ac:dyDescent="0.2">
      <c r="A2650" s="10" t="s">
        <v>2649</v>
      </c>
      <c r="B2650" s="12">
        <v>14.57</v>
      </c>
      <c r="C2650" s="11">
        <v>0</v>
      </c>
      <c r="D2650" s="11">
        <v>0.42569314938510106</v>
      </c>
    </row>
    <row r="2651" spans="1:4" x14ac:dyDescent="0.2">
      <c r="A2651" s="10" t="s">
        <v>2650</v>
      </c>
      <c r="B2651" s="12">
        <v>15.58</v>
      </c>
      <c r="C2651" s="11">
        <v>0.57419075963571764</v>
      </c>
      <c r="D2651" s="11">
        <v>0</v>
      </c>
    </row>
    <row r="2652" spans="1:4" x14ac:dyDescent="0.2">
      <c r="A2652" s="10" t="s">
        <v>2651</v>
      </c>
      <c r="B2652" s="12">
        <v>13.4</v>
      </c>
      <c r="C2652" s="11">
        <v>0</v>
      </c>
      <c r="D2652" s="11">
        <v>1.5839745093399111</v>
      </c>
    </row>
    <row r="2653" spans="1:4" x14ac:dyDescent="0.2">
      <c r="A2653" s="10" t="s">
        <v>2652</v>
      </c>
      <c r="B2653" s="12">
        <v>13.91</v>
      </c>
      <c r="C2653" s="11">
        <v>0</v>
      </c>
      <c r="D2653" s="11">
        <v>1.0790826344878144</v>
      </c>
    </row>
    <row r="2654" spans="1:4" x14ac:dyDescent="0.2">
      <c r="A2654" s="10" t="s">
        <v>2653</v>
      </c>
      <c r="B2654" s="12">
        <v>15.42</v>
      </c>
      <c r="C2654" s="11">
        <v>0.41579330870172659</v>
      </c>
      <c r="D2654" s="11">
        <v>0</v>
      </c>
    </row>
    <row r="2655" spans="1:4" x14ac:dyDescent="0.2">
      <c r="A2655" s="10" t="s">
        <v>2654</v>
      </c>
      <c r="B2655" s="12">
        <v>13.01</v>
      </c>
      <c r="C2655" s="11">
        <v>0</v>
      </c>
      <c r="D2655" s="11">
        <v>1.9700682959915143</v>
      </c>
    </row>
    <row r="2656" spans="1:4" x14ac:dyDescent="0.2">
      <c r="A2656" s="10" t="s">
        <v>2655</v>
      </c>
      <c r="B2656" s="12">
        <v>14.17</v>
      </c>
      <c r="C2656" s="11">
        <v>0</v>
      </c>
      <c r="D2656" s="11">
        <v>0.82168677672007873</v>
      </c>
    </row>
    <row r="2657" spans="1:4" x14ac:dyDescent="0.2">
      <c r="A2657" s="10" t="s">
        <v>2656</v>
      </c>
      <c r="B2657" s="12">
        <v>14.91</v>
      </c>
      <c r="C2657" s="11">
        <v>0</v>
      </c>
      <c r="D2657" s="11">
        <v>8.9098566150369984E-2</v>
      </c>
    </row>
    <row r="2658" spans="1:4" x14ac:dyDescent="0.2">
      <c r="A2658" s="10" t="s">
        <v>2657</v>
      </c>
      <c r="B2658" s="12">
        <v>13.93</v>
      </c>
      <c r="C2658" s="11">
        <v>0</v>
      </c>
      <c r="D2658" s="11">
        <v>1.0592829531210655</v>
      </c>
    </row>
    <row r="2659" spans="1:4" x14ac:dyDescent="0.2">
      <c r="A2659" s="10" t="s">
        <v>2658</v>
      </c>
      <c r="B2659" s="12">
        <v>12.37</v>
      </c>
      <c r="C2659" s="11">
        <v>0</v>
      </c>
      <c r="D2659" s="11">
        <v>2.6036580997274785</v>
      </c>
    </row>
    <row r="2660" spans="1:4" x14ac:dyDescent="0.2">
      <c r="A2660" s="10" t="s">
        <v>2659</v>
      </c>
      <c r="B2660" s="12">
        <v>14.01</v>
      </c>
      <c r="C2660" s="11">
        <v>0</v>
      </c>
      <c r="D2660" s="11">
        <v>0.98008422765406988</v>
      </c>
    </row>
    <row r="2661" spans="1:4" x14ac:dyDescent="0.2">
      <c r="A2661" s="10" t="s">
        <v>2660</v>
      </c>
      <c r="B2661" s="12">
        <v>15.24</v>
      </c>
      <c r="C2661" s="11">
        <v>0.23759617640098663</v>
      </c>
      <c r="D2661" s="11">
        <v>0</v>
      </c>
    </row>
    <row r="2662" spans="1:4" x14ac:dyDescent="0.2">
      <c r="A2662" s="10" t="s">
        <v>2661</v>
      </c>
      <c r="B2662" s="12">
        <v>14.74</v>
      </c>
      <c r="C2662" s="11">
        <v>0</v>
      </c>
      <c r="D2662" s="11">
        <v>0.25739585776773555</v>
      </c>
    </row>
    <row r="2663" spans="1:4" x14ac:dyDescent="0.2">
      <c r="A2663" s="10" t="s">
        <v>2662</v>
      </c>
      <c r="B2663" s="12">
        <v>16.510000000000002</v>
      </c>
      <c r="C2663" s="11">
        <v>1.4948759431895409</v>
      </c>
      <c r="D2663" s="11">
        <v>0</v>
      </c>
    </row>
    <row r="2664" spans="1:4" x14ac:dyDescent="0.2">
      <c r="A2664" s="10" t="s">
        <v>2663</v>
      </c>
      <c r="B2664" s="12">
        <v>12.33</v>
      </c>
      <c r="C2664" s="11">
        <v>0</v>
      </c>
      <c r="D2664" s="11">
        <v>2.6432574624609764</v>
      </c>
    </row>
    <row r="2665" spans="1:4" x14ac:dyDescent="0.2">
      <c r="A2665" s="10" t="s">
        <v>2664</v>
      </c>
      <c r="B2665" s="12">
        <v>13.4</v>
      </c>
      <c r="C2665" s="11">
        <v>0</v>
      </c>
      <c r="D2665" s="11">
        <v>1.5839745093399111</v>
      </c>
    </row>
    <row r="2666" spans="1:4" x14ac:dyDescent="0.2">
      <c r="A2666" s="10" t="s">
        <v>2665</v>
      </c>
      <c r="B2666" s="12">
        <v>12.55</v>
      </c>
      <c r="C2666" s="11">
        <v>0</v>
      </c>
      <c r="D2666" s="11">
        <v>2.4254609674267389</v>
      </c>
    </row>
    <row r="2667" spans="1:4" x14ac:dyDescent="0.2">
      <c r="A2667" s="10" t="s">
        <v>2666</v>
      </c>
      <c r="B2667" s="12">
        <v>14.53</v>
      </c>
      <c r="C2667" s="11">
        <v>0</v>
      </c>
      <c r="D2667" s="11">
        <v>0.46529251211859879</v>
      </c>
    </row>
    <row r="2668" spans="1:4" x14ac:dyDescent="0.2">
      <c r="A2668" s="10" t="s">
        <v>2667</v>
      </c>
      <c r="B2668" s="12">
        <v>14.33</v>
      </c>
      <c r="C2668" s="11">
        <v>0</v>
      </c>
      <c r="D2668" s="11">
        <v>0.66328932578608779</v>
      </c>
    </row>
    <row r="2669" spans="1:4" x14ac:dyDescent="0.2">
      <c r="A2669" s="10" t="s">
        <v>2668</v>
      </c>
      <c r="B2669" s="12">
        <v>15.03</v>
      </c>
      <c r="C2669" s="11">
        <v>2.9699522050123328E-2</v>
      </c>
      <c r="D2669" s="11">
        <v>0</v>
      </c>
    </row>
    <row r="2670" spans="1:4" x14ac:dyDescent="0.2">
      <c r="A2670" s="10" t="s">
        <v>2669</v>
      </c>
      <c r="B2670" s="12">
        <v>13.91</v>
      </c>
      <c r="C2670" s="11">
        <v>0</v>
      </c>
      <c r="D2670" s="11">
        <v>1.0790826344878144</v>
      </c>
    </row>
    <row r="2671" spans="1:4" x14ac:dyDescent="0.2">
      <c r="A2671" s="10" t="s">
        <v>2670</v>
      </c>
      <c r="B2671" s="12">
        <v>16.23</v>
      </c>
      <c r="C2671" s="11">
        <v>1.2176804040550566</v>
      </c>
      <c r="D2671" s="11">
        <v>0</v>
      </c>
    </row>
    <row r="2672" spans="1:4" x14ac:dyDescent="0.2">
      <c r="A2672" s="10" t="s">
        <v>2671</v>
      </c>
      <c r="B2672" s="12">
        <v>14.35</v>
      </c>
      <c r="C2672" s="11">
        <v>0</v>
      </c>
      <c r="D2672" s="11">
        <v>0.64348964441933887</v>
      </c>
    </row>
    <row r="2673" spans="1:4" x14ac:dyDescent="0.2">
      <c r="A2673" s="10" t="s">
        <v>2672</v>
      </c>
      <c r="B2673" s="12">
        <v>15.74</v>
      </c>
      <c r="C2673" s="11">
        <v>0.7325882105697088</v>
      </c>
      <c r="D2673" s="11">
        <v>0</v>
      </c>
    </row>
    <row r="2674" spans="1:4" x14ac:dyDescent="0.2">
      <c r="A2674" s="10" t="s">
        <v>2673</v>
      </c>
      <c r="B2674" s="12">
        <v>12.96</v>
      </c>
      <c r="C2674" s="11">
        <v>0</v>
      </c>
      <c r="D2674" s="11">
        <v>2.0195674994083865</v>
      </c>
    </row>
    <row r="2675" spans="1:4" x14ac:dyDescent="0.2">
      <c r="A2675" s="10" t="s">
        <v>2674</v>
      </c>
      <c r="B2675" s="12">
        <v>15.6</v>
      </c>
      <c r="C2675" s="11">
        <v>0.59399044100246656</v>
      </c>
      <c r="D2675" s="11">
        <v>0</v>
      </c>
    </row>
    <row r="2676" spans="1:4" x14ac:dyDescent="0.2">
      <c r="A2676" s="10" t="s">
        <v>2675</v>
      </c>
      <c r="B2676" s="12">
        <v>15.22</v>
      </c>
      <c r="C2676" s="11">
        <v>0.21779649503423776</v>
      </c>
      <c r="D2676" s="11">
        <v>0</v>
      </c>
    </row>
    <row r="2677" spans="1:4" x14ac:dyDescent="0.2">
      <c r="A2677" s="10" t="s">
        <v>2676</v>
      </c>
      <c r="B2677" s="12">
        <v>15.35</v>
      </c>
      <c r="C2677" s="11">
        <v>0.34649442391810548</v>
      </c>
      <c r="D2677" s="11">
        <v>0</v>
      </c>
    </row>
    <row r="2678" spans="1:4" x14ac:dyDescent="0.2">
      <c r="A2678" s="10" t="s">
        <v>2677</v>
      </c>
      <c r="B2678" s="12">
        <v>11.83</v>
      </c>
      <c r="C2678" s="11">
        <v>0</v>
      </c>
      <c r="D2678" s="11">
        <v>3.1382494966296983</v>
      </c>
    </row>
    <row r="2679" spans="1:4" x14ac:dyDescent="0.2">
      <c r="A2679" s="10" t="s">
        <v>2678</v>
      </c>
      <c r="B2679" s="12">
        <v>14.21</v>
      </c>
      <c r="C2679" s="11">
        <v>0</v>
      </c>
      <c r="D2679" s="11">
        <v>0.7820874139865811</v>
      </c>
    </row>
    <row r="2680" spans="1:4" x14ac:dyDescent="0.2">
      <c r="A2680" s="10" t="s">
        <v>2679</v>
      </c>
      <c r="B2680" s="12">
        <v>11.72</v>
      </c>
      <c r="C2680" s="11">
        <v>0</v>
      </c>
      <c r="D2680" s="11">
        <v>3.2471477441468171</v>
      </c>
    </row>
    <row r="2681" spans="1:4" x14ac:dyDescent="0.2">
      <c r="A2681" s="10" t="s">
        <v>2680</v>
      </c>
      <c r="B2681" s="12">
        <v>12.48</v>
      </c>
      <c r="C2681" s="11">
        <v>0</v>
      </c>
      <c r="D2681" s="11">
        <v>2.4947598522103598</v>
      </c>
    </row>
    <row r="2682" spans="1:4" x14ac:dyDescent="0.2">
      <c r="A2682" s="10" t="s">
        <v>2681</v>
      </c>
      <c r="B2682" s="12">
        <v>16</v>
      </c>
      <c r="C2682" s="11">
        <v>0.98998406833744435</v>
      </c>
      <c r="D2682" s="11">
        <v>0</v>
      </c>
    </row>
    <row r="2683" spans="1:4" x14ac:dyDescent="0.2">
      <c r="A2683" s="10" t="s">
        <v>2682</v>
      </c>
      <c r="B2683" s="12">
        <v>13.71</v>
      </c>
      <c r="C2683" s="11">
        <v>0</v>
      </c>
      <c r="D2683" s="11">
        <v>1.2770794481553032</v>
      </c>
    </row>
    <row r="2684" spans="1:4" x14ac:dyDescent="0.2">
      <c r="A2684" s="10" t="s">
        <v>2683</v>
      </c>
      <c r="B2684" s="12">
        <v>14.73</v>
      </c>
      <c r="C2684" s="11">
        <v>0</v>
      </c>
      <c r="D2684" s="11">
        <v>0.26729569845111001</v>
      </c>
    </row>
    <row r="2685" spans="1:4" x14ac:dyDescent="0.2">
      <c r="A2685" s="10" t="s">
        <v>2684</v>
      </c>
      <c r="B2685" s="12">
        <v>12.79</v>
      </c>
      <c r="C2685" s="11">
        <v>0</v>
      </c>
      <c r="D2685" s="11">
        <v>2.1878647910257518</v>
      </c>
    </row>
    <row r="2686" spans="1:4" x14ac:dyDescent="0.2">
      <c r="A2686" s="10" t="s">
        <v>2685</v>
      </c>
      <c r="B2686" s="12">
        <v>14.03</v>
      </c>
      <c r="C2686" s="11">
        <v>0</v>
      </c>
      <c r="D2686" s="11">
        <v>0.96028454628732096</v>
      </c>
    </row>
    <row r="2687" spans="1:4" x14ac:dyDescent="0.2">
      <c r="A2687" s="10" t="s">
        <v>2686</v>
      </c>
      <c r="B2687" s="12">
        <v>15.68</v>
      </c>
      <c r="C2687" s="11">
        <v>0.67318916646946225</v>
      </c>
      <c r="D2687" s="11">
        <v>0</v>
      </c>
    </row>
    <row r="2688" spans="1:4" x14ac:dyDescent="0.2">
      <c r="A2688" s="10" t="s">
        <v>2687</v>
      </c>
      <c r="B2688" s="12">
        <v>14.13</v>
      </c>
      <c r="C2688" s="11">
        <v>0</v>
      </c>
      <c r="D2688" s="11">
        <v>0.86128613945357657</v>
      </c>
    </row>
    <row r="2689" spans="1:4" x14ac:dyDescent="0.2">
      <c r="A2689" s="10" t="s">
        <v>2688</v>
      </c>
      <c r="B2689" s="12">
        <v>15.84</v>
      </c>
      <c r="C2689" s="11">
        <v>0.83158661740345319</v>
      </c>
      <c r="D2689" s="11">
        <v>0</v>
      </c>
    </row>
    <row r="2690" spans="1:4" x14ac:dyDescent="0.2">
      <c r="A2690" s="10" t="s">
        <v>2689</v>
      </c>
      <c r="B2690" s="12">
        <v>12.89</v>
      </c>
      <c r="C2690" s="11">
        <v>0</v>
      </c>
      <c r="D2690" s="11">
        <v>2.0888663841920074</v>
      </c>
    </row>
    <row r="2691" spans="1:4" x14ac:dyDescent="0.2">
      <c r="A2691" s="10" t="s">
        <v>2690</v>
      </c>
      <c r="B2691" s="12">
        <v>14.45</v>
      </c>
      <c r="C2691" s="11">
        <v>0</v>
      </c>
      <c r="D2691" s="11">
        <v>0.54449123758559448</v>
      </c>
    </row>
    <row r="2692" spans="1:4" x14ac:dyDescent="0.2">
      <c r="A2692" s="10" t="s">
        <v>2691</v>
      </c>
      <c r="B2692" s="12">
        <v>14.22</v>
      </c>
      <c r="C2692" s="11">
        <v>0</v>
      </c>
      <c r="D2692" s="11">
        <v>0.77218757330320664</v>
      </c>
    </row>
    <row r="2693" spans="1:4" x14ac:dyDescent="0.2">
      <c r="A2693" s="10" t="s">
        <v>2692</v>
      </c>
      <c r="B2693" s="12">
        <v>13.63</v>
      </c>
      <c r="C2693" s="11">
        <v>0</v>
      </c>
      <c r="D2693" s="11">
        <v>1.3562781736222989</v>
      </c>
    </row>
    <row r="2694" spans="1:4" x14ac:dyDescent="0.2">
      <c r="A2694" s="10" t="s">
        <v>2693</v>
      </c>
      <c r="B2694" s="12">
        <v>14.02</v>
      </c>
      <c r="C2694" s="11">
        <v>0</v>
      </c>
      <c r="D2694" s="11">
        <v>0.97018438697069542</v>
      </c>
    </row>
    <row r="2695" spans="1:4" x14ac:dyDescent="0.2">
      <c r="A2695" s="10" t="s">
        <v>2694</v>
      </c>
      <c r="B2695" s="12">
        <v>15.34</v>
      </c>
      <c r="C2695" s="11">
        <v>0.33659458323473113</v>
      </c>
      <c r="D2695" s="11">
        <v>0</v>
      </c>
    </row>
    <row r="2696" spans="1:4" x14ac:dyDescent="0.2">
      <c r="A2696" s="10" t="s">
        <v>2695</v>
      </c>
      <c r="B2696" s="12">
        <v>13.39</v>
      </c>
      <c r="C2696" s="11">
        <v>0</v>
      </c>
      <c r="D2696" s="11">
        <v>1.5938743500232855</v>
      </c>
    </row>
    <row r="2697" spans="1:4" x14ac:dyDescent="0.2">
      <c r="A2697" s="10" t="s">
        <v>2696</v>
      </c>
      <c r="B2697" s="12">
        <v>14.36</v>
      </c>
      <c r="C2697" s="11">
        <v>0</v>
      </c>
      <c r="D2697" s="11">
        <v>0.63358980373596441</v>
      </c>
    </row>
    <row r="2698" spans="1:4" x14ac:dyDescent="0.2">
      <c r="A2698" s="10" t="s">
        <v>2697</v>
      </c>
      <c r="B2698" s="12">
        <v>13.22</v>
      </c>
      <c r="C2698" s="11">
        <v>0</v>
      </c>
      <c r="D2698" s="11">
        <v>1.762171641640651</v>
      </c>
    </row>
    <row r="2699" spans="1:4" x14ac:dyDescent="0.2">
      <c r="A2699" s="10" t="s">
        <v>2698</v>
      </c>
      <c r="B2699" s="12">
        <v>12.38</v>
      </c>
      <c r="C2699" s="11">
        <v>0</v>
      </c>
      <c r="D2699" s="11">
        <v>2.5937582590441042</v>
      </c>
    </row>
    <row r="2700" spans="1:4" x14ac:dyDescent="0.2">
      <c r="A2700" s="10" t="s">
        <v>2699</v>
      </c>
      <c r="B2700" s="12">
        <v>15.86</v>
      </c>
      <c r="C2700" s="11">
        <v>0.85138629877020211</v>
      </c>
      <c r="D2700" s="11">
        <v>0</v>
      </c>
    </row>
    <row r="2701" spans="1:4" x14ac:dyDescent="0.2">
      <c r="A2701" s="10" t="s">
        <v>2700</v>
      </c>
      <c r="B2701" s="12">
        <v>15.24</v>
      </c>
      <c r="C2701" s="11">
        <v>0.23759617640098663</v>
      </c>
      <c r="D2701" s="11">
        <v>0</v>
      </c>
    </row>
    <row r="2702" spans="1:4" x14ac:dyDescent="0.2">
      <c r="A2702" s="10" t="s">
        <v>2701</v>
      </c>
      <c r="B2702" s="12">
        <v>13.67</v>
      </c>
      <c r="C2702" s="11">
        <v>0</v>
      </c>
      <c r="D2702" s="11">
        <v>1.316678810888801</v>
      </c>
    </row>
    <row r="2703" spans="1:4" x14ac:dyDescent="0.2">
      <c r="A2703" s="10" t="s">
        <v>2702</v>
      </c>
      <c r="B2703" s="12">
        <v>15.22</v>
      </c>
      <c r="C2703" s="11">
        <v>0.21779649503423776</v>
      </c>
      <c r="D2703" s="11">
        <v>0</v>
      </c>
    </row>
    <row r="2704" spans="1:4" x14ac:dyDescent="0.2">
      <c r="A2704" s="10" t="s">
        <v>2703</v>
      </c>
      <c r="B2704" s="12">
        <v>13.81</v>
      </c>
      <c r="C2704" s="11">
        <v>0</v>
      </c>
      <c r="D2704" s="11">
        <v>1.1780810413215588</v>
      </c>
    </row>
    <row r="2705" spans="1:4" x14ac:dyDescent="0.2">
      <c r="A2705" s="10" t="s">
        <v>2704</v>
      </c>
      <c r="B2705" s="12">
        <v>16.09</v>
      </c>
      <c r="C2705" s="11">
        <v>1.0790826344878144</v>
      </c>
      <c r="D2705" s="11">
        <v>0</v>
      </c>
    </row>
    <row r="2706" spans="1:4" x14ac:dyDescent="0.2">
      <c r="A2706" s="10" t="s">
        <v>2705</v>
      </c>
      <c r="B2706" s="12">
        <v>13.65</v>
      </c>
      <c r="C2706" s="11">
        <v>0</v>
      </c>
      <c r="D2706" s="11">
        <v>1.3364784922555499</v>
      </c>
    </row>
    <row r="2707" spans="1:4" x14ac:dyDescent="0.2">
      <c r="A2707" s="10" t="s">
        <v>2706</v>
      </c>
      <c r="B2707" s="12">
        <v>14.36</v>
      </c>
      <c r="C2707" s="11">
        <v>0</v>
      </c>
      <c r="D2707" s="11">
        <v>0.63358980373596441</v>
      </c>
    </row>
    <row r="2708" spans="1:4" x14ac:dyDescent="0.2">
      <c r="A2708" s="10" t="s">
        <v>2707</v>
      </c>
      <c r="B2708" s="12">
        <v>12.7</v>
      </c>
      <c r="C2708" s="11">
        <v>0</v>
      </c>
      <c r="D2708" s="11">
        <v>2.2769633571761219</v>
      </c>
    </row>
    <row r="2709" spans="1:4" x14ac:dyDescent="0.2">
      <c r="A2709" s="10" t="s">
        <v>2708</v>
      </c>
      <c r="B2709" s="12">
        <v>13.43</v>
      </c>
      <c r="C2709" s="11">
        <v>0</v>
      </c>
      <c r="D2709" s="11">
        <v>1.5542749872897876</v>
      </c>
    </row>
    <row r="2710" spans="1:4" x14ac:dyDescent="0.2">
      <c r="A2710" s="10" t="s">
        <v>2709</v>
      </c>
      <c r="B2710" s="12">
        <v>12.83</v>
      </c>
      <c r="C2710" s="11">
        <v>0</v>
      </c>
      <c r="D2710" s="11">
        <v>2.148265428292254</v>
      </c>
    </row>
    <row r="2711" spans="1:4" x14ac:dyDescent="0.2">
      <c r="A2711" s="10" t="s">
        <v>2710</v>
      </c>
      <c r="B2711" s="12">
        <v>13.8</v>
      </c>
      <c r="C2711" s="11">
        <v>0</v>
      </c>
      <c r="D2711" s="11">
        <v>1.1879808820049331</v>
      </c>
    </row>
    <row r="2712" spans="1:4" x14ac:dyDescent="0.2">
      <c r="A2712" s="10" t="s">
        <v>2711</v>
      </c>
      <c r="B2712" s="12">
        <v>12.97</v>
      </c>
      <c r="C2712" s="11">
        <v>0</v>
      </c>
      <c r="D2712" s="11">
        <v>2.0096676587250117</v>
      </c>
    </row>
    <row r="2713" spans="1:4" x14ac:dyDescent="0.2">
      <c r="A2713" s="10" t="s">
        <v>2712</v>
      </c>
      <c r="B2713" s="12">
        <v>16.37</v>
      </c>
      <c r="C2713" s="11">
        <v>1.3562781736222989</v>
      </c>
      <c r="D2713" s="11">
        <v>0</v>
      </c>
    </row>
    <row r="2714" spans="1:4" x14ac:dyDescent="0.2">
      <c r="A2714" s="10" t="s">
        <v>2713</v>
      </c>
      <c r="B2714" s="12">
        <v>15.57</v>
      </c>
      <c r="C2714" s="11">
        <v>0.56429091895234318</v>
      </c>
      <c r="D2714" s="11">
        <v>0</v>
      </c>
    </row>
    <row r="2715" spans="1:4" x14ac:dyDescent="0.2">
      <c r="A2715" s="10" t="s">
        <v>2714</v>
      </c>
      <c r="B2715" s="12">
        <v>12.68</v>
      </c>
      <c r="C2715" s="11">
        <v>0</v>
      </c>
      <c r="D2715" s="11">
        <v>2.2967630385428706</v>
      </c>
    </row>
    <row r="2716" spans="1:4" x14ac:dyDescent="0.2">
      <c r="A2716" s="10" t="s">
        <v>2715</v>
      </c>
      <c r="B2716" s="12">
        <v>12.92</v>
      </c>
      <c r="C2716" s="11">
        <v>0</v>
      </c>
      <c r="D2716" s="11">
        <v>2.0591668621418844</v>
      </c>
    </row>
    <row r="2717" spans="1:4" x14ac:dyDescent="0.2">
      <c r="A2717" s="10" t="s">
        <v>2716</v>
      </c>
      <c r="B2717" s="12">
        <v>15.1</v>
      </c>
      <c r="C2717" s="11">
        <v>9.8998406833744446E-2</v>
      </c>
      <c r="D2717" s="11">
        <v>0</v>
      </c>
    </row>
    <row r="2718" spans="1:4" x14ac:dyDescent="0.2">
      <c r="A2718" s="10" t="s">
        <v>2717</v>
      </c>
      <c r="B2718" s="12">
        <v>15.22</v>
      </c>
      <c r="C2718" s="11">
        <v>0.21779649503423776</v>
      </c>
      <c r="D2718" s="11">
        <v>0</v>
      </c>
    </row>
    <row r="2719" spans="1:4" x14ac:dyDescent="0.2">
      <c r="A2719" s="10" t="s">
        <v>2718</v>
      </c>
      <c r="B2719" s="12">
        <v>13.99</v>
      </c>
      <c r="C2719" s="11">
        <v>0</v>
      </c>
      <c r="D2719" s="11">
        <v>0.99988390902081881</v>
      </c>
    </row>
    <row r="2720" spans="1:4" x14ac:dyDescent="0.2">
      <c r="A2720" s="10" t="s">
        <v>2719</v>
      </c>
      <c r="B2720" s="12">
        <v>15.3</v>
      </c>
      <c r="C2720" s="11">
        <v>0.29699522050123328</v>
      </c>
      <c r="D2720" s="11">
        <v>0</v>
      </c>
    </row>
    <row r="2721" spans="1:4" x14ac:dyDescent="0.2">
      <c r="A2721" s="10" t="s">
        <v>2720</v>
      </c>
      <c r="B2721" s="12">
        <v>13.59</v>
      </c>
      <c r="C2721" s="11">
        <v>0</v>
      </c>
      <c r="D2721" s="11">
        <v>1.3958775363557965</v>
      </c>
    </row>
    <row r="2722" spans="1:4" x14ac:dyDescent="0.2">
      <c r="A2722" s="10" t="s">
        <v>2721</v>
      </c>
      <c r="B2722" s="12">
        <v>14.62</v>
      </c>
      <c r="C2722" s="11">
        <v>0</v>
      </c>
      <c r="D2722" s="11">
        <v>0.37619394596822886</v>
      </c>
    </row>
    <row r="2723" spans="1:4" x14ac:dyDescent="0.2">
      <c r="A2723" s="10" t="s">
        <v>2722</v>
      </c>
      <c r="B2723" s="12">
        <v>14.24</v>
      </c>
      <c r="C2723" s="11">
        <v>0</v>
      </c>
      <c r="D2723" s="11">
        <v>0.75238789193645772</v>
      </c>
    </row>
    <row r="2724" spans="1:4" x14ac:dyDescent="0.2">
      <c r="A2724" s="10" t="s">
        <v>2723</v>
      </c>
      <c r="B2724" s="12">
        <v>16.54</v>
      </c>
      <c r="C2724" s="11">
        <v>1.5245754652396644</v>
      </c>
      <c r="D2724" s="11">
        <v>0</v>
      </c>
    </row>
    <row r="2725" spans="1:4" x14ac:dyDescent="0.2">
      <c r="A2725" s="10" t="s">
        <v>2724</v>
      </c>
      <c r="B2725" s="12">
        <v>13.07</v>
      </c>
      <c r="C2725" s="11">
        <v>0</v>
      </c>
      <c r="D2725" s="11">
        <v>1.9106692518912676</v>
      </c>
    </row>
    <row r="2726" spans="1:4" x14ac:dyDescent="0.2">
      <c r="A2726" s="10" t="s">
        <v>2725</v>
      </c>
      <c r="B2726" s="12">
        <v>15.09</v>
      </c>
      <c r="C2726" s="11">
        <v>8.9098566150369984E-2</v>
      </c>
      <c r="D2726" s="11">
        <v>0</v>
      </c>
    </row>
    <row r="2727" spans="1:4" x14ac:dyDescent="0.2">
      <c r="A2727" s="10" t="s">
        <v>2726</v>
      </c>
      <c r="B2727" s="12">
        <v>15.01</v>
      </c>
      <c r="C2727" s="11">
        <v>9.8998406833744439E-3</v>
      </c>
      <c r="D2727" s="11">
        <v>0</v>
      </c>
    </row>
    <row r="2728" spans="1:4" x14ac:dyDescent="0.2">
      <c r="A2728" s="10" t="s">
        <v>2727</v>
      </c>
      <c r="B2728" s="12">
        <v>13.67</v>
      </c>
      <c r="C2728" s="11">
        <v>0</v>
      </c>
      <c r="D2728" s="11">
        <v>1.316678810888801</v>
      </c>
    </row>
    <row r="2729" spans="1:4" x14ac:dyDescent="0.2">
      <c r="A2729" s="10" t="s">
        <v>2728</v>
      </c>
      <c r="B2729" s="12">
        <v>13.64</v>
      </c>
      <c r="C2729" s="11">
        <v>0</v>
      </c>
      <c r="D2729" s="11">
        <v>1.3463783329389245</v>
      </c>
    </row>
    <row r="2730" spans="1:4" x14ac:dyDescent="0.2">
      <c r="A2730" s="10" t="s">
        <v>2729</v>
      </c>
      <c r="B2730" s="12">
        <v>15.19</v>
      </c>
      <c r="C2730" s="11">
        <v>0.18809697298411443</v>
      </c>
      <c r="D2730" s="11">
        <v>0</v>
      </c>
    </row>
    <row r="2731" spans="1:4" x14ac:dyDescent="0.2">
      <c r="A2731" s="10" t="s">
        <v>2730</v>
      </c>
      <c r="B2731" s="12">
        <v>14.88</v>
      </c>
      <c r="C2731" s="11">
        <v>0</v>
      </c>
      <c r="D2731" s="11">
        <v>0.11879808820049331</v>
      </c>
    </row>
    <row r="2732" spans="1:4" x14ac:dyDescent="0.2">
      <c r="A2732" s="10" t="s">
        <v>2731</v>
      </c>
      <c r="B2732" s="12">
        <v>16.09</v>
      </c>
      <c r="C2732" s="11">
        <v>1.0790826344878144</v>
      </c>
      <c r="D2732" s="11">
        <v>0</v>
      </c>
    </row>
    <row r="2733" spans="1:4" x14ac:dyDescent="0.2">
      <c r="A2733" s="10" t="s">
        <v>2732</v>
      </c>
      <c r="B2733" s="12">
        <v>11.85</v>
      </c>
      <c r="C2733" s="11">
        <v>0</v>
      </c>
      <c r="D2733" s="11">
        <v>3.1184498152629496</v>
      </c>
    </row>
    <row r="2734" spans="1:4" x14ac:dyDescent="0.2">
      <c r="A2734" s="10" t="s">
        <v>2733</v>
      </c>
      <c r="B2734" s="12">
        <v>16.059999999999999</v>
      </c>
      <c r="C2734" s="11">
        <v>1.0493831124376911</v>
      </c>
      <c r="D2734" s="11">
        <v>0</v>
      </c>
    </row>
    <row r="2735" spans="1:4" x14ac:dyDescent="0.2">
      <c r="A2735" s="10" t="s">
        <v>2734</v>
      </c>
      <c r="B2735" s="12">
        <v>14.45</v>
      </c>
      <c r="C2735" s="11">
        <v>0</v>
      </c>
      <c r="D2735" s="11">
        <v>0.54449123758559448</v>
      </c>
    </row>
    <row r="2736" spans="1:4" x14ac:dyDescent="0.2">
      <c r="A2736" s="10" t="s">
        <v>2735</v>
      </c>
      <c r="B2736" s="12">
        <v>13.34</v>
      </c>
      <c r="C2736" s="11">
        <v>0</v>
      </c>
      <c r="D2736" s="11">
        <v>1.6433735534401575</v>
      </c>
    </row>
    <row r="2737" spans="1:4" x14ac:dyDescent="0.2">
      <c r="A2737" s="10" t="s">
        <v>2736</v>
      </c>
      <c r="B2737" s="12">
        <v>13.25</v>
      </c>
      <c r="C2737" s="11">
        <v>0</v>
      </c>
      <c r="D2737" s="11">
        <v>1.7324721195905277</v>
      </c>
    </row>
    <row r="2738" spans="1:4" x14ac:dyDescent="0.2">
      <c r="A2738" s="10" t="s">
        <v>2737</v>
      </c>
      <c r="B2738" s="12">
        <v>15.1</v>
      </c>
      <c r="C2738" s="11">
        <v>9.8998406833744446E-2</v>
      </c>
      <c r="D2738" s="11">
        <v>0</v>
      </c>
    </row>
    <row r="2739" spans="1:4" x14ac:dyDescent="0.2">
      <c r="A2739" s="10" t="s">
        <v>2738</v>
      </c>
      <c r="B2739" s="12">
        <v>15.96</v>
      </c>
      <c r="C2739" s="11">
        <v>0.9503847056039465</v>
      </c>
      <c r="D2739" s="11">
        <v>0</v>
      </c>
    </row>
    <row r="2740" spans="1:4" x14ac:dyDescent="0.2">
      <c r="A2740" s="10" t="s">
        <v>2739</v>
      </c>
      <c r="B2740" s="12">
        <v>15.4</v>
      </c>
      <c r="C2740" s="11">
        <v>0.39599362733497778</v>
      </c>
      <c r="D2740" s="11">
        <v>0</v>
      </c>
    </row>
    <row r="2741" spans="1:4" x14ac:dyDescent="0.2">
      <c r="A2741" s="10" t="s">
        <v>2740</v>
      </c>
      <c r="B2741" s="12">
        <v>13.09</v>
      </c>
      <c r="C2741" s="11">
        <v>0</v>
      </c>
      <c r="D2741" s="11">
        <v>1.8908695705245187</v>
      </c>
    </row>
    <row r="2742" spans="1:4" x14ac:dyDescent="0.2">
      <c r="A2742" s="10" t="s">
        <v>2741</v>
      </c>
      <c r="B2742" s="12">
        <v>15.67</v>
      </c>
      <c r="C2742" s="11">
        <v>0.66328932578608779</v>
      </c>
      <c r="D2742" s="11">
        <v>0</v>
      </c>
    </row>
    <row r="2743" spans="1:4" x14ac:dyDescent="0.2">
      <c r="A2743" s="10" t="s">
        <v>2742</v>
      </c>
      <c r="B2743" s="12">
        <v>14.22</v>
      </c>
      <c r="C2743" s="11">
        <v>0</v>
      </c>
      <c r="D2743" s="11">
        <v>0.77218757330320664</v>
      </c>
    </row>
    <row r="2744" spans="1:4" x14ac:dyDescent="0.2">
      <c r="A2744" s="10" t="s">
        <v>2743</v>
      </c>
      <c r="B2744" s="12">
        <v>14.52</v>
      </c>
      <c r="C2744" s="11">
        <v>0</v>
      </c>
      <c r="D2744" s="11">
        <v>0.47519235280197325</v>
      </c>
    </row>
    <row r="2745" spans="1:4" x14ac:dyDescent="0.2">
      <c r="A2745" s="10" t="s">
        <v>2744</v>
      </c>
      <c r="B2745" s="12">
        <v>15.1</v>
      </c>
      <c r="C2745" s="11">
        <v>9.8998406833744446E-2</v>
      </c>
      <c r="D2745" s="11">
        <v>0</v>
      </c>
    </row>
    <row r="2746" spans="1:4" x14ac:dyDescent="0.2">
      <c r="A2746" s="10" t="s">
        <v>2745</v>
      </c>
      <c r="B2746" s="12">
        <v>15.17</v>
      </c>
      <c r="C2746" s="11">
        <v>0.16829729161736556</v>
      </c>
      <c r="D2746" s="11">
        <v>0</v>
      </c>
    </row>
    <row r="2747" spans="1:4" x14ac:dyDescent="0.2">
      <c r="A2747" s="10" t="s">
        <v>2746</v>
      </c>
      <c r="B2747" s="12">
        <v>12.9</v>
      </c>
      <c r="C2747" s="11">
        <v>0</v>
      </c>
      <c r="D2747" s="11">
        <v>2.0789665435086331</v>
      </c>
    </row>
    <row r="2748" spans="1:4" x14ac:dyDescent="0.2">
      <c r="A2748" s="10" t="s">
        <v>2747</v>
      </c>
      <c r="B2748" s="12">
        <v>14.9</v>
      </c>
      <c r="C2748" s="11">
        <v>0</v>
      </c>
      <c r="D2748" s="11">
        <v>9.8998406833744446E-2</v>
      </c>
    </row>
    <row r="2749" spans="1:4" x14ac:dyDescent="0.2">
      <c r="A2749" s="10" t="s">
        <v>2748</v>
      </c>
      <c r="B2749" s="12">
        <v>12.86</v>
      </c>
      <c r="C2749" s="11">
        <v>0</v>
      </c>
      <c r="D2749" s="11">
        <v>2.1185659062421309</v>
      </c>
    </row>
    <row r="2750" spans="1:4" x14ac:dyDescent="0.2">
      <c r="A2750" s="10" t="s">
        <v>2749</v>
      </c>
      <c r="B2750" s="12">
        <v>16.04</v>
      </c>
      <c r="C2750" s="11">
        <v>1.0295834310709422</v>
      </c>
      <c r="D2750" s="11">
        <v>0</v>
      </c>
    </row>
    <row r="2751" spans="1:4" x14ac:dyDescent="0.2">
      <c r="A2751" s="10" t="s">
        <v>2750</v>
      </c>
      <c r="B2751" s="12">
        <v>13.18</v>
      </c>
      <c r="C2751" s="11">
        <v>0</v>
      </c>
      <c r="D2751" s="11">
        <v>1.8116708450575232</v>
      </c>
    </row>
    <row r="2752" spans="1:4" x14ac:dyDescent="0.2">
      <c r="A2752" s="10" t="s">
        <v>2751</v>
      </c>
      <c r="B2752" s="12">
        <v>13.65</v>
      </c>
      <c r="C2752" s="11">
        <v>0</v>
      </c>
      <c r="D2752" s="11">
        <v>1.3364784922555499</v>
      </c>
    </row>
    <row r="2753" spans="1:4" x14ac:dyDescent="0.2">
      <c r="A2753" s="10" t="s">
        <v>2752</v>
      </c>
      <c r="B2753" s="12">
        <v>13.1</v>
      </c>
      <c r="C2753" s="11">
        <v>0</v>
      </c>
      <c r="D2753" s="11">
        <v>1.8809697298411441</v>
      </c>
    </row>
    <row r="2754" spans="1:4" x14ac:dyDescent="0.2">
      <c r="A2754" s="10" t="s">
        <v>2753</v>
      </c>
      <c r="B2754" s="12">
        <v>13.23</v>
      </c>
      <c r="C2754" s="11">
        <v>0</v>
      </c>
      <c r="D2754" s="11">
        <v>1.7522718009572764</v>
      </c>
    </row>
    <row r="2755" spans="1:4" x14ac:dyDescent="0.2">
      <c r="A2755" s="10" t="s">
        <v>2754</v>
      </c>
      <c r="B2755" s="12">
        <v>14.41</v>
      </c>
      <c r="C2755" s="11">
        <v>0</v>
      </c>
      <c r="D2755" s="11">
        <v>0.5840906003190921</v>
      </c>
    </row>
    <row r="2756" spans="1:4" x14ac:dyDescent="0.2">
      <c r="A2756" s="10" t="s">
        <v>2755</v>
      </c>
      <c r="B2756" s="12">
        <v>11.37</v>
      </c>
      <c r="C2756" s="11">
        <v>0</v>
      </c>
      <c r="D2756" s="11">
        <v>3.6035420087482977</v>
      </c>
    </row>
    <row r="2757" spans="1:4" x14ac:dyDescent="0.2">
      <c r="A2757" s="10" t="s">
        <v>2756</v>
      </c>
      <c r="B2757" s="12">
        <v>14.26</v>
      </c>
      <c r="C2757" s="11">
        <v>0</v>
      </c>
      <c r="D2757" s="11">
        <v>0.7325882105697088</v>
      </c>
    </row>
    <row r="2758" spans="1:4" x14ac:dyDescent="0.2">
      <c r="A2758" s="10" t="s">
        <v>2757</v>
      </c>
      <c r="B2758" s="12">
        <v>12.58</v>
      </c>
      <c r="C2758" s="11">
        <v>0</v>
      </c>
      <c r="D2758" s="11">
        <v>2.3957614453766154</v>
      </c>
    </row>
    <row r="2759" spans="1:4" x14ac:dyDescent="0.2">
      <c r="A2759" s="10" t="s">
        <v>2758</v>
      </c>
      <c r="B2759" s="12">
        <v>15.86</v>
      </c>
      <c r="C2759" s="11">
        <v>0.85138629877020211</v>
      </c>
      <c r="D2759" s="11">
        <v>0</v>
      </c>
    </row>
    <row r="2760" spans="1:4" x14ac:dyDescent="0.2">
      <c r="A2760" s="10" t="s">
        <v>2759</v>
      </c>
      <c r="B2760" s="12">
        <v>14.77</v>
      </c>
      <c r="C2760" s="11">
        <v>0</v>
      </c>
      <c r="D2760" s="11">
        <v>0.22769633571761222</v>
      </c>
    </row>
    <row r="2761" spans="1:4" x14ac:dyDescent="0.2">
      <c r="A2761" s="10" t="s">
        <v>2760</v>
      </c>
      <c r="B2761" s="12">
        <v>12.48</v>
      </c>
      <c r="C2761" s="11">
        <v>0</v>
      </c>
      <c r="D2761" s="11">
        <v>2.4947598522103598</v>
      </c>
    </row>
    <row r="2762" spans="1:4" x14ac:dyDescent="0.2">
      <c r="A2762" s="10" t="s">
        <v>2761</v>
      </c>
      <c r="B2762" s="12">
        <v>13.22</v>
      </c>
      <c r="C2762" s="11">
        <v>0</v>
      </c>
      <c r="D2762" s="11">
        <v>1.762171641640651</v>
      </c>
    </row>
    <row r="2763" spans="1:4" x14ac:dyDescent="0.2">
      <c r="A2763" s="10" t="s">
        <v>2762</v>
      </c>
      <c r="B2763" s="12">
        <v>14.51</v>
      </c>
      <c r="C2763" s="11">
        <v>0</v>
      </c>
      <c r="D2763" s="11">
        <v>0.48509219348534771</v>
      </c>
    </row>
    <row r="2764" spans="1:4" x14ac:dyDescent="0.2">
      <c r="A2764" s="10" t="s">
        <v>2763</v>
      </c>
      <c r="B2764" s="12">
        <v>12.65</v>
      </c>
      <c r="C2764" s="11">
        <v>0</v>
      </c>
      <c r="D2764" s="11">
        <v>2.3264625605929945</v>
      </c>
    </row>
    <row r="2765" spans="1:4" x14ac:dyDescent="0.2">
      <c r="A2765" s="10" t="s">
        <v>2764</v>
      </c>
      <c r="B2765" s="12">
        <v>14.71</v>
      </c>
      <c r="C2765" s="11">
        <v>0</v>
      </c>
      <c r="D2765" s="11">
        <v>0.28709537981785882</v>
      </c>
    </row>
    <row r="2766" spans="1:4" x14ac:dyDescent="0.2">
      <c r="A2766" s="10" t="s">
        <v>2765</v>
      </c>
      <c r="B2766" s="12">
        <v>15.55</v>
      </c>
      <c r="C2766" s="11">
        <v>0.54449123758559448</v>
      </c>
      <c r="D2766" s="11">
        <v>0</v>
      </c>
    </row>
    <row r="2767" spans="1:4" x14ac:dyDescent="0.2">
      <c r="A2767" s="10" t="s">
        <v>2766</v>
      </c>
      <c r="B2767" s="12">
        <v>14.08</v>
      </c>
      <c r="C2767" s="11">
        <v>0</v>
      </c>
      <c r="D2767" s="11">
        <v>0.91078534287044888</v>
      </c>
    </row>
    <row r="2768" spans="1:4" x14ac:dyDescent="0.2">
      <c r="A2768" s="10" t="s">
        <v>2767</v>
      </c>
      <c r="B2768" s="12">
        <v>13.46</v>
      </c>
      <c r="C2768" s="11">
        <v>0</v>
      </c>
      <c r="D2768" s="11">
        <v>1.5245754652396644</v>
      </c>
    </row>
    <row r="2769" spans="1:4" x14ac:dyDescent="0.2">
      <c r="A2769" s="10" t="s">
        <v>2768</v>
      </c>
      <c r="B2769" s="12">
        <v>15.19</v>
      </c>
      <c r="C2769" s="11">
        <v>0.18809697298411443</v>
      </c>
      <c r="D2769" s="11">
        <v>0</v>
      </c>
    </row>
    <row r="2770" spans="1:4" x14ac:dyDescent="0.2">
      <c r="A2770" s="10" t="s">
        <v>2769</v>
      </c>
      <c r="B2770" s="12">
        <v>13.11</v>
      </c>
      <c r="C2770" s="11">
        <v>0</v>
      </c>
      <c r="D2770" s="11">
        <v>1.8710698891577697</v>
      </c>
    </row>
    <row r="2771" spans="1:4" x14ac:dyDescent="0.2">
      <c r="A2771" s="10" t="s">
        <v>2770</v>
      </c>
      <c r="B2771" s="12">
        <v>15.68</v>
      </c>
      <c r="C2771" s="11">
        <v>0.67318916646946225</v>
      </c>
      <c r="D2771" s="11">
        <v>0</v>
      </c>
    </row>
    <row r="2772" spans="1:4" x14ac:dyDescent="0.2">
      <c r="A2772" s="10" t="s">
        <v>2771</v>
      </c>
      <c r="B2772" s="12">
        <v>16.2</v>
      </c>
      <c r="C2772" s="11">
        <v>1.1879808820049331</v>
      </c>
      <c r="D2772" s="11">
        <v>0</v>
      </c>
    </row>
    <row r="2773" spans="1:4" x14ac:dyDescent="0.2">
      <c r="A2773" s="10" t="s">
        <v>2772</v>
      </c>
      <c r="B2773" s="12">
        <v>14.15</v>
      </c>
      <c r="C2773" s="11">
        <v>0</v>
      </c>
      <c r="D2773" s="11">
        <v>0.84148645808682765</v>
      </c>
    </row>
    <row r="2774" spans="1:4" x14ac:dyDescent="0.2">
      <c r="A2774" s="10" t="s">
        <v>2773</v>
      </c>
      <c r="B2774" s="12">
        <v>11.93</v>
      </c>
      <c r="C2774" s="11">
        <v>0</v>
      </c>
      <c r="D2774" s="11">
        <v>3.0392510897959539</v>
      </c>
    </row>
    <row r="2775" spans="1:4" x14ac:dyDescent="0.2">
      <c r="A2775" s="10" t="s">
        <v>2774</v>
      </c>
      <c r="B2775" s="12">
        <v>12.49</v>
      </c>
      <c r="C2775" s="11">
        <v>0</v>
      </c>
      <c r="D2775" s="11">
        <v>2.484860011526985</v>
      </c>
    </row>
    <row r="2776" spans="1:4" x14ac:dyDescent="0.2">
      <c r="A2776" s="10" t="s">
        <v>2775</v>
      </c>
      <c r="B2776" s="12">
        <v>13.69</v>
      </c>
      <c r="C2776" s="11">
        <v>0</v>
      </c>
      <c r="D2776" s="11">
        <v>1.2968791295220521</v>
      </c>
    </row>
    <row r="2777" spans="1:4" x14ac:dyDescent="0.2">
      <c r="A2777" s="10" t="s">
        <v>2776</v>
      </c>
      <c r="B2777" s="12">
        <v>13.49</v>
      </c>
      <c r="C2777" s="11">
        <v>0</v>
      </c>
      <c r="D2777" s="11">
        <v>1.4948759431895409</v>
      </c>
    </row>
    <row r="2778" spans="1:4" x14ac:dyDescent="0.2">
      <c r="A2778" s="10" t="s">
        <v>2777</v>
      </c>
      <c r="B2778" s="12">
        <v>13.79</v>
      </c>
      <c r="C2778" s="11">
        <v>0</v>
      </c>
      <c r="D2778" s="11">
        <v>1.1978807226883077</v>
      </c>
    </row>
    <row r="2779" spans="1:4" x14ac:dyDescent="0.2">
      <c r="A2779" s="10" t="s">
        <v>2778</v>
      </c>
      <c r="B2779" s="12">
        <v>15.38</v>
      </c>
      <c r="C2779" s="11">
        <v>0.37619394596822886</v>
      </c>
      <c r="D2779" s="11">
        <v>0</v>
      </c>
    </row>
    <row r="2780" spans="1:4" x14ac:dyDescent="0.2">
      <c r="A2780" s="10" t="s">
        <v>2779</v>
      </c>
      <c r="B2780" s="12">
        <v>13.49</v>
      </c>
      <c r="C2780" s="11">
        <v>0</v>
      </c>
      <c r="D2780" s="11">
        <v>1.4948759431895409</v>
      </c>
    </row>
    <row r="2781" spans="1:4" x14ac:dyDescent="0.2">
      <c r="A2781" s="10" t="s">
        <v>2780</v>
      </c>
      <c r="B2781" s="12">
        <v>13.48</v>
      </c>
      <c r="C2781" s="11">
        <v>0</v>
      </c>
      <c r="D2781" s="11">
        <v>1.5047757838729154</v>
      </c>
    </row>
    <row r="2782" spans="1:4" x14ac:dyDescent="0.2">
      <c r="A2782" s="10" t="s">
        <v>2781</v>
      </c>
      <c r="B2782" s="12">
        <v>15.01</v>
      </c>
      <c r="C2782" s="11">
        <v>9.8998406833744439E-3</v>
      </c>
      <c r="D2782" s="11">
        <v>0</v>
      </c>
    </row>
    <row r="2783" spans="1:4" x14ac:dyDescent="0.2">
      <c r="A2783" s="10" t="s">
        <v>2782</v>
      </c>
      <c r="B2783" s="12">
        <v>13.01</v>
      </c>
      <c r="C2783" s="11">
        <v>0</v>
      </c>
      <c r="D2783" s="11">
        <v>1.9700682959915143</v>
      </c>
    </row>
    <row r="2784" spans="1:4" x14ac:dyDescent="0.2">
      <c r="A2784" s="10" t="s">
        <v>2783</v>
      </c>
      <c r="B2784" s="12">
        <v>14.78</v>
      </c>
      <c r="C2784" s="11">
        <v>0</v>
      </c>
      <c r="D2784" s="11">
        <v>0.21779649503423776</v>
      </c>
    </row>
    <row r="2785" spans="1:4" x14ac:dyDescent="0.2">
      <c r="A2785" s="10" t="s">
        <v>2784</v>
      </c>
      <c r="B2785" s="12">
        <v>15.65</v>
      </c>
      <c r="C2785" s="11">
        <v>0.64348964441933887</v>
      </c>
      <c r="D2785" s="11">
        <v>0</v>
      </c>
    </row>
    <row r="2786" spans="1:4" x14ac:dyDescent="0.2">
      <c r="A2786" s="10" t="s">
        <v>2785</v>
      </c>
      <c r="B2786" s="12">
        <v>13.47</v>
      </c>
      <c r="C2786" s="11">
        <v>0</v>
      </c>
      <c r="D2786" s="11">
        <v>1.5146756245562898</v>
      </c>
    </row>
    <row r="2787" spans="1:4" x14ac:dyDescent="0.2">
      <c r="A2787" s="10" t="s">
        <v>2786</v>
      </c>
      <c r="B2787" s="12">
        <v>11.56</v>
      </c>
      <c r="C2787" s="11">
        <v>0</v>
      </c>
      <c r="D2787" s="11">
        <v>3.4055451950808084</v>
      </c>
    </row>
    <row r="2788" spans="1:4" x14ac:dyDescent="0.2">
      <c r="A2788" s="10" t="s">
        <v>2787</v>
      </c>
      <c r="B2788" s="12">
        <v>12.78</v>
      </c>
      <c r="C2788" s="11">
        <v>0</v>
      </c>
      <c r="D2788" s="11">
        <v>2.1977646317091266</v>
      </c>
    </row>
    <row r="2789" spans="1:4" x14ac:dyDescent="0.2">
      <c r="A2789" s="10" t="s">
        <v>2788</v>
      </c>
      <c r="B2789" s="12">
        <v>13.81</v>
      </c>
      <c r="C2789" s="11">
        <v>0</v>
      </c>
      <c r="D2789" s="11">
        <v>1.1780810413215588</v>
      </c>
    </row>
    <row r="2790" spans="1:4" x14ac:dyDescent="0.2">
      <c r="A2790" s="10" t="s">
        <v>2789</v>
      </c>
      <c r="B2790" s="12">
        <v>15.55</v>
      </c>
      <c r="C2790" s="11">
        <v>0.54449123758559448</v>
      </c>
      <c r="D2790" s="11">
        <v>0</v>
      </c>
    </row>
    <row r="2791" spans="1:4" x14ac:dyDescent="0.2">
      <c r="A2791" s="10" t="s">
        <v>2790</v>
      </c>
      <c r="B2791" s="12">
        <v>13.96</v>
      </c>
      <c r="C2791" s="11">
        <v>0</v>
      </c>
      <c r="D2791" s="11">
        <v>1.0295834310709422</v>
      </c>
    </row>
    <row r="2792" spans="1:4" x14ac:dyDescent="0.2">
      <c r="A2792" s="10" t="s">
        <v>2791</v>
      </c>
      <c r="B2792" s="12">
        <v>15.79</v>
      </c>
      <c r="C2792" s="11">
        <v>0.7820874139865811</v>
      </c>
      <c r="D2792" s="11">
        <v>0</v>
      </c>
    </row>
    <row r="2793" spans="1:4" x14ac:dyDescent="0.2">
      <c r="A2793" s="10" t="s">
        <v>2792</v>
      </c>
      <c r="B2793" s="12">
        <v>15.8</v>
      </c>
      <c r="C2793" s="11">
        <v>0.79198725466995556</v>
      </c>
      <c r="D2793" s="11">
        <v>0</v>
      </c>
    </row>
    <row r="2794" spans="1:4" x14ac:dyDescent="0.2">
      <c r="A2794" s="10" t="s">
        <v>2793</v>
      </c>
      <c r="B2794" s="12">
        <v>14.53</v>
      </c>
      <c r="C2794" s="11">
        <v>0</v>
      </c>
      <c r="D2794" s="11">
        <v>0.46529251211859879</v>
      </c>
    </row>
    <row r="2795" spans="1:4" x14ac:dyDescent="0.2">
      <c r="A2795" s="10" t="s">
        <v>2794</v>
      </c>
      <c r="B2795" s="12">
        <v>15.19</v>
      </c>
      <c r="C2795" s="11">
        <v>0.18809697298411443</v>
      </c>
      <c r="D2795" s="11">
        <v>0</v>
      </c>
    </row>
    <row r="2796" spans="1:4" x14ac:dyDescent="0.2">
      <c r="A2796" s="10" t="s">
        <v>2795</v>
      </c>
      <c r="B2796" s="12">
        <v>14.33</v>
      </c>
      <c r="C2796" s="11">
        <v>0</v>
      </c>
      <c r="D2796" s="11">
        <v>0.66328932578608779</v>
      </c>
    </row>
    <row r="2797" spans="1:4" x14ac:dyDescent="0.2">
      <c r="A2797" s="10" t="s">
        <v>2796</v>
      </c>
      <c r="B2797" s="12">
        <v>12.23</v>
      </c>
      <c r="C2797" s="11">
        <v>0</v>
      </c>
      <c r="D2797" s="11">
        <v>2.7422558692947208</v>
      </c>
    </row>
    <row r="2798" spans="1:4" x14ac:dyDescent="0.2">
      <c r="A2798" s="10" t="s">
        <v>2797</v>
      </c>
      <c r="B2798" s="12">
        <v>15.25</v>
      </c>
      <c r="C2798" s="11">
        <v>0.24749601708436109</v>
      </c>
      <c r="D2798" s="11">
        <v>0</v>
      </c>
    </row>
    <row r="2799" spans="1:4" x14ac:dyDescent="0.2">
      <c r="A2799" s="10" t="s">
        <v>2798</v>
      </c>
      <c r="B2799" s="12">
        <v>14.79</v>
      </c>
      <c r="C2799" s="11">
        <v>0</v>
      </c>
      <c r="D2799" s="11">
        <v>0.2078966543508633</v>
      </c>
    </row>
    <row r="2800" spans="1:4" x14ac:dyDescent="0.2">
      <c r="A2800" s="10" t="s">
        <v>2799</v>
      </c>
      <c r="B2800" s="12">
        <v>14.04</v>
      </c>
      <c r="C2800" s="11">
        <v>0</v>
      </c>
      <c r="D2800" s="11">
        <v>0.9503847056039465</v>
      </c>
    </row>
    <row r="2801" spans="1:4" x14ac:dyDescent="0.2">
      <c r="A2801" s="10" t="s">
        <v>2800</v>
      </c>
      <c r="B2801" s="12">
        <v>14.18</v>
      </c>
      <c r="C2801" s="11">
        <v>0</v>
      </c>
      <c r="D2801" s="11">
        <v>0.81178693603670427</v>
      </c>
    </row>
    <row r="2802" spans="1:4" x14ac:dyDescent="0.2">
      <c r="A2802" s="10" t="s">
        <v>2801</v>
      </c>
      <c r="B2802" s="12">
        <v>12.45</v>
      </c>
      <c r="C2802" s="11">
        <v>0</v>
      </c>
      <c r="D2802" s="11">
        <v>2.5244593742604828</v>
      </c>
    </row>
    <row r="2803" spans="1:4" x14ac:dyDescent="0.2">
      <c r="A2803" s="10" t="s">
        <v>2802</v>
      </c>
      <c r="B2803" s="12">
        <v>15.63</v>
      </c>
      <c r="C2803" s="11">
        <v>0.62368996305258995</v>
      </c>
      <c r="D2803" s="11">
        <v>0</v>
      </c>
    </row>
    <row r="2804" spans="1:4" x14ac:dyDescent="0.2">
      <c r="A2804" s="10" t="s">
        <v>2803</v>
      </c>
      <c r="B2804" s="12">
        <v>13.77</v>
      </c>
      <c r="C2804" s="11">
        <v>0</v>
      </c>
      <c r="D2804" s="11">
        <v>1.2176804040550566</v>
      </c>
    </row>
    <row r="2805" spans="1:4" x14ac:dyDescent="0.2">
      <c r="A2805" s="10" t="s">
        <v>2804</v>
      </c>
      <c r="B2805" s="12">
        <v>14.9</v>
      </c>
      <c r="C2805" s="11">
        <v>0</v>
      </c>
      <c r="D2805" s="11">
        <v>9.8998406833744446E-2</v>
      </c>
    </row>
    <row r="2806" spans="1:4" x14ac:dyDescent="0.2">
      <c r="A2806" s="10" t="s">
        <v>2805</v>
      </c>
      <c r="B2806" s="12">
        <v>14.71</v>
      </c>
      <c r="C2806" s="11">
        <v>0</v>
      </c>
      <c r="D2806" s="11">
        <v>0.28709537981785882</v>
      </c>
    </row>
    <row r="2807" spans="1:4" x14ac:dyDescent="0.2">
      <c r="A2807" s="10" t="s">
        <v>2806</v>
      </c>
      <c r="B2807" s="12">
        <v>12.53</v>
      </c>
      <c r="C2807" s="11">
        <v>0</v>
      </c>
      <c r="D2807" s="11">
        <v>2.4452606487934876</v>
      </c>
    </row>
    <row r="2808" spans="1:4" x14ac:dyDescent="0.2">
      <c r="A2808" s="10" t="s">
        <v>2807</v>
      </c>
      <c r="B2808" s="12">
        <v>13.93</v>
      </c>
      <c r="C2808" s="11">
        <v>0</v>
      </c>
      <c r="D2808" s="11">
        <v>1.0592829531210655</v>
      </c>
    </row>
    <row r="2809" spans="1:4" x14ac:dyDescent="0.2">
      <c r="A2809" s="10" t="s">
        <v>2808</v>
      </c>
      <c r="B2809" s="12">
        <v>13.57</v>
      </c>
      <c r="C2809" s="11">
        <v>0</v>
      </c>
      <c r="D2809" s="11">
        <v>1.4156772177225454</v>
      </c>
    </row>
    <row r="2810" spans="1:4" x14ac:dyDescent="0.2">
      <c r="A2810" s="10" t="s">
        <v>2809</v>
      </c>
      <c r="B2810" s="12">
        <v>14.89</v>
      </c>
      <c r="C2810" s="11">
        <v>0</v>
      </c>
      <c r="D2810" s="11">
        <v>0.10889824751711888</v>
      </c>
    </row>
    <row r="2811" spans="1:4" x14ac:dyDescent="0.2">
      <c r="A2811" s="10" t="s">
        <v>2810</v>
      </c>
      <c r="B2811" s="12">
        <v>12.74</v>
      </c>
      <c r="C2811" s="11">
        <v>0</v>
      </c>
      <c r="D2811" s="11">
        <v>2.237363994442624</v>
      </c>
    </row>
    <row r="2812" spans="1:4" x14ac:dyDescent="0.2">
      <c r="A2812" s="10" t="s">
        <v>2811</v>
      </c>
      <c r="B2812" s="12">
        <v>14.7</v>
      </c>
      <c r="C2812" s="11">
        <v>0</v>
      </c>
      <c r="D2812" s="11">
        <v>0.29699522050123328</v>
      </c>
    </row>
    <row r="2813" spans="1:4" x14ac:dyDescent="0.2">
      <c r="A2813" s="10" t="s">
        <v>2812</v>
      </c>
      <c r="B2813" s="12">
        <v>14.91</v>
      </c>
      <c r="C2813" s="11">
        <v>0</v>
      </c>
      <c r="D2813" s="11">
        <v>8.9098566150369984E-2</v>
      </c>
    </row>
    <row r="2814" spans="1:4" x14ac:dyDescent="0.2">
      <c r="A2814" s="10" t="s">
        <v>2813</v>
      </c>
      <c r="B2814" s="12">
        <v>15.93</v>
      </c>
      <c r="C2814" s="11">
        <v>0.92068518355382334</v>
      </c>
      <c r="D2814" s="11">
        <v>0</v>
      </c>
    </row>
    <row r="2815" spans="1:4" x14ac:dyDescent="0.2">
      <c r="A2815" s="10" t="s">
        <v>2814</v>
      </c>
      <c r="B2815" s="12">
        <v>13.54</v>
      </c>
      <c r="C2815" s="11">
        <v>0</v>
      </c>
      <c r="D2815" s="11">
        <v>1.4453767397726687</v>
      </c>
    </row>
    <row r="2816" spans="1:4" x14ac:dyDescent="0.2">
      <c r="A2816" s="10" t="s">
        <v>2815</v>
      </c>
      <c r="B2816" s="12">
        <v>13.6</v>
      </c>
      <c r="C2816" s="11">
        <v>0</v>
      </c>
      <c r="D2816" s="11">
        <v>1.3859776956724219</v>
      </c>
    </row>
    <row r="2817" spans="1:4" x14ac:dyDescent="0.2">
      <c r="A2817" s="10" t="s">
        <v>2816</v>
      </c>
      <c r="B2817" s="12">
        <v>15.92</v>
      </c>
      <c r="C2817" s="11">
        <v>0.91078534287044888</v>
      </c>
      <c r="D2817" s="11">
        <v>0</v>
      </c>
    </row>
    <row r="2818" spans="1:4" x14ac:dyDescent="0.2">
      <c r="A2818" s="10" t="s">
        <v>2817</v>
      </c>
      <c r="B2818" s="12">
        <v>16.239999999999998</v>
      </c>
      <c r="C2818" s="11">
        <v>1.227580244738431</v>
      </c>
      <c r="D2818" s="11">
        <v>0</v>
      </c>
    </row>
    <row r="2819" spans="1:4" x14ac:dyDescent="0.2">
      <c r="A2819" s="10" t="s">
        <v>2818</v>
      </c>
      <c r="B2819" s="12">
        <v>14.93</v>
      </c>
      <c r="C2819" s="11">
        <v>0</v>
      </c>
      <c r="D2819" s="11">
        <v>6.9298884783621117E-2</v>
      </c>
    </row>
    <row r="2820" spans="1:4" x14ac:dyDescent="0.2">
      <c r="A2820" s="10" t="s">
        <v>2819</v>
      </c>
      <c r="B2820" s="12">
        <v>14.21</v>
      </c>
      <c r="C2820" s="11">
        <v>0</v>
      </c>
      <c r="D2820" s="11">
        <v>0.7820874139865811</v>
      </c>
    </row>
    <row r="2821" spans="1:4" x14ac:dyDescent="0.2">
      <c r="A2821" s="10" t="s">
        <v>2820</v>
      </c>
      <c r="B2821" s="12">
        <v>12.86</v>
      </c>
      <c r="C2821" s="11">
        <v>0</v>
      </c>
      <c r="D2821" s="11">
        <v>2.1185659062421309</v>
      </c>
    </row>
    <row r="2822" spans="1:4" x14ac:dyDescent="0.2">
      <c r="A2822" s="10" t="s">
        <v>2821</v>
      </c>
      <c r="B2822" s="12">
        <v>13.35</v>
      </c>
      <c r="C2822" s="11">
        <v>0</v>
      </c>
      <c r="D2822" s="11">
        <v>1.6334737127567831</v>
      </c>
    </row>
    <row r="2823" spans="1:4" x14ac:dyDescent="0.2">
      <c r="A2823" s="10" t="s">
        <v>2822</v>
      </c>
      <c r="B2823" s="12">
        <v>13.84</v>
      </c>
      <c r="C2823" s="11">
        <v>0</v>
      </c>
      <c r="D2823" s="11">
        <v>1.1483815192714353</v>
      </c>
    </row>
    <row r="2824" spans="1:4" x14ac:dyDescent="0.2">
      <c r="A2824" s="10" t="s">
        <v>2823</v>
      </c>
      <c r="B2824" s="12">
        <v>13.99</v>
      </c>
      <c r="C2824" s="11">
        <v>0</v>
      </c>
      <c r="D2824" s="11">
        <v>0.99988390902081881</v>
      </c>
    </row>
    <row r="2825" spans="1:4" x14ac:dyDescent="0.2">
      <c r="A2825" s="10" t="s">
        <v>2824</v>
      </c>
      <c r="B2825" s="12">
        <v>12.89</v>
      </c>
      <c r="C2825" s="11">
        <v>0</v>
      </c>
      <c r="D2825" s="11">
        <v>2.0888663841920074</v>
      </c>
    </row>
    <row r="2826" spans="1:4" x14ac:dyDescent="0.2">
      <c r="A2826" s="10" t="s">
        <v>2825</v>
      </c>
      <c r="B2826" s="12">
        <v>12.91</v>
      </c>
      <c r="C2826" s="11">
        <v>0</v>
      </c>
      <c r="D2826" s="11">
        <v>2.0690667028252587</v>
      </c>
    </row>
    <row r="2827" spans="1:4" x14ac:dyDescent="0.2">
      <c r="A2827" s="10" t="s">
        <v>2826</v>
      </c>
      <c r="B2827" s="12">
        <v>12.7</v>
      </c>
      <c r="C2827" s="11">
        <v>0</v>
      </c>
      <c r="D2827" s="11">
        <v>2.2769633571761219</v>
      </c>
    </row>
    <row r="2828" spans="1:4" x14ac:dyDescent="0.2">
      <c r="A2828" s="10" t="s">
        <v>2827</v>
      </c>
      <c r="B2828" s="12">
        <v>13.03</v>
      </c>
      <c r="C2828" s="11">
        <v>0</v>
      </c>
      <c r="D2828" s="11">
        <v>1.9502686146247654</v>
      </c>
    </row>
    <row r="2829" spans="1:4" x14ac:dyDescent="0.2">
      <c r="A2829" s="10" t="s">
        <v>2828</v>
      </c>
      <c r="B2829" s="12">
        <v>14.44</v>
      </c>
      <c r="C2829" s="11">
        <v>0</v>
      </c>
      <c r="D2829" s="11">
        <v>0.55439107826896894</v>
      </c>
    </row>
    <row r="2830" spans="1:4" x14ac:dyDescent="0.2">
      <c r="A2830" s="10" t="s">
        <v>2829</v>
      </c>
      <c r="B2830" s="12">
        <v>15.25</v>
      </c>
      <c r="C2830" s="11">
        <v>0.24749601708436109</v>
      </c>
      <c r="D2830" s="11">
        <v>0</v>
      </c>
    </row>
    <row r="2831" spans="1:4" x14ac:dyDescent="0.2">
      <c r="A2831" s="10" t="s">
        <v>2830</v>
      </c>
      <c r="B2831" s="12">
        <v>12.69</v>
      </c>
      <c r="C2831" s="11">
        <v>0</v>
      </c>
      <c r="D2831" s="11">
        <v>2.2868631978594967</v>
      </c>
    </row>
    <row r="2832" spans="1:4" x14ac:dyDescent="0.2">
      <c r="A2832" s="10" t="s">
        <v>2831</v>
      </c>
      <c r="B2832" s="12">
        <v>12.95</v>
      </c>
      <c r="C2832" s="11">
        <v>0</v>
      </c>
      <c r="D2832" s="11">
        <v>2.0294673400917609</v>
      </c>
    </row>
    <row r="2833" spans="1:4" x14ac:dyDescent="0.2">
      <c r="A2833" s="10" t="s">
        <v>2832</v>
      </c>
      <c r="B2833" s="12">
        <v>12.28</v>
      </c>
      <c r="C2833" s="11">
        <v>0</v>
      </c>
      <c r="D2833" s="11">
        <v>2.692756665877849</v>
      </c>
    </row>
    <row r="2834" spans="1:4" x14ac:dyDescent="0.2">
      <c r="A2834" s="10" t="s">
        <v>2833</v>
      </c>
      <c r="B2834" s="12">
        <v>15.19</v>
      </c>
      <c r="C2834" s="11">
        <v>0.18809697298411443</v>
      </c>
      <c r="D2834" s="11">
        <v>0</v>
      </c>
    </row>
    <row r="2835" spans="1:4" x14ac:dyDescent="0.2">
      <c r="A2835" s="10" t="s">
        <v>2834</v>
      </c>
      <c r="B2835" s="12">
        <v>13.97</v>
      </c>
      <c r="C2835" s="11">
        <v>0</v>
      </c>
      <c r="D2835" s="11">
        <v>1.0196835903875676</v>
      </c>
    </row>
    <row r="2836" spans="1:4" x14ac:dyDescent="0.2">
      <c r="A2836" s="10" t="s">
        <v>2835</v>
      </c>
      <c r="B2836" s="12">
        <v>13.69</v>
      </c>
      <c r="C2836" s="11">
        <v>0</v>
      </c>
      <c r="D2836" s="11">
        <v>1.2968791295220521</v>
      </c>
    </row>
    <row r="2837" spans="1:4" x14ac:dyDescent="0.2">
      <c r="A2837" s="10" t="s">
        <v>2836</v>
      </c>
      <c r="B2837" s="12">
        <v>12.93</v>
      </c>
      <c r="C2837" s="11">
        <v>0</v>
      </c>
      <c r="D2837" s="11">
        <v>2.0492670214585096</v>
      </c>
    </row>
    <row r="2838" spans="1:4" x14ac:dyDescent="0.2">
      <c r="A2838" s="10" t="s">
        <v>2837</v>
      </c>
      <c r="B2838" s="12">
        <v>14.78</v>
      </c>
      <c r="C2838" s="11">
        <v>0</v>
      </c>
      <c r="D2838" s="11">
        <v>0.21779649503423776</v>
      </c>
    </row>
    <row r="2839" spans="1:4" x14ac:dyDescent="0.2">
      <c r="A2839" s="10" t="s">
        <v>2838</v>
      </c>
      <c r="B2839" s="12">
        <v>12.26</v>
      </c>
      <c r="C2839" s="11">
        <v>0</v>
      </c>
      <c r="D2839" s="11">
        <v>2.7125563472445977</v>
      </c>
    </row>
    <row r="2840" spans="1:4" x14ac:dyDescent="0.2">
      <c r="A2840" s="10" t="s">
        <v>2839</v>
      </c>
      <c r="B2840" s="12">
        <v>13.54</v>
      </c>
      <c r="C2840" s="11">
        <v>0</v>
      </c>
      <c r="D2840" s="11">
        <v>1.4453767397726687</v>
      </c>
    </row>
    <row r="2841" spans="1:4" x14ac:dyDescent="0.2">
      <c r="A2841" s="10" t="s">
        <v>2840</v>
      </c>
      <c r="B2841" s="12">
        <v>15.72</v>
      </c>
      <c r="C2841" s="11">
        <v>0.71278852920295988</v>
      </c>
      <c r="D2841" s="11">
        <v>0</v>
      </c>
    </row>
    <row r="2842" spans="1:4" x14ac:dyDescent="0.2">
      <c r="A2842" s="10" t="s">
        <v>2841</v>
      </c>
      <c r="B2842" s="12">
        <v>13.55</v>
      </c>
      <c r="C2842" s="11">
        <v>0</v>
      </c>
      <c r="D2842" s="11">
        <v>1.4354768990892943</v>
      </c>
    </row>
    <row r="2843" spans="1:4" x14ac:dyDescent="0.2">
      <c r="A2843" s="10" t="s">
        <v>2842</v>
      </c>
      <c r="B2843" s="12">
        <v>13.8</v>
      </c>
      <c r="C2843" s="11">
        <v>0</v>
      </c>
      <c r="D2843" s="11">
        <v>1.1879808820049331</v>
      </c>
    </row>
    <row r="2844" spans="1:4" x14ac:dyDescent="0.2">
      <c r="A2844" s="10" t="s">
        <v>2843</v>
      </c>
      <c r="B2844" s="12">
        <v>14.64</v>
      </c>
      <c r="C2844" s="11">
        <v>0</v>
      </c>
      <c r="D2844" s="11">
        <v>0.35639426460147994</v>
      </c>
    </row>
    <row r="2845" spans="1:4" x14ac:dyDescent="0.2">
      <c r="A2845" s="10" t="s">
        <v>2844</v>
      </c>
      <c r="B2845" s="12">
        <v>13.85</v>
      </c>
      <c r="C2845" s="11">
        <v>0</v>
      </c>
      <c r="D2845" s="11">
        <v>1.1384816785880609</v>
      </c>
    </row>
    <row r="2846" spans="1:4" x14ac:dyDescent="0.2">
      <c r="A2846" s="10" t="s">
        <v>2845</v>
      </c>
      <c r="B2846" s="12">
        <v>12.69</v>
      </c>
      <c r="C2846" s="11">
        <v>0</v>
      </c>
      <c r="D2846" s="11">
        <v>2.2868631978594967</v>
      </c>
    </row>
    <row r="2847" spans="1:4" x14ac:dyDescent="0.2">
      <c r="A2847" s="10" t="s">
        <v>2846</v>
      </c>
      <c r="B2847" s="12">
        <v>14.77</v>
      </c>
      <c r="C2847" s="11">
        <v>0</v>
      </c>
      <c r="D2847" s="11">
        <v>0.22769633571761222</v>
      </c>
    </row>
    <row r="2848" spans="1:4" x14ac:dyDescent="0.2">
      <c r="A2848" s="10" t="s">
        <v>2847</v>
      </c>
      <c r="B2848" s="12">
        <v>12.89</v>
      </c>
      <c r="C2848" s="11">
        <v>0</v>
      </c>
      <c r="D2848" s="11">
        <v>2.0888663841920074</v>
      </c>
    </row>
    <row r="2849" spans="1:4" x14ac:dyDescent="0.2">
      <c r="A2849" s="10" t="s">
        <v>2848</v>
      </c>
      <c r="B2849" s="12">
        <v>13.2</v>
      </c>
      <c r="C2849" s="11">
        <v>0</v>
      </c>
      <c r="D2849" s="11">
        <v>1.7819713230073999</v>
      </c>
    </row>
    <row r="2850" spans="1:4" x14ac:dyDescent="0.2">
      <c r="A2850" s="10" t="s">
        <v>2849</v>
      </c>
      <c r="B2850" s="12">
        <v>13.53</v>
      </c>
      <c r="C2850" s="11">
        <v>0</v>
      </c>
      <c r="D2850" s="11">
        <v>1.4552765804560432</v>
      </c>
    </row>
    <row r="2851" spans="1:4" x14ac:dyDescent="0.2">
      <c r="A2851" s="10" t="s">
        <v>2850</v>
      </c>
      <c r="B2851" s="12">
        <v>14.84</v>
      </c>
      <c r="C2851" s="11">
        <v>0</v>
      </c>
      <c r="D2851" s="11">
        <v>0.1583974509339911</v>
      </c>
    </row>
    <row r="2852" spans="1:4" x14ac:dyDescent="0.2">
      <c r="A2852" s="10" t="s">
        <v>2851</v>
      </c>
      <c r="B2852" s="12">
        <v>14.09</v>
      </c>
      <c r="C2852" s="11">
        <v>0</v>
      </c>
      <c r="D2852" s="11">
        <v>0.90088550218707442</v>
      </c>
    </row>
    <row r="2853" spans="1:4" x14ac:dyDescent="0.2">
      <c r="A2853" s="10" t="s">
        <v>2852</v>
      </c>
      <c r="B2853" s="12">
        <v>15.33</v>
      </c>
      <c r="C2853" s="11">
        <v>0.32669474255135666</v>
      </c>
      <c r="D2853" s="11">
        <v>0</v>
      </c>
    </row>
    <row r="2854" spans="1:4" x14ac:dyDescent="0.2">
      <c r="A2854" s="10" t="s">
        <v>2853</v>
      </c>
      <c r="B2854" s="12">
        <v>13.17</v>
      </c>
      <c r="C2854" s="11">
        <v>0</v>
      </c>
      <c r="D2854" s="11">
        <v>1.8116708450575232</v>
      </c>
    </row>
    <row r="2855" spans="1:4" x14ac:dyDescent="0.2">
      <c r="A2855" s="10" t="s">
        <v>2854</v>
      </c>
      <c r="B2855" s="12">
        <v>12.97</v>
      </c>
      <c r="C2855" s="11">
        <v>0</v>
      </c>
      <c r="D2855" s="11">
        <v>2.0096676587250117</v>
      </c>
    </row>
    <row r="2856" spans="1:4" x14ac:dyDescent="0.2">
      <c r="A2856" s="10" t="s">
        <v>2855</v>
      </c>
      <c r="B2856" s="12">
        <v>13.66</v>
      </c>
      <c r="C2856" s="11">
        <v>0</v>
      </c>
      <c r="D2856" s="11">
        <v>1.3265786515721756</v>
      </c>
    </row>
    <row r="2857" spans="1:4" x14ac:dyDescent="0.2">
      <c r="A2857" s="10" t="s">
        <v>2856</v>
      </c>
      <c r="B2857" s="12">
        <v>15.82</v>
      </c>
      <c r="C2857" s="11">
        <v>0.81178693603670427</v>
      </c>
      <c r="D2857" s="11">
        <v>0</v>
      </c>
    </row>
    <row r="2858" spans="1:4" x14ac:dyDescent="0.2">
      <c r="A2858" s="10" t="s">
        <v>2857</v>
      </c>
      <c r="B2858" s="12">
        <v>14.13</v>
      </c>
      <c r="C2858" s="11">
        <v>0</v>
      </c>
      <c r="D2858" s="11">
        <v>0.86128613945357657</v>
      </c>
    </row>
    <row r="2859" spans="1:4" x14ac:dyDescent="0.2">
      <c r="A2859" s="10" t="s">
        <v>2858</v>
      </c>
      <c r="B2859" s="12">
        <v>13.67</v>
      </c>
      <c r="C2859" s="11">
        <v>0</v>
      </c>
      <c r="D2859" s="11">
        <v>1.316678810888801</v>
      </c>
    </row>
    <row r="2860" spans="1:4" x14ac:dyDescent="0.2">
      <c r="A2860" s="10" t="s">
        <v>2859</v>
      </c>
      <c r="B2860" s="12">
        <v>14.99</v>
      </c>
      <c r="C2860" s="11">
        <v>0</v>
      </c>
      <c r="D2860" s="11">
        <v>9.8998406833744439E-3</v>
      </c>
    </row>
    <row r="2861" spans="1:4" x14ac:dyDescent="0.2">
      <c r="A2861" s="10" t="s">
        <v>2860</v>
      </c>
      <c r="B2861" s="12">
        <v>14.33</v>
      </c>
      <c r="C2861" s="11">
        <v>0</v>
      </c>
      <c r="D2861" s="11">
        <v>0.66328932578608779</v>
      </c>
    </row>
    <row r="2862" spans="1:4" x14ac:dyDescent="0.2">
      <c r="A2862" s="10" t="s">
        <v>2861</v>
      </c>
      <c r="B2862" s="12">
        <v>15.04</v>
      </c>
      <c r="C2862" s="11">
        <v>3.9599362733497775E-2</v>
      </c>
      <c r="D2862" s="11">
        <v>0</v>
      </c>
    </row>
    <row r="2863" spans="1:4" x14ac:dyDescent="0.2">
      <c r="A2863" s="10" t="s">
        <v>2862</v>
      </c>
      <c r="B2863" s="12">
        <v>14.02</v>
      </c>
      <c r="C2863" s="11">
        <v>0</v>
      </c>
      <c r="D2863" s="11">
        <v>0.97018438697069542</v>
      </c>
    </row>
    <row r="2864" spans="1:4" x14ac:dyDescent="0.2">
      <c r="A2864" s="10" t="s">
        <v>2863</v>
      </c>
      <c r="B2864" s="12">
        <v>15.22</v>
      </c>
      <c r="C2864" s="11">
        <v>0.21779649503423776</v>
      </c>
      <c r="D2864" s="11">
        <v>0</v>
      </c>
    </row>
    <row r="2865" spans="1:4" x14ac:dyDescent="0.2">
      <c r="A2865" s="10" t="s">
        <v>2864</v>
      </c>
      <c r="B2865" s="12">
        <v>15.89</v>
      </c>
      <c r="C2865" s="11">
        <v>0.88108582082032549</v>
      </c>
      <c r="D2865" s="11">
        <v>0</v>
      </c>
    </row>
    <row r="2866" spans="1:4" x14ac:dyDescent="0.2">
      <c r="A2866" s="10" t="s">
        <v>2865</v>
      </c>
      <c r="B2866" s="12">
        <v>12.85</v>
      </c>
      <c r="C2866" s="11">
        <v>0</v>
      </c>
      <c r="D2866" s="11">
        <v>2.1284657469255053</v>
      </c>
    </row>
    <row r="2867" spans="1:4" x14ac:dyDescent="0.2">
      <c r="A2867" s="10" t="s">
        <v>2866</v>
      </c>
      <c r="B2867" s="12">
        <v>15.22</v>
      </c>
      <c r="C2867" s="11">
        <v>0.21779649503423776</v>
      </c>
      <c r="D2867" s="11">
        <v>0</v>
      </c>
    </row>
    <row r="2868" spans="1:4" x14ac:dyDescent="0.2">
      <c r="A2868" s="10" t="s">
        <v>2867</v>
      </c>
      <c r="B2868" s="12">
        <v>12.96</v>
      </c>
      <c r="C2868" s="11">
        <v>0</v>
      </c>
      <c r="D2868" s="11">
        <v>2.0195674994083865</v>
      </c>
    </row>
    <row r="2869" spans="1:4" x14ac:dyDescent="0.2">
      <c r="A2869" s="10" t="s">
        <v>2868</v>
      </c>
      <c r="B2869" s="12">
        <v>15.41</v>
      </c>
      <c r="C2869" s="11">
        <v>0.40589346801835213</v>
      </c>
      <c r="D2869" s="11">
        <v>0</v>
      </c>
    </row>
    <row r="2870" spans="1:4" x14ac:dyDescent="0.2">
      <c r="A2870" s="10" t="s">
        <v>2869</v>
      </c>
      <c r="B2870" s="12">
        <v>13.72</v>
      </c>
      <c r="C2870" s="11">
        <v>0</v>
      </c>
      <c r="D2870" s="11">
        <v>1.2671796074719288</v>
      </c>
    </row>
    <row r="2871" spans="1:4" x14ac:dyDescent="0.2">
      <c r="A2871" s="10" t="s">
        <v>2870</v>
      </c>
      <c r="B2871" s="12">
        <v>14.03</v>
      </c>
      <c r="C2871" s="11">
        <v>0</v>
      </c>
      <c r="D2871" s="11">
        <v>0.96028454628732096</v>
      </c>
    </row>
    <row r="2872" spans="1:4" x14ac:dyDescent="0.2">
      <c r="A2872" s="10" t="s">
        <v>2871</v>
      </c>
      <c r="B2872" s="12">
        <v>15.28</v>
      </c>
      <c r="C2872" s="11">
        <v>0.27719553913448447</v>
      </c>
      <c r="D2872" s="11">
        <v>0</v>
      </c>
    </row>
    <row r="2873" spans="1:4" x14ac:dyDescent="0.2">
      <c r="A2873" s="10" t="s">
        <v>2872</v>
      </c>
      <c r="B2873" s="12">
        <v>13.61</v>
      </c>
      <c r="C2873" s="11">
        <v>0</v>
      </c>
      <c r="D2873" s="11">
        <v>1.3760778549890476</v>
      </c>
    </row>
    <row r="2874" spans="1:4" x14ac:dyDescent="0.2">
      <c r="A2874" s="10" t="s">
        <v>2873</v>
      </c>
      <c r="B2874" s="12">
        <v>17.84</v>
      </c>
      <c r="C2874" s="11">
        <v>2.8115547540783417</v>
      </c>
      <c r="D2874" s="11">
        <v>0</v>
      </c>
    </row>
    <row r="2875" spans="1:4" x14ac:dyDescent="0.2">
      <c r="A2875" s="10" t="s">
        <v>2874</v>
      </c>
      <c r="B2875" s="12">
        <v>14.96</v>
      </c>
      <c r="C2875" s="11">
        <v>0</v>
      </c>
      <c r="D2875" s="11">
        <v>3.9599362733497775E-2</v>
      </c>
    </row>
    <row r="2876" spans="1:4" x14ac:dyDescent="0.2">
      <c r="A2876" s="10" t="s">
        <v>2875</v>
      </c>
      <c r="B2876" s="12">
        <v>14.04</v>
      </c>
      <c r="C2876" s="11">
        <v>0</v>
      </c>
      <c r="D2876" s="11">
        <v>0.9503847056039465</v>
      </c>
    </row>
    <row r="2877" spans="1:4" x14ac:dyDescent="0.2">
      <c r="A2877" s="10" t="s">
        <v>2876</v>
      </c>
      <c r="B2877" s="12">
        <v>15.06</v>
      </c>
      <c r="C2877" s="11">
        <v>5.9399044100246656E-2</v>
      </c>
      <c r="D2877" s="11">
        <v>0</v>
      </c>
    </row>
    <row r="2878" spans="1:4" x14ac:dyDescent="0.2">
      <c r="A2878" s="10" t="s">
        <v>2877</v>
      </c>
      <c r="B2878" s="12">
        <v>13.87</v>
      </c>
      <c r="C2878" s="11">
        <v>0</v>
      </c>
      <c r="D2878" s="11">
        <v>1.118681997221312</v>
      </c>
    </row>
    <row r="2879" spans="1:4" x14ac:dyDescent="0.2">
      <c r="A2879" s="10" t="s">
        <v>2878</v>
      </c>
      <c r="B2879" s="12">
        <v>13.34</v>
      </c>
      <c r="C2879" s="11">
        <v>0</v>
      </c>
      <c r="D2879" s="11">
        <v>1.6433735534401575</v>
      </c>
    </row>
    <row r="2880" spans="1:4" x14ac:dyDescent="0.2">
      <c r="A2880" s="10" t="s">
        <v>2879</v>
      </c>
      <c r="B2880" s="12">
        <v>14.32</v>
      </c>
      <c r="C2880" s="11">
        <v>0</v>
      </c>
      <c r="D2880" s="11">
        <v>0.67318916646946225</v>
      </c>
    </row>
    <row r="2881" spans="1:4" x14ac:dyDescent="0.2">
      <c r="A2881" s="10" t="s">
        <v>2880</v>
      </c>
      <c r="B2881" s="12">
        <v>12.04</v>
      </c>
      <c r="C2881" s="11">
        <v>0</v>
      </c>
      <c r="D2881" s="11">
        <v>2.9303528422788352</v>
      </c>
    </row>
    <row r="2882" spans="1:4" x14ac:dyDescent="0.2">
      <c r="A2882" s="10" t="s">
        <v>2881</v>
      </c>
      <c r="B2882" s="12">
        <v>14.27</v>
      </c>
      <c r="C2882" s="11">
        <v>0</v>
      </c>
      <c r="D2882" s="11">
        <v>0.72268836988633434</v>
      </c>
    </row>
    <row r="2883" spans="1:4" x14ac:dyDescent="0.2">
      <c r="A2883" s="10" t="s">
        <v>2882</v>
      </c>
      <c r="B2883" s="12">
        <v>14.23</v>
      </c>
      <c r="C2883" s="11">
        <v>0</v>
      </c>
      <c r="D2883" s="11">
        <v>0.76228773261983218</v>
      </c>
    </row>
    <row r="2884" spans="1:4" x14ac:dyDescent="0.2">
      <c r="A2884" s="10" t="s">
        <v>2883</v>
      </c>
      <c r="B2884" s="12">
        <v>13.97</v>
      </c>
      <c r="C2884" s="11">
        <v>0</v>
      </c>
      <c r="D2884" s="11">
        <v>1.0196835903875676</v>
      </c>
    </row>
    <row r="2885" spans="1:4" x14ac:dyDescent="0.2">
      <c r="A2885" s="10" t="s">
        <v>2884</v>
      </c>
      <c r="B2885" s="12">
        <v>12.15</v>
      </c>
      <c r="C2885" s="11">
        <v>0</v>
      </c>
      <c r="D2885" s="11">
        <v>2.8214545947617165</v>
      </c>
    </row>
    <row r="2886" spans="1:4" x14ac:dyDescent="0.2">
      <c r="A2886" s="10" t="s">
        <v>2885</v>
      </c>
      <c r="B2886" s="12">
        <v>14.11</v>
      </c>
      <c r="C2886" s="11">
        <v>0</v>
      </c>
      <c r="D2886" s="11">
        <v>0.88108582082032549</v>
      </c>
    </row>
    <row r="2887" spans="1:4" x14ac:dyDescent="0.2">
      <c r="A2887" s="10" t="s">
        <v>2886</v>
      </c>
      <c r="B2887" s="12">
        <v>14.82</v>
      </c>
      <c r="C2887" s="11">
        <v>0</v>
      </c>
      <c r="D2887" s="11">
        <v>0.17819713230073997</v>
      </c>
    </row>
    <row r="2888" spans="1:4" x14ac:dyDescent="0.2">
      <c r="A2888" s="10" t="s">
        <v>2887</v>
      </c>
      <c r="B2888" s="12">
        <v>12.95</v>
      </c>
      <c r="C2888" s="11">
        <v>0</v>
      </c>
      <c r="D2888" s="11">
        <v>2.0294673400917609</v>
      </c>
    </row>
    <row r="2889" spans="1:4" x14ac:dyDescent="0.2">
      <c r="A2889" s="10" t="s">
        <v>2888</v>
      </c>
      <c r="B2889" s="12">
        <v>13.75</v>
      </c>
      <c r="C2889" s="11">
        <v>0</v>
      </c>
      <c r="D2889" s="11">
        <v>1.2374800854218053</v>
      </c>
    </row>
    <row r="2890" spans="1:4" x14ac:dyDescent="0.2">
      <c r="A2890" s="10" t="s">
        <v>2889</v>
      </c>
      <c r="B2890" s="12">
        <v>12.52</v>
      </c>
      <c r="C2890" s="11">
        <v>0</v>
      </c>
      <c r="D2890" s="11">
        <v>2.4551604894768619</v>
      </c>
    </row>
    <row r="2891" spans="1:4" x14ac:dyDescent="0.2">
      <c r="A2891" s="10" t="s">
        <v>2890</v>
      </c>
      <c r="B2891" s="12">
        <v>12.13</v>
      </c>
      <c r="C2891" s="11">
        <v>0</v>
      </c>
      <c r="D2891" s="11">
        <v>2.8412542761284656</v>
      </c>
    </row>
    <row r="2892" spans="1:4" x14ac:dyDescent="0.2">
      <c r="A2892" s="10" t="s">
        <v>2891</v>
      </c>
      <c r="B2892" s="12">
        <v>13.6</v>
      </c>
      <c r="C2892" s="11">
        <v>0</v>
      </c>
      <c r="D2892" s="11">
        <v>1.3859776956724219</v>
      </c>
    </row>
    <row r="2893" spans="1:4" x14ac:dyDescent="0.2">
      <c r="A2893" s="10" t="s">
        <v>2892</v>
      </c>
      <c r="B2893" s="12">
        <v>12.45</v>
      </c>
      <c r="C2893" s="11">
        <v>0</v>
      </c>
      <c r="D2893" s="11">
        <v>2.5244593742604828</v>
      </c>
    </row>
    <row r="2894" spans="1:4" x14ac:dyDescent="0.2">
      <c r="A2894" s="10" t="s">
        <v>2893</v>
      </c>
      <c r="B2894" s="12">
        <v>16.22</v>
      </c>
      <c r="C2894" s="11">
        <v>1.207780563371682</v>
      </c>
      <c r="D2894" s="11">
        <v>0</v>
      </c>
    </row>
    <row r="2895" spans="1:4" x14ac:dyDescent="0.2">
      <c r="A2895" s="10" t="s">
        <v>2894</v>
      </c>
      <c r="B2895" s="12">
        <v>15.75</v>
      </c>
      <c r="C2895" s="11">
        <v>0.74248805125308326</v>
      </c>
      <c r="D2895" s="11">
        <v>0</v>
      </c>
    </row>
    <row r="2896" spans="1:4" x14ac:dyDescent="0.2">
      <c r="A2896" s="10" t="s">
        <v>2895</v>
      </c>
      <c r="B2896" s="12">
        <v>13.08</v>
      </c>
      <c r="C2896" s="11">
        <v>0</v>
      </c>
      <c r="D2896" s="11">
        <v>1.900769411207893</v>
      </c>
    </row>
    <row r="2897" spans="1:4" x14ac:dyDescent="0.2">
      <c r="A2897" s="10" t="s">
        <v>2896</v>
      </c>
      <c r="B2897" s="12">
        <v>15.07</v>
      </c>
      <c r="C2897" s="11">
        <v>6.9298884783621117E-2</v>
      </c>
      <c r="D2897" s="11">
        <v>0</v>
      </c>
    </row>
    <row r="2898" spans="1:4" x14ac:dyDescent="0.2">
      <c r="A2898" s="10" t="s">
        <v>2897</v>
      </c>
      <c r="B2898" s="12">
        <v>13.33</v>
      </c>
      <c r="C2898" s="11">
        <v>0</v>
      </c>
      <c r="D2898" s="11">
        <v>1.653273394123532</v>
      </c>
    </row>
    <row r="2899" spans="1:4" x14ac:dyDescent="0.2">
      <c r="A2899" s="10" t="s">
        <v>2898</v>
      </c>
      <c r="B2899" s="12">
        <v>14.96</v>
      </c>
      <c r="C2899" s="11">
        <v>0</v>
      </c>
      <c r="D2899" s="11">
        <v>3.9599362733497775E-2</v>
      </c>
    </row>
    <row r="2900" spans="1:4" x14ac:dyDescent="0.2">
      <c r="A2900" s="10" t="s">
        <v>2899</v>
      </c>
      <c r="B2900" s="12">
        <v>14.21</v>
      </c>
      <c r="C2900" s="11">
        <v>0</v>
      </c>
      <c r="D2900" s="11">
        <v>0.7820874139865811</v>
      </c>
    </row>
    <row r="2901" spans="1:4" x14ac:dyDescent="0.2">
      <c r="A2901" s="10" t="s">
        <v>2900</v>
      </c>
      <c r="B2901" s="12">
        <v>13.22</v>
      </c>
      <c r="C2901" s="11">
        <v>0</v>
      </c>
      <c r="D2901" s="11">
        <v>1.762171641640651</v>
      </c>
    </row>
    <row r="2902" spans="1:4" x14ac:dyDescent="0.2">
      <c r="A2902" s="10" t="s">
        <v>2901</v>
      </c>
      <c r="B2902" s="12">
        <v>13.57</v>
      </c>
      <c r="C2902" s="11">
        <v>0</v>
      </c>
      <c r="D2902" s="11">
        <v>1.4156772177225454</v>
      </c>
    </row>
    <row r="2903" spans="1:4" x14ac:dyDescent="0.2">
      <c r="A2903" s="10" t="s">
        <v>2902</v>
      </c>
      <c r="B2903" s="12">
        <v>13.07</v>
      </c>
      <c r="C2903" s="11">
        <v>0</v>
      </c>
      <c r="D2903" s="11">
        <v>1.9106692518912676</v>
      </c>
    </row>
    <row r="2904" spans="1:4" x14ac:dyDescent="0.2">
      <c r="A2904" s="10" t="s">
        <v>2903</v>
      </c>
      <c r="B2904" s="12">
        <v>13.38</v>
      </c>
      <c r="C2904" s="11">
        <v>0</v>
      </c>
      <c r="D2904" s="11">
        <v>1.6037741907066601</v>
      </c>
    </row>
    <row r="2905" spans="1:4" x14ac:dyDescent="0.2">
      <c r="A2905" s="10" t="s">
        <v>2904</v>
      </c>
      <c r="B2905" s="12">
        <v>14.1</v>
      </c>
      <c r="C2905" s="11">
        <v>0</v>
      </c>
      <c r="D2905" s="11">
        <v>0.89098566150369995</v>
      </c>
    </row>
    <row r="2906" spans="1:4" x14ac:dyDescent="0.2">
      <c r="A2906" s="10" t="s">
        <v>2905</v>
      </c>
      <c r="B2906" s="12">
        <v>13.31</v>
      </c>
      <c r="C2906" s="11">
        <v>0</v>
      </c>
      <c r="D2906" s="11">
        <v>1.6730730754902809</v>
      </c>
    </row>
    <row r="2907" spans="1:4" x14ac:dyDescent="0.2">
      <c r="A2907" s="10" t="s">
        <v>2906</v>
      </c>
      <c r="B2907" s="12">
        <v>14.18</v>
      </c>
      <c r="C2907" s="11">
        <v>0</v>
      </c>
      <c r="D2907" s="11">
        <v>0.81178693603670427</v>
      </c>
    </row>
    <row r="2908" spans="1:4" x14ac:dyDescent="0.2">
      <c r="A2908" s="10" t="s">
        <v>2907</v>
      </c>
      <c r="B2908" s="12">
        <v>14.37</v>
      </c>
      <c r="C2908" s="11">
        <v>0</v>
      </c>
      <c r="D2908" s="11">
        <v>0.62368996305258995</v>
      </c>
    </row>
    <row r="2909" spans="1:4" x14ac:dyDescent="0.2">
      <c r="A2909" s="10" t="s">
        <v>2908</v>
      </c>
      <c r="B2909" s="12">
        <v>16.41</v>
      </c>
      <c r="C2909" s="11">
        <v>1.3958775363557965</v>
      </c>
      <c r="D2909" s="11">
        <v>0</v>
      </c>
    </row>
    <row r="2910" spans="1:4" x14ac:dyDescent="0.2">
      <c r="A2910" s="10" t="s">
        <v>2909</v>
      </c>
      <c r="B2910" s="12">
        <v>13.37</v>
      </c>
      <c r="C2910" s="11">
        <v>0</v>
      </c>
      <c r="D2910" s="11">
        <v>1.6136740313900342</v>
      </c>
    </row>
    <row r="2911" spans="1:4" x14ac:dyDescent="0.2">
      <c r="A2911" s="10" t="s">
        <v>2910</v>
      </c>
      <c r="B2911" s="12">
        <v>15.04</v>
      </c>
      <c r="C2911" s="11">
        <v>3.9599362733497775E-2</v>
      </c>
      <c r="D2911" s="11">
        <v>0</v>
      </c>
    </row>
    <row r="2912" spans="1:4" x14ac:dyDescent="0.2">
      <c r="A2912" s="10" t="s">
        <v>2911</v>
      </c>
      <c r="B2912" s="12">
        <v>12.94</v>
      </c>
      <c r="C2912" s="11">
        <v>0</v>
      </c>
      <c r="D2912" s="11">
        <v>2.0393671807751352</v>
      </c>
    </row>
    <row r="2913" spans="1:4" x14ac:dyDescent="0.2">
      <c r="A2913" s="10" t="s">
        <v>2912</v>
      </c>
      <c r="B2913" s="12">
        <v>14.66</v>
      </c>
      <c r="C2913" s="11">
        <v>0</v>
      </c>
      <c r="D2913" s="11">
        <v>0.33659458323473113</v>
      </c>
    </row>
    <row r="2914" spans="1:4" x14ac:dyDescent="0.2">
      <c r="A2914" s="10" t="s">
        <v>2913</v>
      </c>
      <c r="B2914" s="12">
        <v>13.14</v>
      </c>
      <c r="C2914" s="11">
        <v>0</v>
      </c>
      <c r="D2914" s="11">
        <v>1.8413703671076467</v>
      </c>
    </row>
    <row r="2915" spans="1:4" x14ac:dyDescent="0.2">
      <c r="A2915" s="10" t="s">
        <v>2914</v>
      </c>
      <c r="B2915" s="12">
        <v>15.13</v>
      </c>
      <c r="C2915" s="11">
        <v>0.12869792888386777</v>
      </c>
      <c r="D2915" s="11">
        <v>0</v>
      </c>
    </row>
    <row r="2916" spans="1:4" x14ac:dyDescent="0.2">
      <c r="A2916" s="10" t="s">
        <v>2915</v>
      </c>
      <c r="B2916" s="12">
        <v>17.12</v>
      </c>
      <c r="C2916" s="11">
        <v>2.0987662248753822</v>
      </c>
      <c r="D2916" s="11">
        <v>0</v>
      </c>
    </row>
    <row r="2917" spans="1:4" x14ac:dyDescent="0.2">
      <c r="A2917" s="10" t="s">
        <v>2916</v>
      </c>
      <c r="B2917" s="12">
        <v>14.08</v>
      </c>
      <c r="C2917" s="11">
        <v>0</v>
      </c>
      <c r="D2917" s="11">
        <v>0.91078534287044888</v>
      </c>
    </row>
    <row r="2918" spans="1:4" x14ac:dyDescent="0.2">
      <c r="A2918" s="10" t="s">
        <v>2917</v>
      </c>
      <c r="B2918" s="12">
        <v>14.05</v>
      </c>
      <c r="C2918" s="11">
        <v>0</v>
      </c>
      <c r="D2918" s="11">
        <v>0.94048486492057204</v>
      </c>
    </row>
    <row r="2919" spans="1:4" x14ac:dyDescent="0.2">
      <c r="A2919" s="10" t="s">
        <v>2918</v>
      </c>
      <c r="B2919" s="12">
        <v>14.37</v>
      </c>
      <c r="C2919" s="11">
        <v>0</v>
      </c>
      <c r="D2919" s="11">
        <v>0.62368996305258995</v>
      </c>
    </row>
    <row r="2920" spans="1:4" x14ac:dyDescent="0.2">
      <c r="A2920" s="10" t="s">
        <v>2919</v>
      </c>
      <c r="B2920" s="12">
        <v>16.059999999999999</v>
      </c>
      <c r="C2920" s="11">
        <v>1.0493831124376911</v>
      </c>
      <c r="D2920" s="11">
        <v>0</v>
      </c>
    </row>
    <row r="2921" spans="1:4" x14ac:dyDescent="0.2">
      <c r="A2921" s="10" t="s">
        <v>2920</v>
      </c>
      <c r="B2921" s="12">
        <v>13.43</v>
      </c>
      <c r="C2921" s="11">
        <v>0</v>
      </c>
      <c r="D2921" s="11">
        <v>1.5542749872897876</v>
      </c>
    </row>
    <row r="2922" spans="1:4" x14ac:dyDescent="0.2">
      <c r="A2922" s="10" t="s">
        <v>2921</v>
      </c>
      <c r="B2922" s="12">
        <v>14.91</v>
      </c>
      <c r="C2922" s="11">
        <v>0</v>
      </c>
      <c r="D2922" s="11">
        <v>8.9098566150369984E-2</v>
      </c>
    </row>
    <row r="2923" spans="1:4" x14ac:dyDescent="0.2">
      <c r="A2923" s="10" t="s">
        <v>2922</v>
      </c>
      <c r="B2923" s="12">
        <v>14.64</v>
      </c>
      <c r="C2923" s="11">
        <v>0</v>
      </c>
      <c r="D2923" s="11">
        <v>0.35639426460147994</v>
      </c>
    </row>
    <row r="2924" spans="1:4" x14ac:dyDescent="0.2">
      <c r="A2924" s="10" t="s">
        <v>2923</v>
      </c>
      <c r="B2924" s="12">
        <v>15.18</v>
      </c>
      <c r="C2924" s="11">
        <v>0.17819713230073997</v>
      </c>
      <c r="D2924" s="11">
        <v>0</v>
      </c>
    </row>
    <row r="2925" spans="1:4" x14ac:dyDescent="0.2">
      <c r="A2925" s="10" t="s">
        <v>2924</v>
      </c>
      <c r="B2925" s="12">
        <v>12.99</v>
      </c>
      <c r="C2925" s="11">
        <v>0</v>
      </c>
      <c r="D2925" s="11">
        <v>1.9898679773582628</v>
      </c>
    </row>
    <row r="2926" spans="1:4" x14ac:dyDescent="0.2">
      <c r="A2926" s="10" t="s">
        <v>2925</v>
      </c>
      <c r="B2926" s="12">
        <v>13.92</v>
      </c>
      <c r="C2926" s="11">
        <v>0</v>
      </c>
      <c r="D2926" s="11">
        <v>1.06918279380444</v>
      </c>
    </row>
    <row r="2927" spans="1:4" x14ac:dyDescent="0.2">
      <c r="A2927" s="10" t="s">
        <v>2926</v>
      </c>
      <c r="B2927" s="12">
        <v>13.9</v>
      </c>
      <c r="C2927" s="11">
        <v>0</v>
      </c>
      <c r="D2927" s="11">
        <v>1.088982475171189</v>
      </c>
    </row>
    <row r="2928" spans="1:4" x14ac:dyDescent="0.2">
      <c r="A2928" s="10" t="s">
        <v>2927</v>
      </c>
      <c r="B2928" s="12">
        <v>18.489999999999998</v>
      </c>
      <c r="C2928" s="11">
        <v>3.4550443984976811</v>
      </c>
      <c r="D2928" s="11">
        <v>0</v>
      </c>
    </row>
    <row r="2929" spans="1:4" x14ac:dyDescent="0.2">
      <c r="A2929" s="10" t="s">
        <v>2928</v>
      </c>
      <c r="B2929" s="12">
        <v>14.9</v>
      </c>
      <c r="C2929" s="11">
        <v>0</v>
      </c>
      <c r="D2929" s="11">
        <v>9.8998406833744446E-2</v>
      </c>
    </row>
    <row r="2930" spans="1:4" x14ac:dyDescent="0.2">
      <c r="A2930" s="10" t="s">
        <v>2929</v>
      </c>
      <c r="B2930" s="12">
        <v>16.149999999999999</v>
      </c>
      <c r="C2930" s="11">
        <v>1.1384816785880609</v>
      </c>
      <c r="D2930" s="11">
        <v>0</v>
      </c>
    </row>
    <row r="2931" spans="1:4" x14ac:dyDescent="0.2">
      <c r="A2931" s="10" t="s">
        <v>2930</v>
      </c>
      <c r="B2931" s="12">
        <v>13.96</v>
      </c>
      <c r="C2931" s="11">
        <v>0</v>
      </c>
      <c r="D2931" s="11">
        <v>1.0295834310709422</v>
      </c>
    </row>
    <row r="2932" spans="1:4" x14ac:dyDescent="0.2">
      <c r="A2932" s="10" t="s">
        <v>2931</v>
      </c>
      <c r="B2932" s="12">
        <v>13.56</v>
      </c>
      <c r="C2932" s="11">
        <v>0</v>
      </c>
      <c r="D2932" s="11">
        <v>1.4255770584059198</v>
      </c>
    </row>
    <row r="2933" spans="1:4" x14ac:dyDescent="0.2">
      <c r="A2933" s="10" t="s">
        <v>2932</v>
      </c>
      <c r="B2933" s="12">
        <v>13.9</v>
      </c>
      <c r="C2933" s="11">
        <v>0</v>
      </c>
      <c r="D2933" s="11">
        <v>1.088982475171189</v>
      </c>
    </row>
    <row r="2934" spans="1:4" x14ac:dyDescent="0.2">
      <c r="A2934" s="10" t="s">
        <v>2933</v>
      </c>
      <c r="B2934" s="12">
        <v>13.42</v>
      </c>
      <c r="C2934" s="11">
        <v>0</v>
      </c>
      <c r="D2934" s="11">
        <v>1.5641748279731622</v>
      </c>
    </row>
    <row r="2935" spans="1:4" x14ac:dyDescent="0.2">
      <c r="A2935" s="10" t="s">
        <v>2934</v>
      </c>
      <c r="B2935" s="12">
        <v>15.14</v>
      </c>
      <c r="C2935" s="11">
        <v>0.13859776956724223</v>
      </c>
      <c r="D2935" s="11">
        <v>0</v>
      </c>
    </row>
    <row r="2936" spans="1:4" x14ac:dyDescent="0.2">
      <c r="A2936" s="10" t="s">
        <v>2935</v>
      </c>
      <c r="B2936" s="12">
        <v>12.74</v>
      </c>
      <c r="C2936" s="11">
        <v>0</v>
      </c>
      <c r="D2936" s="11">
        <v>2.237363994442624</v>
      </c>
    </row>
    <row r="2937" spans="1:4" x14ac:dyDescent="0.2">
      <c r="A2937" s="10" t="s">
        <v>2936</v>
      </c>
      <c r="B2937" s="12">
        <v>13.65</v>
      </c>
      <c r="C2937" s="11">
        <v>0</v>
      </c>
      <c r="D2937" s="11">
        <v>1.3364784922555499</v>
      </c>
    </row>
    <row r="2938" spans="1:4" x14ac:dyDescent="0.2">
      <c r="A2938" s="10" t="s">
        <v>2937</v>
      </c>
      <c r="B2938" s="12">
        <v>14.39</v>
      </c>
      <c r="C2938" s="11">
        <v>0</v>
      </c>
      <c r="D2938" s="11">
        <v>0.60389028168584102</v>
      </c>
    </row>
    <row r="2939" spans="1:4" x14ac:dyDescent="0.2">
      <c r="A2939" s="10" t="s">
        <v>2938</v>
      </c>
      <c r="B2939" s="12">
        <v>13.37</v>
      </c>
      <c r="C2939" s="11">
        <v>0</v>
      </c>
      <c r="D2939" s="11">
        <v>1.6136740313900342</v>
      </c>
    </row>
    <row r="2940" spans="1:4" x14ac:dyDescent="0.2">
      <c r="A2940" s="10" t="s">
        <v>2939</v>
      </c>
      <c r="B2940" s="12">
        <v>13.45</v>
      </c>
      <c r="C2940" s="11">
        <v>0</v>
      </c>
      <c r="D2940" s="11">
        <v>1.5344753059230387</v>
      </c>
    </row>
    <row r="2941" spans="1:4" x14ac:dyDescent="0.2">
      <c r="A2941" s="10" t="s">
        <v>2940</v>
      </c>
      <c r="B2941" s="12">
        <v>13.39</v>
      </c>
      <c r="C2941" s="11">
        <v>0</v>
      </c>
      <c r="D2941" s="11">
        <v>1.5938743500232855</v>
      </c>
    </row>
    <row r="2942" spans="1:4" x14ac:dyDescent="0.2">
      <c r="A2942" s="10" t="s">
        <v>2941</v>
      </c>
      <c r="B2942" s="12">
        <v>14.23</v>
      </c>
      <c r="C2942" s="11">
        <v>0</v>
      </c>
      <c r="D2942" s="11">
        <v>0.76228773261983218</v>
      </c>
    </row>
    <row r="2943" spans="1:4" x14ac:dyDescent="0.2">
      <c r="A2943" s="10" t="s">
        <v>2942</v>
      </c>
      <c r="B2943" s="12">
        <v>13.17</v>
      </c>
      <c r="C2943" s="11">
        <v>0</v>
      </c>
      <c r="D2943" s="11">
        <v>1.8116708450575232</v>
      </c>
    </row>
    <row r="2944" spans="1:4" x14ac:dyDescent="0.2">
      <c r="A2944" s="10" t="s">
        <v>2943</v>
      </c>
      <c r="B2944" s="12">
        <v>15.79</v>
      </c>
      <c r="C2944" s="11">
        <v>0.7820874139865811</v>
      </c>
      <c r="D2944" s="11">
        <v>0</v>
      </c>
    </row>
    <row r="2945" spans="1:4" x14ac:dyDescent="0.2">
      <c r="A2945" s="10" t="s">
        <v>2944</v>
      </c>
      <c r="B2945" s="12">
        <v>14.26</v>
      </c>
      <c r="C2945" s="11">
        <v>0</v>
      </c>
      <c r="D2945" s="11">
        <v>0.7325882105697088</v>
      </c>
    </row>
    <row r="2946" spans="1:4" x14ac:dyDescent="0.2">
      <c r="A2946" s="10" t="s">
        <v>2945</v>
      </c>
      <c r="B2946" s="12">
        <v>14.06</v>
      </c>
      <c r="C2946" s="11">
        <v>0</v>
      </c>
      <c r="D2946" s="11">
        <v>0.93058502423719758</v>
      </c>
    </row>
    <row r="2947" spans="1:4" x14ac:dyDescent="0.2">
      <c r="A2947" s="10" t="s">
        <v>2946</v>
      </c>
      <c r="B2947" s="12">
        <v>14.18</v>
      </c>
      <c r="C2947" s="11">
        <v>0</v>
      </c>
      <c r="D2947" s="11">
        <v>0.81178693603670427</v>
      </c>
    </row>
    <row r="2948" spans="1:4" x14ac:dyDescent="0.2">
      <c r="A2948" s="10" t="s">
        <v>2947</v>
      </c>
      <c r="B2948" s="12">
        <v>14.11</v>
      </c>
      <c r="C2948" s="11">
        <v>0</v>
      </c>
      <c r="D2948" s="11">
        <v>0.88108582082032549</v>
      </c>
    </row>
    <row r="2949" spans="1:4" x14ac:dyDescent="0.2">
      <c r="A2949" s="10" t="s">
        <v>2948</v>
      </c>
      <c r="B2949" s="12">
        <v>14.64</v>
      </c>
      <c r="C2949" s="11">
        <v>0</v>
      </c>
      <c r="D2949" s="11">
        <v>0.35639426460147994</v>
      </c>
    </row>
    <row r="2950" spans="1:4" x14ac:dyDescent="0.2">
      <c r="A2950" s="10" t="s">
        <v>2949</v>
      </c>
      <c r="B2950" s="12">
        <v>13.26</v>
      </c>
      <c r="C2950" s="11">
        <v>0</v>
      </c>
      <c r="D2950" s="11">
        <v>1.7225722789071531</v>
      </c>
    </row>
    <row r="2951" spans="1:4" x14ac:dyDescent="0.2">
      <c r="A2951" s="10" t="s">
        <v>2950</v>
      </c>
      <c r="B2951" s="12">
        <v>13.31</v>
      </c>
      <c r="C2951" s="11">
        <v>0</v>
      </c>
      <c r="D2951" s="11">
        <v>1.6730730754902809</v>
      </c>
    </row>
    <row r="2952" spans="1:4" x14ac:dyDescent="0.2">
      <c r="A2952" s="10" t="s">
        <v>2951</v>
      </c>
      <c r="B2952" s="12">
        <v>14.06</v>
      </c>
      <c r="C2952" s="11">
        <v>0</v>
      </c>
      <c r="D2952" s="11">
        <v>0.93058502423719758</v>
      </c>
    </row>
    <row r="2953" spans="1:4" x14ac:dyDescent="0.2">
      <c r="A2953" s="10" t="s">
        <v>2952</v>
      </c>
      <c r="B2953" s="12">
        <v>15.52</v>
      </c>
      <c r="C2953" s="11">
        <v>0.51479171553547109</v>
      </c>
      <c r="D2953" s="11">
        <v>0</v>
      </c>
    </row>
    <row r="2954" spans="1:4" x14ac:dyDescent="0.2">
      <c r="A2954" s="10" t="s">
        <v>2953</v>
      </c>
      <c r="B2954" s="12">
        <v>15.59</v>
      </c>
      <c r="C2954" s="11">
        <v>0.5840906003190921</v>
      </c>
      <c r="D2954" s="11">
        <v>0</v>
      </c>
    </row>
    <row r="2955" spans="1:4" x14ac:dyDescent="0.2">
      <c r="A2955" s="10" t="s">
        <v>2954</v>
      </c>
      <c r="B2955" s="12">
        <v>13.05</v>
      </c>
      <c r="C2955" s="11">
        <v>0</v>
      </c>
      <c r="D2955" s="11">
        <v>1.9304689332580165</v>
      </c>
    </row>
    <row r="2956" spans="1:4" x14ac:dyDescent="0.2">
      <c r="A2956" s="10" t="s">
        <v>2955</v>
      </c>
      <c r="B2956" s="12">
        <v>12.3</v>
      </c>
      <c r="C2956" s="11">
        <v>0</v>
      </c>
      <c r="D2956" s="11">
        <v>2.6729569845110999</v>
      </c>
    </row>
    <row r="2957" spans="1:4" x14ac:dyDescent="0.2">
      <c r="A2957" s="10" t="s">
        <v>2956</v>
      </c>
      <c r="B2957" s="12">
        <v>12.94</v>
      </c>
      <c r="C2957" s="11">
        <v>0</v>
      </c>
      <c r="D2957" s="11">
        <v>2.0393671807751352</v>
      </c>
    </row>
    <row r="2958" spans="1:4" x14ac:dyDescent="0.2">
      <c r="A2958" s="10" t="s">
        <v>2957</v>
      </c>
      <c r="B2958" s="12">
        <v>13.3</v>
      </c>
      <c r="C2958" s="11">
        <v>0</v>
      </c>
      <c r="D2958" s="11">
        <v>1.6829729161736553</v>
      </c>
    </row>
    <row r="2959" spans="1:4" x14ac:dyDescent="0.2">
      <c r="A2959" s="10" t="s">
        <v>2958</v>
      </c>
      <c r="B2959" s="12">
        <v>15.41</v>
      </c>
      <c r="C2959" s="11">
        <v>0.40589346801835213</v>
      </c>
      <c r="D2959" s="11">
        <v>0</v>
      </c>
    </row>
    <row r="2960" spans="1:4" x14ac:dyDescent="0.2">
      <c r="A2960" s="10" t="s">
        <v>2959</v>
      </c>
      <c r="B2960" s="12">
        <v>14.88</v>
      </c>
      <c r="C2960" s="11">
        <v>0</v>
      </c>
      <c r="D2960" s="11">
        <v>0.11879808820049331</v>
      </c>
    </row>
    <row r="2961" spans="1:4" x14ac:dyDescent="0.2">
      <c r="A2961" s="10" t="s">
        <v>2960</v>
      </c>
      <c r="B2961" s="12">
        <v>10.88</v>
      </c>
      <c r="C2961" s="11">
        <v>0</v>
      </c>
      <c r="D2961" s="11">
        <v>4.0787343615502705</v>
      </c>
    </row>
    <row r="2962" spans="1:4" x14ac:dyDescent="0.2">
      <c r="A2962" s="10" t="s">
        <v>2961</v>
      </c>
      <c r="B2962" s="12">
        <v>15.61</v>
      </c>
      <c r="C2962" s="11">
        <v>0.60389028168584102</v>
      </c>
      <c r="D2962" s="11">
        <v>0</v>
      </c>
    </row>
    <row r="2963" spans="1:4" x14ac:dyDescent="0.2">
      <c r="A2963" s="10" t="s">
        <v>2962</v>
      </c>
      <c r="B2963" s="12">
        <v>15.83</v>
      </c>
      <c r="C2963" s="11">
        <v>0.82168677672007873</v>
      </c>
      <c r="D2963" s="11">
        <v>0</v>
      </c>
    </row>
    <row r="2964" spans="1:4" x14ac:dyDescent="0.2">
      <c r="A2964" s="10" t="s">
        <v>2963</v>
      </c>
      <c r="B2964" s="12">
        <v>13.01</v>
      </c>
      <c r="C2964" s="11">
        <v>0</v>
      </c>
      <c r="D2964" s="11">
        <v>1.9700682959915143</v>
      </c>
    </row>
    <row r="2965" spans="1:4" x14ac:dyDescent="0.2">
      <c r="A2965" s="10" t="s">
        <v>2964</v>
      </c>
      <c r="B2965" s="12">
        <v>12.75</v>
      </c>
      <c r="C2965" s="11">
        <v>0</v>
      </c>
      <c r="D2965" s="11">
        <v>2.2274641537592497</v>
      </c>
    </row>
    <row r="2966" spans="1:4" x14ac:dyDescent="0.2">
      <c r="A2966" s="10" t="s">
        <v>2965</v>
      </c>
      <c r="B2966" s="12">
        <v>14.59</v>
      </c>
      <c r="C2966" s="11">
        <v>0</v>
      </c>
      <c r="D2966" s="11">
        <v>0.40589346801835213</v>
      </c>
    </row>
    <row r="2967" spans="1:4" x14ac:dyDescent="0.2">
      <c r="A2967" s="10" t="s">
        <v>2966</v>
      </c>
      <c r="B2967" s="12">
        <v>16.579999999999998</v>
      </c>
      <c r="C2967" s="11">
        <v>1.5641748279731622</v>
      </c>
      <c r="D2967" s="11">
        <v>0</v>
      </c>
    </row>
    <row r="2968" spans="1:4" x14ac:dyDescent="0.2">
      <c r="A2968" s="10" t="s">
        <v>2967</v>
      </c>
      <c r="B2968" s="12">
        <v>15.35</v>
      </c>
      <c r="C2968" s="11">
        <v>0.34649442391810548</v>
      </c>
      <c r="D2968" s="11">
        <v>0</v>
      </c>
    </row>
    <row r="2969" spans="1:4" x14ac:dyDescent="0.2">
      <c r="A2969" s="10" t="s">
        <v>2968</v>
      </c>
      <c r="B2969" s="12">
        <v>16.350000000000001</v>
      </c>
      <c r="C2969" s="11">
        <v>1.3364784922555499</v>
      </c>
      <c r="D2969" s="11">
        <v>0</v>
      </c>
    </row>
    <row r="2970" spans="1:4" x14ac:dyDescent="0.2">
      <c r="A2970" s="10" t="s">
        <v>2969</v>
      </c>
      <c r="B2970" s="12">
        <v>16.170000000000002</v>
      </c>
      <c r="C2970" s="11">
        <v>1.1582813599548099</v>
      </c>
      <c r="D2970" s="11">
        <v>0</v>
      </c>
    </row>
    <row r="2971" spans="1:4" x14ac:dyDescent="0.2">
      <c r="A2971" s="10" t="s">
        <v>2970</v>
      </c>
      <c r="B2971" s="12">
        <v>15.46</v>
      </c>
      <c r="C2971" s="11">
        <v>0.45539267143522444</v>
      </c>
      <c r="D2971" s="11">
        <v>0</v>
      </c>
    </row>
    <row r="2972" spans="1:4" x14ac:dyDescent="0.2">
      <c r="A2972" s="10" t="s">
        <v>2971</v>
      </c>
      <c r="B2972" s="12">
        <v>14.97</v>
      </c>
      <c r="C2972" s="11">
        <v>0</v>
      </c>
      <c r="D2972" s="11">
        <v>2.9699522050123328E-2</v>
      </c>
    </row>
    <row r="2973" spans="1:4" x14ac:dyDescent="0.2">
      <c r="A2973" s="10" t="s">
        <v>2972</v>
      </c>
      <c r="B2973" s="12">
        <v>15.58</v>
      </c>
      <c r="C2973" s="11">
        <v>0.57419075963571764</v>
      </c>
      <c r="D2973" s="11">
        <v>0</v>
      </c>
    </row>
    <row r="2974" spans="1:4" x14ac:dyDescent="0.2">
      <c r="A2974" s="10" t="s">
        <v>2973</v>
      </c>
      <c r="B2974" s="12">
        <v>14.23</v>
      </c>
      <c r="C2974" s="11">
        <v>0</v>
      </c>
      <c r="D2974" s="11">
        <v>0.76228773261983218</v>
      </c>
    </row>
    <row r="2975" spans="1:4" x14ac:dyDescent="0.2">
      <c r="A2975" s="10" t="s">
        <v>2974</v>
      </c>
      <c r="B2975" s="12">
        <v>13.08</v>
      </c>
      <c r="C2975" s="11">
        <v>0</v>
      </c>
      <c r="D2975" s="11">
        <v>1.900769411207893</v>
      </c>
    </row>
    <row r="2976" spans="1:4" x14ac:dyDescent="0.2">
      <c r="A2976" s="10" t="s">
        <v>2975</v>
      </c>
      <c r="B2976" s="12">
        <v>14.99</v>
      </c>
      <c r="C2976" s="11">
        <v>0</v>
      </c>
      <c r="D2976" s="11">
        <v>9.8998406833744439E-3</v>
      </c>
    </row>
    <row r="2977" spans="1:4" x14ac:dyDescent="0.2">
      <c r="A2977" s="10" t="s">
        <v>2976</v>
      </c>
      <c r="B2977" s="12">
        <v>15.94</v>
      </c>
      <c r="C2977" s="11">
        <v>0.93058502423719758</v>
      </c>
      <c r="D2977" s="11">
        <v>0</v>
      </c>
    </row>
    <row r="2978" spans="1:4" x14ac:dyDescent="0.2">
      <c r="A2978" s="10" t="s">
        <v>2977</v>
      </c>
      <c r="B2978" s="12">
        <v>12.94</v>
      </c>
      <c r="C2978" s="11">
        <v>0</v>
      </c>
      <c r="D2978" s="11">
        <v>2.0393671807751352</v>
      </c>
    </row>
    <row r="2979" spans="1:4" x14ac:dyDescent="0.2">
      <c r="A2979" s="10" t="s">
        <v>2978</v>
      </c>
      <c r="B2979" s="12">
        <v>14.34</v>
      </c>
      <c r="C2979" s="11">
        <v>0</v>
      </c>
      <c r="D2979" s="11">
        <v>0.65338948510271333</v>
      </c>
    </row>
    <row r="2980" spans="1:4" x14ac:dyDescent="0.2">
      <c r="A2980" s="10" t="s">
        <v>2979</v>
      </c>
      <c r="B2980" s="12">
        <v>15.39</v>
      </c>
      <c r="C2980" s="11">
        <v>0.38609378665160332</v>
      </c>
      <c r="D2980" s="11">
        <v>0</v>
      </c>
    </row>
    <row r="2981" spans="1:4" x14ac:dyDescent="0.2">
      <c r="A2981" s="10" t="s">
        <v>2980</v>
      </c>
      <c r="B2981" s="12">
        <v>13.66</v>
      </c>
      <c r="C2981" s="11">
        <v>0</v>
      </c>
      <c r="D2981" s="11">
        <v>1.3265786515721756</v>
      </c>
    </row>
    <row r="2982" spans="1:4" x14ac:dyDescent="0.2">
      <c r="A2982" s="10" t="s">
        <v>2981</v>
      </c>
      <c r="B2982" s="12">
        <v>13.89</v>
      </c>
      <c r="C2982" s="11">
        <v>0</v>
      </c>
      <c r="D2982" s="11">
        <v>1.0988823158545633</v>
      </c>
    </row>
    <row r="2983" spans="1:4" x14ac:dyDescent="0.2">
      <c r="A2983" s="10" t="s">
        <v>2982</v>
      </c>
      <c r="B2983" s="12">
        <v>15.17</v>
      </c>
      <c r="C2983" s="11">
        <v>0.16829729161736556</v>
      </c>
      <c r="D2983" s="11">
        <v>0</v>
      </c>
    </row>
    <row r="2984" spans="1:4" x14ac:dyDescent="0.2">
      <c r="A2984" s="10" t="s">
        <v>2983</v>
      </c>
      <c r="B2984" s="12">
        <v>14.4</v>
      </c>
      <c r="C2984" s="11">
        <v>0</v>
      </c>
      <c r="D2984" s="11">
        <v>0.59399044100246656</v>
      </c>
    </row>
    <row r="2985" spans="1:4" x14ac:dyDescent="0.2">
      <c r="A2985" s="10" t="s">
        <v>2984</v>
      </c>
      <c r="B2985" s="12">
        <v>14.64</v>
      </c>
      <c r="C2985" s="11">
        <v>0</v>
      </c>
      <c r="D2985" s="11">
        <v>0.35639426460147994</v>
      </c>
    </row>
    <row r="2986" spans="1:4" x14ac:dyDescent="0.2">
      <c r="A2986" s="10" t="s">
        <v>2985</v>
      </c>
      <c r="B2986" s="12">
        <v>14.47</v>
      </c>
      <c r="C2986" s="11">
        <v>0</v>
      </c>
      <c r="D2986" s="11">
        <v>0.52469155621884556</v>
      </c>
    </row>
    <row r="2987" spans="1:4" x14ac:dyDescent="0.2">
      <c r="A2987" s="10" t="s">
        <v>2986</v>
      </c>
      <c r="B2987" s="12">
        <v>13.87</v>
      </c>
      <c r="C2987" s="11">
        <v>0</v>
      </c>
      <c r="D2987" s="11">
        <v>1.118681997221312</v>
      </c>
    </row>
    <row r="2988" spans="1:4" x14ac:dyDescent="0.2">
      <c r="A2988" s="10" t="s">
        <v>2987</v>
      </c>
      <c r="B2988" s="12">
        <v>14.55</v>
      </c>
      <c r="C2988" s="11">
        <v>0</v>
      </c>
      <c r="D2988" s="11">
        <v>0.44549283075184998</v>
      </c>
    </row>
    <row r="2989" spans="1:4" x14ac:dyDescent="0.2">
      <c r="A2989" s="10" t="s">
        <v>2988</v>
      </c>
      <c r="B2989" s="12">
        <v>13.05</v>
      </c>
      <c r="C2989" s="11">
        <v>0</v>
      </c>
      <c r="D2989" s="11">
        <v>1.9304689332580165</v>
      </c>
    </row>
    <row r="2990" spans="1:4" x14ac:dyDescent="0.2">
      <c r="A2990" s="10" t="s">
        <v>2989</v>
      </c>
      <c r="B2990" s="12">
        <v>14.23</v>
      </c>
      <c r="C2990" s="11">
        <v>0</v>
      </c>
      <c r="D2990" s="11">
        <v>0.76228773261983218</v>
      </c>
    </row>
    <row r="2991" spans="1:4" x14ac:dyDescent="0.2">
      <c r="A2991" s="10" t="s">
        <v>2990</v>
      </c>
      <c r="B2991" s="12">
        <v>14.99</v>
      </c>
      <c r="C2991" s="11">
        <v>0</v>
      </c>
      <c r="D2991" s="11">
        <v>9.8998406833744439E-3</v>
      </c>
    </row>
    <row r="2992" spans="1:4" x14ac:dyDescent="0.2">
      <c r="A2992" s="10" t="s">
        <v>2991</v>
      </c>
      <c r="B2992" s="12">
        <v>12.1</v>
      </c>
      <c r="C2992" s="11">
        <v>0</v>
      </c>
      <c r="D2992" s="11">
        <v>2.8709537981785886</v>
      </c>
    </row>
    <row r="2993" spans="1:4" x14ac:dyDescent="0.2">
      <c r="A2993" s="10" t="s">
        <v>2992</v>
      </c>
      <c r="B2993" s="12">
        <v>13.61</v>
      </c>
      <c r="C2993" s="11">
        <v>0</v>
      </c>
      <c r="D2993" s="11">
        <v>1.3760778549890476</v>
      </c>
    </row>
    <row r="2994" spans="1:4" x14ac:dyDescent="0.2">
      <c r="A2994" s="10" t="s">
        <v>2993</v>
      </c>
      <c r="B2994" s="12">
        <v>15.35</v>
      </c>
      <c r="C2994" s="11">
        <v>0.34649442391810548</v>
      </c>
      <c r="D2994" s="11">
        <v>0</v>
      </c>
    </row>
    <row r="2995" spans="1:4" x14ac:dyDescent="0.2">
      <c r="A2995" s="10" t="s">
        <v>2994</v>
      </c>
      <c r="B2995" s="12">
        <v>14.66</v>
      </c>
      <c r="C2995" s="11">
        <v>0</v>
      </c>
      <c r="D2995" s="11">
        <v>0.33659458323473113</v>
      </c>
    </row>
    <row r="2996" spans="1:4" x14ac:dyDescent="0.2">
      <c r="A2996" s="10" t="s">
        <v>2995</v>
      </c>
      <c r="B2996" s="12">
        <v>15.26</v>
      </c>
      <c r="C2996" s="11">
        <v>0.25739585776773555</v>
      </c>
      <c r="D2996" s="11">
        <v>0</v>
      </c>
    </row>
    <row r="2997" spans="1:4" x14ac:dyDescent="0.2">
      <c r="A2997" s="10" t="s">
        <v>2996</v>
      </c>
      <c r="B2997" s="12">
        <v>11.94</v>
      </c>
      <c r="C2997" s="11">
        <v>0</v>
      </c>
      <c r="D2997" s="11">
        <v>3.0293512491125796</v>
      </c>
    </row>
    <row r="2998" spans="1:4" x14ac:dyDescent="0.2">
      <c r="A2998" s="10" t="s">
        <v>2997</v>
      </c>
      <c r="B2998" s="12">
        <v>13.3</v>
      </c>
      <c r="C2998" s="11">
        <v>0</v>
      </c>
      <c r="D2998" s="11">
        <v>1.6829729161736553</v>
      </c>
    </row>
    <row r="2999" spans="1:4" x14ac:dyDescent="0.2">
      <c r="A2999" s="10" t="s">
        <v>2998</v>
      </c>
      <c r="B2999" s="12">
        <v>14.88</v>
      </c>
      <c r="C2999" s="11">
        <v>0</v>
      </c>
      <c r="D2999" s="11">
        <v>0.11879808820049331</v>
      </c>
    </row>
    <row r="3000" spans="1:4" x14ac:dyDescent="0.2">
      <c r="A3000" s="10" t="s">
        <v>2999</v>
      </c>
      <c r="B3000" s="12">
        <v>15.5</v>
      </c>
      <c r="C3000" s="11">
        <v>0.49499203416872217</v>
      </c>
      <c r="D3000" s="11">
        <v>0</v>
      </c>
    </row>
    <row r="3001" spans="1:4" x14ac:dyDescent="0.2">
      <c r="A3001" s="10" t="s">
        <v>3000</v>
      </c>
      <c r="B3001" s="12">
        <v>14.74</v>
      </c>
      <c r="C3001" s="11">
        <v>0</v>
      </c>
      <c r="D3001" s="11">
        <v>0.25739585776773555</v>
      </c>
    </row>
    <row r="3002" spans="1:4" x14ac:dyDescent="0.2">
      <c r="A3002" s="10" t="s">
        <v>3001</v>
      </c>
      <c r="B3002" s="12">
        <v>13.58</v>
      </c>
      <c r="C3002" s="11">
        <v>0</v>
      </c>
      <c r="D3002" s="11">
        <v>1.4057773770391708</v>
      </c>
    </row>
    <row r="3003" spans="1:4" x14ac:dyDescent="0.2">
      <c r="A3003" s="10" t="s">
        <v>3002</v>
      </c>
      <c r="B3003" s="12">
        <v>14.97</v>
      </c>
      <c r="C3003" s="11">
        <v>0</v>
      </c>
      <c r="D3003" s="11">
        <v>2.9699522050123328E-2</v>
      </c>
    </row>
    <row r="3004" spans="1:4" x14ac:dyDescent="0.2">
      <c r="A3004" s="10" t="s">
        <v>3003</v>
      </c>
      <c r="B3004" s="12">
        <v>13.42</v>
      </c>
      <c r="C3004" s="11">
        <v>0</v>
      </c>
      <c r="D3004" s="11">
        <v>1.5641748279731622</v>
      </c>
    </row>
    <row r="3005" spans="1:4" x14ac:dyDescent="0.2">
      <c r="A3005" s="10" t="s">
        <v>3004</v>
      </c>
      <c r="B3005" s="12">
        <v>15.95</v>
      </c>
      <c r="C3005" s="11">
        <v>0.94048486492057204</v>
      </c>
      <c r="D3005" s="11">
        <v>0</v>
      </c>
    </row>
    <row r="3006" spans="1:4" x14ac:dyDescent="0.2">
      <c r="A3006" s="10" t="s">
        <v>3005</v>
      </c>
      <c r="B3006" s="12">
        <v>14.97</v>
      </c>
      <c r="C3006" s="11">
        <v>0</v>
      </c>
      <c r="D3006" s="11">
        <v>2.9699522050123328E-2</v>
      </c>
    </row>
    <row r="3007" spans="1:4" x14ac:dyDescent="0.2">
      <c r="A3007" s="10" t="s">
        <v>3006</v>
      </c>
      <c r="B3007" s="12">
        <v>14.52</v>
      </c>
      <c r="C3007" s="11">
        <v>0</v>
      </c>
      <c r="D3007" s="11">
        <v>0.47519235280197325</v>
      </c>
    </row>
    <row r="3008" spans="1:4" x14ac:dyDescent="0.2">
      <c r="A3008" s="10" t="s">
        <v>3007</v>
      </c>
      <c r="B3008" s="12">
        <v>13.93</v>
      </c>
      <c r="C3008" s="11">
        <v>0</v>
      </c>
      <c r="D3008" s="11">
        <v>1.0592829531210655</v>
      </c>
    </row>
    <row r="3009" spans="1:4" x14ac:dyDescent="0.2">
      <c r="A3009" s="10" t="s">
        <v>3008</v>
      </c>
      <c r="B3009" s="12">
        <v>13.78</v>
      </c>
      <c r="C3009" s="11">
        <v>0</v>
      </c>
      <c r="D3009" s="11">
        <v>1.207780563371682</v>
      </c>
    </row>
    <row r="3010" spans="1:4" x14ac:dyDescent="0.2">
      <c r="A3010" s="10" t="s">
        <v>3009</v>
      </c>
      <c r="B3010" s="12">
        <v>15.19</v>
      </c>
      <c r="C3010" s="11">
        <v>0.18809697298411443</v>
      </c>
      <c r="D3010" s="11">
        <v>0</v>
      </c>
    </row>
    <row r="3011" spans="1:4" x14ac:dyDescent="0.2">
      <c r="A3011" s="10" t="s">
        <v>3010</v>
      </c>
      <c r="B3011" s="12">
        <v>15.07</v>
      </c>
      <c r="C3011" s="11">
        <v>6.9298884783621117E-2</v>
      </c>
      <c r="D3011" s="11">
        <v>0</v>
      </c>
    </row>
    <row r="3012" spans="1:4" x14ac:dyDescent="0.2">
      <c r="A3012" s="10" t="s">
        <v>3011</v>
      </c>
      <c r="B3012" s="12">
        <v>15.95</v>
      </c>
      <c r="C3012" s="11">
        <v>0.94048486492057204</v>
      </c>
      <c r="D3012" s="11">
        <v>0</v>
      </c>
    </row>
    <row r="3013" spans="1:4" x14ac:dyDescent="0.2">
      <c r="A3013" s="10" t="s">
        <v>3012</v>
      </c>
      <c r="B3013" s="12">
        <v>12.21</v>
      </c>
      <c r="C3013" s="11">
        <v>0</v>
      </c>
      <c r="D3013" s="11">
        <v>2.7620555506614699</v>
      </c>
    </row>
    <row r="3014" spans="1:4" x14ac:dyDescent="0.2">
      <c r="A3014" s="10" t="s">
        <v>3013</v>
      </c>
      <c r="B3014" s="12">
        <v>14.65</v>
      </c>
      <c r="C3014" s="11">
        <v>0</v>
      </c>
      <c r="D3014" s="11">
        <v>0.34649442391810548</v>
      </c>
    </row>
    <row r="3015" spans="1:4" x14ac:dyDescent="0.2">
      <c r="A3015" s="10" t="s">
        <v>3014</v>
      </c>
      <c r="B3015" s="12">
        <v>12.95</v>
      </c>
      <c r="C3015" s="11">
        <v>0</v>
      </c>
      <c r="D3015" s="11">
        <v>2.0294673400917609</v>
      </c>
    </row>
    <row r="3016" spans="1:4" x14ac:dyDescent="0.2">
      <c r="A3016" s="10" t="s">
        <v>3015</v>
      </c>
      <c r="B3016" s="12">
        <v>16.37</v>
      </c>
      <c r="C3016" s="11">
        <v>1.3562781736222989</v>
      </c>
      <c r="D3016" s="11">
        <v>0</v>
      </c>
    </row>
    <row r="3017" spans="1:4" x14ac:dyDescent="0.2">
      <c r="A3017" s="10" t="s">
        <v>3016</v>
      </c>
      <c r="B3017" s="12">
        <v>13.58</v>
      </c>
      <c r="C3017" s="11">
        <v>0</v>
      </c>
      <c r="D3017" s="11">
        <v>1.4057773770391708</v>
      </c>
    </row>
    <row r="3018" spans="1:4" x14ac:dyDescent="0.2">
      <c r="A3018" s="10" t="s">
        <v>3017</v>
      </c>
      <c r="B3018" s="12">
        <v>13.53</v>
      </c>
      <c r="C3018" s="11">
        <v>0</v>
      </c>
      <c r="D3018" s="11">
        <v>1.4552765804560432</v>
      </c>
    </row>
    <row r="3019" spans="1:4" x14ac:dyDescent="0.2">
      <c r="A3019" s="10" t="s">
        <v>3018</v>
      </c>
      <c r="B3019" s="12">
        <v>14.63</v>
      </c>
      <c r="C3019" s="11">
        <v>0</v>
      </c>
      <c r="D3019" s="11">
        <v>0.3662941052848544</v>
      </c>
    </row>
    <row r="3020" spans="1:4" x14ac:dyDescent="0.2">
      <c r="A3020" s="10" t="s">
        <v>3019</v>
      </c>
      <c r="B3020" s="12">
        <v>13.13</v>
      </c>
      <c r="C3020" s="11">
        <v>0</v>
      </c>
      <c r="D3020" s="11">
        <v>1.851270207791021</v>
      </c>
    </row>
    <row r="3021" spans="1:4" x14ac:dyDescent="0.2">
      <c r="A3021" s="10" t="s">
        <v>3020</v>
      </c>
      <c r="B3021" s="12">
        <v>15.45</v>
      </c>
      <c r="C3021" s="11">
        <v>0.44549283075184998</v>
      </c>
      <c r="D3021" s="11">
        <v>0</v>
      </c>
    </row>
    <row r="3022" spans="1:4" x14ac:dyDescent="0.2">
      <c r="A3022" s="10" t="s">
        <v>3021</v>
      </c>
      <c r="B3022" s="12">
        <v>14.21</v>
      </c>
      <c r="C3022" s="11">
        <v>0</v>
      </c>
      <c r="D3022" s="11">
        <v>0.7820874139865811</v>
      </c>
    </row>
    <row r="3023" spans="1:4" x14ac:dyDescent="0.2">
      <c r="A3023" s="10" t="s">
        <v>3022</v>
      </c>
      <c r="B3023" s="12">
        <v>13.31</v>
      </c>
      <c r="C3023" s="11">
        <v>0</v>
      </c>
      <c r="D3023" s="11">
        <v>1.6730730754902809</v>
      </c>
    </row>
    <row r="3024" spans="1:4" x14ac:dyDescent="0.2">
      <c r="A3024" s="10" t="s">
        <v>3023</v>
      </c>
      <c r="B3024" s="12">
        <v>13.16</v>
      </c>
      <c r="C3024" s="11">
        <v>0</v>
      </c>
      <c r="D3024" s="11">
        <v>1.8215706857408978</v>
      </c>
    </row>
    <row r="3025" spans="1:4" x14ac:dyDescent="0.2">
      <c r="A3025" s="10" t="s">
        <v>3024</v>
      </c>
      <c r="B3025" s="12">
        <v>14.8</v>
      </c>
      <c r="C3025" s="11">
        <v>0</v>
      </c>
      <c r="D3025" s="11">
        <v>0.19799681366748889</v>
      </c>
    </row>
    <row r="3026" spans="1:4" x14ac:dyDescent="0.2">
      <c r="A3026" s="10" t="s">
        <v>3025</v>
      </c>
      <c r="B3026" s="12">
        <v>14.17</v>
      </c>
      <c r="C3026" s="11">
        <v>0</v>
      </c>
      <c r="D3026" s="11">
        <v>0.82168677672007873</v>
      </c>
    </row>
    <row r="3027" spans="1:4" x14ac:dyDescent="0.2">
      <c r="A3027" s="10" t="s">
        <v>3026</v>
      </c>
      <c r="B3027" s="12">
        <v>14.94</v>
      </c>
      <c r="C3027" s="11">
        <v>0</v>
      </c>
      <c r="D3027" s="11">
        <v>5.9399044100246656E-2</v>
      </c>
    </row>
    <row r="3028" spans="1:4" x14ac:dyDescent="0.2">
      <c r="A3028" s="10" t="s">
        <v>3027</v>
      </c>
      <c r="B3028" s="12">
        <v>14.01</v>
      </c>
      <c r="C3028" s="11">
        <v>0</v>
      </c>
      <c r="D3028" s="11">
        <v>0.98008422765406988</v>
      </c>
    </row>
    <row r="3029" spans="1:4" x14ac:dyDescent="0.2">
      <c r="A3029" s="10" t="s">
        <v>3028</v>
      </c>
      <c r="B3029" s="12">
        <v>11.89</v>
      </c>
      <c r="C3029" s="11">
        <v>0</v>
      </c>
      <c r="D3029" s="11">
        <v>3.0788504525294518</v>
      </c>
    </row>
    <row r="3030" spans="1:4" x14ac:dyDescent="0.2">
      <c r="A3030" s="10" t="s">
        <v>3029</v>
      </c>
      <c r="B3030" s="12">
        <v>12.7</v>
      </c>
      <c r="C3030" s="11">
        <v>0</v>
      </c>
      <c r="D3030" s="11">
        <v>2.2769633571761219</v>
      </c>
    </row>
    <row r="3031" spans="1:4" x14ac:dyDescent="0.2">
      <c r="A3031" s="10" t="s">
        <v>3030</v>
      </c>
      <c r="B3031" s="12">
        <v>12.22</v>
      </c>
      <c r="C3031" s="11">
        <v>0</v>
      </c>
      <c r="D3031" s="11">
        <v>2.7521557099780951</v>
      </c>
    </row>
    <row r="3032" spans="1:4" x14ac:dyDescent="0.2">
      <c r="A3032" s="10" t="s">
        <v>3031</v>
      </c>
      <c r="B3032" s="12">
        <v>14.74</v>
      </c>
      <c r="C3032" s="11">
        <v>0</v>
      </c>
      <c r="D3032" s="11">
        <v>0.25739585776773555</v>
      </c>
    </row>
    <row r="3033" spans="1:4" x14ac:dyDescent="0.2">
      <c r="A3033" s="10" t="s">
        <v>3032</v>
      </c>
      <c r="B3033" s="12">
        <v>14.64</v>
      </c>
      <c r="C3033" s="11">
        <v>0</v>
      </c>
      <c r="D3033" s="11">
        <v>0.35639426460147994</v>
      </c>
    </row>
    <row r="3034" spans="1:4" x14ac:dyDescent="0.2">
      <c r="A3034" s="10" t="s">
        <v>3033</v>
      </c>
      <c r="B3034" s="12">
        <v>12.15</v>
      </c>
      <c r="C3034" s="11">
        <v>0</v>
      </c>
      <c r="D3034" s="11">
        <v>2.8214545947617165</v>
      </c>
    </row>
    <row r="3035" spans="1:4" x14ac:dyDescent="0.2">
      <c r="A3035" s="10" t="s">
        <v>3034</v>
      </c>
      <c r="B3035" s="12">
        <v>12.08</v>
      </c>
      <c r="C3035" s="11">
        <v>0</v>
      </c>
      <c r="D3035" s="11">
        <v>2.8907534795453373</v>
      </c>
    </row>
    <row r="3036" spans="1:4" x14ac:dyDescent="0.2">
      <c r="A3036" s="10" t="s">
        <v>3035</v>
      </c>
      <c r="B3036" s="12">
        <v>15.59</v>
      </c>
      <c r="C3036" s="11">
        <v>0.5840906003190921</v>
      </c>
      <c r="D3036" s="11">
        <v>0</v>
      </c>
    </row>
    <row r="3037" spans="1:4" x14ac:dyDescent="0.2">
      <c r="A3037" s="10" t="s">
        <v>3036</v>
      </c>
      <c r="B3037" s="12">
        <v>12.57</v>
      </c>
      <c r="C3037" s="11">
        <v>0</v>
      </c>
      <c r="D3037" s="11">
        <v>2.4056612860599897</v>
      </c>
    </row>
    <row r="3038" spans="1:4" x14ac:dyDescent="0.2">
      <c r="A3038" s="10" t="s">
        <v>3037</v>
      </c>
      <c r="B3038" s="12">
        <v>14.3</v>
      </c>
      <c r="C3038" s="11">
        <v>0</v>
      </c>
      <c r="D3038" s="11">
        <v>0.69298884783621095</v>
      </c>
    </row>
    <row r="3039" spans="1:4" x14ac:dyDescent="0.2">
      <c r="A3039" s="10" t="s">
        <v>3038</v>
      </c>
      <c r="B3039" s="12">
        <v>14.78</v>
      </c>
      <c r="C3039" s="11">
        <v>0</v>
      </c>
      <c r="D3039" s="11">
        <v>0.21779649503423776</v>
      </c>
    </row>
    <row r="3040" spans="1:4" x14ac:dyDescent="0.2">
      <c r="A3040" s="10" t="s">
        <v>3039</v>
      </c>
      <c r="B3040" s="12">
        <v>14.99</v>
      </c>
      <c r="C3040" s="11">
        <v>0</v>
      </c>
      <c r="D3040" s="11">
        <v>9.8998406833744439E-3</v>
      </c>
    </row>
    <row r="3041" spans="1:4" x14ac:dyDescent="0.2">
      <c r="A3041" s="10" t="s">
        <v>3040</v>
      </c>
      <c r="B3041" s="12">
        <v>12.4</v>
      </c>
      <c r="C3041" s="11">
        <v>0</v>
      </c>
      <c r="D3041" s="11">
        <v>2.5739585776773555</v>
      </c>
    </row>
    <row r="3042" spans="1:4" x14ac:dyDescent="0.2">
      <c r="A3042" s="10" t="s">
        <v>3041</v>
      </c>
      <c r="B3042" s="12">
        <v>12.28</v>
      </c>
      <c r="C3042" s="11">
        <v>0</v>
      </c>
      <c r="D3042" s="11">
        <v>2.692756665877849</v>
      </c>
    </row>
    <row r="3043" spans="1:4" x14ac:dyDescent="0.2">
      <c r="A3043" s="10" t="s">
        <v>3042</v>
      </c>
      <c r="B3043" s="12">
        <v>12.77</v>
      </c>
      <c r="C3043" s="11">
        <v>0</v>
      </c>
      <c r="D3043" s="11">
        <v>2.207664472392501</v>
      </c>
    </row>
    <row r="3044" spans="1:4" x14ac:dyDescent="0.2">
      <c r="A3044" s="10" t="s">
        <v>3043</v>
      </c>
      <c r="B3044" s="12">
        <v>15.2</v>
      </c>
      <c r="C3044" s="11">
        <v>0.19799681366748889</v>
      </c>
      <c r="D3044" s="11">
        <v>0</v>
      </c>
    </row>
    <row r="3045" spans="1:4" x14ac:dyDescent="0.2">
      <c r="A3045" s="10" t="s">
        <v>3044</v>
      </c>
      <c r="B3045" s="12">
        <v>13.12</v>
      </c>
      <c r="C3045" s="11">
        <v>0</v>
      </c>
      <c r="D3045" s="11">
        <v>1.8611700484743952</v>
      </c>
    </row>
    <row r="3046" spans="1:4" x14ac:dyDescent="0.2">
      <c r="A3046" s="10" t="s">
        <v>3045</v>
      </c>
      <c r="B3046" s="12">
        <v>14.53</v>
      </c>
      <c r="C3046" s="11">
        <v>0</v>
      </c>
      <c r="D3046" s="11">
        <v>0.46529251211859879</v>
      </c>
    </row>
    <row r="3047" spans="1:4" x14ac:dyDescent="0.2">
      <c r="A3047" s="10" t="s">
        <v>3046</v>
      </c>
      <c r="B3047" s="12">
        <v>13.61</v>
      </c>
      <c r="C3047" s="11">
        <v>0</v>
      </c>
      <c r="D3047" s="11">
        <v>1.3760778549890476</v>
      </c>
    </row>
    <row r="3048" spans="1:4" x14ac:dyDescent="0.2">
      <c r="A3048" s="10" t="s">
        <v>3047</v>
      </c>
      <c r="B3048" s="12">
        <v>12.78</v>
      </c>
      <c r="C3048" s="11">
        <v>0</v>
      </c>
      <c r="D3048" s="11">
        <v>2.1977646317091266</v>
      </c>
    </row>
    <row r="3049" spans="1:4" x14ac:dyDescent="0.2">
      <c r="A3049" s="10" t="s">
        <v>3048</v>
      </c>
      <c r="B3049" s="12">
        <v>13.74</v>
      </c>
      <c r="C3049" s="11">
        <v>0</v>
      </c>
      <c r="D3049" s="11">
        <v>1.2473799261051799</v>
      </c>
    </row>
    <row r="3050" spans="1:4" x14ac:dyDescent="0.2">
      <c r="A3050" s="10" t="s">
        <v>3049</v>
      </c>
      <c r="B3050" s="12">
        <v>13.68</v>
      </c>
      <c r="C3050" s="11">
        <v>0</v>
      </c>
      <c r="D3050" s="11">
        <v>1.3067789702054267</v>
      </c>
    </row>
    <row r="3051" spans="1:4" x14ac:dyDescent="0.2">
      <c r="A3051" s="10" t="s">
        <v>3050</v>
      </c>
      <c r="B3051" s="12">
        <v>15.38</v>
      </c>
      <c r="C3051" s="11">
        <v>0.37619394596822886</v>
      </c>
      <c r="D3051" s="11">
        <v>0</v>
      </c>
    </row>
    <row r="3052" spans="1:4" x14ac:dyDescent="0.2">
      <c r="A3052" s="10" t="s">
        <v>3051</v>
      </c>
      <c r="B3052" s="12">
        <v>15.49</v>
      </c>
      <c r="C3052" s="11">
        <v>0.48509219348534771</v>
      </c>
      <c r="D3052" s="11">
        <v>0</v>
      </c>
    </row>
    <row r="3053" spans="1:4" x14ac:dyDescent="0.2">
      <c r="A3053" s="10" t="s">
        <v>3052</v>
      </c>
      <c r="B3053" s="12">
        <v>14.44</v>
      </c>
      <c r="C3053" s="11">
        <v>0</v>
      </c>
      <c r="D3053" s="11">
        <v>0.55439107826896894</v>
      </c>
    </row>
    <row r="3054" spans="1:4" x14ac:dyDescent="0.2">
      <c r="A3054" s="10" t="s">
        <v>3053</v>
      </c>
      <c r="B3054" s="12">
        <v>13.49</v>
      </c>
      <c r="C3054" s="11">
        <v>0</v>
      </c>
      <c r="D3054" s="11">
        <v>1.4948759431895409</v>
      </c>
    </row>
    <row r="3055" spans="1:4" x14ac:dyDescent="0.2">
      <c r="A3055" s="10" t="s">
        <v>3054</v>
      </c>
      <c r="B3055" s="12">
        <v>13.91</v>
      </c>
      <c r="C3055" s="11">
        <v>0</v>
      </c>
      <c r="D3055" s="11">
        <v>1.0790826344878144</v>
      </c>
    </row>
    <row r="3056" spans="1:4" x14ac:dyDescent="0.2">
      <c r="A3056" s="10" t="s">
        <v>3055</v>
      </c>
      <c r="B3056" s="12">
        <v>13.45</v>
      </c>
      <c r="C3056" s="11">
        <v>0</v>
      </c>
      <c r="D3056" s="11">
        <v>1.5344753059230387</v>
      </c>
    </row>
    <row r="3057" spans="1:4" x14ac:dyDescent="0.2">
      <c r="A3057" s="10" t="s">
        <v>3056</v>
      </c>
      <c r="B3057" s="12">
        <v>15.06</v>
      </c>
      <c r="C3057" s="11">
        <v>5.9399044100246656E-2</v>
      </c>
      <c r="D3057" s="11">
        <v>0</v>
      </c>
    </row>
    <row r="3058" spans="1:4" x14ac:dyDescent="0.2">
      <c r="A3058" s="10" t="s">
        <v>3057</v>
      </c>
      <c r="B3058" s="12">
        <v>14.5</v>
      </c>
      <c r="C3058" s="11">
        <v>0</v>
      </c>
      <c r="D3058" s="11">
        <v>0.49499203416872217</v>
      </c>
    </row>
    <row r="3059" spans="1:4" x14ac:dyDescent="0.2">
      <c r="A3059" s="10" t="s">
        <v>3058</v>
      </c>
      <c r="B3059" s="12">
        <v>12.73</v>
      </c>
      <c r="C3059" s="11">
        <v>0</v>
      </c>
      <c r="D3059" s="11">
        <v>2.2472638351259988</v>
      </c>
    </row>
    <row r="3060" spans="1:4" x14ac:dyDescent="0.2">
      <c r="A3060" s="10" t="s">
        <v>3059</v>
      </c>
      <c r="B3060" s="12">
        <v>13</v>
      </c>
      <c r="C3060" s="11">
        <v>0</v>
      </c>
      <c r="D3060" s="11">
        <v>1.9799681366748887</v>
      </c>
    </row>
    <row r="3061" spans="1:4" x14ac:dyDescent="0.2">
      <c r="A3061" s="10" t="s">
        <v>3060</v>
      </c>
      <c r="B3061" s="12">
        <v>16.559999999999999</v>
      </c>
      <c r="C3061" s="11">
        <v>1.5443751466064133</v>
      </c>
      <c r="D3061" s="11">
        <v>0</v>
      </c>
    </row>
    <row r="3062" spans="1:4" x14ac:dyDescent="0.2">
      <c r="A3062" s="10" t="s">
        <v>3061</v>
      </c>
      <c r="B3062" s="12">
        <v>15.74</v>
      </c>
      <c r="C3062" s="11">
        <v>0.7325882105697088</v>
      </c>
      <c r="D3062" s="11">
        <v>0</v>
      </c>
    </row>
    <row r="3063" spans="1:4" x14ac:dyDescent="0.2">
      <c r="A3063" s="10" t="s">
        <v>3062</v>
      </c>
      <c r="B3063" s="12">
        <v>14.57</v>
      </c>
      <c r="C3063" s="11">
        <v>0</v>
      </c>
      <c r="D3063" s="11">
        <v>0.42569314938510106</v>
      </c>
    </row>
    <row r="3064" spans="1:4" x14ac:dyDescent="0.2">
      <c r="A3064" s="10" t="s">
        <v>3063</v>
      </c>
      <c r="B3064" s="12">
        <v>16.920000000000002</v>
      </c>
      <c r="C3064" s="11">
        <v>1.900769411207893</v>
      </c>
      <c r="D3064" s="11">
        <v>0</v>
      </c>
    </row>
    <row r="3065" spans="1:4" x14ac:dyDescent="0.2">
      <c r="A3065" s="10" t="s">
        <v>3064</v>
      </c>
      <c r="B3065" s="12">
        <v>15.74</v>
      </c>
      <c r="C3065" s="11">
        <v>0.7325882105697088</v>
      </c>
      <c r="D3065" s="11">
        <v>0</v>
      </c>
    </row>
    <row r="3066" spans="1:4" x14ac:dyDescent="0.2">
      <c r="A3066" s="10" t="s">
        <v>3065</v>
      </c>
      <c r="B3066" s="12">
        <v>12.28</v>
      </c>
      <c r="C3066" s="11">
        <v>0</v>
      </c>
      <c r="D3066" s="11">
        <v>2.692756665877849</v>
      </c>
    </row>
    <row r="3067" spans="1:4" x14ac:dyDescent="0.2">
      <c r="A3067" s="10" t="s">
        <v>3066</v>
      </c>
      <c r="B3067" s="12">
        <v>14.3</v>
      </c>
      <c r="C3067" s="11">
        <v>0</v>
      </c>
      <c r="D3067" s="11">
        <v>0.69298884783621095</v>
      </c>
    </row>
    <row r="3068" spans="1:4" x14ac:dyDescent="0.2">
      <c r="A3068" s="10" t="s">
        <v>3067</v>
      </c>
      <c r="B3068" s="12">
        <v>14.77</v>
      </c>
      <c r="C3068" s="11">
        <v>0</v>
      </c>
      <c r="D3068" s="11">
        <v>0.22769633571761222</v>
      </c>
    </row>
    <row r="3069" spans="1:4" x14ac:dyDescent="0.2">
      <c r="A3069" s="10" t="s">
        <v>3068</v>
      </c>
      <c r="B3069" s="12">
        <v>14.58</v>
      </c>
      <c r="C3069" s="11">
        <v>0</v>
      </c>
      <c r="D3069" s="11">
        <v>0.41579330870172659</v>
      </c>
    </row>
    <row r="3070" spans="1:4" x14ac:dyDescent="0.2">
      <c r="A3070" s="10" t="s">
        <v>3069</v>
      </c>
      <c r="B3070" s="12">
        <v>14.7</v>
      </c>
      <c r="C3070" s="11">
        <v>0</v>
      </c>
      <c r="D3070" s="11">
        <v>0.29699522050123328</v>
      </c>
    </row>
    <row r="3071" spans="1:4" x14ac:dyDescent="0.2">
      <c r="A3071" s="10" t="s">
        <v>3070</v>
      </c>
      <c r="B3071" s="12">
        <v>15.24</v>
      </c>
      <c r="C3071" s="11">
        <v>0.23759617640098663</v>
      </c>
      <c r="D3071" s="11">
        <v>0</v>
      </c>
    </row>
    <row r="3072" spans="1:4" x14ac:dyDescent="0.2">
      <c r="A3072" s="10" t="s">
        <v>3071</v>
      </c>
      <c r="B3072" s="12">
        <v>13.1</v>
      </c>
      <c r="C3072" s="11">
        <v>0</v>
      </c>
      <c r="D3072" s="11">
        <v>1.8809697298411441</v>
      </c>
    </row>
    <row r="3073" spans="1:4" x14ac:dyDescent="0.2">
      <c r="A3073" s="10" t="s">
        <v>3072</v>
      </c>
      <c r="B3073" s="12">
        <v>14.1</v>
      </c>
      <c r="C3073" s="11">
        <v>0</v>
      </c>
      <c r="D3073" s="11">
        <v>0.89098566150369995</v>
      </c>
    </row>
    <row r="3074" spans="1:4" x14ac:dyDescent="0.2">
      <c r="A3074" s="10" t="s">
        <v>3073</v>
      </c>
      <c r="B3074" s="12">
        <v>15.7</v>
      </c>
      <c r="C3074" s="11">
        <v>0.69298884783621095</v>
      </c>
      <c r="D3074" s="11">
        <v>0</v>
      </c>
    </row>
    <row r="3075" spans="1:4" x14ac:dyDescent="0.2">
      <c r="A3075" s="10" t="s">
        <v>3074</v>
      </c>
      <c r="B3075" s="12">
        <v>14.34</v>
      </c>
      <c r="C3075" s="11">
        <v>0</v>
      </c>
      <c r="D3075" s="11">
        <v>0.65338948510271333</v>
      </c>
    </row>
    <row r="3076" spans="1:4" x14ac:dyDescent="0.2">
      <c r="A3076" s="10" t="s">
        <v>3075</v>
      </c>
      <c r="B3076" s="12">
        <v>13.93</v>
      </c>
      <c r="C3076" s="11">
        <v>0</v>
      </c>
      <c r="D3076" s="11">
        <v>1.0592829531210655</v>
      </c>
    </row>
    <row r="3077" spans="1:4" x14ac:dyDescent="0.2">
      <c r="A3077" s="10" t="s">
        <v>3076</v>
      </c>
      <c r="B3077" s="12">
        <v>13.25</v>
      </c>
      <c r="C3077" s="11">
        <v>0</v>
      </c>
      <c r="D3077" s="11">
        <v>1.7324721195905277</v>
      </c>
    </row>
    <row r="3078" spans="1:4" x14ac:dyDescent="0.2">
      <c r="A3078" s="10" t="s">
        <v>3077</v>
      </c>
      <c r="B3078" s="12">
        <v>13.9</v>
      </c>
      <c r="C3078" s="11">
        <v>0</v>
      </c>
      <c r="D3078" s="11">
        <v>1.088982475171189</v>
      </c>
    </row>
    <row r="3079" spans="1:4" x14ac:dyDescent="0.2">
      <c r="A3079" s="10" t="s">
        <v>3078</v>
      </c>
      <c r="B3079" s="12">
        <v>14.91</v>
      </c>
      <c r="C3079" s="11">
        <v>0</v>
      </c>
      <c r="D3079" s="11">
        <v>8.9098566150369984E-2</v>
      </c>
    </row>
    <row r="3080" spans="1:4" x14ac:dyDescent="0.2">
      <c r="A3080" s="10" t="s">
        <v>3079</v>
      </c>
      <c r="B3080" s="12">
        <v>15.6</v>
      </c>
      <c r="C3080" s="11">
        <v>0.59399044100246656</v>
      </c>
      <c r="D3080" s="11">
        <v>0</v>
      </c>
    </row>
    <row r="3081" spans="1:4" x14ac:dyDescent="0.2">
      <c r="A3081" s="10" t="s">
        <v>3080</v>
      </c>
      <c r="B3081" s="12">
        <v>14.36</v>
      </c>
      <c r="C3081" s="11">
        <v>0</v>
      </c>
      <c r="D3081" s="11">
        <v>0.63358980373596441</v>
      </c>
    </row>
    <row r="3082" spans="1:4" x14ac:dyDescent="0.2">
      <c r="A3082" s="10" t="s">
        <v>3081</v>
      </c>
      <c r="B3082" s="12">
        <v>13.9</v>
      </c>
      <c r="C3082" s="11">
        <v>0</v>
      </c>
      <c r="D3082" s="11">
        <v>1.088982475171189</v>
      </c>
    </row>
    <row r="3083" spans="1:4" x14ac:dyDescent="0.2">
      <c r="A3083" s="10" t="s">
        <v>3082</v>
      </c>
      <c r="B3083" s="12">
        <v>14.04</v>
      </c>
      <c r="C3083" s="11">
        <v>0</v>
      </c>
      <c r="D3083" s="11">
        <v>0.9503847056039465</v>
      </c>
    </row>
    <row r="3084" spans="1:4" x14ac:dyDescent="0.2">
      <c r="A3084" s="10" t="s">
        <v>3083</v>
      </c>
      <c r="B3084" s="12">
        <v>12.6</v>
      </c>
      <c r="C3084" s="11">
        <v>0</v>
      </c>
      <c r="D3084" s="11">
        <v>2.3759617640098663</v>
      </c>
    </row>
    <row r="3085" spans="1:4" x14ac:dyDescent="0.2">
      <c r="A3085" s="10" t="s">
        <v>3084</v>
      </c>
      <c r="B3085" s="12">
        <v>14.16</v>
      </c>
      <c r="C3085" s="11">
        <v>0</v>
      </c>
      <c r="D3085" s="11">
        <v>0.83158661740345319</v>
      </c>
    </row>
    <row r="3086" spans="1:4" x14ac:dyDescent="0.2">
      <c r="A3086" s="10" t="s">
        <v>3085</v>
      </c>
      <c r="B3086" s="12">
        <v>13.87</v>
      </c>
      <c r="C3086" s="11">
        <v>0</v>
      </c>
      <c r="D3086" s="11">
        <v>1.118681997221312</v>
      </c>
    </row>
    <row r="3087" spans="1:4" x14ac:dyDescent="0.2">
      <c r="A3087" s="10" t="s">
        <v>3086</v>
      </c>
      <c r="B3087" s="12">
        <v>13.35</v>
      </c>
      <c r="C3087" s="11">
        <v>0</v>
      </c>
      <c r="D3087" s="11">
        <v>1.6334737127567831</v>
      </c>
    </row>
    <row r="3088" spans="1:4" x14ac:dyDescent="0.2">
      <c r="A3088" s="10" t="s">
        <v>3087</v>
      </c>
      <c r="B3088" s="12">
        <v>14.08</v>
      </c>
      <c r="C3088" s="11">
        <v>0</v>
      </c>
      <c r="D3088" s="11">
        <v>0.91078534287044888</v>
      </c>
    </row>
    <row r="3089" spans="1:4" x14ac:dyDescent="0.2">
      <c r="A3089" s="10" t="s">
        <v>3088</v>
      </c>
      <c r="B3089" s="12">
        <v>13.59</v>
      </c>
      <c r="C3089" s="11">
        <v>0</v>
      </c>
      <c r="D3089" s="11">
        <v>1.3958775363557965</v>
      </c>
    </row>
    <row r="3090" spans="1:4" x14ac:dyDescent="0.2">
      <c r="A3090" s="10" t="s">
        <v>3089</v>
      </c>
      <c r="B3090" s="12">
        <v>15.81</v>
      </c>
      <c r="C3090" s="11">
        <v>0.80188709535333003</v>
      </c>
      <c r="D3090" s="11">
        <v>0</v>
      </c>
    </row>
    <row r="3091" spans="1:4" x14ac:dyDescent="0.2">
      <c r="A3091" s="10" t="s">
        <v>3090</v>
      </c>
      <c r="B3091" s="12">
        <v>13.73</v>
      </c>
      <c r="C3091" s="11">
        <v>0</v>
      </c>
      <c r="D3091" s="11">
        <v>1.2572797667885542</v>
      </c>
    </row>
    <row r="3092" spans="1:4" x14ac:dyDescent="0.2">
      <c r="A3092" s="10" t="s">
        <v>3091</v>
      </c>
      <c r="B3092" s="12">
        <v>13.66</v>
      </c>
      <c r="C3092" s="11">
        <v>0</v>
      </c>
      <c r="D3092" s="11">
        <v>1.3265786515721756</v>
      </c>
    </row>
    <row r="3093" spans="1:4" x14ac:dyDescent="0.2">
      <c r="A3093" s="10" t="s">
        <v>3092</v>
      </c>
      <c r="B3093" s="12">
        <v>14.2</v>
      </c>
      <c r="C3093" s="11">
        <v>0</v>
      </c>
      <c r="D3093" s="11">
        <v>0.79198725466995556</v>
      </c>
    </row>
    <row r="3094" spans="1:4" x14ac:dyDescent="0.2">
      <c r="A3094" s="10" t="s">
        <v>3093</v>
      </c>
      <c r="B3094" s="12">
        <v>13.62</v>
      </c>
      <c r="C3094" s="11">
        <v>0</v>
      </c>
      <c r="D3094" s="11">
        <v>1.366178014305673</v>
      </c>
    </row>
    <row r="3095" spans="1:4" x14ac:dyDescent="0.2">
      <c r="A3095" s="10" t="s">
        <v>3094</v>
      </c>
      <c r="B3095" s="12">
        <v>12.86</v>
      </c>
      <c r="C3095" s="11">
        <v>0</v>
      </c>
      <c r="D3095" s="11">
        <v>2.1185659062421309</v>
      </c>
    </row>
    <row r="3096" spans="1:4" x14ac:dyDescent="0.2">
      <c r="A3096" s="10" t="s">
        <v>3095</v>
      </c>
      <c r="B3096" s="12">
        <v>12.74</v>
      </c>
      <c r="C3096" s="11">
        <v>0</v>
      </c>
      <c r="D3096" s="11">
        <v>2.237363994442624</v>
      </c>
    </row>
    <row r="3097" spans="1:4" x14ac:dyDescent="0.2">
      <c r="A3097" s="10" t="s">
        <v>3096</v>
      </c>
      <c r="B3097" s="12">
        <v>15.25</v>
      </c>
      <c r="C3097" s="11">
        <v>0.24749601708436109</v>
      </c>
      <c r="D3097" s="11">
        <v>0</v>
      </c>
    </row>
    <row r="3098" spans="1:4" x14ac:dyDescent="0.2">
      <c r="A3098" s="10" t="s">
        <v>3097</v>
      </c>
      <c r="B3098" s="12">
        <v>13.03</v>
      </c>
      <c r="C3098" s="11">
        <v>0</v>
      </c>
      <c r="D3098" s="11">
        <v>1.9502686146247654</v>
      </c>
    </row>
    <row r="3099" spans="1:4" x14ac:dyDescent="0.2">
      <c r="A3099" s="10" t="s">
        <v>3098</v>
      </c>
      <c r="B3099" s="12">
        <v>12.81</v>
      </c>
      <c r="C3099" s="11">
        <v>0</v>
      </c>
      <c r="D3099" s="11">
        <v>2.1680651096590031</v>
      </c>
    </row>
    <row r="3100" spans="1:4" x14ac:dyDescent="0.2">
      <c r="A3100" s="10" t="s">
        <v>3099</v>
      </c>
      <c r="B3100" s="12">
        <v>14.83</v>
      </c>
      <c r="C3100" s="11">
        <v>0</v>
      </c>
      <c r="D3100" s="11">
        <v>0.16829729161736556</v>
      </c>
    </row>
    <row r="3101" spans="1:4" x14ac:dyDescent="0.2">
      <c r="A3101" s="10" t="s">
        <v>3100</v>
      </c>
      <c r="B3101" s="12">
        <v>14.26</v>
      </c>
      <c r="C3101" s="11">
        <v>0</v>
      </c>
      <c r="D3101" s="11">
        <v>0.7325882105697088</v>
      </c>
    </row>
    <row r="3102" spans="1:4" x14ac:dyDescent="0.2">
      <c r="A3102" s="10" t="s">
        <v>3101</v>
      </c>
      <c r="B3102" s="12">
        <v>12.17</v>
      </c>
      <c r="C3102" s="11">
        <v>0</v>
      </c>
      <c r="D3102" s="11">
        <v>2.8016549133949677</v>
      </c>
    </row>
    <row r="3103" spans="1:4" x14ac:dyDescent="0.2">
      <c r="A3103" s="10" t="s">
        <v>3102</v>
      </c>
      <c r="B3103" s="12">
        <v>13.64</v>
      </c>
      <c r="C3103" s="11">
        <v>0</v>
      </c>
      <c r="D3103" s="11">
        <v>1.3463783329389245</v>
      </c>
    </row>
    <row r="3104" spans="1:4" x14ac:dyDescent="0.2">
      <c r="A3104" s="10" t="s">
        <v>3103</v>
      </c>
      <c r="B3104" s="12">
        <v>14.79</v>
      </c>
      <c r="C3104" s="11">
        <v>0</v>
      </c>
      <c r="D3104" s="11">
        <v>0.2078966543508633</v>
      </c>
    </row>
    <row r="3105" spans="1:4" x14ac:dyDescent="0.2">
      <c r="A3105" s="10" t="s">
        <v>3104</v>
      </c>
      <c r="B3105" s="12">
        <v>14.77</v>
      </c>
      <c r="C3105" s="11">
        <v>0</v>
      </c>
      <c r="D3105" s="11">
        <v>0.22769633571761222</v>
      </c>
    </row>
    <row r="3106" spans="1:4" x14ac:dyDescent="0.2">
      <c r="A3106" s="10" t="s">
        <v>3105</v>
      </c>
      <c r="B3106" s="12">
        <v>12.73</v>
      </c>
      <c r="C3106" s="11">
        <v>0</v>
      </c>
      <c r="D3106" s="11">
        <v>2.2472638351259988</v>
      </c>
    </row>
    <row r="3107" spans="1:4" x14ac:dyDescent="0.2">
      <c r="A3107" s="10" t="s">
        <v>3106</v>
      </c>
      <c r="B3107" s="12">
        <v>13.91</v>
      </c>
      <c r="C3107" s="11">
        <v>0</v>
      </c>
      <c r="D3107" s="11">
        <v>1.0790826344878144</v>
      </c>
    </row>
    <row r="3108" spans="1:4" x14ac:dyDescent="0.2">
      <c r="A3108" s="10" t="s">
        <v>3107</v>
      </c>
      <c r="B3108" s="12">
        <v>13.05</v>
      </c>
      <c r="C3108" s="11">
        <v>0</v>
      </c>
      <c r="D3108" s="11">
        <v>1.9304689332580165</v>
      </c>
    </row>
    <row r="3109" spans="1:4" x14ac:dyDescent="0.2">
      <c r="A3109" s="10" t="s">
        <v>3108</v>
      </c>
      <c r="B3109" s="12">
        <v>13.03</v>
      </c>
      <c r="C3109" s="11">
        <v>0</v>
      </c>
      <c r="D3109" s="11">
        <v>1.9502686146247654</v>
      </c>
    </row>
    <row r="3110" spans="1:4" x14ac:dyDescent="0.2">
      <c r="A3110" s="10" t="s">
        <v>3109</v>
      </c>
      <c r="B3110" s="12">
        <v>14.15</v>
      </c>
      <c r="C3110" s="11">
        <v>0</v>
      </c>
      <c r="D3110" s="11">
        <v>0.84148645808682765</v>
      </c>
    </row>
    <row r="3111" spans="1:4" x14ac:dyDescent="0.2">
      <c r="A3111" s="10" t="s">
        <v>3110</v>
      </c>
      <c r="B3111" s="12">
        <v>16.43</v>
      </c>
      <c r="C3111" s="11">
        <v>1.4156772177225454</v>
      </c>
      <c r="D3111" s="11">
        <v>0</v>
      </c>
    </row>
    <row r="3112" spans="1:4" x14ac:dyDescent="0.2">
      <c r="A3112" s="10" t="s">
        <v>3111</v>
      </c>
      <c r="B3112" s="12">
        <v>13.09</v>
      </c>
      <c r="C3112" s="11">
        <v>0</v>
      </c>
      <c r="D3112" s="11">
        <v>1.8908695705245187</v>
      </c>
    </row>
    <row r="3113" spans="1:4" x14ac:dyDescent="0.2">
      <c r="A3113" s="10" t="s">
        <v>3112</v>
      </c>
      <c r="B3113" s="12">
        <v>13.77</v>
      </c>
      <c r="C3113" s="11">
        <v>0</v>
      </c>
      <c r="D3113" s="11">
        <v>1.2176804040550566</v>
      </c>
    </row>
    <row r="3114" spans="1:4" x14ac:dyDescent="0.2">
      <c r="A3114" s="10" t="s">
        <v>3113</v>
      </c>
      <c r="B3114" s="12">
        <v>15.64</v>
      </c>
      <c r="C3114" s="11">
        <v>0.63358980373596441</v>
      </c>
      <c r="D3114" s="11">
        <v>0</v>
      </c>
    </row>
    <row r="3115" spans="1:4" x14ac:dyDescent="0.2">
      <c r="A3115" s="10" t="s">
        <v>3114</v>
      </c>
      <c r="B3115" s="12">
        <v>12.8</v>
      </c>
      <c r="C3115" s="11">
        <v>0</v>
      </c>
      <c r="D3115" s="11">
        <v>2.1779649503423779</v>
      </c>
    </row>
    <row r="3116" spans="1:4" x14ac:dyDescent="0.2">
      <c r="A3116" s="10" t="s">
        <v>3115</v>
      </c>
      <c r="B3116" s="12">
        <v>12.87</v>
      </c>
      <c r="C3116" s="11">
        <v>0</v>
      </c>
      <c r="D3116" s="11">
        <v>2.1086660655587561</v>
      </c>
    </row>
    <row r="3117" spans="1:4" x14ac:dyDescent="0.2">
      <c r="A3117" s="10" t="s">
        <v>3116</v>
      </c>
      <c r="B3117" s="12">
        <v>12.95</v>
      </c>
      <c r="C3117" s="11">
        <v>0</v>
      </c>
      <c r="D3117" s="11">
        <v>2.0294673400917609</v>
      </c>
    </row>
    <row r="3118" spans="1:4" x14ac:dyDescent="0.2">
      <c r="A3118" s="10" t="s">
        <v>3117</v>
      </c>
      <c r="B3118" s="12">
        <v>16.5</v>
      </c>
      <c r="C3118" s="11">
        <v>1.4849761025061665</v>
      </c>
      <c r="D3118" s="11">
        <v>0</v>
      </c>
    </row>
    <row r="3119" spans="1:4" x14ac:dyDescent="0.2">
      <c r="A3119" s="10" t="s">
        <v>3118</v>
      </c>
      <c r="B3119" s="12">
        <v>14.42</v>
      </c>
      <c r="C3119" s="11">
        <v>0</v>
      </c>
      <c r="D3119" s="11">
        <v>0.57419075963571764</v>
      </c>
    </row>
    <row r="3120" spans="1:4" x14ac:dyDescent="0.2">
      <c r="A3120" s="10" t="s">
        <v>3119</v>
      </c>
      <c r="B3120" s="12">
        <v>14.84</v>
      </c>
      <c r="C3120" s="11">
        <v>0</v>
      </c>
      <c r="D3120" s="11">
        <v>0.1583974509339911</v>
      </c>
    </row>
    <row r="3121" spans="1:4" x14ac:dyDescent="0.2">
      <c r="A3121" s="10" t="s">
        <v>3120</v>
      </c>
      <c r="B3121" s="12">
        <v>16.489999999999998</v>
      </c>
      <c r="C3121" s="11">
        <v>1.4750762618227922</v>
      </c>
      <c r="D3121" s="11">
        <v>0</v>
      </c>
    </row>
    <row r="3122" spans="1:4" x14ac:dyDescent="0.2">
      <c r="A3122" s="10" t="s">
        <v>3121</v>
      </c>
      <c r="B3122" s="12">
        <v>14.1</v>
      </c>
      <c r="C3122" s="11">
        <v>0</v>
      </c>
      <c r="D3122" s="11">
        <v>0.89098566150369995</v>
      </c>
    </row>
    <row r="3123" spans="1:4" x14ac:dyDescent="0.2">
      <c r="A3123" s="10" t="s">
        <v>3122</v>
      </c>
      <c r="B3123" s="12">
        <v>14.77</v>
      </c>
      <c r="C3123" s="11">
        <v>0</v>
      </c>
      <c r="D3123" s="11">
        <v>0.22769633571761222</v>
      </c>
    </row>
    <row r="3124" spans="1:4" x14ac:dyDescent="0.2">
      <c r="A3124" s="10" t="s">
        <v>3123</v>
      </c>
      <c r="B3124" s="12">
        <v>14.12</v>
      </c>
      <c r="C3124" s="11">
        <v>0</v>
      </c>
      <c r="D3124" s="11">
        <v>0.87118598013695103</v>
      </c>
    </row>
    <row r="3125" spans="1:4" x14ac:dyDescent="0.2">
      <c r="A3125" s="10" t="s">
        <v>3124</v>
      </c>
      <c r="B3125" s="12">
        <v>12.93</v>
      </c>
      <c r="C3125" s="11">
        <v>0</v>
      </c>
      <c r="D3125" s="11">
        <v>2.0492670214585096</v>
      </c>
    </row>
    <row r="3126" spans="1:4" x14ac:dyDescent="0.2">
      <c r="A3126" s="10" t="s">
        <v>3125</v>
      </c>
      <c r="B3126" s="12">
        <v>15.1</v>
      </c>
      <c r="C3126" s="11">
        <v>9.8998406833744446E-2</v>
      </c>
      <c r="D3126" s="11">
        <v>0</v>
      </c>
    </row>
    <row r="3127" spans="1:4" x14ac:dyDescent="0.2">
      <c r="A3127" s="10" t="s">
        <v>3126</v>
      </c>
      <c r="B3127" s="12">
        <v>15.04</v>
      </c>
      <c r="C3127" s="11">
        <v>3.9599362733497775E-2</v>
      </c>
      <c r="D3127" s="11">
        <v>0</v>
      </c>
    </row>
    <row r="3128" spans="1:4" x14ac:dyDescent="0.2">
      <c r="A3128" s="10" t="s">
        <v>3127</v>
      </c>
      <c r="B3128" s="12">
        <v>13.88</v>
      </c>
      <c r="C3128" s="11">
        <v>0</v>
      </c>
      <c r="D3128" s="11">
        <v>1.1087821565379379</v>
      </c>
    </row>
    <row r="3129" spans="1:4" x14ac:dyDescent="0.2">
      <c r="A3129" s="10" t="s">
        <v>3128</v>
      </c>
      <c r="B3129" s="12">
        <v>14.07</v>
      </c>
      <c r="C3129" s="11">
        <v>0</v>
      </c>
      <c r="D3129" s="11">
        <v>0.92068518355382334</v>
      </c>
    </row>
    <row r="3130" spans="1:4" x14ac:dyDescent="0.2">
      <c r="A3130" s="10" t="s">
        <v>3129</v>
      </c>
      <c r="B3130" s="12">
        <v>14.22</v>
      </c>
      <c r="C3130" s="11">
        <v>0</v>
      </c>
      <c r="D3130" s="11">
        <v>0.77218757330320664</v>
      </c>
    </row>
    <row r="3131" spans="1:4" x14ac:dyDescent="0.2">
      <c r="A3131" s="10" t="s">
        <v>3130</v>
      </c>
      <c r="B3131" s="12">
        <v>13.25</v>
      </c>
      <c r="C3131" s="11">
        <v>0</v>
      </c>
      <c r="D3131" s="11">
        <v>1.7324721195905277</v>
      </c>
    </row>
    <row r="3132" spans="1:4" x14ac:dyDescent="0.2">
      <c r="A3132" s="10" t="s">
        <v>3131</v>
      </c>
      <c r="B3132" s="12">
        <v>14.98</v>
      </c>
      <c r="C3132" s="11">
        <v>0</v>
      </c>
      <c r="D3132" s="11">
        <v>1.9799681366748888E-2</v>
      </c>
    </row>
    <row r="3133" spans="1:4" x14ac:dyDescent="0.2">
      <c r="A3133" s="10" t="s">
        <v>3132</v>
      </c>
      <c r="B3133" s="12">
        <v>13.19</v>
      </c>
      <c r="C3133" s="11">
        <v>0</v>
      </c>
      <c r="D3133" s="11">
        <v>1.7918711636907743</v>
      </c>
    </row>
    <row r="3134" spans="1:4" x14ac:dyDescent="0.2">
      <c r="A3134" s="10" t="s">
        <v>3133</v>
      </c>
      <c r="B3134" s="12">
        <v>15.31</v>
      </c>
      <c r="C3134" s="11">
        <v>0.30689506118460774</v>
      </c>
      <c r="D3134" s="11">
        <v>0</v>
      </c>
    </row>
    <row r="3135" spans="1:4" x14ac:dyDescent="0.2">
      <c r="A3135" s="10" t="s">
        <v>3134</v>
      </c>
      <c r="B3135" s="12">
        <v>13.74</v>
      </c>
      <c r="C3135" s="11">
        <v>0</v>
      </c>
      <c r="D3135" s="11">
        <v>1.2473799261051799</v>
      </c>
    </row>
    <row r="3136" spans="1:4" x14ac:dyDescent="0.2">
      <c r="A3136" s="10" t="s">
        <v>3135</v>
      </c>
      <c r="B3136" s="12">
        <v>15.55</v>
      </c>
      <c r="C3136" s="11">
        <v>0.54449123758559448</v>
      </c>
      <c r="D3136" s="11">
        <v>0</v>
      </c>
    </row>
    <row r="3137" spans="1:4" x14ac:dyDescent="0.2">
      <c r="A3137" s="10" t="s">
        <v>3136</v>
      </c>
      <c r="B3137" s="12">
        <v>11.77</v>
      </c>
      <c r="C3137" s="11">
        <v>0</v>
      </c>
      <c r="D3137" s="11">
        <v>3.1976485407299453</v>
      </c>
    </row>
    <row r="3138" spans="1:4" x14ac:dyDescent="0.2">
      <c r="A3138" s="10" t="s">
        <v>3137</v>
      </c>
      <c r="B3138" s="12">
        <v>13.59</v>
      </c>
      <c r="C3138" s="11">
        <v>0</v>
      </c>
      <c r="D3138" s="11">
        <v>1.3958775363557965</v>
      </c>
    </row>
    <row r="3139" spans="1:4" x14ac:dyDescent="0.2">
      <c r="A3139" s="10" t="s">
        <v>3138</v>
      </c>
      <c r="B3139" s="12">
        <v>14.37</v>
      </c>
      <c r="C3139" s="11">
        <v>0</v>
      </c>
      <c r="D3139" s="11">
        <v>0.62368996305258995</v>
      </c>
    </row>
    <row r="3140" spans="1:4" x14ac:dyDescent="0.2">
      <c r="A3140" s="10" t="s">
        <v>3139</v>
      </c>
      <c r="B3140" s="12">
        <v>14.9</v>
      </c>
      <c r="C3140" s="11">
        <v>0</v>
      </c>
      <c r="D3140" s="11">
        <v>9.8998406833744446E-2</v>
      </c>
    </row>
    <row r="3141" spans="1:4" x14ac:dyDescent="0.2">
      <c r="A3141" s="10" t="s">
        <v>3140</v>
      </c>
      <c r="B3141" s="12">
        <v>13.65</v>
      </c>
      <c r="C3141" s="11">
        <v>0</v>
      </c>
      <c r="D3141" s="11">
        <v>1.3364784922555499</v>
      </c>
    </row>
    <row r="3142" spans="1:4" x14ac:dyDescent="0.2">
      <c r="A3142" s="10" t="s">
        <v>3141</v>
      </c>
      <c r="B3142" s="12">
        <v>15.5</v>
      </c>
      <c r="C3142" s="11">
        <v>0.49499203416872217</v>
      </c>
      <c r="D3142" s="11">
        <v>0</v>
      </c>
    </row>
    <row r="3143" spans="1:4" x14ac:dyDescent="0.2">
      <c r="A3143" s="10" t="s">
        <v>3142</v>
      </c>
      <c r="B3143" s="12">
        <v>13.01</v>
      </c>
      <c r="C3143" s="11">
        <v>0</v>
      </c>
      <c r="D3143" s="11">
        <v>1.9700682959915143</v>
      </c>
    </row>
    <row r="3144" spans="1:4" x14ac:dyDescent="0.2">
      <c r="A3144" s="10" t="s">
        <v>3143</v>
      </c>
      <c r="B3144" s="12">
        <v>12.95</v>
      </c>
      <c r="C3144" s="11">
        <v>0</v>
      </c>
      <c r="D3144" s="11">
        <v>2.0294673400917609</v>
      </c>
    </row>
    <row r="3145" spans="1:4" x14ac:dyDescent="0.2">
      <c r="A3145" s="10" t="s">
        <v>3144</v>
      </c>
      <c r="B3145" s="12">
        <v>11.51</v>
      </c>
      <c r="C3145" s="11">
        <v>0</v>
      </c>
      <c r="D3145" s="11">
        <v>3.4550443984976811</v>
      </c>
    </row>
    <row r="3146" spans="1:4" x14ac:dyDescent="0.2">
      <c r="A3146" s="10" t="s">
        <v>3145</v>
      </c>
      <c r="B3146" s="12">
        <v>12.96</v>
      </c>
      <c r="C3146" s="11">
        <v>0</v>
      </c>
      <c r="D3146" s="11">
        <v>2.0195674994083865</v>
      </c>
    </row>
    <row r="3147" spans="1:4" x14ac:dyDescent="0.2">
      <c r="A3147" s="10" t="s">
        <v>3146</v>
      </c>
      <c r="B3147" s="12">
        <v>12.09</v>
      </c>
      <c r="C3147" s="11">
        <v>0</v>
      </c>
      <c r="D3147" s="11">
        <v>2.880853638861963</v>
      </c>
    </row>
    <row r="3148" spans="1:4" x14ac:dyDescent="0.2">
      <c r="A3148" s="10" t="s">
        <v>3147</v>
      </c>
      <c r="B3148" s="12">
        <v>14.48</v>
      </c>
      <c r="C3148" s="11">
        <v>0</v>
      </c>
      <c r="D3148" s="11">
        <v>0.51479171553547109</v>
      </c>
    </row>
    <row r="3149" spans="1:4" x14ac:dyDescent="0.2">
      <c r="A3149" s="10" t="s">
        <v>3148</v>
      </c>
      <c r="B3149" s="12">
        <v>14.84</v>
      </c>
      <c r="C3149" s="11">
        <v>0</v>
      </c>
      <c r="D3149" s="11">
        <v>0.1583974509339911</v>
      </c>
    </row>
    <row r="3150" spans="1:4" x14ac:dyDescent="0.2">
      <c r="A3150" s="10" t="s">
        <v>3149</v>
      </c>
      <c r="B3150" s="12">
        <v>14.66</v>
      </c>
      <c r="C3150" s="11">
        <v>0</v>
      </c>
      <c r="D3150" s="11">
        <v>0.33659458323473113</v>
      </c>
    </row>
    <row r="3151" spans="1:4" x14ac:dyDescent="0.2">
      <c r="A3151" s="10" t="s">
        <v>3150</v>
      </c>
      <c r="B3151" s="12">
        <v>15.04</v>
      </c>
      <c r="C3151" s="11">
        <v>3.9599362733497775E-2</v>
      </c>
      <c r="D3151" s="11">
        <v>0</v>
      </c>
    </row>
    <row r="3152" spans="1:4" x14ac:dyDescent="0.2">
      <c r="A3152" s="10" t="s">
        <v>3151</v>
      </c>
      <c r="B3152" s="12">
        <v>13.59</v>
      </c>
      <c r="C3152" s="11">
        <v>0</v>
      </c>
      <c r="D3152" s="11">
        <v>1.3958775363557965</v>
      </c>
    </row>
    <row r="3153" spans="1:4" x14ac:dyDescent="0.2">
      <c r="A3153" s="10" t="s">
        <v>3152</v>
      </c>
      <c r="B3153" s="12">
        <v>13.99</v>
      </c>
      <c r="C3153" s="11">
        <v>0</v>
      </c>
      <c r="D3153" s="11">
        <v>0.99988390902081881</v>
      </c>
    </row>
    <row r="3154" spans="1:4" x14ac:dyDescent="0.2">
      <c r="A3154" s="10" t="s">
        <v>3153</v>
      </c>
      <c r="B3154" s="12">
        <v>12.17</v>
      </c>
      <c r="C3154" s="11">
        <v>0</v>
      </c>
      <c r="D3154" s="11">
        <v>2.8016549133949677</v>
      </c>
    </row>
    <row r="3155" spans="1:4" x14ac:dyDescent="0.2">
      <c r="A3155" s="10" t="s">
        <v>3154</v>
      </c>
      <c r="B3155" s="12">
        <v>13.73</v>
      </c>
      <c r="C3155" s="11">
        <v>0</v>
      </c>
      <c r="D3155" s="11">
        <v>1.2572797667885542</v>
      </c>
    </row>
    <row r="3156" spans="1:4" x14ac:dyDescent="0.2">
      <c r="A3156" s="10" t="s">
        <v>3155</v>
      </c>
      <c r="B3156" s="12">
        <v>14.14</v>
      </c>
      <c r="C3156" s="11">
        <v>0</v>
      </c>
      <c r="D3156" s="11">
        <v>0.85138629877020211</v>
      </c>
    </row>
    <row r="3157" spans="1:4" x14ac:dyDescent="0.2">
      <c r="A3157" s="10" t="s">
        <v>3156</v>
      </c>
      <c r="B3157" s="12">
        <v>13.9</v>
      </c>
      <c r="C3157" s="11">
        <v>0</v>
      </c>
      <c r="D3157" s="11">
        <v>1.088982475171189</v>
      </c>
    </row>
    <row r="3158" spans="1:4" x14ac:dyDescent="0.2">
      <c r="A3158" s="10" t="s">
        <v>3157</v>
      </c>
      <c r="B3158" s="12">
        <v>12.69</v>
      </c>
      <c r="C3158" s="11">
        <v>0</v>
      </c>
      <c r="D3158" s="11">
        <v>2.2868631978594967</v>
      </c>
    </row>
    <row r="3159" spans="1:4" x14ac:dyDescent="0.2">
      <c r="A3159" s="10" t="s">
        <v>3158</v>
      </c>
      <c r="B3159" s="12">
        <v>15.64</v>
      </c>
      <c r="C3159" s="11">
        <v>0.63358980373596441</v>
      </c>
      <c r="D3159" s="11">
        <v>0</v>
      </c>
    </row>
    <row r="3160" spans="1:4" x14ac:dyDescent="0.2">
      <c r="A3160" s="10" t="s">
        <v>3159</v>
      </c>
      <c r="B3160" s="12">
        <v>13.61</v>
      </c>
      <c r="C3160" s="11">
        <v>0</v>
      </c>
      <c r="D3160" s="11">
        <v>1.3760778549890476</v>
      </c>
    </row>
    <row r="3161" spans="1:4" x14ac:dyDescent="0.2">
      <c r="A3161" s="10" t="s">
        <v>3160</v>
      </c>
      <c r="B3161" s="12">
        <v>16.8</v>
      </c>
      <c r="C3161" s="11">
        <v>1.7819713230073999</v>
      </c>
      <c r="D3161" s="11">
        <v>0</v>
      </c>
    </row>
    <row r="3162" spans="1:4" x14ac:dyDescent="0.2">
      <c r="A3162" s="10" t="s">
        <v>3161</v>
      </c>
      <c r="B3162" s="12">
        <v>13.61</v>
      </c>
      <c r="C3162" s="11">
        <v>0</v>
      </c>
      <c r="D3162" s="11">
        <v>1.3760778549890476</v>
      </c>
    </row>
    <row r="3163" spans="1:4" x14ac:dyDescent="0.2">
      <c r="A3163" s="10" t="s">
        <v>3162</v>
      </c>
      <c r="B3163" s="12">
        <v>14.01</v>
      </c>
      <c r="C3163" s="11">
        <v>0</v>
      </c>
      <c r="D3163" s="11">
        <v>0.98008422765406988</v>
      </c>
    </row>
    <row r="3164" spans="1:4" x14ac:dyDescent="0.2">
      <c r="A3164" s="10" t="s">
        <v>3163</v>
      </c>
      <c r="B3164" s="12">
        <v>13.13</v>
      </c>
      <c r="C3164" s="11">
        <v>0</v>
      </c>
      <c r="D3164" s="11">
        <v>1.851270207791021</v>
      </c>
    </row>
    <row r="3165" spans="1:4" x14ac:dyDescent="0.2">
      <c r="A3165" s="10" t="s">
        <v>3164</v>
      </c>
      <c r="B3165" s="12">
        <v>12.39</v>
      </c>
      <c r="C3165" s="11">
        <v>0</v>
      </c>
      <c r="D3165" s="11">
        <v>2.5838584183607298</v>
      </c>
    </row>
    <row r="3166" spans="1:4" x14ac:dyDescent="0.2">
      <c r="A3166" s="10" t="s">
        <v>3165</v>
      </c>
      <c r="B3166" s="12">
        <v>14.59</v>
      </c>
      <c r="C3166" s="11">
        <v>0</v>
      </c>
      <c r="D3166" s="11">
        <v>0.40589346801835213</v>
      </c>
    </row>
    <row r="3167" spans="1:4" x14ac:dyDescent="0.2">
      <c r="A3167" s="10" t="s">
        <v>3166</v>
      </c>
      <c r="B3167" s="12">
        <v>14.86</v>
      </c>
      <c r="C3167" s="11">
        <v>0</v>
      </c>
      <c r="D3167" s="11">
        <v>0.13859776956724223</v>
      </c>
    </row>
    <row r="3168" spans="1:4" x14ac:dyDescent="0.2">
      <c r="A3168" s="10" t="s">
        <v>3167</v>
      </c>
      <c r="B3168" s="12">
        <v>15.09</v>
      </c>
      <c r="C3168" s="11">
        <v>8.9098566150369984E-2</v>
      </c>
      <c r="D3168" s="11">
        <v>0</v>
      </c>
    </row>
    <row r="3169" spans="1:4" x14ac:dyDescent="0.2">
      <c r="A3169" s="10" t="s">
        <v>3168</v>
      </c>
      <c r="B3169" s="12">
        <v>13.59</v>
      </c>
      <c r="C3169" s="11">
        <v>0</v>
      </c>
      <c r="D3169" s="11">
        <v>1.3958775363557965</v>
      </c>
    </row>
    <row r="3170" spans="1:4" x14ac:dyDescent="0.2">
      <c r="A3170" s="10" t="s">
        <v>3169</v>
      </c>
      <c r="B3170" s="12">
        <v>12.74</v>
      </c>
      <c r="C3170" s="11">
        <v>0</v>
      </c>
      <c r="D3170" s="11">
        <v>2.237363994442624</v>
      </c>
    </row>
    <row r="3171" spans="1:4" x14ac:dyDescent="0.2">
      <c r="A3171" s="10" t="s">
        <v>3170</v>
      </c>
      <c r="B3171" s="12">
        <v>15.11</v>
      </c>
      <c r="C3171" s="11">
        <v>0.10889824751711888</v>
      </c>
      <c r="D3171" s="11">
        <v>0</v>
      </c>
    </row>
    <row r="3172" spans="1:4" x14ac:dyDescent="0.2">
      <c r="A3172" s="10" t="s">
        <v>3171</v>
      </c>
      <c r="B3172" s="12">
        <v>13.26</v>
      </c>
      <c r="C3172" s="11">
        <v>0</v>
      </c>
      <c r="D3172" s="11">
        <v>1.7225722789071531</v>
      </c>
    </row>
    <row r="3173" spans="1:4" x14ac:dyDescent="0.2">
      <c r="A3173" s="10" t="s">
        <v>3172</v>
      </c>
      <c r="B3173" s="12">
        <v>13.01</v>
      </c>
      <c r="C3173" s="11">
        <v>0</v>
      </c>
      <c r="D3173" s="11">
        <v>1.9700682959915143</v>
      </c>
    </row>
    <row r="3174" spans="1:4" x14ac:dyDescent="0.2">
      <c r="A3174" s="10" t="s">
        <v>3173</v>
      </c>
      <c r="B3174" s="12">
        <v>14.73</v>
      </c>
      <c r="C3174" s="11">
        <v>0</v>
      </c>
      <c r="D3174" s="11">
        <v>0.26729569845111001</v>
      </c>
    </row>
    <row r="3175" spans="1:4" x14ac:dyDescent="0.2">
      <c r="A3175" s="10" t="s">
        <v>3174</v>
      </c>
      <c r="B3175" s="12">
        <v>12.09</v>
      </c>
      <c r="C3175" s="11">
        <v>0</v>
      </c>
      <c r="D3175" s="11">
        <v>2.880853638861963</v>
      </c>
    </row>
    <row r="3176" spans="1:4" x14ac:dyDescent="0.2">
      <c r="A3176" s="10" t="s">
        <v>3175</v>
      </c>
      <c r="B3176" s="12">
        <v>16.37</v>
      </c>
      <c r="C3176" s="11">
        <v>1.3562781736222989</v>
      </c>
      <c r="D3176" s="11">
        <v>0</v>
      </c>
    </row>
    <row r="3177" spans="1:4" x14ac:dyDescent="0.2">
      <c r="A3177" s="10" t="s">
        <v>3176</v>
      </c>
      <c r="B3177" s="12">
        <v>15.49</v>
      </c>
      <c r="C3177" s="11">
        <v>0.48509219348534771</v>
      </c>
      <c r="D3177" s="11">
        <v>0</v>
      </c>
    </row>
    <row r="3178" spans="1:4" x14ac:dyDescent="0.2">
      <c r="A3178" s="10" t="s">
        <v>3177</v>
      </c>
      <c r="B3178" s="12">
        <v>12.42</v>
      </c>
      <c r="C3178" s="11">
        <v>0</v>
      </c>
      <c r="D3178" s="11">
        <v>2.5541588963106063</v>
      </c>
    </row>
    <row r="3179" spans="1:4" x14ac:dyDescent="0.2">
      <c r="A3179" s="10" t="s">
        <v>3178</v>
      </c>
      <c r="B3179" s="12">
        <v>12.22</v>
      </c>
      <c r="C3179" s="11">
        <v>0</v>
      </c>
      <c r="D3179" s="11">
        <v>2.7521557099780951</v>
      </c>
    </row>
    <row r="3180" spans="1:4" x14ac:dyDescent="0.2">
      <c r="A3180" s="10" t="s">
        <v>3179</v>
      </c>
      <c r="B3180" s="12">
        <v>15.73</v>
      </c>
      <c r="C3180" s="11">
        <v>0.72268836988633434</v>
      </c>
      <c r="D3180" s="11">
        <v>0</v>
      </c>
    </row>
    <row r="3181" spans="1:4" x14ac:dyDescent="0.2">
      <c r="A3181" s="10" t="s">
        <v>3180</v>
      </c>
      <c r="B3181" s="12">
        <v>13.43</v>
      </c>
      <c r="C3181" s="11">
        <v>0</v>
      </c>
      <c r="D3181" s="11">
        <v>1.5542749872897876</v>
      </c>
    </row>
    <row r="3182" spans="1:4" x14ac:dyDescent="0.2">
      <c r="A3182" s="10" t="s">
        <v>3181</v>
      </c>
      <c r="B3182" s="12">
        <v>12.83</v>
      </c>
      <c r="C3182" s="11">
        <v>0</v>
      </c>
      <c r="D3182" s="11">
        <v>2.148265428292254</v>
      </c>
    </row>
    <row r="3183" spans="1:4" x14ac:dyDescent="0.2">
      <c r="A3183" s="10" t="s">
        <v>3182</v>
      </c>
      <c r="B3183" s="12">
        <v>14.32</v>
      </c>
      <c r="C3183" s="11">
        <v>0</v>
      </c>
      <c r="D3183" s="11">
        <v>0.67318916646946225</v>
      </c>
    </row>
    <row r="3184" spans="1:4" x14ac:dyDescent="0.2">
      <c r="A3184" s="10" t="s">
        <v>3183</v>
      </c>
      <c r="B3184" s="12">
        <v>15.54</v>
      </c>
      <c r="C3184" s="11">
        <v>0.53459139690222002</v>
      </c>
      <c r="D3184" s="11">
        <v>0</v>
      </c>
    </row>
    <row r="3185" spans="1:4" x14ac:dyDescent="0.2">
      <c r="A3185" s="10" t="s">
        <v>3184</v>
      </c>
      <c r="B3185" s="12">
        <v>14.09</v>
      </c>
      <c r="C3185" s="11">
        <v>0</v>
      </c>
      <c r="D3185" s="11">
        <v>0.90088550218707442</v>
      </c>
    </row>
    <row r="3186" spans="1:4" x14ac:dyDescent="0.2">
      <c r="A3186" s="10" t="s">
        <v>3185</v>
      </c>
      <c r="B3186" s="12">
        <v>12.67</v>
      </c>
      <c r="C3186" s="11">
        <v>0</v>
      </c>
      <c r="D3186" s="11">
        <v>2.3066628792262454</v>
      </c>
    </row>
    <row r="3187" spans="1:4" x14ac:dyDescent="0.2">
      <c r="A3187" s="10" t="s">
        <v>3186</v>
      </c>
      <c r="B3187" s="12">
        <v>13.53</v>
      </c>
      <c r="C3187" s="11">
        <v>0</v>
      </c>
      <c r="D3187" s="11">
        <v>1.4552765804560432</v>
      </c>
    </row>
    <row r="3188" spans="1:4" x14ac:dyDescent="0.2">
      <c r="A3188" s="10" t="s">
        <v>3187</v>
      </c>
      <c r="B3188" s="12">
        <v>15.82</v>
      </c>
      <c r="C3188" s="11">
        <v>0.81178693603670427</v>
      </c>
      <c r="D3188" s="11">
        <v>0</v>
      </c>
    </row>
    <row r="3189" spans="1:4" x14ac:dyDescent="0.2">
      <c r="A3189" s="10" t="s">
        <v>3188</v>
      </c>
      <c r="B3189" s="12">
        <v>13.26</v>
      </c>
      <c r="C3189" s="11">
        <v>0</v>
      </c>
      <c r="D3189" s="11">
        <v>1.7225722789071531</v>
      </c>
    </row>
    <row r="3190" spans="1:4" x14ac:dyDescent="0.2">
      <c r="A3190" s="10" t="s">
        <v>3189</v>
      </c>
      <c r="B3190" s="12">
        <v>12.96</v>
      </c>
      <c r="C3190" s="11">
        <v>0</v>
      </c>
      <c r="D3190" s="11">
        <v>2.0195674994083865</v>
      </c>
    </row>
    <row r="3191" spans="1:4" x14ac:dyDescent="0.2">
      <c r="A3191" s="10" t="s">
        <v>3190</v>
      </c>
      <c r="B3191" s="12">
        <v>14.8</v>
      </c>
      <c r="C3191" s="11">
        <v>0</v>
      </c>
      <c r="D3191" s="11">
        <v>0.19799681366748889</v>
      </c>
    </row>
    <row r="3192" spans="1:4" x14ac:dyDescent="0.2">
      <c r="A3192" s="10" t="s">
        <v>3191</v>
      </c>
      <c r="B3192" s="12">
        <v>13.04</v>
      </c>
      <c r="C3192" s="11">
        <v>0</v>
      </c>
      <c r="D3192" s="11">
        <v>1.9403687739413908</v>
      </c>
    </row>
    <row r="3193" spans="1:4" x14ac:dyDescent="0.2">
      <c r="A3193" s="10" t="s">
        <v>3192</v>
      </c>
      <c r="B3193" s="12">
        <v>14.96</v>
      </c>
      <c r="C3193" s="11">
        <v>0</v>
      </c>
      <c r="D3193" s="11">
        <v>3.9599362733497775E-2</v>
      </c>
    </row>
    <row r="3194" spans="1:4" x14ac:dyDescent="0.2">
      <c r="A3194" s="10" t="s">
        <v>3193</v>
      </c>
      <c r="B3194" s="12">
        <v>13.39</v>
      </c>
      <c r="C3194" s="11">
        <v>0</v>
      </c>
      <c r="D3194" s="11">
        <v>1.5938743500232855</v>
      </c>
    </row>
    <row r="3195" spans="1:4" x14ac:dyDescent="0.2">
      <c r="A3195" s="10" t="s">
        <v>3194</v>
      </c>
      <c r="B3195" s="12">
        <v>14</v>
      </c>
      <c r="C3195" s="11">
        <v>0</v>
      </c>
      <c r="D3195" s="11">
        <v>0.98998406833744435</v>
      </c>
    </row>
    <row r="3196" spans="1:4" x14ac:dyDescent="0.2">
      <c r="A3196" s="10" t="s">
        <v>3195</v>
      </c>
      <c r="B3196" s="12">
        <v>14.34</v>
      </c>
      <c r="C3196" s="11">
        <v>0</v>
      </c>
      <c r="D3196" s="11">
        <v>0.65338948510271333</v>
      </c>
    </row>
    <row r="3197" spans="1:4" x14ac:dyDescent="0.2">
      <c r="A3197" s="10" t="s">
        <v>3196</v>
      </c>
      <c r="B3197" s="12">
        <v>13.81</v>
      </c>
      <c r="C3197" s="11">
        <v>0</v>
      </c>
      <c r="D3197" s="11">
        <v>1.1780810413215588</v>
      </c>
    </row>
    <row r="3198" spans="1:4" x14ac:dyDescent="0.2">
      <c r="A3198" s="10" t="s">
        <v>3197</v>
      </c>
      <c r="B3198" s="12">
        <v>14.34</v>
      </c>
      <c r="C3198" s="11">
        <v>0</v>
      </c>
      <c r="D3198" s="11">
        <v>0.65338948510271333</v>
      </c>
    </row>
    <row r="3199" spans="1:4" x14ac:dyDescent="0.2">
      <c r="A3199" s="10" t="s">
        <v>3198</v>
      </c>
      <c r="B3199" s="12">
        <v>14</v>
      </c>
      <c r="C3199" s="11">
        <v>0</v>
      </c>
      <c r="D3199" s="11">
        <v>0.98998406833744435</v>
      </c>
    </row>
    <row r="3200" spans="1:4" x14ac:dyDescent="0.2">
      <c r="A3200" s="10" t="s">
        <v>3199</v>
      </c>
      <c r="B3200" s="12">
        <v>14.24</v>
      </c>
      <c r="C3200" s="11">
        <v>0</v>
      </c>
      <c r="D3200" s="11">
        <v>0.75238789193645772</v>
      </c>
    </row>
    <row r="3201" spans="1:4" x14ac:dyDescent="0.2">
      <c r="A3201" s="10" t="s">
        <v>3200</v>
      </c>
      <c r="B3201" s="12">
        <v>15.01</v>
      </c>
      <c r="C3201" s="11">
        <v>9.8998406833744439E-3</v>
      </c>
      <c r="D3201" s="11">
        <v>0</v>
      </c>
    </row>
    <row r="3202" spans="1:4" x14ac:dyDescent="0.2">
      <c r="A3202" s="10" t="s">
        <v>3201</v>
      </c>
      <c r="B3202" s="12">
        <v>12.46</v>
      </c>
      <c r="C3202" s="11">
        <v>0</v>
      </c>
      <c r="D3202" s="11">
        <v>2.5145595335771085</v>
      </c>
    </row>
    <row r="3203" spans="1:4" x14ac:dyDescent="0.2">
      <c r="A3203" s="10" t="s">
        <v>3202</v>
      </c>
      <c r="B3203" s="12">
        <v>15.27</v>
      </c>
      <c r="C3203" s="11">
        <v>0.26729569845111001</v>
      </c>
      <c r="D3203" s="11">
        <v>0</v>
      </c>
    </row>
    <row r="3204" spans="1:4" x14ac:dyDescent="0.2">
      <c r="A3204" s="10" t="s">
        <v>3203</v>
      </c>
      <c r="B3204" s="12">
        <v>13.18</v>
      </c>
      <c r="C3204" s="11">
        <v>0</v>
      </c>
      <c r="D3204" s="11">
        <v>1.8017710043741488</v>
      </c>
    </row>
    <row r="3205" spans="1:4" x14ac:dyDescent="0.2">
      <c r="A3205" s="10" t="s">
        <v>3204</v>
      </c>
      <c r="B3205" s="12">
        <v>14.77</v>
      </c>
      <c r="C3205" s="11">
        <v>0</v>
      </c>
      <c r="D3205" s="11">
        <v>0.22769633571761222</v>
      </c>
    </row>
    <row r="3206" spans="1:4" x14ac:dyDescent="0.2">
      <c r="A3206" s="10" t="s">
        <v>3205</v>
      </c>
      <c r="B3206" s="12">
        <v>11.72</v>
      </c>
      <c r="C3206" s="11">
        <v>0</v>
      </c>
      <c r="D3206" s="11">
        <v>3.2471477441468171</v>
      </c>
    </row>
    <row r="3207" spans="1:4" x14ac:dyDescent="0.2">
      <c r="A3207" s="10" t="s">
        <v>3206</v>
      </c>
      <c r="B3207" s="12">
        <v>14.67</v>
      </c>
      <c r="C3207" s="11">
        <v>0</v>
      </c>
      <c r="D3207" s="11">
        <v>0.32669474255135666</v>
      </c>
    </row>
    <row r="3208" spans="1:4" x14ac:dyDescent="0.2">
      <c r="A3208" s="10" t="s">
        <v>3207</v>
      </c>
      <c r="B3208" s="12">
        <v>13.64</v>
      </c>
      <c r="C3208" s="11">
        <v>0</v>
      </c>
      <c r="D3208" s="11">
        <v>1.3463783329389245</v>
      </c>
    </row>
    <row r="3209" spans="1:4" x14ac:dyDescent="0.2">
      <c r="A3209" s="10" t="s">
        <v>3208</v>
      </c>
      <c r="B3209" s="12">
        <v>12.87</v>
      </c>
      <c r="C3209" s="11">
        <v>0</v>
      </c>
      <c r="D3209" s="11">
        <v>2.1086660655587561</v>
      </c>
    </row>
    <row r="3210" spans="1:4" x14ac:dyDescent="0.2">
      <c r="A3210" s="10" t="s">
        <v>3209</v>
      </c>
      <c r="B3210" s="12">
        <v>14.95</v>
      </c>
      <c r="C3210" s="11">
        <v>0</v>
      </c>
      <c r="D3210" s="11">
        <v>4.9499203416872223E-2</v>
      </c>
    </row>
    <row r="3211" spans="1:4" x14ac:dyDescent="0.2">
      <c r="A3211" s="10" t="s">
        <v>3210</v>
      </c>
      <c r="B3211" s="12">
        <v>13.71</v>
      </c>
      <c r="C3211" s="11">
        <v>0</v>
      </c>
      <c r="D3211" s="11">
        <v>1.2770794481553032</v>
      </c>
    </row>
    <row r="3212" spans="1:4" x14ac:dyDescent="0.2">
      <c r="A3212" s="10" t="s">
        <v>3211</v>
      </c>
      <c r="B3212" s="12">
        <v>13.62</v>
      </c>
      <c r="C3212" s="11">
        <v>0</v>
      </c>
      <c r="D3212" s="11">
        <v>1.366178014305673</v>
      </c>
    </row>
    <row r="3213" spans="1:4" x14ac:dyDescent="0.2">
      <c r="A3213" s="10" t="s">
        <v>3212</v>
      </c>
      <c r="B3213" s="12">
        <v>12.79</v>
      </c>
      <c r="C3213" s="11">
        <v>0</v>
      </c>
      <c r="D3213" s="11">
        <v>2.1878647910257518</v>
      </c>
    </row>
    <row r="3214" spans="1:4" x14ac:dyDescent="0.2">
      <c r="A3214" s="10" t="s">
        <v>3213</v>
      </c>
      <c r="B3214" s="12">
        <v>15.16</v>
      </c>
      <c r="C3214" s="11">
        <v>0.1583974509339911</v>
      </c>
      <c r="D3214" s="11">
        <v>0</v>
      </c>
    </row>
    <row r="3215" spans="1:4" x14ac:dyDescent="0.2">
      <c r="A3215" s="10" t="s">
        <v>3214</v>
      </c>
      <c r="B3215" s="12">
        <v>15.67</v>
      </c>
      <c r="C3215" s="11">
        <v>0.66328932578608779</v>
      </c>
      <c r="D3215" s="11">
        <v>0</v>
      </c>
    </row>
    <row r="3216" spans="1:4" x14ac:dyDescent="0.2">
      <c r="A3216" s="10" t="s">
        <v>3215</v>
      </c>
      <c r="B3216" s="12">
        <v>15.39</v>
      </c>
      <c r="C3216" s="11">
        <v>0.38609378665160332</v>
      </c>
      <c r="D3216" s="11">
        <v>0</v>
      </c>
    </row>
    <row r="3217" spans="1:4" x14ac:dyDescent="0.2">
      <c r="A3217" s="10" t="s">
        <v>3216</v>
      </c>
      <c r="B3217" s="12">
        <v>15.13</v>
      </c>
      <c r="C3217" s="11">
        <v>0.12869792888386777</v>
      </c>
      <c r="D3217" s="11">
        <v>0</v>
      </c>
    </row>
    <row r="3218" spans="1:4" x14ac:dyDescent="0.2">
      <c r="A3218" s="10" t="s">
        <v>3217</v>
      </c>
      <c r="B3218" s="12">
        <v>12.25</v>
      </c>
      <c r="C3218" s="11">
        <v>0</v>
      </c>
      <c r="D3218" s="11">
        <v>2.7224561879279721</v>
      </c>
    </row>
    <row r="3219" spans="1:4" x14ac:dyDescent="0.2">
      <c r="A3219" s="10" t="s">
        <v>3218</v>
      </c>
      <c r="B3219" s="12">
        <v>14.97</v>
      </c>
      <c r="C3219" s="11">
        <v>0</v>
      </c>
      <c r="D3219" s="11">
        <v>2.9699522050123328E-2</v>
      </c>
    </row>
    <row r="3220" spans="1:4" x14ac:dyDescent="0.2">
      <c r="A3220" s="10" t="s">
        <v>3219</v>
      </c>
      <c r="B3220" s="12">
        <v>15.38</v>
      </c>
      <c r="C3220" s="11">
        <v>0.37619394596822886</v>
      </c>
      <c r="D3220" s="11">
        <v>0</v>
      </c>
    </row>
    <row r="3221" spans="1:4" x14ac:dyDescent="0.2">
      <c r="A3221" s="10" t="s">
        <v>3220</v>
      </c>
      <c r="B3221" s="12">
        <v>16.43</v>
      </c>
      <c r="C3221" s="11">
        <v>1.4156772177225454</v>
      </c>
      <c r="D3221" s="11">
        <v>0</v>
      </c>
    </row>
    <row r="3222" spans="1:4" x14ac:dyDescent="0.2">
      <c r="A3222" s="10" t="s">
        <v>3221</v>
      </c>
      <c r="B3222" s="12">
        <v>15.18</v>
      </c>
      <c r="C3222" s="11">
        <v>0.17819713230073997</v>
      </c>
      <c r="D3222" s="11">
        <v>0</v>
      </c>
    </row>
    <row r="3223" spans="1:4" x14ac:dyDescent="0.2">
      <c r="A3223" s="10" t="s">
        <v>3222</v>
      </c>
      <c r="B3223" s="12">
        <v>13.49</v>
      </c>
      <c r="C3223" s="11">
        <v>0</v>
      </c>
      <c r="D3223" s="11">
        <v>1.4948759431895409</v>
      </c>
    </row>
    <row r="3224" spans="1:4" x14ac:dyDescent="0.2">
      <c r="A3224" s="10" t="s">
        <v>3223</v>
      </c>
      <c r="B3224" s="12">
        <v>13.7</v>
      </c>
      <c r="C3224" s="11">
        <v>0</v>
      </c>
      <c r="D3224" s="11">
        <v>1.2869792888386777</v>
      </c>
    </row>
    <row r="3225" spans="1:4" x14ac:dyDescent="0.2">
      <c r="A3225" s="10" t="s">
        <v>3224</v>
      </c>
      <c r="B3225" s="12">
        <v>13.84</v>
      </c>
      <c r="C3225" s="11">
        <v>0</v>
      </c>
      <c r="D3225" s="11">
        <v>1.1483815192714353</v>
      </c>
    </row>
    <row r="3226" spans="1:4" x14ac:dyDescent="0.2">
      <c r="A3226" s="10" t="s">
        <v>3225</v>
      </c>
      <c r="B3226" s="12">
        <v>13.7</v>
      </c>
      <c r="C3226" s="11">
        <v>0</v>
      </c>
      <c r="D3226" s="11">
        <v>1.2869792888386777</v>
      </c>
    </row>
    <row r="3227" spans="1:4" x14ac:dyDescent="0.2">
      <c r="A3227" s="10" t="s">
        <v>3226</v>
      </c>
      <c r="B3227" s="12">
        <v>16.829999999999998</v>
      </c>
      <c r="C3227" s="11">
        <v>1.8116708450575232</v>
      </c>
      <c r="D3227" s="11">
        <v>0</v>
      </c>
    </row>
    <row r="3228" spans="1:4" x14ac:dyDescent="0.2">
      <c r="A3228" s="10" t="s">
        <v>3227</v>
      </c>
      <c r="B3228" s="12">
        <v>13.8</v>
      </c>
      <c r="C3228" s="11">
        <v>0</v>
      </c>
      <c r="D3228" s="11">
        <v>1.1879808820049331</v>
      </c>
    </row>
    <row r="3229" spans="1:4" x14ac:dyDescent="0.2">
      <c r="A3229" s="10" t="s">
        <v>3228</v>
      </c>
      <c r="B3229" s="12">
        <v>15.16</v>
      </c>
      <c r="C3229" s="11">
        <v>0.1583974509339911</v>
      </c>
      <c r="D3229" s="11">
        <v>0</v>
      </c>
    </row>
    <row r="3230" spans="1:4" x14ac:dyDescent="0.2">
      <c r="A3230" s="10" t="s">
        <v>3229</v>
      </c>
      <c r="B3230" s="12">
        <v>14.35</v>
      </c>
      <c r="C3230" s="11">
        <v>0</v>
      </c>
      <c r="D3230" s="11">
        <v>0.64348964441933887</v>
      </c>
    </row>
    <row r="3231" spans="1:4" x14ac:dyDescent="0.2">
      <c r="A3231" s="10" t="s">
        <v>3230</v>
      </c>
      <c r="B3231" s="12">
        <v>14.23</v>
      </c>
      <c r="C3231" s="11">
        <v>0</v>
      </c>
      <c r="D3231" s="11">
        <v>0.76228773261983218</v>
      </c>
    </row>
    <row r="3232" spans="1:4" x14ac:dyDescent="0.2">
      <c r="A3232" s="10" t="s">
        <v>3231</v>
      </c>
      <c r="B3232" s="12">
        <v>14.16</v>
      </c>
      <c r="C3232" s="11">
        <v>0</v>
      </c>
      <c r="D3232" s="11">
        <v>0.83158661740345319</v>
      </c>
    </row>
    <row r="3233" spans="1:4" x14ac:dyDescent="0.2">
      <c r="A3233" s="10" t="s">
        <v>3232</v>
      </c>
      <c r="B3233" s="12">
        <v>13.83</v>
      </c>
      <c r="C3233" s="11">
        <v>0</v>
      </c>
      <c r="D3233" s="11">
        <v>1.1582813599548099</v>
      </c>
    </row>
    <row r="3234" spans="1:4" x14ac:dyDescent="0.2">
      <c r="A3234" s="10" t="s">
        <v>3233</v>
      </c>
      <c r="B3234" s="12">
        <v>12.29</v>
      </c>
      <c r="C3234" s="11">
        <v>0</v>
      </c>
      <c r="D3234" s="11">
        <v>2.6828568251944742</v>
      </c>
    </row>
    <row r="3235" spans="1:4" x14ac:dyDescent="0.2">
      <c r="A3235" s="10" t="s">
        <v>3234</v>
      </c>
      <c r="B3235" s="12">
        <v>12.15</v>
      </c>
      <c r="C3235" s="11">
        <v>0</v>
      </c>
      <c r="D3235" s="11">
        <v>2.8214545947617165</v>
      </c>
    </row>
    <row r="3236" spans="1:4" x14ac:dyDescent="0.2">
      <c r="A3236" s="10" t="s">
        <v>3235</v>
      </c>
      <c r="B3236" s="12">
        <v>13.46</v>
      </c>
      <c r="C3236" s="11">
        <v>0</v>
      </c>
      <c r="D3236" s="11">
        <v>1.5245754652396644</v>
      </c>
    </row>
    <row r="3237" spans="1:4" x14ac:dyDescent="0.2">
      <c r="A3237" s="10" t="s">
        <v>3236</v>
      </c>
      <c r="B3237" s="12">
        <v>13.42</v>
      </c>
      <c r="C3237" s="11">
        <v>0</v>
      </c>
      <c r="D3237" s="11">
        <v>1.5641748279731622</v>
      </c>
    </row>
    <row r="3238" spans="1:4" x14ac:dyDescent="0.2">
      <c r="A3238" s="10" t="s">
        <v>3237</v>
      </c>
      <c r="B3238" s="12">
        <v>15.94</v>
      </c>
      <c r="C3238" s="11">
        <v>0.93058502423719758</v>
      </c>
      <c r="D3238" s="11">
        <v>0</v>
      </c>
    </row>
    <row r="3239" spans="1:4" x14ac:dyDescent="0.2">
      <c r="A3239" s="10" t="s">
        <v>3238</v>
      </c>
      <c r="B3239" s="12">
        <v>13.66</v>
      </c>
      <c r="C3239" s="11">
        <v>0</v>
      </c>
      <c r="D3239" s="11">
        <v>1.3265786515721756</v>
      </c>
    </row>
    <row r="3240" spans="1:4" x14ac:dyDescent="0.2">
      <c r="A3240" s="10" t="s">
        <v>3239</v>
      </c>
      <c r="B3240" s="12">
        <v>13.35</v>
      </c>
      <c r="C3240" s="11">
        <v>0</v>
      </c>
      <c r="D3240" s="11">
        <v>1.6334737127567831</v>
      </c>
    </row>
    <row r="3241" spans="1:4" x14ac:dyDescent="0.2">
      <c r="A3241" s="10" t="s">
        <v>3240</v>
      </c>
      <c r="B3241" s="12">
        <v>13.26</v>
      </c>
      <c r="C3241" s="11">
        <v>0</v>
      </c>
      <c r="D3241" s="11">
        <v>1.7225722789071531</v>
      </c>
    </row>
    <row r="3242" spans="1:4" x14ac:dyDescent="0.2">
      <c r="A3242" s="10" t="s">
        <v>3241</v>
      </c>
      <c r="B3242" s="12">
        <v>14.01</v>
      </c>
      <c r="C3242" s="11">
        <v>0</v>
      </c>
      <c r="D3242" s="11">
        <v>0.98008422765406988</v>
      </c>
    </row>
    <row r="3243" spans="1:4" x14ac:dyDescent="0.2">
      <c r="A3243" s="10" t="s">
        <v>3242</v>
      </c>
      <c r="B3243" s="12">
        <v>12.96</v>
      </c>
      <c r="C3243" s="11">
        <v>0</v>
      </c>
      <c r="D3243" s="11">
        <v>2.0195674994083865</v>
      </c>
    </row>
    <row r="3244" spans="1:4" x14ac:dyDescent="0.2">
      <c r="A3244" s="10" t="s">
        <v>3243</v>
      </c>
      <c r="B3244" s="12">
        <v>13.91</v>
      </c>
      <c r="C3244" s="11">
        <v>0</v>
      </c>
      <c r="D3244" s="11">
        <v>1.0790826344878144</v>
      </c>
    </row>
    <row r="3245" spans="1:4" x14ac:dyDescent="0.2">
      <c r="A3245" s="10" t="s">
        <v>3244</v>
      </c>
      <c r="B3245" s="12">
        <v>16.23</v>
      </c>
      <c r="C3245" s="11">
        <v>1.2176804040550566</v>
      </c>
      <c r="D3245" s="11">
        <v>0</v>
      </c>
    </row>
    <row r="3246" spans="1:4" x14ac:dyDescent="0.2">
      <c r="A3246" s="10" t="s">
        <v>3245</v>
      </c>
      <c r="B3246" s="12">
        <v>14.29</v>
      </c>
      <c r="C3246" s="11">
        <v>0</v>
      </c>
      <c r="D3246" s="11">
        <v>0.70288868851958541</v>
      </c>
    </row>
    <row r="3247" spans="1:4" x14ac:dyDescent="0.2">
      <c r="A3247" s="10" t="s">
        <v>3246</v>
      </c>
      <c r="B3247" s="12">
        <v>13.56</v>
      </c>
      <c r="C3247" s="11">
        <v>0</v>
      </c>
      <c r="D3247" s="11">
        <v>1.4255770584059198</v>
      </c>
    </row>
    <row r="3248" spans="1:4" x14ac:dyDescent="0.2">
      <c r="A3248" s="10" t="s">
        <v>3247</v>
      </c>
      <c r="B3248" s="12">
        <v>14.47</v>
      </c>
      <c r="C3248" s="11">
        <v>0</v>
      </c>
      <c r="D3248" s="11">
        <v>0.52469155621884556</v>
      </c>
    </row>
    <row r="3249" spans="1:4" x14ac:dyDescent="0.2">
      <c r="A3249" s="10" t="s">
        <v>3248</v>
      </c>
      <c r="B3249" s="12">
        <v>15.43</v>
      </c>
      <c r="C3249" s="11">
        <v>0.42569314938510106</v>
      </c>
      <c r="D3249" s="11">
        <v>0</v>
      </c>
    </row>
    <row r="3250" spans="1:4" x14ac:dyDescent="0.2">
      <c r="A3250" s="10" t="s">
        <v>3249</v>
      </c>
      <c r="B3250" s="12">
        <v>14.39</v>
      </c>
      <c r="C3250" s="11">
        <v>0</v>
      </c>
      <c r="D3250" s="11">
        <v>0.60389028168584102</v>
      </c>
    </row>
    <row r="3251" spans="1:4" x14ac:dyDescent="0.2">
      <c r="A3251" s="10" t="s">
        <v>3250</v>
      </c>
      <c r="B3251" s="12">
        <v>15.08</v>
      </c>
      <c r="C3251" s="11">
        <v>7.9198725466995551E-2</v>
      </c>
      <c r="D3251" s="11">
        <v>0</v>
      </c>
    </row>
    <row r="3252" spans="1:4" x14ac:dyDescent="0.2">
      <c r="A3252" s="10" t="s">
        <v>3251</v>
      </c>
      <c r="B3252" s="12">
        <v>15.17</v>
      </c>
      <c r="C3252" s="11">
        <v>0.16829729161736556</v>
      </c>
      <c r="D3252" s="11">
        <v>0</v>
      </c>
    </row>
    <row r="3253" spans="1:4" x14ac:dyDescent="0.2">
      <c r="A3253" s="10" t="s">
        <v>3252</v>
      </c>
      <c r="B3253" s="12">
        <v>14.66</v>
      </c>
      <c r="C3253" s="11">
        <v>0</v>
      </c>
      <c r="D3253" s="11">
        <v>0.33659458323473113</v>
      </c>
    </row>
    <row r="3254" spans="1:4" x14ac:dyDescent="0.2">
      <c r="A3254" s="10" t="s">
        <v>3253</v>
      </c>
      <c r="B3254" s="12">
        <v>13.59</v>
      </c>
      <c r="C3254" s="11">
        <v>0</v>
      </c>
      <c r="D3254" s="11">
        <v>1.3958775363557965</v>
      </c>
    </row>
    <row r="3255" spans="1:4" x14ac:dyDescent="0.2">
      <c r="A3255" s="10" t="s">
        <v>3254</v>
      </c>
      <c r="B3255" s="12">
        <v>12.45</v>
      </c>
      <c r="C3255" s="11">
        <v>0</v>
      </c>
      <c r="D3255" s="11">
        <v>2.5244593742604828</v>
      </c>
    </row>
    <row r="3256" spans="1:4" x14ac:dyDescent="0.2">
      <c r="A3256" s="10" t="s">
        <v>3255</v>
      </c>
      <c r="B3256" s="12">
        <v>14.09</v>
      </c>
      <c r="C3256" s="11">
        <v>0</v>
      </c>
      <c r="D3256" s="11">
        <v>0.90088550218707442</v>
      </c>
    </row>
    <row r="3257" spans="1:4" x14ac:dyDescent="0.2">
      <c r="A3257" s="10" t="s">
        <v>3256</v>
      </c>
      <c r="B3257" s="12">
        <v>15.06</v>
      </c>
      <c r="C3257" s="11">
        <v>5.9399044100246656E-2</v>
      </c>
      <c r="D3257" s="11">
        <v>0</v>
      </c>
    </row>
    <row r="3258" spans="1:4" x14ac:dyDescent="0.2">
      <c r="A3258" s="10" t="s">
        <v>3257</v>
      </c>
      <c r="B3258" s="12">
        <v>14.57</v>
      </c>
      <c r="C3258" s="11">
        <v>0</v>
      </c>
      <c r="D3258" s="11">
        <v>0.42569314938510106</v>
      </c>
    </row>
    <row r="3259" spans="1:4" x14ac:dyDescent="0.2">
      <c r="A3259" s="10" t="s">
        <v>3258</v>
      </c>
      <c r="B3259" s="12">
        <v>13.62</v>
      </c>
      <c r="C3259" s="11">
        <v>0</v>
      </c>
      <c r="D3259" s="11">
        <v>1.366178014305673</v>
      </c>
    </row>
    <row r="3260" spans="1:4" x14ac:dyDescent="0.2">
      <c r="A3260" s="10" t="s">
        <v>3259</v>
      </c>
      <c r="B3260" s="12">
        <v>13.33</v>
      </c>
      <c r="C3260" s="11">
        <v>0</v>
      </c>
      <c r="D3260" s="11">
        <v>1.653273394123532</v>
      </c>
    </row>
    <row r="3261" spans="1:4" x14ac:dyDescent="0.2">
      <c r="A3261" s="10" t="s">
        <v>3260</v>
      </c>
      <c r="B3261" s="12">
        <v>14.36</v>
      </c>
      <c r="C3261" s="11">
        <v>0</v>
      </c>
      <c r="D3261" s="11">
        <v>0.64348964441933887</v>
      </c>
    </row>
    <row r="3262" spans="1:4" x14ac:dyDescent="0.2">
      <c r="A3262" s="10" t="s">
        <v>3261</v>
      </c>
      <c r="B3262" s="12">
        <v>12.8</v>
      </c>
      <c r="C3262" s="11">
        <v>0</v>
      </c>
      <c r="D3262" s="11">
        <v>2.1779649503423779</v>
      </c>
    </row>
    <row r="3263" spans="1:4" x14ac:dyDescent="0.2">
      <c r="A3263" s="10" t="s">
        <v>3262</v>
      </c>
      <c r="B3263" s="12">
        <v>13.92</v>
      </c>
      <c r="C3263" s="11">
        <v>0</v>
      </c>
      <c r="D3263" s="11">
        <v>1.06918279380444</v>
      </c>
    </row>
    <row r="3264" spans="1:4" x14ac:dyDescent="0.2">
      <c r="A3264" s="10" t="s">
        <v>3263</v>
      </c>
      <c r="B3264" s="12">
        <v>14.14</v>
      </c>
      <c r="C3264" s="11">
        <v>0</v>
      </c>
      <c r="D3264" s="11">
        <v>0.85138629877020211</v>
      </c>
    </row>
    <row r="3265" spans="1:4" x14ac:dyDescent="0.2">
      <c r="A3265" s="10" t="s">
        <v>3264</v>
      </c>
      <c r="B3265" s="12">
        <v>15.18</v>
      </c>
      <c r="C3265" s="11">
        <v>0.17819713230073997</v>
      </c>
      <c r="D3265" s="11">
        <v>0</v>
      </c>
    </row>
    <row r="3266" spans="1:4" x14ac:dyDescent="0.2">
      <c r="A3266" s="10" t="s">
        <v>3265</v>
      </c>
      <c r="B3266" s="12">
        <v>15.81</v>
      </c>
      <c r="C3266" s="11">
        <v>0.80188709535333003</v>
      </c>
      <c r="D3266" s="11">
        <v>0</v>
      </c>
    </row>
    <row r="3267" spans="1:4" x14ac:dyDescent="0.2">
      <c r="A3267" s="10" t="s">
        <v>3266</v>
      </c>
      <c r="B3267" s="12">
        <v>16.73</v>
      </c>
      <c r="C3267" s="11">
        <v>1.7126724382237788</v>
      </c>
      <c r="D3267" s="11">
        <v>0</v>
      </c>
    </row>
    <row r="3268" spans="1:4" x14ac:dyDescent="0.2">
      <c r="A3268" s="10" t="s">
        <v>3267</v>
      </c>
      <c r="B3268" s="12">
        <v>13.37</v>
      </c>
      <c r="C3268" s="11">
        <v>0</v>
      </c>
      <c r="D3268" s="11">
        <v>1.6136740313900342</v>
      </c>
    </row>
    <row r="3269" spans="1:4" x14ac:dyDescent="0.2">
      <c r="A3269" s="10" t="s">
        <v>3268</v>
      </c>
      <c r="B3269" s="12">
        <v>14.65</v>
      </c>
      <c r="C3269" s="11">
        <v>0</v>
      </c>
      <c r="D3269" s="11">
        <v>0.34649442391810548</v>
      </c>
    </row>
    <row r="3270" spans="1:4" x14ac:dyDescent="0.2">
      <c r="A3270" s="10" t="s">
        <v>3269</v>
      </c>
      <c r="B3270" s="12">
        <v>14.02</v>
      </c>
      <c r="C3270" s="11">
        <v>0</v>
      </c>
      <c r="D3270" s="11">
        <v>0.97018438697069542</v>
      </c>
    </row>
    <row r="3271" spans="1:4" x14ac:dyDescent="0.2">
      <c r="A3271" s="10" t="s">
        <v>3270</v>
      </c>
      <c r="B3271" s="12">
        <v>14.01</v>
      </c>
      <c r="C3271" s="11">
        <v>0</v>
      </c>
      <c r="D3271" s="11">
        <v>0.98008422765406988</v>
      </c>
    </row>
    <row r="3272" spans="1:4" x14ac:dyDescent="0.2">
      <c r="A3272" s="10" t="s">
        <v>3271</v>
      </c>
      <c r="B3272" s="12">
        <v>16.3</v>
      </c>
      <c r="C3272" s="11">
        <v>1.2869792888386777</v>
      </c>
      <c r="D3272" s="11">
        <v>0</v>
      </c>
    </row>
    <row r="3273" spans="1:4" x14ac:dyDescent="0.2">
      <c r="A3273" s="10" t="s">
        <v>3272</v>
      </c>
      <c r="B3273" s="12">
        <v>13.66</v>
      </c>
      <c r="C3273" s="11">
        <v>0</v>
      </c>
      <c r="D3273" s="11">
        <v>1.3265786515721756</v>
      </c>
    </row>
    <row r="3274" spans="1:4" x14ac:dyDescent="0.2">
      <c r="A3274" s="10" t="s">
        <v>3273</v>
      </c>
      <c r="B3274" s="12">
        <v>13.22</v>
      </c>
      <c r="C3274" s="11">
        <v>0</v>
      </c>
      <c r="D3274" s="11">
        <v>1.762171641640651</v>
      </c>
    </row>
    <row r="3275" spans="1:4" x14ac:dyDescent="0.2">
      <c r="A3275" s="10" t="s">
        <v>3274</v>
      </c>
      <c r="B3275" s="12">
        <v>18.309999999999999</v>
      </c>
      <c r="C3275" s="11">
        <v>3.276847266196941</v>
      </c>
      <c r="D3275" s="11">
        <v>0</v>
      </c>
    </row>
    <row r="3276" spans="1:4" x14ac:dyDescent="0.2">
      <c r="A3276" s="10" t="s">
        <v>3275</v>
      </c>
      <c r="B3276" s="12">
        <v>15.04</v>
      </c>
      <c r="C3276" s="11">
        <v>3.9599362733497775E-2</v>
      </c>
      <c r="D3276" s="11">
        <v>0</v>
      </c>
    </row>
    <row r="3277" spans="1:4" x14ac:dyDescent="0.2">
      <c r="A3277" s="10" t="s">
        <v>3276</v>
      </c>
      <c r="B3277" s="12">
        <v>12.59</v>
      </c>
      <c r="C3277" s="11">
        <v>0</v>
      </c>
      <c r="D3277" s="11">
        <v>2.385861604693241</v>
      </c>
    </row>
    <row r="3278" spans="1:4" x14ac:dyDescent="0.2">
      <c r="A3278" s="10" t="s">
        <v>3277</v>
      </c>
      <c r="B3278" s="12">
        <v>14.07</v>
      </c>
      <c r="C3278" s="11">
        <v>0</v>
      </c>
      <c r="D3278" s="11">
        <v>0.92068518355382334</v>
      </c>
    </row>
    <row r="3279" spans="1:4" x14ac:dyDescent="0.2">
      <c r="A3279" s="10" t="s">
        <v>3278</v>
      </c>
      <c r="B3279" s="12">
        <v>13.3</v>
      </c>
      <c r="C3279" s="11">
        <v>0</v>
      </c>
      <c r="D3279" s="11">
        <v>1.6829729161736553</v>
      </c>
    </row>
    <row r="3280" spans="1:4" x14ac:dyDescent="0.2">
      <c r="A3280" s="10" t="s">
        <v>3279</v>
      </c>
      <c r="B3280" s="12">
        <v>16.73</v>
      </c>
      <c r="C3280" s="11">
        <v>1.7126724382237788</v>
      </c>
      <c r="D3280" s="11">
        <v>0</v>
      </c>
    </row>
    <row r="3281" spans="1:4" x14ac:dyDescent="0.2">
      <c r="A3281" s="10" t="s">
        <v>3280</v>
      </c>
      <c r="B3281" s="12">
        <v>16.62</v>
      </c>
      <c r="C3281" s="11">
        <v>1.6037741907066601</v>
      </c>
      <c r="D3281" s="11">
        <v>0</v>
      </c>
    </row>
    <row r="3282" spans="1:4" x14ac:dyDescent="0.2">
      <c r="A3282" s="10" t="s">
        <v>3281</v>
      </c>
      <c r="B3282" s="12">
        <v>16.12</v>
      </c>
      <c r="C3282" s="11">
        <v>1.1087821565379379</v>
      </c>
      <c r="D3282" s="11">
        <v>0</v>
      </c>
    </row>
    <row r="3283" spans="1:4" x14ac:dyDescent="0.2">
      <c r="A3283" s="10" t="s">
        <v>3282</v>
      </c>
      <c r="B3283" s="12">
        <v>14.47</v>
      </c>
      <c r="C3283" s="11">
        <v>0</v>
      </c>
      <c r="D3283" s="11">
        <v>0.52469155621884556</v>
      </c>
    </row>
    <row r="3284" spans="1:4" x14ac:dyDescent="0.2">
      <c r="A3284" s="10" t="s">
        <v>3283</v>
      </c>
      <c r="B3284" s="12">
        <v>14.57</v>
      </c>
      <c r="C3284" s="11">
        <v>0</v>
      </c>
      <c r="D3284" s="11">
        <v>0.42569314938510106</v>
      </c>
    </row>
    <row r="3285" spans="1:4" x14ac:dyDescent="0.2">
      <c r="A3285" s="10" t="s">
        <v>3284</v>
      </c>
      <c r="B3285" s="12">
        <v>14.28</v>
      </c>
      <c r="C3285" s="11">
        <v>0</v>
      </c>
      <c r="D3285" s="11">
        <v>0.71278852920295988</v>
      </c>
    </row>
    <row r="3286" spans="1:4" x14ac:dyDescent="0.2">
      <c r="A3286" s="10" t="s">
        <v>3285</v>
      </c>
      <c r="B3286" s="12">
        <v>13.67</v>
      </c>
      <c r="C3286" s="11">
        <v>0</v>
      </c>
      <c r="D3286" s="11">
        <v>1.316678810888801</v>
      </c>
    </row>
    <row r="3287" spans="1:4" x14ac:dyDescent="0.2">
      <c r="A3287" s="10" t="s">
        <v>3286</v>
      </c>
      <c r="B3287" s="12">
        <v>13.58</v>
      </c>
      <c r="C3287" s="11">
        <v>0</v>
      </c>
      <c r="D3287" s="11">
        <v>1.4057773770391708</v>
      </c>
    </row>
    <row r="3288" spans="1:4" x14ac:dyDescent="0.2">
      <c r="A3288" s="10" t="s">
        <v>3287</v>
      </c>
      <c r="B3288" s="12">
        <v>13.43</v>
      </c>
      <c r="C3288" s="11">
        <v>0</v>
      </c>
      <c r="D3288" s="11">
        <v>1.5542749872897876</v>
      </c>
    </row>
    <row r="3289" spans="1:4" x14ac:dyDescent="0.2">
      <c r="A3289" s="10" t="s">
        <v>3288</v>
      </c>
      <c r="B3289" s="12">
        <v>14.98</v>
      </c>
      <c r="C3289" s="11">
        <v>0</v>
      </c>
      <c r="D3289" s="11">
        <v>1.9799681366748888E-2</v>
      </c>
    </row>
    <row r="3290" spans="1:4" x14ac:dyDescent="0.2">
      <c r="A3290" s="10" t="s">
        <v>3289</v>
      </c>
      <c r="B3290" s="12">
        <v>13.71</v>
      </c>
      <c r="C3290" s="11">
        <v>0</v>
      </c>
      <c r="D3290" s="11">
        <v>1.2770794481553032</v>
      </c>
    </row>
    <row r="3291" spans="1:4" x14ac:dyDescent="0.2">
      <c r="A3291" s="10" t="s">
        <v>3290</v>
      </c>
      <c r="B3291" s="12">
        <v>15.11</v>
      </c>
      <c r="C3291" s="11">
        <v>0.10889824751711888</v>
      </c>
      <c r="D3291" s="11">
        <v>0</v>
      </c>
    </row>
    <row r="3292" spans="1:4" x14ac:dyDescent="0.2">
      <c r="A3292" s="10" t="s">
        <v>3291</v>
      </c>
      <c r="B3292" s="12">
        <v>14.79</v>
      </c>
      <c r="C3292" s="11">
        <v>0</v>
      </c>
      <c r="D3292" s="11">
        <v>0.2078966543508633</v>
      </c>
    </row>
    <row r="3293" spans="1:4" x14ac:dyDescent="0.2">
      <c r="A3293" s="10" t="s">
        <v>3292</v>
      </c>
      <c r="B3293" s="12">
        <v>15.06</v>
      </c>
      <c r="C3293" s="11">
        <v>5.9399044100246656E-2</v>
      </c>
      <c r="D3293" s="11">
        <v>0</v>
      </c>
    </row>
    <row r="3294" spans="1:4" x14ac:dyDescent="0.2">
      <c r="A3294" s="10" t="s">
        <v>3293</v>
      </c>
      <c r="B3294" s="12">
        <v>14.46</v>
      </c>
      <c r="C3294" s="11">
        <v>0</v>
      </c>
      <c r="D3294" s="11">
        <v>0.53459139690222002</v>
      </c>
    </row>
    <row r="3295" spans="1:4" x14ac:dyDescent="0.2">
      <c r="A3295" s="10" t="s">
        <v>3294</v>
      </c>
      <c r="B3295" s="12">
        <v>14.94</v>
      </c>
      <c r="C3295" s="11">
        <v>0</v>
      </c>
      <c r="D3295" s="11">
        <v>5.9399044100246656E-2</v>
      </c>
    </row>
    <row r="3296" spans="1:4" x14ac:dyDescent="0.2">
      <c r="A3296" s="10" t="s">
        <v>3295</v>
      </c>
      <c r="B3296" s="12">
        <v>13.85</v>
      </c>
      <c r="C3296" s="11">
        <v>0</v>
      </c>
      <c r="D3296" s="11">
        <v>1.1384816785880609</v>
      </c>
    </row>
    <row r="3297" spans="1:4" x14ac:dyDescent="0.2">
      <c r="A3297" s="10" t="s">
        <v>3296</v>
      </c>
      <c r="B3297" s="12">
        <v>15.04</v>
      </c>
      <c r="C3297" s="11">
        <v>3.9599362733497775E-2</v>
      </c>
      <c r="D3297" s="11">
        <v>0</v>
      </c>
    </row>
    <row r="3298" spans="1:4" x14ac:dyDescent="0.2">
      <c r="A3298" s="10" t="s">
        <v>3297</v>
      </c>
      <c r="B3298" s="12">
        <v>13.72</v>
      </c>
      <c r="C3298" s="11">
        <v>0</v>
      </c>
      <c r="D3298" s="11">
        <v>1.2671796074719288</v>
      </c>
    </row>
    <row r="3299" spans="1:4" x14ac:dyDescent="0.2">
      <c r="A3299" s="10" t="s">
        <v>3298</v>
      </c>
      <c r="B3299" s="12">
        <v>14.04</v>
      </c>
      <c r="C3299" s="11">
        <v>0</v>
      </c>
      <c r="D3299" s="11">
        <v>0.9503847056039465</v>
      </c>
    </row>
    <row r="3300" spans="1:4" x14ac:dyDescent="0.2">
      <c r="A3300" s="10" t="s">
        <v>3299</v>
      </c>
      <c r="B3300" s="12">
        <v>14.35</v>
      </c>
      <c r="C3300" s="11">
        <v>0</v>
      </c>
      <c r="D3300" s="11">
        <v>0.64348964441933887</v>
      </c>
    </row>
    <row r="3301" spans="1:4" x14ac:dyDescent="0.2">
      <c r="A3301" s="10" t="s">
        <v>3300</v>
      </c>
      <c r="B3301" s="12">
        <v>14.47</v>
      </c>
      <c r="C3301" s="11">
        <v>0</v>
      </c>
      <c r="D3301" s="11">
        <v>0.52469155621884556</v>
      </c>
    </row>
    <row r="3302" spans="1:4" x14ac:dyDescent="0.2">
      <c r="A3302" s="10" t="s">
        <v>3301</v>
      </c>
      <c r="B3302" s="12">
        <v>14.07</v>
      </c>
      <c r="C3302" s="11">
        <v>0</v>
      </c>
      <c r="D3302" s="11">
        <v>0.92068518355382334</v>
      </c>
    </row>
    <row r="3303" spans="1:4" x14ac:dyDescent="0.2">
      <c r="A3303" s="10" t="s">
        <v>3302</v>
      </c>
      <c r="B3303" s="12">
        <v>13.34</v>
      </c>
      <c r="C3303" s="11">
        <v>0</v>
      </c>
      <c r="D3303" s="11">
        <v>1.653273394123532</v>
      </c>
    </row>
    <row r="3304" spans="1:4" x14ac:dyDescent="0.2">
      <c r="A3304" s="10" t="s">
        <v>3303</v>
      </c>
      <c r="B3304" s="12">
        <v>14.71</v>
      </c>
      <c r="C3304" s="11">
        <v>0</v>
      </c>
      <c r="D3304" s="11">
        <v>0.28709537981785882</v>
      </c>
    </row>
    <row r="3305" spans="1:4" x14ac:dyDescent="0.2">
      <c r="A3305" s="10" t="s">
        <v>3304</v>
      </c>
      <c r="B3305" s="12">
        <v>14.51</v>
      </c>
      <c r="C3305" s="11">
        <v>0</v>
      </c>
      <c r="D3305" s="11">
        <v>0.48509219348534771</v>
      </c>
    </row>
    <row r="3306" spans="1:4" x14ac:dyDescent="0.2">
      <c r="A3306" s="10" t="s">
        <v>3305</v>
      </c>
      <c r="B3306" s="12">
        <v>14.41</v>
      </c>
      <c r="C3306" s="11">
        <v>0</v>
      </c>
      <c r="D3306" s="11">
        <v>0.5840906003190921</v>
      </c>
    </row>
    <row r="3307" spans="1:4" x14ac:dyDescent="0.2">
      <c r="A3307" s="10" t="s">
        <v>3306</v>
      </c>
      <c r="B3307" s="12">
        <v>13.39</v>
      </c>
      <c r="C3307" s="11">
        <v>0</v>
      </c>
      <c r="D3307" s="11">
        <v>1.5938743500232855</v>
      </c>
    </row>
    <row r="3308" spans="1:4" x14ac:dyDescent="0.2">
      <c r="A3308" s="10" t="s">
        <v>3307</v>
      </c>
      <c r="B3308" s="12">
        <v>12.35</v>
      </c>
      <c r="C3308" s="11">
        <v>0</v>
      </c>
      <c r="D3308" s="11">
        <v>2.6234577810942272</v>
      </c>
    </row>
    <row r="3309" spans="1:4" x14ac:dyDescent="0.2">
      <c r="A3309" s="10" t="s">
        <v>3308</v>
      </c>
      <c r="B3309" s="12">
        <v>14.76</v>
      </c>
      <c r="C3309" s="11">
        <v>0</v>
      </c>
      <c r="D3309" s="11">
        <v>0.23759617640098663</v>
      </c>
    </row>
    <row r="3310" spans="1:4" x14ac:dyDescent="0.2">
      <c r="A3310" s="10" t="s">
        <v>3309</v>
      </c>
      <c r="B3310" s="12">
        <v>13.49</v>
      </c>
      <c r="C3310" s="11">
        <v>0</v>
      </c>
      <c r="D3310" s="11">
        <v>1.4948759431895409</v>
      </c>
    </row>
    <row r="3311" spans="1:4" x14ac:dyDescent="0.2">
      <c r="A3311" s="10" t="s">
        <v>3310</v>
      </c>
      <c r="B3311" s="12">
        <v>15.67</v>
      </c>
      <c r="C3311" s="11">
        <v>0.66328932578608779</v>
      </c>
      <c r="D3311" s="11">
        <v>0</v>
      </c>
    </row>
    <row r="3312" spans="1:4" x14ac:dyDescent="0.2">
      <c r="A3312" s="10" t="s">
        <v>3311</v>
      </c>
      <c r="B3312" s="12">
        <v>13.99</v>
      </c>
      <c r="C3312" s="11">
        <v>0</v>
      </c>
      <c r="D3312" s="11">
        <v>0.99988390902081881</v>
      </c>
    </row>
    <row r="3313" spans="1:4" x14ac:dyDescent="0.2">
      <c r="A3313" s="10" t="s">
        <v>3312</v>
      </c>
      <c r="B3313" s="12">
        <v>16.8</v>
      </c>
      <c r="C3313" s="11">
        <v>1.7819713230073999</v>
      </c>
      <c r="D3313" s="11">
        <v>0</v>
      </c>
    </row>
    <row r="3314" spans="1:4" x14ac:dyDescent="0.2">
      <c r="A3314" s="10" t="s">
        <v>3313</v>
      </c>
      <c r="B3314" s="12">
        <v>15.36</v>
      </c>
      <c r="C3314" s="11">
        <v>0.35639426460147994</v>
      </c>
      <c r="D3314" s="11">
        <v>0</v>
      </c>
    </row>
    <row r="3315" spans="1:4" x14ac:dyDescent="0.2">
      <c r="A3315" s="10" t="s">
        <v>3314</v>
      </c>
      <c r="B3315" s="12">
        <v>12.71</v>
      </c>
      <c r="C3315" s="11">
        <v>0</v>
      </c>
      <c r="D3315" s="11">
        <v>2.2670635164927475</v>
      </c>
    </row>
    <row r="3316" spans="1:4" x14ac:dyDescent="0.2">
      <c r="A3316" s="10" t="s">
        <v>3315</v>
      </c>
      <c r="B3316" s="12">
        <v>13</v>
      </c>
      <c r="C3316" s="11">
        <v>0</v>
      </c>
      <c r="D3316" s="11">
        <v>1.9799681366748887</v>
      </c>
    </row>
    <row r="3317" spans="1:4" x14ac:dyDescent="0.2">
      <c r="A3317" s="10" t="s">
        <v>3316</v>
      </c>
      <c r="B3317" s="12">
        <v>14.24</v>
      </c>
      <c r="C3317" s="11">
        <v>0</v>
      </c>
      <c r="D3317" s="11">
        <v>0.75238789193645772</v>
      </c>
    </row>
    <row r="3318" spans="1:4" x14ac:dyDescent="0.2">
      <c r="A3318" s="10" t="s">
        <v>3317</v>
      </c>
      <c r="B3318" s="12">
        <v>11.91</v>
      </c>
      <c r="C3318" s="11">
        <v>0</v>
      </c>
      <c r="D3318" s="11">
        <v>3.0590507711627031</v>
      </c>
    </row>
    <row r="3319" spans="1:4" x14ac:dyDescent="0.2">
      <c r="A3319" s="10" t="s">
        <v>3318</v>
      </c>
      <c r="B3319" s="12">
        <v>13.66</v>
      </c>
      <c r="C3319" s="11">
        <v>0</v>
      </c>
      <c r="D3319" s="11">
        <v>1.3265786515721756</v>
      </c>
    </row>
    <row r="3320" spans="1:4" x14ac:dyDescent="0.2">
      <c r="A3320" s="10" t="s">
        <v>3319</v>
      </c>
      <c r="B3320" s="12">
        <v>12.31</v>
      </c>
      <c r="C3320" s="11">
        <v>0</v>
      </c>
      <c r="D3320" s="11">
        <v>2.6630571438277251</v>
      </c>
    </row>
    <row r="3321" spans="1:4" x14ac:dyDescent="0.2">
      <c r="A3321" s="10" t="s">
        <v>3320</v>
      </c>
      <c r="B3321" s="12">
        <v>12.55</v>
      </c>
      <c r="C3321" s="11">
        <v>0</v>
      </c>
      <c r="D3321" s="11">
        <v>2.4254609674267389</v>
      </c>
    </row>
    <row r="3322" spans="1:4" x14ac:dyDescent="0.2">
      <c r="A3322" s="10" t="s">
        <v>3321</v>
      </c>
      <c r="B3322" s="12">
        <v>14.21</v>
      </c>
      <c r="C3322" s="11">
        <v>0</v>
      </c>
      <c r="D3322" s="11">
        <v>0.7820874139865811</v>
      </c>
    </row>
    <row r="3323" spans="1:4" x14ac:dyDescent="0.2">
      <c r="A3323" s="10" t="s">
        <v>3322</v>
      </c>
      <c r="B3323" s="12">
        <v>12.79</v>
      </c>
      <c r="C3323" s="11">
        <v>0</v>
      </c>
      <c r="D3323" s="11">
        <v>2.1878647910257518</v>
      </c>
    </row>
    <row r="3324" spans="1:4" x14ac:dyDescent="0.2">
      <c r="A3324" s="10" t="s">
        <v>3323</v>
      </c>
      <c r="B3324" s="12">
        <v>16.260000000000002</v>
      </c>
      <c r="C3324" s="11">
        <v>1.2473799261051799</v>
      </c>
      <c r="D3324" s="11">
        <v>0</v>
      </c>
    </row>
    <row r="3325" spans="1:4" x14ac:dyDescent="0.2">
      <c r="A3325" s="10" t="s">
        <v>3324</v>
      </c>
      <c r="B3325" s="12">
        <v>17.489999999999998</v>
      </c>
      <c r="C3325" s="11">
        <v>2.4650603301602367</v>
      </c>
      <c r="D3325" s="11">
        <v>0</v>
      </c>
    </row>
    <row r="3326" spans="1:4" x14ac:dyDescent="0.2">
      <c r="A3326" s="10" t="s">
        <v>3325</v>
      </c>
      <c r="B3326" s="12">
        <v>15.05</v>
      </c>
      <c r="C3326" s="11">
        <v>4.9499203416872223E-2</v>
      </c>
      <c r="D3326" s="11">
        <v>0</v>
      </c>
    </row>
    <row r="3327" spans="1:4" x14ac:dyDescent="0.2">
      <c r="A3327" s="10" t="s">
        <v>3326</v>
      </c>
      <c r="B3327" s="12">
        <v>12.76</v>
      </c>
      <c r="C3327" s="11">
        <v>0</v>
      </c>
      <c r="D3327" s="11">
        <v>2.2175643130758758</v>
      </c>
    </row>
    <row r="3328" spans="1:4" x14ac:dyDescent="0.2">
      <c r="A3328" s="10" t="s">
        <v>3327</v>
      </c>
      <c r="B3328" s="12">
        <v>14.07</v>
      </c>
      <c r="C3328" s="11">
        <v>0</v>
      </c>
      <c r="D3328" s="11">
        <v>0.92068518355382334</v>
      </c>
    </row>
    <row r="3329" spans="1:4" x14ac:dyDescent="0.2">
      <c r="A3329" s="10" t="s">
        <v>3328</v>
      </c>
      <c r="B3329" s="12">
        <v>15.28</v>
      </c>
      <c r="C3329" s="11">
        <v>0.27719553913448447</v>
      </c>
      <c r="D3329" s="11">
        <v>0</v>
      </c>
    </row>
    <row r="3330" spans="1:4" x14ac:dyDescent="0.2">
      <c r="A3330" s="10" t="s">
        <v>3329</v>
      </c>
      <c r="B3330" s="12">
        <v>13.85</v>
      </c>
      <c r="C3330" s="11">
        <v>0</v>
      </c>
      <c r="D3330" s="11">
        <v>1.1384816785880609</v>
      </c>
    </row>
    <row r="3331" spans="1:4" x14ac:dyDescent="0.2">
      <c r="A3331" s="10" t="s">
        <v>3330</v>
      </c>
      <c r="B3331" s="12">
        <v>14.55</v>
      </c>
      <c r="C3331" s="11">
        <v>0</v>
      </c>
      <c r="D3331" s="11">
        <v>0.44549283075184998</v>
      </c>
    </row>
    <row r="3332" spans="1:4" x14ac:dyDescent="0.2">
      <c r="A3332" s="10" t="s">
        <v>3331</v>
      </c>
      <c r="B3332" s="12">
        <v>14.55</v>
      </c>
      <c r="C3332" s="11">
        <v>0</v>
      </c>
      <c r="D3332" s="11">
        <v>0.44549283075184998</v>
      </c>
    </row>
    <row r="3333" spans="1:4" x14ac:dyDescent="0.2">
      <c r="A3333" s="10" t="s">
        <v>3332</v>
      </c>
      <c r="B3333" s="12">
        <v>13.93</v>
      </c>
      <c r="C3333" s="11">
        <v>0</v>
      </c>
      <c r="D3333" s="11">
        <v>1.0592829531210655</v>
      </c>
    </row>
    <row r="3334" spans="1:4" x14ac:dyDescent="0.2">
      <c r="A3334" s="10" t="s">
        <v>3333</v>
      </c>
      <c r="B3334" s="12">
        <v>14.68</v>
      </c>
      <c r="C3334" s="11">
        <v>0</v>
      </c>
      <c r="D3334" s="11">
        <v>0.3167949018679822</v>
      </c>
    </row>
    <row r="3335" spans="1:4" x14ac:dyDescent="0.2">
      <c r="A3335" s="10" t="s">
        <v>3334</v>
      </c>
      <c r="B3335" s="12">
        <v>13.62</v>
      </c>
      <c r="C3335" s="11">
        <v>0</v>
      </c>
      <c r="D3335" s="11">
        <v>1.366178014305673</v>
      </c>
    </row>
    <row r="3336" spans="1:4" x14ac:dyDescent="0.2">
      <c r="A3336" s="10" t="s">
        <v>3335</v>
      </c>
      <c r="B3336" s="12">
        <v>12.18</v>
      </c>
      <c r="C3336" s="11">
        <v>0</v>
      </c>
      <c r="D3336" s="11">
        <v>2.791755072711593</v>
      </c>
    </row>
    <row r="3337" spans="1:4" x14ac:dyDescent="0.2">
      <c r="A3337" s="10" t="s">
        <v>3336</v>
      </c>
      <c r="B3337" s="12">
        <v>13.41</v>
      </c>
      <c r="C3337" s="11">
        <v>0</v>
      </c>
      <c r="D3337" s="11">
        <v>1.5740746686565366</v>
      </c>
    </row>
    <row r="3338" spans="1:4" x14ac:dyDescent="0.2">
      <c r="A3338" s="10" t="s">
        <v>3337</v>
      </c>
      <c r="B3338" s="12">
        <v>14.54</v>
      </c>
      <c r="C3338" s="11">
        <v>0</v>
      </c>
      <c r="D3338" s="11">
        <v>0.45539267143522444</v>
      </c>
    </row>
    <row r="3339" spans="1:4" x14ac:dyDescent="0.2">
      <c r="A3339" s="10" t="s">
        <v>3338</v>
      </c>
      <c r="B3339" s="12">
        <v>14.46</v>
      </c>
      <c r="C3339" s="11">
        <v>0</v>
      </c>
      <c r="D3339" s="11">
        <v>0.53459139690222002</v>
      </c>
    </row>
    <row r="3340" spans="1:4" x14ac:dyDescent="0.2">
      <c r="A3340" s="10" t="s">
        <v>3339</v>
      </c>
      <c r="B3340" s="12">
        <v>13.6</v>
      </c>
      <c r="C3340" s="11">
        <v>0</v>
      </c>
      <c r="D3340" s="11">
        <v>1.3859776956724219</v>
      </c>
    </row>
    <row r="3341" spans="1:4" x14ac:dyDescent="0.2">
      <c r="A3341" s="10" t="s">
        <v>3340</v>
      </c>
      <c r="B3341" s="12">
        <v>14.49</v>
      </c>
      <c r="C3341" s="11">
        <v>0</v>
      </c>
      <c r="D3341" s="11">
        <v>0.50489187485209663</v>
      </c>
    </row>
    <row r="3342" spans="1:4" x14ac:dyDescent="0.2">
      <c r="A3342" s="10" t="s">
        <v>3341</v>
      </c>
      <c r="B3342" s="12">
        <v>14.67</v>
      </c>
      <c r="C3342" s="11">
        <v>0</v>
      </c>
      <c r="D3342" s="11">
        <v>0.32669474255135666</v>
      </c>
    </row>
    <row r="3343" spans="1:4" x14ac:dyDescent="0.2">
      <c r="A3343" s="10" t="s">
        <v>3342</v>
      </c>
      <c r="B3343" s="12">
        <v>14.37</v>
      </c>
      <c r="C3343" s="11">
        <v>0</v>
      </c>
      <c r="D3343" s="11">
        <v>0.62368996305258995</v>
      </c>
    </row>
    <row r="3344" spans="1:4" x14ac:dyDescent="0.2">
      <c r="A3344" s="10" t="s">
        <v>3343</v>
      </c>
      <c r="B3344" s="12">
        <v>15.62</v>
      </c>
      <c r="C3344" s="11">
        <v>0.61379012236921549</v>
      </c>
      <c r="D3344" s="11">
        <v>0</v>
      </c>
    </row>
    <row r="3345" spans="1:4" x14ac:dyDescent="0.2">
      <c r="A3345" s="10" t="s">
        <v>3344</v>
      </c>
      <c r="B3345" s="12">
        <v>14.28</v>
      </c>
      <c r="C3345" s="11">
        <v>0</v>
      </c>
      <c r="D3345" s="11">
        <v>0.71278852920295988</v>
      </c>
    </row>
    <row r="3346" spans="1:4" x14ac:dyDescent="0.2">
      <c r="A3346" s="10" t="s">
        <v>3345</v>
      </c>
      <c r="B3346" s="12">
        <v>13.2</v>
      </c>
      <c r="C3346" s="11">
        <v>0</v>
      </c>
      <c r="D3346" s="11">
        <v>1.7819713230073999</v>
      </c>
    </row>
    <row r="3347" spans="1:4" x14ac:dyDescent="0.2">
      <c r="A3347" s="10" t="s">
        <v>3346</v>
      </c>
      <c r="B3347" s="12">
        <v>14.91</v>
      </c>
      <c r="C3347" s="11">
        <v>0</v>
      </c>
      <c r="D3347" s="11">
        <v>8.9098566150369984E-2</v>
      </c>
    </row>
    <row r="3348" spans="1:4" x14ac:dyDescent="0.2">
      <c r="A3348" s="10" t="s">
        <v>3347</v>
      </c>
      <c r="B3348" s="12">
        <v>15</v>
      </c>
      <c r="C3348" s="11">
        <v>0</v>
      </c>
      <c r="D3348" s="11">
        <v>0</v>
      </c>
    </row>
    <row r="3349" spans="1:4" x14ac:dyDescent="0.2">
      <c r="A3349" s="10" t="s">
        <v>3348</v>
      </c>
      <c r="B3349" s="12">
        <v>14.55</v>
      </c>
      <c r="C3349" s="11">
        <v>0</v>
      </c>
      <c r="D3349" s="11">
        <v>0.44549283075184998</v>
      </c>
    </row>
    <row r="3350" spans="1:4" x14ac:dyDescent="0.2">
      <c r="A3350" s="10" t="s">
        <v>3349</v>
      </c>
      <c r="B3350" s="12">
        <v>15.29</v>
      </c>
      <c r="C3350" s="11">
        <v>0.28709537981785882</v>
      </c>
      <c r="D3350" s="11">
        <v>0</v>
      </c>
    </row>
    <row r="3351" spans="1:4" x14ac:dyDescent="0.2">
      <c r="A3351" s="10" t="s">
        <v>3350</v>
      </c>
      <c r="B3351" s="12">
        <v>12.8</v>
      </c>
      <c r="C3351" s="11">
        <v>0</v>
      </c>
      <c r="D3351" s="11">
        <v>2.1779649503423779</v>
      </c>
    </row>
    <row r="3352" spans="1:4" x14ac:dyDescent="0.2">
      <c r="A3352" s="10" t="s">
        <v>3351</v>
      </c>
      <c r="B3352" s="12">
        <v>13.85</v>
      </c>
      <c r="C3352" s="11">
        <v>0</v>
      </c>
      <c r="D3352" s="11">
        <v>1.1384816785880609</v>
      </c>
    </row>
    <row r="3353" spans="1:4" x14ac:dyDescent="0.2">
      <c r="A3353" s="10" t="s">
        <v>3352</v>
      </c>
      <c r="B3353" s="12">
        <v>14.12</v>
      </c>
      <c r="C3353" s="11">
        <v>0</v>
      </c>
      <c r="D3353" s="11">
        <v>0.87118598013695103</v>
      </c>
    </row>
    <row r="3354" spans="1:4" x14ac:dyDescent="0.2">
      <c r="A3354" s="10" t="s">
        <v>3353</v>
      </c>
      <c r="B3354" s="12">
        <v>14.57</v>
      </c>
      <c r="C3354" s="11">
        <v>0</v>
      </c>
      <c r="D3354" s="11">
        <v>0.42569314938510106</v>
      </c>
    </row>
    <row r="3355" spans="1:4" x14ac:dyDescent="0.2">
      <c r="A3355" s="10" t="s">
        <v>3354</v>
      </c>
      <c r="B3355" s="12">
        <v>15.11</v>
      </c>
      <c r="C3355" s="11">
        <v>0.10889824751711888</v>
      </c>
      <c r="D3355" s="11">
        <v>0</v>
      </c>
    </row>
    <row r="3356" spans="1:4" x14ac:dyDescent="0.2">
      <c r="A3356" s="10" t="s">
        <v>3355</v>
      </c>
      <c r="B3356" s="12">
        <v>11.69</v>
      </c>
      <c r="C3356" s="11">
        <v>0</v>
      </c>
      <c r="D3356" s="11">
        <v>3.276847266196941</v>
      </c>
    </row>
    <row r="3357" spans="1:4" x14ac:dyDescent="0.2">
      <c r="A3357" s="10" t="s">
        <v>3356</v>
      </c>
      <c r="B3357" s="12">
        <v>15.18</v>
      </c>
      <c r="C3357" s="11">
        <v>0.17819713230073997</v>
      </c>
      <c r="D3357" s="11">
        <v>0</v>
      </c>
    </row>
    <row r="3358" spans="1:4" x14ac:dyDescent="0.2">
      <c r="A3358" s="10" t="s">
        <v>3357</v>
      </c>
      <c r="B3358" s="12">
        <v>16.38</v>
      </c>
      <c r="C3358" s="11">
        <v>1.366178014305673</v>
      </c>
      <c r="D3358" s="11">
        <v>0</v>
      </c>
    </row>
    <row r="3359" spans="1:4" x14ac:dyDescent="0.2">
      <c r="A3359" s="10" t="s">
        <v>3358</v>
      </c>
      <c r="B3359" s="12">
        <v>13.89</v>
      </c>
      <c r="C3359" s="11">
        <v>0</v>
      </c>
      <c r="D3359" s="11">
        <v>1.0988823158545633</v>
      </c>
    </row>
    <row r="3360" spans="1:4" x14ac:dyDescent="0.2">
      <c r="A3360" s="10" t="s">
        <v>3359</v>
      </c>
      <c r="B3360" s="12">
        <v>13.29</v>
      </c>
      <c r="C3360" s="11">
        <v>0</v>
      </c>
      <c r="D3360" s="11">
        <v>1.6928727568570299</v>
      </c>
    </row>
    <row r="3361" spans="1:4" x14ac:dyDescent="0.2">
      <c r="A3361" s="10" t="s">
        <v>3360</v>
      </c>
      <c r="B3361" s="12">
        <v>14.91</v>
      </c>
      <c r="C3361" s="11">
        <v>0</v>
      </c>
      <c r="D3361" s="11">
        <v>8.9098566150369984E-2</v>
      </c>
    </row>
    <row r="3362" spans="1:4" x14ac:dyDescent="0.2">
      <c r="A3362" s="10" t="s">
        <v>3361</v>
      </c>
      <c r="B3362" s="12">
        <v>14.47</v>
      </c>
      <c r="C3362" s="11">
        <v>0</v>
      </c>
      <c r="D3362" s="11">
        <v>0.52469155621884556</v>
      </c>
    </row>
    <row r="3363" spans="1:4" x14ac:dyDescent="0.2">
      <c r="A3363" s="10" t="s">
        <v>3362</v>
      </c>
      <c r="B3363" s="12">
        <v>14.01</v>
      </c>
      <c r="C3363" s="11">
        <v>0</v>
      </c>
      <c r="D3363" s="11">
        <v>0.98008422765406988</v>
      </c>
    </row>
    <row r="3364" spans="1:4" x14ac:dyDescent="0.2">
      <c r="A3364" s="10" t="s">
        <v>3363</v>
      </c>
      <c r="B3364" s="12">
        <v>14.14</v>
      </c>
      <c r="C3364" s="11">
        <v>0</v>
      </c>
      <c r="D3364" s="11">
        <v>0.85138629877020211</v>
      </c>
    </row>
    <row r="3365" spans="1:4" x14ac:dyDescent="0.2">
      <c r="A3365" s="10" t="s">
        <v>3364</v>
      </c>
      <c r="B3365" s="12">
        <v>15.4</v>
      </c>
      <c r="C3365" s="11">
        <v>0.39599362733497778</v>
      </c>
      <c r="D3365" s="11">
        <v>0</v>
      </c>
    </row>
    <row r="3366" spans="1:4" x14ac:dyDescent="0.2">
      <c r="A3366" s="10" t="s">
        <v>3365</v>
      </c>
      <c r="B3366" s="12">
        <v>15.28</v>
      </c>
      <c r="C3366" s="11">
        <v>0.27719553913448447</v>
      </c>
      <c r="D3366" s="11">
        <v>0</v>
      </c>
    </row>
    <row r="3367" spans="1:4" x14ac:dyDescent="0.2">
      <c r="A3367" s="10" t="s">
        <v>3366</v>
      </c>
      <c r="B3367" s="12">
        <v>15.29</v>
      </c>
      <c r="C3367" s="11">
        <v>0.28709537981785882</v>
      </c>
      <c r="D3367" s="11">
        <v>0</v>
      </c>
    </row>
    <row r="3368" spans="1:4" x14ac:dyDescent="0.2">
      <c r="A3368" s="10" t="s">
        <v>3367</v>
      </c>
      <c r="B3368" s="12">
        <v>14.96</v>
      </c>
      <c r="C3368" s="11">
        <v>0</v>
      </c>
      <c r="D3368" s="11">
        <v>3.9599362733497775E-2</v>
      </c>
    </row>
    <row r="3369" spans="1:4" x14ac:dyDescent="0.2">
      <c r="A3369" s="10" t="s">
        <v>3368</v>
      </c>
      <c r="B3369" s="12">
        <v>13.34</v>
      </c>
      <c r="C3369" s="11">
        <v>0</v>
      </c>
      <c r="D3369" s="11">
        <v>1.6433735534401575</v>
      </c>
    </row>
    <row r="3370" spans="1:4" x14ac:dyDescent="0.2">
      <c r="A3370" s="10" t="s">
        <v>3369</v>
      </c>
      <c r="B3370" s="12">
        <v>14.11</v>
      </c>
      <c r="C3370" s="11">
        <v>0</v>
      </c>
      <c r="D3370" s="11">
        <v>0.88108582082032549</v>
      </c>
    </row>
    <row r="3371" spans="1:4" x14ac:dyDescent="0.2">
      <c r="A3371" s="10" t="s">
        <v>3370</v>
      </c>
      <c r="B3371" s="12">
        <v>14.6</v>
      </c>
      <c r="C3371" s="11">
        <v>0</v>
      </c>
      <c r="D3371" s="11">
        <v>0.39599362733497778</v>
      </c>
    </row>
    <row r="3372" spans="1:4" x14ac:dyDescent="0.2">
      <c r="A3372" s="10" t="s">
        <v>3371</v>
      </c>
      <c r="B3372" s="12">
        <v>15.21</v>
      </c>
      <c r="C3372" s="11">
        <v>0.2078966543508633</v>
      </c>
      <c r="D3372" s="11">
        <v>0</v>
      </c>
    </row>
    <row r="3373" spans="1:4" x14ac:dyDescent="0.2">
      <c r="A3373" s="10" t="s">
        <v>3372</v>
      </c>
      <c r="B3373" s="12">
        <v>14.13</v>
      </c>
      <c r="C3373" s="11">
        <v>0</v>
      </c>
      <c r="D3373" s="11">
        <v>0.86128613945357657</v>
      </c>
    </row>
    <row r="3374" spans="1:4" x14ac:dyDescent="0.2">
      <c r="A3374" s="10" t="s">
        <v>3373</v>
      </c>
      <c r="B3374" s="12">
        <v>13.32</v>
      </c>
      <c r="C3374" s="11">
        <v>0</v>
      </c>
      <c r="D3374" s="11">
        <v>1.6631732348069064</v>
      </c>
    </row>
    <row r="3375" spans="1:4" x14ac:dyDescent="0.2">
      <c r="A3375" s="10" t="s">
        <v>3374</v>
      </c>
      <c r="B3375" s="12">
        <v>15.19</v>
      </c>
      <c r="C3375" s="11">
        <v>0.18809697298411443</v>
      </c>
      <c r="D3375" s="11">
        <v>0</v>
      </c>
    </row>
    <row r="3376" spans="1:4" x14ac:dyDescent="0.2">
      <c r="A3376" s="10" t="s">
        <v>3375</v>
      </c>
      <c r="B3376" s="12">
        <v>16.22</v>
      </c>
      <c r="C3376" s="11">
        <v>1.207780563371682</v>
      </c>
      <c r="D3376" s="11">
        <v>0</v>
      </c>
    </row>
    <row r="3377" spans="1:4" x14ac:dyDescent="0.2">
      <c r="A3377" s="10" t="s">
        <v>3376</v>
      </c>
      <c r="B3377" s="12">
        <v>12.94</v>
      </c>
      <c r="C3377" s="11">
        <v>0</v>
      </c>
      <c r="D3377" s="11">
        <v>2.0393671807751352</v>
      </c>
    </row>
    <row r="3378" spans="1:4" x14ac:dyDescent="0.2">
      <c r="A3378" s="10" t="s">
        <v>3377</v>
      </c>
      <c r="B3378" s="12">
        <v>12.14</v>
      </c>
      <c r="C3378" s="11">
        <v>0</v>
      </c>
      <c r="D3378" s="11">
        <v>2.8313544354450908</v>
      </c>
    </row>
    <row r="3379" spans="1:4" x14ac:dyDescent="0.2">
      <c r="A3379" s="10" t="s">
        <v>3378</v>
      </c>
      <c r="B3379" s="12">
        <v>12.03</v>
      </c>
      <c r="C3379" s="11">
        <v>0</v>
      </c>
      <c r="D3379" s="11">
        <v>2.94025268296221</v>
      </c>
    </row>
    <row r="3380" spans="1:4" x14ac:dyDescent="0.2">
      <c r="A3380" s="10" t="s">
        <v>3379</v>
      </c>
      <c r="B3380" s="12">
        <v>13.37</v>
      </c>
      <c r="C3380" s="11">
        <v>0</v>
      </c>
      <c r="D3380" s="11">
        <v>1.6136740313900342</v>
      </c>
    </row>
    <row r="3381" spans="1:4" x14ac:dyDescent="0.2">
      <c r="A3381" s="10" t="s">
        <v>3380</v>
      </c>
      <c r="B3381" s="12">
        <v>15.96</v>
      </c>
      <c r="C3381" s="11">
        <v>0.9503847056039465</v>
      </c>
      <c r="D3381" s="11">
        <v>0</v>
      </c>
    </row>
    <row r="3382" spans="1:4" x14ac:dyDescent="0.2">
      <c r="A3382" s="10" t="s">
        <v>3381</v>
      </c>
      <c r="B3382" s="12">
        <v>12.08</v>
      </c>
      <c r="C3382" s="11">
        <v>0</v>
      </c>
      <c r="D3382" s="11">
        <v>2.8907534795453373</v>
      </c>
    </row>
    <row r="3383" spans="1:4" x14ac:dyDescent="0.2">
      <c r="A3383" s="10" t="s">
        <v>3382</v>
      </c>
      <c r="B3383" s="12">
        <v>16.059999999999999</v>
      </c>
      <c r="C3383" s="11">
        <v>1.0493831124376911</v>
      </c>
      <c r="D3383" s="11">
        <v>0</v>
      </c>
    </row>
    <row r="3384" spans="1:4" x14ac:dyDescent="0.2">
      <c r="A3384" s="10" t="s">
        <v>3383</v>
      </c>
      <c r="B3384" s="12">
        <v>13.24</v>
      </c>
      <c r="C3384" s="11">
        <v>0</v>
      </c>
      <c r="D3384" s="11">
        <v>1.7423719602739021</v>
      </c>
    </row>
    <row r="3385" spans="1:4" x14ac:dyDescent="0.2">
      <c r="A3385" s="10" t="s">
        <v>3384</v>
      </c>
      <c r="B3385" s="12">
        <v>11.21</v>
      </c>
      <c r="C3385" s="11">
        <v>0</v>
      </c>
      <c r="D3385" s="11">
        <v>3.7520396189989142</v>
      </c>
    </row>
    <row r="3386" spans="1:4" x14ac:dyDescent="0.2">
      <c r="A3386" s="10" t="s">
        <v>3385</v>
      </c>
      <c r="B3386" s="12">
        <v>14.24</v>
      </c>
      <c r="C3386" s="11">
        <v>0</v>
      </c>
      <c r="D3386" s="11">
        <v>0.75238789193645772</v>
      </c>
    </row>
    <row r="3387" spans="1:4" x14ac:dyDescent="0.2">
      <c r="A3387" s="10" t="s">
        <v>3386</v>
      </c>
      <c r="B3387" s="12">
        <v>15.01</v>
      </c>
      <c r="C3387" s="11">
        <v>9.8998406833744439E-3</v>
      </c>
      <c r="D3387" s="11">
        <v>0</v>
      </c>
    </row>
    <row r="3388" spans="1:4" x14ac:dyDescent="0.2">
      <c r="A3388" s="10" t="s">
        <v>3387</v>
      </c>
      <c r="B3388" s="12">
        <v>13.29</v>
      </c>
      <c r="C3388" s="11">
        <v>0</v>
      </c>
      <c r="D3388" s="11">
        <v>1.6928727568570299</v>
      </c>
    </row>
    <row r="3389" spans="1:4" x14ac:dyDescent="0.2">
      <c r="A3389" s="10" t="s">
        <v>3388</v>
      </c>
      <c r="B3389" s="12">
        <v>14.06</v>
      </c>
      <c r="C3389" s="11">
        <v>0</v>
      </c>
      <c r="D3389" s="11">
        <v>0.93058502423719758</v>
      </c>
    </row>
    <row r="3390" spans="1:4" x14ac:dyDescent="0.2">
      <c r="A3390" s="10" t="s">
        <v>3389</v>
      </c>
      <c r="B3390" s="12">
        <v>12.41</v>
      </c>
      <c r="C3390" s="11">
        <v>0</v>
      </c>
      <c r="D3390" s="11">
        <v>2.5640587369939807</v>
      </c>
    </row>
    <row r="3391" spans="1:4" x14ac:dyDescent="0.2">
      <c r="A3391" s="10" t="s">
        <v>3390</v>
      </c>
      <c r="B3391" s="12">
        <v>15.43</v>
      </c>
      <c r="C3391" s="11">
        <v>0.42569314938510106</v>
      </c>
      <c r="D3391" s="11">
        <v>0</v>
      </c>
    </row>
    <row r="3392" spans="1:4" x14ac:dyDescent="0.2">
      <c r="A3392" s="10" t="s">
        <v>3391</v>
      </c>
      <c r="B3392" s="12">
        <v>14.91</v>
      </c>
      <c r="C3392" s="11">
        <v>0</v>
      </c>
      <c r="D3392" s="11">
        <v>8.9098566150369984E-2</v>
      </c>
    </row>
    <row r="3393" spans="1:4" x14ac:dyDescent="0.2">
      <c r="A3393" s="10" t="s">
        <v>3392</v>
      </c>
      <c r="B3393" s="12">
        <v>15.06</v>
      </c>
      <c r="C3393" s="11">
        <v>5.9399044100246656E-2</v>
      </c>
      <c r="D3393" s="11">
        <v>0</v>
      </c>
    </row>
    <row r="3394" spans="1:4" x14ac:dyDescent="0.2">
      <c r="A3394" s="10" t="s">
        <v>3393</v>
      </c>
      <c r="B3394" s="12">
        <v>13.7</v>
      </c>
      <c r="C3394" s="11">
        <v>0</v>
      </c>
      <c r="D3394" s="11">
        <v>1.2869792888386777</v>
      </c>
    </row>
    <row r="3395" spans="1:4" x14ac:dyDescent="0.2">
      <c r="A3395" s="10" t="s">
        <v>3394</v>
      </c>
      <c r="B3395" s="12">
        <v>13.46</v>
      </c>
      <c r="C3395" s="11">
        <v>0</v>
      </c>
      <c r="D3395" s="11">
        <v>1.5245754652396644</v>
      </c>
    </row>
    <row r="3396" spans="1:4" x14ac:dyDescent="0.2">
      <c r="A3396" s="10" t="s">
        <v>3395</v>
      </c>
      <c r="B3396" s="12">
        <v>12.86</v>
      </c>
      <c r="C3396" s="11">
        <v>0</v>
      </c>
      <c r="D3396" s="11">
        <v>2.1185659062421309</v>
      </c>
    </row>
    <row r="3397" spans="1:4" x14ac:dyDescent="0.2">
      <c r="A3397" s="10" t="s">
        <v>3396</v>
      </c>
      <c r="B3397" s="12">
        <v>13.48</v>
      </c>
      <c r="C3397" s="11">
        <v>0</v>
      </c>
      <c r="D3397" s="11">
        <v>1.5047757838729154</v>
      </c>
    </row>
    <row r="3398" spans="1:4" x14ac:dyDescent="0.2">
      <c r="A3398" s="10" t="s">
        <v>3397</v>
      </c>
      <c r="B3398" s="12">
        <v>13.82</v>
      </c>
      <c r="C3398" s="11">
        <v>0</v>
      </c>
      <c r="D3398" s="11">
        <v>1.1681812006381842</v>
      </c>
    </row>
    <row r="3399" spans="1:4" x14ac:dyDescent="0.2">
      <c r="A3399" s="10" t="s">
        <v>3398</v>
      </c>
      <c r="B3399" s="12">
        <v>11.81</v>
      </c>
      <c r="C3399" s="11">
        <v>0</v>
      </c>
      <c r="D3399" s="11">
        <v>3.1580491779964475</v>
      </c>
    </row>
    <row r="3400" spans="1:4" x14ac:dyDescent="0.2">
      <c r="A3400" s="10" t="s">
        <v>3399</v>
      </c>
      <c r="B3400" s="12">
        <v>12.91</v>
      </c>
      <c r="C3400" s="11">
        <v>0</v>
      </c>
      <c r="D3400" s="11">
        <v>2.0690667028252587</v>
      </c>
    </row>
    <row r="3401" spans="1:4" x14ac:dyDescent="0.2">
      <c r="A3401" s="10" t="s">
        <v>3400</v>
      </c>
      <c r="B3401" s="12">
        <v>13.29</v>
      </c>
      <c r="C3401" s="11">
        <v>0</v>
      </c>
      <c r="D3401" s="11">
        <v>1.6928727568570299</v>
      </c>
    </row>
    <row r="3402" spans="1:4" x14ac:dyDescent="0.2">
      <c r="A3402" s="10" t="s">
        <v>3401</v>
      </c>
      <c r="B3402" s="12">
        <v>13.92</v>
      </c>
      <c r="C3402" s="11">
        <v>0</v>
      </c>
      <c r="D3402" s="11">
        <v>1.06918279380444</v>
      </c>
    </row>
    <row r="3403" spans="1:4" x14ac:dyDescent="0.2">
      <c r="A3403" s="10" t="s">
        <v>3402</v>
      </c>
      <c r="B3403" s="12">
        <v>14.24</v>
      </c>
      <c r="C3403" s="11">
        <v>0</v>
      </c>
      <c r="D3403" s="11">
        <v>0.75238789193645772</v>
      </c>
    </row>
    <row r="3404" spans="1:4" x14ac:dyDescent="0.2">
      <c r="A3404" s="10" t="s">
        <v>3403</v>
      </c>
      <c r="B3404" s="12">
        <v>15.21</v>
      </c>
      <c r="C3404" s="11">
        <v>0.2078966543508633</v>
      </c>
      <c r="D3404" s="11">
        <v>0</v>
      </c>
    </row>
    <row r="3405" spans="1:4" x14ac:dyDescent="0.2">
      <c r="A3405" s="10" t="s">
        <v>3404</v>
      </c>
      <c r="B3405" s="12">
        <v>13.37</v>
      </c>
      <c r="C3405" s="11">
        <v>0</v>
      </c>
      <c r="D3405" s="11">
        <v>1.6136740313900342</v>
      </c>
    </row>
    <row r="3406" spans="1:4" x14ac:dyDescent="0.2">
      <c r="A3406" s="10" t="s">
        <v>3405</v>
      </c>
      <c r="B3406" s="12">
        <v>16.03</v>
      </c>
      <c r="C3406" s="11">
        <v>1.0196835903875676</v>
      </c>
      <c r="D3406" s="11">
        <v>0</v>
      </c>
    </row>
    <row r="3407" spans="1:4" x14ac:dyDescent="0.2">
      <c r="A3407" s="10" t="s">
        <v>3406</v>
      </c>
      <c r="B3407" s="12">
        <v>12.96</v>
      </c>
      <c r="C3407" s="11">
        <v>0</v>
      </c>
      <c r="D3407" s="11">
        <v>2.0195674994083865</v>
      </c>
    </row>
    <row r="3408" spans="1:4" x14ac:dyDescent="0.2">
      <c r="A3408" s="10" t="s">
        <v>3407</v>
      </c>
      <c r="B3408" s="12">
        <v>14.86</v>
      </c>
      <c r="C3408" s="11">
        <v>0</v>
      </c>
      <c r="D3408" s="11">
        <v>0.13859776956724223</v>
      </c>
    </row>
    <row r="3409" spans="1:4" x14ac:dyDescent="0.2">
      <c r="A3409" s="10" t="s">
        <v>3408</v>
      </c>
      <c r="B3409" s="12">
        <v>18.420000000000002</v>
      </c>
      <c r="C3409" s="11">
        <v>3.3857455137140597</v>
      </c>
      <c r="D3409" s="11">
        <v>0</v>
      </c>
    </row>
    <row r="3410" spans="1:4" x14ac:dyDescent="0.2">
      <c r="A3410" s="10" t="s">
        <v>3409</v>
      </c>
      <c r="B3410" s="12">
        <v>12.79</v>
      </c>
      <c r="C3410" s="11">
        <v>0</v>
      </c>
      <c r="D3410" s="11">
        <v>2.1878647910257518</v>
      </c>
    </row>
    <row r="3411" spans="1:4" x14ac:dyDescent="0.2">
      <c r="A3411" s="10" t="s">
        <v>3410</v>
      </c>
      <c r="B3411" s="12">
        <v>15.47</v>
      </c>
      <c r="C3411" s="11">
        <v>0.46529251211859879</v>
      </c>
      <c r="D3411" s="11">
        <v>0</v>
      </c>
    </row>
    <row r="3412" spans="1:4" x14ac:dyDescent="0.2">
      <c r="A3412" s="10" t="s">
        <v>3411</v>
      </c>
      <c r="B3412" s="12">
        <v>15.72</v>
      </c>
      <c r="C3412" s="11">
        <v>0.71278852920295988</v>
      </c>
      <c r="D3412" s="11">
        <v>0</v>
      </c>
    </row>
    <row r="3413" spans="1:4" x14ac:dyDescent="0.2">
      <c r="A3413" s="10" t="s">
        <v>3412</v>
      </c>
      <c r="B3413" s="12">
        <v>12.86</v>
      </c>
      <c r="C3413" s="11">
        <v>0</v>
      </c>
      <c r="D3413" s="11">
        <v>2.1185659062421309</v>
      </c>
    </row>
    <row r="3414" spans="1:4" x14ac:dyDescent="0.2">
      <c r="A3414" s="10" t="s">
        <v>3413</v>
      </c>
      <c r="B3414" s="12">
        <v>13.4</v>
      </c>
      <c r="C3414" s="11">
        <v>0</v>
      </c>
      <c r="D3414" s="11">
        <v>1.5839745093399111</v>
      </c>
    </row>
    <row r="3415" spans="1:4" x14ac:dyDescent="0.2">
      <c r="A3415" s="10" t="s">
        <v>3414</v>
      </c>
      <c r="B3415" s="12">
        <v>15.11</v>
      </c>
      <c r="C3415" s="11">
        <v>0.10889824751711888</v>
      </c>
      <c r="D3415" s="11">
        <v>0</v>
      </c>
    </row>
    <row r="3416" spans="1:4" x14ac:dyDescent="0.2">
      <c r="A3416" s="10" t="s">
        <v>3415</v>
      </c>
      <c r="B3416" s="12">
        <v>12.35</v>
      </c>
      <c r="C3416" s="11">
        <v>0</v>
      </c>
      <c r="D3416" s="11">
        <v>2.6234577810942272</v>
      </c>
    </row>
    <row r="3417" spans="1:4" x14ac:dyDescent="0.2">
      <c r="A3417" s="10" t="s">
        <v>3416</v>
      </c>
      <c r="B3417" s="12">
        <v>13.85</v>
      </c>
      <c r="C3417" s="11">
        <v>0</v>
      </c>
      <c r="D3417" s="11">
        <v>1.1384816785880609</v>
      </c>
    </row>
    <row r="3418" spans="1:4" x14ac:dyDescent="0.2">
      <c r="A3418" s="10" t="s">
        <v>3417</v>
      </c>
      <c r="B3418" s="12">
        <v>13.94</v>
      </c>
      <c r="C3418" s="11">
        <v>0</v>
      </c>
      <c r="D3418" s="11">
        <v>1.0493831124376911</v>
      </c>
    </row>
    <row r="3419" spans="1:4" x14ac:dyDescent="0.2">
      <c r="A3419" s="10" t="s">
        <v>3418</v>
      </c>
      <c r="B3419" s="12">
        <v>14.02</v>
      </c>
      <c r="C3419" s="11">
        <v>0</v>
      </c>
      <c r="D3419" s="11">
        <v>0.97018438697069542</v>
      </c>
    </row>
    <row r="3420" spans="1:4" x14ac:dyDescent="0.2">
      <c r="A3420" s="10" t="s">
        <v>3419</v>
      </c>
      <c r="B3420" s="12">
        <v>10.88</v>
      </c>
      <c r="C3420" s="11">
        <v>0</v>
      </c>
      <c r="D3420" s="11">
        <v>4.0787343615502705</v>
      </c>
    </row>
    <row r="3421" spans="1:4" x14ac:dyDescent="0.2">
      <c r="A3421" s="10" t="s">
        <v>3420</v>
      </c>
      <c r="B3421" s="12">
        <v>13.94</v>
      </c>
      <c r="C3421" s="11">
        <v>0</v>
      </c>
      <c r="D3421" s="11">
        <v>1.0493831124376911</v>
      </c>
    </row>
    <row r="3422" spans="1:4" x14ac:dyDescent="0.2">
      <c r="A3422" s="10" t="s">
        <v>3421</v>
      </c>
      <c r="B3422" s="12">
        <v>16.21</v>
      </c>
      <c r="C3422" s="11">
        <v>1.1978807226883077</v>
      </c>
      <c r="D3422" s="11">
        <v>0</v>
      </c>
    </row>
    <row r="3423" spans="1:4" x14ac:dyDescent="0.2">
      <c r="A3423" s="10" t="s">
        <v>3422</v>
      </c>
      <c r="B3423" s="12">
        <v>14.97</v>
      </c>
      <c r="C3423" s="11">
        <v>0</v>
      </c>
      <c r="D3423" s="11">
        <v>2.9699522050123328E-2</v>
      </c>
    </row>
    <row r="3424" spans="1:4" x14ac:dyDescent="0.2">
      <c r="A3424" s="10" t="s">
        <v>3423</v>
      </c>
      <c r="B3424" s="12">
        <v>13.06</v>
      </c>
      <c r="C3424" s="11">
        <v>0</v>
      </c>
      <c r="D3424" s="11">
        <v>1.9205690925746419</v>
      </c>
    </row>
    <row r="3425" spans="1:4" x14ac:dyDescent="0.2">
      <c r="A3425" s="10" t="s">
        <v>3424</v>
      </c>
      <c r="B3425" s="12">
        <v>14.35</v>
      </c>
      <c r="C3425" s="11">
        <v>0</v>
      </c>
      <c r="D3425" s="11">
        <v>0.64348964441933887</v>
      </c>
    </row>
    <row r="3426" spans="1:4" x14ac:dyDescent="0.2">
      <c r="A3426" s="10" t="s">
        <v>3425</v>
      </c>
      <c r="B3426" s="12">
        <v>12.84</v>
      </c>
      <c r="C3426" s="11">
        <v>0</v>
      </c>
      <c r="D3426" s="11">
        <v>2.1383655876088801</v>
      </c>
    </row>
    <row r="3427" spans="1:4" x14ac:dyDescent="0.2">
      <c r="A3427" s="10" t="s">
        <v>3426</v>
      </c>
      <c r="B3427" s="12">
        <v>13.45</v>
      </c>
      <c r="C3427" s="11">
        <v>0</v>
      </c>
      <c r="D3427" s="11">
        <v>1.5344753059230387</v>
      </c>
    </row>
    <row r="3428" spans="1:4" x14ac:dyDescent="0.2">
      <c r="A3428" s="10" t="s">
        <v>3427</v>
      </c>
      <c r="B3428" s="12">
        <v>14.43</v>
      </c>
      <c r="C3428" s="11">
        <v>0</v>
      </c>
      <c r="D3428" s="11">
        <v>0.56429091895234318</v>
      </c>
    </row>
    <row r="3429" spans="1:4" x14ac:dyDescent="0.2">
      <c r="A3429" s="10" t="s">
        <v>3428</v>
      </c>
      <c r="B3429" s="12">
        <v>13.92</v>
      </c>
      <c r="C3429" s="11">
        <v>0</v>
      </c>
      <c r="D3429" s="11">
        <v>1.06918279380444</v>
      </c>
    </row>
    <row r="3430" spans="1:4" x14ac:dyDescent="0.2">
      <c r="A3430" s="10" t="s">
        <v>3429</v>
      </c>
      <c r="B3430" s="12">
        <v>15.06</v>
      </c>
      <c r="C3430" s="11">
        <v>5.9399044100246656E-2</v>
      </c>
      <c r="D3430" s="11">
        <v>0</v>
      </c>
    </row>
    <row r="3431" spans="1:4" x14ac:dyDescent="0.2">
      <c r="A3431" s="10" t="s">
        <v>3430</v>
      </c>
      <c r="B3431" s="12">
        <v>14.4</v>
      </c>
      <c r="C3431" s="11">
        <v>0</v>
      </c>
      <c r="D3431" s="11">
        <v>0.59399044100246656</v>
      </c>
    </row>
    <row r="3432" spans="1:4" x14ac:dyDescent="0.2">
      <c r="A3432" s="10" t="s">
        <v>3431</v>
      </c>
      <c r="B3432" s="12">
        <v>14.65</v>
      </c>
      <c r="C3432" s="11">
        <v>0</v>
      </c>
      <c r="D3432" s="11">
        <v>0.34649442391810548</v>
      </c>
    </row>
    <row r="3433" spans="1:4" x14ac:dyDescent="0.2">
      <c r="A3433" s="10" t="s">
        <v>3432</v>
      </c>
      <c r="B3433" s="12">
        <v>14.09</v>
      </c>
      <c r="C3433" s="11">
        <v>0</v>
      </c>
      <c r="D3433" s="11">
        <v>0.91078534287044888</v>
      </c>
    </row>
    <row r="3434" spans="1:4" x14ac:dyDescent="0.2">
      <c r="A3434" s="10" t="s">
        <v>3433</v>
      </c>
      <c r="B3434" s="12">
        <v>14.3</v>
      </c>
      <c r="C3434" s="11">
        <v>0</v>
      </c>
      <c r="D3434" s="11">
        <v>0.69298884783621095</v>
      </c>
    </row>
    <row r="3435" spans="1:4" x14ac:dyDescent="0.2">
      <c r="A3435" s="10" t="s">
        <v>3434</v>
      </c>
      <c r="B3435" s="12">
        <v>13.12</v>
      </c>
      <c r="C3435" s="11">
        <v>0</v>
      </c>
      <c r="D3435" s="11">
        <v>1.8611700484743952</v>
      </c>
    </row>
    <row r="3436" spans="1:4" x14ac:dyDescent="0.2">
      <c r="A3436" s="10" t="s">
        <v>3435</v>
      </c>
      <c r="B3436" s="12">
        <v>14.22</v>
      </c>
      <c r="C3436" s="11">
        <v>0</v>
      </c>
      <c r="D3436" s="11">
        <v>0.77218757330320664</v>
      </c>
    </row>
    <row r="3437" spans="1:4" x14ac:dyDescent="0.2">
      <c r="A3437" s="10" t="s">
        <v>3436</v>
      </c>
      <c r="B3437" s="12">
        <v>16.420000000000002</v>
      </c>
      <c r="C3437" s="11">
        <v>1.4057773770391708</v>
      </c>
      <c r="D3437" s="11">
        <v>0</v>
      </c>
    </row>
    <row r="3438" spans="1:4" x14ac:dyDescent="0.2">
      <c r="A3438" s="10" t="s">
        <v>3437</v>
      </c>
      <c r="B3438" s="12">
        <v>12.59</v>
      </c>
      <c r="C3438" s="11">
        <v>0</v>
      </c>
      <c r="D3438" s="11">
        <v>2.385861604693241</v>
      </c>
    </row>
    <row r="3439" spans="1:4" x14ac:dyDescent="0.2">
      <c r="A3439" s="10" t="s">
        <v>3438</v>
      </c>
      <c r="B3439" s="12">
        <v>15.35</v>
      </c>
      <c r="C3439" s="11">
        <v>0.34649442391810548</v>
      </c>
      <c r="D3439" s="11">
        <v>0</v>
      </c>
    </row>
    <row r="3440" spans="1:4" x14ac:dyDescent="0.2">
      <c r="A3440" s="10" t="s">
        <v>3439</v>
      </c>
      <c r="B3440" s="12">
        <v>13</v>
      </c>
      <c r="C3440" s="11">
        <v>0</v>
      </c>
      <c r="D3440" s="11">
        <v>1.9799681366748887</v>
      </c>
    </row>
    <row r="3441" spans="1:4" x14ac:dyDescent="0.2">
      <c r="A3441" s="10" t="s">
        <v>3440</v>
      </c>
      <c r="B3441" s="12">
        <v>14.66</v>
      </c>
      <c r="C3441" s="11">
        <v>0</v>
      </c>
      <c r="D3441" s="11">
        <v>0.33659458323473113</v>
      </c>
    </row>
    <row r="3442" spans="1:4" x14ac:dyDescent="0.2">
      <c r="A3442" s="10" t="s">
        <v>3441</v>
      </c>
      <c r="B3442" s="12">
        <v>14.45</v>
      </c>
      <c r="C3442" s="11">
        <v>0</v>
      </c>
      <c r="D3442" s="11">
        <v>0.54449123758559448</v>
      </c>
    </row>
    <row r="3443" spans="1:4" x14ac:dyDescent="0.2">
      <c r="A3443" s="10" t="s">
        <v>3442</v>
      </c>
      <c r="B3443" s="12">
        <v>15.61</v>
      </c>
      <c r="C3443" s="11">
        <v>0.60389028168584102</v>
      </c>
      <c r="D3443" s="11">
        <v>0</v>
      </c>
    </row>
    <row r="3444" spans="1:4" x14ac:dyDescent="0.2">
      <c r="A3444" s="10" t="s">
        <v>3443</v>
      </c>
      <c r="B3444" s="12">
        <v>12.67</v>
      </c>
      <c r="C3444" s="11">
        <v>0</v>
      </c>
      <c r="D3444" s="11">
        <v>2.3066628792262454</v>
      </c>
    </row>
    <row r="3445" spans="1:4" x14ac:dyDescent="0.2">
      <c r="A3445" s="10" t="s">
        <v>3444</v>
      </c>
      <c r="B3445" s="12">
        <v>14.63</v>
      </c>
      <c r="C3445" s="11">
        <v>0</v>
      </c>
      <c r="D3445" s="11">
        <v>0.3662941052848544</v>
      </c>
    </row>
    <row r="3446" spans="1:4" x14ac:dyDescent="0.2">
      <c r="A3446" s="10" t="s">
        <v>3445</v>
      </c>
      <c r="B3446" s="12">
        <v>14.98</v>
      </c>
      <c r="C3446" s="11">
        <v>0</v>
      </c>
      <c r="D3446" s="11">
        <v>1.9799681366748888E-2</v>
      </c>
    </row>
    <row r="3447" spans="1:4" x14ac:dyDescent="0.2">
      <c r="A3447" s="10" t="s">
        <v>3446</v>
      </c>
      <c r="B3447" s="12">
        <v>13.15</v>
      </c>
      <c r="C3447" s="11">
        <v>0</v>
      </c>
      <c r="D3447" s="11">
        <v>1.8314705264242721</v>
      </c>
    </row>
    <row r="3448" spans="1:4" x14ac:dyDescent="0.2">
      <c r="A3448" s="10" t="s">
        <v>3447</v>
      </c>
      <c r="B3448" s="12">
        <v>12.97</v>
      </c>
      <c r="C3448" s="11">
        <v>0</v>
      </c>
      <c r="D3448" s="11">
        <v>2.0096676587250117</v>
      </c>
    </row>
    <row r="3449" spans="1:4" x14ac:dyDescent="0.2">
      <c r="A3449" s="10" t="s">
        <v>3448</v>
      </c>
      <c r="B3449" s="12">
        <v>13.07</v>
      </c>
      <c r="C3449" s="11">
        <v>0</v>
      </c>
      <c r="D3449" s="11">
        <v>1.9106692518912676</v>
      </c>
    </row>
    <row r="3450" spans="1:4" x14ac:dyDescent="0.2">
      <c r="A3450" s="10" t="s">
        <v>3449</v>
      </c>
      <c r="B3450" s="12">
        <v>13.72</v>
      </c>
      <c r="C3450" s="11">
        <v>0</v>
      </c>
      <c r="D3450" s="11">
        <v>1.2671796074719288</v>
      </c>
    </row>
    <row r="3451" spans="1:4" x14ac:dyDescent="0.2">
      <c r="A3451" s="10" t="s">
        <v>3450</v>
      </c>
      <c r="B3451" s="12">
        <v>14.73</v>
      </c>
      <c r="C3451" s="11">
        <v>0</v>
      </c>
      <c r="D3451" s="11">
        <v>0.26729569845111001</v>
      </c>
    </row>
    <row r="3452" spans="1:4" x14ac:dyDescent="0.2">
      <c r="A3452" s="10" t="s">
        <v>3451</v>
      </c>
      <c r="B3452" s="12">
        <v>13.93</v>
      </c>
      <c r="C3452" s="11">
        <v>0</v>
      </c>
      <c r="D3452" s="11">
        <v>1.0592829531210655</v>
      </c>
    </row>
    <row r="3453" spans="1:4" x14ac:dyDescent="0.2">
      <c r="A3453" s="10" t="s">
        <v>3452</v>
      </c>
      <c r="B3453" s="12">
        <v>12.98</v>
      </c>
      <c r="C3453" s="11">
        <v>0</v>
      </c>
      <c r="D3453" s="11">
        <v>1.9997678180416376</v>
      </c>
    </row>
    <row r="3454" spans="1:4" x14ac:dyDescent="0.2">
      <c r="A3454" s="10" t="s">
        <v>3453</v>
      </c>
      <c r="B3454" s="12">
        <v>13.19</v>
      </c>
      <c r="C3454" s="11">
        <v>0</v>
      </c>
      <c r="D3454" s="11">
        <v>1.7918711636907743</v>
      </c>
    </row>
    <row r="3455" spans="1:4" x14ac:dyDescent="0.2">
      <c r="A3455" s="10" t="s">
        <v>3454</v>
      </c>
      <c r="B3455" s="12">
        <v>13.39</v>
      </c>
      <c r="C3455" s="11">
        <v>0</v>
      </c>
      <c r="D3455" s="11">
        <v>1.5938743500232855</v>
      </c>
    </row>
    <row r="3456" spans="1:4" x14ac:dyDescent="0.2">
      <c r="A3456" s="10" t="s">
        <v>3455</v>
      </c>
      <c r="B3456" s="12">
        <v>14.18</v>
      </c>
      <c r="C3456" s="11">
        <v>0</v>
      </c>
      <c r="D3456" s="11">
        <v>0.81178693603670427</v>
      </c>
    </row>
    <row r="3457" spans="1:4" x14ac:dyDescent="0.2">
      <c r="A3457" s="10" t="s">
        <v>3456</v>
      </c>
      <c r="B3457" s="12">
        <v>12.94</v>
      </c>
      <c r="C3457" s="11">
        <v>0</v>
      </c>
      <c r="D3457" s="11">
        <v>2.0393671807751352</v>
      </c>
    </row>
    <row r="3458" spans="1:4" x14ac:dyDescent="0.2">
      <c r="A3458" s="10" t="s">
        <v>3457</v>
      </c>
      <c r="B3458" s="12">
        <v>14.57</v>
      </c>
      <c r="C3458" s="11">
        <v>0</v>
      </c>
      <c r="D3458" s="11">
        <v>0.42569314938510106</v>
      </c>
    </row>
    <row r="3459" spans="1:4" x14ac:dyDescent="0.2">
      <c r="A3459" s="10" t="s">
        <v>3458</v>
      </c>
      <c r="B3459" s="12">
        <v>14.93</v>
      </c>
      <c r="C3459" s="11">
        <v>0</v>
      </c>
      <c r="D3459" s="11">
        <v>6.9298884783621117E-2</v>
      </c>
    </row>
    <row r="3460" spans="1:4" x14ac:dyDescent="0.2">
      <c r="A3460" s="10" t="s">
        <v>3459</v>
      </c>
      <c r="B3460" s="12">
        <v>14.87</v>
      </c>
      <c r="C3460" s="11">
        <v>0</v>
      </c>
      <c r="D3460" s="11">
        <v>0.12869792888386777</v>
      </c>
    </row>
    <row r="3461" spans="1:4" x14ac:dyDescent="0.2">
      <c r="A3461" s="10" t="s">
        <v>3460</v>
      </c>
      <c r="B3461" s="12">
        <v>13.49</v>
      </c>
      <c r="C3461" s="11">
        <v>0</v>
      </c>
      <c r="D3461" s="11">
        <v>1.4948759431895409</v>
      </c>
    </row>
    <row r="3462" spans="1:4" x14ac:dyDescent="0.2">
      <c r="A3462" s="10" t="s">
        <v>3461</v>
      </c>
      <c r="B3462" s="12">
        <v>15.43</v>
      </c>
      <c r="C3462" s="11">
        <v>0.42569314938510106</v>
      </c>
      <c r="D3462" s="11">
        <v>0</v>
      </c>
    </row>
    <row r="3463" spans="1:4" x14ac:dyDescent="0.2">
      <c r="A3463" s="10" t="s">
        <v>3462</v>
      </c>
      <c r="B3463" s="12">
        <v>14.96</v>
      </c>
      <c r="C3463" s="11">
        <v>0</v>
      </c>
      <c r="D3463" s="11">
        <v>3.9599362733497775E-2</v>
      </c>
    </row>
    <row r="3464" spans="1:4" x14ac:dyDescent="0.2">
      <c r="A3464" s="10" t="s">
        <v>3463</v>
      </c>
      <c r="B3464" s="12">
        <v>14.36</v>
      </c>
      <c r="C3464" s="11">
        <v>0</v>
      </c>
      <c r="D3464" s="11">
        <v>0.63358980373596441</v>
      </c>
    </row>
    <row r="3465" spans="1:4" x14ac:dyDescent="0.2">
      <c r="A3465" s="10" t="s">
        <v>3464</v>
      </c>
      <c r="B3465" s="12">
        <v>14.91</v>
      </c>
      <c r="C3465" s="11">
        <v>0</v>
      </c>
      <c r="D3465" s="11">
        <v>8.9098566150369984E-2</v>
      </c>
    </row>
    <row r="3466" spans="1:4" x14ac:dyDescent="0.2">
      <c r="A3466" s="10" t="s">
        <v>3465</v>
      </c>
      <c r="B3466" s="12">
        <v>13.1</v>
      </c>
      <c r="C3466" s="11">
        <v>0</v>
      </c>
      <c r="D3466" s="11">
        <v>1.8809697298411441</v>
      </c>
    </row>
    <row r="3467" spans="1:4" x14ac:dyDescent="0.2">
      <c r="A3467" s="10" t="s">
        <v>3466</v>
      </c>
      <c r="B3467" s="12">
        <v>15.66</v>
      </c>
      <c r="C3467" s="11">
        <v>0.65338948510271333</v>
      </c>
      <c r="D3467" s="11">
        <v>0</v>
      </c>
    </row>
    <row r="3468" spans="1:4" x14ac:dyDescent="0.2">
      <c r="A3468" s="10" t="s">
        <v>3467</v>
      </c>
      <c r="B3468" s="12">
        <v>13.81</v>
      </c>
      <c r="C3468" s="11">
        <v>0</v>
      </c>
      <c r="D3468" s="11">
        <v>1.1780810413215588</v>
      </c>
    </row>
    <row r="3469" spans="1:4" x14ac:dyDescent="0.2">
      <c r="A3469" s="10" t="s">
        <v>3468</v>
      </c>
      <c r="B3469" s="12">
        <v>16.21</v>
      </c>
      <c r="C3469" s="11">
        <v>1.1978807226883077</v>
      </c>
      <c r="D3469" s="11">
        <v>0</v>
      </c>
    </row>
    <row r="3470" spans="1:4" x14ac:dyDescent="0.2">
      <c r="A3470" s="10" t="s">
        <v>3469</v>
      </c>
      <c r="B3470" s="12">
        <v>15.34</v>
      </c>
      <c r="C3470" s="11">
        <v>0.33659458323473113</v>
      </c>
      <c r="D3470" s="11">
        <v>0</v>
      </c>
    </row>
    <row r="3471" spans="1:4" x14ac:dyDescent="0.2">
      <c r="A3471" s="10" t="s">
        <v>3470</v>
      </c>
      <c r="B3471" s="12">
        <v>14.44</v>
      </c>
      <c r="C3471" s="11">
        <v>0</v>
      </c>
      <c r="D3471" s="11">
        <v>0.55439107826896894</v>
      </c>
    </row>
    <row r="3472" spans="1:4" x14ac:dyDescent="0.2">
      <c r="A3472" s="10" t="s">
        <v>3471</v>
      </c>
      <c r="B3472" s="12">
        <v>12.97</v>
      </c>
      <c r="C3472" s="11">
        <v>0</v>
      </c>
      <c r="D3472" s="11">
        <v>2.0096676587250117</v>
      </c>
    </row>
    <row r="3473" spans="1:4" x14ac:dyDescent="0.2">
      <c r="A3473" s="10" t="s">
        <v>3472</v>
      </c>
      <c r="B3473" s="12">
        <v>11.96</v>
      </c>
      <c r="C3473" s="11">
        <v>0</v>
      </c>
      <c r="D3473" s="11">
        <v>3.0095515677458309</v>
      </c>
    </row>
    <row r="3474" spans="1:4" x14ac:dyDescent="0.2">
      <c r="A3474" s="10" t="s">
        <v>3473</v>
      </c>
      <c r="B3474" s="12">
        <v>13.97</v>
      </c>
      <c r="C3474" s="11">
        <v>0</v>
      </c>
      <c r="D3474" s="11">
        <v>1.0196835903875676</v>
      </c>
    </row>
    <row r="3475" spans="1:4" x14ac:dyDescent="0.2">
      <c r="A3475" s="10" t="s">
        <v>3474</v>
      </c>
      <c r="B3475" s="12">
        <v>13.47</v>
      </c>
      <c r="C3475" s="11">
        <v>0</v>
      </c>
      <c r="D3475" s="11">
        <v>1.5146756245562898</v>
      </c>
    </row>
    <row r="3476" spans="1:4" x14ac:dyDescent="0.2">
      <c r="A3476" s="10" t="s">
        <v>3475</v>
      </c>
      <c r="B3476" s="12">
        <v>14.34</v>
      </c>
      <c r="C3476" s="11">
        <v>0</v>
      </c>
      <c r="D3476" s="11">
        <v>0.65338948510271333</v>
      </c>
    </row>
    <row r="3477" spans="1:4" x14ac:dyDescent="0.2">
      <c r="A3477" s="10" t="s">
        <v>3476</v>
      </c>
      <c r="B3477" s="12">
        <v>13.46</v>
      </c>
      <c r="C3477" s="11">
        <v>0</v>
      </c>
      <c r="D3477" s="11">
        <v>1.5245754652396644</v>
      </c>
    </row>
    <row r="3478" spans="1:4" x14ac:dyDescent="0.2">
      <c r="A3478" s="10" t="s">
        <v>3477</v>
      </c>
      <c r="B3478" s="12">
        <v>14.84</v>
      </c>
      <c r="C3478" s="11">
        <v>0</v>
      </c>
      <c r="D3478" s="11">
        <v>0.1583974509339911</v>
      </c>
    </row>
    <row r="3479" spans="1:4" x14ac:dyDescent="0.2">
      <c r="A3479" s="10" t="s">
        <v>3478</v>
      </c>
      <c r="B3479" s="12">
        <v>15.67</v>
      </c>
      <c r="C3479" s="11">
        <v>0.66328932578608779</v>
      </c>
      <c r="D3479" s="11">
        <v>0</v>
      </c>
    </row>
    <row r="3480" spans="1:4" x14ac:dyDescent="0.2">
      <c r="A3480" s="10" t="s">
        <v>3479</v>
      </c>
      <c r="B3480" s="12">
        <v>13.2</v>
      </c>
      <c r="C3480" s="11">
        <v>0</v>
      </c>
      <c r="D3480" s="11">
        <v>1.7819713230073999</v>
      </c>
    </row>
    <row r="3481" spans="1:4" x14ac:dyDescent="0.2">
      <c r="A3481" s="10" t="s">
        <v>3480</v>
      </c>
      <c r="B3481" s="12">
        <v>15.44</v>
      </c>
      <c r="C3481" s="11">
        <v>0.43559299006847552</v>
      </c>
      <c r="D3481" s="11">
        <v>0</v>
      </c>
    </row>
    <row r="3482" spans="1:4" x14ac:dyDescent="0.2">
      <c r="A3482" s="10" t="s">
        <v>3481</v>
      </c>
      <c r="B3482" s="12">
        <v>12.53</v>
      </c>
      <c r="C3482" s="11">
        <v>0</v>
      </c>
      <c r="D3482" s="11">
        <v>2.4452606487934876</v>
      </c>
    </row>
    <row r="3483" spans="1:4" x14ac:dyDescent="0.2">
      <c r="A3483" s="10" t="s">
        <v>3482</v>
      </c>
      <c r="B3483" s="12">
        <v>14.26</v>
      </c>
      <c r="C3483" s="11">
        <v>0</v>
      </c>
      <c r="D3483" s="11">
        <v>0.7325882105697088</v>
      </c>
    </row>
    <row r="3484" spans="1:4" x14ac:dyDescent="0.2">
      <c r="A3484" s="10" t="s">
        <v>3483</v>
      </c>
      <c r="B3484" s="12">
        <v>16.579999999999998</v>
      </c>
      <c r="C3484" s="11">
        <v>1.5641748279731622</v>
      </c>
      <c r="D3484" s="11">
        <v>0</v>
      </c>
    </row>
    <row r="3485" spans="1:4" x14ac:dyDescent="0.2">
      <c r="A3485" s="10" t="s">
        <v>3484</v>
      </c>
      <c r="B3485" s="12">
        <v>13.54</v>
      </c>
      <c r="C3485" s="11">
        <v>0</v>
      </c>
      <c r="D3485" s="11">
        <v>1.4453767397726687</v>
      </c>
    </row>
    <row r="3486" spans="1:4" x14ac:dyDescent="0.2">
      <c r="A3486" s="10" t="s">
        <v>3485</v>
      </c>
      <c r="B3486" s="12">
        <v>13.13</v>
      </c>
      <c r="C3486" s="11">
        <v>0</v>
      </c>
      <c r="D3486" s="11">
        <v>1.851270207791021</v>
      </c>
    </row>
    <row r="3487" spans="1:4" x14ac:dyDescent="0.2">
      <c r="A3487" s="10" t="s">
        <v>3486</v>
      </c>
      <c r="B3487" s="12">
        <v>11.85</v>
      </c>
      <c r="C3487" s="11">
        <v>0</v>
      </c>
      <c r="D3487" s="11">
        <v>3.1184498152629496</v>
      </c>
    </row>
    <row r="3488" spans="1:4" x14ac:dyDescent="0.2">
      <c r="A3488" s="10" t="s">
        <v>3487</v>
      </c>
      <c r="B3488" s="12">
        <v>16.260000000000002</v>
      </c>
      <c r="C3488" s="11">
        <v>1.2473799261051799</v>
      </c>
      <c r="D3488" s="11">
        <v>0</v>
      </c>
    </row>
    <row r="3489" spans="1:4" x14ac:dyDescent="0.2">
      <c r="A3489" s="10" t="s">
        <v>3488</v>
      </c>
      <c r="B3489" s="12">
        <v>12.52</v>
      </c>
      <c r="C3489" s="11">
        <v>0</v>
      </c>
      <c r="D3489" s="11">
        <v>2.4551604894768619</v>
      </c>
    </row>
    <row r="3490" spans="1:4" x14ac:dyDescent="0.2">
      <c r="A3490" s="10" t="s">
        <v>3489</v>
      </c>
      <c r="B3490" s="12">
        <v>14.98</v>
      </c>
      <c r="C3490" s="11">
        <v>0</v>
      </c>
      <c r="D3490" s="11">
        <v>1.9799681366748888E-2</v>
      </c>
    </row>
    <row r="3491" spans="1:4" x14ac:dyDescent="0.2">
      <c r="A3491" s="10" t="s">
        <v>3490</v>
      </c>
      <c r="B3491" s="12">
        <v>14.47</v>
      </c>
      <c r="C3491" s="11">
        <v>0</v>
      </c>
      <c r="D3491" s="11">
        <v>0.52469155621884556</v>
      </c>
    </row>
    <row r="3492" spans="1:4" x14ac:dyDescent="0.2">
      <c r="A3492" s="10" t="s">
        <v>3491</v>
      </c>
      <c r="B3492" s="12">
        <v>14.59</v>
      </c>
      <c r="C3492" s="11">
        <v>0</v>
      </c>
      <c r="D3492" s="11">
        <v>0.40589346801835213</v>
      </c>
    </row>
    <row r="3493" spans="1:4" x14ac:dyDescent="0.2">
      <c r="A3493" s="10" t="s">
        <v>3492</v>
      </c>
      <c r="B3493" s="12">
        <v>15.82</v>
      </c>
      <c r="C3493" s="11">
        <v>0.81178693603670427</v>
      </c>
      <c r="D3493" s="11">
        <v>0</v>
      </c>
    </row>
    <row r="3494" spans="1:4" x14ac:dyDescent="0.2">
      <c r="A3494" s="10" t="s">
        <v>3493</v>
      </c>
      <c r="B3494" s="12">
        <v>14.36</v>
      </c>
      <c r="C3494" s="11">
        <v>0</v>
      </c>
      <c r="D3494" s="11">
        <v>0.63358980373596441</v>
      </c>
    </row>
    <row r="3495" spans="1:4" x14ac:dyDescent="0.2">
      <c r="A3495" s="10" t="s">
        <v>3494</v>
      </c>
      <c r="B3495" s="12">
        <v>13.19</v>
      </c>
      <c r="C3495" s="11">
        <v>0</v>
      </c>
      <c r="D3495" s="11">
        <v>1.7918711636907743</v>
      </c>
    </row>
    <row r="3496" spans="1:4" x14ac:dyDescent="0.2">
      <c r="A3496" s="10" t="s">
        <v>3495</v>
      </c>
      <c r="B3496" s="12">
        <v>12.65</v>
      </c>
      <c r="C3496" s="11">
        <v>0</v>
      </c>
      <c r="D3496" s="11">
        <v>2.3264625605929945</v>
      </c>
    </row>
    <row r="3497" spans="1:4" x14ac:dyDescent="0.2">
      <c r="A3497" s="10" t="s">
        <v>3496</v>
      </c>
      <c r="B3497" s="12">
        <v>16.57</v>
      </c>
      <c r="C3497" s="11">
        <v>1.5542749872897876</v>
      </c>
      <c r="D3497" s="11">
        <v>0</v>
      </c>
    </row>
    <row r="3498" spans="1:4" x14ac:dyDescent="0.2">
      <c r="A3498" s="10" t="s">
        <v>3497</v>
      </c>
      <c r="B3498" s="12">
        <v>14.63</v>
      </c>
      <c r="C3498" s="11">
        <v>0</v>
      </c>
      <c r="D3498" s="11">
        <v>0.3662941052848544</v>
      </c>
    </row>
    <row r="3499" spans="1:4" x14ac:dyDescent="0.2">
      <c r="A3499" s="10" t="s">
        <v>3498</v>
      </c>
      <c r="B3499" s="12">
        <v>15.34</v>
      </c>
      <c r="C3499" s="11">
        <v>0.33659458323473113</v>
      </c>
      <c r="D3499" s="11">
        <v>0</v>
      </c>
    </row>
    <row r="3500" spans="1:4" x14ac:dyDescent="0.2">
      <c r="A3500" s="10" t="s">
        <v>3499</v>
      </c>
      <c r="B3500" s="12">
        <v>12.64</v>
      </c>
      <c r="C3500" s="11">
        <v>0</v>
      </c>
      <c r="D3500" s="11">
        <v>2.3363624012763684</v>
      </c>
    </row>
    <row r="3501" spans="1:4" x14ac:dyDescent="0.2">
      <c r="A3501" s="10" t="s">
        <v>3500</v>
      </c>
      <c r="B3501" s="12">
        <v>14.18</v>
      </c>
      <c r="C3501" s="11">
        <v>0</v>
      </c>
      <c r="D3501" s="11">
        <v>0.81178693603670427</v>
      </c>
    </row>
    <row r="3502" spans="1:4" x14ac:dyDescent="0.2">
      <c r="A3502" s="10" t="s">
        <v>3501</v>
      </c>
      <c r="B3502" s="12">
        <v>14.63</v>
      </c>
      <c r="C3502" s="11">
        <v>0</v>
      </c>
      <c r="D3502" s="11">
        <v>0.3662941052848544</v>
      </c>
    </row>
    <row r="3503" spans="1:4" x14ac:dyDescent="0.2">
      <c r="A3503" s="10" t="s">
        <v>3502</v>
      </c>
      <c r="B3503" s="12">
        <v>12.34</v>
      </c>
      <c r="C3503" s="11">
        <v>0</v>
      </c>
      <c r="D3503" s="11">
        <v>2.633357621777602</v>
      </c>
    </row>
    <row r="3504" spans="1:4" x14ac:dyDescent="0.2">
      <c r="A3504" s="10" t="s">
        <v>3503</v>
      </c>
      <c r="B3504" s="12">
        <v>15.3</v>
      </c>
      <c r="C3504" s="11">
        <v>0.29699522050123328</v>
      </c>
      <c r="D3504" s="11">
        <v>0</v>
      </c>
    </row>
    <row r="3505" spans="1:4" x14ac:dyDescent="0.2">
      <c r="A3505" s="10" t="s">
        <v>3504</v>
      </c>
      <c r="B3505" s="12">
        <v>14.1</v>
      </c>
      <c r="C3505" s="11">
        <v>0</v>
      </c>
      <c r="D3505" s="11">
        <v>0.89098566150369995</v>
      </c>
    </row>
    <row r="3506" spans="1:4" x14ac:dyDescent="0.2">
      <c r="A3506" s="10" t="s">
        <v>3505</v>
      </c>
      <c r="B3506" s="12">
        <v>14.39</v>
      </c>
      <c r="C3506" s="11">
        <v>0</v>
      </c>
      <c r="D3506" s="11">
        <v>0.60389028168584102</v>
      </c>
    </row>
    <row r="3507" spans="1:4" x14ac:dyDescent="0.2">
      <c r="A3507" s="10" t="s">
        <v>3506</v>
      </c>
      <c r="B3507" s="12">
        <v>13.73</v>
      </c>
      <c r="C3507" s="11">
        <v>0</v>
      </c>
      <c r="D3507" s="11">
        <v>1.2572797667885542</v>
      </c>
    </row>
    <row r="3508" spans="1:4" x14ac:dyDescent="0.2">
      <c r="A3508" s="10" t="s">
        <v>3507</v>
      </c>
      <c r="B3508" s="12">
        <v>13.11</v>
      </c>
      <c r="C3508" s="11">
        <v>0</v>
      </c>
      <c r="D3508" s="11">
        <v>1.8809697298411441</v>
      </c>
    </row>
    <row r="3509" spans="1:4" x14ac:dyDescent="0.2">
      <c r="A3509" s="10" t="s">
        <v>3508</v>
      </c>
      <c r="B3509" s="12">
        <v>13.97</v>
      </c>
      <c r="C3509" s="11">
        <v>0</v>
      </c>
      <c r="D3509" s="11">
        <v>1.0196835903875676</v>
      </c>
    </row>
    <row r="3510" spans="1:4" x14ac:dyDescent="0.2">
      <c r="A3510" s="10" t="s">
        <v>3509</v>
      </c>
      <c r="B3510" s="12">
        <v>15.76</v>
      </c>
      <c r="C3510" s="11">
        <v>0.75238789193645772</v>
      </c>
      <c r="D3510" s="11">
        <v>0</v>
      </c>
    </row>
    <row r="3511" spans="1:4" x14ac:dyDescent="0.2">
      <c r="A3511" s="10" t="s">
        <v>3510</v>
      </c>
      <c r="B3511" s="12">
        <v>14.99</v>
      </c>
      <c r="C3511" s="11">
        <v>0</v>
      </c>
      <c r="D3511" s="11">
        <v>9.8998406833744439E-3</v>
      </c>
    </row>
    <row r="3512" spans="1:4" x14ac:dyDescent="0.2">
      <c r="A3512" s="10" t="s">
        <v>3511</v>
      </c>
      <c r="B3512" s="12">
        <v>14.84</v>
      </c>
      <c r="C3512" s="11">
        <v>0</v>
      </c>
      <c r="D3512" s="11">
        <v>0.1583974509339911</v>
      </c>
    </row>
    <row r="3513" spans="1:4" x14ac:dyDescent="0.2">
      <c r="A3513" s="10" t="s">
        <v>3512</v>
      </c>
      <c r="B3513" s="12">
        <v>13.89</v>
      </c>
      <c r="C3513" s="11">
        <v>0</v>
      </c>
      <c r="D3513" s="11">
        <v>1.0988823158545633</v>
      </c>
    </row>
    <row r="3514" spans="1:4" x14ac:dyDescent="0.2">
      <c r="A3514" s="10" t="s">
        <v>3513</v>
      </c>
      <c r="B3514" s="12">
        <v>13.37</v>
      </c>
      <c r="C3514" s="11">
        <v>0</v>
      </c>
      <c r="D3514" s="11">
        <v>1.6136740313900342</v>
      </c>
    </row>
    <row r="3515" spans="1:4" x14ac:dyDescent="0.2">
      <c r="A3515" s="10" t="s">
        <v>3514</v>
      </c>
      <c r="B3515" s="12">
        <v>12.92</v>
      </c>
      <c r="C3515" s="11">
        <v>0</v>
      </c>
      <c r="D3515" s="11">
        <v>2.0591668621418844</v>
      </c>
    </row>
    <row r="3516" spans="1:4" x14ac:dyDescent="0.2">
      <c r="A3516" s="10" t="s">
        <v>3515</v>
      </c>
      <c r="B3516" s="12">
        <v>13.03</v>
      </c>
      <c r="C3516" s="11">
        <v>0</v>
      </c>
      <c r="D3516" s="11">
        <v>1.9502686146247654</v>
      </c>
    </row>
    <row r="3517" spans="1:4" x14ac:dyDescent="0.2">
      <c r="A3517" s="10" t="s">
        <v>3516</v>
      </c>
      <c r="B3517" s="12">
        <v>13.95</v>
      </c>
      <c r="C3517" s="11">
        <v>0</v>
      </c>
      <c r="D3517" s="11">
        <v>1.0394832717543165</v>
      </c>
    </row>
    <row r="3518" spans="1:4" x14ac:dyDescent="0.2">
      <c r="A3518" s="10" t="s">
        <v>3517</v>
      </c>
      <c r="B3518" s="12">
        <v>15.29</v>
      </c>
      <c r="C3518" s="11">
        <v>0.28709537981785882</v>
      </c>
      <c r="D3518" s="11">
        <v>0</v>
      </c>
    </row>
    <row r="3519" spans="1:4" x14ac:dyDescent="0.2">
      <c r="A3519" s="10" t="s">
        <v>3518</v>
      </c>
      <c r="B3519" s="12">
        <v>14.99</v>
      </c>
      <c r="C3519" s="11">
        <v>0</v>
      </c>
      <c r="D3519" s="11">
        <v>9.8998406833744439E-3</v>
      </c>
    </row>
    <row r="3520" spans="1:4" x14ac:dyDescent="0.2">
      <c r="A3520" s="10" t="s">
        <v>3519</v>
      </c>
      <c r="B3520" s="12">
        <v>15.72</v>
      </c>
      <c r="C3520" s="11">
        <v>0.71278852920295988</v>
      </c>
      <c r="D3520" s="11">
        <v>0</v>
      </c>
    </row>
    <row r="3521" spans="1:4" x14ac:dyDescent="0.2">
      <c r="A3521" s="10" t="s">
        <v>3520</v>
      </c>
      <c r="B3521" s="12">
        <v>12.72</v>
      </c>
      <c r="C3521" s="11">
        <v>0</v>
      </c>
      <c r="D3521" s="11">
        <v>2.2571636758093727</v>
      </c>
    </row>
    <row r="3522" spans="1:4" x14ac:dyDescent="0.2">
      <c r="A3522" s="10" t="s">
        <v>3521</v>
      </c>
      <c r="B3522" s="12">
        <v>15.92</v>
      </c>
      <c r="C3522" s="11">
        <v>0.91078534287044888</v>
      </c>
      <c r="D3522" s="11">
        <v>0</v>
      </c>
    </row>
    <row r="3523" spans="1:4" x14ac:dyDescent="0.2">
      <c r="A3523" s="10" t="s">
        <v>3522</v>
      </c>
      <c r="B3523" s="12">
        <v>14.07</v>
      </c>
      <c r="C3523" s="11">
        <v>0</v>
      </c>
      <c r="D3523" s="11">
        <v>0.92068518355382334</v>
      </c>
    </row>
    <row r="3524" spans="1:4" x14ac:dyDescent="0.2">
      <c r="A3524" s="10" t="s">
        <v>3523</v>
      </c>
      <c r="B3524" s="12">
        <v>12.97</v>
      </c>
      <c r="C3524" s="11">
        <v>0</v>
      </c>
      <c r="D3524" s="11">
        <v>2.0096676587250117</v>
      </c>
    </row>
    <row r="3525" spans="1:4" x14ac:dyDescent="0.2">
      <c r="A3525" s="10" t="s">
        <v>3524</v>
      </c>
      <c r="B3525" s="12">
        <v>14.48</v>
      </c>
      <c r="C3525" s="11">
        <v>0</v>
      </c>
      <c r="D3525" s="11">
        <v>0.51479171553547109</v>
      </c>
    </row>
    <row r="3526" spans="1:4" x14ac:dyDescent="0.2">
      <c r="A3526" s="10" t="s">
        <v>3525</v>
      </c>
      <c r="B3526" s="12">
        <v>11.49</v>
      </c>
      <c r="C3526" s="11">
        <v>0</v>
      </c>
      <c r="D3526" s="11">
        <v>3.4748440798644293</v>
      </c>
    </row>
    <row r="3527" spans="1:4" x14ac:dyDescent="0.2">
      <c r="A3527" s="10" t="s">
        <v>3526</v>
      </c>
      <c r="B3527" s="12">
        <v>14.56</v>
      </c>
      <c r="C3527" s="11">
        <v>0</v>
      </c>
      <c r="D3527" s="11">
        <v>0.43559299006847552</v>
      </c>
    </row>
    <row r="3528" spans="1:4" x14ac:dyDescent="0.2">
      <c r="A3528" s="10" t="s">
        <v>3527</v>
      </c>
      <c r="B3528" s="12">
        <v>15.32</v>
      </c>
      <c r="C3528" s="11">
        <v>0.3167949018679822</v>
      </c>
      <c r="D3528" s="11">
        <v>0</v>
      </c>
    </row>
    <row r="3529" spans="1:4" x14ac:dyDescent="0.2">
      <c r="A3529" s="10" t="s">
        <v>3528</v>
      </c>
      <c r="B3529" s="12">
        <v>14.66</v>
      </c>
      <c r="C3529" s="11">
        <v>0</v>
      </c>
      <c r="D3529" s="11">
        <v>0.33659458323473113</v>
      </c>
    </row>
    <row r="3530" spans="1:4" x14ac:dyDescent="0.2">
      <c r="A3530" s="10" t="s">
        <v>3529</v>
      </c>
      <c r="B3530" s="12">
        <v>12.08</v>
      </c>
      <c r="C3530" s="11">
        <v>0</v>
      </c>
      <c r="D3530" s="11">
        <v>2.8907534795453373</v>
      </c>
    </row>
    <row r="3531" spans="1:4" x14ac:dyDescent="0.2">
      <c r="A3531" s="10" t="s">
        <v>3530</v>
      </c>
      <c r="B3531" s="12">
        <v>13.75</v>
      </c>
      <c r="C3531" s="11">
        <v>0</v>
      </c>
      <c r="D3531" s="11">
        <v>1.2374800854218053</v>
      </c>
    </row>
    <row r="3532" spans="1:4" x14ac:dyDescent="0.2">
      <c r="A3532" s="10" t="s">
        <v>3531</v>
      </c>
      <c r="B3532" s="12">
        <v>13.6</v>
      </c>
      <c r="C3532" s="11">
        <v>0</v>
      </c>
      <c r="D3532" s="11">
        <v>1.3859776956724219</v>
      </c>
    </row>
    <row r="3533" spans="1:4" x14ac:dyDescent="0.2">
      <c r="A3533" s="10" t="s">
        <v>3532</v>
      </c>
      <c r="B3533" s="12">
        <v>14.28</v>
      </c>
      <c r="C3533" s="11">
        <v>0</v>
      </c>
      <c r="D3533" s="11">
        <v>0.71278852920295988</v>
      </c>
    </row>
    <row r="3534" spans="1:4" x14ac:dyDescent="0.2">
      <c r="A3534" s="10" t="s">
        <v>3533</v>
      </c>
      <c r="B3534" s="12">
        <v>13.2</v>
      </c>
      <c r="C3534" s="11">
        <v>0</v>
      </c>
      <c r="D3534" s="11">
        <v>1.7819713230073999</v>
      </c>
    </row>
    <row r="3535" spans="1:4" x14ac:dyDescent="0.2">
      <c r="A3535" s="10" t="s">
        <v>3534</v>
      </c>
      <c r="B3535" s="12">
        <v>12.79</v>
      </c>
      <c r="C3535" s="11">
        <v>0</v>
      </c>
      <c r="D3535" s="11">
        <v>2.1878647910257518</v>
      </c>
    </row>
    <row r="3536" spans="1:4" x14ac:dyDescent="0.2">
      <c r="A3536" s="10" t="s">
        <v>3535</v>
      </c>
      <c r="B3536" s="12">
        <v>13.39</v>
      </c>
      <c r="C3536" s="11">
        <v>0</v>
      </c>
      <c r="D3536" s="11">
        <v>1.5938743500232855</v>
      </c>
    </row>
    <row r="3537" spans="1:4" x14ac:dyDescent="0.2">
      <c r="A3537" s="10" t="s">
        <v>3536</v>
      </c>
      <c r="B3537" s="12">
        <v>14.2</v>
      </c>
      <c r="C3537" s="11">
        <v>0</v>
      </c>
      <c r="D3537" s="11">
        <v>0.79198725466995556</v>
      </c>
    </row>
    <row r="3538" spans="1:4" x14ac:dyDescent="0.2">
      <c r="A3538" s="10" t="s">
        <v>3537</v>
      </c>
      <c r="B3538" s="12">
        <v>14.37</v>
      </c>
      <c r="C3538" s="11">
        <v>0</v>
      </c>
      <c r="D3538" s="11">
        <v>0.62368996305258995</v>
      </c>
    </row>
    <row r="3539" spans="1:4" x14ac:dyDescent="0.2">
      <c r="A3539" s="10" t="s">
        <v>3538</v>
      </c>
      <c r="B3539" s="12">
        <v>15.54</v>
      </c>
      <c r="C3539" s="11">
        <v>0.53459139690222002</v>
      </c>
      <c r="D3539" s="11">
        <v>0</v>
      </c>
    </row>
    <row r="3540" spans="1:4" x14ac:dyDescent="0.2">
      <c r="A3540" s="10" t="s">
        <v>3539</v>
      </c>
      <c r="B3540" s="12">
        <v>13.58</v>
      </c>
      <c r="C3540" s="11">
        <v>0</v>
      </c>
      <c r="D3540" s="11">
        <v>1.4156772177225454</v>
      </c>
    </row>
    <row r="3541" spans="1:4" x14ac:dyDescent="0.2">
      <c r="A3541" s="10" t="s">
        <v>3540</v>
      </c>
      <c r="B3541" s="12">
        <v>17.39</v>
      </c>
      <c r="C3541" s="11">
        <v>2.3660619233264919</v>
      </c>
      <c r="D3541" s="11">
        <v>0</v>
      </c>
    </row>
    <row r="3542" spans="1:4" x14ac:dyDescent="0.2">
      <c r="A3542" s="10" t="s">
        <v>3541</v>
      </c>
      <c r="B3542" s="12">
        <v>15.12</v>
      </c>
      <c r="C3542" s="11">
        <v>0.11879808820049331</v>
      </c>
      <c r="D3542" s="11">
        <v>0</v>
      </c>
    </row>
    <row r="3543" spans="1:4" x14ac:dyDescent="0.2">
      <c r="A3543" s="10" t="s">
        <v>3542</v>
      </c>
      <c r="B3543" s="12">
        <v>15.09</v>
      </c>
      <c r="C3543" s="11">
        <v>8.9098566150369984E-2</v>
      </c>
      <c r="D3543" s="11">
        <v>0</v>
      </c>
    </row>
    <row r="3544" spans="1:4" x14ac:dyDescent="0.2">
      <c r="A3544" s="10" t="s">
        <v>3543</v>
      </c>
      <c r="B3544" s="12">
        <v>11.8</v>
      </c>
      <c r="C3544" s="11">
        <v>0</v>
      </c>
      <c r="D3544" s="11">
        <v>3.1679490186798223</v>
      </c>
    </row>
    <row r="3545" spans="1:4" x14ac:dyDescent="0.2">
      <c r="A3545" s="10" t="s">
        <v>3544</v>
      </c>
      <c r="B3545" s="12">
        <v>13.39</v>
      </c>
      <c r="C3545" s="11">
        <v>0</v>
      </c>
      <c r="D3545" s="11">
        <v>1.5938743500232855</v>
      </c>
    </row>
    <row r="3546" spans="1:4" x14ac:dyDescent="0.2">
      <c r="A3546" s="10" t="s">
        <v>3545</v>
      </c>
      <c r="B3546" s="12">
        <v>13.92</v>
      </c>
      <c r="C3546" s="11">
        <v>0</v>
      </c>
      <c r="D3546" s="11">
        <v>1.06918279380444</v>
      </c>
    </row>
    <row r="3547" spans="1:4" x14ac:dyDescent="0.2">
      <c r="A3547" s="10" t="s">
        <v>3546</v>
      </c>
      <c r="B3547" s="12">
        <v>11.01</v>
      </c>
      <c r="C3547" s="11">
        <v>0</v>
      </c>
      <c r="D3547" s="11">
        <v>3.950036432666403</v>
      </c>
    </row>
    <row r="3548" spans="1:4" x14ac:dyDescent="0.2">
      <c r="A3548" s="10" t="s">
        <v>3547</v>
      </c>
      <c r="B3548" s="12">
        <v>14.29</v>
      </c>
      <c r="C3548" s="11">
        <v>0</v>
      </c>
      <c r="D3548" s="11">
        <v>0.70288868851958541</v>
      </c>
    </row>
    <row r="3549" spans="1:4" x14ac:dyDescent="0.2">
      <c r="A3549" s="10" t="s">
        <v>3548</v>
      </c>
      <c r="B3549" s="12">
        <v>14.62</v>
      </c>
      <c r="C3549" s="11">
        <v>0</v>
      </c>
      <c r="D3549" s="11">
        <v>0.37619394596822886</v>
      </c>
    </row>
    <row r="3550" spans="1:4" x14ac:dyDescent="0.2">
      <c r="A3550" s="10" t="s">
        <v>3549</v>
      </c>
      <c r="B3550" s="12">
        <v>13.65</v>
      </c>
      <c r="C3550" s="11">
        <v>0</v>
      </c>
      <c r="D3550" s="11">
        <v>1.3364784922555499</v>
      </c>
    </row>
    <row r="3551" spans="1:4" x14ac:dyDescent="0.2">
      <c r="A3551" s="10" t="s">
        <v>3550</v>
      </c>
      <c r="B3551" s="12">
        <v>13.26</v>
      </c>
      <c r="C3551" s="11">
        <v>0</v>
      </c>
      <c r="D3551" s="11">
        <v>1.7225722789071531</v>
      </c>
    </row>
    <row r="3552" spans="1:4" x14ac:dyDescent="0.2">
      <c r="A3552" s="10" t="s">
        <v>3551</v>
      </c>
      <c r="B3552" s="12">
        <v>14.31</v>
      </c>
      <c r="C3552" s="11">
        <v>0</v>
      </c>
      <c r="D3552" s="11">
        <v>0.68308900715283649</v>
      </c>
    </row>
    <row r="3553" spans="1:4" x14ac:dyDescent="0.2">
      <c r="A3553" s="10" t="s">
        <v>3552</v>
      </c>
      <c r="B3553" s="12">
        <v>12.72</v>
      </c>
      <c r="C3553" s="11">
        <v>0</v>
      </c>
      <c r="D3553" s="11">
        <v>2.2571636758093727</v>
      </c>
    </row>
    <row r="3554" spans="1:4" x14ac:dyDescent="0.2">
      <c r="A3554" s="10" t="s">
        <v>3553</v>
      </c>
      <c r="B3554" s="12">
        <v>14.75</v>
      </c>
      <c r="C3554" s="11">
        <v>0</v>
      </c>
      <c r="D3554" s="11">
        <v>0.24749601708436109</v>
      </c>
    </row>
    <row r="3555" spans="1:4" x14ac:dyDescent="0.2">
      <c r="A3555" s="10" t="s">
        <v>3554</v>
      </c>
      <c r="B3555" s="12">
        <v>15.85</v>
      </c>
      <c r="C3555" s="11">
        <v>0.84148645808682765</v>
      </c>
      <c r="D3555" s="11">
        <v>0</v>
      </c>
    </row>
    <row r="3556" spans="1:4" x14ac:dyDescent="0.2">
      <c r="A3556" s="10" t="s">
        <v>3555</v>
      </c>
      <c r="B3556" s="12">
        <v>14.15</v>
      </c>
      <c r="C3556" s="11">
        <v>0</v>
      </c>
      <c r="D3556" s="11">
        <v>0.84148645808682765</v>
      </c>
    </row>
    <row r="3557" spans="1:4" x14ac:dyDescent="0.2">
      <c r="A3557" s="10" t="s">
        <v>3556</v>
      </c>
      <c r="B3557" s="12">
        <v>13.65</v>
      </c>
      <c r="C3557" s="11">
        <v>0</v>
      </c>
      <c r="D3557" s="11">
        <v>1.3364784922555499</v>
      </c>
    </row>
    <row r="3558" spans="1:4" x14ac:dyDescent="0.2">
      <c r="A3558" s="10" t="s">
        <v>3557</v>
      </c>
      <c r="B3558" s="12">
        <v>14.15</v>
      </c>
      <c r="C3558" s="11">
        <v>0</v>
      </c>
      <c r="D3558" s="11">
        <v>0.84148645808682765</v>
      </c>
    </row>
    <row r="3559" spans="1:4" x14ac:dyDescent="0.2">
      <c r="A3559" s="10" t="s">
        <v>3558</v>
      </c>
      <c r="B3559" s="12">
        <v>13.37</v>
      </c>
      <c r="C3559" s="11">
        <v>0</v>
      </c>
      <c r="D3559" s="11">
        <v>1.6136740313900342</v>
      </c>
    </row>
    <row r="3560" spans="1:4" x14ac:dyDescent="0.2">
      <c r="A3560" s="10" t="s">
        <v>3559</v>
      </c>
      <c r="B3560" s="12">
        <v>14.71</v>
      </c>
      <c r="C3560" s="11">
        <v>0</v>
      </c>
      <c r="D3560" s="11">
        <v>0.28709537981785882</v>
      </c>
    </row>
    <row r="3561" spans="1:4" x14ac:dyDescent="0.2">
      <c r="A3561" s="10" t="s">
        <v>3560</v>
      </c>
      <c r="B3561" s="12">
        <v>13.28</v>
      </c>
      <c r="C3561" s="11">
        <v>0</v>
      </c>
      <c r="D3561" s="11">
        <v>1.7027725975404042</v>
      </c>
    </row>
    <row r="3562" spans="1:4" x14ac:dyDescent="0.2">
      <c r="A3562" s="10" t="s">
        <v>3561</v>
      </c>
      <c r="B3562" s="12">
        <v>13.87</v>
      </c>
      <c r="C3562" s="11">
        <v>0</v>
      </c>
      <c r="D3562" s="11">
        <v>1.118681997221312</v>
      </c>
    </row>
    <row r="3563" spans="1:4" x14ac:dyDescent="0.2">
      <c r="A3563" s="10" t="s">
        <v>3562</v>
      </c>
      <c r="B3563" s="12">
        <v>13.86</v>
      </c>
      <c r="C3563" s="11">
        <v>0</v>
      </c>
      <c r="D3563" s="11">
        <v>1.1285818379046864</v>
      </c>
    </row>
    <row r="3564" spans="1:4" x14ac:dyDescent="0.2">
      <c r="A3564" s="10" t="s">
        <v>3563</v>
      </c>
      <c r="B3564" s="12">
        <v>15.19</v>
      </c>
      <c r="C3564" s="11">
        <v>0.18809697298411443</v>
      </c>
      <c r="D3564" s="11">
        <v>0</v>
      </c>
    </row>
    <row r="3565" spans="1:4" x14ac:dyDescent="0.2">
      <c r="A3565" s="10" t="s">
        <v>3564</v>
      </c>
      <c r="B3565" s="12">
        <v>12.44</v>
      </c>
      <c r="C3565" s="11">
        <v>0</v>
      </c>
      <c r="D3565" s="11">
        <v>2.5343592149438576</v>
      </c>
    </row>
    <row r="3566" spans="1:4" x14ac:dyDescent="0.2">
      <c r="A3566" s="10" t="s">
        <v>3565</v>
      </c>
      <c r="B3566" s="12">
        <v>14.63</v>
      </c>
      <c r="C3566" s="11">
        <v>0</v>
      </c>
      <c r="D3566" s="11">
        <v>0.3662941052848544</v>
      </c>
    </row>
    <row r="3567" spans="1:4" x14ac:dyDescent="0.2">
      <c r="A3567" s="10" t="s">
        <v>3566</v>
      </c>
      <c r="B3567" s="12">
        <v>12.84</v>
      </c>
      <c r="C3567" s="11">
        <v>0</v>
      </c>
      <c r="D3567" s="11">
        <v>2.1383655876088801</v>
      </c>
    </row>
    <row r="3568" spans="1:4" x14ac:dyDescent="0.2">
      <c r="A3568" s="10" t="s">
        <v>3567</v>
      </c>
      <c r="B3568" s="12">
        <v>13.23</v>
      </c>
      <c r="C3568" s="11">
        <v>0</v>
      </c>
      <c r="D3568" s="11">
        <v>1.7522718009572764</v>
      </c>
    </row>
    <row r="3569" spans="1:4" x14ac:dyDescent="0.2">
      <c r="A3569" s="10" t="s">
        <v>3568</v>
      </c>
      <c r="B3569" s="12">
        <v>13.61</v>
      </c>
      <c r="C3569" s="11">
        <v>0</v>
      </c>
      <c r="D3569" s="11">
        <v>1.3760778549890476</v>
      </c>
    </row>
    <row r="3570" spans="1:4" x14ac:dyDescent="0.2">
      <c r="A3570" s="10" t="s">
        <v>3569</v>
      </c>
      <c r="B3570" s="12">
        <v>15.03</v>
      </c>
      <c r="C3570" s="11">
        <v>2.9699522050123328E-2</v>
      </c>
      <c r="D3570" s="11">
        <v>0</v>
      </c>
    </row>
    <row r="3571" spans="1:4" x14ac:dyDescent="0.2">
      <c r="A3571" s="10" t="s">
        <v>3570</v>
      </c>
      <c r="B3571" s="12">
        <v>16.940000000000001</v>
      </c>
      <c r="C3571" s="11">
        <v>1.9205690925746419</v>
      </c>
      <c r="D3571" s="11">
        <v>0</v>
      </c>
    </row>
    <row r="3572" spans="1:4" x14ac:dyDescent="0.2">
      <c r="A3572" s="10" t="s">
        <v>3571</v>
      </c>
      <c r="B3572" s="12">
        <v>15.35</v>
      </c>
      <c r="C3572" s="11">
        <v>0.34649442391810548</v>
      </c>
      <c r="D3572" s="11">
        <v>0</v>
      </c>
    </row>
    <row r="3573" spans="1:4" x14ac:dyDescent="0.2">
      <c r="A3573" s="10" t="s">
        <v>3572</v>
      </c>
      <c r="B3573" s="12">
        <v>15.39</v>
      </c>
      <c r="C3573" s="11">
        <v>0.38609378665160332</v>
      </c>
      <c r="D3573" s="11">
        <v>0</v>
      </c>
    </row>
    <row r="3574" spans="1:4" x14ac:dyDescent="0.2">
      <c r="A3574" s="10" t="s">
        <v>3573</v>
      </c>
      <c r="B3574" s="12">
        <v>15.83</v>
      </c>
      <c r="C3574" s="11">
        <v>0.82168677672007873</v>
      </c>
      <c r="D3574" s="11">
        <v>0</v>
      </c>
    </row>
    <row r="3575" spans="1:4" x14ac:dyDescent="0.2">
      <c r="A3575" s="10" t="s">
        <v>3574</v>
      </c>
      <c r="B3575" s="12">
        <v>14.62</v>
      </c>
      <c r="C3575" s="11">
        <v>0</v>
      </c>
      <c r="D3575" s="11">
        <v>0.37619394596822886</v>
      </c>
    </row>
    <row r="3576" spans="1:4" x14ac:dyDescent="0.2">
      <c r="A3576" s="10" t="s">
        <v>3575</v>
      </c>
      <c r="B3576" s="12">
        <v>12.51</v>
      </c>
      <c r="C3576" s="11">
        <v>0</v>
      </c>
      <c r="D3576" s="11">
        <v>2.4650603301602367</v>
      </c>
    </row>
    <row r="3577" spans="1:4" x14ac:dyDescent="0.2">
      <c r="A3577" s="10" t="s">
        <v>3576</v>
      </c>
      <c r="B3577" s="12">
        <v>13.94</v>
      </c>
      <c r="C3577" s="11">
        <v>0</v>
      </c>
      <c r="D3577" s="11">
        <v>1.0493831124376911</v>
      </c>
    </row>
    <row r="3578" spans="1:4" x14ac:dyDescent="0.2">
      <c r="A3578" s="10" t="s">
        <v>3577</v>
      </c>
      <c r="B3578" s="12">
        <v>16.510000000000002</v>
      </c>
      <c r="C3578" s="11">
        <v>1.4948759431895409</v>
      </c>
      <c r="D3578" s="11">
        <v>0</v>
      </c>
    </row>
    <row r="3579" spans="1:4" x14ac:dyDescent="0.2">
      <c r="A3579" s="10" t="s">
        <v>3578</v>
      </c>
      <c r="B3579" s="12">
        <v>15.56</v>
      </c>
      <c r="C3579" s="11">
        <v>0.55439107826896894</v>
      </c>
      <c r="D3579" s="11">
        <v>0</v>
      </c>
    </row>
    <row r="3580" spans="1:4" x14ac:dyDescent="0.2">
      <c r="A3580" s="10" t="s">
        <v>3579</v>
      </c>
      <c r="B3580" s="12">
        <v>13.96</v>
      </c>
      <c r="C3580" s="11">
        <v>0</v>
      </c>
      <c r="D3580" s="11">
        <v>1.0295834310709422</v>
      </c>
    </row>
    <row r="3581" spans="1:4" x14ac:dyDescent="0.2">
      <c r="A3581" s="10" t="s">
        <v>3580</v>
      </c>
      <c r="B3581" s="12">
        <v>11.81</v>
      </c>
      <c r="C3581" s="11">
        <v>0</v>
      </c>
      <c r="D3581" s="11">
        <v>3.1580491779964475</v>
      </c>
    </row>
    <row r="3582" spans="1:4" x14ac:dyDescent="0.2">
      <c r="A3582" s="10" t="s">
        <v>3581</v>
      </c>
      <c r="B3582" s="12">
        <v>13.43</v>
      </c>
      <c r="C3582" s="11">
        <v>0</v>
      </c>
      <c r="D3582" s="11">
        <v>1.5542749872897876</v>
      </c>
    </row>
    <row r="3583" spans="1:4" x14ac:dyDescent="0.2">
      <c r="A3583" s="10" t="s">
        <v>3582</v>
      </c>
      <c r="B3583" s="12">
        <v>14.08</v>
      </c>
      <c r="C3583" s="11">
        <v>0</v>
      </c>
      <c r="D3583" s="11">
        <v>0.91078534287044888</v>
      </c>
    </row>
    <row r="3584" spans="1:4" x14ac:dyDescent="0.2">
      <c r="A3584" s="10" t="s">
        <v>3583</v>
      </c>
      <c r="B3584" s="12">
        <v>13.63</v>
      </c>
      <c r="C3584" s="11">
        <v>0</v>
      </c>
      <c r="D3584" s="11">
        <v>1.3562781736222989</v>
      </c>
    </row>
    <row r="3585" spans="1:4" x14ac:dyDescent="0.2">
      <c r="A3585" s="10" t="s">
        <v>3584</v>
      </c>
      <c r="B3585" s="12">
        <v>14.71</v>
      </c>
      <c r="C3585" s="11">
        <v>0</v>
      </c>
      <c r="D3585" s="11">
        <v>0.28709537981785882</v>
      </c>
    </row>
    <row r="3586" spans="1:4" x14ac:dyDescent="0.2">
      <c r="A3586" s="10" t="s">
        <v>3585</v>
      </c>
      <c r="B3586" s="12">
        <v>15.26</v>
      </c>
      <c r="C3586" s="11">
        <v>0.25739585776773555</v>
      </c>
      <c r="D3586" s="11">
        <v>0</v>
      </c>
    </row>
    <row r="3587" spans="1:4" x14ac:dyDescent="0.2">
      <c r="A3587" s="10" t="s">
        <v>3586</v>
      </c>
      <c r="B3587" s="12">
        <v>14.3</v>
      </c>
      <c r="C3587" s="11">
        <v>0</v>
      </c>
      <c r="D3587" s="11">
        <v>0.69298884783621095</v>
      </c>
    </row>
    <row r="3588" spans="1:4" x14ac:dyDescent="0.2">
      <c r="A3588" s="10" t="s">
        <v>3587</v>
      </c>
      <c r="B3588" s="12">
        <v>15.45</v>
      </c>
      <c r="C3588" s="11">
        <v>0.44549283075184998</v>
      </c>
      <c r="D3588" s="11">
        <v>0</v>
      </c>
    </row>
    <row r="3589" spans="1:4" x14ac:dyDescent="0.2">
      <c r="A3589" s="10" t="s">
        <v>3588</v>
      </c>
      <c r="B3589" s="12">
        <v>13.42</v>
      </c>
      <c r="C3589" s="11">
        <v>0</v>
      </c>
      <c r="D3589" s="11">
        <v>1.5641748279731622</v>
      </c>
    </row>
    <row r="3590" spans="1:4" x14ac:dyDescent="0.2">
      <c r="A3590" s="10" t="s">
        <v>3589</v>
      </c>
      <c r="B3590" s="12">
        <v>14.19</v>
      </c>
      <c r="C3590" s="11">
        <v>0</v>
      </c>
      <c r="D3590" s="11">
        <v>0.80188709535333003</v>
      </c>
    </row>
    <row r="3591" spans="1:4" x14ac:dyDescent="0.2">
      <c r="A3591" s="10" t="s">
        <v>3590</v>
      </c>
      <c r="B3591" s="12">
        <v>15.51</v>
      </c>
      <c r="C3591" s="11">
        <v>0.50489187485209663</v>
      </c>
      <c r="D3591" s="11">
        <v>0</v>
      </c>
    </row>
    <row r="3592" spans="1:4" x14ac:dyDescent="0.2">
      <c r="A3592" s="10" t="s">
        <v>3591</v>
      </c>
      <c r="B3592" s="12">
        <v>15.26</v>
      </c>
      <c r="C3592" s="11">
        <v>0.25739585776773555</v>
      </c>
      <c r="D3592" s="11">
        <v>0</v>
      </c>
    </row>
    <row r="3593" spans="1:4" x14ac:dyDescent="0.2">
      <c r="A3593" s="10" t="s">
        <v>3592</v>
      </c>
      <c r="B3593" s="12">
        <v>13.82</v>
      </c>
      <c r="C3593" s="11">
        <v>0</v>
      </c>
      <c r="D3593" s="11">
        <v>1.1681812006381842</v>
      </c>
    </row>
    <row r="3594" spans="1:4" x14ac:dyDescent="0.2">
      <c r="A3594" s="10" t="s">
        <v>3593</v>
      </c>
      <c r="B3594" s="12">
        <v>13</v>
      </c>
      <c r="C3594" s="11">
        <v>0</v>
      </c>
      <c r="D3594" s="11">
        <v>1.9799681366748887</v>
      </c>
    </row>
    <row r="3595" spans="1:4" x14ac:dyDescent="0.2">
      <c r="A3595" s="10" t="s">
        <v>3594</v>
      </c>
      <c r="B3595" s="12">
        <v>13.84</v>
      </c>
      <c r="C3595" s="11">
        <v>0</v>
      </c>
      <c r="D3595" s="11">
        <v>1.1483815192714353</v>
      </c>
    </row>
    <row r="3596" spans="1:4" x14ac:dyDescent="0.2">
      <c r="A3596" s="10" t="s">
        <v>3595</v>
      </c>
      <c r="B3596" s="12">
        <v>12.24</v>
      </c>
      <c r="C3596" s="11">
        <v>0</v>
      </c>
      <c r="D3596" s="11">
        <v>2.732356028611346</v>
      </c>
    </row>
    <row r="3597" spans="1:4" x14ac:dyDescent="0.2">
      <c r="A3597" s="10" t="s">
        <v>3596</v>
      </c>
      <c r="B3597" s="12">
        <v>13.66</v>
      </c>
      <c r="C3597" s="11">
        <v>0</v>
      </c>
      <c r="D3597" s="11">
        <v>1.3265786515721756</v>
      </c>
    </row>
    <row r="3598" spans="1:4" x14ac:dyDescent="0.2">
      <c r="A3598" s="10" t="s">
        <v>3597</v>
      </c>
      <c r="B3598" s="12">
        <v>14.54</v>
      </c>
      <c r="C3598" s="11">
        <v>0</v>
      </c>
      <c r="D3598" s="11">
        <v>0.45539267143522444</v>
      </c>
    </row>
    <row r="3599" spans="1:4" x14ac:dyDescent="0.2">
      <c r="A3599" s="10" t="s">
        <v>3598</v>
      </c>
      <c r="B3599" s="12">
        <v>12.38</v>
      </c>
      <c r="C3599" s="11">
        <v>0</v>
      </c>
      <c r="D3599" s="11">
        <v>2.5937582590441042</v>
      </c>
    </row>
    <row r="3600" spans="1:4" x14ac:dyDescent="0.2">
      <c r="A3600" s="10" t="s">
        <v>3599</v>
      </c>
      <c r="B3600" s="12">
        <v>16.18</v>
      </c>
      <c r="C3600" s="11">
        <v>1.1681812006381842</v>
      </c>
      <c r="D3600" s="11">
        <v>0</v>
      </c>
    </row>
    <row r="3601" spans="1:4" x14ac:dyDescent="0.2">
      <c r="A3601" s="10" t="s">
        <v>3600</v>
      </c>
      <c r="B3601" s="12">
        <v>13.68</v>
      </c>
      <c r="C3601" s="11">
        <v>0</v>
      </c>
      <c r="D3601" s="11">
        <v>1.3067789702054267</v>
      </c>
    </row>
    <row r="3602" spans="1:4" x14ac:dyDescent="0.2">
      <c r="A3602" s="10" t="s">
        <v>3601</v>
      </c>
      <c r="B3602" s="12">
        <v>14.79</v>
      </c>
      <c r="C3602" s="11">
        <v>0</v>
      </c>
      <c r="D3602" s="11">
        <v>0.2078966543508633</v>
      </c>
    </row>
    <row r="3603" spans="1:4" x14ac:dyDescent="0.2">
      <c r="A3603" s="10" t="s">
        <v>3602</v>
      </c>
      <c r="B3603" s="12">
        <v>12.87</v>
      </c>
      <c r="C3603" s="11">
        <v>0</v>
      </c>
      <c r="D3603" s="11">
        <v>2.1086660655587561</v>
      </c>
    </row>
    <row r="3604" spans="1:4" x14ac:dyDescent="0.2">
      <c r="A3604" s="10" t="s">
        <v>3603</v>
      </c>
      <c r="B3604" s="12">
        <v>13.32</v>
      </c>
      <c r="C3604" s="11">
        <v>0</v>
      </c>
      <c r="D3604" s="11">
        <v>1.6631732348069064</v>
      </c>
    </row>
    <row r="3605" spans="1:4" x14ac:dyDescent="0.2">
      <c r="A3605" s="10" t="s">
        <v>3604</v>
      </c>
      <c r="B3605" s="12">
        <v>14.07</v>
      </c>
      <c r="C3605" s="11">
        <v>0</v>
      </c>
      <c r="D3605" s="11">
        <v>0.92068518355382334</v>
      </c>
    </row>
    <row r="3606" spans="1:4" x14ac:dyDescent="0.2">
      <c r="A3606" s="10" t="s">
        <v>3605</v>
      </c>
      <c r="B3606" s="12">
        <v>12.76</v>
      </c>
      <c r="C3606" s="11">
        <v>0</v>
      </c>
      <c r="D3606" s="11">
        <v>2.2175643130758758</v>
      </c>
    </row>
    <row r="3607" spans="1:4" x14ac:dyDescent="0.2">
      <c r="A3607" s="10" t="s">
        <v>3606</v>
      </c>
      <c r="B3607" s="12">
        <v>14.67</v>
      </c>
      <c r="C3607" s="11">
        <v>0</v>
      </c>
      <c r="D3607" s="11">
        <v>0.32669474255135666</v>
      </c>
    </row>
    <row r="3608" spans="1:4" x14ac:dyDescent="0.2">
      <c r="A3608" s="10" t="s">
        <v>3607</v>
      </c>
      <c r="B3608" s="12">
        <v>14.45</v>
      </c>
      <c r="C3608" s="11">
        <v>0</v>
      </c>
      <c r="D3608" s="11">
        <v>0.54449123758559448</v>
      </c>
    </row>
    <row r="3609" spans="1:4" x14ac:dyDescent="0.2">
      <c r="A3609" s="10" t="s">
        <v>3608</v>
      </c>
      <c r="B3609" s="12">
        <v>15.22</v>
      </c>
      <c r="C3609" s="11">
        <v>0.21779649503423776</v>
      </c>
      <c r="D3609" s="11">
        <v>0</v>
      </c>
    </row>
    <row r="3610" spans="1:4" x14ac:dyDescent="0.2">
      <c r="A3610" s="10" t="s">
        <v>3609</v>
      </c>
      <c r="B3610" s="12">
        <v>15.93</v>
      </c>
      <c r="C3610" s="11">
        <v>0.92068518355382334</v>
      </c>
      <c r="D3610" s="11">
        <v>0</v>
      </c>
    </row>
    <row r="3611" spans="1:4" x14ac:dyDescent="0.2">
      <c r="A3611" s="10" t="s">
        <v>3610</v>
      </c>
      <c r="B3611" s="12">
        <v>13.55</v>
      </c>
      <c r="C3611" s="11">
        <v>0</v>
      </c>
      <c r="D3611" s="11">
        <v>1.4354768990892943</v>
      </c>
    </row>
    <row r="3612" spans="1:4" x14ac:dyDescent="0.2">
      <c r="A3612" s="10" t="s">
        <v>3611</v>
      </c>
      <c r="B3612" s="12">
        <v>13.08</v>
      </c>
      <c r="C3612" s="11">
        <v>0</v>
      </c>
      <c r="D3612" s="11">
        <v>1.900769411207893</v>
      </c>
    </row>
    <row r="3613" spans="1:4" x14ac:dyDescent="0.2">
      <c r="A3613" s="10" t="s">
        <v>3612</v>
      </c>
      <c r="B3613" s="12">
        <v>14.89</v>
      </c>
      <c r="C3613" s="11">
        <v>0</v>
      </c>
      <c r="D3613" s="11">
        <v>0.10889824751711888</v>
      </c>
    </row>
    <row r="3614" spans="1:4" x14ac:dyDescent="0.2">
      <c r="A3614" s="10" t="s">
        <v>3613</v>
      </c>
      <c r="B3614" s="12">
        <v>13.99</v>
      </c>
      <c r="C3614" s="11">
        <v>0</v>
      </c>
      <c r="D3614" s="11">
        <v>0.99988390902081881</v>
      </c>
    </row>
    <row r="3615" spans="1:4" x14ac:dyDescent="0.2">
      <c r="A3615" s="10" t="s">
        <v>3614</v>
      </c>
      <c r="B3615" s="12">
        <v>14.32</v>
      </c>
      <c r="C3615" s="11">
        <v>0</v>
      </c>
      <c r="D3615" s="11">
        <v>0.67318916646946225</v>
      </c>
    </row>
    <row r="3616" spans="1:4" x14ac:dyDescent="0.2">
      <c r="A3616" s="10" t="s">
        <v>3615</v>
      </c>
      <c r="B3616" s="12">
        <v>13.26</v>
      </c>
      <c r="C3616" s="11">
        <v>0</v>
      </c>
      <c r="D3616" s="11">
        <v>1.7225722789071531</v>
      </c>
    </row>
    <row r="3617" spans="1:4" x14ac:dyDescent="0.2">
      <c r="A3617" s="10" t="s">
        <v>3616</v>
      </c>
      <c r="B3617" s="12">
        <v>15.7</v>
      </c>
      <c r="C3617" s="11">
        <v>0.69298884783621095</v>
      </c>
      <c r="D3617" s="11">
        <v>0</v>
      </c>
    </row>
    <row r="3618" spans="1:4" x14ac:dyDescent="0.2">
      <c r="A3618" s="10" t="s">
        <v>3617</v>
      </c>
      <c r="B3618" s="12">
        <v>11.87</v>
      </c>
      <c r="C3618" s="11">
        <v>0</v>
      </c>
      <c r="D3618" s="11">
        <v>3.0986501338962005</v>
      </c>
    </row>
    <row r="3619" spans="1:4" x14ac:dyDescent="0.2">
      <c r="A3619" s="10" t="s">
        <v>3618</v>
      </c>
      <c r="B3619" s="12">
        <v>14.92</v>
      </c>
      <c r="C3619" s="11">
        <v>0</v>
      </c>
      <c r="D3619" s="11">
        <v>7.9198725466995551E-2</v>
      </c>
    </row>
    <row r="3620" spans="1:4" x14ac:dyDescent="0.2">
      <c r="A3620" s="10" t="s">
        <v>3619</v>
      </c>
      <c r="B3620" s="12">
        <v>11.92</v>
      </c>
      <c r="C3620" s="11">
        <v>0</v>
      </c>
      <c r="D3620" s="11">
        <v>3.0491509304793287</v>
      </c>
    </row>
    <row r="3621" spans="1:4" x14ac:dyDescent="0.2">
      <c r="A3621" s="10" t="s">
        <v>3620</v>
      </c>
      <c r="B3621" s="12">
        <v>16.2</v>
      </c>
      <c r="C3621" s="11">
        <v>1.1879808820049331</v>
      </c>
      <c r="D3621" s="11">
        <v>0</v>
      </c>
    </row>
    <row r="3622" spans="1:4" x14ac:dyDescent="0.2">
      <c r="A3622" s="10" t="s">
        <v>3621</v>
      </c>
      <c r="B3622" s="12">
        <v>14.54</v>
      </c>
      <c r="C3622" s="11">
        <v>0</v>
      </c>
      <c r="D3622" s="11">
        <v>0.45539267143522444</v>
      </c>
    </row>
    <row r="3623" spans="1:4" x14ac:dyDescent="0.2">
      <c r="A3623" s="10" t="s">
        <v>3622</v>
      </c>
      <c r="B3623" s="12">
        <v>13.85</v>
      </c>
      <c r="C3623" s="11">
        <v>0</v>
      </c>
      <c r="D3623" s="11">
        <v>1.1384816785880609</v>
      </c>
    </row>
    <row r="3624" spans="1:4" x14ac:dyDescent="0.2">
      <c r="A3624" s="10" t="s">
        <v>3623</v>
      </c>
      <c r="B3624" s="12">
        <v>12.88</v>
      </c>
      <c r="C3624" s="11">
        <v>0</v>
      </c>
      <c r="D3624" s="11">
        <v>2.0987662248753822</v>
      </c>
    </row>
    <row r="3625" spans="1:4" x14ac:dyDescent="0.2">
      <c r="A3625" s="10" t="s">
        <v>3624</v>
      </c>
      <c r="B3625" s="12">
        <v>13.57</v>
      </c>
      <c r="C3625" s="11">
        <v>0</v>
      </c>
      <c r="D3625" s="11">
        <v>1.4156772177225454</v>
      </c>
    </row>
    <row r="3626" spans="1:4" x14ac:dyDescent="0.2">
      <c r="A3626" s="10" t="s">
        <v>3625</v>
      </c>
      <c r="B3626" s="12">
        <v>14.94</v>
      </c>
      <c r="C3626" s="11">
        <v>0</v>
      </c>
      <c r="D3626" s="11">
        <v>5.9399044100246656E-2</v>
      </c>
    </row>
    <row r="3627" spans="1:4" x14ac:dyDescent="0.2">
      <c r="A3627" s="10" t="s">
        <v>3626</v>
      </c>
      <c r="B3627" s="12">
        <v>13.1</v>
      </c>
      <c r="C3627" s="11">
        <v>0</v>
      </c>
      <c r="D3627" s="11">
        <v>1.8809697298411441</v>
      </c>
    </row>
    <row r="3628" spans="1:4" x14ac:dyDescent="0.2">
      <c r="A3628" s="10" t="s">
        <v>3627</v>
      </c>
      <c r="B3628" s="12">
        <v>14.27</v>
      </c>
      <c r="C3628" s="11">
        <v>0</v>
      </c>
      <c r="D3628" s="11">
        <v>0.72268836988633434</v>
      </c>
    </row>
    <row r="3629" spans="1:4" x14ac:dyDescent="0.2">
      <c r="A3629" s="10" t="s">
        <v>3628</v>
      </c>
      <c r="B3629" s="12">
        <v>13.3</v>
      </c>
      <c r="C3629" s="11">
        <v>0</v>
      </c>
      <c r="D3629" s="11">
        <v>1.6829729161736553</v>
      </c>
    </row>
    <row r="3630" spans="1:4" x14ac:dyDescent="0.2">
      <c r="A3630" s="10" t="s">
        <v>3629</v>
      </c>
      <c r="B3630" s="12">
        <v>14.47</v>
      </c>
      <c r="C3630" s="11">
        <v>0</v>
      </c>
      <c r="D3630" s="11">
        <v>0.52469155621884556</v>
      </c>
    </row>
    <row r="3631" spans="1:4" x14ac:dyDescent="0.2">
      <c r="A3631" s="10" t="s">
        <v>3630</v>
      </c>
      <c r="B3631" s="12">
        <v>12.56</v>
      </c>
      <c r="C3631" s="11">
        <v>0</v>
      </c>
      <c r="D3631" s="11">
        <v>2.4155611267433641</v>
      </c>
    </row>
    <row r="3632" spans="1:4" x14ac:dyDescent="0.2">
      <c r="A3632" s="10" t="s">
        <v>3631</v>
      </c>
      <c r="B3632" s="12">
        <v>13.67</v>
      </c>
      <c r="C3632" s="11">
        <v>0</v>
      </c>
      <c r="D3632" s="11">
        <v>1.316678810888801</v>
      </c>
    </row>
    <row r="3633" spans="1:4" x14ac:dyDescent="0.2">
      <c r="A3633" s="10" t="s">
        <v>3632</v>
      </c>
      <c r="B3633" s="12">
        <v>13.1</v>
      </c>
      <c r="C3633" s="11">
        <v>0</v>
      </c>
      <c r="D3633" s="11">
        <v>1.8809697298411441</v>
      </c>
    </row>
    <row r="3634" spans="1:4" x14ac:dyDescent="0.2">
      <c r="A3634" s="10" t="s">
        <v>3633</v>
      </c>
      <c r="B3634" s="12">
        <v>16.940000000000001</v>
      </c>
      <c r="C3634" s="11">
        <v>1.9205690925746419</v>
      </c>
      <c r="D3634" s="11">
        <v>0</v>
      </c>
    </row>
    <row r="3635" spans="1:4" x14ac:dyDescent="0.2">
      <c r="A3635" s="10" t="s">
        <v>3634</v>
      </c>
      <c r="B3635" s="12">
        <v>14.82</v>
      </c>
      <c r="C3635" s="11">
        <v>0</v>
      </c>
      <c r="D3635" s="11">
        <v>0.17819713230073997</v>
      </c>
    </row>
    <row r="3636" spans="1:4" x14ac:dyDescent="0.2">
      <c r="A3636" s="10" t="s">
        <v>3635</v>
      </c>
      <c r="B3636" s="12">
        <v>12.6</v>
      </c>
      <c r="C3636" s="11">
        <v>0</v>
      </c>
      <c r="D3636" s="11">
        <v>2.3759617640098663</v>
      </c>
    </row>
    <row r="3637" spans="1:4" x14ac:dyDescent="0.2">
      <c r="A3637" s="10" t="s">
        <v>3636</v>
      </c>
      <c r="B3637" s="12">
        <v>14.07</v>
      </c>
      <c r="C3637" s="11">
        <v>0</v>
      </c>
      <c r="D3637" s="11">
        <v>0.92068518355382334</v>
      </c>
    </row>
    <row r="3638" spans="1:4" x14ac:dyDescent="0.2">
      <c r="A3638" s="10" t="s">
        <v>3637</v>
      </c>
      <c r="B3638" s="12">
        <v>15.02</v>
      </c>
      <c r="C3638" s="11">
        <v>1.9799681366748888E-2</v>
      </c>
      <c r="D3638" s="11">
        <v>0</v>
      </c>
    </row>
    <row r="3639" spans="1:4" x14ac:dyDescent="0.2">
      <c r="A3639" s="10" t="s">
        <v>3638</v>
      </c>
      <c r="B3639" s="12">
        <v>15.69</v>
      </c>
      <c r="C3639" s="11">
        <v>0.68308900715283649</v>
      </c>
      <c r="D3639" s="11">
        <v>0</v>
      </c>
    </row>
    <row r="3640" spans="1:4" x14ac:dyDescent="0.2">
      <c r="A3640" s="10" t="s">
        <v>3639</v>
      </c>
      <c r="B3640" s="12">
        <v>14.57</v>
      </c>
      <c r="C3640" s="11">
        <v>0</v>
      </c>
      <c r="D3640" s="11">
        <v>0.42569314938510106</v>
      </c>
    </row>
    <row r="3641" spans="1:4" x14ac:dyDescent="0.2">
      <c r="A3641" s="10" t="s">
        <v>3640</v>
      </c>
      <c r="B3641" s="12">
        <v>15.1</v>
      </c>
      <c r="C3641" s="11">
        <v>9.8998406833744446E-2</v>
      </c>
      <c r="D3641" s="11">
        <v>0</v>
      </c>
    </row>
    <row r="3642" spans="1:4" x14ac:dyDescent="0.2">
      <c r="A3642" s="10" t="s">
        <v>3641</v>
      </c>
      <c r="B3642" s="12">
        <v>14.86</v>
      </c>
      <c r="C3642" s="11">
        <v>0</v>
      </c>
      <c r="D3642" s="11">
        <v>0.13859776956724223</v>
      </c>
    </row>
    <row r="3643" spans="1:4" x14ac:dyDescent="0.2">
      <c r="A3643" s="10" t="s">
        <v>3642</v>
      </c>
      <c r="B3643" s="12">
        <v>15.15</v>
      </c>
      <c r="C3643" s="11">
        <v>0.14849761025061664</v>
      </c>
      <c r="D3643" s="11">
        <v>0</v>
      </c>
    </row>
    <row r="3644" spans="1:4" x14ac:dyDescent="0.2">
      <c r="A3644" s="10" t="s">
        <v>3643</v>
      </c>
      <c r="B3644" s="12">
        <v>14.2</v>
      </c>
      <c r="C3644" s="11">
        <v>0</v>
      </c>
      <c r="D3644" s="11">
        <v>0.79198725466995556</v>
      </c>
    </row>
    <row r="3645" spans="1:4" x14ac:dyDescent="0.2">
      <c r="A3645" s="10" t="s">
        <v>3644</v>
      </c>
      <c r="B3645" s="12">
        <v>12.82</v>
      </c>
      <c r="C3645" s="11">
        <v>0</v>
      </c>
      <c r="D3645" s="11">
        <v>2.1581652689756288</v>
      </c>
    </row>
    <row r="3646" spans="1:4" x14ac:dyDescent="0.2">
      <c r="A3646" s="10" t="s">
        <v>3645</v>
      </c>
      <c r="B3646" s="12">
        <v>14.59</v>
      </c>
      <c r="C3646" s="11">
        <v>0</v>
      </c>
      <c r="D3646" s="11">
        <v>0.40589346801835213</v>
      </c>
    </row>
    <row r="3647" spans="1:4" x14ac:dyDescent="0.2">
      <c r="A3647" s="10" t="s">
        <v>3646</v>
      </c>
      <c r="B3647" s="12">
        <v>14.02</v>
      </c>
      <c r="C3647" s="11">
        <v>0</v>
      </c>
      <c r="D3647" s="11">
        <v>0.97018438697069542</v>
      </c>
    </row>
    <row r="3648" spans="1:4" x14ac:dyDescent="0.2">
      <c r="A3648" s="10" t="s">
        <v>3647</v>
      </c>
      <c r="B3648" s="12">
        <v>15.06</v>
      </c>
      <c r="C3648" s="11">
        <v>5.9399044100246656E-2</v>
      </c>
      <c r="D3648" s="11">
        <v>0</v>
      </c>
    </row>
    <row r="3649" spans="1:4" x14ac:dyDescent="0.2">
      <c r="A3649" s="10" t="s">
        <v>3648</v>
      </c>
      <c r="B3649" s="12">
        <v>14.22</v>
      </c>
      <c r="C3649" s="11">
        <v>0</v>
      </c>
      <c r="D3649" s="11">
        <v>0.77218757330320664</v>
      </c>
    </row>
    <row r="3650" spans="1:4" x14ac:dyDescent="0.2">
      <c r="A3650" s="10" t="s">
        <v>3649</v>
      </c>
      <c r="B3650" s="12">
        <v>13.79</v>
      </c>
      <c r="C3650" s="11">
        <v>0</v>
      </c>
      <c r="D3650" s="11">
        <v>1.1978807226883077</v>
      </c>
    </row>
    <row r="3651" spans="1:4" x14ac:dyDescent="0.2">
      <c r="A3651" s="10" t="s">
        <v>3650</v>
      </c>
      <c r="B3651" s="12">
        <v>15.66</v>
      </c>
      <c r="C3651" s="11">
        <v>0.65338948510271333</v>
      </c>
      <c r="D3651" s="11">
        <v>0</v>
      </c>
    </row>
    <row r="3652" spans="1:4" x14ac:dyDescent="0.2">
      <c r="A3652" s="10" t="s">
        <v>3651</v>
      </c>
      <c r="B3652" s="12">
        <v>14.19</v>
      </c>
      <c r="C3652" s="11">
        <v>0</v>
      </c>
      <c r="D3652" s="11">
        <v>0.80188709535333003</v>
      </c>
    </row>
    <row r="3653" spans="1:4" x14ac:dyDescent="0.2">
      <c r="A3653" s="10" t="s">
        <v>3652</v>
      </c>
      <c r="B3653" s="12">
        <v>13.34</v>
      </c>
      <c r="C3653" s="11">
        <v>0</v>
      </c>
      <c r="D3653" s="11">
        <v>1.6433735534401575</v>
      </c>
    </row>
    <row r="3654" spans="1:4" x14ac:dyDescent="0.2">
      <c r="A3654" s="10" t="s">
        <v>3653</v>
      </c>
      <c r="B3654" s="12">
        <v>13.09</v>
      </c>
      <c r="C3654" s="11">
        <v>0</v>
      </c>
      <c r="D3654" s="11">
        <v>1.8908695705245187</v>
      </c>
    </row>
    <row r="3655" spans="1:4" x14ac:dyDescent="0.2">
      <c r="A3655" s="10" t="s">
        <v>3654</v>
      </c>
      <c r="B3655" s="12">
        <v>13.19</v>
      </c>
      <c r="C3655" s="11">
        <v>0</v>
      </c>
      <c r="D3655" s="11">
        <v>1.7918711636907743</v>
      </c>
    </row>
    <row r="3656" spans="1:4" x14ac:dyDescent="0.2">
      <c r="A3656" s="10" t="s">
        <v>3655</v>
      </c>
      <c r="B3656" s="12">
        <v>12.64</v>
      </c>
      <c r="C3656" s="11">
        <v>0</v>
      </c>
      <c r="D3656" s="11">
        <v>2.3363624012763684</v>
      </c>
    </row>
    <row r="3657" spans="1:4" x14ac:dyDescent="0.2">
      <c r="A3657" s="10" t="s">
        <v>3656</v>
      </c>
      <c r="B3657" s="12">
        <v>14.57</v>
      </c>
      <c r="C3657" s="11">
        <v>0</v>
      </c>
      <c r="D3657" s="11">
        <v>0.42569314938510106</v>
      </c>
    </row>
    <row r="3658" spans="1:4" x14ac:dyDescent="0.2">
      <c r="A3658" s="10" t="s">
        <v>3657</v>
      </c>
      <c r="B3658" s="12">
        <v>14.55</v>
      </c>
      <c r="C3658" s="11">
        <v>0</v>
      </c>
      <c r="D3658" s="11">
        <v>0.44549283075184998</v>
      </c>
    </row>
    <row r="3659" spans="1:4" x14ac:dyDescent="0.2">
      <c r="A3659" s="10" t="s">
        <v>3658</v>
      </c>
      <c r="B3659" s="12">
        <v>15.81</v>
      </c>
      <c r="C3659" s="11">
        <v>0.80188709535333003</v>
      </c>
      <c r="D3659" s="11">
        <v>0</v>
      </c>
    </row>
    <row r="3660" spans="1:4" x14ac:dyDescent="0.2">
      <c r="A3660" s="10" t="s">
        <v>3659</v>
      </c>
      <c r="B3660" s="12">
        <v>15.14</v>
      </c>
      <c r="C3660" s="11">
        <v>0.13859776956724223</v>
      </c>
      <c r="D3660" s="11">
        <v>0</v>
      </c>
    </row>
    <row r="3661" spans="1:4" x14ac:dyDescent="0.2">
      <c r="A3661" s="10" t="s">
        <v>3660</v>
      </c>
      <c r="B3661" s="12">
        <v>14.8</v>
      </c>
      <c r="C3661" s="11">
        <v>0</v>
      </c>
      <c r="D3661" s="11">
        <v>0.19799681366748889</v>
      </c>
    </row>
    <row r="3662" spans="1:4" x14ac:dyDescent="0.2">
      <c r="A3662" s="10" t="s">
        <v>3661</v>
      </c>
      <c r="B3662" s="12">
        <v>14.95</v>
      </c>
      <c r="C3662" s="11">
        <v>0</v>
      </c>
      <c r="D3662" s="11">
        <v>4.9499203416872223E-2</v>
      </c>
    </row>
    <row r="3663" spans="1:4" x14ac:dyDescent="0.2">
      <c r="A3663" s="10" t="s">
        <v>3662</v>
      </c>
      <c r="B3663" s="12">
        <v>13.55</v>
      </c>
      <c r="C3663" s="11">
        <v>0</v>
      </c>
      <c r="D3663" s="11">
        <v>1.4354768990892943</v>
      </c>
    </row>
    <row r="3664" spans="1:4" x14ac:dyDescent="0.2">
      <c r="A3664" s="10" t="s">
        <v>3663</v>
      </c>
      <c r="B3664" s="12">
        <v>12.95</v>
      </c>
      <c r="C3664" s="11">
        <v>0</v>
      </c>
      <c r="D3664" s="11">
        <v>2.0294673400917609</v>
      </c>
    </row>
    <row r="3665" spans="1:4" x14ac:dyDescent="0.2">
      <c r="A3665" s="10" t="s">
        <v>3664</v>
      </c>
      <c r="B3665" s="12">
        <v>15.16</v>
      </c>
      <c r="C3665" s="11">
        <v>0.1583974509339911</v>
      </c>
      <c r="D3665" s="11">
        <v>0</v>
      </c>
    </row>
    <row r="3666" spans="1:4" x14ac:dyDescent="0.2">
      <c r="A3666" s="10" t="s">
        <v>3665</v>
      </c>
      <c r="B3666" s="12">
        <v>14.58</v>
      </c>
      <c r="C3666" s="11">
        <v>0</v>
      </c>
      <c r="D3666" s="11">
        <v>0.41579330870172659</v>
      </c>
    </row>
    <row r="3667" spans="1:4" x14ac:dyDescent="0.2">
      <c r="A3667" s="10" t="s">
        <v>3666</v>
      </c>
      <c r="B3667" s="12">
        <v>14.65</v>
      </c>
      <c r="C3667" s="11">
        <v>0</v>
      </c>
      <c r="D3667" s="11">
        <v>0.34649442391810548</v>
      </c>
    </row>
    <row r="3668" spans="1:4" x14ac:dyDescent="0.2">
      <c r="A3668" s="10" t="s">
        <v>3667</v>
      </c>
      <c r="B3668" s="12">
        <v>14.41</v>
      </c>
      <c r="C3668" s="11">
        <v>0</v>
      </c>
      <c r="D3668" s="11">
        <v>0.5840906003190921</v>
      </c>
    </row>
    <row r="3669" spans="1:4" x14ac:dyDescent="0.2">
      <c r="A3669" s="10" t="s">
        <v>3668</v>
      </c>
      <c r="B3669" s="12">
        <v>13.74</v>
      </c>
      <c r="C3669" s="11">
        <v>0</v>
      </c>
      <c r="D3669" s="11">
        <v>1.2473799261051799</v>
      </c>
    </row>
    <row r="3670" spans="1:4" x14ac:dyDescent="0.2">
      <c r="A3670" s="10" t="s">
        <v>3669</v>
      </c>
      <c r="B3670" s="12">
        <v>15.02</v>
      </c>
      <c r="C3670" s="11">
        <v>1.9799681366748888E-2</v>
      </c>
      <c r="D3670" s="11">
        <v>0</v>
      </c>
    </row>
    <row r="3671" spans="1:4" x14ac:dyDescent="0.2">
      <c r="A3671" s="10" t="s">
        <v>3670</v>
      </c>
      <c r="B3671" s="12">
        <v>13.36</v>
      </c>
      <c r="C3671" s="11">
        <v>0</v>
      </c>
      <c r="D3671" s="11">
        <v>1.6235738720734085</v>
      </c>
    </row>
    <row r="3672" spans="1:4" x14ac:dyDescent="0.2">
      <c r="A3672" s="10" t="s">
        <v>3671</v>
      </c>
      <c r="B3672" s="12">
        <v>14.54</v>
      </c>
      <c r="C3672" s="11">
        <v>0</v>
      </c>
      <c r="D3672" s="11">
        <v>0.45539267143522444</v>
      </c>
    </row>
    <row r="3673" spans="1:4" x14ac:dyDescent="0.2">
      <c r="A3673" s="10" t="s">
        <v>3672</v>
      </c>
      <c r="B3673" s="12">
        <v>14.84</v>
      </c>
      <c r="C3673" s="11">
        <v>0</v>
      </c>
      <c r="D3673" s="11">
        <v>0.1583974509339911</v>
      </c>
    </row>
    <row r="3674" spans="1:4" x14ac:dyDescent="0.2">
      <c r="A3674" s="10" t="s">
        <v>3673</v>
      </c>
      <c r="B3674" s="12">
        <v>13.19</v>
      </c>
      <c r="C3674" s="11">
        <v>0</v>
      </c>
      <c r="D3674" s="11">
        <v>1.7918711636907743</v>
      </c>
    </row>
    <row r="3675" spans="1:4" x14ac:dyDescent="0.2">
      <c r="A3675" s="10" t="s">
        <v>3674</v>
      </c>
      <c r="B3675" s="12">
        <v>15.11</v>
      </c>
      <c r="C3675" s="11">
        <v>0.10889824751711888</v>
      </c>
      <c r="D3675" s="11">
        <v>0</v>
      </c>
    </row>
    <row r="3676" spans="1:4" x14ac:dyDescent="0.2">
      <c r="A3676" s="10" t="s">
        <v>3675</v>
      </c>
      <c r="B3676" s="12">
        <v>12.45</v>
      </c>
      <c r="C3676" s="11">
        <v>0</v>
      </c>
      <c r="D3676" s="11">
        <v>2.5244593742604828</v>
      </c>
    </row>
    <row r="3677" spans="1:4" x14ac:dyDescent="0.2">
      <c r="A3677" s="10" t="s">
        <v>3676</v>
      </c>
      <c r="B3677" s="12">
        <v>14.6</v>
      </c>
      <c r="C3677" s="11">
        <v>0</v>
      </c>
      <c r="D3677" s="11">
        <v>0.39599362733497778</v>
      </c>
    </row>
    <row r="3678" spans="1:4" x14ac:dyDescent="0.2">
      <c r="A3678" s="10" t="s">
        <v>3677</v>
      </c>
      <c r="B3678" s="12">
        <v>15.56</v>
      </c>
      <c r="C3678" s="11">
        <v>0.55439107826896894</v>
      </c>
      <c r="D3678" s="11">
        <v>0</v>
      </c>
    </row>
    <row r="3679" spans="1:4" x14ac:dyDescent="0.2">
      <c r="A3679" s="10" t="s">
        <v>3678</v>
      </c>
      <c r="B3679" s="12">
        <v>12.61</v>
      </c>
      <c r="C3679" s="11">
        <v>0</v>
      </c>
      <c r="D3679" s="11">
        <v>2.3660619233264919</v>
      </c>
    </row>
    <row r="3680" spans="1:4" x14ac:dyDescent="0.2">
      <c r="A3680" s="10" t="s">
        <v>3679</v>
      </c>
      <c r="B3680" s="12">
        <v>13.4</v>
      </c>
      <c r="C3680" s="11">
        <v>0</v>
      </c>
      <c r="D3680" s="11">
        <v>1.5839745093399111</v>
      </c>
    </row>
    <row r="3681" spans="1:4" x14ac:dyDescent="0.2">
      <c r="A3681" s="10" t="s">
        <v>3680</v>
      </c>
      <c r="B3681" s="12">
        <v>14.45</v>
      </c>
      <c r="C3681" s="11">
        <v>0</v>
      </c>
      <c r="D3681" s="11">
        <v>0.54449123758559448</v>
      </c>
    </row>
    <row r="3682" spans="1:4" x14ac:dyDescent="0.2">
      <c r="A3682" s="10" t="s">
        <v>3681</v>
      </c>
      <c r="B3682" s="12">
        <v>13.81</v>
      </c>
      <c r="C3682" s="11">
        <v>0</v>
      </c>
      <c r="D3682" s="11">
        <v>1.1780810413215588</v>
      </c>
    </row>
    <row r="3683" spans="1:4" x14ac:dyDescent="0.2">
      <c r="A3683" s="10" t="s">
        <v>3682</v>
      </c>
      <c r="B3683" s="12">
        <v>14.83</v>
      </c>
      <c r="C3683" s="11">
        <v>0</v>
      </c>
      <c r="D3683" s="11">
        <v>0.16829729161736556</v>
      </c>
    </row>
    <row r="3684" spans="1:4" x14ac:dyDescent="0.2">
      <c r="A3684" s="10" t="s">
        <v>3683</v>
      </c>
      <c r="B3684" s="12">
        <v>13.61</v>
      </c>
      <c r="C3684" s="11">
        <v>0</v>
      </c>
      <c r="D3684" s="11">
        <v>1.3760778549890476</v>
      </c>
    </row>
    <row r="3685" spans="1:4" x14ac:dyDescent="0.2">
      <c r="A3685" s="10" t="s">
        <v>3684</v>
      </c>
      <c r="B3685" s="12">
        <v>15.88</v>
      </c>
      <c r="C3685" s="11">
        <v>0.87118598013695103</v>
      </c>
      <c r="D3685" s="11">
        <v>0</v>
      </c>
    </row>
    <row r="3686" spans="1:4" x14ac:dyDescent="0.2">
      <c r="A3686" s="10" t="s">
        <v>3685</v>
      </c>
      <c r="B3686" s="12">
        <v>14.11</v>
      </c>
      <c r="C3686" s="11">
        <v>0</v>
      </c>
      <c r="D3686" s="11">
        <v>0.88108582082032549</v>
      </c>
    </row>
    <row r="3687" spans="1:4" x14ac:dyDescent="0.2">
      <c r="A3687" s="10" t="s">
        <v>3686</v>
      </c>
      <c r="B3687" s="12">
        <v>13.93</v>
      </c>
      <c r="C3687" s="11">
        <v>0</v>
      </c>
      <c r="D3687" s="11">
        <v>1.0592829531210655</v>
      </c>
    </row>
    <row r="3688" spans="1:4" x14ac:dyDescent="0.2">
      <c r="A3688" s="10" t="s">
        <v>3687</v>
      </c>
      <c r="B3688" s="12">
        <v>14.28</v>
      </c>
      <c r="C3688" s="11">
        <v>0</v>
      </c>
      <c r="D3688" s="11">
        <v>0.71278852920295988</v>
      </c>
    </row>
    <row r="3689" spans="1:4" x14ac:dyDescent="0.2">
      <c r="A3689" s="10" t="s">
        <v>3688</v>
      </c>
      <c r="B3689" s="12">
        <v>12.71</v>
      </c>
      <c r="C3689" s="11">
        <v>0</v>
      </c>
      <c r="D3689" s="11">
        <v>2.2670635164927475</v>
      </c>
    </row>
    <row r="3690" spans="1:4" x14ac:dyDescent="0.2">
      <c r="A3690" s="10" t="s">
        <v>3689</v>
      </c>
      <c r="B3690" s="12">
        <v>12.18</v>
      </c>
      <c r="C3690" s="11">
        <v>0</v>
      </c>
      <c r="D3690" s="11">
        <v>2.791755072711593</v>
      </c>
    </row>
    <row r="3691" spans="1:4" x14ac:dyDescent="0.2">
      <c r="A3691" s="10" t="s">
        <v>3690</v>
      </c>
      <c r="B3691" s="12">
        <v>13.08</v>
      </c>
      <c r="C3691" s="11">
        <v>0</v>
      </c>
      <c r="D3691" s="11">
        <v>1.900769411207893</v>
      </c>
    </row>
    <row r="3692" spans="1:4" x14ac:dyDescent="0.2">
      <c r="A3692" s="10" t="s">
        <v>3691</v>
      </c>
      <c r="B3692" s="12">
        <v>14.6</v>
      </c>
      <c r="C3692" s="11">
        <v>0</v>
      </c>
      <c r="D3692" s="11">
        <v>0.39599362733497778</v>
      </c>
    </row>
    <row r="3693" spans="1:4" x14ac:dyDescent="0.2">
      <c r="A3693" s="10" t="s">
        <v>3692</v>
      </c>
      <c r="B3693" s="12">
        <v>13.01</v>
      </c>
      <c r="C3693" s="11">
        <v>0</v>
      </c>
      <c r="D3693" s="11">
        <v>1.9700682959915143</v>
      </c>
    </row>
    <row r="3694" spans="1:4" x14ac:dyDescent="0.2">
      <c r="A3694" s="10" t="s">
        <v>3693</v>
      </c>
      <c r="B3694" s="12">
        <v>13.44</v>
      </c>
      <c r="C3694" s="11">
        <v>0</v>
      </c>
      <c r="D3694" s="11">
        <v>1.5443751466064133</v>
      </c>
    </row>
    <row r="3695" spans="1:4" x14ac:dyDescent="0.2">
      <c r="A3695" s="10" t="s">
        <v>3694</v>
      </c>
      <c r="B3695" s="12">
        <v>13.09</v>
      </c>
      <c r="C3695" s="11">
        <v>0</v>
      </c>
      <c r="D3695" s="11">
        <v>1.8908695705245187</v>
      </c>
    </row>
    <row r="3696" spans="1:4" x14ac:dyDescent="0.2">
      <c r="A3696" s="10" t="s">
        <v>3695</v>
      </c>
      <c r="B3696" s="12">
        <v>14.95</v>
      </c>
      <c r="C3696" s="11">
        <v>0</v>
      </c>
      <c r="D3696" s="11">
        <v>4.9499203416872223E-2</v>
      </c>
    </row>
    <row r="3697" spans="1:4" x14ac:dyDescent="0.2">
      <c r="A3697" s="10" t="s">
        <v>3696</v>
      </c>
      <c r="B3697" s="12">
        <v>14.69</v>
      </c>
      <c r="C3697" s="11">
        <v>0</v>
      </c>
      <c r="D3697" s="11">
        <v>0.30689506118460774</v>
      </c>
    </row>
    <row r="3698" spans="1:4" x14ac:dyDescent="0.2">
      <c r="A3698" s="10" t="s">
        <v>3697</v>
      </c>
      <c r="B3698" s="12">
        <v>14.17</v>
      </c>
      <c r="C3698" s="11">
        <v>0</v>
      </c>
      <c r="D3698" s="11">
        <v>0.82168677672007873</v>
      </c>
    </row>
    <row r="3699" spans="1:4" x14ac:dyDescent="0.2">
      <c r="A3699" s="10" t="s">
        <v>3698</v>
      </c>
      <c r="B3699" s="12">
        <v>13.59</v>
      </c>
      <c r="C3699" s="11">
        <v>0</v>
      </c>
      <c r="D3699" s="11">
        <v>1.3958775363557965</v>
      </c>
    </row>
    <row r="3700" spans="1:4" x14ac:dyDescent="0.2">
      <c r="A3700" s="10" t="s">
        <v>3699</v>
      </c>
      <c r="B3700" s="12">
        <v>11.8</v>
      </c>
      <c r="C3700" s="11">
        <v>0</v>
      </c>
      <c r="D3700" s="11">
        <v>3.1679490186798223</v>
      </c>
    </row>
    <row r="3701" spans="1:4" x14ac:dyDescent="0.2">
      <c r="A3701" s="10" t="s">
        <v>3700</v>
      </c>
      <c r="B3701" s="12">
        <v>15.5</v>
      </c>
      <c r="C3701" s="11">
        <v>0.49499203416872217</v>
      </c>
      <c r="D3701" s="11">
        <v>0</v>
      </c>
    </row>
    <row r="3702" spans="1:4" x14ac:dyDescent="0.2">
      <c r="A3702" s="10" t="s">
        <v>3701</v>
      </c>
      <c r="B3702" s="12">
        <v>15.74</v>
      </c>
      <c r="C3702" s="11">
        <v>0.7325882105697088</v>
      </c>
      <c r="D3702" s="11">
        <v>0</v>
      </c>
    </row>
    <row r="3703" spans="1:4" x14ac:dyDescent="0.2">
      <c r="A3703" s="10" t="s">
        <v>3702</v>
      </c>
      <c r="B3703" s="12">
        <v>14.56</v>
      </c>
      <c r="C3703" s="11">
        <v>0</v>
      </c>
      <c r="D3703" s="11">
        <v>0.43559299006847552</v>
      </c>
    </row>
    <row r="3704" spans="1:4" x14ac:dyDescent="0.2">
      <c r="A3704" s="10" t="s">
        <v>3703</v>
      </c>
      <c r="B3704" s="12">
        <v>14.67</v>
      </c>
      <c r="C3704" s="11">
        <v>0</v>
      </c>
      <c r="D3704" s="11">
        <v>0.32669474255135666</v>
      </c>
    </row>
    <row r="3705" spans="1:4" x14ac:dyDescent="0.2">
      <c r="A3705" s="10" t="s">
        <v>3704</v>
      </c>
      <c r="B3705" s="12">
        <v>15.98</v>
      </c>
      <c r="C3705" s="11">
        <v>0.97018438697069542</v>
      </c>
      <c r="D3705" s="11">
        <v>0</v>
      </c>
    </row>
    <row r="3706" spans="1:4" x14ac:dyDescent="0.2">
      <c r="A3706" s="10" t="s">
        <v>3705</v>
      </c>
      <c r="B3706" s="12">
        <v>13.37</v>
      </c>
      <c r="C3706" s="11">
        <v>0</v>
      </c>
      <c r="D3706" s="11">
        <v>1.6136740313900342</v>
      </c>
    </row>
    <row r="3707" spans="1:4" x14ac:dyDescent="0.2">
      <c r="A3707" s="10" t="s">
        <v>3706</v>
      </c>
      <c r="B3707" s="12">
        <v>14.04</v>
      </c>
      <c r="C3707" s="11">
        <v>0</v>
      </c>
      <c r="D3707" s="11">
        <v>0.9503847056039465</v>
      </c>
    </row>
    <row r="3708" spans="1:4" x14ac:dyDescent="0.2">
      <c r="A3708" s="10" t="s">
        <v>3707</v>
      </c>
      <c r="B3708" s="12">
        <v>14.65</v>
      </c>
      <c r="C3708" s="11">
        <v>0</v>
      </c>
      <c r="D3708" s="11">
        <v>0.34649442391810548</v>
      </c>
    </row>
    <row r="3709" spans="1:4" x14ac:dyDescent="0.2">
      <c r="A3709" s="10" t="s">
        <v>3708</v>
      </c>
      <c r="B3709" s="12">
        <v>14.11</v>
      </c>
      <c r="C3709" s="11">
        <v>0</v>
      </c>
      <c r="D3709" s="11">
        <v>0.88108582082032549</v>
      </c>
    </row>
    <row r="3710" spans="1:4" x14ac:dyDescent="0.2">
      <c r="A3710" s="10" t="s">
        <v>3709</v>
      </c>
      <c r="B3710" s="12">
        <v>14.58</v>
      </c>
      <c r="C3710" s="11">
        <v>0</v>
      </c>
      <c r="D3710" s="11">
        <v>0.41579330870172659</v>
      </c>
    </row>
    <row r="3711" spans="1:4" x14ac:dyDescent="0.2">
      <c r="A3711" s="10" t="s">
        <v>3710</v>
      </c>
      <c r="B3711" s="12">
        <v>15.58</v>
      </c>
      <c r="C3711" s="11">
        <v>0.57419075963571764</v>
      </c>
      <c r="D3711" s="11">
        <v>0</v>
      </c>
    </row>
    <row r="3712" spans="1:4" x14ac:dyDescent="0.2">
      <c r="A3712" s="10" t="s">
        <v>3711</v>
      </c>
      <c r="B3712" s="12">
        <v>14.34</v>
      </c>
      <c r="C3712" s="11">
        <v>0</v>
      </c>
      <c r="D3712" s="11">
        <v>0.65338948510271333</v>
      </c>
    </row>
    <row r="3713" spans="1:4" x14ac:dyDescent="0.2">
      <c r="A3713" s="10" t="s">
        <v>3712</v>
      </c>
      <c r="B3713" s="12">
        <v>12.74</v>
      </c>
      <c r="C3713" s="11">
        <v>0</v>
      </c>
      <c r="D3713" s="11">
        <v>2.237363994442624</v>
      </c>
    </row>
    <row r="3714" spans="1:4" x14ac:dyDescent="0.2">
      <c r="A3714" s="10" t="s">
        <v>3713</v>
      </c>
      <c r="B3714" s="12">
        <v>14.75</v>
      </c>
      <c r="C3714" s="11">
        <v>0</v>
      </c>
      <c r="D3714" s="11">
        <v>0.24749601708436109</v>
      </c>
    </row>
    <row r="3715" spans="1:4" x14ac:dyDescent="0.2">
      <c r="A3715" s="10" t="s">
        <v>3714</v>
      </c>
      <c r="B3715" s="12">
        <v>16.940000000000001</v>
      </c>
      <c r="C3715" s="11">
        <v>1.9205690925746419</v>
      </c>
      <c r="D3715" s="11">
        <v>0</v>
      </c>
    </row>
    <row r="3716" spans="1:4" x14ac:dyDescent="0.2">
      <c r="A3716" s="10" t="s">
        <v>3715</v>
      </c>
      <c r="B3716" s="12">
        <v>14.83</v>
      </c>
      <c r="C3716" s="11">
        <v>0</v>
      </c>
      <c r="D3716" s="11">
        <v>0.16829729161736556</v>
      </c>
    </row>
    <row r="3717" spans="1:4" x14ac:dyDescent="0.2">
      <c r="A3717" s="10" t="s">
        <v>3716</v>
      </c>
      <c r="B3717" s="12">
        <v>14.69</v>
      </c>
      <c r="C3717" s="11">
        <v>0</v>
      </c>
      <c r="D3717" s="11">
        <v>0.30689506118460774</v>
      </c>
    </row>
    <row r="3718" spans="1:4" x14ac:dyDescent="0.2">
      <c r="A3718" s="10" t="s">
        <v>3717</v>
      </c>
      <c r="B3718" s="12">
        <v>14.64</v>
      </c>
      <c r="C3718" s="11">
        <v>0</v>
      </c>
      <c r="D3718" s="11">
        <v>0.35639426460147994</v>
      </c>
    </row>
    <row r="3719" spans="1:4" x14ac:dyDescent="0.2">
      <c r="A3719" s="10" t="s">
        <v>3718</v>
      </c>
      <c r="B3719" s="12">
        <v>14.52</v>
      </c>
      <c r="C3719" s="11">
        <v>0</v>
      </c>
      <c r="D3719" s="11">
        <v>0.47519235280197325</v>
      </c>
    </row>
    <row r="3720" spans="1:4" x14ac:dyDescent="0.2">
      <c r="A3720" s="10" t="s">
        <v>3719</v>
      </c>
      <c r="B3720" s="12">
        <v>15.17</v>
      </c>
      <c r="C3720" s="11">
        <v>0.16829729161736556</v>
      </c>
      <c r="D3720" s="11">
        <v>0</v>
      </c>
    </row>
    <row r="3721" spans="1:4" x14ac:dyDescent="0.2">
      <c r="A3721" s="10" t="s">
        <v>3720</v>
      </c>
      <c r="B3721" s="12">
        <v>12.9</v>
      </c>
      <c r="C3721" s="11">
        <v>0</v>
      </c>
      <c r="D3721" s="11">
        <v>2.0789665435086331</v>
      </c>
    </row>
    <row r="3722" spans="1:4" x14ac:dyDescent="0.2">
      <c r="A3722" s="10" t="s">
        <v>3721</v>
      </c>
      <c r="B3722" s="12">
        <v>12.62</v>
      </c>
      <c r="C3722" s="11">
        <v>0</v>
      </c>
      <c r="D3722" s="11">
        <v>2.3561620826431176</v>
      </c>
    </row>
    <row r="3723" spans="1:4" x14ac:dyDescent="0.2">
      <c r="A3723" s="10" t="s">
        <v>3722</v>
      </c>
      <c r="B3723" s="12">
        <v>14.53</v>
      </c>
      <c r="C3723" s="11">
        <v>0</v>
      </c>
      <c r="D3723" s="11">
        <v>0.46529251211859879</v>
      </c>
    </row>
    <row r="3724" spans="1:4" x14ac:dyDescent="0.2">
      <c r="A3724" s="10" t="s">
        <v>3723</v>
      </c>
      <c r="B3724" s="12">
        <v>14.62</v>
      </c>
      <c r="C3724" s="11">
        <v>0</v>
      </c>
      <c r="D3724" s="11">
        <v>0.37619394596822886</v>
      </c>
    </row>
    <row r="3725" spans="1:4" x14ac:dyDescent="0.2">
      <c r="A3725" s="10" t="s">
        <v>3724</v>
      </c>
      <c r="B3725" s="12">
        <v>12.59</v>
      </c>
      <c r="C3725" s="11">
        <v>0</v>
      </c>
      <c r="D3725" s="11">
        <v>2.3957614453766154</v>
      </c>
    </row>
    <row r="3726" spans="1:4" x14ac:dyDescent="0.2">
      <c r="A3726" s="10" t="s">
        <v>3725</v>
      </c>
      <c r="B3726" s="12">
        <v>14.9</v>
      </c>
      <c r="C3726" s="11">
        <v>0</v>
      </c>
      <c r="D3726" s="11">
        <v>9.8998406833744446E-2</v>
      </c>
    </row>
    <row r="3727" spans="1:4" x14ac:dyDescent="0.2">
      <c r="A3727" s="10" t="s">
        <v>3726</v>
      </c>
      <c r="B3727" s="12">
        <v>15.25</v>
      </c>
      <c r="C3727" s="11">
        <v>0.24749601708436109</v>
      </c>
      <c r="D3727" s="11">
        <v>0</v>
      </c>
    </row>
    <row r="3728" spans="1:4" x14ac:dyDescent="0.2">
      <c r="A3728" s="10" t="s">
        <v>3727</v>
      </c>
      <c r="B3728" s="12">
        <v>14</v>
      </c>
      <c r="C3728" s="11">
        <v>0</v>
      </c>
      <c r="D3728" s="11">
        <v>0.98998406833744435</v>
      </c>
    </row>
    <row r="3729" spans="1:4" x14ac:dyDescent="0.2">
      <c r="A3729" s="10" t="s">
        <v>3728</v>
      </c>
      <c r="B3729" s="12">
        <v>13.76</v>
      </c>
      <c r="C3729" s="11">
        <v>0</v>
      </c>
      <c r="D3729" s="11">
        <v>1.227580244738431</v>
      </c>
    </row>
    <row r="3730" spans="1:4" x14ac:dyDescent="0.2">
      <c r="A3730" s="10" t="s">
        <v>3729</v>
      </c>
      <c r="B3730" s="12">
        <v>15.48</v>
      </c>
      <c r="C3730" s="11">
        <v>0.47519235280197325</v>
      </c>
      <c r="D3730" s="11">
        <v>0</v>
      </c>
    </row>
    <row r="3731" spans="1:4" x14ac:dyDescent="0.2">
      <c r="A3731" s="10" t="s">
        <v>3730</v>
      </c>
      <c r="B3731" s="12">
        <v>14.4</v>
      </c>
      <c r="C3731" s="11">
        <v>0</v>
      </c>
      <c r="D3731" s="11">
        <v>0.59399044100246656</v>
      </c>
    </row>
    <row r="3732" spans="1:4" x14ac:dyDescent="0.2">
      <c r="A3732" s="10" t="s">
        <v>3731</v>
      </c>
      <c r="B3732" s="12">
        <v>14.44</v>
      </c>
      <c r="C3732" s="11">
        <v>0</v>
      </c>
      <c r="D3732" s="11">
        <v>0.55439107826896894</v>
      </c>
    </row>
    <row r="3733" spans="1:4" x14ac:dyDescent="0.2">
      <c r="A3733" s="10" t="s">
        <v>3732</v>
      </c>
      <c r="B3733" s="12">
        <v>15.13</v>
      </c>
      <c r="C3733" s="11">
        <v>0.12869792888386777</v>
      </c>
      <c r="D3733" s="11">
        <v>0</v>
      </c>
    </row>
    <row r="3734" spans="1:4" x14ac:dyDescent="0.2">
      <c r="A3734" s="10" t="s">
        <v>3733</v>
      </c>
      <c r="B3734" s="12">
        <v>13.21</v>
      </c>
      <c r="C3734" s="11">
        <v>0</v>
      </c>
      <c r="D3734" s="11">
        <v>1.7720714823240253</v>
      </c>
    </row>
    <row r="3735" spans="1:4" x14ac:dyDescent="0.2">
      <c r="A3735" s="10" t="s">
        <v>3734</v>
      </c>
      <c r="B3735" s="12">
        <v>12.8</v>
      </c>
      <c r="C3735" s="11">
        <v>0</v>
      </c>
      <c r="D3735" s="11">
        <v>2.1779649503423779</v>
      </c>
    </row>
    <row r="3736" spans="1:4" x14ac:dyDescent="0.2">
      <c r="A3736" s="10" t="s">
        <v>3735</v>
      </c>
      <c r="B3736" s="12">
        <v>13.22</v>
      </c>
      <c r="C3736" s="11">
        <v>0</v>
      </c>
      <c r="D3736" s="11">
        <v>1.762171641640651</v>
      </c>
    </row>
    <row r="3737" spans="1:4" x14ac:dyDescent="0.2">
      <c r="A3737" s="10" t="s">
        <v>3736</v>
      </c>
      <c r="B3737" s="12">
        <v>16.440000000000001</v>
      </c>
      <c r="C3737" s="11">
        <v>1.4255770584059198</v>
      </c>
      <c r="D3737" s="11">
        <v>0</v>
      </c>
    </row>
    <row r="3738" spans="1:4" x14ac:dyDescent="0.2">
      <c r="A3738" s="10" t="s">
        <v>3737</v>
      </c>
      <c r="B3738" s="12">
        <v>13.67</v>
      </c>
      <c r="C3738" s="11">
        <v>0</v>
      </c>
      <c r="D3738" s="11">
        <v>1.316678810888801</v>
      </c>
    </row>
    <row r="3739" spans="1:4" x14ac:dyDescent="0.2">
      <c r="A3739" s="10" t="s">
        <v>3738</v>
      </c>
      <c r="B3739" s="12">
        <v>13.33</v>
      </c>
      <c r="C3739" s="11">
        <v>0</v>
      </c>
      <c r="D3739" s="11">
        <v>1.653273394123532</v>
      </c>
    </row>
    <row r="3740" spans="1:4" x14ac:dyDescent="0.2">
      <c r="A3740" s="10" t="s">
        <v>3739</v>
      </c>
      <c r="B3740" s="12">
        <v>15.67</v>
      </c>
      <c r="C3740" s="11">
        <v>0.66328932578608779</v>
      </c>
      <c r="D3740" s="11">
        <v>0</v>
      </c>
    </row>
    <row r="3741" spans="1:4" x14ac:dyDescent="0.2">
      <c r="A3741" s="10" t="s">
        <v>3740</v>
      </c>
      <c r="B3741" s="12">
        <v>12.69</v>
      </c>
      <c r="C3741" s="11">
        <v>0</v>
      </c>
      <c r="D3741" s="11">
        <v>2.2868631978594967</v>
      </c>
    </row>
    <row r="3742" spans="1:4" x14ac:dyDescent="0.2">
      <c r="A3742" s="10" t="s">
        <v>3741</v>
      </c>
      <c r="B3742" s="12">
        <v>14.52</v>
      </c>
      <c r="C3742" s="11">
        <v>0</v>
      </c>
      <c r="D3742" s="11">
        <v>0.47519235280197325</v>
      </c>
    </row>
    <row r="3743" spans="1:4" x14ac:dyDescent="0.2">
      <c r="A3743" s="10" t="s">
        <v>3742</v>
      </c>
      <c r="B3743" s="12">
        <v>14.84</v>
      </c>
      <c r="C3743" s="11">
        <v>0</v>
      </c>
      <c r="D3743" s="11">
        <v>0.1583974509339911</v>
      </c>
    </row>
    <row r="3744" spans="1:4" x14ac:dyDescent="0.2">
      <c r="A3744" s="10" t="s">
        <v>3743</v>
      </c>
      <c r="B3744" s="12">
        <v>13.31</v>
      </c>
      <c r="C3744" s="11">
        <v>0</v>
      </c>
      <c r="D3744" s="11">
        <v>1.6730730754902809</v>
      </c>
    </row>
    <row r="3745" spans="1:4" x14ac:dyDescent="0.2">
      <c r="A3745" s="10" t="s">
        <v>3744</v>
      </c>
      <c r="B3745" s="12">
        <v>14.37</v>
      </c>
      <c r="C3745" s="11">
        <v>0</v>
      </c>
      <c r="D3745" s="11">
        <v>0.62368996305258995</v>
      </c>
    </row>
    <row r="3746" spans="1:4" x14ac:dyDescent="0.2">
      <c r="A3746" s="10" t="s">
        <v>3745</v>
      </c>
      <c r="B3746" s="12">
        <v>14.94</v>
      </c>
      <c r="C3746" s="11">
        <v>0</v>
      </c>
      <c r="D3746" s="11">
        <v>5.9399044100246656E-2</v>
      </c>
    </row>
    <row r="3747" spans="1:4" x14ac:dyDescent="0.2">
      <c r="A3747" s="10" t="s">
        <v>3746</v>
      </c>
      <c r="B3747" s="12">
        <v>12.65</v>
      </c>
      <c r="C3747" s="11">
        <v>0</v>
      </c>
      <c r="D3747" s="11">
        <v>2.3264625605929945</v>
      </c>
    </row>
    <row r="3748" spans="1:4" x14ac:dyDescent="0.2">
      <c r="A3748" s="10" t="s">
        <v>3747</v>
      </c>
      <c r="B3748" s="12">
        <v>13.41</v>
      </c>
      <c r="C3748" s="11">
        <v>0</v>
      </c>
      <c r="D3748" s="11">
        <v>1.5740746686565366</v>
      </c>
    </row>
    <row r="3749" spans="1:4" x14ac:dyDescent="0.2">
      <c r="A3749" s="10" t="s">
        <v>3748</v>
      </c>
      <c r="B3749" s="12">
        <v>13.81</v>
      </c>
      <c r="C3749" s="11">
        <v>0</v>
      </c>
      <c r="D3749" s="11">
        <v>1.1780810413215588</v>
      </c>
    </row>
    <row r="3750" spans="1:4" x14ac:dyDescent="0.2">
      <c r="A3750" s="10" t="s">
        <v>3749</v>
      </c>
      <c r="B3750" s="12">
        <v>15.56</v>
      </c>
      <c r="C3750" s="11">
        <v>0.55439107826896894</v>
      </c>
      <c r="D3750" s="11">
        <v>0</v>
      </c>
    </row>
    <row r="3751" spans="1:4" x14ac:dyDescent="0.2">
      <c r="A3751" s="10" t="s">
        <v>3750</v>
      </c>
      <c r="B3751" s="12">
        <v>13.33</v>
      </c>
      <c r="C3751" s="11">
        <v>0</v>
      </c>
      <c r="D3751" s="11">
        <v>1.653273394123532</v>
      </c>
    </row>
    <row r="3752" spans="1:4" x14ac:dyDescent="0.2">
      <c r="A3752" s="10" t="s">
        <v>3751</v>
      </c>
      <c r="B3752" s="12">
        <v>14.04</v>
      </c>
      <c r="C3752" s="11">
        <v>0</v>
      </c>
      <c r="D3752" s="11">
        <v>0.9503847056039465</v>
      </c>
    </row>
    <row r="3753" spans="1:4" x14ac:dyDescent="0.2">
      <c r="A3753" s="10" t="s">
        <v>3752</v>
      </c>
      <c r="B3753" s="12">
        <v>15.32</v>
      </c>
      <c r="C3753" s="11">
        <v>0.3167949018679822</v>
      </c>
      <c r="D3753" s="11">
        <v>0</v>
      </c>
    </row>
    <row r="3754" spans="1:4" x14ac:dyDescent="0.2">
      <c r="A3754" s="10" t="s">
        <v>3753</v>
      </c>
      <c r="B3754" s="12">
        <v>14.88</v>
      </c>
      <c r="C3754" s="11">
        <v>0</v>
      </c>
      <c r="D3754" s="11">
        <v>0.11879808820049331</v>
      </c>
    </row>
    <row r="3755" spans="1:4" x14ac:dyDescent="0.2">
      <c r="A3755" s="10" t="s">
        <v>3754</v>
      </c>
      <c r="B3755" s="12">
        <v>14.42</v>
      </c>
      <c r="C3755" s="11">
        <v>0</v>
      </c>
      <c r="D3755" s="11">
        <v>0.57419075963571764</v>
      </c>
    </row>
    <row r="3756" spans="1:4" x14ac:dyDescent="0.2">
      <c r="A3756" s="10" t="s">
        <v>3755</v>
      </c>
      <c r="B3756" s="12">
        <v>14.6</v>
      </c>
      <c r="C3756" s="11">
        <v>0</v>
      </c>
      <c r="D3756" s="11">
        <v>0.39599362733497778</v>
      </c>
    </row>
    <row r="3757" spans="1:4" x14ac:dyDescent="0.2">
      <c r="A3757" s="10" t="s">
        <v>3756</v>
      </c>
      <c r="B3757" s="12">
        <v>14.16</v>
      </c>
      <c r="C3757" s="11">
        <v>0</v>
      </c>
      <c r="D3757" s="11">
        <v>0.83158661740345319</v>
      </c>
    </row>
    <row r="3758" spans="1:4" x14ac:dyDescent="0.2">
      <c r="A3758" s="10" t="s">
        <v>3757</v>
      </c>
      <c r="B3758" s="12">
        <v>15.13</v>
      </c>
      <c r="C3758" s="11">
        <v>0.12869792888386777</v>
      </c>
      <c r="D3758" s="11">
        <v>0</v>
      </c>
    </row>
    <row r="3759" spans="1:4" x14ac:dyDescent="0.2">
      <c r="A3759" s="10" t="s">
        <v>3758</v>
      </c>
      <c r="B3759" s="12">
        <v>14.73</v>
      </c>
      <c r="C3759" s="11">
        <v>0</v>
      </c>
      <c r="D3759" s="11">
        <v>0.26729569845111001</v>
      </c>
    </row>
    <row r="3760" spans="1:4" x14ac:dyDescent="0.2">
      <c r="A3760" s="10" t="s">
        <v>3759</v>
      </c>
      <c r="B3760" s="12">
        <v>12.73</v>
      </c>
      <c r="C3760" s="11">
        <v>0</v>
      </c>
      <c r="D3760" s="11">
        <v>2.2472638351259988</v>
      </c>
    </row>
    <row r="3761" spans="1:4" x14ac:dyDescent="0.2">
      <c r="A3761" s="10" t="s">
        <v>3760</v>
      </c>
      <c r="B3761" s="12">
        <v>11.88</v>
      </c>
      <c r="C3761" s="11">
        <v>0</v>
      </c>
      <c r="D3761" s="11">
        <v>3.0887502932128266</v>
      </c>
    </row>
    <row r="3762" spans="1:4" x14ac:dyDescent="0.2">
      <c r="A3762" s="10" t="s">
        <v>3761</v>
      </c>
      <c r="B3762" s="12">
        <v>15.03</v>
      </c>
      <c r="C3762" s="11">
        <v>2.9699522050123328E-2</v>
      </c>
      <c r="D3762" s="11">
        <v>0</v>
      </c>
    </row>
    <row r="3763" spans="1:4" x14ac:dyDescent="0.2">
      <c r="A3763" s="10" t="s">
        <v>3762</v>
      </c>
      <c r="B3763" s="12">
        <v>14.94</v>
      </c>
      <c r="C3763" s="11">
        <v>0</v>
      </c>
      <c r="D3763" s="11">
        <v>5.9399044100246656E-2</v>
      </c>
    </row>
    <row r="3764" spans="1:4" x14ac:dyDescent="0.2">
      <c r="A3764" s="10" t="s">
        <v>3763</v>
      </c>
      <c r="B3764" s="12">
        <v>14.26</v>
      </c>
      <c r="C3764" s="11">
        <v>0</v>
      </c>
      <c r="D3764" s="11">
        <v>0.7325882105697088</v>
      </c>
    </row>
    <row r="3765" spans="1:4" x14ac:dyDescent="0.2">
      <c r="A3765" s="10" t="s">
        <v>3764</v>
      </c>
      <c r="B3765" s="12">
        <v>16.43</v>
      </c>
      <c r="C3765" s="11">
        <v>1.4156772177225454</v>
      </c>
      <c r="D3765" s="11">
        <v>0</v>
      </c>
    </row>
    <row r="3766" spans="1:4" x14ac:dyDescent="0.2">
      <c r="A3766" s="10" t="s">
        <v>3765</v>
      </c>
      <c r="B3766" s="12">
        <v>13.38</v>
      </c>
      <c r="C3766" s="11">
        <v>0</v>
      </c>
      <c r="D3766" s="11">
        <v>1.6037741907066601</v>
      </c>
    </row>
    <row r="3767" spans="1:4" x14ac:dyDescent="0.2">
      <c r="A3767" s="10" t="s">
        <v>3766</v>
      </c>
      <c r="B3767" s="12">
        <v>15.61</v>
      </c>
      <c r="C3767" s="11">
        <v>0.60389028168584102</v>
      </c>
      <c r="D3767" s="11">
        <v>0</v>
      </c>
    </row>
    <row r="3768" spans="1:4" x14ac:dyDescent="0.2">
      <c r="A3768" s="10" t="s">
        <v>3767</v>
      </c>
      <c r="B3768" s="12">
        <v>13.26</v>
      </c>
      <c r="C3768" s="11">
        <v>0</v>
      </c>
      <c r="D3768" s="11">
        <v>1.7225722789071531</v>
      </c>
    </row>
    <row r="3769" spans="1:4" x14ac:dyDescent="0.2">
      <c r="A3769" s="10" t="s">
        <v>3768</v>
      </c>
      <c r="B3769" s="12">
        <v>13.93</v>
      </c>
      <c r="C3769" s="11">
        <v>0</v>
      </c>
      <c r="D3769" s="11">
        <v>1.0592829531210655</v>
      </c>
    </row>
    <row r="3770" spans="1:4" x14ac:dyDescent="0.2">
      <c r="A3770" s="10" t="s">
        <v>3769</v>
      </c>
      <c r="B3770" s="12">
        <v>12.85</v>
      </c>
      <c r="C3770" s="11">
        <v>0</v>
      </c>
      <c r="D3770" s="11">
        <v>2.1284657469255053</v>
      </c>
    </row>
    <row r="3771" spans="1:4" x14ac:dyDescent="0.2">
      <c r="A3771" s="10" t="s">
        <v>3770</v>
      </c>
      <c r="B3771" s="12">
        <v>13.07</v>
      </c>
      <c r="C3771" s="11">
        <v>0</v>
      </c>
      <c r="D3771" s="11">
        <v>1.9106692518912676</v>
      </c>
    </row>
    <row r="3772" spans="1:4" x14ac:dyDescent="0.2">
      <c r="A3772" s="10" t="s">
        <v>3771</v>
      </c>
      <c r="B3772" s="12">
        <v>15.21</v>
      </c>
      <c r="C3772" s="11">
        <v>0.2078966543508633</v>
      </c>
      <c r="D3772" s="11">
        <v>0</v>
      </c>
    </row>
    <row r="3773" spans="1:4" x14ac:dyDescent="0.2">
      <c r="A3773" s="10" t="s">
        <v>3772</v>
      </c>
      <c r="B3773" s="12">
        <v>14.34</v>
      </c>
      <c r="C3773" s="11">
        <v>0</v>
      </c>
      <c r="D3773" s="11">
        <v>0.65338948510271333</v>
      </c>
    </row>
    <row r="3774" spans="1:4" x14ac:dyDescent="0.2">
      <c r="A3774" s="10" t="s">
        <v>3773</v>
      </c>
      <c r="B3774" s="12">
        <v>15.63</v>
      </c>
      <c r="C3774" s="11">
        <v>0.62368996305258995</v>
      </c>
      <c r="D3774" s="11">
        <v>0</v>
      </c>
    </row>
    <row r="3775" spans="1:4" x14ac:dyDescent="0.2">
      <c r="A3775" s="10" t="s">
        <v>3774</v>
      </c>
      <c r="B3775" s="12">
        <v>13.62</v>
      </c>
      <c r="C3775" s="11">
        <v>0</v>
      </c>
      <c r="D3775" s="11">
        <v>1.366178014305673</v>
      </c>
    </row>
    <row r="3776" spans="1:4" x14ac:dyDescent="0.2">
      <c r="A3776" s="10" t="s">
        <v>3775</v>
      </c>
      <c r="B3776" s="12">
        <v>15.24</v>
      </c>
      <c r="C3776" s="11">
        <v>0.23759617640098663</v>
      </c>
      <c r="D3776" s="11">
        <v>0</v>
      </c>
    </row>
    <row r="3777" spans="1:4" x14ac:dyDescent="0.2">
      <c r="A3777" s="10" t="s">
        <v>3776</v>
      </c>
      <c r="B3777" s="12">
        <v>13.47</v>
      </c>
      <c r="C3777" s="11">
        <v>0</v>
      </c>
      <c r="D3777" s="11">
        <v>1.5146756245562898</v>
      </c>
    </row>
    <row r="3778" spans="1:4" x14ac:dyDescent="0.2">
      <c r="A3778" s="10" t="s">
        <v>3777</v>
      </c>
      <c r="B3778" s="12">
        <v>13.7</v>
      </c>
      <c r="C3778" s="11">
        <v>0</v>
      </c>
      <c r="D3778" s="11">
        <v>1.2869792888386777</v>
      </c>
    </row>
    <row r="3779" spans="1:4" x14ac:dyDescent="0.2">
      <c r="A3779" s="10" t="s">
        <v>3778</v>
      </c>
      <c r="B3779" s="12">
        <v>13.39</v>
      </c>
      <c r="C3779" s="11">
        <v>0</v>
      </c>
      <c r="D3779" s="11">
        <v>1.5938743500232855</v>
      </c>
    </row>
    <row r="3780" spans="1:4" x14ac:dyDescent="0.2">
      <c r="A3780" s="10" t="s">
        <v>3779</v>
      </c>
      <c r="B3780" s="12">
        <v>14.59</v>
      </c>
      <c r="C3780" s="11">
        <v>0</v>
      </c>
      <c r="D3780" s="11">
        <v>0.40589346801835213</v>
      </c>
    </row>
    <row r="3781" spans="1:4" x14ac:dyDescent="0.2">
      <c r="A3781" s="10" t="s">
        <v>3780</v>
      </c>
      <c r="B3781" s="12">
        <v>14.37</v>
      </c>
      <c r="C3781" s="11">
        <v>0</v>
      </c>
      <c r="D3781" s="11">
        <v>0.62368996305258995</v>
      </c>
    </row>
    <row r="3782" spans="1:4" x14ac:dyDescent="0.2">
      <c r="A3782" s="10" t="s">
        <v>3781</v>
      </c>
      <c r="B3782" s="12">
        <v>13.74</v>
      </c>
      <c r="C3782" s="11">
        <v>0</v>
      </c>
      <c r="D3782" s="11">
        <v>1.2473799261051799</v>
      </c>
    </row>
    <row r="3783" spans="1:4" x14ac:dyDescent="0.2">
      <c r="A3783" s="10" t="s">
        <v>3782</v>
      </c>
      <c r="B3783" s="12">
        <v>13.1</v>
      </c>
      <c r="C3783" s="11">
        <v>0</v>
      </c>
      <c r="D3783" s="11">
        <v>1.8809697298411441</v>
      </c>
    </row>
    <row r="3784" spans="1:4" x14ac:dyDescent="0.2">
      <c r="A3784" s="10" t="s">
        <v>3783</v>
      </c>
      <c r="B3784" s="12">
        <v>13.27</v>
      </c>
      <c r="C3784" s="11">
        <v>0</v>
      </c>
      <c r="D3784" s="11">
        <v>1.7126724382237788</v>
      </c>
    </row>
    <row r="3785" spans="1:4" x14ac:dyDescent="0.2">
      <c r="A3785" s="10" t="s">
        <v>3784</v>
      </c>
      <c r="B3785" s="12">
        <v>13.12</v>
      </c>
      <c r="C3785" s="11">
        <v>0</v>
      </c>
      <c r="D3785" s="11">
        <v>1.8611700484743952</v>
      </c>
    </row>
    <row r="3786" spans="1:4" x14ac:dyDescent="0.2">
      <c r="A3786" s="10" t="s">
        <v>3785</v>
      </c>
      <c r="B3786" s="12">
        <v>12.16</v>
      </c>
      <c r="C3786" s="11">
        <v>0</v>
      </c>
      <c r="D3786" s="11">
        <v>2.8115547540783417</v>
      </c>
    </row>
    <row r="3787" spans="1:4" x14ac:dyDescent="0.2">
      <c r="A3787" s="10" t="s">
        <v>3786</v>
      </c>
      <c r="B3787" s="12">
        <v>13.77</v>
      </c>
      <c r="C3787" s="11">
        <v>0</v>
      </c>
      <c r="D3787" s="11">
        <v>1.2176804040550566</v>
      </c>
    </row>
    <row r="3788" spans="1:4" x14ac:dyDescent="0.2">
      <c r="A3788" s="10" t="s">
        <v>3787</v>
      </c>
      <c r="B3788" s="12">
        <v>14.05</v>
      </c>
      <c r="C3788" s="11">
        <v>0</v>
      </c>
      <c r="D3788" s="11">
        <v>0.94048486492057204</v>
      </c>
    </row>
    <row r="3789" spans="1:4" x14ac:dyDescent="0.2">
      <c r="A3789" s="10" t="s">
        <v>3788</v>
      </c>
      <c r="B3789" s="12">
        <v>14.06</v>
      </c>
      <c r="C3789" s="11">
        <v>0</v>
      </c>
      <c r="D3789" s="11">
        <v>0.93058502423719758</v>
      </c>
    </row>
    <row r="3790" spans="1:4" x14ac:dyDescent="0.2">
      <c r="A3790" s="10" t="s">
        <v>3789</v>
      </c>
      <c r="B3790" s="12">
        <v>15.23</v>
      </c>
      <c r="C3790" s="11">
        <v>0.22769633571761222</v>
      </c>
      <c r="D3790" s="11">
        <v>0</v>
      </c>
    </row>
    <row r="3791" spans="1:4" x14ac:dyDescent="0.2">
      <c r="A3791" s="10" t="s">
        <v>3790</v>
      </c>
      <c r="B3791" s="12">
        <v>15.24</v>
      </c>
      <c r="C3791" s="11">
        <v>0.23759617640098663</v>
      </c>
      <c r="D3791" s="11">
        <v>0</v>
      </c>
    </row>
    <row r="3792" spans="1:4" x14ac:dyDescent="0.2">
      <c r="A3792" s="10" t="s">
        <v>3791</v>
      </c>
      <c r="B3792" s="12">
        <v>13.42</v>
      </c>
      <c r="C3792" s="11">
        <v>0</v>
      </c>
      <c r="D3792" s="11">
        <v>1.5641748279731622</v>
      </c>
    </row>
    <row r="3793" spans="1:4" x14ac:dyDescent="0.2">
      <c r="A3793" s="10" t="s">
        <v>3792</v>
      </c>
      <c r="B3793" s="12">
        <v>13.48</v>
      </c>
      <c r="C3793" s="11">
        <v>0</v>
      </c>
      <c r="D3793" s="11">
        <v>1.5047757838729154</v>
      </c>
    </row>
    <row r="3794" spans="1:4" x14ac:dyDescent="0.2">
      <c r="A3794" s="10" t="s">
        <v>3793</v>
      </c>
      <c r="B3794" s="12">
        <v>15.75</v>
      </c>
      <c r="C3794" s="11">
        <v>0.74248805125308326</v>
      </c>
      <c r="D3794" s="11">
        <v>0</v>
      </c>
    </row>
    <row r="3795" spans="1:4" x14ac:dyDescent="0.2">
      <c r="A3795" s="10" t="s">
        <v>3794</v>
      </c>
      <c r="B3795" s="12">
        <v>14.81</v>
      </c>
      <c r="C3795" s="11">
        <v>0</v>
      </c>
      <c r="D3795" s="11">
        <v>0.18809697298411443</v>
      </c>
    </row>
    <row r="3796" spans="1:4" x14ac:dyDescent="0.2">
      <c r="A3796" s="10" t="s">
        <v>3795</v>
      </c>
      <c r="B3796" s="12">
        <v>15.87</v>
      </c>
      <c r="C3796" s="11">
        <v>0.86128613945357657</v>
      </c>
      <c r="D3796" s="11">
        <v>0</v>
      </c>
    </row>
    <row r="3797" spans="1:4" x14ac:dyDescent="0.2">
      <c r="A3797" s="10" t="s">
        <v>3796</v>
      </c>
      <c r="B3797" s="12">
        <v>12.82</v>
      </c>
      <c r="C3797" s="11">
        <v>0</v>
      </c>
      <c r="D3797" s="11">
        <v>2.1581652689756288</v>
      </c>
    </row>
    <row r="3798" spans="1:4" x14ac:dyDescent="0.2">
      <c r="A3798" s="10" t="s">
        <v>3797</v>
      </c>
      <c r="B3798" s="12">
        <v>13.85</v>
      </c>
      <c r="C3798" s="11">
        <v>0</v>
      </c>
      <c r="D3798" s="11">
        <v>1.1384816785880609</v>
      </c>
    </row>
    <row r="3799" spans="1:4" x14ac:dyDescent="0.2">
      <c r="A3799" s="10" t="s">
        <v>3798</v>
      </c>
      <c r="B3799" s="12">
        <v>13.46</v>
      </c>
      <c r="C3799" s="11">
        <v>0</v>
      </c>
      <c r="D3799" s="11">
        <v>1.5245754652396644</v>
      </c>
    </row>
    <row r="3800" spans="1:4" x14ac:dyDescent="0.2">
      <c r="A3800" s="10" t="s">
        <v>3799</v>
      </c>
      <c r="B3800" s="12">
        <v>14.39</v>
      </c>
      <c r="C3800" s="11">
        <v>0</v>
      </c>
      <c r="D3800" s="11">
        <v>0.60389028168584102</v>
      </c>
    </row>
    <row r="3801" spans="1:4" x14ac:dyDescent="0.2">
      <c r="A3801" s="10" t="s">
        <v>3800</v>
      </c>
      <c r="B3801" s="12">
        <v>13.03</v>
      </c>
      <c r="C3801" s="11">
        <v>0</v>
      </c>
      <c r="D3801" s="11">
        <v>1.9502686146247654</v>
      </c>
    </row>
    <row r="3802" spans="1:4" x14ac:dyDescent="0.2">
      <c r="A3802" s="10" t="s">
        <v>3801</v>
      </c>
      <c r="B3802" s="12">
        <v>15.9</v>
      </c>
      <c r="C3802" s="11">
        <v>0.89098566150369995</v>
      </c>
      <c r="D3802" s="11">
        <v>0</v>
      </c>
    </row>
    <row r="3803" spans="1:4" x14ac:dyDescent="0.2">
      <c r="A3803" s="10" t="s">
        <v>3802</v>
      </c>
      <c r="B3803" s="12">
        <v>12.97</v>
      </c>
      <c r="C3803" s="11">
        <v>0</v>
      </c>
      <c r="D3803" s="11">
        <v>2.0096676587250117</v>
      </c>
    </row>
    <row r="3804" spans="1:4" x14ac:dyDescent="0.2">
      <c r="A3804" s="10" t="s">
        <v>3803</v>
      </c>
      <c r="B3804" s="12">
        <v>14.9</v>
      </c>
      <c r="C3804" s="11">
        <v>0</v>
      </c>
      <c r="D3804" s="11">
        <v>9.8998406833744446E-2</v>
      </c>
    </row>
    <row r="3805" spans="1:4" x14ac:dyDescent="0.2">
      <c r="A3805" s="10" t="s">
        <v>3804</v>
      </c>
      <c r="B3805" s="12">
        <v>12.94</v>
      </c>
      <c r="C3805" s="11">
        <v>0</v>
      </c>
      <c r="D3805" s="11">
        <v>2.0393671807751352</v>
      </c>
    </row>
    <row r="3806" spans="1:4" x14ac:dyDescent="0.2">
      <c r="A3806" s="10" t="s">
        <v>3805</v>
      </c>
      <c r="B3806" s="12">
        <v>15.34</v>
      </c>
      <c r="C3806" s="11">
        <v>0.33659458323473113</v>
      </c>
      <c r="D3806" s="11">
        <v>0</v>
      </c>
    </row>
    <row r="3807" spans="1:4" x14ac:dyDescent="0.2">
      <c r="A3807" s="10" t="s">
        <v>3806</v>
      </c>
      <c r="B3807" s="12">
        <v>14.68</v>
      </c>
      <c r="C3807" s="11">
        <v>0</v>
      </c>
      <c r="D3807" s="11">
        <v>0.3167949018679822</v>
      </c>
    </row>
    <row r="3808" spans="1:4" x14ac:dyDescent="0.2">
      <c r="A3808" s="10" t="s">
        <v>3807</v>
      </c>
      <c r="B3808" s="12">
        <v>13.47</v>
      </c>
      <c r="C3808" s="11">
        <v>0</v>
      </c>
      <c r="D3808" s="11">
        <v>1.5146756245562898</v>
      </c>
    </row>
    <row r="3809" spans="1:4" x14ac:dyDescent="0.2">
      <c r="A3809" s="10" t="s">
        <v>3808</v>
      </c>
      <c r="B3809" s="12">
        <v>15.42</v>
      </c>
      <c r="C3809" s="11">
        <v>0.41579330870172659</v>
      </c>
      <c r="D3809" s="11">
        <v>0</v>
      </c>
    </row>
    <row r="3810" spans="1:4" x14ac:dyDescent="0.2">
      <c r="A3810" s="10" t="s">
        <v>3809</v>
      </c>
      <c r="B3810" s="12">
        <v>12.95</v>
      </c>
      <c r="C3810" s="11">
        <v>0</v>
      </c>
      <c r="D3810" s="11">
        <v>2.0294673400917609</v>
      </c>
    </row>
    <row r="3811" spans="1:4" x14ac:dyDescent="0.2">
      <c r="A3811" s="10" t="s">
        <v>3810</v>
      </c>
      <c r="B3811" s="12">
        <v>15.12</v>
      </c>
      <c r="C3811" s="11">
        <v>0.11879808820049331</v>
      </c>
      <c r="D3811" s="11">
        <v>0</v>
      </c>
    </row>
    <row r="3812" spans="1:4" x14ac:dyDescent="0.2">
      <c r="A3812" s="10" t="s">
        <v>3811</v>
      </c>
      <c r="B3812" s="12">
        <v>14.63</v>
      </c>
      <c r="C3812" s="11">
        <v>0</v>
      </c>
      <c r="D3812" s="11">
        <v>0.3662941052848544</v>
      </c>
    </row>
    <row r="3813" spans="1:4" x14ac:dyDescent="0.2">
      <c r="A3813" s="10" t="s">
        <v>3812</v>
      </c>
      <c r="B3813" s="12">
        <v>13.4</v>
      </c>
      <c r="C3813" s="11">
        <v>0</v>
      </c>
      <c r="D3813" s="11">
        <v>1.5839745093399111</v>
      </c>
    </row>
    <row r="3814" spans="1:4" x14ac:dyDescent="0.2">
      <c r="A3814" s="10" t="s">
        <v>3813</v>
      </c>
      <c r="B3814" s="12">
        <v>13.45</v>
      </c>
      <c r="C3814" s="11">
        <v>0</v>
      </c>
      <c r="D3814" s="11">
        <v>1.5344753059230387</v>
      </c>
    </row>
    <row r="3815" spans="1:4" x14ac:dyDescent="0.2">
      <c r="A3815" s="10" t="s">
        <v>3814</v>
      </c>
      <c r="B3815" s="12">
        <v>13.15</v>
      </c>
      <c r="C3815" s="11">
        <v>0</v>
      </c>
      <c r="D3815" s="11">
        <v>1.8314705264242721</v>
      </c>
    </row>
    <row r="3816" spans="1:4" x14ac:dyDescent="0.2">
      <c r="A3816" s="10" t="s">
        <v>3815</v>
      </c>
      <c r="B3816" s="12">
        <v>12.23</v>
      </c>
      <c r="C3816" s="11">
        <v>0</v>
      </c>
      <c r="D3816" s="11">
        <v>2.7422558692947208</v>
      </c>
    </row>
    <row r="3817" spans="1:4" x14ac:dyDescent="0.2">
      <c r="A3817" s="10" t="s">
        <v>3816</v>
      </c>
      <c r="B3817" s="12">
        <v>16.07</v>
      </c>
      <c r="C3817" s="11">
        <v>1.0592829531210655</v>
      </c>
      <c r="D3817" s="11">
        <v>0</v>
      </c>
    </row>
    <row r="3818" spans="1:4" x14ac:dyDescent="0.2">
      <c r="A3818" s="10" t="s">
        <v>3817</v>
      </c>
      <c r="B3818" s="12">
        <v>13.78</v>
      </c>
      <c r="C3818" s="11">
        <v>0</v>
      </c>
      <c r="D3818" s="11">
        <v>1.207780563371682</v>
      </c>
    </row>
    <row r="3819" spans="1:4" x14ac:dyDescent="0.2">
      <c r="A3819" s="10" t="s">
        <v>3818</v>
      </c>
      <c r="B3819" s="12">
        <v>14.93</v>
      </c>
      <c r="C3819" s="11">
        <v>0</v>
      </c>
      <c r="D3819" s="11">
        <v>6.9298884783621117E-2</v>
      </c>
    </row>
    <row r="3820" spans="1:4" x14ac:dyDescent="0.2">
      <c r="A3820" s="10" t="s">
        <v>3819</v>
      </c>
      <c r="B3820" s="12">
        <v>14.56</v>
      </c>
      <c r="C3820" s="11">
        <v>0</v>
      </c>
      <c r="D3820" s="11">
        <v>0.43559299006847552</v>
      </c>
    </row>
    <row r="3821" spans="1:4" x14ac:dyDescent="0.2">
      <c r="A3821" s="10" t="s">
        <v>3820</v>
      </c>
      <c r="B3821" s="12">
        <v>14.42</v>
      </c>
      <c r="C3821" s="11">
        <v>0</v>
      </c>
      <c r="D3821" s="11">
        <v>0.57419075963571764</v>
      </c>
    </row>
    <row r="3822" spans="1:4" x14ac:dyDescent="0.2">
      <c r="A3822" s="10" t="s">
        <v>3821</v>
      </c>
      <c r="B3822" s="12">
        <v>13.69</v>
      </c>
      <c r="C3822" s="11">
        <v>0</v>
      </c>
      <c r="D3822" s="11">
        <v>1.2968791295220521</v>
      </c>
    </row>
    <row r="3823" spans="1:4" x14ac:dyDescent="0.2">
      <c r="A3823" s="10" t="s">
        <v>3822</v>
      </c>
      <c r="B3823" s="12">
        <v>13.6</v>
      </c>
      <c r="C3823" s="11">
        <v>0</v>
      </c>
      <c r="D3823" s="11">
        <v>1.3859776956724219</v>
      </c>
    </row>
    <row r="3824" spans="1:4" x14ac:dyDescent="0.2">
      <c r="A3824" s="10" t="s">
        <v>3823</v>
      </c>
      <c r="B3824" s="12">
        <v>14.87</v>
      </c>
      <c r="C3824" s="11">
        <v>0</v>
      </c>
      <c r="D3824" s="11">
        <v>0.12869792888386777</v>
      </c>
    </row>
    <row r="3825" spans="1:4" x14ac:dyDescent="0.2">
      <c r="A3825" s="10" t="s">
        <v>3824</v>
      </c>
      <c r="B3825" s="12">
        <v>14.22</v>
      </c>
      <c r="C3825" s="11">
        <v>0</v>
      </c>
      <c r="D3825" s="11">
        <v>0.77218757330320664</v>
      </c>
    </row>
    <row r="3826" spans="1:4" x14ac:dyDescent="0.2">
      <c r="A3826" s="10" t="s">
        <v>3825</v>
      </c>
      <c r="B3826" s="12">
        <v>14.22</v>
      </c>
      <c r="C3826" s="11">
        <v>0</v>
      </c>
      <c r="D3826" s="11">
        <v>0.77218757330320664</v>
      </c>
    </row>
    <row r="3827" spans="1:4" x14ac:dyDescent="0.2">
      <c r="A3827" s="10" t="s">
        <v>3826</v>
      </c>
      <c r="B3827" s="12">
        <v>14.22</v>
      </c>
      <c r="C3827" s="11">
        <v>0</v>
      </c>
      <c r="D3827" s="11">
        <v>0.77218757330320664</v>
      </c>
    </row>
    <row r="3828" spans="1:4" x14ac:dyDescent="0.2">
      <c r="A3828" s="10" t="s">
        <v>3827</v>
      </c>
      <c r="B3828" s="12">
        <v>15.4</v>
      </c>
      <c r="C3828" s="11">
        <v>0.39599362733497778</v>
      </c>
      <c r="D3828" s="11">
        <v>0</v>
      </c>
    </row>
    <row r="3829" spans="1:4" x14ac:dyDescent="0.2">
      <c r="A3829" s="10" t="s">
        <v>3828</v>
      </c>
      <c r="B3829" s="12">
        <v>14.56</v>
      </c>
      <c r="C3829" s="11">
        <v>0</v>
      </c>
      <c r="D3829" s="11">
        <v>0.43559299006847552</v>
      </c>
    </row>
    <row r="3830" spans="1:4" x14ac:dyDescent="0.2">
      <c r="A3830" s="10" t="s">
        <v>3829</v>
      </c>
      <c r="B3830" s="12">
        <v>15.38</v>
      </c>
      <c r="C3830" s="11">
        <v>0.37619394596822886</v>
      </c>
      <c r="D3830" s="11">
        <v>0</v>
      </c>
    </row>
    <row r="3831" spans="1:4" x14ac:dyDescent="0.2">
      <c r="A3831" s="10" t="s">
        <v>3830</v>
      </c>
      <c r="B3831" s="12">
        <v>13.7</v>
      </c>
      <c r="C3831" s="11">
        <v>0</v>
      </c>
      <c r="D3831" s="11">
        <v>1.2869792888386777</v>
      </c>
    </row>
    <row r="3832" spans="1:4" x14ac:dyDescent="0.2">
      <c r="A3832" s="10" t="s">
        <v>3831</v>
      </c>
      <c r="B3832" s="12">
        <v>14.06</v>
      </c>
      <c r="C3832" s="11">
        <v>0</v>
      </c>
      <c r="D3832" s="11">
        <v>0.93058502423719758</v>
      </c>
    </row>
    <row r="3833" spans="1:4" x14ac:dyDescent="0.2">
      <c r="A3833" s="10" t="s">
        <v>3832</v>
      </c>
      <c r="B3833" s="12">
        <v>14.1</v>
      </c>
      <c r="C3833" s="11">
        <v>0</v>
      </c>
      <c r="D3833" s="11">
        <v>0.89098566150369995</v>
      </c>
    </row>
    <row r="3834" spans="1:4" x14ac:dyDescent="0.2">
      <c r="A3834" s="10" t="s">
        <v>3833</v>
      </c>
      <c r="B3834" s="12">
        <v>11.55</v>
      </c>
      <c r="C3834" s="11">
        <v>0</v>
      </c>
      <c r="D3834" s="11">
        <v>3.4154450357641832</v>
      </c>
    </row>
    <row r="3835" spans="1:4" x14ac:dyDescent="0.2">
      <c r="A3835" s="10" t="s">
        <v>3834</v>
      </c>
      <c r="B3835" s="12">
        <v>13.99</v>
      </c>
      <c r="C3835" s="11">
        <v>0</v>
      </c>
      <c r="D3835" s="11">
        <v>0.99988390902081881</v>
      </c>
    </row>
    <row r="3836" spans="1:4" x14ac:dyDescent="0.2">
      <c r="A3836" s="10" t="s">
        <v>3835</v>
      </c>
      <c r="B3836" s="12">
        <v>14.41</v>
      </c>
      <c r="C3836" s="11">
        <v>0</v>
      </c>
      <c r="D3836" s="11">
        <v>0.5840906003190921</v>
      </c>
    </row>
    <row r="3837" spans="1:4" x14ac:dyDescent="0.2">
      <c r="A3837" s="10" t="s">
        <v>3836</v>
      </c>
      <c r="B3837" s="12">
        <v>12.97</v>
      </c>
      <c r="C3837" s="11">
        <v>0</v>
      </c>
      <c r="D3837" s="11">
        <v>2.0096676587250117</v>
      </c>
    </row>
    <row r="3838" spans="1:4" x14ac:dyDescent="0.2">
      <c r="A3838" s="10" t="s">
        <v>3837</v>
      </c>
      <c r="B3838" s="12">
        <v>14.17</v>
      </c>
      <c r="C3838" s="11">
        <v>0</v>
      </c>
      <c r="D3838" s="11">
        <v>0.82168677672007873</v>
      </c>
    </row>
    <row r="3839" spans="1:4" x14ac:dyDescent="0.2">
      <c r="A3839" s="10" t="s">
        <v>3838</v>
      </c>
      <c r="B3839" s="12">
        <v>12.5</v>
      </c>
      <c r="C3839" s="11">
        <v>0</v>
      </c>
      <c r="D3839" s="11">
        <v>2.4749601708436106</v>
      </c>
    </row>
    <row r="3840" spans="1:4" x14ac:dyDescent="0.2">
      <c r="A3840" s="10" t="s">
        <v>3839</v>
      </c>
      <c r="B3840" s="12">
        <v>14.09</v>
      </c>
      <c r="C3840" s="11">
        <v>0</v>
      </c>
      <c r="D3840" s="11">
        <v>0.90088550218707442</v>
      </c>
    </row>
    <row r="3841" spans="1:4" x14ac:dyDescent="0.2">
      <c r="A3841" s="10" t="s">
        <v>3840</v>
      </c>
      <c r="B3841" s="12">
        <v>13.58</v>
      </c>
      <c r="C3841" s="11">
        <v>0</v>
      </c>
      <c r="D3841" s="11">
        <v>1.4057773770391708</v>
      </c>
    </row>
    <row r="3842" spans="1:4" x14ac:dyDescent="0.2">
      <c r="A3842" s="10" t="s">
        <v>3841</v>
      </c>
      <c r="B3842" s="12">
        <v>15.45</v>
      </c>
      <c r="C3842" s="11">
        <v>0.44549283075184998</v>
      </c>
      <c r="D3842" s="11">
        <v>0</v>
      </c>
    </row>
    <row r="3843" spans="1:4" x14ac:dyDescent="0.2">
      <c r="A3843" s="10" t="s">
        <v>3842</v>
      </c>
      <c r="B3843" s="12">
        <v>16.38</v>
      </c>
      <c r="C3843" s="11">
        <v>1.366178014305673</v>
      </c>
      <c r="D3843" s="11">
        <v>0</v>
      </c>
    </row>
    <row r="3844" spans="1:4" x14ac:dyDescent="0.2">
      <c r="A3844" s="10" t="s">
        <v>3843</v>
      </c>
      <c r="B3844" s="12">
        <v>15.92</v>
      </c>
      <c r="C3844" s="11">
        <v>0.91078534287044888</v>
      </c>
      <c r="D3844" s="11">
        <v>0</v>
      </c>
    </row>
    <row r="3845" spans="1:4" x14ac:dyDescent="0.2">
      <c r="A3845" s="10" t="s">
        <v>3844</v>
      </c>
      <c r="B3845" s="12">
        <v>13.42</v>
      </c>
      <c r="C3845" s="11">
        <v>0</v>
      </c>
      <c r="D3845" s="11">
        <v>1.5641748279731622</v>
      </c>
    </row>
    <row r="3846" spans="1:4" x14ac:dyDescent="0.2">
      <c r="A3846" s="10" t="s">
        <v>3845</v>
      </c>
      <c r="B3846" s="12">
        <v>13.84</v>
      </c>
      <c r="C3846" s="11">
        <v>0</v>
      </c>
      <c r="D3846" s="11">
        <v>1.1483815192714353</v>
      </c>
    </row>
    <row r="3847" spans="1:4" x14ac:dyDescent="0.2">
      <c r="A3847" s="10" t="s">
        <v>3846</v>
      </c>
      <c r="B3847" s="12">
        <v>12.64</v>
      </c>
      <c r="C3847" s="11">
        <v>0</v>
      </c>
      <c r="D3847" s="11">
        <v>2.3363624012763684</v>
      </c>
    </row>
    <row r="3848" spans="1:4" x14ac:dyDescent="0.2">
      <c r="A3848" s="10" t="s">
        <v>3847</v>
      </c>
      <c r="B3848" s="12">
        <v>14</v>
      </c>
      <c r="C3848" s="11">
        <v>0</v>
      </c>
      <c r="D3848" s="11">
        <v>0.98998406833744435</v>
      </c>
    </row>
    <row r="3849" spans="1:4" x14ac:dyDescent="0.2">
      <c r="A3849" s="10" t="s">
        <v>3848</v>
      </c>
      <c r="B3849" s="12">
        <v>15.2</v>
      </c>
      <c r="C3849" s="11">
        <v>0.19799681366748889</v>
      </c>
      <c r="D3849" s="11">
        <v>0</v>
      </c>
    </row>
    <row r="3850" spans="1:4" x14ac:dyDescent="0.2">
      <c r="A3850" s="10" t="s">
        <v>3849</v>
      </c>
      <c r="B3850" s="12">
        <v>13.37</v>
      </c>
      <c r="C3850" s="11">
        <v>0</v>
      </c>
      <c r="D3850" s="11">
        <v>1.6136740313900342</v>
      </c>
    </row>
    <row r="3851" spans="1:4" x14ac:dyDescent="0.2">
      <c r="A3851" s="10" t="s">
        <v>3850</v>
      </c>
      <c r="B3851" s="12">
        <v>13.01</v>
      </c>
      <c r="C3851" s="11">
        <v>0</v>
      </c>
      <c r="D3851" s="11">
        <v>1.9700682959915143</v>
      </c>
    </row>
    <row r="3852" spans="1:4" x14ac:dyDescent="0.2">
      <c r="A3852" s="10" t="s">
        <v>3851</v>
      </c>
      <c r="B3852" s="12">
        <v>12.85</v>
      </c>
      <c r="C3852" s="11">
        <v>0</v>
      </c>
      <c r="D3852" s="11">
        <v>2.1284657469255053</v>
      </c>
    </row>
    <row r="3853" spans="1:4" x14ac:dyDescent="0.2">
      <c r="A3853" s="10" t="s">
        <v>3852</v>
      </c>
      <c r="B3853" s="12">
        <v>11.95</v>
      </c>
      <c r="C3853" s="11">
        <v>0</v>
      </c>
      <c r="D3853" s="11">
        <v>3.0194514084292052</v>
      </c>
    </row>
    <row r="3854" spans="1:4" x14ac:dyDescent="0.2">
      <c r="A3854" s="10" t="s">
        <v>3853</v>
      </c>
      <c r="B3854" s="12">
        <v>14.43</v>
      </c>
      <c r="C3854" s="11">
        <v>0</v>
      </c>
      <c r="D3854" s="11">
        <v>0.56429091895234318</v>
      </c>
    </row>
    <row r="3855" spans="1:4" x14ac:dyDescent="0.2">
      <c r="A3855" s="10" t="s">
        <v>3854</v>
      </c>
      <c r="B3855" s="12">
        <v>14.2</v>
      </c>
      <c r="C3855" s="11">
        <v>0</v>
      </c>
      <c r="D3855" s="11">
        <v>0.79198725466995556</v>
      </c>
    </row>
    <row r="3856" spans="1:4" x14ac:dyDescent="0.2">
      <c r="A3856" s="10" t="s">
        <v>3855</v>
      </c>
      <c r="B3856" s="12">
        <v>12.52</v>
      </c>
      <c r="C3856" s="11">
        <v>0</v>
      </c>
      <c r="D3856" s="11">
        <v>2.4551604894768619</v>
      </c>
    </row>
    <row r="3857" spans="1:4" x14ac:dyDescent="0.2">
      <c r="A3857" s="10" t="s">
        <v>3856</v>
      </c>
      <c r="B3857" s="12">
        <v>14.33</v>
      </c>
      <c r="C3857" s="11">
        <v>0</v>
      </c>
      <c r="D3857" s="11">
        <v>0.66328932578608779</v>
      </c>
    </row>
    <row r="3858" spans="1:4" x14ac:dyDescent="0.2">
      <c r="A3858" s="10" t="s">
        <v>3857</v>
      </c>
      <c r="B3858" s="12">
        <v>13.9</v>
      </c>
      <c r="C3858" s="11">
        <v>0</v>
      </c>
      <c r="D3858" s="11">
        <v>1.088982475171189</v>
      </c>
    </row>
    <row r="3859" spans="1:4" x14ac:dyDescent="0.2">
      <c r="A3859" s="10" t="s">
        <v>3858</v>
      </c>
      <c r="B3859" s="12">
        <v>14.14</v>
      </c>
      <c r="C3859" s="11">
        <v>0</v>
      </c>
      <c r="D3859" s="11">
        <v>0.85138629877020211</v>
      </c>
    </row>
    <row r="3860" spans="1:4" x14ac:dyDescent="0.2">
      <c r="A3860" s="10" t="s">
        <v>3859</v>
      </c>
      <c r="B3860" s="12">
        <v>14.63</v>
      </c>
      <c r="C3860" s="11">
        <v>0</v>
      </c>
      <c r="D3860" s="11">
        <v>0.3662941052848544</v>
      </c>
    </row>
    <row r="3861" spans="1:4" x14ac:dyDescent="0.2">
      <c r="A3861" s="10" t="s">
        <v>3860</v>
      </c>
      <c r="B3861" s="12">
        <v>14.12</v>
      </c>
      <c r="C3861" s="11">
        <v>0</v>
      </c>
      <c r="D3861" s="11">
        <v>0.87118598013695103</v>
      </c>
    </row>
    <row r="3862" spans="1:4" x14ac:dyDescent="0.2">
      <c r="A3862" s="10" t="s">
        <v>3861</v>
      </c>
      <c r="B3862" s="12">
        <v>14.17</v>
      </c>
      <c r="C3862" s="11">
        <v>0</v>
      </c>
      <c r="D3862" s="11">
        <v>0.82168677672007873</v>
      </c>
    </row>
    <row r="3863" spans="1:4" x14ac:dyDescent="0.2">
      <c r="A3863" s="10" t="s">
        <v>3862</v>
      </c>
      <c r="B3863" s="12">
        <v>14.01</v>
      </c>
      <c r="C3863" s="11">
        <v>0</v>
      </c>
      <c r="D3863" s="11">
        <v>0.98008422765406988</v>
      </c>
    </row>
    <row r="3864" spans="1:4" x14ac:dyDescent="0.2">
      <c r="A3864" s="10" t="s">
        <v>3863</v>
      </c>
      <c r="B3864" s="12">
        <v>13.39</v>
      </c>
      <c r="C3864" s="11">
        <v>0</v>
      </c>
      <c r="D3864" s="11">
        <v>1.5938743500232855</v>
      </c>
    </row>
    <row r="3865" spans="1:4" x14ac:dyDescent="0.2">
      <c r="A3865" s="10" t="s">
        <v>3864</v>
      </c>
      <c r="B3865" s="12">
        <v>13.09</v>
      </c>
      <c r="C3865" s="11">
        <v>0</v>
      </c>
      <c r="D3865" s="11">
        <v>1.8908695705245187</v>
      </c>
    </row>
    <row r="3866" spans="1:4" x14ac:dyDescent="0.2">
      <c r="A3866" s="10" t="s">
        <v>3865</v>
      </c>
      <c r="B3866" s="12">
        <v>14.45</v>
      </c>
      <c r="C3866" s="11">
        <v>0</v>
      </c>
      <c r="D3866" s="11">
        <v>0.54449123758559448</v>
      </c>
    </row>
    <row r="3867" spans="1:4" x14ac:dyDescent="0.2">
      <c r="A3867" s="10" t="s">
        <v>3866</v>
      </c>
      <c r="B3867" s="12">
        <v>13.17</v>
      </c>
      <c r="C3867" s="11">
        <v>0</v>
      </c>
      <c r="D3867" s="11">
        <v>1.8116708450575232</v>
      </c>
    </row>
    <row r="3868" spans="1:4" x14ac:dyDescent="0.2">
      <c r="A3868" s="10" t="s">
        <v>3867</v>
      </c>
      <c r="B3868" s="12">
        <v>13</v>
      </c>
      <c r="C3868" s="11">
        <v>0</v>
      </c>
      <c r="D3868" s="11">
        <v>1.9799681366748887</v>
      </c>
    </row>
    <row r="3869" spans="1:4" x14ac:dyDescent="0.2">
      <c r="A3869" s="10" t="s">
        <v>3868</v>
      </c>
      <c r="B3869" s="12">
        <v>14.96</v>
      </c>
      <c r="C3869" s="11">
        <v>0</v>
      </c>
      <c r="D3869" s="11">
        <v>3.9599362733497775E-2</v>
      </c>
    </row>
    <row r="3870" spans="1:4" x14ac:dyDescent="0.2">
      <c r="A3870" s="10" t="s">
        <v>3869</v>
      </c>
      <c r="B3870" s="12">
        <v>14.14</v>
      </c>
      <c r="C3870" s="11">
        <v>0</v>
      </c>
      <c r="D3870" s="11">
        <v>0.85138629877020211</v>
      </c>
    </row>
    <row r="3871" spans="1:4" x14ac:dyDescent="0.2">
      <c r="A3871" s="10" t="s">
        <v>3870</v>
      </c>
      <c r="B3871" s="12">
        <v>14.07</v>
      </c>
      <c r="C3871" s="11">
        <v>0</v>
      </c>
      <c r="D3871" s="11">
        <v>0.92068518355382334</v>
      </c>
    </row>
    <row r="3872" spans="1:4" x14ac:dyDescent="0.2">
      <c r="A3872" s="10" t="s">
        <v>3871</v>
      </c>
      <c r="B3872" s="12">
        <v>14.3</v>
      </c>
      <c r="C3872" s="11">
        <v>0</v>
      </c>
      <c r="D3872" s="11">
        <v>0.69298884783621095</v>
      </c>
    </row>
    <row r="3873" spans="1:4" x14ac:dyDescent="0.2">
      <c r="A3873" s="10" t="s">
        <v>3872</v>
      </c>
      <c r="B3873" s="12">
        <v>12.02</v>
      </c>
      <c r="C3873" s="11">
        <v>0</v>
      </c>
      <c r="D3873" s="11">
        <v>2.9501525236455843</v>
      </c>
    </row>
    <row r="3874" spans="1:4" x14ac:dyDescent="0.2">
      <c r="A3874" s="10" t="s">
        <v>3873</v>
      </c>
      <c r="B3874" s="12">
        <v>14.78</v>
      </c>
      <c r="C3874" s="11">
        <v>0</v>
      </c>
      <c r="D3874" s="11">
        <v>0.21779649503423776</v>
      </c>
    </row>
    <row r="3875" spans="1:4" x14ac:dyDescent="0.2">
      <c r="A3875" s="10" t="s">
        <v>3874</v>
      </c>
      <c r="B3875" s="12">
        <v>13.75</v>
      </c>
      <c r="C3875" s="11">
        <v>0</v>
      </c>
      <c r="D3875" s="11">
        <v>1.2374800854218053</v>
      </c>
    </row>
    <row r="3876" spans="1:4" x14ac:dyDescent="0.2">
      <c r="A3876" s="10" t="s">
        <v>3875</v>
      </c>
      <c r="B3876" s="12">
        <v>15.92</v>
      </c>
      <c r="C3876" s="11">
        <v>0.91078534287044888</v>
      </c>
      <c r="D3876" s="11">
        <v>0</v>
      </c>
    </row>
    <row r="3877" spans="1:4" x14ac:dyDescent="0.2">
      <c r="A3877" s="10" t="s">
        <v>3876</v>
      </c>
      <c r="B3877" s="12">
        <v>13.04</v>
      </c>
      <c r="C3877" s="11">
        <v>0</v>
      </c>
      <c r="D3877" s="11">
        <v>1.9403687739413908</v>
      </c>
    </row>
    <row r="3878" spans="1:4" x14ac:dyDescent="0.2">
      <c r="A3878" s="10" t="s">
        <v>3877</v>
      </c>
      <c r="B3878" s="12">
        <v>14.65</v>
      </c>
      <c r="C3878" s="11">
        <v>0</v>
      </c>
      <c r="D3878" s="11">
        <v>0.34649442391810548</v>
      </c>
    </row>
    <row r="3879" spans="1:4" x14ac:dyDescent="0.2">
      <c r="A3879" s="10" t="s">
        <v>3878</v>
      </c>
      <c r="B3879" s="12">
        <v>15.43</v>
      </c>
      <c r="C3879" s="11">
        <v>0.42569314938510106</v>
      </c>
      <c r="D3879" s="11">
        <v>0</v>
      </c>
    </row>
    <row r="3880" spans="1:4" x14ac:dyDescent="0.2">
      <c r="A3880" s="10" t="s">
        <v>3879</v>
      </c>
      <c r="B3880" s="12">
        <v>15.58</v>
      </c>
      <c r="C3880" s="11">
        <v>0.57419075963571764</v>
      </c>
      <c r="D3880" s="11">
        <v>0</v>
      </c>
    </row>
    <row r="3881" spans="1:4" x14ac:dyDescent="0.2">
      <c r="A3881" s="10" t="s">
        <v>3880</v>
      </c>
      <c r="B3881" s="12">
        <v>13.22</v>
      </c>
      <c r="C3881" s="11">
        <v>0</v>
      </c>
      <c r="D3881" s="11">
        <v>1.762171641640651</v>
      </c>
    </row>
    <row r="3882" spans="1:4" x14ac:dyDescent="0.2">
      <c r="A3882" s="10" t="s">
        <v>3881</v>
      </c>
      <c r="B3882" s="12">
        <v>15.08</v>
      </c>
      <c r="C3882" s="11">
        <v>7.9198725466995551E-2</v>
      </c>
      <c r="D3882" s="11">
        <v>0</v>
      </c>
    </row>
    <row r="3883" spans="1:4" x14ac:dyDescent="0.2">
      <c r="A3883" s="10" t="s">
        <v>3882</v>
      </c>
      <c r="B3883" s="12">
        <v>13.48</v>
      </c>
      <c r="C3883" s="11">
        <v>0</v>
      </c>
      <c r="D3883" s="11">
        <v>1.5047757838729154</v>
      </c>
    </row>
    <row r="3884" spans="1:4" x14ac:dyDescent="0.2">
      <c r="A3884" s="10" t="s">
        <v>3883</v>
      </c>
      <c r="B3884" s="12">
        <v>12.47</v>
      </c>
      <c r="C3884" s="11">
        <v>0</v>
      </c>
      <c r="D3884" s="11">
        <v>2.5046596928937341</v>
      </c>
    </row>
    <row r="3885" spans="1:4" x14ac:dyDescent="0.2">
      <c r="A3885" s="10" t="s">
        <v>3884</v>
      </c>
      <c r="B3885" s="12">
        <v>12.19</v>
      </c>
      <c r="C3885" s="11">
        <v>0</v>
      </c>
      <c r="D3885" s="11">
        <v>2.7818552320282186</v>
      </c>
    </row>
    <row r="3886" spans="1:4" x14ac:dyDescent="0.2">
      <c r="A3886" s="10" t="s">
        <v>3885</v>
      </c>
      <c r="B3886" s="12">
        <v>17.29</v>
      </c>
      <c r="C3886" s="11">
        <v>2.2670635164927475</v>
      </c>
      <c r="D3886" s="11">
        <v>0</v>
      </c>
    </row>
    <row r="3887" spans="1:4" x14ac:dyDescent="0.2">
      <c r="A3887" s="10" t="s">
        <v>3886</v>
      </c>
      <c r="B3887" s="12">
        <v>13.33</v>
      </c>
      <c r="C3887" s="11">
        <v>0</v>
      </c>
      <c r="D3887" s="11">
        <v>1.653273394123532</v>
      </c>
    </row>
    <row r="3888" spans="1:4" x14ac:dyDescent="0.2">
      <c r="A3888" s="10" t="s">
        <v>3887</v>
      </c>
      <c r="B3888" s="12">
        <v>14.75</v>
      </c>
      <c r="C3888" s="11">
        <v>0</v>
      </c>
      <c r="D3888" s="11">
        <v>0.24749601708436109</v>
      </c>
    </row>
    <row r="3889" spans="1:4" x14ac:dyDescent="0.2">
      <c r="A3889" s="10" t="s">
        <v>3888</v>
      </c>
      <c r="B3889" s="12">
        <v>12.32</v>
      </c>
      <c r="C3889" s="11">
        <v>0</v>
      </c>
      <c r="D3889" s="11">
        <v>2.6531573031443512</v>
      </c>
    </row>
    <row r="3890" spans="1:4" x14ac:dyDescent="0.2">
      <c r="A3890" s="10" t="s">
        <v>3889</v>
      </c>
      <c r="B3890" s="12">
        <v>13.76</v>
      </c>
      <c r="C3890" s="11">
        <v>0</v>
      </c>
      <c r="D3890" s="11">
        <v>1.227580244738431</v>
      </c>
    </row>
    <row r="3891" spans="1:4" x14ac:dyDescent="0.2">
      <c r="A3891" s="10" t="s">
        <v>3890</v>
      </c>
      <c r="B3891" s="12">
        <v>14.76</v>
      </c>
      <c r="C3891" s="11">
        <v>0</v>
      </c>
      <c r="D3891" s="11">
        <v>0.23759617640098663</v>
      </c>
    </row>
    <row r="3892" spans="1:4" x14ac:dyDescent="0.2">
      <c r="A3892" s="10" t="s">
        <v>3891</v>
      </c>
      <c r="B3892" s="12">
        <v>14.5</v>
      </c>
      <c r="C3892" s="11">
        <v>0</v>
      </c>
      <c r="D3892" s="11">
        <v>0.49499203416872217</v>
      </c>
    </row>
    <row r="3893" spans="1:4" x14ac:dyDescent="0.2">
      <c r="A3893" s="10" t="s">
        <v>3892</v>
      </c>
      <c r="B3893" s="12">
        <v>14.97</v>
      </c>
      <c r="C3893" s="11">
        <v>0</v>
      </c>
      <c r="D3893" s="11">
        <v>2.9699522050123328E-2</v>
      </c>
    </row>
    <row r="3894" spans="1:4" x14ac:dyDescent="0.2">
      <c r="A3894" s="10" t="s">
        <v>3893</v>
      </c>
      <c r="B3894" s="12">
        <v>14.97</v>
      </c>
      <c r="C3894" s="11">
        <v>0</v>
      </c>
      <c r="D3894" s="11">
        <v>2.9699522050123328E-2</v>
      </c>
    </row>
    <row r="3895" spans="1:4" x14ac:dyDescent="0.2">
      <c r="A3895" s="10" t="s">
        <v>3894</v>
      </c>
      <c r="B3895" s="12">
        <v>13.53</v>
      </c>
      <c r="C3895" s="11">
        <v>0</v>
      </c>
      <c r="D3895" s="11">
        <v>1.4552765804560432</v>
      </c>
    </row>
    <row r="3896" spans="1:4" x14ac:dyDescent="0.2">
      <c r="A3896" s="10" t="s">
        <v>3895</v>
      </c>
      <c r="B3896" s="12">
        <v>12.38</v>
      </c>
      <c r="C3896" s="11">
        <v>0</v>
      </c>
      <c r="D3896" s="11">
        <v>2.5937582590441042</v>
      </c>
    </row>
    <row r="3897" spans="1:4" x14ac:dyDescent="0.2">
      <c r="A3897" s="10" t="s">
        <v>3896</v>
      </c>
      <c r="B3897" s="12">
        <v>14.35</v>
      </c>
      <c r="C3897" s="11">
        <v>0</v>
      </c>
      <c r="D3897" s="11">
        <v>0.64348964441933887</v>
      </c>
    </row>
    <row r="3898" spans="1:4" x14ac:dyDescent="0.2">
      <c r="A3898" s="10" t="s">
        <v>3897</v>
      </c>
      <c r="B3898" s="12">
        <v>14.32</v>
      </c>
      <c r="C3898" s="11">
        <v>0</v>
      </c>
      <c r="D3898" s="11">
        <v>0.67318916646946225</v>
      </c>
    </row>
    <row r="3899" spans="1:4" x14ac:dyDescent="0.2">
      <c r="A3899" s="10" t="s">
        <v>3898</v>
      </c>
      <c r="B3899" s="12">
        <v>14.93</v>
      </c>
      <c r="C3899" s="11">
        <v>0</v>
      </c>
      <c r="D3899" s="11">
        <v>6.9298884783621117E-2</v>
      </c>
    </row>
    <row r="3900" spans="1:4" x14ac:dyDescent="0.2">
      <c r="A3900" s="10" t="s">
        <v>3899</v>
      </c>
      <c r="B3900" s="12">
        <v>14.61</v>
      </c>
      <c r="C3900" s="11">
        <v>0</v>
      </c>
      <c r="D3900" s="11">
        <v>0.38609378665160332</v>
      </c>
    </row>
    <row r="3901" spans="1:4" x14ac:dyDescent="0.2">
      <c r="A3901" s="10" t="s">
        <v>3900</v>
      </c>
      <c r="B3901" s="12">
        <v>12.06</v>
      </c>
      <c r="C3901" s="11">
        <v>0</v>
      </c>
      <c r="D3901" s="11">
        <v>2.9105531609120865</v>
      </c>
    </row>
    <row r="3902" spans="1:4" x14ac:dyDescent="0.2">
      <c r="A3902" s="10" t="s">
        <v>3901</v>
      </c>
      <c r="B3902" s="12">
        <v>13.06</v>
      </c>
      <c r="C3902" s="11">
        <v>0</v>
      </c>
      <c r="D3902" s="11">
        <v>1.9205690925746419</v>
      </c>
    </row>
    <row r="3903" spans="1:4" x14ac:dyDescent="0.2">
      <c r="A3903" s="10" t="s">
        <v>3902</v>
      </c>
      <c r="B3903" s="12">
        <v>13.2</v>
      </c>
      <c r="C3903" s="11">
        <v>0</v>
      </c>
      <c r="D3903" s="11">
        <v>1.7819713230073999</v>
      </c>
    </row>
    <row r="3904" spans="1:4" x14ac:dyDescent="0.2">
      <c r="A3904" s="10" t="s">
        <v>3903</v>
      </c>
      <c r="B3904" s="12">
        <v>16.02</v>
      </c>
      <c r="C3904" s="11">
        <v>1.0097837497041933</v>
      </c>
      <c r="D3904" s="11">
        <v>0</v>
      </c>
    </row>
    <row r="3905" spans="1:4" x14ac:dyDescent="0.2">
      <c r="A3905" s="10" t="s">
        <v>3904</v>
      </c>
      <c r="B3905" s="12">
        <v>13.01</v>
      </c>
      <c r="C3905" s="11">
        <v>0</v>
      </c>
      <c r="D3905" s="11">
        <v>1.9700682959915143</v>
      </c>
    </row>
    <row r="3906" spans="1:4" x14ac:dyDescent="0.2">
      <c r="A3906" s="10" t="s">
        <v>3905</v>
      </c>
      <c r="B3906" s="12">
        <v>14.04</v>
      </c>
      <c r="C3906" s="11">
        <v>0</v>
      </c>
      <c r="D3906" s="11">
        <v>0.9503847056039465</v>
      </c>
    </row>
    <row r="3907" spans="1:4" x14ac:dyDescent="0.2">
      <c r="A3907" s="10" t="s">
        <v>3906</v>
      </c>
      <c r="B3907" s="12">
        <v>14.03</v>
      </c>
      <c r="C3907" s="11">
        <v>0</v>
      </c>
      <c r="D3907" s="11">
        <v>0.96028454628732096</v>
      </c>
    </row>
    <row r="3908" spans="1:4" x14ac:dyDescent="0.2">
      <c r="A3908" s="10" t="s">
        <v>3907</v>
      </c>
      <c r="B3908" s="12">
        <v>14.1</v>
      </c>
      <c r="C3908" s="11">
        <v>0</v>
      </c>
      <c r="D3908" s="11">
        <v>0.89098566150369995</v>
      </c>
    </row>
    <row r="3909" spans="1:4" x14ac:dyDescent="0.2">
      <c r="A3909" s="10" t="s">
        <v>3908</v>
      </c>
      <c r="B3909" s="12">
        <v>14.63</v>
      </c>
      <c r="C3909" s="11">
        <v>0</v>
      </c>
      <c r="D3909" s="11">
        <v>0.3662941052848544</v>
      </c>
    </row>
    <row r="3910" spans="1:4" x14ac:dyDescent="0.2">
      <c r="A3910" s="10" t="s">
        <v>3909</v>
      </c>
      <c r="B3910" s="12">
        <v>13.68</v>
      </c>
      <c r="C3910" s="11">
        <v>0</v>
      </c>
      <c r="D3910" s="11">
        <v>1.3067789702054267</v>
      </c>
    </row>
    <row r="3911" spans="1:4" x14ac:dyDescent="0.2">
      <c r="A3911" s="10" t="s">
        <v>3910</v>
      </c>
      <c r="B3911" s="12">
        <v>12.57</v>
      </c>
      <c r="C3911" s="11">
        <v>0</v>
      </c>
      <c r="D3911" s="11">
        <v>2.4056612860599897</v>
      </c>
    </row>
    <row r="3912" spans="1:4" x14ac:dyDescent="0.2">
      <c r="A3912" s="10" t="s">
        <v>3911</v>
      </c>
      <c r="B3912" s="12">
        <v>15.55</v>
      </c>
      <c r="C3912" s="11">
        <v>0.54449123758559448</v>
      </c>
      <c r="D3912" s="11">
        <v>0</v>
      </c>
    </row>
    <row r="3913" spans="1:4" x14ac:dyDescent="0.2">
      <c r="A3913" s="10" t="s">
        <v>3912</v>
      </c>
      <c r="B3913" s="12">
        <v>13.15</v>
      </c>
      <c r="C3913" s="11">
        <v>0</v>
      </c>
      <c r="D3913" s="11">
        <v>1.8314705264242721</v>
      </c>
    </row>
    <row r="3914" spans="1:4" x14ac:dyDescent="0.2">
      <c r="A3914" s="10" t="s">
        <v>3913</v>
      </c>
      <c r="B3914" s="12">
        <v>14.06</v>
      </c>
      <c r="C3914" s="11">
        <v>0</v>
      </c>
      <c r="D3914" s="11">
        <v>0.93058502423719758</v>
      </c>
    </row>
    <row r="3915" spans="1:4" x14ac:dyDescent="0.2">
      <c r="A3915" s="10" t="s">
        <v>3914</v>
      </c>
      <c r="B3915" s="12">
        <v>14.49</v>
      </c>
      <c r="C3915" s="11">
        <v>0</v>
      </c>
      <c r="D3915" s="11">
        <v>0.50489187485209663</v>
      </c>
    </row>
    <row r="3916" spans="1:4" x14ac:dyDescent="0.2">
      <c r="A3916" s="10" t="s">
        <v>3915</v>
      </c>
      <c r="B3916" s="12">
        <v>13.24</v>
      </c>
      <c r="C3916" s="11">
        <v>0</v>
      </c>
      <c r="D3916" s="11">
        <v>1.7423719602739021</v>
      </c>
    </row>
    <row r="3917" spans="1:4" x14ac:dyDescent="0.2">
      <c r="A3917" s="10" t="s">
        <v>3916</v>
      </c>
      <c r="B3917" s="12">
        <v>14.08</v>
      </c>
      <c r="C3917" s="11">
        <v>0</v>
      </c>
      <c r="D3917" s="11">
        <v>0.91078534287044888</v>
      </c>
    </row>
    <row r="3918" spans="1:4" x14ac:dyDescent="0.2">
      <c r="A3918" s="10" t="s">
        <v>3917</v>
      </c>
      <c r="B3918" s="12">
        <v>13.65</v>
      </c>
      <c r="C3918" s="11">
        <v>0</v>
      </c>
      <c r="D3918" s="11">
        <v>1.3364784922555499</v>
      </c>
    </row>
    <row r="3919" spans="1:4" x14ac:dyDescent="0.2">
      <c r="A3919" s="10" t="s">
        <v>3918</v>
      </c>
      <c r="B3919" s="12">
        <v>13.14</v>
      </c>
      <c r="C3919" s="11">
        <v>0</v>
      </c>
      <c r="D3919" s="11">
        <v>1.8413703671076467</v>
      </c>
    </row>
    <row r="3920" spans="1:4" x14ac:dyDescent="0.2">
      <c r="A3920" s="10" t="s">
        <v>3919</v>
      </c>
      <c r="B3920" s="12">
        <v>14.98</v>
      </c>
      <c r="C3920" s="11">
        <v>0</v>
      </c>
      <c r="D3920" s="11">
        <v>1.9799681366748888E-2</v>
      </c>
    </row>
    <row r="3921" spans="1:4" x14ac:dyDescent="0.2">
      <c r="A3921" s="10" t="s">
        <v>3920</v>
      </c>
      <c r="B3921" s="12">
        <v>13.78</v>
      </c>
      <c r="C3921" s="11">
        <v>0</v>
      </c>
      <c r="D3921" s="11">
        <v>1.207780563371682</v>
      </c>
    </row>
    <row r="3922" spans="1:4" x14ac:dyDescent="0.2">
      <c r="A3922" s="10" t="s">
        <v>3921</v>
      </c>
      <c r="B3922" s="12">
        <v>13.7</v>
      </c>
      <c r="C3922" s="11">
        <v>0</v>
      </c>
      <c r="D3922" s="11">
        <v>1.2869792888386777</v>
      </c>
    </row>
    <row r="3923" spans="1:4" x14ac:dyDescent="0.2">
      <c r="A3923" s="10" t="s">
        <v>3922</v>
      </c>
      <c r="B3923" s="12">
        <v>14.28</v>
      </c>
      <c r="C3923" s="11">
        <v>0</v>
      </c>
      <c r="D3923" s="11">
        <v>0.71278852920295988</v>
      </c>
    </row>
    <row r="3924" spans="1:4" x14ac:dyDescent="0.2">
      <c r="A3924" s="10" t="s">
        <v>3923</v>
      </c>
      <c r="B3924" s="12">
        <v>14.26</v>
      </c>
      <c r="C3924" s="11">
        <v>0</v>
      </c>
      <c r="D3924" s="11">
        <v>0.7325882105697088</v>
      </c>
    </row>
    <row r="3925" spans="1:4" x14ac:dyDescent="0.2">
      <c r="A3925" s="10" t="s">
        <v>3924</v>
      </c>
      <c r="B3925" s="12">
        <v>12.77</v>
      </c>
      <c r="C3925" s="11">
        <v>0</v>
      </c>
      <c r="D3925" s="11">
        <v>2.207664472392501</v>
      </c>
    </row>
    <row r="3926" spans="1:4" x14ac:dyDescent="0.2">
      <c r="A3926" s="10" t="s">
        <v>3925</v>
      </c>
      <c r="B3926" s="12">
        <v>13.12</v>
      </c>
      <c r="C3926" s="11">
        <v>0</v>
      </c>
      <c r="D3926" s="11">
        <v>1.8611700484743952</v>
      </c>
    </row>
    <row r="3927" spans="1:4" x14ac:dyDescent="0.2">
      <c r="A3927" s="10" t="s">
        <v>3926</v>
      </c>
      <c r="B3927" s="12">
        <v>14.35</v>
      </c>
      <c r="C3927" s="11">
        <v>0</v>
      </c>
      <c r="D3927" s="11">
        <v>0.64348964441933887</v>
      </c>
    </row>
    <row r="3928" spans="1:4" x14ac:dyDescent="0.2">
      <c r="A3928" s="10" t="s">
        <v>3927</v>
      </c>
      <c r="B3928" s="12">
        <v>15.11</v>
      </c>
      <c r="C3928" s="11">
        <v>0.10889824751711888</v>
      </c>
      <c r="D3928" s="11">
        <v>0</v>
      </c>
    </row>
    <row r="3929" spans="1:4" x14ac:dyDescent="0.2">
      <c r="A3929" s="10" t="s">
        <v>3928</v>
      </c>
      <c r="B3929" s="12">
        <v>13.89</v>
      </c>
      <c r="C3929" s="11">
        <v>0</v>
      </c>
      <c r="D3929" s="11">
        <v>1.0988823158545633</v>
      </c>
    </row>
    <row r="3930" spans="1:4" x14ac:dyDescent="0.2">
      <c r="A3930" s="10" t="s">
        <v>3929</v>
      </c>
      <c r="B3930" s="12">
        <v>14.35</v>
      </c>
      <c r="C3930" s="11">
        <v>0</v>
      </c>
      <c r="D3930" s="11">
        <v>0.64348964441933887</v>
      </c>
    </row>
    <row r="3931" spans="1:4" x14ac:dyDescent="0.2">
      <c r="A3931" s="10" t="s">
        <v>3930</v>
      </c>
      <c r="B3931" s="12">
        <v>14.97</v>
      </c>
      <c r="C3931" s="11">
        <v>0</v>
      </c>
      <c r="D3931" s="11">
        <v>2.9699522050123328E-2</v>
      </c>
    </row>
    <row r="3932" spans="1:4" x14ac:dyDescent="0.2">
      <c r="A3932" s="10" t="s">
        <v>3931</v>
      </c>
      <c r="B3932" s="12">
        <v>15.54</v>
      </c>
      <c r="C3932" s="11">
        <v>0.53459139690222002</v>
      </c>
      <c r="D3932" s="11">
        <v>0</v>
      </c>
    </row>
    <row r="3933" spans="1:4" x14ac:dyDescent="0.2">
      <c r="A3933" s="10" t="s">
        <v>3932</v>
      </c>
      <c r="B3933" s="12">
        <v>16.149999999999999</v>
      </c>
      <c r="C3933" s="11">
        <v>1.1384816785880609</v>
      </c>
      <c r="D3933" s="11">
        <v>0</v>
      </c>
    </row>
    <row r="3934" spans="1:4" x14ac:dyDescent="0.2">
      <c r="A3934" s="10" t="s">
        <v>3933</v>
      </c>
      <c r="B3934" s="12">
        <v>14.68</v>
      </c>
      <c r="C3934" s="11">
        <v>0</v>
      </c>
      <c r="D3934" s="11">
        <v>0.3167949018679822</v>
      </c>
    </row>
    <row r="3935" spans="1:4" x14ac:dyDescent="0.2">
      <c r="A3935" s="10" t="s">
        <v>3934</v>
      </c>
      <c r="B3935" s="12">
        <v>12.44</v>
      </c>
      <c r="C3935" s="11">
        <v>0</v>
      </c>
      <c r="D3935" s="11">
        <v>2.5343592149438576</v>
      </c>
    </row>
    <row r="3936" spans="1:4" x14ac:dyDescent="0.2">
      <c r="A3936" s="10" t="s">
        <v>3935</v>
      </c>
      <c r="B3936" s="12">
        <v>13.66</v>
      </c>
      <c r="C3936" s="11">
        <v>0</v>
      </c>
      <c r="D3936" s="11">
        <v>1.3265786515721756</v>
      </c>
    </row>
    <row r="3937" spans="1:4" x14ac:dyDescent="0.2">
      <c r="A3937" s="10" t="s">
        <v>3936</v>
      </c>
      <c r="B3937" s="12">
        <v>14.03</v>
      </c>
      <c r="C3937" s="11">
        <v>0</v>
      </c>
      <c r="D3937" s="11">
        <v>0.96028454628732096</v>
      </c>
    </row>
    <row r="3938" spans="1:4" x14ac:dyDescent="0.2">
      <c r="A3938" s="10" t="s">
        <v>3937</v>
      </c>
      <c r="B3938" s="12">
        <v>13.56</v>
      </c>
      <c r="C3938" s="11">
        <v>0</v>
      </c>
      <c r="D3938" s="11">
        <v>1.4255770584059198</v>
      </c>
    </row>
    <row r="3939" spans="1:4" x14ac:dyDescent="0.2">
      <c r="A3939" s="10" t="s">
        <v>3938</v>
      </c>
      <c r="B3939" s="12">
        <v>14.17</v>
      </c>
      <c r="C3939" s="11">
        <v>0</v>
      </c>
      <c r="D3939" s="11">
        <v>0.82168677672007873</v>
      </c>
    </row>
    <row r="3940" spans="1:4" x14ac:dyDescent="0.2">
      <c r="A3940" s="10" t="s">
        <v>3939</v>
      </c>
      <c r="B3940" s="12">
        <v>14.72</v>
      </c>
      <c r="C3940" s="11">
        <v>0</v>
      </c>
      <c r="D3940" s="11">
        <v>0.27719553913448447</v>
      </c>
    </row>
    <row r="3941" spans="1:4" x14ac:dyDescent="0.2">
      <c r="A3941" s="10" t="s">
        <v>3940</v>
      </c>
      <c r="B3941" s="12">
        <v>14.99</v>
      </c>
      <c r="C3941" s="11">
        <v>0</v>
      </c>
      <c r="D3941" s="11">
        <v>9.8998406833744439E-3</v>
      </c>
    </row>
    <row r="3942" spans="1:4" x14ac:dyDescent="0.2">
      <c r="A3942" s="10" t="s">
        <v>3941</v>
      </c>
      <c r="B3942" s="12">
        <v>13.28</v>
      </c>
      <c r="C3942" s="11">
        <v>0</v>
      </c>
      <c r="D3942" s="11">
        <v>1.7027725975404042</v>
      </c>
    </row>
    <row r="3943" spans="1:4" x14ac:dyDescent="0.2">
      <c r="A3943" s="10" t="s">
        <v>3942</v>
      </c>
      <c r="B3943" s="12">
        <v>13.86</v>
      </c>
      <c r="C3943" s="11">
        <v>0</v>
      </c>
      <c r="D3943" s="11">
        <v>1.1285818379046864</v>
      </c>
    </row>
    <row r="3944" spans="1:4" x14ac:dyDescent="0.2">
      <c r="A3944" s="10" t="s">
        <v>3943</v>
      </c>
      <c r="B3944" s="12">
        <v>14.73</v>
      </c>
      <c r="C3944" s="11">
        <v>0</v>
      </c>
      <c r="D3944" s="11">
        <v>0.26729569845111001</v>
      </c>
    </row>
    <row r="3945" spans="1:4" x14ac:dyDescent="0.2">
      <c r="A3945" s="10" t="s">
        <v>3944</v>
      </c>
      <c r="B3945" s="12">
        <v>14.19</v>
      </c>
      <c r="C3945" s="11">
        <v>0</v>
      </c>
      <c r="D3945" s="11">
        <v>0.80188709535333003</v>
      </c>
    </row>
    <row r="3946" spans="1:4" x14ac:dyDescent="0.2">
      <c r="A3946" s="10" t="s">
        <v>3945</v>
      </c>
      <c r="B3946" s="12">
        <v>14.68</v>
      </c>
      <c r="C3946" s="11">
        <v>0</v>
      </c>
      <c r="D3946" s="11">
        <v>0.3167949018679822</v>
      </c>
    </row>
    <row r="3947" spans="1:4" x14ac:dyDescent="0.2">
      <c r="A3947" s="10" t="s">
        <v>3946</v>
      </c>
      <c r="B3947" s="12">
        <v>14.06</v>
      </c>
      <c r="C3947" s="11">
        <v>0</v>
      </c>
      <c r="D3947" s="11">
        <v>0.93058502423719758</v>
      </c>
    </row>
    <row r="3948" spans="1:4" x14ac:dyDescent="0.2">
      <c r="A3948" s="10" t="s">
        <v>3947</v>
      </c>
      <c r="B3948" s="12">
        <v>13.57</v>
      </c>
      <c r="C3948" s="11">
        <v>0</v>
      </c>
      <c r="D3948" s="11">
        <v>1.4156772177225454</v>
      </c>
    </row>
    <row r="3949" spans="1:4" x14ac:dyDescent="0.2">
      <c r="A3949" s="10" t="s">
        <v>3948</v>
      </c>
      <c r="B3949" s="12">
        <v>12.32</v>
      </c>
      <c r="C3949" s="11">
        <v>0</v>
      </c>
      <c r="D3949" s="11">
        <v>2.6531573031443512</v>
      </c>
    </row>
    <row r="3950" spans="1:4" x14ac:dyDescent="0.2">
      <c r="A3950" s="10" t="s">
        <v>3949</v>
      </c>
      <c r="B3950" s="12">
        <v>15.07</v>
      </c>
      <c r="C3950" s="11">
        <v>6.9298884783621117E-2</v>
      </c>
      <c r="D3950" s="11">
        <v>0</v>
      </c>
    </row>
    <row r="3951" spans="1:4" x14ac:dyDescent="0.2">
      <c r="A3951" s="10" t="s">
        <v>3950</v>
      </c>
      <c r="B3951" s="12">
        <v>14.07</v>
      </c>
      <c r="C3951" s="11">
        <v>0</v>
      </c>
      <c r="D3951" s="11">
        <v>0.92068518355382334</v>
      </c>
    </row>
    <row r="3952" spans="1:4" x14ac:dyDescent="0.2">
      <c r="A3952" s="10" t="s">
        <v>3951</v>
      </c>
      <c r="B3952" s="12">
        <v>14.46</v>
      </c>
      <c r="C3952" s="11">
        <v>0</v>
      </c>
      <c r="D3952" s="11">
        <v>0.53459139690222002</v>
      </c>
    </row>
    <row r="3953" spans="1:4" x14ac:dyDescent="0.2">
      <c r="A3953" s="10" t="s">
        <v>3952</v>
      </c>
      <c r="B3953" s="12">
        <v>13.87</v>
      </c>
      <c r="C3953" s="11">
        <v>0</v>
      </c>
      <c r="D3953" s="11">
        <v>1.118681997221312</v>
      </c>
    </row>
    <row r="3954" spans="1:4" x14ac:dyDescent="0.2">
      <c r="A3954" s="10" t="s">
        <v>3953</v>
      </c>
      <c r="B3954" s="12">
        <v>14.42</v>
      </c>
      <c r="C3954" s="11">
        <v>0</v>
      </c>
      <c r="D3954" s="11">
        <v>0.57419075963571764</v>
      </c>
    </row>
    <row r="3955" spans="1:4" x14ac:dyDescent="0.2">
      <c r="A3955" s="10" t="s">
        <v>3954</v>
      </c>
      <c r="B3955" s="12">
        <v>14.84</v>
      </c>
      <c r="C3955" s="11">
        <v>0</v>
      </c>
      <c r="D3955" s="11">
        <v>0.1583974509339911</v>
      </c>
    </row>
    <row r="3956" spans="1:4" x14ac:dyDescent="0.2">
      <c r="A3956" s="10" t="s">
        <v>3955</v>
      </c>
      <c r="B3956" s="12">
        <v>13.2</v>
      </c>
      <c r="C3956" s="11">
        <v>0</v>
      </c>
      <c r="D3956" s="11">
        <v>1.7819713230073999</v>
      </c>
    </row>
    <row r="3957" spans="1:4" x14ac:dyDescent="0.2">
      <c r="A3957" s="10" t="s">
        <v>3956</v>
      </c>
      <c r="B3957" s="12">
        <v>14.03</v>
      </c>
      <c r="C3957" s="11">
        <v>0</v>
      </c>
      <c r="D3957" s="11">
        <v>0.96028454628732096</v>
      </c>
    </row>
    <row r="3958" spans="1:4" x14ac:dyDescent="0.2">
      <c r="A3958" s="10" t="s">
        <v>3957</v>
      </c>
      <c r="B3958" s="12">
        <v>15.05</v>
      </c>
      <c r="C3958" s="11">
        <v>4.9499203416872223E-2</v>
      </c>
      <c r="D3958" s="11">
        <v>0</v>
      </c>
    </row>
    <row r="3959" spans="1:4" x14ac:dyDescent="0.2">
      <c r="A3959" s="10" t="s">
        <v>3958</v>
      </c>
      <c r="B3959" s="12">
        <v>14.28</v>
      </c>
      <c r="C3959" s="11">
        <v>0</v>
      </c>
      <c r="D3959" s="11">
        <v>0.71278852920295988</v>
      </c>
    </row>
    <row r="3960" spans="1:4" x14ac:dyDescent="0.2">
      <c r="A3960" s="10" t="s">
        <v>3959</v>
      </c>
      <c r="B3960" s="12">
        <v>15.12</v>
      </c>
      <c r="C3960" s="11">
        <v>0.11879808820049331</v>
      </c>
      <c r="D3960" s="11">
        <v>0</v>
      </c>
    </row>
    <row r="3961" spans="1:4" x14ac:dyDescent="0.2">
      <c r="A3961" s="10" t="s">
        <v>3960</v>
      </c>
      <c r="B3961" s="12">
        <v>13.76</v>
      </c>
      <c r="C3961" s="11">
        <v>0</v>
      </c>
      <c r="D3961" s="11">
        <v>1.227580244738431</v>
      </c>
    </row>
    <row r="3962" spans="1:4" x14ac:dyDescent="0.2">
      <c r="A3962" s="10" t="s">
        <v>3961</v>
      </c>
      <c r="B3962" s="12">
        <v>16.14</v>
      </c>
      <c r="C3962" s="11">
        <v>1.1285818379046864</v>
      </c>
      <c r="D3962" s="11">
        <v>0</v>
      </c>
    </row>
    <row r="3963" spans="1:4" x14ac:dyDescent="0.2">
      <c r="A3963" s="10" t="s">
        <v>3962</v>
      </c>
      <c r="B3963" s="12">
        <v>15.99</v>
      </c>
      <c r="C3963" s="11">
        <v>0.98008422765406988</v>
      </c>
      <c r="D3963" s="11">
        <v>0</v>
      </c>
    </row>
    <row r="3964" spans="1:4" x14ac:dyDescent="0.2">
      <c r="A3964" s="10" t="s">
        <v>3963</v>
      </c>
      <c r="B3964" s="12">
        <v>13.98</v>
      </c>
      <c r="C3964" s="11">
        <v>0</v>
      </c>
      <c r="D3964" s="11">
        <v>1.0097837497041933</v>
      </c>
    </row>
    <row r="3965" spans="1:4" x14ac:dyDescent="0.2">
      <c r="A3965" s="10" t="s">
        <v>3964</v>
      </c>
      <c r="B3965" s="12">
        <v>13.46</v>
      </c>
      <c r="C3965" s="11">
        <v>0</v>
      </c>
      <c r="D3965" s="11">
        <v>1.5245754652396644</v>
      </c>
    </row>
    <row r="3966" spans="1:4" x14ac:dyDescent="0.2">
      <c r="A3966" s="10" t="s">
        <v>3965</v>
      </c>
      <c r="B3966" s="12">
        <v>16.329999999999998</v>
      </c>
      <c r="C3966" s="11">
        <v>1.316678810888801</v>
      </c>
      <c r="D3966" s="11">
        <v>0</v>
      </c>
    </row>
    <row r="3967" spans="1:4" x14ac:dyDescent="0.2">
      <c r="A3967" s="10" t="s">
        <v>3966</v>
      </c>
      <c r="B3967" s="12">
        <v>12.27</v>
      </c>
      <c r="C3967" s="11">
        <v>0</v>
      </c>
      <c r="D3967" s="11">
        <v>2.7026565065612229</v>
      </c>
    </row>
    <row r="3968" spans="1:4" x14ac:dyDescent="0.2">
      <c r="A3968" s="10" t="s">
        <v>3967</v>
      </c>
      <c r="B3968" s="12">
        <v>14.27</v>
      </c>
      <c r="C3968" s="11">
        <v>0</v>
      </c>
      <c r="D3968" s="11">
        <v>0.72268836988633434</v>
      </c>
    </row>
    <row r="3969" spans="1:4" x14ac:dyDescent="0.2">
      <c r="A3969" s="10" t="s">
        <v>3968</v>
      </c>
      <c r="B3969" s="12">
        <v>14.56</v>
      </c>
      <c r="C3969" s="11">
        <v>0</v>
      </c>
      <c r="D3969" s="11">
        <v>0.43559299006847552</v>
      </c>
    </row>
    <row r="3970" spans="1:4" x14ac:dyDescent="0.2">
      <c r="A3970" s="10" t="s">
        <v>3969</v>
      </c>
      <c r="B3970" s="12">
        <v>16.75</v>
      </c>
      <c r="C3970" s="11">
        <v>1.7324721195905277</v>
      </c>
      <c r="D3970" s="11">
        <v>0</v>
      </c>
    </row>
    <row r="3971" spans="1:4" x14ac:dyDescent="0.2">
      <c r="A3971" s="10" t="s">
        <v>3970</v>
      </c>
      <c r="B3971" s="12">
        <v>15.93</v>
      </c>
      <c r="C3971" s="11">
        <v>0.92068518355382334</v>
      </c>
      <c r="D3971" s="11">
        <v>0</v>
      </c>
    </row>
    <row r="3972" spans="1:4" x14ac:dyDescent="0.2">
      <c r="A3972" s="10" t="s">
        <v>3971</v>
      </c>
      <c r="B3972" s="12">
        <v>13.58</v>
      </c>
      <c r="C3972" s="11">
        <v>0</v>
      </c>
      <c r="D3972" s="11">
        <v>1.4057773770391708</v>
      </c>
    </row>
    <row r="3973" spans="1:4" x14ac:dyDescent="0.2">
      <c r="A3973" s="10" t="s">
        <v>3972</v>
      </c>
      <c r="B3973" s="12">
        <v>13.74</v>
      </c>
      <c r="C3973" s="11">
        <v>0</v>
      </c>
      <c r="D3973" s="11">
        <v>1.2473799261051799</v>
      </c>
    </row>
    <row r="3974" spans="1:4" x14ac:dyDescent="0.2">
      <c r="A3974" s="10" t="s">
        <v>3973</v>
      </c>
      <c r="B3974" s="12">
        <v>13.43</v>
      </c>
      <c r="C3974" s="11">
        <v>0</v>
      </c>
      <c r="D3974" s="11">
        <v>1.5542749872897876</v>
      </c>
    </row>
    <row r="3975" spans="1:4" x14ac:dyDescent="0.2">
      <c r="A3975" s="10" t="s">
        <v>3974</v>
      </c>
      <c r="B3975" s="12">
        <v>15.95</v>
      </c>
      <c r="C3975" s="11">
        <v>0.94048486492057204</v>
      </c>
      <c r="D3975" s="11">
        <v>0</v>
      </c>
    </row>
    <row r="3976" spans="1:4" x14ac:dyDescent="0.2">
      <c r="A3976" s="10" t="s">
        <v>3975</v>
      </c>
      <c r="B3976" s="12">
        <v>15.36</v>
      </c>
      <c r="C3976" s="11">
        <v>0.35639426460147994</v>
      </c>
      <c r="D3976" s="11">
        <v>0</v>
      </c>
    </row>
    <row r="3977" spans="1:4" x14ac:dyDescent="0.2">
      <c r="A3977" s="10" t="s">
        <v>3976</v>
      </c>
      <c r="B3977" s="12">
        <v>13.23</v>
      </c>
      <c r="C3977" s="11">
        <v>0</v>
      </c>
      <c r="D3977" s="11">
        <v>1.7522718009572764</v>
      </c>
    </row>
    <row r="3978" spans="1:4" x14ac:dyDescent="0.2">
      <c r="A3978" s="10" t="s">
        <v>3977</v>
      </c>
      <c r="B3978" s="12">
        <v>13.73</v>
      </c>
      <c r="C3978" s="11">
        <v>0</v>
      </c>
      <c r="D3978" s="11">
        <v>1.2572797667885542</v>
      </c>
    </row>
    <row r="3979" spans="1:4" x14ac:dyDescent="0.2">
      <c r="A3979" s="10" t="s">
        <v>3978</v>
      </c>
      <c r="B3979" s="12">
        <v>14.08</v>
      </c>
      <c r="C3979" s="11">
        <v>0</v>
      </c>
      <c r="D3979" s="11">
        <v>0.91078534287044888</v>
      </c>
    </row>
    <row r="3980" spans="1:4" x14ac:dyDescent="0.2">
      <c r="A3980" s="10" t="s">
        <v>3979</v>
      </c>
      <c r="B3980" s="12">
        <v>13.45</v>
      </c>
      <c r="C3980" s="11">
        <v>0</v>
      </c>
      <c r="D3980" s="11">
        <v>1.5344753059230387</v>
      </c>
    </row>
    <row r="3981" spans="1:4" x14ac:dyDescent="0.2">
      <c r="A3981" s="10" t="s">
        <v>3980</v>
      </c>
      <c r="B3981" s="12">
        <v>12.1</v>
      </c>
      <c r="C3981" s="11">
        <v>0</v>
      </c>
      <c r="D3981" s="11">
        <v>2.8709537981785886</v>
      </c>
    </row>
    <row r="3982" spans="1:4" x14ac:dyDescent="0.2">
      <c r="A3982" s="10" t="s">
        <v>3981</v>
      </c>
      <c r="B3982" s="12">
        <v>11.89</v>
      </c>
      <c r="C3982" s="11">
        <v>0</v>
      </c>
      <c r="D3982" s="11">
        <v>3.0788504525294518</v>
      </c>
    </row>
    <row r="3983" spans="1:4" x14ac:dyDescent="0.2">
      <c r="A3983" s="10" t="s">
        <v>3982</v>
      </c>
      <c r="B3983" s="12">
        <v>14.48</v>
      </c>
      <c r="C3983" s="11">
        <v>0</v>
      </c>
      <c r="D3983" s="11">
        <v>0.51479171553547109</v>
      </c>
    </row>
    <row r="3984" spans="1:4" x14ac:dyDescent="0.2">
      <c r="A3984" s="10" t="s">
        <v>3983</v>
      </c>
      <c r="B3984" s="12">
        <v>13.6</v>
      </c>
      <c r="C3984" s="11">
        <v>0</v>
      </c>
      <c r="D3984" s="11">
        <v>1.3859776956724219</v>
      </c>
    </row>
    <row r="3985" spans="1:4" x14ac:dyDescent="0.2">
      <c r="A3985" s="10" t="s">
        <v>3984</v>
      </c>
      <c r="B3985" s="12">
        <v>13.07</v>
      </c>
      <c r="C3985" s="11">
        <v>0</v>
      </c>
      <c r="D3985" s="11">
        <v>1.9106692518912676</v>
      </c>
    </row>
    <row r="3986" spans="1:4" x14ac:dyDescent="0.2">
      <c r="A3986" s="10" t="s">
        <v>3985</v>
      </c>
      <c r="B3986" s="12">
        <v>14.77</v>
      </c>
      <c r="C3986" s="11">
        <v>0</v>
      </c>
      <c r="D3986" s="11">
        <v>0.22769633571761222</v>
      </c>
    </row>
    <row r="3987" spans="1:4" x14ac:dyDescent="0.2">
      <c r="A3987" s="10" t="s">
        <v>3986</v>
      </c>
      <c r="B3987" s="12">
        <v>14.9</v>
      </c>
      <c r="C3987" s="11">
        <v>0</v>
      </c>
      <c r="D3987" s="11">
        <v>9.8998406833744446E-2</v>
      </c>
    </row>
    <row r="3988" spans="1:4" x14ac:dyDescent="0.2">
      <c r="A3988" s="10" t="s">
        <v>3987</v>
      </c>
      <c r="B3988" s="12">
        <v>13.12</v>
      </c>
      <c r="C3988" s="11">
        <v>0</v>
      </c>
      <c r="D3988" s="11">
        <v>1.8611700484743952</v>
      </c>
    </row>
    <row r="3989" spans="1:4" x14ac:dyDescent="0.2">
      <c r="A3989" s="10" t="s">
        <v>3988</v>
      </c>
      <c r="B3989" s="12">
        <v>13.55</v>
      </c>
      <c r="C3989" s="11">
        <v>0</v>
      </c>
      <c r="D3989" s="11">
        <v>1.4354768990892943</v>
      </c>
    </row>
    <row r="3990" spans="1:4" x14ac:dyDescent="0.2">
      <c r="A3990" s="10" t="s">
        <v>3989</v>
      </c>
      <c r="B3990" s="12">
        <v>14.9</v>
      </c>
      <c r="C3990" s="11">
        <v>0</v>
      </c>
      <c r="D3990" s="11">
        <v>9.8998406833744446E-2</v>
      </c>
    </row>
    <row r="3991" spans="1:4" x14ac:dyDescent="0.2">
      <c r="A3991" s="10" t="s">
        <v>3990</v>
      </c>
      <c r="B3991" s="12">
        <v>14.24</v>
      </c>
      <c r="C3991" s="11">
        <v>0</v>
      </c>
      <c r="D3991" s="11">
        <v>0.75238789193645772</v>
      </c>
    </row>
    <row r="3992" spans="1:4" x14ac:dyDescent="0.2">
      <c r="A3992" s="10" t="s">
        <v>3991</v>
      </c>
      <c r="B3992" s="12">
        <v>13.12</v>
      </c>
      <c r="C3992" s="11">
        <v>0</v>
      </c>
      <c r="D3992" s="11">
        <v>1.8611700484743952</v>
      </c>
    </row>
    <row r="3993" spans="1:4" x14ac:dyDescent="0.2">
      <c r="A3993" s="10" t="s">
        <v>3992</v>
      </c>
      <c r="B3993" s="12">
        <v>12.66</v>
      </c>
      <c r="C3993" s="11">
        <v>0</v>
      </c>
      <c r="D3993" s="11">
        <v>2.3165627199096197</v>
      </c>
    </row>
    <row r="3994" spans="1:4" x14ac:dyDescent="0.2">
      <c r="A3994" s="10" t="s">
        <v>3993</v>
      </c>
      <c r="B3994" s="12">
        <v>14.15</v>
      </c>
      <c r="C3994" s="11">
        <v>0</v>
      </c>
      <c r="D3994" s="11">
        <v>0.84148645808682765</v>
      </c>
    </row>
    <row r="3995" spans="1:4" x14ac:dyDescent="0.2">
      <c r="A3995" s="10" t="s">
        <v>3994</v>
      </c>
      <c r="B3995" s="12">
        <v>13.65</v>
      </c>
      <c r="C3995" s="11">
        <v>0</v>
      </c>
      <c r="D3995" s="11">
        <v>1.3364784922555499</v>
      </c>
    </row>
    <row r="3996" spans="1:4" x14ac:dyDescent="0.2">
      <c r="A3996" s="10" t="s">
        <v>3995</v>
      </c>
      <c r="B3996" s="12">
        <v>15.33</v>
      </c>
      <c r="C3996" s="11">
        <v>0.32669474255135666</v>
      </c>
      <c r="D3996" s="11">
        <v>0</v>
      </c>
    </row>
    <row r="3997" spans="1:4" x14ac:dyDescent="0.2">
      <c r="A3997" s="10" t="s">
        <v>3996</v>
      </c>
      <c r="B3997" s="12">
        <v>12.39</v>
      </c>
      <c r="C3997" s="11">
        <v>0</v>
      </c>
      <c r="D3997" s="11">
        <v>2.5838584183607298</v>
      </c>
    </row>
    <row r="3998" spans="1:4" x14ac:dyDescent="0.2">
      <c r="A3998" s="10" t="s">
        <v>3997</v>
      </c>
      <c r="B3998" s="12">
        <v>14.45</v>
      </c>
      <c r="C3998" s="11">
        <v>0</v>
      </c>
      <c r="D3998" s="11">
        <v>0.54449123758559448</v>
      </c>
    </row>
    <row r="3999" spans="1:4" x14ac:dyDescent="0.2">
      <c r="A3999" s="10" t="s">
        <v>3998</v>
      </c>
      <c r="B3999" s="12">
        <v>15.32</v>
      </c>
      <c r="C3999" s="11">
        <v>0.3167949018679822</v>
      </c>
      <c r="D3999" s="11">
        <v>0</v>
      </c>
    </row>
    <row r="4000" spans="1:4" x14ac:dyDescent="0.2">
      <c r="A4000" s="10" t="s">
        <v>3999</v>
      </c>
      <c r="B4000" s="12">
        <v>15.66</v>
      </c>
      <c r="C4000" s="11">
        <v>0.65338948510271333</v>
      </c>
      <c r="D4000" s="11">
        <v>0</v>
      </c>
    </row>
    <row r="4001" spans="1:4" x14ac:dyDescent="0.2">
      <c r="A4001" s="10" t="s">
        <v>4000</v>
      </c>
      <c r="B4001" s="12">
        <v>13.22</v>
      </c>
      <c r="C4001" s="11">
        <v>0</v>
      </c>
      <c r="D4001" s="11">
        <v>1.762171641640651</v>
      </c>
    </row>
    <row r="4002" spans="1:4" x14ac:dyDescent="0.2">
      <c r="A4002" s="10" t="s">
        <v>4001</v>
      </c>
      <c r="B4002" s="12">
        <v>13.59</v>
      </c>
      <c r="C4002" s="11">
        <v>0</v>
      </c>
      <c r="D4002" s="11">
        <v>1.3958775363557965</v>
      </c>
    </row>
    <row r="4003" spans="1:4" x14ac:dyDescent="0.2">
      <c r="A4003" s="10" t="s">
        <v>4002</v>
      </c>
      <c r="B4003" s="12">
        <v>14.29</v>
      </c>
      <c r="C4003" s="11">
        <v>0</v>
      </c>
      <c r="D4003" s="11">
        <v>0.70288868851958541</v>
      </c>
    </row>
    <row r="4004" spans="1:4" x14ac:dyDescent="0.2">
      <c r="A4004" s="10" t="s">
        <v>4003</v>
      </c>
      <c r="B4004" s="12">
        <v>14.28</v>
      </c>
      <c r="C4004" s="11">
        <v>0</v>
      </c>
      <c r="D4004" s="11">
        <v>0.71278852920295988</v>
      </c>
    </row>
    <row r="4005" spans="1:4" x14ac:dyDescent="0.2">
      <c r="A4005" s="10" t="s">
        <v>4004</v>
      </c>
      <c r="B4005" s="12">
        <v>13.5</v>
      </c>
      <c r="C4005" s="11">
        <v>0</v>
      </c>
      <c r="D4005" s="11">
        <v>1.4849761025061665</v>
      </c>
    </row>
    <row r="4006" spans="1:4" x14ac:dyDescent="0.2">
      <c r="A4006" s="10" t="s">
        <v>4005</v>
      </c>
      <c r="B4006" s="12">
        <v>13.72</v>
      </c>
      <c r="C4006" s="11">
        <v>0</v>
      </c>
      <c r="D4006" s="11">
        <v>1.2671796074719288</v>
      </c>
    </row>
    <row r="4007" spans="1:4" x14ac:dyDescent="0.2">
      <c r="A4007" s="10" t="s">
        <v>4006</v>
      </c>
      <c r="B4007" s="12">
        <v>14.43</v>
      </c>
      <c r="C4007" s="11">
        <v>0</v>
      </c>
      <c r="D4007" s="11">
        <v>0.56429091895234318</v>
      </c>
    </row>
    <row r="4008" spans="1:4" x14ac:dyDescent="0.2">
      <c r="A4008" s="10" t="s">
        <v>4007</v>
      </c>
      <c r="B4008" s="12">
        <v>14.59</v>
      </c>
      <c r="C4008" s="11">
        <v>0</v>
      </c>
      <c r="D4008" s="11">
        <v>0.40589346801835213</v>
      </c>
    </row>
    <row r="4009" spans="1:4" x14ac:dyDescent="0.2">
      <c r="A4009" s="10" t="s">
        <v>4008</v>
      </c>
      <c r="B4009" s="12">
        <v>16.96</v>
      </c>
      <c r="C4009" s="11">
        <v>1.9403687739413908</v>
      </c>
      <c r="D4009" s="11">
        <v>0</v>
      </c>
    </row>
    <row r="4010" spans="1:4" x14ac:dyDescent="0.2">
      <c r="A4010" s="10" t="s">
        <v>4009</v>
      </c>
      <c r="B4010" s="12">
        <v>13.67</v>
      </c>
      <c r="C4010" s="11">
        <v>0</v>
      </c>
      <c r="D4010" s="11">
        <v>1.316678810888801</v>
      </c>
    </row>
    <row r="4011" spans="1:4" x14ac:dyDescent="0.2">
      <c r="A4011" s="10" t="s">
        <v>4010</v>
      </c>
      <c r="B4011" s="12">
        <v>11.95</v>
      </c>
      <c r="C4011" s="11">
        <v>0</v>
      </c>
      <c r="D4011" s="11">
        <v>3.0194514084292052</v>
      </c>
    </row>
    <row r="4012" spans="1:4" x14ac:dyDescent="0.2">
      <c r="A4012" s="10" t="s">
        <v>4011</v>
      </c>
      <c r="B4012" s="12">
        <v>16.91</v>
      </c>
      <c r="C4012" s="11">
        <v>1.8908695705245187</v>
      </c>
      <c r="D4012" s="11">
        <v>0</v>
      </c>
    </row>
    <row r="4013" spans="1:4" x14ac:dyDescent="0.2">
      <c r="A4013" s="10" t="s">
        <v>4012</v>
      </c>
      <c r="B4013" s="12">
        <v>15.55</v>
      </c>
      <c r="C4013" s="11">
        <v>0.54449123758559448</v>
      </c>
      <c r="D4013" s="11">
        <v>0</v>
      </c>
    </row>
    <row r="4014" spans="1:4" x14ac:dyDescent="0.2">
      <c r="A4014" s="10" t="s">
        <v>4013</v>
      </c>
      <c r="B4014" s="12">
        <v>13.65</v>
      </c>
      <c r="C4014" s="11">
        <v>0</v>
      </c>
      <c r="D4014" s="11">
        <v>1.3364784922555499</v>
      </c>
    </row>
    <row r="4015" spans="1:4" x14ac:dyDescent="0.2">
      <c r="A4015" s="10" t="s">
        <v>4014</v>
      </c>
      <c r="B4015" s="12">
        <v>14.13</v>
      </c>
      <c r="C4015" s="11">
        <v>0</v>
      </c>
      <c r="D4015" s="11">
        <v>0.86128613945357657</v>
      </c>
    </row>
    <row r="4016" spans="1:4" x14ac:dyDescent="0.2">
      <c r="A4016" s="10" t="s">
        <v>4015</v>
      </c>
      <c r="B4016" s="12">
        <v>13.92</v>
      </c>
      <c r="C4016" s="11">
        <v>0</v>
      </c>
      <c r="D4016" s="11">
        <v>1.06918279380444</v>
      </c>
    </row>
    <row r="4017" spans="1:4" x14ac:dyDescent="0.2">
      <c r="A4017" s="10" t="s">
        <v>4016</v>
      </c>
      <c r="B4017" s="12">
        <v>14.35</v>
      </c>
      <c r="C4017" s="11">
        <v>0</v>
      </c>
      <c r="D4017" s="11">
        <v>0.64348964441933887</v>
      </c>
    </row>
    <row r="4018" spans="1:4" x14ac:dyDescent="0.2">
      <c r="A4018" s="10" t="s">
        <v>4017</v>
      </c>
      <c r="B4018" s="12">
        <v>15.99</v>
      </c>
      <c r="C4018" s="11">
        <v>0.98008422765406988</v>
      </c>
      <c r="D4018" s="11">
        <v>0</v>
      </c>
    </row>
    <row r="4019" spans="1:4" x14ac:dyDescent="0.2">
      <c r="A4019" s="10" t="s">
        <v>4018</v>
      </c>
      <c r="B4019" s="12">
        <v>14.2</v>
      </c>
      <c r="C4019" s="11">
        <v>0</v>
      </c>
      <c r="D4019" s="11">
        <v>0.79198725466995556</v>
      </c>
    </row>
    <row r="4020" spans="1:4" x14ac:dyDescent="0.2">
      <c r="A4020" s="10" t="s">
        <v>4019</v>
      </c>
      <c r="B4020" s="12">
        <v>12.18</v>
      </c>
      <c r="C4020" s="11">
        <v>0</v>
      </c>
      <c r="D4020" s="11">
        <v>2.791755072711593</v>
      </c>
    </row>
    <row r="4021" spans="1:4" x14ac:dyDescent="0.2">
      <c r="A4021" s="10" t="s">
        <v>4020</v>
      </c>
      <c r="B4021" s="12">
        <v>12.83</v>
      </c>
      <c r="C4021" s="11">
        <v>0</v>
      </c>
      <c r="D4021" s="11">
        <v>2.148265428292254</v>
      </c>
    </row>
    <row r="4022" spans="1:4" x14ac:dyDescent="0.2">
      <c r="A4022" s="10" t="s">
        <v>4021</v>
      </c>
      <c r="B4022" s="12">
        <v>14.84</v>
      </c>
      <c r="C4022" s="11">
        <v>0</v>
      </c>
      <c r="D4022" s="11">
        <v>0.1583974509339911</v>
      </c>
    </row>
    <row r="4023" spans="1:4" x14ac:dyDescent="0.2">
      <c r="A4023" s="10" t="s">
        <v>4022</v>
      </c>
      <c r="B4023" s="12">
        <v>13.68</v>
      </c>
      <c r="C4023" s="11">
        <v>0</v>
      </c>
      <c r="D4023" s="11">
        <v>1.3067789702054267</v>
      </c>
    </row>
    <row r="4024" spans="1:4" x14ac:dyDescent="0.2">
      <c r="A4024" s="10" t="s">
        <v>4023</v>
      </c>
      <c r="B4024" s="12">
        <v>13.89</v>
      </c>
      <c r="C4024" s="11">
        <v>0</v>
      </c>
      <c r="D4024" s="11">
        <v>1.0988823158545633</v>
      </c>
    </row>
    <row r="4025" spans="1:4" x14ac:dyDescent="0.2">
      <c r="A4025" s="10" t="s">
        <v>4024</v>
      </c>
      <c r="B4025" s="12">
        <v>13.48</v>
      </c>
      <c r="C4025" s="11">
        <v>0</v>
      </c>
      <c r="D4025" s="11">
        <v>1.5047757838729154</v>
      </c>
    </row>
    <row r="4026" spans="1:4" x14ac:dyDescent="0.2">
      <c r="A4026" s="10" t="s">
        <v>4025</v>
      </c>
      <c r="B4026" s="12">
        <v>14.1</v>
      </c>
      <c r="C4026" s="11">
        <v>0</v>
      </c>
      <c r="D4026" s="11">
        <v>0.89098566150369995</v>
      </c>
    </row>
    <row r="4027" spans="1:4" x14ac:dyDescent="0.2">
      <c r="A4027" s="10" t="s">
        <v>4026</v>
      </c>
      <c r="B4027" s="12">
        <v>11.63</v>
      </c>
      <c r="C4027" s="11">
        <v>0</v>
      </c>
      <c r="D4027" s="11">
        <v>3.3362463102971875</v>
      </c>
    </row>
    <row r="4028" spans="1:4" x14ac:dyDescent="0.2">
      <c r="A4028" s="10" t="s">
        <v>4027</v>
      </c>
      <c r="B4028" s="12">
        <v>14.8</v>
      </c>
      <c r="C4028" s="11">
        <v>0</v>
      </c>
      <c r="D4028" s="11">
        <v>0.19799681366748889</v>
      </c>
    </row>
    <row r="4029" spans="1:4" x14ac:dyDescent="0.2">
      <c r="A4029" s="10" t="s">
        <v>4028</v>
      </c>
      <c r="B4029" s="12">
        <v>13.73</v>
      </c>
      <c r="C4029" s="11">
        <v>0</v>
      </c>
      <c r="D4029" s="11">
        <v>1.2572797667885542</v>
      </c>
    </row>
    <row r="4030" spans="1:4" x14ac:dyDescent="0.2">
      <c r="A4030" s="10" t="s">
        <v>4029</v>
      </c>
      <c r="B4030" s="12">
        <v>14.47</v>
      </c>
      <c r="C4030" s="11">
        <v>0</v>
      </c>
      <c r="D4030" s="11">
        <v>0.52469155621884556</v>
      </c>
    </row>
    <row r="4031" spans="1:4" x14ac:dyDescent="0.2">
      <c r="A4031" s="10" t="s">
        <v>4030</v>
      </c>
      <c r="B4031" s="12">
        <v>13.94</v>
      </c>
      <c r="C4031" s="11">
        <v>0</v>
      </c>
      <c r="D4031" s="11">
        <v>1.0493831124376911</v>
      </c>
    </row>
    <row r="4032" spans="1:4" x14ac:dyDescent="0.2">
      <c r="A4032" s="10" t="s">
        <v>4031</v>
      </c>
      <c r="B4032" s="12">
        <v>15.07</v>
      </c>
      <c r="C4032" s="11">
        <v>6.9298884783621117E-2</v>
      </c>
      <c r="D4032" s="11">
        <v>0</v>
      </c>
    </row>
    <row r="4033" spans="1:4" x14ac:dyDescent="0.2">
      <c r="A4033" s="10" t="s">
        <v>4032</v>
      </c>
      <c r="B4033" s="12">
        <v>14.69</v>
      </c>
      <c r="C4033" s="11">
        <v>0</v>
      </c>
      <c r="D4033" s="11">
        <v>0.30689506118460774</v>
      </c>
    </row>
    <row r="4034" spans="1:4" x14ac:dyDescent="0.2">
      <c r="A4034" s="10" t="s">
        <v>4033</v>
      </c>
      <c r="B4034" s="12">
        <v>13.25</v>
      </c>
      <c r="C4034" s="11">
        <v>0</v>
      </c>
      <c r="D4034" s="11">
        <v>1.7324721195905277</v>
      </c>
    </row>
    <row r="4035" spans="1:4" x14ac:dyDescent="0.2">
      <c r="A4035" s="10" t="s">
        <v>4034</v>
      </c>
      <c r="B4035" s="12">
        <v>14.04</v>
      </c>
      <c r="C4035" s="11">
        <v>0</v>
      </c>
      <c r="D4035" s="11">
        <v>0.9503847056039465</v>
      </c>
    </row>
    <row r="4036" spans="1:4" x14ac:dyDescent="0.2">
      <c r="A4036" s="10" t="s">
        <v>4035</v>
      </c>
      <c r="B4036" s="12">
        <v>12.74</v>
      </c>
      <c r="C4036" s="11">
        <v>0</v>
      </c>
      <c r="D4036" s="11">
        <v>2.237363994442624</v>
      </c>
    </row>
    <row r="4037" spans="1:4" x14ac:dyDescent="0.2">
      <c r="A4037" s="10" t="s">
        <v>4036</v>
      </c>
      <c r="B4037" s="12">
        <v>14.85</v>
      </c>
      <c r="C4037" s="11">
        <v>0</v>
      </c>
      <c r="D4037" s="11">
        <v>0.14849761025061664</v>
      </c>
    </row>
    <row r="4038" spans="1:4" x14ac:dyDescent="0.2">
      <c r="A4038" s="10" t="s">
        <v>4037</v>
      </c>
      <c r="B4038" s="12">
        <v>16.04</v>
      </c>
      <c r="C4038" s="11">
        <v>1.0295834310709422</v>
      </c>
      <c r="D4038" s="11">
        <v>0</v>
      </c>
    </row>
    <row r="4039" spans="1:4" x14ac:dyDescent="0.2">
      <c r="A4039" s="10" t="s">
        <v>4038</v>
      </c>
      <c r="B4039" s="12">
        <v>14.24</v>
      </c>
      <c r="C4039" s="11">
        <v>0</v>
      </c>
      <c r="D4039" s="11">
        <v>0.75238789193645772</v>
      </c>
    </row>
    <row r="4040" spans="1:4" x14ac:dyDescent="0.2">
      <c r="A4040" s="10" t="s">
        <v>4039</v>
      </c>
      <c r="B4040" s="12">
        <v>15.52</v>
      </c>
      <c r="C4040" s="11">
        <v>0.51479171553547109</v>
      </c>
      <c r="D4040" s="11">
        <v>0</v>
      </c>
    </row>
    <row r="4041" spans="1:4" x14ac:dyDescent="0.2">
      <c r="A4041" s="10" t="s">
        <v>4040</v>
      </c>
      <c r="B4041" s="12">
        <v>14.36</v>
      </c>
      <c r="C4041" s="11">
        <v>0</v>
      </c>
      <c r="D4041" s="11">
        <v>0.63358980373596441</v>
      </c>
    </row>
    <row r="4042" spans="1:4" x14ac:dyDescent="0.2">
      <c r="A4042" s="10" t="s">
        <v>4041</v>
      </c>
      <c r="B4042" s="12">
        <v>12.89</v>
      </c>
      <c r="C4042" s="11">
        <v>0</v>
      </c>
      <c r="D4042" s="11">
        <v>2.0888663841920074</v>
      </c>
    </row>
    <row r="4043" spans="1:4" x14ac:dyDescent="0.2">
      <c r="A4043" s="10" t="s">
        <v>4042</v>
      </c>
      <c r="B4043" s="12">
        <v>13.25</v>
      </c>
      <c r="C4043" s="11">
        <v>0</v>
      </c>
      <c r="D4043" s="11">
        <v>1.7324721195905277</v>
      </c>
    </row>
    <row r="4044" spans="1:4" x14ac:dyDescent="0.2">
      <c r="A4044" s="10" t="s">
        <v>4043</v>
      </c>
      <c r="B4044" s="12">
        <v>14.43</v>
      </c>
      <c r="C4044" s="11">
        <v>0</v>
      </c>
      <c r="D4044" s="11">
        <v>0.56429091895234318</v>
      </c>
    </row>
    <row r="4045" spans="1:4" x14ac:dyDescent="0.2">
      <c r="A4045" s="10" t="s">
        <v>4044</v>
      </c>
      <c r="B4045" s="12">
        <v>13.62</v>
      </c>
      <c r="C4045" s="11">
        <v>0</v>
      </c>
      <c r="D4045" s="11">
        <v>1.366178014305673</v>
      </c>
    </row>
    <row r="4046" spans="1:4" x14ac:dyDescent="0.2">
      <c r="A4046" s="10" t="s">
        <v>4045</v>
      </c>
      <c r="B4046" s="12">
        <v>13.18</v>
      </c>
      <c r="C4046" s="11">
        <v>0</v>
      </c>
      <c r="D4046" s="11">
        <v>1.8017710043741488</v>
      </c>
    </row>
    <row r="4047" spans="1:4" x14ac:dyDescent="0.2">
      <c r="A4047" s="10" t="s">
        <v>4046</v>
      </c>
      <c r="B4047" s="12">
        <v>13.76</v>
      </c>
      <c r="C4047" s="11">
        <v>0</v>
      </c>
      <c r="D4047" s="11">
        <v>1.227580244738431</v>
      </c>
    </row>
    <row r="4048" spans="1:4" x14ac:dyDescent="0.2">
      <c r="A4048" s="10" t="s">
        <v>4047</v>
      </c>
      <c r="B4048" s="12">
        <v>14.55</v>
      </c>
      <c r="C4048" s="11">
        <v>0</v>
      </c>
      <c r="D4048" s="11">
        <v>0.44549283075184998</v>
      </c>
    </row>
    <row r="4049" spans="1:4" x14ac:dyDescent="0.2">
      <c r="A4049" s="10" t="s">
        <v>4048</v>
      </c>
      <c r="B4049" s="12">
        <v>13.49</v>
      </c>
      <c r="C4049" s="11">
        <v>0</v>
      </c>
      <c r="D4049" s="11">
        <v>1.4948759431895409</v>
      </c>
    </row>
    <row r="4050" spans="1:4" x14ac:dyDescent="0.2">
      <c r="A4050" s="10" t="s">
        <v>4049</v>
      </c>
      <c r="B4050" s="12">
        <v>15.4</v>
      </c>
      <c r="C4050" s="11">
        <v>0.39599362733497778</v>
      </c>
      <c r="D4050" s="11">
        <v>0</v>
      </c>
    </row>
    <row r="4051" spans="1:4" x14ac:dyDescent="0.2">
      <c r="A4051" s="10" t="s">
        <v>4050</v>
      </c>
      <c r="B4051" s="12">
        <v>14.64</v>
      </c>
      <c r="C4051" s="11">
        <v>0</v>
      </c>
      <c r="D4051" s="11">
        <v>0.35639426460147994</v>
      </c>
    </row>
    <row r="4052" spans="1:4" x14ac:dyDescent="0.2">
      <c r="A4052" s="10" t="s">
        <v>4051</v>
      </c>
      <c r="B4052" s="12">
        <v>13.41</v>
      </c>
      <c r="C4052" s="11">
        <v>0</v>
      </c>
      <c r="D4052" s="11">
        <v>1.5740746686565366</v>
      </c>
    </row>
    <row r="4053" spans="1:4" x14ac:dyDescent="0.2">
      <c r="A4053" s="10" t="s">
        <v>4052</v>
      </c>
      <c r="B4053" s="12">
        <v>14.74</v>
      </c>
      <c r="C4053" s="11">
        <v>0</v>
      </c>
      <c r="D4053" s="11">
        <v>0.25739585776773555</v>
      </c>
    </row>
    <row r="4054" spans="1:4" x14ac:dyDescent="0.2">
      <c r="A4054" s="10" t="s">
        <v>4053</v>
      </c>
      <c r="B4054" s="12">
        <v>13.9</v>
      </c>
      <c r="C4054" s="11">
        <v>0</v>
      </c>
      <c r="D4054" s="11">
        <v>1.088982475171189</v>
      </c>
    </row>
    <row r="4055" spans="1:4" x14ac:dyDescent="0.2">
      <c r="A4055" s="10" t="s">
        <v>4054</v>
      </c>
      <c r="B4055" s="12">
        <v>12.61</v>
      </c>
      <c r="C4055" s="11">
        <v>0</v>
      </c>
      <c r="D4055" s="11">
        <v>2.3660619233264919</v>
      </c>
    </row>
    <row r="4056" spans="1:4" x14ac:dyDescent="0.2">
      <c r="A4056" s="10" t="s">
        <v>4055</v>
      </c>
      <c r="B4056" s="12">
        <v>17.579999999999998</v>
      </c>
      <c r="C4056" s="11">
        <v>2.5541588963106063</v>
      </c>
      <c r="D4056" s="11">
        <v>0</v>
      </c>
    </row>
    <row r="4057" spans="1:4" x14ac:dyDescent="0.2">
      <c r="A4057" s="10" t="s">
        <v>4056</v>
      </c>
      <c r="B4057" s="12">
        <v>13.17</v>
      </c>
      <c r="C4057" s="11">
        <v>0</v>
      </c>
      <c r="D4057" s="11">
        <v>1.8116708450575232</v>
      </c>
    </row>
    <row r="4058" spans="1:4" x14ac:dyDescent="0.2">
      <c r="A4058" s="10" t="s">
        <v>4057</v>
      </c>
      <c r="B4058" s="12">
        <v>17.41</v>
      </c>
      <c r="C4058" s="11">
        <v>2.385861604693241</v>
      </c>
      <c r="D4058" s="11">
        <v>0</v>
      </c>
    </row>
    <row r="4059" spans="1:4" x14ac:dyDescent="0.2">
      <c r="A4059" s="10" t="s">
        <v>4058</v>
      </c>
      <c r="B4059" s="12">
        <v>14.33</v>
      </c>
      <c r="C4059" s="11">
        <v>0</v>
      </c>
      <c r="D4059" s="11">
        <v>0.66328932578608779</v>
      </c>
    </row>
    <row r="4060" spans="1:4" x14ac:dyDescent="0.2">
      <c r="A4060" s="10" t="s">
        <v>4059</v>
      </c>
      <c r="B4060" s="12">
        <v>14.66</v>
      </c>
      <c r="C4060" s="11">
        <v>0</v>
      </c>
      <c r="D4060" s="11">
        <v>0.33659458323473113</v>
      </c>
    </row>
    <row r="4061" spans="1:4" x14ac:dyDescent="0.2">
      <c r="A4061" s="10" t="s">
        <v>4060</v>
      </c>
      <c r="B4061" s="12">
        <v>14.65</v>
      </c>
      <c r="C4061" s="11">
        <v>0</v>
      </c>
      <c r="D4061" s="11">
        <v>0.34649442391810548</v>
      </c>
    </row>
    <row r="4062" spans="1:4" x14ac:dyDescent="0.2">
      <c r="A4062" s="10" t="s">
        <v>4061</v>
      </c>
      <c r="B4062" s="12">
        <v>13.32</v>
      </c>
      <c r="C4062" s="11">
        <v>0</v>
      </c>
      <c r="D4062" s="11">
        <v>1.6631732348069064</v>
      </c>
    </row>
    <row r="4063" spans="1:4" x14ac:dyDescent="0.2">
      <c r="A4063" s="10" t="s">
        <v>4062</v>
      </c>
      <c r="B4063" s="12">
        <v>14.81</v>
      </c>
      <c r="C4063" s="11">
        <v>0</v>
      </c>
      <c r="D4063" s="11">
        <v>0.18809697298411443</v>
      </c>
    </row>
    <row r="4064" spans="1:4" x14ac:dyDescent="0.2">
      <c r="A4064" s="10" t="s">
        <v>4063</v>
      </c>
      <c r="B4064" s="12">
        <v>15.59</v>
      </c>
      <c r="C4064" s="11">
        <v>0.5840906003190921</v>
      </c>
      <c r="D4064" s="11">
        <v>0</v>
      </c>
    </row>
    <row r="4065" spans="1:4" x14ac:dyDescent="0.2">
      <c r="A4065" s="10" t="s">
        <v>4064</v>
      </c>
      <c r="B4065" s="12">
        <v>14.44</v>
      </c>
      <c r="C4065" s="11">
        <v>0</v>
      </c>
      <c r="D4065" s="11">
        <v>0.55439107826896894</v>
      </c>
    </row>
    <row r="4066" spans="1:4" x14ac:dyDescent="0.2">
      <c r="A4066" s="10" t="s">
        <v>4065</v>
      </c>
      <c r="B4066" s="12">
        <v>16.260000000000002</v>
      </c>
      <c r="C4066" s="11">
        <v>1.2473799261051799</v>
      </c>
      <c r="D4066" s="11">
        <v>0</v>
      </c>
    </row>
    <row r="4067" spans="1:4" x14ac:dyDescent="0.2">
      <c r="A4067" s="10" t="s">
        <v>4066</v>
      </c>
      <c r="B4067" s="12">
        <v>13.69</v>
      </c>
      <c r="C4067" s="11">
        <v>0</v>
      </c>
      <c r="D4067" s="11">
        <v>1.2968791295220521</v>
      </c>
    </row>
    <row r="4068" spans="1:4" x14ac:dyDescent="0.2">
      <c r="A4068" s="10" t="s">
        <v>4067</v>
      </c>
      <c r="B4068" s="12">
        <v>13.68</v>
      </c>
      <c r="C4068" s="11">
        <v>0</v>
      </c>
      <c r="D4068" s="11">
        <v>1.3067789702054267</v>
      </c>
    </row>
    <row r="4069" spans="1:4" x14ac:dyDescent="0.2">
      <c r="A4069" s="10" t="s">
        <v>4068</v>
      </c>
      <c r="B4069" s="12">
        <v>14.92</v>
      </c>
      <c r="C4069" s="11">
        <v>0</v>
      </c>
      <c r="D4069" s="11">
        <v>7.9198725466995551E-2</v>
      </c>
    </row>
    <row r="4070" spans="1:4" x14ac:dyDescent="0.2">
      <c r="A4070" s="10" t="s">
        <v>4069</v>
      </c>
      <c r="B4070" s="12">
        <v>13.97</v>
      </c>
      <c r="C4070" s="11">
        <v>0</v>
      </c>
      <c r="D4070" s="11">
        <v>1.0196835903875676</v>
      </c>
    </row>
    <row r="4071" spans="1:4" x14ac:dyDescent="0.2">
      <c r="A4071" s="10" t="s">
        <v>4070</v>
      </c>
      <c r="B4071" s="12">
        <v>13.53</v>
      </c>
      <c r="C4071" s="11">
        <v>0</v>
      </c>
      <c r="D4071" s="11">
        <v>1.4552765804560432</v>
      </c>
    </row>
    <row r="4072" spans="1:4" x14ac:dyDescent="0.2">
      <c r="A4072" s="10" t="s">
        <v>4071</v>
      </c>
      <c r="B4072" s="12">
        <v>15.61</v>
      </c>
      <c r="C4072" s="11">
        <v>0.60389028168584102</v>
      </c>
      <c r="D4072" s="11">
        <v>0</v>
      </c>
    </row>
    <row r="4073" spans="1:4" x14ac:dyDescent="0.2">
      <c r="A4073" s="10" t="s">
        <v>4072</v>
      </c>
      <c r="B4073" s="12">
        <v>12.78</v>
      </c>
      <c r="C4073" s="11">
        <v>0</v>
      </c>
      <c r="D4073" s="11">
        <v>2.1977646317091266</v>
      </c>
    </row>
    <row r="4074" spans="1:4" x14ac:dyDescent="0.2">
      <c r="A4074" s="10" t="s">
        <v>4073</v>
      </c>
      <c r="B4074" s="12">
        <v>14.32</v>
      </c>
      <c r="C4074" s="11">
        <v>0</v>
      </c>
      <c r="D4074" s="11">
        <v>0.67318916646946225</v>
      </c>
    </row>
    <row r="4075" spans="1:4" x14ac:dyDescent="0.2">
      <c r="A4075" s="10" t="s">
        <v>4074</v>
      </c>
      <c r="B4075" s="12">
        <v>12.84</v>
      </c>
      <c r="C4075" s="11">
        <v>0</v>
      </c>
      <c r="D4075" s="11">
        <v>2.1383655876088801</v>
      </c>
    </row>
    <row r="4076" spans="1:4" x14ac:dyDescent="0.2">
      <c r="A4076" s="10" t="s">
        <v>4075</v>
      </c>
      <c r="B4076" s="12">
        <v>12.32</v>
      </c>
      <c r="C4076" s="11">
        <v>0</v>
      </c>
      <c r="D4076" s="11">
        <v>2.6531573031443512</v>
      </c>
    </row>
    <row r="4077" spans="1:4" x14ac:dyDescent="0.2">
      <c r="A4077" s="10" t="s">
        <v>4076</v>
      </c>
      <c r="B4077" s="12">
        <v>13.54</v>
      </c>
      <c r="C4077" s="11">
        <v>0</v>
      </c>
      <c r="D4077" s="11">
        <v>1.4453767397726687</v>
      </c>
    </row>
    <row r="4078" spans="1:4" x14ac:dyDescent="0.2">
      <c r="A4078" s="10" t="s">
        <v>4077</v>
      </c>
      <c r="B4078" s="12">
        <v>13.62</v>
      </c>
      <c r="C4078" s="11">
        <v>0</v>
      </c>
      <c r="D4078" s="11">
        <v>1.366178014305673</v>
      </c>
    </row>
    <row r="4079" spans="1:4" x14ac:dyDescent="0.2">
      <c r="A4079" s="10" t="s">
        <v>4078</v>
      </c>
      <c r="B4079" s="12">
        <v>14.42</v>
      </c>
      <c r="C4079" s="11">
        <v>0</v>
      </c>
      <c r="D4079" s="11">
        <v>0.57419075963571764</v>
      </c>
    </row>
    <row r="4080" spans="1:4" x14ac:dyDescent="0.2">
      <c r="A4080" s="10" t="s">
        <v>4079</v>
      </c>
      <c r="B4080" s="12">
        <v>15.5</v>
      </c>
      <c r="C4080" s="11">
        <v>0.49499203416872217</v>
      </c>
      <c r="D4080" s="11">
        <v>0</v>
      </c>
    </row>
    <row r="4081" spans="1:4" x14ac:dyDescent="0.2">
      <c r="A4081" s="10" t="s">
        <v>4080</v>
      </c>
      <c r="B4081" s="12">
        <v>15.9</v>
      </c>
      <c r="C4081" s="11">
        <v>0.89098566150369995</v>
      </c>
      <c r="D4081" s="11">
        <v>0</v>
      </c>
    </row>
    <row r="4082" spans="1:4" x14ac:dyDescent="0.2">
      <c r="A4082" s="10" t="s">
        <v>4081</v>
      </c>
      <c r="B4082" s="12">
        <v>14.83</v>
      </c>
      <c r="C4082" s="11">
        <v>0</v>
      </c>
      <c r="D4082" s="11">
        <v>0.16829729161736556</v>
      </c>
    </row>
    <row r="4083" spans="1:4" x14ac:dyDescent="0.2">
      <c r="A4083" s="10" t="s">
        <v>4082</v>
      </c>
      <c r="B4083" s="12">
        <v>13.55</v>
      </c>
      <c r="C4083" s="11">
        <v>0</v>
      </c>
      <c r="D4083" s="11">
        <v>1.4354768990892943</v>
      </c>
    </row>
    <row r="4084" spans="1:4" x14ac:dyDescent="0.2">
      <c r="A4084" s="10" t="s">
        <v>4083</v>
      </c>
      <c r="B4084" s="12">
        <v>13.6</v>
      </c>
      <c r="C4084" s="11">
        <v>0</v>
      </c>
      <c r="D4084" s="11">
        <v>1.3859776956724219</v>
      </c>
    </row>
    <row r="4085" spans="1:4" x14ac:dyDescent="0.2">
      <c r="A4085" s="10" t="s">
        <v>4084</v>
      </c>
      <c r="B4085" s="12">
        <v>13.53</v>
      </c>
      <c r="C4085" s="11">
        <v>0</v>
      </c>
      <c r="D4085" s="11">
        <v>1.4552765804560432</v>
      </c>
    </row>
    <row r="4086" spans="1:4" x14ac:dyDescent="0.2">
      <c r="A4086" s="10" t="s">
        <v>4085</v>
      </c>
      <c r="B4086" s="12">
        <v>13.12</v>
      </c>
      <c r="C4086" s="11">
        <v>0</v>
      </c>
      <c r="D4086" s="11">
        <v>1.8611700484743952</v>
      </c>
    </row>
    <row r="4087" spans="1:4" x14ac:dyDescent="0.2">
      <c r="A4087" s="10" t="s">
        <v>4086</v>
      </c>
      <c r="B4087" s="12">
        <v>15.43</v>
      </c>
      <c r="C4087" s="11">
        <v>0.42569314938510106</v>
      </c>
      <c r="D4087" s="11">
        <v>0</v>
      </c>
    </row>
    <row r="4088" spans="1:4" x14ac:dyDescent="0.2">
      <c r="A4088" s="10" t="s">
        <v>4087</v>
      </c>
      <c r="B4088" s="12">
        <v>15</v>
      </c>
      <c r="C4088" s="11">
        <v>0</v>
      </c>
      <c r="D4088" s="11">
        <v>0</v>
      </c>
    </row>
    <row r="4089" spans="1:4" x14ac:dyDescent="0.2">
      <c r="A4089" s="10" t="s">
        <v>4088</v>
      </c>
      <c r="B4089" s="12">
        <v>15.06</v>
      </c>
      <c r="C4089" s="11">
        <v>5.9399044100246656E-2</v>
      </c>
      <c r="D4089" s="11">
        <v>0</v>
      </c>
    </row>
    <row r="4090" spans="1:4" x14ac:dyDescent="0.2">
      <c r="A4090" s="10" t="s">
        <v>4089</v>
      </c>
      <c r="B4090" s="12">
        <v>14.33</v>
      </c>
      <c r="C4090" s="11">
        <v>0</v>
      </c>
      <c r="D4090" s="11">
        <v>0.66328932578608779</v>
      </c>
    </row>
    <row r="4091" spans="1:4" x14ac:dyDescent="0.2">
      <c r="A4091" s="10" t="s">
        <v>4090</v>
      </c>
      <c r="B4091" s="12">
        <v>14.85</v>
      </c>
      <c r="C4091" s="11">
        <v>0</v>
      </c>
      <c r="D4091" s="11">
        <v>0.14849761025061664</v>
      </c>
    </row>
    <row r="4092" spans="1:4" x14ac:dyDescent="0.2">
      <c r="A4092" s="10" t="s">
        <v>4091</v>
      </c>
      <c r="B4092" s="12">
        <v>14.83</v>
      </c>
      <c r="C4092" s="11">
        <v>0</v>
      </c>
      <c r="D4092" s="11">
        <v>0.16829729161736556</v>
      </c>
    </row>
    <row r="4093" spans="1:4" x14ac:dyDescent="0.2">
      <c r="A4093" s="10" t="s">
        <v>4092</v>
      </c>
      <c r="B4093" s="12">
        <v>11.44</v>
      </c>
      <c r="C4093" s="11">
        <v>0</v>
      </c>
      <c r="D4093" s="11">
        <v>3.524343283281302</v>
      </c>
    </row>
    <row r="4094" spans="1:4" x14ac:dyDescent="0.2">
      <c r="A4094" s="10" t="s">
        <v>4093</v>
      </c>
      <c r="B4094" s="12">
        <v>14.57</v>
      </c>
      <c r="C4094" s="11">
        <v>0</v>
      </c>
      <c r="D4094" s="11">
        <v>0.42569314938510106</v>
      </c>
    </row>
    <row r="4095" spans="1:4" x14ac:dyDescent="0.2">
      <c r="A4095" s="10" t="s">
        <v>4094</v>
      </c>
      <c r="B4095" s="12">
        <v>16.05</v>
      </c>
      <c r="C4095" s="11">
        <v>1.0394832717543165</v>
      </c>
      <c r="D4095" s="11">
        <v>0</v>
      </c>
    </row>
    <row r="4096" spans="1:4" x14ac:dyDescent="0.2">
      <c r="A4096" s="10" t="s">
        <v>4095</v>
      </c>
      <c r="B4096" s="12">
        <v>13.66</v>
      </c>
      <c r="C4096" s="11">
        <v>0</v>
      </c>
      <c r="D4096" s="11">
        <v>1.3265786515721756</v>
      </c>
    </row>
    <row r="4097" spans="1:4" x14ac:dyDescent="0.2">
      <c r="A4097" s="10" t="s">
        <v>4096</v>
      </c>
      <c r="B4097" s="12">
        <v>14.21</v>
      </c>
      <c r="C4097" s="11">
        <v>0</v>
      </c>
      <c r="D4097" s="11">
        <v>0.7820874139865811</v>
      </c>
    </row>
    <row r="4098" spans="1:4" x14ac:dyDescent="0.2">
      <c r="A4098" s="10" t="s">
        <v>4097</v>
      </c>
      <c r="B4098" s="12">
        <v>13.89</v>
      </c>
      <c r="C4098" s="11">
        <v>0</v>
      </c>
      <c r="D4098" s="11">
        <v>1.0988823158545633</v>
      </c>
    </row>
    <row r="4099" spans="1:4" x14ac:dyDescent="0.2">
      <c r="A4099" s="10" t="s">
        <v>4098</v>
      </c>
      <c r="B4099" s="12">
        <v>13.68</v>
      </c>
      <c r="C4099" s="11">
        <v>0</v>
      </c>
      <c r="D4099" s="11">
        <v>1.3067789702054267</v>
      </c>
    </row>
    <row r="4100" spans="1:4" x14ac:dyDescent="0.2">
      <c r="A4100" s="10" t="s">
        <v>4099</v>
      </c>
      <c r="B4100" s="12">
        <v>13.81</v>
      </c>
      <c r="C4100" s="11">
        <v>0</v>
      </c>
      <c r="D4100" s="11">
        <v>1.1879808820049331</v>
      </c>
    </row>
    <row r="4101" spans="1:4" x14ac:dyDescent="0.2">
      <c r="A4101" s="10" t="s">
        <v>4100</v>
      </c>
      <c r="B4101" s="12">
        <v>14.54</v>
      </c>
      <c r="C4101" s="11">
        <v>0</v>
      </c>
      <c r="D4101" s="11">
        <v>0.45539267143522444</v>
      </c>
    </row>
    <row r="4102" spans="1:4" x14ac:dyDescent="0.2">
      <c r="A4102" s="10" t="s">
        <v>4101</v>
      </c>
      <c r="B4102" s="12">
        <v>13.73</v>
      </c>
      <c r="C4102" s="11">
        <v>0</v>
      </c>
      <c r="D4102" s="11">
        <v>1.2572797667885542</v>
      </c>
    </row>
    <row r="4103" spans="1:4" x14ac:dyDescent="0.2">
      <c r="A4103" s="10" t="s">
        <v>4102</v>
      </c>
      <c r="B4103" s="12">
        <v>15.53</v>
      </c>
      <c r="C4103" s="11">
        <v>0.52469155621884556</v>
      </c>
      <c r="D4103" s="11">
        <v>0</v>
      </c>
    </row>
    <row r="4104" spans="1:4" x14ac:dyDescent="0.2">
      <c r="A4104" s="10" t="s">
        <v>4103</v>
      </c>
      <c r="B4104" s="12">
        <v>12.5</v>
      </c>
      <c r="C4104" s="11">
        <v>0</v>
      </c>
      <c r="D4104" s="11">
        <v>2.4749601708436106</v>
      </c>
    </row>
    <row r="4105" spans="1:4" x14ac:dyDescent="0.2">
      <c r="A4105" s="10" t="s">
        <v>4104</v>
      </c>
      <c r="B4105" s="12">
        <v>15.53</v>
      </c>
      <c r="C4105" s="11">
        <v>0.52469155621884556</v>
      </c>
      <c r="D4105" s="11">
        <v>0</v>
      </c>
    </row>
    <row r="4106" spans="1:4" x14ac:dyDescent="0.2">
      <c r="A4106" s="10" t="s">
        <v>4105</v>
      </c>
      <c r="B4106" s="12">
        <v>14.56</v>
      </c>
      <c r="C4106" s="11">
        <v>0</v>
      </c>
      <c r="D4106" s="11">
        <v>0.43559299006847552</v>
      </c>
    </row>
    <row r="4107" spans="1:4" x14ac:dyDescent="0.2">
      <c r="A4107" s="10" t="s">
        <v>4106</v>
      </c>
      <c r="B4107" s="12">
        <v>14.31</v>
      </c>
      <c r="C4107" s="11">
        <v>0</v>
      </c>
      <c r="D4107" s="11">
        <v>0.68308900715283649</v>
      </c>
    </row>
    <row r="4108" spans="1:4" x14ac:dyDescent="0.2">
      <c r="A4108" s="10" t="s">
        <v>4107</v>
      </c>
      <c r="B4108" s="12">
        <v>14.41</v>
      </c>
      <c r="C4108" s="11">
        <v>0</v>
      </c>
      <c r="D4108" s="11">
        <v>0.5840906003190921</v>
      </c>
    </row>
    <row r="4109" spans="1:4" x14ac:dyDescent="0.2">
      <c r="A4109" s="10" t="s">
        <v>4108</v>
      </c>
      <c r="B4109" s="12">
        <v>10.65</v>
      </c>
      <c r="C4109" s="11">
        <v>0</v>
      </c>
      <c r="D4109" s="11">
        <v>4.3064306972678823</v>
      </c>
    </row>
    <row r="4110" spans="1:4" x14ac:dyDescent="0.2">
      <c r="A4110" s="10" t="s">
        <v>4109</v>
      </c>
      <c r="B4110" s="12">
        <v>14.31</v>
      </c>
      <c r="C4110" s="11">
        <v>0</v>
      </c>
      <c r="D4110" s="11">
        <v>0.68308900715283649</v>
      </c>
    </row>
    <row r="4111" spans="1:4" x14ac:dyDescent="0.2">
      <c r="A4111" s="10" t="s">
        <v>4110</v>
      </c>
      <c r="B4111" s="12">
        <v>14.13</v>
      </c>
      <c r="C4111" s="11">
        <v>0</v>
      </c>
      <c r="D4111" s="11">
        <v>0.86128613945357657</v>
      </c>
    </row>
    <row r="4112" spans="1:4" x14ac:dyDescent="0.2">
      <c r="A4112" s="10" t="s">
        <v>4111</v>
      </c>
      <c r="B4112" s="12">
        <v>13.82</v>
      </c>
      <c r="C4112" s="11">
        <v>0</v>
      </c>
      <c r="D4112" s="11">
        <v>1.1681812006381842</v>
      </c>
    </row>
    <row r="4113" spans="1:4" x14ac:dyDescent="0.2">
      <c r="A4113" s="10" t="s">
        <v>4112</v>
      </c>
      <c r="B4113" s="12">
        <v>16.3</v>
      </c>
      <c r="C4113" s="11">
        <v>1.2869792888386777</v>
      </c>
      <c r="D4113" s="11">
        <v>0</v>
      </c>
    </row>
    <row r="4114" spans="1:4" x14ac:dyDescent="0.2">
      <c r="A4114" s="10" t="s">
        <v>4113</v>
      </c>
      <c r="B4114" s="12">
        <v>13.94</v>
      </c>
      <c r="C4114" s="11">
        <v>0</v>
      </c>
      <c r="D4114" s="11">
        <v>1.0493831124376911</v>
      </c>
    </row>
    <row r="4115" spans="1:4" x14ac:dyDescent="0.2">
      <c r="A4115" s="10" t="s">
        <v>4114</v>
      </c>
      <c r="B4115" s="12">
        <v>14.29</v>
      </c>
      <c r="C4115" s="11">
        <v>0</v>
      </c>
      <c r="D4115" s="11">
        <v>0.70288868851958541</v>
      </c>
    </row>
    <row r="4116" spans="1:4" x14ac:dyDescent="0.2">
      <c r="A4116" s="10" t="s">
        <v>4115</v>
      </c>
      <c r="B4116" s="12">
        <v>12.91</v>
      </c>
      <c r="C4116" s="11">
        <v>0</v>
      </c>
      <c r="D4116" s="11">
        <v>2.0690667028252587</v>
      </c>
    </row>
    <row r="4117" spans="1:4" x14ac:dyDescent="0.2">
      <c r="A4117" s="10" t="s">
        <v>4116</v>
      </c>
      <c r="B4117" s="12">
        <v>12.67</v>
      </c>
      <c r="C4117" s="11">
        <v>0</v>
      </c>
      <c r="D4117" s="11">
        <v>2.3066628792262454</v>
      </c>
    </row>
    <row r="4118" spans="1:4" x14ac:dyDescent="0.2">
      <c r="A4118" s="10" t="s">
        <v>4117</v>
      </c>
      <c r="B4118" s="12">
        <v>15.49</v>
      </c>
      <c r="C4118" s="11">
        <v>0.48509219348534771</v>
      </c>
      <c r="D4118" s="11">
        <v>0</v>
      </c>
    </row>
    <row r="4119" spans="1:4" x14ac:dyDescent="0.2">
      <c r="A4119" s="10" t="s">
        <v>4118</v>
      </c>
      <c r="B4119" s="12">
        <v>15.61</v>
      </c>
      <c r="C4119" s="11">
        <v>0.60389028168584102</v>
      </c>
      <c r="D4119" s="11">
        <v>0</v>
      </c>
    </row>
    <row r="4120" spans="1:4" x14ac:dyDescent="0.2">
      <c r="A4120" s="10" t="s">
        <v>4119</v>
      </c>
      <c r="B4120" s="12">
        <v>14.14</v>
      </c>
      <c r="C4120" s="11">
        <v>0</v>
      </c>
      <c r="D4120" s="11">
        <v>0.85138629877020211</v>
      </c>
    </row>
    <row r="4121" spans="1:4" x14ac:dyDescent="0.2">
      <c r="A4121" s="10" t="s">
        <v>4120</v>
      </c>
      <c r="B4121" s="12">
        <v>14.17</v>
      </c>
      <c r="C4121" s="11">
        <v>0</v>
      </c>
      <c r="D4121" s="11">
        <v>0.82168677672007873</v>
      </c>
    </row>
    <row r="4122" spans="1:4" x14ac:dyDescent="0.2">
      <c r="A4122" s="10" t="s">
        <v>4121</v>
      </c>
      <c r="B4122" s="12">
        <v>12.94</v>
      </c>
      <c r="C4122" s="11">
        <v>0</v>
      </c>
      <c r="D4122" s="11">
        <v>2.0393671807751352</v>
      </c>
    </row>
    <row r="4123" spans="1:4" x14ac:dyDescent="0.2">
      <c r="A4123" s="10" t="s">
        <v>4122</v>
      </c>
      <c r="B4123" s="12">
        <v>13.09</v>
      </c>
      <c r="C4123" s="11">
        <v>0</v>
      </c>
      <c r="D4123" s="11">
        <v>1.8908695705245187</v>
      </c>
    </row>
    <row r="4124" spans="1:4" x14ac:dyDescent="0.2">
      <c r="A4124" s="10" t="s">
        <v>4123</v>
      </c>
      <c r="B4124" s="12">
        <v>13.89</v>
      </c>
      <c r="C4124" s="11">
        <v>0</v>
      </c>
      <c r="D4124" s="11">
        <v>1.0988823158545633</v>
      </c>
    </row>
    <row r="4125" spans="1:4" x14ac:dyDescent="0.2">
      <c r="A4125" s="10" t="s">
        <v>4124</v>
      </c>
      <c r="B4125" s="12">
        <v>16.45</v>
      </c>
      <c r="C4125" s="11">
        <v>1.4354768990892943</v>
      </c>
      <c r="D4125" s="11">
        <v>0</v>
      </c>
    </row>
    <row r="4126" spans="1:4" x14ac:dyDescent="0.2">
      <c r="A4126" s="10" t="s">
        <v>4125</v>
      </c>
      <c r="B4126" s="12">
        <v>13.85</v>
      </c>
      <c r="C4126" s="11">
        <v>0</v>
      </c>
      <c r="D4126" s="11">
        <v>1.1384816785880609</v>
      </c>
    </row>
    <row r="4127" spans="1:4" x14ac:dyDescent="0.2">
      <c r="A4127" s="10" t="s">
        <v>4126</v>
      </c>
      <c r="B4127" s="12">
        <v>14.31</v>
      </c>
      <c r="C4127" s="11">
        <v>0</v>
      </c>
      <c r="D4127" s="11">
        <v>0.68308900715283649</v>
      </c>
    </row>
    <row r="4128" spans="1:4" x14ac:dyDescent="0.2">
      <c r="A4128" s="10" t="s">
        <v>4127</v>
      </c>
      <c r="B4128" s="12">
        <v>13.77</v>
      </c>
      <c r="C4128" s="11">
        <v>0</v>
      </c>
      <c r="D4128" s="11">
        <v>1.2176804040550566</v>
      </c>
    </row>
    <row r="4129" spans="1:4" x14ac:dyDescent="0.2">
      <c r="A4129" s="10" t="s">
        <v>4128</v>
      </c>
      <c r="B4129" s="12">
        <v>15.13</v>
      </c>
      <c r="C4129" s="11">
        <v>0.12869792888386777</v>
      </c>
      <c r="D4129" s="11">
        <v>0</v>
      </c>
    </row>
    <row r="4130" spans="1:4" x14ac:dyDescent="0.2">
      <c r="A4130" s="10" t="s">
        <v>4129</v>
      </c>
      <c r="B4130" s="12">
        <v>14.96</v>
      </c>
      <c r="C4130" s="11">
        <v>0</v>
      </c>
      <c r="D4130" s="11">
        <v>3.9599362733497775E-2</v>
      </c>
    </row>
    <row r="4131" spans="1:4" x14ac:dyDescent="0.2">
      <c r="A4131" s="10" t="s">
        <v>4130</v>
      </c>
      <c r="B4131" s="12">
        <v>13.94</v>
      </c>
      <c r="C4131" s="11">
        <v>0</v>
      </c>
      <c r="D4131" s="11">
        <v>1.0493831124376911</v>
      </c>
    </row>
    <row r="4132" spans="1:4" x14ac:dyDescent="0.2">
      <c r="A4132" s="10" t="s">
        <v>4131</v>
      </c>
      <c r="B4132" s="12">
        <v>13.71</v>
      </c>
      <c r="C4132" s="11">
        <v>0</v>
      </c>
      <c r="D4132" s="11">
        <v>1.2770794481553032</v>
      </c>
    </row>
    <row r="4133" spans="1:4" x14ac:dyDescent="0.2">
      <c r="A4133" s="10" t="s">
        <v>4132</v>
      </c>
      <c r="B4133" s="12">
        <v>13.45</v>
      </c>
      <c r="C4133" s="11">
        <v>0</v>
      </c>
      <c r="D4133" s="11">
        <v>1.5344753059230387</v>
      </c>
    </row>
    <row r="4134" spans="1:4" x14ac:dyDescent="0.2">
      <c r="A4134" s="10" t="s">
        <v>4133</v>
      </c>
      <c r="B4134" s="12">
        <v>14.81</v>
      </c>
      <c r="C4134" s="11">
        <v>0</v>
      </c>
      <c r="D4134" s="11">
        <v>0.18809697298411443</v>
      </c>
    </row>
    <row r="4135" spans="1:4" x14ac:dyDescent="0.2">
      <c r="A4135" s="10" t="s">
        <v>4134</v>
      </c>
      <c r="B4135" s="12">
        <v>13.86</v>
      </c>
      <c r="C4135" s="11">
        <v>0</v>
      </c>
      <c r="D4135" s="11">
        <v>1.1285818379046864</v>
      </c>
    </row>
    <row r="4136" spans="1:4" x14ac:dyDescent="0.2">
      <c r="A4136" s="10" t="s">
        <v>4135</v>
      </c>
      <c r="B4136" s="12">
        <v>12.41</v>
      </c>
      <c r="C4136" s="11">
        <v>0</v>
      </c>
      <c r="D4136" s="11">
        <v>2.5640587369939807</v>
      </c>
    </row>
    <row r="4137" spans="1:4" x14ac:dyDescent="0.2">
      <c r="A4137" s="10" t="s">
        <v>4136</v>
      </c>
      <c r="B4137" s="12">
        <v>12.55</v>
      </c>
      <c r="C4137" s="11">
        <v>0</v>
      </c>
      <c r="D4137" s="11">
        <v>2.4254609674267389</v>
      </c>
    </row>
    <row r="4138" spans="1:4" x14ac:dyDescent="0.2">
      <c r="A4138" s="10" t="s">
        <v>4137</v>
      </c>
      <c r="B4138" s="12">
        <v>13.75</v>
      </c>
      <c r="C4138" s="11">
        <v>0</v>
      </c>
      <c r="D4138" s="11">
        <v>1.2374800854218053</v>
      </c>
    </row>
    <row r="4139" spans="1:4" x14ac:dyDescent="0.2">
      <c r="A4139" s="10" t="s">
        <v>4138</v>
      </c>
      <c r="B4139" s="12">
        <v>14.73</v>
      </c>
      <c r="C4139" s="11">
        <v>0</v>
      </c>
      <c r="D4139" s="11">
        <v>0.26729569845111001</v>
      </c>
    </row>
    <row r="4140" spans="1:4" x14ac:dyDescent="0.2">
      <c r="A4140" s="10" t="s">
        <v>4139</v>
      </c>
      <c r="B4140" s="12">
        <v>13.24</v>
      </c>
      <c r="C4140" s="11">
        <v>0</v>
      </c>
      <c r="D4140" s="11">
        <v>1.7423719602739021</v>
      </c>
    </row>
    <row r="4141" spans="1:4" x14ac:dyDescent="0.2">
      <c r="A4141" s="10" t="s">
        <v>4140</v>
      </c>
      <c r="B4141" s="12">
        <v>14.98</v>
      </c>
      <c r="C4141" s="11">
        <v>0</v>
      </c>
      <c r="D4141" s="11">
        <v>1.9799681366748888E-2</v>
      </c>
    </row>
    <row r="4142" spans="1:4" x14ac:dyDescent="0.2">
      <c r="A4142" s="10" t="s">
        <v>4141</v>
      </c>
      <c r="B4142" s="12">
        <v>15.31</v>
      </c>
      <c r="C4142" s="11">
        <v>0.30689506118460774</v>
      </c>
      <c r="D4142" s="11">
        <v>0</v>
      </c>
    </row>
    <row r="4143" spans="1:4" x14ac:dyDescent="0.2">
      <c r="A4143" s="10" t="s">
        <v>4142</v>
      </c>
      <c r="B4143" s="12">
        <v>14.08</v>
      </c>
      <c r="C4143" s="11">
        <v>0</v>
      </c>
      <c r="D4143" s="11">
        <v>0.91078534287044888</v>
      </c>
    </row>
    <row r="4144" spans="1:4" x14ac:dyDescent="0.2">
      <c r="A4144" s="10" t="s">
        <v>4143</v>
      </c>
      <c r="B4144" s="12">
        <v>13.68</v>
      </c>
      <c r="C4144" s="11">
        <v>0</v>
      </c>
      <c r="D4144" s="11">
        <v>1.3067789702054267</v>
      </c>
    </row>
    <row r="4145" spans="1:4" x14ac:dyDescent="0.2">
      <c r="A4145" s="10" t="s">
        <v>4144</v>
      </c>
      <c r="B4145" s="12">
        <v>13.5</v>
      </c>
      <c r="C4145" s="11">
        <v>0</v>
      </c>
      <c r="D4145" s="11">
        <v>1.4849761025061665</v>
      </c>
    </row>
    <row r="4146" spans="1:4" x14ac:dyDescent="0.2">
      <c r="A4146" s="10" t="s">
        <v>4145</v>
      </c>
      <c r="B4146" s="12">
        <v>13.53</v>
      </c>
      <c r="C4146" s="11">
        <v>0</v>
      </c>
      <c r="D4146" s="11">
        <v>1.4552765804560432</v>
      </c>
    </row>
    <row r="4147" spans="1:4" x14ac:dyDescent="0.2">
      <c r="A4147" s="10" t="s">
        <v>4146</v>
      </c>
      <c r="B4147" s="12">
        <v>13.72</v>
      </c>
      <c r="C4147" s="11">
        <v>0</v>
      </c>
      <c r="D4147" s="11">
        <v>1.2671796074719288</v>
      </c>
    </row>
    <row r="4148" spans="1:4" x14ac:dyDescent="0.2">
      <c r="A4148" s="10" t="s">
        <v>4147</v>
      </c>
      <c r="B4148" s="12">
        <v>14.58</v>
      </c>
      <c r="C4148" s="11">
        <v>0</v>
      </c>
      <c r="D4148" s="11">
        <v>0.41579330870172659</v>
      </c>
    </row>
    <row r="4149" spans="1:4" x14ac:dyDescent="0.2">
      <c r="A4149" s="10" t="s">
        <v>4148</v>
      </c>
      <c r="B4149" s="12">
        <v>13.27</v>
      </c>
      <c r="C4149" s="11">
        <v>0</v>
      </c>
      <c r="D4149" s="11">
        <v>1.7126724382237788</v>
      </c>
    </row>
    <row r="4150" spans="1:4" x14ac:dyDescent="0.2">
      <c r="A4150" s="10" t="s">
        <v>4149</v>
      </c>
      <c r="B4150" s="12">
        <v>15</v>
      </c>
      <c r="C4150" s="11">
        <v>0</v>
      </c>
      <c r="D4150" s="11">
        <v>0</v>
      </c>
    </row>
    <row r="4151" spans="1:4" x14ac:dyDescent="0.2">
      <c r="A4151" s="10" t="s">
        <v>4150</v>
      </c>
      <c r="B4151" s="12">
        <v>12.6</v>
      </c>
      <c r="C4151" s="11">
        <v>0</v>
      </c>
      <c r="D4151" s="11">
        <v>2.3759617640098663</v>
      </c>
    </row>
    <row r="4152" spans="1:4" x14ac:dyDescent="0.2">
      <c r="A4152" s="10" t="s">
        <v>4151</v>
      </c>
      <c r="B4152" s="12">
        <v>13.43</v>
      </c>
      <c r="C4152" s="11">
        <v>0</v>
      </c>
      <c r="D4152" s="11">
        <v>1.5542749872897876</v>
      </c>
    </row>
    <row r="4153" spans="1:4" x14ac:dyDescent="0.2">
      <c r="A4153" s="10" t="s">
        <v>4152</v>
      </c>
      <c r="B4153" s="12">
        <v>13.18</v>
      </c>
      <c r="C4153" s="11">
        <v>0</v>
      </c>
      <c r="D4153" s="11">
        <v>1.8017710043741488</v>
      </c>
    </row>
    <row r="4154" spans="1:4" x14ac:dyDescent="0.2">
      <c r="A4154" s="10" t="s">
        <v>4153</v>
      </c>
      <c r="B4154" s="12">
        <v>13.12</v>
      </c>
      <c r="C4154" s="11">
        <v>0</v>
      </c>
      <c r="D4154" s="11">
        <v>1.8611700484743952</v>
      </c>
    </row>
    <row r="4155" spans="1:4" x14ac:dyDescent="0.2">
      <c r="A4155" s="10" t="s">
        <v>4154</v>
      </c>
      <c r="B4155" s="12">
        <v>14.56</v>
      </c>
      <c r="C4155" s="11">
        <v>0</v>
      </c>
      <c r="D4155" s="11">
        <v>0.43559299006847552</v>
      </c>
    </row>
    <row r="4156" spans="1:4" x14ac:dyDescent="0.2">
      <c r="A4156" s="10" t="s">
        <v>4155</v>
      </c>
      <c r="B4156" s="12">
        <v>13.76</v>
      </c>
      <c r="C4156" s="11">
        <v>0</v>
      </c>
      <c r="D4156" s="11">
        <v>1.227580244738431</v>
      </c>
    </row>
    <row r="4157" spans="1:4" x14ac:dyDescent="0.2">
      <c r="A4157" s="10" t="s">
        <v>4156</v>
      </c>
      <c r="B4157" s="12">
        <v>12.63</v>
      </c>
      <c r="C4157" s="11">
        <v>0</v>
      </c>
      <c r="D4157" s="11">
        <v>2.3462622419597432</v>
      </c>
    </row>
    <row r="4158" spans="1:4" x14ac:dyDescent="0.2">
      <c r="A4158" s="10" t="s">
        <v>4157</v>
      </c>
      <c r="B4158" s="12">
        <v>13.23</v>
      </c>
      <c r="C4158" s="11">
        <v>0</v>
      </c>
      <c r="D4158" s="11">
        <v>1.7522718009572764</v>
      </c>
    </row>
    <row r="4159" spans="1:4" x14ac:dyDescent="0.2">
      <c r="A4159" s="10" t="s">
        <v>4158</v>
      </c>
      <c r="B4159" s="12">
        <v>14.04</v>
      </c>
      <c r="C4159" s="11">
        <v>0</v>
      </c>
      <c r="D4159" s="11">
        <v>0.9503847056039465</v>
      </c>
    </row>
    <row r="4160" spans="1:4" x14ac:dyDescent="0.2">
      <c r="A4160" s="10" t="s">
        <v>4159</v>
      </c>
      <c r="B4160" s="12">
        <v>14.63</v>
      </c>
      <c r="C4160" s="11">
        <v>0</v>
      </c>
      <c r="D4160" s="11">
        <v>0.3662941052848544</v>
      </c>
    </row>
    <row r="4161" spans="1:4" x14ac:dyDescent="0.2">
      <c r="A4161" s="10" t="s">
        <v>4160</v>
      </c>
      <c r="B4161" s="12">
        <v>12.21</v>
      </c>
      <c r="C4161" s="11">
        <v>0</v>
      </c>
      <c r="D4161" s="11">
        <v>2.7620555506614699</v>
      </c>
    </row>
    <row r="4162" spans="1:4" x14ac:dyDescent="0.2">
      <c r="A4162" s="10" t="s">
        <v>4161</v>
      </c>
      <c r="B4162" s="12">
        <v>14.83</v>
      </c>
      <c r="C4162" s="11">
        <v>0</v>
      </c>
      <c r="D4162" s="11">
        <v>0.16829729161736556</v>
      </c>
    </row>
    <row r="4163" spans="1:4" x14ac:dyDescent="0.2">
      <c r="A4163" s="10" t="s">
        <v>4162</v>
      </c>
      <c r="B4163" s="12">
        <v>14.65</v>
      </c>
      <c r="C4163" s="11">
        <v>0</v>
      </c>
      <c r="D4163" s="11">
        <v>0.34649442391810548</v>
      </c>
    </row>
    <row r="4164" spans="1:4" x14ac:dyDescent="0.2">
      <c r="A4164" s="10" t="s">
        <v>4163</v>
      </c>
      <c r="B4164" s="12">
        <v>13.71</v>
      </c>
      <c r="C4164" s="11">
        <v>0</v>
      </c>
      <c r="D4164" s="11">
        <v>1.2770794481553032</v>
      </c>
    </row>
    <row r="4165" spans="1:4" x14ac:dyDescent="0.2">
      <c r="A4165" s="10" t="s">
        <v>4164</v>
      </c>
      <c r="B4165" s="12">
        <v>13.53</v>
      </c>
      <c r="C4165" s="11">
        <v>0</v>
      </c>
      <c r="D4165" s="11">
        <v>1.4552765804560432</v>
      </c>
    </row>
    <row r="4166" spans="1:4" x14ac:dyDescent="0.2">
      <c r="A4166" s="10" t="s">
        <v>4165</v>
      </c>
      <c r="B4166" s="12">
        <v>14.34</v>
      </c>
      <c r="C4166" s="11">
        <v>0</v>
      </c>
      <c r="D4166" s="11">
        <v>0.65338948510271333</v>
      </c>
    </row>
    <row r="4167" spans="1:4" x14ac:dyDescent="0.2">
      <c r="A4167" s="10" t="s">
        <v>4166</v>
      </c>
      <c r="B4167" s="12">
        <v>14.32</v>
      </c>
      <c r="C4167" s="11">
        <v>0</v>
      </c>
      <c r="D4167" s="11">
        <v>0.67318916646946225</v>
      </c>
    </row>
    <row r="4168" spans="1:4" x14ac:dyDescent="0.2">
      <c r="A4168" s="10" t="s">
        <v>4167</v>
      </c>
      <c r="B4168" s="12">
        <v>13.67</v>
      </c>
      <c r="C4168" s="11">
        <v>0</v>
      </c>
      <c r="D4168" s="11">
        <v>1.316678810888801</v>
      </c>
    </row>
    <row r="4169" spans="1:4" x14ac:dyDescent="0.2">
      <c r="A4169" s="10" t="s">
        <v>4168</v>
      </c>
      <c r="B4169" s="12">
        <v>15.86</v>
      </c>
      <c r="C4169" s="11">
        <v>0.85138629877020211</v>
      </c>
      <c r="D4169" s="11">
        <v>0</v>
      </c>
    </row>
    <row r="4170" spans="1:4" x14ac:dyDescent="0.2">
      <c r="A4170" s="10" t="s">
        <v>4169</v>
      </c>
      <c r="B4170" s="12">
        <v>15.09</v>
      </c>
      <c r="C4170" s="11">
        <v>8.9098566150369984E-2</v>
      </c>
      <c r="D4170" s="11">
        <v>0</v>
      </c>
    </row>
    <row r="4171" spans="1:4" x14ac:dyDescent="0.2">
      <c r="A4171" s="10" t="s">
        <v>4170</v>
      </c>
      <c r="B4171" s="12">
        <v>14.03</v>
      </c>
      <c r="C4171" s="11">
        <v>0</v>
      </c>
      <c r="D4171" s="11">
        <v>0.96028454628732096</v>
      </c>
    </row>
    <row r="4172" spans="1:4" x14ac:dyDescent="0.2">
      <c r="A4172" s="10" t="s">
        <v>4171</v>
      </c>
      <c r="B4172" s="12">
        <v>13.8</v>
      </c>
      <c r="C4172" s="11">
        <v>0</v>
      </c>
      <c r="D4172" s="11">
        <v>1.1879808820049331</v>
      </c>
    </row>
    <row r="4173" spans="1:4" x14ac:dyDescent="0.2">
      <c r="A4173" s="10" t="s">
        <v>4172</v>
      </c>
      <c r="B4173" s="12">
        <v>14.43</v>
      </c>
      <c r="C4173" s="11">
        <v>0</v>
      </c>
      <c r="D4173" s="11">
        <v>0.56429091895234318</v>
      </c>
    </row>
    <row r="4174" spans="1:4" x14ac:dyDescent="0.2">
      <c r="A4174" s="10" t="s">
        <v>4173</v>
      </c>
      <c r="B4174" s="12">
        <v>13.92</v>
      </c>
      <c r="C4174" s="11">
        <v>0</v>
      </c>
      <c r="D4174" s="11">
        <v>1.06918279380444</v>
      </c>
    </row>
    <row r="4175" spans="1:4" x14ac:dyDescent="0.2">
      <c r="A4175" s="10" t="s">
        <v>4174</v>
      </c>
      <c r="B4175" s="12">
        <v>14.05</v>
      </c>
      <c r="C4175" s="11">
        <v>0</v>
      </c>
      <c r="D4175" s="11">
        <v>0.94048486492057204</v>
      </c>
    </row>
    <row r="4176" spans="1:4" x14ac:dyDescent="0.2">
      <c r="A4176" s="10" t="s">
        <v>4175</v>
      </c>
      <c r="B4176" s="12">
        <v>15.31</v>
      </c>
      <c r="C4176" s="11">
        <v>0.30689506118460774</v>
      </c>
      <c r="D4176" s="11">
        <v>0</v>
      </c>
    </row>
    <row r="4177" spans="1:4" x14ac:dyDescent="0.2">
      <c r="A4177" s="10" t="s">
        <v>4176</v>
      </c>
      <c r="B4177" s="12">
        <v>13.85</v>
      </c>
      <c r="C4177" s="11">
        <v>0</v>
      </c>
      <c r="D4177" s="11">
        <v>1.1384816785880609</v>
      </c>
    </row>
    <row r="4178" spans="1:4" x14ac:dyDescent="0.2">
      <c r="A4178" s="10" t="s">
        <v>4177</v>
      </c>
      <c r="B4178" s="12">
        <v>13.7</v>
      </c>
      <c r="C4178" s="11">
        <v>0</v>
      </c>
      <c r="D4178" s="11">
        <v>1.2869792888386777</v>
      </c>
    </row>
    <row r="4179" spans="1:4" x14ac:dyDescent="0.2">
      <c r="A4179" s="10" t="s">
        <v>4178</v>
      </c>
      <c r="B4179" s="12">
        <v>13.61</v>
      </c>
      <c r="C4179" s="11">
        <v>0</v>
      </c>
      <c r="D4179" s="11">
        <v>1.3760778549890476</v>
      </c>
    </row>
    <row r="4180" spans="1:4" x14ac:dyDescent="0.2">
      <c r="A4180" s="10" t="s">
        <v>4179</v>
      </c>
      <c r="B4180" s="12">
        <v>13.47</v>
      </c>
      <c r="C4180" s="11">
        <v>0</v>
      </c>
      <c r="D4180" s="11">
        <v>1.5146756245562898</v>
      </c>
    </row>
    <row r="4181" spans="1:4" x14ac:dyDescent="0.2">
      <c r="A4181" s="10" t="s">
        <v>4180</v>
      </c>
      <c r="B4181" s="12">
        <v>13.73</v>
      </c>
      <c r="C4181" s="11">
        <v>0</v>
      </c>
      <c r="D4181" s="11">
        <v>1.2572797667885542</v>
      </c>
    </row>
    <row r="4182" spans="1:4" x14ac:dyDescent="0.2">
      <c r="A4182" s="10" t="s">
        <v>4181</v>
      </c>
      <c r="B4182" s="12">
        <v>14.83</v>
      </c>
      <c r="C4182" s="11">
        <v>0</v>
      </c>
      <c r="D4182" s="11">
        <v>0.16829729161736556</v>
      </c>
    </row>
    <row r="4183" spans="1:4" x14ac:dyDescent="0.2">
      <c r="A4183" s="10" t="s">
        <v>4182</v>
      </c>
      <c r="B4183" s="12">
        <v>13.44</v>
      </c>
      <c r="C4183" s="11">
        <v>0</v>
      </c>
      <c r="D4183" s="11">
        <v>1.5443751466064133</v>
      </c>
    </row>
    <row r="4184" spans="1:4" x14ac:dyDescent="0.2">
      <c r="A4184" s="10" t="s">
        <v>4183</v>
      </c>
      <c r="B4184" s="12">
        <v>13.79</v>
      </c>
      <c r="C4184" s="11">
        <v>0</v>
      </c>
      <c r="D4184" s="11">
        <v>1.1978807226883077</v>
      </c>
    </row>
    <row r="4185" spans="1:4" x14ac:dyDescent="0.2">
      <c r="A4185" s="10" t="s">
        <v>4184</v>
      </c>
      <c r="B4185" s="12">
        <v>13.62</v>
      </c>
      <c r="C4185" s="11">
        <v>0</v>
      </c>
      <c r="D4185" s="11">
        <v>1.366178014305673</v>
      </c>
    </row>
    <row r="4186" spans="1:4" x14ac:dyDescent="0.2">
      <c r="A4186" s="10" t="s">
        <v>4185</v>
      </c>
      <c r="B4186" s="12">
        <v>13.84</v>
      </c>
      <c r="C4186" s="11">
        <v>0</v>
      </c>
      <c r="D4186" s="11">
        <v>1.1483815192714353</v>
      </c>
    </row>
    <row r="4187" spans="1:4" x14ac:dyDescent="0.2">
      <c r="A4187" s="10" t="s">
        <v>4186</v>
      </c>
      <c r="B4187" s="12">
        <v>13.34</v>
      </c>
      <c r="C4187" s="11">
        <v>0</v>
      </c>
      <c r="D4187" s="11">
        <v>1.6433735534401575</v>
      </c>
    </row>
    <row r="4188" spans="1:4" x14ac:dyDescent="0.2">
      <c r="A4188" s="10" t="s">
        <v>4187</v>
      </c>
      <c r="B4188" s="12">
        <v>15.27</v>
      </c>
      <c r="C4188" s="11">
        <v>0.26729569845111001</v>
      </c>
      <c r="D4188" s="11">
        <v>0</v>
      </c>
    </row>
    <row r="4189" spans="1:4" x14ac:dyDescent="0.2">
      <c r="A4189" s="10" t="s">
        <v>4188</v>
      </c>
      <c r="B4189" s="12">
        <v>14.7</v>
      </c>
      <c r="C4189" s="11">
        <v>0</v>
      </c>
      <c r="D4189" s="11">
        <v>0.29699522050123328</v>
      </c>
    </row>
    <row r="4190" spans="1:4" x14ac:dyDescent="0.2">
      <c r="A4190" s="10" t="s">
        <v>4189</v>
      </c>
      <c r="B4190" s="12">
        <v>12.55</v>
      </c>
      <c r="C4190" s="11">
        <v>0</v>
      </c>
      <c r="D4190" s="11">
        <v>2.4254609674267389</v>
      </c>
    </row>
    <row r="4191" spans="1:4" x14ac:dyDescent="0.2">
      <c r="A4191" s="10" t="s">
        <v>4190</v>
      </c>
      <c r="B4191" s="12">
        <v>14.14</v>
      </c>
      <c r="C4191" s="11">
        <v>0</v>
      </c>
      <c r="D4191" s="11">
        <v>0.85138629877020211</v>
      </c>
    </row>
    <row r="4192" spans="1:4" x14ac:dyDescent="0.2">
      <c r="A4192" s="10" t="s">
        <v>4191</v>
      </c>
      <c r="B4192" s="12">
        <v>13.84</v>
      </c>
      <c r="C4192" s="11">
        <v>0</v>
      </c>
      <c r="D4192" s="11">
        <v>1.1483815192714353</v>
      </c>
    </row>
    <row r="4193" spans="1:4" x14ac:dyDescent="0.2">
      <c r="A4193" s="10" t="s">
        <v>4192</v>
      </c>
      <c r="B4193" s="12">
        <v>15.3</v>
      </c>
      <c r="C4193" s="11">
        <v>0.29699522050123328</v>
      </c>
      <c r="D4193" s="11">
        <v>0</v>
      </c>
    </row>
    <row r="4194" spans="1:4" x14ac:dyDescent="0.2">
      <c r="A4194" s="10" t="s">
        <v>4193</v>
      </c>
      <c r="B4194" s="12">
        <v>14.05</v>
      </c>
      <c r="C4194" s="11">
        <v>0</v>
      </c>
      <c r="D4194" s="11">
        <v>0.94048486492057204</v>
      </c>
    </row>
    <row r="4195" spans="1:4" x14ac:dyDescent="0.2">
      <c r="A4195" s="10" t="s">
        <v>4194</v>
      </c>
      <c r="B4195" s="12">
        <v>13.3</v>
      </c>
      <c r="C4195" s="11">
        <v>0</v>
      </c>
      <c r="D4195" s="11">
        <v>1.6829729161736553</v>
      </c>
    </row>
    <row r="4196" spans="1:4" x14ac:dyDescent="0.2">
      <c r="A4196" s="10" t="s">
        <v>4195</v>
      </c>
      <c r="B4196" s="12">
        <v>14.76</v>
      </c>
      <c r="C4196" s="11">
        <v>0</v>
      </c>
      <c r="D4196" s="11">
        <v>0.23759617640098663</v>
      </c>
    </row>
    <row r="4197" spans="1:4" x14ac:dyDescent="0.2">
      <c r="A4197" s="10" t="s">
        <v>4196</v>
      </c>
      <c r="B4197" s="12">
        <v>14.18</v>
      </c>
      <c r="C4197" s="11">
        <v>0</v>
      </c>
      <c r="D4197" s="11">
        <v>0.81178693603670427</v>
      </c>
    </row>
    <row r="4198" spans="1:4" x14ac:dyDescent="0.2">
      <c r="A4198" s="10" t="s">
        <v>4197</v>
      </c>
      <c r="B4198" s="12">
        <v>14.56</v>
      </c>
      <c r="C4198" s="11">
        <v>0</v>
      </c>
      <c r="D4198" s="11">
        <v>0.43559299006847552</v>
      </c>
    </row>
    <row r="4199" spans="1:4" x14ac:dyDescent="0.2">
      <c r="A4199" s="10" t="s">
        <v>4198</v>
      </c>
      <c r="B4199" s="12">
        <v>12.28</v>
      </c>
      <c r="C4199" s="11">
        <v>0</v>
      </c>
      <c r="D4199" s="11">
        <v>2.692756665877849</v>
      </c>
    </row>
    <row r="4200" spans="1:4" x14ac:dyDescent="0.2">
      <c r="A4200" s="10" t="s">
        <v>4199</v>
      </c>
      <c r="B4200" s="12">
        <v>14.06</v>
      </c>
      <c r="C4200" s="11">
        <v>0</v>
      </c>
      <c r="D4200" s="11">
        <v>0.93058502423719758</v>
      </c>
    </row>
    <row r="4201" spans="1:4" x14ac:dyDescent="0.2">
      <c r="A4201" s="10" t="s">
        <v>4200</v>
      </c>
      <c r="B4201" s="12">
        <v>13.69</v>
      </c>
      <c r="C4201" s="11">
        <v>0</v>
      </c>
      <c r="D4201" s="11">
        <v>1.2968791295220521</v>
      </c>
    </row>
    <row r="4202" spans="1:4" x14ac:dyDescent="0.2">
      <c r="A4202" s="10" t="s">
        <v>4201</v>
      </c>
      <c r="B4202" s="12">
        <v>10.62</v>
      </c>
      <c r="C4202" s="11">
        <v>0</v>
      </c>
      <c r="D4202" s="11">
        <v>4.3361302193180062</v>
      </c>
    </row>
    <row r="4203" spans="1:4" x14ac:dyDescent="0.2">
      <c r="A4203" s="10" t="s">
        <v>4202</v>
      </c>
      <c r="B4203" s="12">
        <v>14.43</v>
      </c>
      <c r="C4203" s="11">
        <v>0</v>
      </c>
      <c r="D4203" s="11">
        <v>0.56429091895234318</v>
      </c>
    </row>
    <row r="4204" spans="1:4" x14ac:dyDescent="0.2">
      <c r="A4204" s="10" t="s">
        <v>4203</v>
      </c>
      <c r="B4204" s="12">
        <v>15.21</v>
      </c>
      <c r="C4204" s="11">
        <v>0.2078966543508633</v>
      </c>
      <c r="D4204" s="11">
        <v>0</v>
      </c>
    </row>
    <row r="4205" spans="1:4" x14ac:dyDescent="0.2">
      <c r="A4205" s="10" t="s">
        <v>4204</v>
      </c>
      <c r="B4205" s="12">
        <v>15.52</v>
      </c>
      <c r="C4205" s="11">
        <v>0.51479171553547109</v>
      </c>
      <c r="D4205" s="11">
        <v>0</v>
      </c>
    </row>
    <row r="4206" spans="1:4" x14ac:dyDescent="0.2">
      <c r="A4206" s="10" t="s">
        <v>4205</v>
      </c>
      <c r="B4206" s="12">
        <v>13.23</v>
      </c>
      <c r="C4206" s="11">
        <v>0</v>
      </c>
      <c r="D4206" s="11">
        <v>1.7522718009572764</v>
      </c>
    </row>
    <row r="4207" spans="1:4" x14ac:dyDescent="0.2">
      <c r="A4207" s="10" t="s">
        <v>4206</v>
      </c>
      <c r="B4207" s="12">
        <v>15.42</v>
      </c>
      <c r="C4207" s="11">
        <v>0.41579330870172659</v>
      </c>
      <c r="D4207" s="11">
        <v>0</v>
      </c>
    </row>
    <row r="4208" spans="1:4" x14ac:dyDescent="0.2">
      <c r="A4208" s="10" t="s">
        <v>4207</v>
      </c>
      <c r="B4208" s="12">
        <v>15.47</v>
      </c>
      <c r="C4208" s="11">
        <v>0.46529251211859879</v>
      </c>
      <c r="D4208" s="11">
        <v>0</v>
      </c>
    </row>
    <row r="4209" spans="1:4" x14ac:dyDescent="0.2">
      <c r="A4209" s="10" t="s">
        <v>4208</v>
      </c>
      <c r="B4209" s="12">
        <v>12.46</v>
      </c>
      <c r="C4209" s="11">
        <v>0</v>
      </c>
      <c r="D4209" s="11">
        <v>2.5145595335771085</v>
      </c>
    </row>
    <row r="4210" spans="1:4" x14ac:dyDescent="0.2">
      <c r="A4210" s="10" t="s">
        <v>4209</v>
      </c>
      <c r="B4210" s="12">
        <v>13.38</v>
      </c>
      <c r="C4210" s="11">
        <v>0</v>
      </c>
      <c r="D4210" s="11">
        <v>1.6037741907066601</v>
      </c>
    </row>
    <row r="4211" spans="1:4" x14ac:dyDescent="0.2">
      <c r="A4211" s="10" t="s">
        <v>4210</v>
      </c>
      <c r="B4211" s="12">
        <v>11.55</v>
      </c>
      <c r="C4211" s="11">
        <v>0</v>
      </c>
      <c r="D4211" s="11">
        <v>3.4154450357641832</v>
      </c>
    </row>
    <row r="4212" spans="1:4" x14ac:dyDescent="0.2">
      <c r="A4212" s="10" t="s">
        <v>4211</v>
      </c>
      <c r="B4212" s="12">
        <v>13.16</v>
      </c>
      <c r="C4212" s="11">
        <v>0</v>
      </c>
      <c r="D4212" s="11">
        <v>1.8215706857408978</v>
      </c>
    </row>
    <row r="4213" spans="1:4" x14ac:dyDescent="0.2">
      <c r="A4213" s="10" t="s">
        <v>4212</v>
      </c>
      <c r="B4213" s="12">
        <v>15.68</v>
      </c>
      <c r="C4213" s="11">
        <v>0.67318916646946225</v>
      </c>
      <c r="D4213" s="11">
        <v>0</v>
      </c>
    </row>
    <row r="4214" spans="1:4" x14ac:dyDescent="0.2">
      <c r="A4214" s="10" t="s">
        <v>4213</v>
      </c>
      <c r="B4214" s="12">
        <v>15.51</v>
      </c>
      <c r="C4214" s="11">
        <v>0.50489187485209663</v>
      </c>
      <c r="D4214" s="11">
        <v>0</v>
      </c>
    </row>
    <row r="4215" spans="1:4" x14ac:dyDescent="0.2">
      <c r="A4215" s="10" t="s">
        <v>4214</v>
      </c>
      <c r="B4215" s="12">
        <v>14.47</v>
      </c>
      <c r="C4215" s="11">
        <v>0</v>
      </c>
      <c r="D4215" s="11">
        <v>0.52469155621884556</v>
      </c>
    </row>
    <row r="4216" spans="1:4" x14ac:dyDescent="0.2">
      <c r="A4216" s="10" t="s">
        <v>4215</v>
      </c>
      <c r="B4216" s="12">
        <v>13.87</v>
      </c>
      <c r="C4216" s="11">
        <v>0</v>
      </c>
      <c r="D4216" s="11">
        <v>1.118681997221312</v>
      </c>
    </row>
    <row r="4217" spans="1:4" x14ac:dyDescent="0.2">
      <c r="A4217" s="10" t="s">
        <v>4216</v>
      </c>
      <c r="B4217" s="12">
        <v>12.16</v>
      </c>
      <c r="C4217" s="11">
        <v>0</v>
      </c>
      <c r="D4217" s="11">
        <v>2.8115547540783417</v>
      </c>
    </row>
    <row r="4218" spans="1:4" x14ac:dyDescent="0.2">
      <c r="A4218" s="10" t="s">
        <v>4217</v>
      </c>
      <c r="B4218" s="12">
        <v>13.25</v>
      </c>
      <c r="C4218" s="11">
        <v>0</v>
      </c>
      <c r="D4218" s="11">
        <v>1.7324721195905277</v>
      </c>
    </row>
    <row r="4219" spans="1:4" x14ac:dyDescent="0.2">
      <c r="A4219" s="10" t="s">
        <v>4218</v>
      </c>
      <c r="B4219" s="12">
        <v>14.6</v>
      </c>
      <c r="C4219" s="11">
        <v>0</v>
      </c>
      <c r="D4219" s="11">
        <v>0.39599362733497778</v>
      </c>
    </row>
    <row r="4220" spans="1:4" x14ac:dyDescent="0.2">
      <c r="A4220" s="10" t="s">
        <v>4219</v>
      </c>
      <c r="B4220" s="12">
        <v>13.11</v>
      </c>
      <c r="C4220" s="11">
        <v>0</v>
      </c>
      <c r="D4220" s="11">
        <v>1.8710698891577697</v>
      </c>
    </row>
    <row r="4221" spans="1:4" x14ac:dyDescent="0.2">
      <c r="A4221" s="10" t="s">
        <v>4220</v>
      </c>
      <c r="B4221" s="12">
        <v>14.41</v>
      </c>
      <c r="C4221" s="11">
        <v>0</v>
      </c>
      <c r="D4221" s="11">
        <v>0.5840906003190921</v>
      </c>
    </row>
    <row r="4222" spans="1:4" x14ac:dyDescent="0.2">
      <c r="A4222" s="10" t="s">
        <v>4221</v>
      </c>
      <c r="B4222" s="12">
        <v>13.75</v>
      </c>
      <c r="C4222" s="11">
        <v>0</v>
      </c>
      <c r="D4222" s="11">
        <v>1.2374800854218053</v>
      </c>
    </row>
    <row r="4223" spans="1:4" x14ac:dyDescent="0.2">
      <c r="A4223" s="10" t="s">
        <v>4222</v>
      </c>
      <c r="B4223" s="12">
        <v>13.85</v>
      </c>
      <c r="C4223" s="11">
        <v>0</v>
      </c>
      <c r="D4223" s="11">
        <v>1.1384816785880609</v>
      </c>
    </row>
    <row r="4224" spans="1:4" x14ac:dyDescent="0.2">
      <c r="A4224" s="10" t="s">
        <v>4223</v>
      </c>
      <c r="B4224" s="12">
        <v>12.17</v>
      </c>
      <c r="C4224" s="11">
        <v>0</v>
      </c>
      <c r="D4224" s="11">
        <v>2.8016549133949677</v>
      </c>
    </row>
    <row r="4225" spans="1:4" x14ac:dyDescent="0.2">
      <c r="A4225" s="10" t="s">
        <v>4224</v>
      </c>
      <c r="B4225" s="12">
        <v>12.53</v>
      </c>
      <c r="C4225" s="11">
        <v>0</v>
      </c>
      <c r="D4225" s="11">
        <v>2.4452606487934876</v>
      </c>
    </row>
    <row r="4226" spans="1:4" x14ac:dyDescent="0.2">
      <c r="A4226" s="10" t="s">
        <v>4225</v>
      </c>
      <c r="B4226" s="12">
        <v>13.74</v>
      </c>
      <c r="C4226" s="11">
        <v>0</v>
      </c>
      <c r="D4226" s="11">
        <v>1.2473799261051799</v>
      </c>
    </row>
    <row r="4227" spans="1:4" x14ac:dyDescent="0.2">
      <c r="A4227" s="10" t="s">
        <v>4226</v>
      </c>
      <c r="B4227" s="12">
        <v>12.99</v>
      </c>
      <c r="C4227" s="11">
        <v>0</v>
      </c>
      <c r="D4227" s="11">
        <v>1.9898679773582628</v>
      </c>
    </row>
    <row r="4228" spans="1:4" x14ac:dyDescent="0.2">
      <c r="A4228" s="10" t="s">
        <v>4227</v>
      </c>
      <c r="B4228" s="12">
        <v>13.98</v>
      </c>
      <c r="C4228" s="11">
        <v>0</v>
      </c>
      <c r="D4228" s="11">
        <v>1.0097837497041933</v>
      </c>
    </row>
    <row r="4229" spans="1:4" x14ac:dyDescent="0.2">
      <c r="A4229" s="10" t="s">
        <v>4228</v>
      </c>
      <c r="B4229" s="12">
        <v>14.49</v>
      </c>
      <c r="C4229" s="11">
        <v>0</v>
      </c>
      <c r="D4229" s="11">
        <v>0.50489187485209663</v>
      </c>
    </row>
    <row r="4230" spans="1:4" x14ac:dyDescent="0.2">
      <c r="A4230" s="10" t="s">
        <v>4229</v>
      </c>
      <c r="B4230" s="12">
        <v>14.25</v>
      </c>
      <c r="C4230" s="11">
        <v>0</v>
      </c>
      <c r="D4230" s="11">
        <v>0.74248805125308326</v>
      </c>
    </row>
    <row r="4231" spans="1:4" x14ac:dyDescent="0.2">
      <c r="A4231" s="10" t="s">
        <v>4230</v>
      </c>
      <c r="B4231" s="12">
        <v>15.49</v>
      </c>
      <c r="C4231" s="11">
        <v>0.48509219348534771</v>
      </c>
      <c r="D4231" s="11">
        <v>0</v>
      </c>
    </row>
    <row r="4232" spans="1:4" x14ac:dyDescent="0.2">
      <c r="A4232" s="10" t="s">
        <v>4231</v>
      </c>
      <c r="B4232" s="12">
        <v>12.67</v>
      </c>
      <c r="C4232" s="11">
        <v>0</v>
      </c>
      <c r="D4232" s="11">
        <v>2.3066628792262454</v>
      </c>
    </row>
    <row r="4233" spans="1:4" x14ac:dyDescent="0.2">
      <c r="A4233" s="10" t="s">
        <v>4232</v>
      </c>
      <c r="B4233" s="12">
        <v>13.75</v>
      </c>
      <c r="C4233" s="11">
        <v>0</v>
      </c>
      <c r="D4233" s="11">
        <v>1.2374800854218053</v>
      </c>
    </row>
    <row r="4234" spans="1:4" x14ac:dyDescent="0.2">
      <c r="A4234" s="10" t="s">
        <v>4233</v>
      </c>
      <c r="B4234" s="12">
        <v>12.96</v>
      </c>
      <c r="C4234" s="11">
        <v>0</v>
      </c>
      <c r="D4234" s="11">
        <v>2.0195674994083865</v>
      </c>
    </row>
    <row r="4235" spans="1:4" x14ac:dyDescent="0.2">
      <c r="A4235" s="10" t="s">
        <v>4234</v>
      </c>
      <c r="B4235" s="12">
        <v>14.16</v>
      </c>
      <c r="C4235" s="11">
        <v>0</v>
      </c>
      <c r="D4235" s="11">
        <v>0.83158661740345319</v>
      </c>
    </row>
    <row r="4236" spans="1:4" x14ac:dyDescent="0.2">
      <c r="A4236" s="10" t="s">
        <v>4235</v>
      </c>
      <c r="B4236" s="12">
        <v>15.55</v>
      </c>
      <c r="C4236" s="11">
        <v>0.54449123758559448</v>
      </c>
      <c r="D4236" s="11">
        <v>0</v>
      </c>
    </row>
    <row r="4237" spans="1:4" x14ac:dyDescent="0.2">
      <c r="A4237" s="10" t="s">
        <v>4236</v>
      </c>
      <c r="B4237" s="12">
        <v>12.63</v>
      </c>
      <c r="C4237" s="11">
        <v>0</v>
      </c>
      <c r="D4237" s="11">
        <v>2.3462622419597432</v>
      </c>
    </row>
    <row r="4238" spans="1:4" x14ac:dyDescent="0.2">
      <c r="A4238" s="10" t="s">
        <v>4237</v>
      </c>
      <c r="B4238" s="12">
        <v>14.18</v>
      </c>
      <c r="C4238" s="11">
        <v>0</v>
      </c>
      <c r="D4238" s="11">
        <v>0.81178693603670427</v>
      </c>
    </row>
    <row r="4239" spans="1:4" x14ac:dyDescent="0.2">
      <c r="A4239" s="10" t="s">
        <v>4238</v>
      </c>
      <c r="B4239" s="12">
        <v>16.3</v>
      </c>
      <c r="C4239" s="11">
        <v>1.2869792888386777</v>
      </c>
      <c r="D4239" s="11">
        <v>0</v>
      </c>
    </row>
    <row r="4240" spans="1:4" x14ac:dyDescent="0.2">
      <c r="A4240" s="10" t="s">
        <v>4239</v>
      </c>
      <c r="B4240" s="12">
        <v>14.11</v>
      </c>
      <c r="C4240" s="11">
        <v>0</v>
      </c>
      <c r="D4240" s="11">
        <v>0.88108582082032549</v>
      </c>
    </row>
    <row r="4241" spans="1:4" x14ac:dyDescent="0.2">
      <c r="A4241" s="10" t="s">
        <v>4240</v>
      </c>
      <c r="B4241" s="12">
        <v>14.72</v>
      </c>
      <c r="C4241" s="11">
        <v>0</v>
      </c>
      <c r="D4241" s="11">
        <v>0.27719553913448447</v>
      </c>
    </row>
    <row r="4242" spans="1:4" x14ac:dyDescent="0.2">
      <c r="A4242" s="10" t="s">
        <v>4241</v>
      </c>
      <c r="B4242" s="12">
        <v>14.91</v>
      </c>
      <c r="C4242" s="11">
        <v>0</v>
      </c>
      <c r="D4242" s="11">
        <v>8.9098566150369984E-2</v>
      </c>
    </row>
    <row r="4243" spans="1:4" x14ac:dyDescent="0.2">
      <c r="A4243" s="10" t="s">
        <v>4242</v>
      </c>
      <c r="B4243" s="12">
        <v>13.26</v>
      </c>
      <c r="C4243" s="11">
        <v>0</v>
      </c>
      <c r="D4243" s="11">
        <v>1.7225722789071531</v>
      </c>
    </row>
    <row r="4244" spans="1:4" x14ac:dyDescent="0.2">
      <c r="A4244" s="10" t="s">
        <v>4243</v>
      </c>
      <c r="B4244" s="12">
        <v>15.23</v>
      </c>
      <c r="C4244" s="11">
        <v>0.22769633571761222</v>
      </c>
      <c r="D4244" s="11">
        <v>0</v>
      </c>
    </row>
    <row r="4245" spans="1:4" x14ac:dyDescent="0.2">
      <c r="A4245" s="10" t="s">
        <v>4244</v>
      </c>
      <c r="B4245" s="12">
        <v>14.54</v>
      </c>
      <c r="C4245" s="11">
        <v>0</v>
      </c>
      <c r="D4245" s="11">
        <v>0.45539267143522444</v>
      </c>
    </row>
    <row r="4246" spans="1:4" x14ac:dyDescent="0.2">
      <c r="A4246" s="10" t="s">
        <v>4245</v>
      </c>
      <c r="B4246" s="12">
        <v>12.81</v>
      </c>
      <c r="C4246" s="11">
        <v>0</v>
      </c>
      <c r="D4246" s="11">
        <v>2.1680651096590031</v>
      </c>
    </row>
    <row r="4247" spans="1:4" x14ac:dyDescent="0.2">
      <c r="A4247" s="10" t="s">
        <v>4246</v>
      </c>
      <c r="B4247" s="12">
        <v>15.08</v>
      </c>
      <c r="C4247" s="11">
        <v>7.9198725466995551E-2</v>
      </c>
      <c r="D4247" s="11">
        <v>0</v>
      </c>
    </row>
    <row r="4248" spans="1:4" x14ac:dyDescent="0.2">
      <c r="A4248" s="10" t="s">
        <v>4247</v>
      </c>
      <c r="B4248" s="12">
        <v>13.34</v>
      </c>
      <c r="C4248" s="11">
        <v>0</v>
      </c>
      <c r="D4248" s="11">
        <v>1.6433735534401575</v>
      </c>
    </row>
    <row r="4249" spans="1:4" x14ac:dyDescent="0.2">
      <c r="A4249" s="10" t="s">
        <v>4248</v>
      </c>
      <c r="B4249" s="12">
        <v>13.42</v>
      </c>
      <c r="C4249" s="11">
        <v>0</v>
      </c>
      <c r="D4249" s="11">
        <v>1.5641748279731622</v>
      </c>
    </row>
    <row r="4250" spans="1:4" x14ac:dyDescent="0.2">
      <c r="A4250" s="10" t="s">
        <v>4249</v>
      </c>
      <c r="B4250" s="12">
        <v>12.53</v>
      </c>
      <c r="C4250" s="11">
        <v>0</v>
      </c>
      <c r="D4250" s="11">
        <v>2.4452606487934876</v>
      </c>
    </row>
    <row r="4251" spans="1:4" x14ac:dyDescent="0.2">
      <c r="A4251" s="10" t="s">
        <v>4250</v>
      </c>
      <c r="B4251" s="12">
        <v>13.65</v>
      </c>
      <c r="C4251" s="11">
        <v>0</v>
      </c>
      <c r="D4251" s="11">
        <v>1.3364784922555499</v>
      </c>
    </row>
    <row r="4252" spans="1:4" x14ac:dyDescent="0.2">
      <c r="A4252" s="10" t="s">
        <v>4251</v>
      </c>
      <c r="B4252" s="12">
        <v>13.41</v>
      </c>
      <c r="C4252" s="11">
        <v>0</v>
      </c>
      <c r="D4252" s="11">
        <v>1.5740746686565366</v>
      </c>
    </row>
    <row r="4253" spans="1:4" x14ac:dyDescent="0.2">
      <c r="A4253" s="10" t="s">
        <v>4252</v>
      </c>
      <c r="B4253" s="12">
        <v>14.32</v>
      </c>
      <c r="C4253" s="11">
        <v>0</v>
      </c>
      <c r="D4253" s="11">
        <v>0.67318916646946225</v>
      </c>
    </row>
    <row r="4254" spans="1:4" x14ac:dyDescent="0.2">
      <c r="A4254" s="10" t="s">
        <v>4253</v>
      </c>
      <c r="B4254" s="12">
        <v>12.05</v>
      </c>
      <c r="C4254" s="11">
        <v>0</v>
      </c>
      <c r="D4254" s="11">
        <v>2.9204530015954608</v>
      </c>
    </row>
    <row r="4255" spans="1:4" x14ac:dyDescent="0.2">
      <c r="A4255" s="10" t="s">
        <v>4254</v>
      </c>
      <c r="B4255" s="12">
        <v>14.28</v>
      </c>
      <c r="C4255" s="11">
        <v>0</v>
      </c>
      <c r="D4255" s="11">
        <v>0.71278852920295988</v>
      </c>
    </row>
    <row r="4256" spans="1:4" x14ac:dyDescent="0.2">
      <c r="A4256" s="10" t="s">
        <v>4255</v>
      </c>
      <c r="B4256" s="12">
        <v>15.92</v>
      </c>
      <c r="C4256" s="11">
        <v>0.91078534287044888</v>
      </c>
      <c r="D4256" s="11">
        <v>0</v>
      </c>
    </row>
    <row r="4257" spans="1:4" x14ac:dyDescent="0.2">
      <c r="A4257" s="10" t="s">
        <v>4256</v>
      </c>
      <c r="B4257" s="12">
        <v>13.69</v>
      </c>
      <c r="C4257" s="11">
        <v>0</v>
      </c>
      <c r="D4257" s="11">
        <v>1.2968791295220521</v>
      </c>
    </row>
    <row r="4258" spans="1:4" x14ac:dyDescent="0.2">
      <c r="A4258" s="10" t="s">
        <v>4257</v>
      </c>
      <c r="B4258" s="12">
        <v>15.25</v>
      </c>
      <c r="C4258" s="11">
        <v>0.24749601708436109</v>
      </c>
      <c r="D4258" s="11">
        <v>0</v>
      </c>
    </row>
    <row r="4259" spans="1:4" x14ac:dyDescent="0.2">
      <c r="A4259" s="10" t="s">
        <v>4258</v>
      </c>
      <c r="B4259" s="12">
        <v>13.39</v>
      </c>
      <c r="C4259" s="11">
        <v>0</v>
      </c>
      <c r="D4259" s="11">
        <v>1.5938743500232855</v>
      </c>
    </row>
    <row r="4260" spans="1:4" x14ac:dyDescent="0.2">
      <c r="A4260" s="10" t="s">
        <v>4259</v>
      </c>
      <c r="B4260" s="12">
        <v>11.63</v>
      </c>
      <c r="C4260" s="11">
        <v>0</v>
      </c>
      <c r="D4260" s="11">
        <v>3.3362463102971875</v>
      </c>
    </row>
    <row r="4261" spans="1:4" x14ac:dyDescent="0.2">
      <c r="A4261" s="10" t="s">
        <v>4260</v>
      </c>
      <c r="B4261" s="12">
        <v>14.41</v>
      </c>
      <c r="C4261" s="11">
        <v>0</v>
      </c>
      <c r="D4261" s="11">
        <v>0.5840906003190921</v>
      </c>
    </row>
    <row r="4262" spans="1:4" x14ac:dyDescent="0.2">
      <c r="A4262" s="10" t="s">
        <v>4261</v>
      </c>
      <c r="B4262" s="12">
        <v>16.100000000000001</v>
      </c>
      <c r="C4262" s="11">
        <v>1.088982475171189</v>
      </c>
      <c r="D4262" s="11">
        <v>0</v>
      </c>
    </row>
    <row r="4263" spans="1:4" x14ac:dyDescent="0.2">
      <c r="A4263" s="10" t="s">
        <v>4262</v>
      </c>
      <c r="B4263" s="12">
        <v>12.92</v>
      </c>
      <c r="C4263" s="11">
        <v>0</v>
      </c>
      <c r="D4263" s="11">
        <v>2.0591668621418844</v>
      </c>
    </row>
    <row r="4264" spans="1:4" x14ac:dyDescent="0.2">
      <c r="A4264" s="10" t="s">
        <v>4263</v>
      </c>
      <c r="B4264" s="12">
        <v>15.28</v>
      </c>
      <c r="C4264" s="11">
        <v>0.27719553913448447</v>
      </c>
      <c r="D4264" s="11">
        <v>0</v>
      </c>
    </row>
    <row r="4265" spans="1:4" x14ac:dyDescent="0.2">
      <c r="A4265" s="10" t="s">
        <v>4264</v>
      </c>
      <c r="B4265" s="12">
        <v>12.29</v>
      </c>
      <c r="C4265" s="11">
        <v>0</v>
      </c>
      <c r="D4265" s="11">
        <v>2.6828568251944742</v>
      </c>
    </row>
    <row r="4266" spans="1:4" x14ac:dyDescent="0.2">
      <c r="A4266" s="10" t="s">
        <v>4265</v>
      </c>
      <c r="B4266" s="12">
        <v>13.31</v>
      </c>
      <c r="C4266" s="11">
        <v>0</v>
      </c>
      <c r="D4266" s="11">
        <v>1.6730730754902809</v>
      </c>
    </row>
    <row r="4267" spans="1:4" x14ac:dyDescent="0.2">
      <c r="A4267" s="10" t="s">
        <v>4266</v>
      </c>
      <c r="B4267" s="12">
        <v>16.100000000000001</v>
      </c>
      <c r="C4267" s="11">
        <v>1.088982475171189</v>
      </c>
      <c r="D4267" s="11">
        <v>0</v>
      </c>
    </row>
    <row r="4268" spans="1:4" x14ac:dyDescent="0.2">
      <c r="A4268" s="10" t="s">
        <v>4267</v>
      </c>
      <c r="B4268" s="12">
        <v>13.24</v>
      </c>
      <c r="C4268" s="11">
        <v>0</v>
      </c>
      <c r="D4268" s="11">
        <v>1.7423719602739021</v>
      </c>
    </row>
    <row r="4269" spans="1:4" x14ac:dyDescent="0.2">
      <c r="A4269" s="10" t="s">
        <v>4268</v>
      </c>
      <c r="B4269" s="12">
        <v>13.54</v>
      </c>
      <c r="C4269" s="11">
        <v>0</v>
      </c>
      <c r="D4269" s="11">
        <v>1.4453767397726687</v>
      </c>
    </row>
    <row r="4270" spans="1:4" x14ac:dyDescent="0.2">
      <c r="A4270" s="10" t="s">
        <v>4269</v>
      </c>
      <c r="B4270" s="12">
        <v>14.03</v>
      </c>
      <c r="C4270" s="11">
        <v>0</v>
      </c>
      <c r="D4270" s="11">
        <v>0.96028454628732096</v>
      </c>
    </row>
    <row r="4271" spans="1:4" x14ac:dyDescent="0.2">
      <c r="A4271" s="10" t="s">
        <v>4270</v>
      </c>
      <c r="B4271" s="12">
        <v>14.16</v>
      </c>
      <c r="C4271" s="11">
        <v>0</v>
      </c>
      <c r="D4271" s="11">
        <v>0.83158661740345319</v>
      </c>
    </row>
    <row r="4272" spans="1:4" x14ac:dyDescent="0.2">
      <c r="A4272" s="10" t="s">
        <v>4271</v>
      </c>
      <c r="B4272" s="12">
        <v>15.19</v>
      </c>
      <c r="C4272" s="11">
        <v>0.18809697298411443</v>
      </c>
      <c r="D4272" s="11">
        <v>0</v>
      </c>
    </row>
    <row r="4273" spans="1:4" x14ac:dyDescent="0.2">
      <c r="A4273" s="10" t="s">
        <v>4272</v>
      </c>
      <c r="B4273" s="12">
        <v>14.59</v>
      </c>
      <c r="C4273" s="11">
        <v>0</v>
      </c>
      <c r="D4273" s="11">
        <v>0.40589346801835213</v>
      </c>
    </row>
    <row r="4274" spans="1:4" x14ac:dyDescent="0.2">
      <c r="A4274" s="10" t="s">
        <v>4273</v>
      </c>
      <c r="B4274" s="12">
        <v>14.27</v>
      </c>
      <c r="C4274" s="11">
        <v>0</v>
      </c>
      <c r="D4274" s="11">
        <v>0.72268836988633434</v>
      </c>
    </row>
    <row r="4275" spans="1:4" x14ac:dyDescent="0.2">
      <c r="A4275" s="10" t="s">
        <v>4274</v>
      </c>
      <c r="B4275" s="12">
        <v>14.75</v>
      </c>
      <c r="C4275" s="11">
        <v>0</v>
      </c>
      <c r="D4275" s="11">
        <v>0.24749601708436109</v>
      </c>
    </row>
    <row r="4276" spans="1:4" x14ac:dyDescent="0.2">
      <c r="A4276" s="10" t="s">
        <v>4275</v>
      </c>
      <c r="B4276" s="12">
        <v>15.57</v>
      </c>
      <c r="C4276" s="11">
        <v>0.56429091895234318</v>
      </c>
      <c r="D4276" s="11">
        <v>0</v>
      </c>
    </row>
    <row r="4277" spans="1:4" x14ac:dyDescent="0.2">
      <c r="A4277" s="10" t="s">
        <v>4276</v>
      </c>
      <c r="B4277" s="12">
        <v>12.98</v>
      </c>
      <c r="C4277" s="11">
        <v>0</v>
      </c>
      <c r="D4277" s="11">
        <v>1.9997678180416376</v>
      </c>
    </row>
    <row r="4278" spans="1:4" x14ac:dyDescent="0.2">
      <c r="A4278" s="10" t="s">
        <v>4277</v>
      </c>
      <c r="B4278" s="12">
        <v>16.07</v>
      </c>
      <c r="C4278" s="11">
        <v>1.0592829531210655</v>
      </c>
      <c r="D4278" s="11">
        <v>0</v>
      </c>
    </row>
    <row r="4279" spans="1:4" x14ac:dyDescent="0.2">
      <c r="A4279" s="10" t="s">
        <v>4278</v>
      </c>
      <c r="B4279" s="12">
        <v>15.23</v>
      </c>
      <c r="C4279" s="11">
        <v>0.22769633571761222</v>
      </c>
      <c r="D4279" s="11">
        <v>0</v>
      </c>
    </row>
    <row r="4280" spans="1:4" x14ac:dyDescent="0.2">
      <c r="A4280" s="10" t="s">
        <v>4279</v>
      </c>
      <c r="B4280" s="12">
        <v>14.43</v>
      </c>
      <c r="C4280" s="11">
        <v>0</v>
      </c>
      <c r="D4280" s="11">
        <v>0.56429091895234318</v>
      </c>
    </row>
    <row r="4281" spans="1:4" x14ac:dyDescent="0.2">
      <c r="A4281" s="10" t="s">
        <v>4280</v>
      </c>
      <c r="B4281" s="12">
        <v>13.47</v>
      </c>
      <c r="C4281" s="11">
        <v>0</v>
      </c>
      <c r="D4281" s="11">
        <v>1.5146756245562898</v>
      </c>
    </row>
    <row r="4282" spans="1:4" x14ac:dyDescent="0.2">
      <c r="A4282" s="10" t="s">
        <v>4281</v>
      </c>
      <c r="B4282" s="12">
        <v>13.66</v>
      </c>
      <c r="C4282" s="11">
        <v>0</v>
      </c>
      <c r="D4282" s="11">
        <v>1.3265786515721756</v>
      </c>
    </row>
    <row r="4283" spans="1:4" x14ac:dyDescent="0.2">
      <c r="A4283" s="10" t="s">
        <v>4282</v>
      </c>
      <c r="B4283" s="12">
        <v>14.62</v>
      </c>
      <c r="C4283" s="11">
        <v>0</v>
      </c>
      <c r="D4283" s="11">
        <v>0.37619394596822886</v>
      </c>
    </row>
    <row r="4284" spans="1:4" x14ac:dyDescent="0.2">
      <c r="A4284" s="10" t="s">
        <v>4283</v>
      </c>
      <c r="B4284" s="12">
        <v>15.19</v>
      </c>
      <c r="C4284" s="11">
        <v>0.18809697298411443</v>
      </c>
      <c r="D4284" s="11">
        <v>0</v>
      </c>
    </row>
    <row r="4285" spans="1:4" x14ac:dyDescent="0.2">
      <c r="A4285" s="10" t="s">
        <v>4284</v>
      </c>
      <c r="B4285" s="12">
        <v>14.4</v>
      </c>
      <c r="C4285" s="11">
        <v>0</v>
      </c>
      <c r="D4285" s="11">
        <v>0.59399044100246656</v>
      </c>
    </row>
    <row r="4286" spans="1:4" x14ac:dyDescent="0.2">
      <c r="A4286" s="10" t="s">
        <v>4285</v>
      </c>
      <c r="B4286" s="12">
        <v>16.52</v>
      </c>
      <c r="C4286" s="11">
        <v>1.5047757838729154</v>
      </c>
      <c r="D4286" s="11">
        <v>0</v>
      </c>
    </row>
    <row r="4287" spans="1:4" x14ac:dyDescent="0.2">
      <c r="A4287" s="10" t="s">
        <v>4286</v>
      </c>
      <c r="B4287" s="12">
        <v>14.97</v>
      </c>
      <c r="C4287" s="11">
        <v>0</v>
      </c>
      <c r="D4287" s="11">
        <v>2.9699522050123328E-2</v>
      </c>
    </row>
    <row r="4288" spans="1:4" x14ac:dyDescent="0.2">
      <c r="A4288" s="10" t="s">
        <v>4287</v>
      </c>
      <c r="B4288" s="12">
        <v>13.46</v>
      </c>
      <c r="C4288" s="11">
        <v>0</v>
      </c>
      <c r="D4288" s="11">
        <v>1.5245754652396644</v>
      </c>
    </row>
    <row r="4289" spans="1:4" x14ac:dyDescent="0.2">
      <c r="A4289" s="10" t="s">
        <v>4288</v>
      </c>
      <c r="B4289" s="12">
        <v>14.1</v>
      </c>
      <c r="C4289" s="11">
        <v>0</v>
      </c>
      <c r="D4289" s="11">
        <v>0.89098566150369995</v>
      </c>
    </row>
    <row r="4290" spans="1:4" x14ac:dyDescent="0.2">
      <c r="A4290" s="10" t="s">
        <v>4289</v>
      </c>
      <c r="B4290" s="12">
        <v>13.1</v>
      </c>
      <c r="C4290" s="11">
        <v>0</v>
      </c>
      <c r="D4290" s="11">
        <v>1.8809697298411441</v>
      </c>
    </row>
    <row r="4291" spans="1:4" x14ac:dyDescent="0.2">
      <c r="A4291" s="10" t="s">
        <v>4290</v>
      </c>
      <c r="B4291" s="12">
        <v>13.39</v>
      </c>
      <c r="C4291" s="11">
        <v>0</v>
      </c>
      <c r="D4291" s="11">
        <v>1.5938743500232855</v>
      </c>
    </row>
    <row r="4292" spans="1:4" x14ac:dyDescent="0.2">
      <c r="A4292" s="10" t="s">
        <v>4291</v>
      </c>
      <c r="B4292" s="12">
        <v>13.35</v>
      </c>
      <c r="C4292" s="11">
        <v>0</v>
      </c>
      <c r="D4292" s="11">
        <v>1.6433735534401575</v>
      </c>
    </row>
    <row r="4293" spans="1:4" x14ac:dyDescent="0.2">
      <c r="A4293" s="10" t="s">
        <v>4292</v>
      </c>
      <c r="B4293" s="12">
        <v>13.28</v>
      </c>
      <c r="C4293" s="11">
        <v>0</v>
      </c>
      <c r="D4293" s="11">
        <v>1.7027725975404042</v>
      </c>
    </row>
    <row r="4294" spans="1:4" x14ac:dyDescent="0.2">
      <c r="A4294" s="10" t="s">
        <v>4293</v>
      </c>
      <c r="B4294" s="12">
        <v>12.35</v>
      </c>
      <c r="C4294" s="11">
        <v>0</v>
      </c>
      <c r="D4294" s="11">
        <v>2.6234577810942272</v>
      </c>
    </row>
    <row r="4295" spans="1:4" x14ac:dyDescent="0.2">
      <c r="A4295" s="10" t="s">
        <v>4294</v>
      </c>
      <c r="B4295" s="12">
        <v>14.08</v>
      </c>
      <c r="C4295" s="11">
        <v>0</v>
      </c>
      <c r="D4295" s="11">
        <v>0.91078534287044888</v>
      </c>
    </row>
    <row r="4296" spans="1:4" x14ac:dyDescent="0.2">
      <c r="A4296" s="10" t="s">
        <v>4295</v>
      </c>
      <c r="B4296" s="12">
        <v>14.09</v>
      </c>
      <c r="C4296" s="11">
        <v>0</v>
      </c>
      <c r="D4296" s="11">
        <v>0.90088550218707442</v>
      </c>
    </row>
    <row r="4297" spans="1:4" x14ac:dyDescent="0.2">
      <c r="A4297" s="10" t="s">
        <v>4296</v>
      </c>
      <c r="B4297" s="12">
        <v>14.85</v>
      </c>
      <c r="C4297" s="11">
        <v>0</v>
      </c>
      <c r="D4297" s="11">
        <v>0.14849761025061664</v>
      </c>
    </row>
    <row r="4298" spans="1:4" x14ac:dyDescent="0.2">
      <c r="A4298" s="10" t="s">
        <v>4297</v>
      </c>
      <c r="B4298" s="12">
        <v>14.51</v>
      </c>
      <c r="C4298" s="11">
        <v>0</v>
      </c>
      <c r="D4298" s="11">
        <v>0.48509219348534771</v>
      </c>
    </row>
    <row r="4299" spans="1:4" x14ac:dyDescent="0.2">
      <c r="A4299" s="10" t="s">
        <v>4298</v>
      </c>
      <c r="B4299" s="12">
        <v>14.19</v>
      </c>
      <c r="C4299" s="11">
        <v>0</v>
      </c>
      <c r="D4299" s="11">
        <v>0.80188709535333003</v>
      </c>
    </row>
    <row r="4300" spans="1:4" x14ac:dyDescent="0.2">
      <c r="A4300" s="10" t="s">
        <v>4299</v>
      </c>
      <c r="B4300" s="12">
        <v>14.71</v>
      </c>
      <c r="C4300" s="11">
        <v>0</v>
      </c>
      <c r="D4300" s="11">
        <v>0.28709537981785882</v>
      </c>
    </row>
    <row r="4301" spans="1:4" x14ac:dyDescent="0.2">
      <c r="A4301" s="10" t="s">
        <v>4300</v>
      </c>
      <c r="B4301" s="12">
        <v>14.26</v>
      </c>
      <c r="C4301" s="11">
        <v>0</v>
      </c>
      <c r="D4301" s="11">
        <v>0.7325882105697088</v>
      </c>
    </row>
    <row r="4302" spans="1:4" x14ac:dyDescent="0.2">
      <c r="A4302" s="10" t="s">
        <v>4301</v>
      </c>
      <c r="B4302" s="12">
        <v>14.54</v>
      </c>
      <c r="C4302" s="11">
        <v>0</v>
      </c>
      <c r="D4302" s="11">
        <v>0.45539267143522444</v>
      </c>
    </row>
    <row r="4303" spans="1:4" x14ac:dyDescent="0.2">
      <c r="A4303" s="10" t="s">
        <v>4302</v>
      </c>
      <c r="B4303" s="12">
        <v>16.07</v>
      </c>
      <c r="C4303" s="11">
        <v>1.0592829531210655</v>
      </c>
      <c r="D4303" s="11">
        <v>0</v>
      </c>
    </row>
    <row r="4304" spans="1:4" x14ac:dyDescent="0.2">
      <c r="A4304" s="10" t="s">
        <v>4303</v>
      </c>
      <c r="B4304" s="12">
        <v>14.32</v>
      </c>
      <c r="C4304" s="11">
        <v>0</v>
      </c>
      <c r="D4304" s="11">
        <v>0.67318916646946225</v>
      </c>
    </row>
    <row r="4305" spans="1:4" x14ac:dyDescent="0.2">
      <c r="A4305" s="10" t="s">
        <v>4304</v>
      </c>
      <c r="B4305" s="12">
        <v>15.02</v>
      </c>
      <c r="C4305" s="11">
        <v>1.9799681366748888E-2</v>
      </c>
      <c r="D4305" s="11">
        <v>0</v>
      </c>
    </row>
    <row r="4306" spans="1:4" x14ac:dyDescent="0.2">
      <c r="A4306" s="10" t="s">
        <v>4305</v>
      </c>
      <c r="B4306" s="12">
        <v>14.79</v>
      </c>
      <c r="C4306" s="11">
        <v>0</v>
      </c>
      <c r="D4306" s="11">
        <v>0.2078966543508633</v>
      </c>
    </row>
    <row r="4307" spans="1:4" x14ac:dyDescent="0.2">
      <c r="A4307" s="10" t="s">
        <v>4306</v>
      </c>
      <c r="B4307" s="12">
        <v>12.55</v>
      </c>
      <c r="C4307" s="11">
        <v>0</v>
      </c>
      <c r="D4307" s="11">
        <v>2.4254609674267389</v>
      </c>
    </row>
    <row r="4308" spans="1:4" x14ac:dyDescent="0.2">
      <c r="A4308" s="10" t="s">
        <v>4307</v>
      </c>
      <c r="B4308" s="12">
        <v>14.41</v>
      </c>
      <c r="C4308" s="11">
        <v>0</v>
      </c>
      <c r="D4308" s="11">
        <v>0.5840906003190921</v>
      </c>
    </row>
    <row r="4309" spans="1:4" x14ac:dyDescent="0.2">
      <c r="A4309" s="10" t="s">
        <v>4308</v>
      </c>
      <c r="B4309" s="12">
        <v>14.29</v>
      </c>
      <c r="C4309" s="11">
        <v>0</v>
      </c>
      <c r="D4309" s="11">
        <v>0.70288868851958541</v>
      </c>
    </row>
    <row r="4310" spans="1:4" x14ac:dyDescent="0.2">
      <c r="A4310" s="10" t="s">
        <v>4309</v>
      </c>
      <c r="B4310" s="12">
        <v>15.4</v>
      </c>
      <c r="C4310" s="11">
        <v>0.39599362733497778</v>
      </c>
      <c r="D4310" s="11">
        <v>0</v>
      </c>
    </row>
    <row r="4311" spans="1:4" x14ac:dyDescent="0.2">
      <c r="A4311" s="10" t="s">
        <v>4310</v>
      </c>
      <c r="B4311" s="12">
        <v>15.72</v>
      </c>
      <c r="C4311" s="11">
        <v>0.71278852920295988</v>
      </c>
      <c r="D4311" s="11">
        <v>0</v>
      </c>
    </row>
    <row r="4312" spans="1:4" x14ac:dyDescent="0.2">
      <c r="A4312" s="10" t="s">
        <v>4311</v>
      </c>
      <c r="B4312" s="12">
        <v>13.34</v>
      </c>
      <c r="C4312" s="11">
        <v>0</v>
      </c>
      <c r="D4312" s="11">
        <v>1.6433735534401575</v>
      </c>
    </row>
    <row r="4313" spans="1:4" x14ac:dyDescent="0.2">
      <c r="A4313" s="10" t="s">
        <v>4312</v>
      </c>
      <c r="B4313" s="12">
        <v>13.87</v>
      </c>
      <c r="C4313" s="11">
        <v>0</v>
      </c>
      <c r="D4313" s="11">
        <v>1.118681997221312</v>
      </c>
    </row>
    <row r="4314" spans="1:4" x14ac:dyDescent="0.2">
      <c r="A4314" s="10" t="s">
        <v>4313</v>
      </c>
      <c r="B4314" s="12">
        <v>14.36</v>
      </c>
      <c r="C4314" s="11">
        <v>0</v>
      </c>
      <c r="D4314" s="11">
        <v>0.63358980373596441</v>
      </c>
    </row>
    <row r="4315" spans="1:4" x14ac:dyDescent="0.2">
      <c r="A4315" s="10" t="s">
        <v>4314</v>
      </c>
      <c r="B4315" s="12">
        <v>18.7</v>
      </c>
      <c r="C4315" s="11">
        <v>3.6629410528485442</v>
      </c>
      <c r="D4315" s="11">
        <v>0</v>
      </c>
    </row>
    <row r="4316" spans="1:4" x14ac:dyDescent="0.2">
      <c r="A4316" s="10" t="s">
        <v>4315</v>
      </c>
      <c r="B4316" s="12">
        <v>13.73</v>
      </c>
      <c r="C4316" s="11">
        <v>0</v>
      </c>
      <c r="D4316" s="11">
        <v>1.2572797667885542</v>
      </c>
    </row>
    <row r="4317" spans="1:4" x14ac:dyDescent="0.2">
      <c r="A4317" s="10" t="s">
        <v>4316</v>
      </c>
      <c r="B4317" s="12">
        <v>12.99</v>
      </c>
      <c r="C4317" s="11">
        <v>0</v>
      </c>
      <c r="D4317" s="11">
        <v>1.9898679773582628</v>
      </c>
    </row>
    <row r="4318" spans="1:4" x14ac:dyDescent="0.2">
      <c r="A4318" s="10" t="s">
        <v>4317</v>
      </c>
      <c r="B4318" s="12">
        <v>13.77</v>
      </c>
      <c r="C4318" s="11">
        <v>0</v>
      </c>
      <c r="D4318" s="11">
        <v>1.2176804040550566</v>
      </c>
    </row>
    <row r="4319" spans="1:4" x14ac:dyDescent="0.2">
      <c r="A4319" s="10" t="s">
        <v>4318</v>
      </c>
      <c r="B4319" s="12">
        <v>13.32</v>
      </c>
      <c r="C4319" s="11">
        <v>0</v>
      </c>
      <c r="D4319" s="11">
        <v>1.6631732348069064</v>
      </c>
    </row>
    <row r="4320" spans="1:4" x14ac:dyDescent="0.2">
      <c r="A4320" s="10" t="s">
        <v>4319</v>
      </c>
      <c r="B4320" s="12">
        <v>16.63</v>
      </c>
      <c r="C4320" s="11">
        <v>1.6136740313900342</v>
      </c>
      <c r="D4320" s="11">
        <v>0</v>
      </c>
    </row>
    <row r="4321" spans="1:4" x14ac:dyDescent="0.2">
      <c r="A4321" s="10" t="s">
        <v>4320</v>
      </c>
      <c r="B4321" s="12">
        <v>14.03</v>
      </c>
      <c r="C4321" s="11">
        <v>0</v>
      </c>
      <c r="D4321" s="11">
        <v>0.96028454628732096</v>
      </c>
    </row>
    <row r="4322" spans="1:4" x14ac:dyDescent="0.2">
      <c r="A4322" s="10" t="s">
        <v>4321</v>
      </c>
      <c r="B4322" s="12">
        <v>13.68</v>
      </c>
      <c r="C4322" s="11">
        <v>0</v>
      </c>
      <c r="D4322" s="11">
        <v>1.3067789702054267</v>
      </c>
    </row>
    <row r="4323" spans="1:4" x14ac:dyDescent="0.2">
      <c r="A4323" s="10" t="s">
        <v>4322</v>
      </c>
      <c r="B4323" s="12">
        <v>15.69</v>
      </c>
      <c r="C4323" s="11">
        <v>0.68308900715283649</v>
      </c>
      <c r="D4323" s="11">
        <v>0</v>
      </c>
    </row>
    <row r="4324" spans="1:4" x14ac:dyDescent="0.2">
      <c r="A4324" s="10" t="s">
        <v>4323</v>
      </c>
      <c r="B4324" s="12">
        <v>15.24</v>
      </c>
      <c r="C4324" s="11">
        <v>0.23759617640098663</v>
      </c>
      <c r="D4324" s="11">
        <v>0</v>
      </c>
    </row>
    <row r="4325" spans="1:4" x14ac:dyDescent="0.2">
      <c r="A4325" s="10" t="s">
        <v>4324</v>
      </c>
      <c r="B4325" s="12">
        <v>13.45</v>
      </c>
      <c r="C4325" s="11">
        <v>0</v>
      </c>
      <c r="D4325" s="11">
        <v>1.5344753059230387</v>
      </c>
    </row>
    <row r="4326" spans="1:4" x14ac:dyDescent="0.2">
      <c r="A4326" s="10" t="s">
        <v>4325</v>
      </c>
      <c r="B4326" s="12">
        <v>17.170000000000002</v>
      </c>
      <c r="C4326" s="11">
        <v>2.148265428292254</v>
      </c>
      <c r="D4326" s="11">
        <v>0</v>
      </c>
    </row>
    <row r="4327" spans="1:4" x14ac:dyDescent="0.2">
      <c r="A4327" s="10" t="s">
        <v>4326</v>
      </c>
      <c r="B4327" s="12">
        <v>17.399999999999999</v>
      </c>
      <c r="C4327" s="11">
        <v>2.3759617640098663</v>
      </c>
      <c r="D4327" s="11">
        <v>0</v>
      </c>
    </row>
    <row r="4328" spans="1:4" x14ac:dyDescent="0.2">
      <c r="A4328" s="10" t="s">
        <v>4327</v>
      </c>
      <c r="B4328" s="12">
        <v>14.4</v>
      </c>
      <c r="C4328" s="11">
        <v>0</v>
      </c>
      <c r="D4328" s="11">
        <v>0.59399044100246656</v>
      </c>
    </row>
    <row r="4329" spans="1:4" x14ac:dyDescent="0.2">
      <c r="A4329" s="10" t="s">
        <v>4328</v>
      </c>
      <c r="B4329" s="12">
        <v>13.08</v>
      </c>
      <c r="C4329" s="11">
        <v>0</v>
      </c>
      <c r="D4329" s="11">
        <v>1.900769411207893</v>
      </c>
    </row>
    <row r="4330" spans="1:4" x14ac:dyDescent="0.2">
      <c r="A4330" s="10" t="s">
        <v>4329</v>
      </c>
      <c r="B4330" s="12">
        <v>14.05</v>
      </c>
      <c r="C4330" s="11">
        <v>0</v>
      </c>
      <c r="D4330" s="11">
        <v>0.94048486492057204</v>
      </c>
    </row>
    <row r="4331" spans="1:4" x14ac:dyDescent="0.2">
      <c r="A4331" s="10" t="s">
        <v>4330</v>
      </c>
      <c r="B4331" s="12">
        <v>14.82</v>
      </c>
      <c r="C4331" s="11">
        <v>0</v>
      </c>
      <c r="D4331" s="11">
        <v>0.17819713230073997</v>
      </c>
    </row>
    <row r="4332" spans="1:4" x14ac:dyDescent="0.2">
      <c r="A4332" s="10" t="s">
        <v>4331</v>
      </c>
      <c r="B4332" s="12">
        <v>13.39</v>
      </c>
      <c r="C4332" s="11">
        <v>0</v>
      </c>
      <c r="D4332" s="11">
        <v>1.5938743500232855</v>
      </c>
    </row>
    <row r="4333" spans="1:4" x14ac:dyDescent="0.2">
      <c r="A4333" s="10" t="s">
        <v>4332</v>
      </c>
      <c r="B4333" s="12">
        <v>13.53</v>
      </c>
      <c r="C4333" s="11">
        <v>0</v>
      </c>
      <c r="D4333" s="11">
        <v>1.4552765804560432</v>
      </c>
    </row>
    <row r="4334" spans="1:4" x14ac:dyDescent="0.2">
      <c r="A4334" s="10" t="s">
        <v>4333</v>
      </c>
      <c r="B4334" s="12">
        <v>15.16</v>
      </c>
      <c r="C4334" s="11">
        <v>0.1583974509339911</v>
      </c>
      <c r="D4334" s="11">
        <v>0</v>
      </c>
    </row>
    <row r="4335" spans="1:4" x14ac:dyDescent="0.2">
      <c r="A4335" s="10" t="s">
        <v>4334</v>
      </c>
      <c r="B4335" s="12">
        <v>14.56</v>
      </c>
      <c r="C4335" s="11">
        <v>0</v>
      </c>
      <c r="D4335" s="11">
        <v>0.43559299006847552</v>
      </c>
    </row>
    <row r="4336" spans="1:4" x14ac:dyDescent="0.2">
      <c r="A4336" s="10" t="s">
        <v>4335</v>
      </c>
      <c r="B4336" s="12">
        <v>15.66</v>
      </c>
      <c r="C4336" s="11">
        <v>0.65338948510271333</v>
      </c>
      <c r="D4336" s="11">
        <v>0</v>
      </c>
    </row>
    <row r="4337" spans="1:4" x14ac:dyDescent="0.2">
      <c r="A4337" s="10" t="s">
        <v>4336</v>
      </c>
      <c r="B4337" s="12">
        <v>12.83</v>
      </c>
      <c r="C4337" s="11">
        <v>0</v>
      </c>
      <c r="D4337" s="11">
        <v>2.148265428292254</v>
      </c>
    </row>
    <row r="4338" spans="1:4" x14ac:dyDescent="0.2">
      <c r="A4338" s="10" t="s">
        <v>4337</v>
      </c>
      <c r="B4338" s="12">
        <v>15.86</v>
      </c>
      <c r="C4338" s="11">
        <v>0.85138629877020211</v>
      </c>
      <c r="D4338" s="11">
        <v>0</v>
      </c>
    </row>
    <row r="4339" spans="1:4" x14ac:dyDescent="0.2">
      <c r="A4339" s="10" t="s">
        <v>4338</v>
      </c>
      <c r="B4339" s="12">
        <v>13.2</v>
      </c>
      <c r="C4339" s="11">
        <v>0</v>
      </c>
      <c r="D4339" s="11">
        <v>1.7819713230073999</v>
      </c>
    </row>
    <row r="4340" spans="1:4" x14ac:dyDescent="0.2">
      <c r="A4340" s="10" t="s">
        <v>4339</v>
      </c>
      <c r="B4340" s="12">
        <v>13.59</v>
      </c>
      <c r="C4340" s="11">
        <v>0</v>
      </c>
      <c r="D4340" s="11">
        <v>1.3958775363557965</v>
      </c>
    </row>
    <row r="4341" spans="1:4" x14ac:dyDescent="0.2">
      <c r="A4341" s="10" t="s">
        <v>4340</v>
      </c>
      <c r="B4341" s="12">
        <v>14.17</v>
      </c>
      <c r="C4341" s="11">
        <v>0</v>
      </c>
      <c r="D4341" s="11">
        <v>0.82168677672007873</v>
      </c>
    </row>
    <row r="4342" spans="1:4" x14ac:dyDescent="0.2">
      <c r="A4342" s="10" t="s">
        <v>4341</v>
      </c>
      <c r="B4342" s="12">
        <v>14.58</v>
      </c>
      <c r="C4342" s="11">
        <v>0</v>
      </c>
      <c r="D4342" s="11">
        <v>0.41579330870172659</v>
      </c>
    </row>
    <row r="4343" spans="1:4" x14ac:dyDescent="0.2">
      <c r="A4343" s="10" t="s">
        <v>4342</v>
      </c>
      <c r="B4343" s="12">
        <v>14.86</v>
      </c>
      <c r="C4343" s="11">
        <v>0</v>
      </c>
      <c r="D4343" s="11">
        <v>0.13859776956724223</v>
      </c>
    </row>
    <row r="4344" spans="1:4" x14ac:dyDescent="0.2">
      <c r="A4344" s="10" t="s">
        <v>4343</v>
      </c>
      <c r="B4344" s="12">
        <v>14.93</v>
      </c>
      <c r="C4344" s="11">
        <v>0</v>
      </c>
      <c r="D4344" s="11">
        <v>7.9198725466995551E-2</v>
      </c>
    </row>
    <row r="4345" spans="1:4" x14ac:dyDescent="0.2">
      <c r="A4345" s="10" t="s">
        <v>4344</v>
      </c>
      <c r="B4345" s="12">
        <v>15.06</v>
      </c>
      <c r="C4345" s="11">
        <v>5.9399044100246656E-2</v>
      </c>
      <c r="D4345" s="11">
        <v>0</v>
      </c>
    </row>
    <row r="4346" spans="1:4" x14ac:dyDescent="0.2">
      <c r="A4346" s="10" t="s">
        <v>4345</v>
      </c>
      <c r="B4346" s="12">
        <v>15.85</v>
      </c>
      <c r="C4346" s="11">
        <v>0.84148645808682765</v>
      </c>
      <c r="D4346" s="11">
        <v>0</v>
      </c>
    </row>
    <row r="4347" spans="1:4" x14ac:dyDescent="0.2">
      <c r="A4347" s="10" t="s">
        <v>4346</v>
      </c>
      <c r="B4347" s="12">
        <v>12.84</v>
      </c>
      <c r="C4347" s="11">
        <v>0</v>
      </c>
      <c r="D4347" s="11">
        <v>2.1383655876088801</v>
      </c>
    </row>
    <row r="4348" spans="1:4" x14ac:dyDescent="0.2">
      <c r="A4348" s="10" t="s">
        <v>4347</v>
      </c>
      <c r="B4348" s="12">
        <v>13.68</v>
      </c>
      <c r="C4348" s="11">
        <v>0</v>
      </c>
      <c r="D4348" s="11">
        <v>1.3067789702054267</v>
      </c>
    </row>
    <row r="4349" spans="1:4" x14ac:dyDescent="0.2">
      <c r="A4349" s="10" t="s">
        <v>4348</v>
      </c>
      <c r="B4349" s="12">
        <v>13.1</v>
      </c>
      <c r="C4349" s="11">
        <v>0</v>
      </c>
      <c r="D4349" s="11">
        <v>1.8809697298411441</v>
      </c>
    </row>
    <row r="4350" spans="1:4" x14ac:dyDescent="0.2">
      <c r="A4350" s="10" t="s">
        <v>4349</v>
      </c>
      <c r="B4350" s="12">
        <v>14.81</v>
      </c>
      <c r="C4350" s="11">
        <v>0</v>
      </c>
      <c r="D4350" s="11">
        <v>0.18809697298411443</v>
      </c>
    </row>
    <row r="4351" spans="1:4" x14ac:dyDescent="0.2">
      <c r="A4351" s="10" t="s">
        <v>4350</v>
      </c>
      <c r="B4351" s="12">
        <v>12.69</v>
      </c>
      <c r="C4351" s="11">
        <v>0</v>
      </c>
      <c r="D4351" s="11">
        <v>2.2868631978594967</v>
      </c>
    </row>
    <row r="4352" spans="1:4" x14ac:dyDescent="0.2">
      <c r="A4352" s="10" t="s">
        <v>4351</v>
      </c>
      <c r="B4352" s="12">
        <v>14.69</v>
      </c>
      <c r="C4352" s="11">
        <v>0</v>
      </c>
      <c r="D4352" s="11">
        <v>0.3167949018679822</v>
      </c>
    </row>
    <row r="4353" spans="1:4" x14ac:dyDescent="0.2">
      <c r="A4353" s="10" t="s">
        <v>4352</v>
      </c>
      <c r="B4353" s="12">
        <v>12.43</v>
      </c>
      <c r="C4353" s="11">
        <v>0</v>
      </c>
      <c r="D4353" s="11">
        <v>2.544259055627232</v>
      </c>
    </row>
    <row r="4354" spans="1:4" x14ac:dyDescent="0.2">
      <c r="A4354" s="10" t="s">
        <v>4353</v>
      </c>
      <c r="B4354" s="12">
        <v>12.76</v>
      </c>
      <c r="C4354" s="11">
        <v>0</v>
      </c>
      <c r="D4354" s="11">
        <v>2.2175643130758758</v>
      </c>
    </row>
    <row r="4355" spans="1:4" x14ac:dyDescent="0.2">
      <c r="A4355" s="10" t="s">
        <v>4354</v>
      </c>
      <c r="B4355" s="12">
        <v>16.18</v>
      </c>
      <c r="C4355" s="11">
        <v>1.1681812006381842</v>
      </c>
      <c r="D4355" s="11">
        <v>0</v>
      </c>
    </row>
    <row r="4356" spans="1:4" x14ac:dyDescent="0.2">
      <c r="A4356" s="10" t="s">
        <v>4355</v>
      </c>
      <c r="B4356" s="12">
        <v>12.98</v>
      </c>
      <c r="C4356" s="11">
        <v>0</v>
      </c>
      <c r="D4356" s="11">
        <v>1.9997678180416376</v>
      </c>
    </row>
    <row r="4357" spans="1:4" x14ac:dyDescent="0.2">
      <c r="A4357" s="10" t="s">
        <v>4356</v>
      </c>
      <c r="B4357" s="12">
        <v>15</v>
      </c>
      <c r="C4357" s="11">
        <v>0</v>
      </c>
      <c r="D4357" s="11">
        <v>0</v>
      </c>
    </row>
    <row r="4358" spans="1:4" x14ac:dyDescent="0.2">
      <c r="A4358" s="10" t="s">
        <v>4357</v>
      </c>
      <c r="B4358" s="12">
        <v>13.32</v>
      </c>
      <c r="C4358" s="11">
        <v>0</v>
      </c>
      <c r="D4358" s="11">
        <v>1.6631732348069064</v>
      </c>
    </row>
    <row r="4359" spans="1:4" x14ac:dyDescent="0.2">
      <c r="A4359" s="10" t="s">
        <v>4358</v>
      </c>
      <c r="B4359" s="12">
        <v>12.21</v>
      </c>
      <c r="C4359" s="11">
        <v>0</v>
      </c>
      <c r="D4359" s="11">
        <v>2.7620555506614699</v>
      </c>
    </row>
    <row r="4360" spans="1:4" x14ac:dyDescent="0.2">
      <c r="A4360" s="10" t="s">
        <v>4359</v>
      </c>
      <c r="B4360" s="12">
        <v>14.67</v>
      </c>
      <c r="C4360" s="11">
        <v>0</v>
      </c>
      <c r="D4360" s="11">
        <v>0.32669474255135666</v>
      </c>
    </row>
    <row r="4361" spans="1:4" x14ac:dyDescent="0.2">
      <c r="A4361" s="10" t="s">
        <v>4360</v>
      </c>
      <c r="B4361" s="12">
        <v>13.92</v>
      </c>
      <c r="C4361" s="11">
        <v>0</v>
      </c>
      <c r="D4361" s="11">
        <v>1.06918279380444</v>
      </c>
    </row>
    <row r="4362" spans="1:4" x14ac:dyDescent="0.2">
      <c r="A4362" s="10" t="s">
        <v>4361</v>
      </c>
      <c r="B4362" s="12">
        <v>13.7</v>
      </c>
      <c r="C4362" s="11">
        <v>0</v>
      </c>
      <c r="D4362" s="11">
        <v>1.2869792888386777</v>
      </c>
    </row>
    <row r="4363" spans="1:4" x14ac:dyDescent="0.2">
      <c r="A4363" s="10" t="s">
        <v>4362</v>
      </c>
      <c r="B4363" s="12">
        <v>13.59</v>
      </c>
      <c r="C4363" s="11">
        <v>0</v>
      </c>
      <c r="D4363" s="11">
        <v>1.3958775363557965</v>
      </c>
    </row>
    <row r="4364" spans="1:4" x14ac:dyDescent="0.2">
      <c r="A4364" s="10" t="s">
        <v>4363</v>
      </c>
      <c r="B4364" s="12">
        <v>13.21</v>
      </c>
      <c r="C4364" s="11">
        <v>0</v>
      </c>
      <c r="D4364" s="11">
        <v>1.7720714823240253</v>
      </c>
    </row>
    <row r="4365" spans="1:4" x14ac:dyDescent="0.2">
      <c r="A4365" s="10" t="s">
        <v>4364</v>
      </c>
      <c r="B4365" s="12">
        <v>15.03</v>
      </c>
      <c r="C4365" s="11">
        <v>2.9699522050123328E-2</v>
      </c>
      <c r="D4365" s="11">
        <v>0</v>
      </c>
    </row>
    <row r="4366" spans="1:4" x14ac:dyDescent="0.2">
      <c r="A4366" s="10" t="s">
        <v>4365</v>
      </c>
      <c r="B4366" s="12">
        <v>14.4</v>
      </c>
      <c r="C4366" s="11">
        <v>0</v>
      </c>
      <c r="D4366" s="11">
        <v>0.59399044100246656</v>
      </c>
    </row>
    <row r="4367" spans="1:4" x14ac:dyDescent="0.2">
      <c r="A4367" s="10" t="s">
        <v>4366</v>
      </c>
      <c r="B4367" s="12">
        <v>14.78</v>
      </c>
      <c r="C4367" s="11">
        <v>0</v>
      </c>
      <c r="D4367" s="11">
        <v>0.21779649503423776</v>
      </c>
    </row>
    <row r="4368" spans="1:4" x14ac:dyDescent="0.2">
      <c r="A4368" s="10" t="s">
        <v>4367</v>
      </c>
      <c r="B4368" s="12">
        <v>12.56</v>
      </c>
      <c r="C4368" s="11">
        <v>0</v>
      </c>
      <c r="D4368" s="11">
        <v>2.4155611267433641</v>
      </c>
    </row>
    <row r="4369" spans="1:4" x14ac:dyDescent="0.2">
      <c r="A4369" s="10" t="s">
        <v>4368</v>
      </c>
      <c r="B4369" s="12">
        <v>15.22</v>
      </c>
      <c r="C4369" s="11">
        <v>0.21779649503423776</v>
      </c>
      <c r="D4369" s="11">
        <v>0</v>
      </c>
    </row>
    <row r="4370" spans="1:4" x14ac:dyDescent="0.2">
      <c r="A4370" s="10" t="s">
        <v>4369</v>
      </c>
      <c r="B4370" s="12">
        <v>13.79</v>
      </c>
      <c r="C4370" s="11">
        <v>0</v>
      </c>
      <c r="D4370" s="11">
        <v>1.1978807226883077</v>
      </c>
    </row>
    <row r="4371" spans="1:4" x14ac:dyDescent="0.2">
      <c r="A4371" s="10" t="s">
        <v>4370</v>
      </c>
      <c r="B4371" s="12">
        <v>13.73</v>
      </c>
      <c r="C4371" s="11">
        <v>0</v>
      </c>
      <c r="D4371" s="11">
        <v>1.2572797667885542</v>
      </c>
    </row>
    <row r="4372" spans="1:4" x14ac:dyDescent="0.2">
      <c r="A4372" s="10" t="s">
        <v>4371</v>
      </c>
      <c r="B4372" s="12">
        <v>13.62</v>
      </c>
      <c r="C4372" s="11">
        <v>0</v>
      </c>
      <c r="D4372" s="11">
        <v>1.366178014305673</v>
      </c>
    </row>
    <row r="4373" spans="1:4" x14ac:dyDescent="0.2">
      <c r="A4373" s="10" t="s">
        <v>4372</v>
      </c>
      <c r="B4373" s="12">
        <v>13.37</v>
      </c>
      <c r="C4373" s="11">
        <v>0</v>
      </c>
      <c r="D4373" s="11">
        <v>1.6136740313900342</v>
      </c>
    </row>
    <row r="4374" spans="1:4" x14ac:dyDescent="0.2">
      <c r="A4374" s="10" t="s">
        <v>4373</v>
      </c>
      <c r="B4374" s="12">
        <v>15.3</v>
      </c>
      <c r="C4374" s="11">
        <v>0.29699522050123328</v>
      </c>
      <c r="D4374" s="11">
        <v>0</v>
      </c>
    </row>
    <row r="4375" spans="1:4" x14ac:dyDescent="0.2">
      <c r="A4375" s="10" t="s">
        <v>4374</v>
      </c>
      <c r="B4375" s="12">
        <v>13.99</v>
      </c>
      <c r="C4375" s="11">
        <v>0</v>
      </c>
      <c r="D4375" s="11">
        <v>0.99988390902081881</v>
      </c>
    </row>
    <row r="4376" spans="1:4" x14ac:dyDescent="0.2">
      <c r="A4376" s="10" t="s">
        <v>4375</v>
      </c>
      <c r="B4376" s="12">
        <v>15.24</v>
      </c>
      <c r="C4376" s="11">
        <v>0.23759617640098663</v>
      </c>
      <c r="D4376" s="11">
        <v>0</v>
      </c>
    </row>
    <row r="4377" spans="1:4" x14ac:dyDescent="0.2">
      <c r="A4377" s="10" t="s">
        <v>4376</v>
      </c>
      <c r="B4377" s="12">
        <v>15.26</v>
      </c>
      <c r="C4377" s="11">
        <v>0.25739585776773555</v>
      </c>
      <c r="D4377" s="11">
        <v>0</v>
      </c>
    </row>
    <row r="4378" spans="1:4" x14ac:dyDescent="0.2">
      <c r="A4378" s="10" t="s">
        <v>4377</v>
      </c>
      <c r="B4378" s="12">
        <v>14</v>
      </c>
      <c r="C4378" s="11">
        <v>0</v>
      </c>
      <c r="D4378" s="11">
        <v>0.98998406833744435</v>
      </c>
    </row>
    <row r="4379" spans="1:4" x14ac:dyDescent="0.2">
      <c r="A4379" s="10" t="s">
        <v>4378</v>
      </c>
      <c r="B4379" s="12">
        <v>15.45</v>
      </c>
      <c r="C4379" s="11">
        <v>0.44549283075184998</v>
      </c>
      <c r="D4379" s="11">
        <v>0</v>
      </c>
    </row>
    <row r="4380" spans="1:4" x14ac:dyDescent="0.2">
      <c r="A4380" s="10" t="s">
        <v>4379</v>
      </c>
      <c r="B4380" s="12">
        <v>13.31</v>
      </c>
      <c r="C4380" s="11">
        <v>0</v>
      </c>
      <c r="D4380" s="11">
        <v>1.6730730754902809</v>
      </c>
    </row>
    <row r="4381" spans="1:4" x14ac:dyDescent="0.2">
      <c r="A4381" s="10" t="s">
        <v>4380</v>
      </c>
      <c r="B4381" s="12">
        <v>15.23</v>
      </c>
      <c r="C4381" s="11">
        <v>0.22769633571761222</v>
      </c>
      <c r="D4381" s="11">
        <v>0</v>
      </c>
    </row>
    <row r="4382" spans="1:4" x14ac:dyDescent="0.2">
      <c r="A4382" s="10" t="s">
        <v>4381</v>
      </c>
      <c r="B4382" s="12">
        <v>13.73</v>
      </c>
      <c r="C4382" s="11">
        <v>0</v>
      </c>
      <c r="D4382" s="11">
        <v>1.2572797667885542</v>
      </c>
    </row>
    <row r="4383" spans="1:4" x14ac:dyDescent="0.2">
      <c r="A4383" s="10" t="s">
        <v>4382</v>
      </c>
      <c r="B4383" s="12">
        <v>13.66</v>
      </c>
      <c r="C4383" s="11">
        <v>0</v>
      </c>
      <c r="D4383" s="11">
        <v>1.3265786515721756</v>
      </c>
    </row>
    <row r="4384" spans="1:4" x14ac:dyDescent="0.2">
      <c r="A4384" s="10" t="s">
        <v>4383</v>
      </c>
      <c r="B4384" s="12">
        <v>11.9</v>
      </c>
      <c r="C4384" s="11">
        <v>0</v>
      </c>
      <c r="D4384" s="11">
        <v>3.0689506118460774</v>
      </c>
    </row>
    <row r="4385" spans="1:4" x14ac:dyDescent="0.2">
      <c r="A4385" s="10" t="s">
        <v>4384</v>
      </c>
      <c r="B4385" s="12">
        <v>14.59</v>
      </c>
      <c r="C4385" s="11">
        <v>0</v>
      </c>
      <c r="D4385" s="11">
        <v>0.40589346801835213</v>
      </c>
    </row>
    <row r="4386" spans="1:4" x14ac:dyDescent="0.2">
      <c r="A4386" s="10" t="s">
        <v>4385</v>
      </c>
      <c r="B4386" s="12">
        <v>12.5</v>
      </c>
      <c r="C4386" s="11">
        <v>0</v>
      </c>
      <c r="D4386" s="11">
        <v>2.4749601708436106</v>
      </c>
    </row>
    <row r="4387" spans="1:4" x14ac:dyDescent="0.2">
      <c r="A4387" s="10" t="s">
        <v>4386</v>
      </c>
      <c r="B4387" s="12">
        <v>15.4</v>
      </c>
      <c r="C4387" s="11">
        <v>0.39599362733497778</v>
      </c>
      <c r="D4387" s="11">
        <v>0</v>
      </c>
    </row>
    <row r="4388" spans="1:4" x14ac:dyDescent="0.2">
      <c r="A4388" s="10" t="s">
        <v>4387</v>
      </c>
      <c r="B4388" s="12">
        <v>13.93</v>
      </c>
      <c r="C4388" s="11">
        <v>0</v>
      </c>
      <c r="D4388" s="11">
        <v>1.0592829531210655</v>
      </c>
    </row>
    <row r="4389" spans="1:4" x14ac:dyDescent="0.2">
      <c r="A4389" s="10" t="s">
        <v>4388</v>
      </c>
      <c r="B4389" s="12">
        <v>12.89</v>
      </c>
      <c r="C4389" s="11">
        <v>0</v>
      </c>
      <c r="D4389" s="11">
        <v>2.0888663841920074</v>
      </c>
    </row>
    <row r="4390" spans="1:4" x14ac:dyDescent="0.2">
      <c r="A4390" s="10" t="s">
        <v>4389</v>
      </c>
      <c r="B4390" s="12">
        <v>14.54</v>
      </c>
      <c r="C4390" s="11">
        <v>0</v>
      </c>
      <c r="D4390" s="11">
        <v>0.45539267143522444</v>
      </c>
    </row>
    <row r="4391" spans="1:4" x14ac:dyDescent="0.2">
      <c r="A4391" s="10" t="s">
        <v>4390</v>
      </c>
      <c r="B4391" s="12">
        <v>12.79</v>
      </c>
      <c r="C4391" s="11">
        <v>0</v>
      </c>
      <c r="D4391" s="11">
        <v>2.1878647910257518</v>
      </c>
    </row>
    <row r="4392" spans="1:4" x14ac:dyDescent="0.2">
      <c r="A4392" s="10" t="s">
        <v>4391</v>
      </c>
      <c r="B4392" s="12">
        <v>13.32</v>
      </c>
      <c r="C4392" s="11">
        <v>0</v>
      </c>
      <c r="D4392" s="11">
        <v>1.6631732348069064</v>
      </c>
    </row>
    <row r="4393" spans="1:4" x14ac:dyDescent="0.2">
      <c r="A4393" s="10" t="s">
        <v>4392</v>
      </c>
      <c r="B4393" s="12">
        <v>15.11</v>
      </c>
      <c r="C4393" s="11">
        <v>0.10889824751711888</v>
      </c>
      <c r="D4393" s="11">
        <v>0</v>
      </c>
    </row>
    <row r="4394" spans="1:4" x14ac:dyDescent="0.2">
      <c r="A4394" s="10" t="s">
        <v>4393</v>
      </c>
      <c r="B4394" s="12">
        <v>15.15</v>
      </c>
      <c r="C4394" s="11">
        <v>0.14849761025061664</v>
      </c>
      <c r="D4394" s="11">
        <v>0</v>
      </c>
    </row>
    <row r="4395" spans="1:4" x14ac:dyDescent="0.2">
      <c r="A4395" s="10" t="s">
        <v>4394</v>
      </c>
      <c r="B4395" s="12">
        <v>12.81</v>
      </c>
      <c r="C4395" s="11">
        <v>0</v>
      </c>
      <c r="D4395" s="11">
        <v>2.1680651096590031</v>
      </c>
    </row>
    <row r="4396" spans="1:4" x14ac:dyDescent="0.2">
      <c r="A4396" s="10" t="s">
        <v>4395</v>
      </c>
      <c r="B4396" s="12">
        <v>13.34</v>
      </c>
      <c r="C4396" s="11">
        <v>0</v>
      </c>
      <c r="D4396" s="11">
        <v>1.6433735534401575</v>
      </c>
    </row>
    <row r="4397" spans="1:4" x14ac:dyDescent="0.2">
      <c r="A4397" s="10" t="s">
        <v>4396</v>
      </c>
      <c r="B4397" s="12">
        <v>13.07</v>
      </c>
      <c r="C4397" s="11">
        <v>0</v>
      </c>
      <c r="D4397" s="11">
        <v>1.9106692518912676</v>
      </c>
    </row>
    <row r="4398" spans="1:4" x14ac:dyDescent="0.2">
      <c r="A4398" s="10" t="s">
        <v>4397</v>
      </c>
      <c r="B4398" s="12">
        <v>12.73</v>
      </c>
      <c r="C4398" s="11">
        <v>0</v>
      </c>
      <c r="D4398" s="11">
        <v>2.2472638351259988</v>
      </c>
    </row>
    <row r="4399" spans="1:4" x14ac:dyDescent="0.2">
      <c r="A4399" s="10" t="s">
        <v>4398</v>
      </c>
      <c r="B4399" s="12">
        <v>14.28</v>
      </c>
      <c r="C4399" s="11">
        <v>0</v>
      </c>
      <c r="D4399" s="11">
        <v>0.71278852920295988</v>
      </c>
    </row>
    <row r="4400" spans="1:4" x14ac:dyDescent="0.2">
      <c r="A4400" s="10" t="s">
        <v>4399</v>
      </c>
      <c r="B4400" s="12">
        <v>14.82</v>
      </c>
      <c r="C4400" s="11">
        <v>0</v>
      </c>
      <c r="D4400" s="11">
        <v>0.17819713230073997</v>
      </c>
    </row>
    <row r="4401" spans="1:4" x14ac:dyDescent="0.2">
      <c r="A4401" s="10" t="s">
        <v>4400</v>
      </c>
      <c r="B4401" s="12">
        <v>12.95</v>
      </c>
      <c r="C4401" s="11">
        <v>0</v>
      </c>
      <c r="D4401" s="11">
        <v>2.0294673400917609</v>
      </c>
    </row>
    <row r="4402" spans="1:4" x14ac:dyDescent="0.2">
      <c r="A4402" s="10" t="s">
        <v>4401</v>
      </c>
      <c r="B4402" s="12">
        <v>13.99</v>
      </c>
      <c r="C4402" s="11">
        <v>0</v>
      </c>
      <c r="D4402" s="11">
        <v>0.99988390902081881</v>
      </c>
    </row>
    <row r="4403" spans="1:4" x14ac:dyDescent="0.2">
      <c r="A4403" s="10" t="s">
        <v>4402</v>
      </c>
      <c r="B4403" s="12">
        <v>13.88</v>
      </c>
      <c r="C4403" s="11">
        <v>0</v>
      </c>
      <c r="D4403" s="11">
        <v>1.1087821565379379</v>
      </c>
    </row>
    <row r="4404" spans="1:4" x14ac:dyDescent="0.2">
      <c r="A4404" s="10" t="s">
        <v>4403</v>
      </c>
      <c r="B4404" s="12">
        <v>15.2</v>
      </c>
      <c r="C4404" s="11">
        <v>0.19799681366748889</v>
      </c>
      <c r="D4404" s="11">
        <v>0</v>
      </c>
    </row>
    <row r="4405" spans="1:4" x14ac:dyDescent="0.2">
      <c r="A4405" s="10" t="s">
        <v>4404</v>
      </c>
      <c r="B4405" s="12">
        <v>16.510000000000002</v>
      </c>
      <c r="C4405" s="11">
        <v>1.4948759431895409</v>
      </c>
      <c r="D4405" s="11">
        <v>0</v>
      </c>
    </row>
    <row r="4406" spans="1:4" x14ac:dyDescent="0.2">
      <c r="A4406" s="10" t="s">
        <v>4405</v>
      </c>
      <c r="B4406" s="12">
        <v>12.95</v>
      </c>
      <c r="C4406" s="11">
        <v>0</v>
      </c>
      <c r="D4406" s="11">
        <v>2.0294673400917609</v>
      </c>
    </row>
    <row r="4407" spans="1:4" x14ac:dyDescent="0.2">
      <c r="A4407" s="10" t="s">
        <v>4406</v>
      </c>
      <c r="B4407" s="12">
        <v>13.69</v>
      </c>
      <c r="C4407" s="11">
        <v>0</v>
      </c>
      <c r="D4407" s="11">
        <v>1.2968791295220521</v>
      </c>
    </row>
    <row r="4408" spans="1:4" x14ac:dyDescent="0.2">
      <c r="A4408" s="10" t="s">
        <v>4407</v>
      </c>
      <c r="B4408" s="12">
        <v>12.86</v>
      </c>
      <c r="C4408" s="11">
        <v>0</v>
      </c>
      <c r="D4408" s="11">
        <v>2.1185659062421309</v>
      </c>
    </row>
    <row r="4409" spans="1:4" x14ac:dyDescent="0.2">
      <c r="A4409" s="10" t="s">
        <v>4408</v>
      </c>
      <c r="B4409" s="12">
        <v>15.27</v>
      </c>
      <c r="C4409" s="11">
        <v>0.26729569845111001</v>
      </c>
      <c r="D4409" s="11">
        <v>0</v>
      </c>
    </row>
    <row r="4410" spans="1:4" x14ac:dyDescent="0.2">
      <c r="A4410" s="10" t="s">
        <v>4409</v>
      </c>
      <c r="B4410" s="12">
        <v>14.37</v>
      </c>
      <c r="C4410" s="11">
        <v>0</v>
      </c>
      <c r="D4410" s="11">
        <v>0.62368996305258995</v>
      </c>
    </row>
    <row r="4411" spans="1:4" x14ac:dyDescent="0.2">
      <c r="A4411" s="10" t="s">
        <v>4410</v>
      </c>
      <c r="B4411" s="12">
        <v>14.18</v>
      </c>
      <c r="C4411" s="11">
        <v>0</v>
      </c>
      <c r="D4411" s="11">
        <v>0.81178693603670427</v>
      </c>
    </row>
    <row r="4412" spans="1:4" x14ac:dyDescent="0.2">
      <c r="A4412" s="10" t="s">
        <v>4411</v>
      </c>
      <c r="B4412" s="12">
        <v>12.25</v>
      </c>
      <c r="C4412" s="11">
        <v>0</v>
      </c>
      <c r="D4412" s="11">
        <v>2.7224561879279721</v>
      </c>
    </row>
    <row r="4413" spans="1:4" x14ac:dyDescent="0.2">
      <c r="A4413" s="10" t="s">
        <v>4412</v>
      </c>
      <c r="B4413" s="12">
        <v>13.3</v>
      </c>
      <c r="C4413" s="11">
        <v>0</v>
      </c>
      <c r="D4413" s="11">
        <v>1.6829729161736553</v>
      </c>
    </row>
    <row r="4414" spans="1:4" x14ac:dyDescent="0.2">
      <c r="A4414" s="10" t="s">
        <v>4413</v>
      </c>
      <c r="B4414" s="12">
        <v>12.85</v>
      </c>
      <c r="C4414" s="11">
        <v>0</v>
      </c>
      <c r="D4414" s="11">
        <v>2.1284657469255053</v>
      </c>
    </row>
    <row r="4415" spans="1:4" x14ac:dyDescent="0.2">
      <c r="A4415" s="10" t="s">
        <v>4414</v>
      </c>
      <c r="B4415" s="12">
        <v>14.97</v>
      </c>
      <c r="C4415" s="11">
        <v>0</v>
      </c>
      <c r="D4415" s="11">
        <v>2.9699522050123328E-2</v>
      </c>
    </row>
    <row r="4416" spans="1:4" x14ac:dyDescent="0.2">
      <c r="A4416" s="10" t="s">
        <v>4415</v>
      </c>
      <c r="B4416" s="12">
        <v>14.4</v>
      </c>
      <c r="C4416" s="11">
        <v>0</v>
      </c>
      <c r="D4416" s="11">
        <v>0.59399044100246656</v>
      </c>
    </row>
    <row r="4417" spans="1:4" x14ac:dyDescent="0.2">
      <c r="A4417" s="10" t="s">
        <v>4416</v>
      </c>
      <c r="B4417" s="12">
        <v>14.35</v>
      </c>
      <c r="C4417" s="11">
        <v>0</v>
      </c>
      <c r="D4417" s="11">
        <v>0.64348964441933887</v>
      </c>
    </row>
    <row r="4418" spans="1:4" x14ac:dyDescent="0.2">
      <c r="A4418" s="10" t="s">
        <v>4417</v>
      </c>
      <c r="B4418" s="12">
        <v>12.23</v>
      </c>
      <c r="C4418" s="11">
        <v>0</v>
      </c>
      <c r="D4418" s="11">
        <v>2.7422558692947208</v>
      </c>
    </row>
    <row r="4419" spans="1:4" x14ac:dyDescent="0.2">
      <c r="A4419" s="10" t="s">
        <v>4418</v>
      </c>
      <c r="B4419" s="12">
        <v>16.05</v>
      </c>
      <c r="C4419" s="11">
        <v>1.0394832717543165</v>
      </c>
      <c r="D4419" s="11">
        <v>0</v>
      </c>
    </row>
    <row r="4420" spans="1:4" x14ac:dyDescent="0.2">
      <c r="A4420" s="10" t="s">
        <v>4419</v>
      </c>
      <c r="B4420" s="12">
        <v>15.43</v>
      </c>
      <c r="C4420" s="11">
        <v>0.42569314938510106</v>
      </c>
      <c r="D4420" s="11">
        <v>0</v>
      </c>
    </row>
    <row r="4421" spans="1:4" x14ac:dyDescent="0.2">
      <c r="A4421" s="10" t="s">
        <v>4420</v>
      </c>
      <c r="B4421" s="12">
        <v>14.96</v>
      </c>
      <c r="C4421" s="11">
        <v>0</v>
      </c>
      <c r="D4421" s="11">
        <v>3.9599362733497775E-2</v>
      </c>
    </row>
    <row r="4422" spans="1:4" x14ac:dyDescent="0.2">
      <c r="A4422" s="10" t="s">
        <v>4421</v>
      </c>
      <c r="B4422" s="12">
        <v>14.29</v>
      </c>
      <c r="C4422" s="11">
        <v>0</v>
      </c>
      <c r="D4422" s="11">
        <v>0.70288868851958541</v>
      </c>
    </row>
    <row r="4423" spans="1:4" x14ac:dyDescent="0.2">
      <c r="A4423" s="10" t="s">
        <v>4422</v>
      </c>
      <c r="B4423" s="12">
        <v>14.69</v>
      </c>
      <c r="C4423" s="11">
        <v>0</v>
      </c>
      <c r="D4423" s="11">
        <v>0.30689506118460774</v>
      </c>
    </row>
    <row r="4424" spans="1:4" x14ac:dyDescent="0.2">
      <c r="A4424" s="10" t="s">
        <v>4423</v>
      </c>
      <c r="B4424" s="12">
        <v>14.69</v>
      </c>
      <c r="C4424" s="11">
        <v>0</v>
      </c>
      <c r="D4424" s="11">
        <v>0.30689506118460774</v>
      </c>
    </row>
    <row r="4425" spans="1:4" x14ac:dyDescent="0.2">
      <c r="A4425" s="10" t="s">
        <v>4424</v>
      </c>
      <c r="B4425" s="12">
        <v>12.57</v>
      </c>
      <c r="C4425" s="11">
        <v>0</v>
      </c>
      <c r="D4425" s="11">
        <v>2.4056612860599897</v>
      </c>
    </row>
    <row r="4426" spans="1:4" x14ac:dyDescent="0.2">
      <c r="A4426" s="10" t="s">
        <v>4425</v>
      </c>
      <c r="B4426" s="12">
        <v>16.2</v>
      </c>
      <c r="C4426" s="11">
        <v>1.1879808820049331</v>
      </c>
      <c r="D4426" s="11">
        <v>0</v>
      </c>
    </row>
    <row r="4427" spans="1:4" x14ac:dyDescent="0.2">
      <c r="A4427" s="10" t="s">
        <v>4426</v>
      </c>
      <c r="B4427" s="12">
        <v>14.56</v>
      </c>
      <c r="C4427" s="11">
        <v>0</v>
      </c>
      <c r="D4427" s="11">
        <v>0.43559299006847552</v>
      </c>
    </row>
    <row r="4428" spans="1:4" x14ac:dyDescent="0.2">
      <c r="A4428" s="10" t="s">
        <v>4427</v>
      </c>
      <c r="B4428" s="12">
        <v>13.51</v>
      </c>
      <c r="C4428" s="11">
        <v>0</v>
      </c>
      <c r="D4428" s="11">
        <v>1.4750762618227922</v>
      </c>
    </row>
    <row r="4429" spans="1:4" x14ac:dyDescent="0.2">
      <c r="A4429" s="10" t="s">
        <v>4428</v>
      </c>
      <c r="B4429" s="12">
        <v>13.46</v>
      </c>
      <c r="C4429" s="11">
        <v>0</v>
      </c>
      <c r="D4429" s="11">
        <v>1.5245754652396644</v>
      </c>
    </row>
    <row r="4430" spans="1:4" x14ac:dyDescent="0.2">
      <c r="A4430" s="10" t="s">
        <v>4429</v>
      </c>
      <c r="B4430" s="12">
        <v>15</v>
      </c>
      <c r="C4430" s="11">
        <v>0</v>
      </c>
      <c r="D4430" s="11">
        <v>0</v>
      </c>
    </row>
    <row r="4431" spans="1:4" x14ac:dyDescent="0.2">
      <c r="A4431" s="10" t="s">
        <v>4430</v>
      </c>
      <c r="B4431" s="12">
        <v>14.24</v>
      </c>
      <c r="C4431" s="11">
        <v>0</v>
      </c>
      <c r="D4431" s="11">
        <v>0.75238789193645772</v>
      </c>
    </row>
    <row r="4432" spans="1:4" x14ac:dyDescent="0.2">
      <c r="A4432" s="10" t="s">
        <v>4431</v>
      </c>
      <c r="B4432" s="12">
        <v>12.84</v>
      </c>
      <c r="C4432" s="11">
        <v>0</v>
      </c>
      <c r="D4432" s="11">
        <v>2.1383655876088801</v>
      </c>
    </row>
    <row r="4433" spans="1:4" x14ac:dyDescent="0.2">
      <c r="A4433" s="10" t="s">
        <v>4432</v>
      </c>
      <c r="B4433" s="12">
        <v>13.38</v>
      </c>
      <c r="C4433" s="11">
        <v>0</v>
      </c>
      <c r="D4433" s="11">
        <v>1.6037741907066601</v>
      </c>
    </row>
    <row r="4434" spans="1:4" x14ac:dyDescent="0.2">
      <c r="A4434" s="10" t="s">
        <v>4433</v>
      </c>
      <c r="B4434" s="12">
        <v>13.77</v>
      </c>
      <c r="C4434" s="11">
        <v>0</v>
      </c>
      <c r="D4434" s="11">
        <v>1.2176804040550566</v>
      </c>
    </row>
    <row r="4435" spans="1:4" x14ac:dyDescent="0.2">
      <c r="A4435" s="10" t="s">
        <v>4434</v>
      </c>
      <c r="B4435" s="12">
        <v>13.21</v>
      </c>
      <c r="C4435" s="11">
        <v>0</v>
      </c>
      <c r="D4435" s="11">
        <v>1.7720714823240253</v>
      </c>
    </row>
    <row r="4436" spans="1:4" x14ac:dyDescent="0.2">
      <c r="A4436" s="10" t="s">
        <v>4435</v>
      </c>
      <c r="B4436" s="12">
        <v>15.32</v>
      </c>
      <c r="C4436" s="11">
        <v>0.3167949018679822</v>
      </c>
      <c r="D4436" s="11">
        <v>0</v>
      </c>
    </row>
    <row r="4437" spans="1:4" x14ac:dyDescent="0.2">
      <c r="A4437" s="10" t="s">
        <v>4436</v>
      </c>
      <c r="B4437" s="12">
        <v>14.51</v>
      </c>
      <c r="C4437" s="11">
        <v>0</v>
      </c>
      <c r="D4437" s="11">
        <v>0.48509219348534771</v>
      </c>
    </row>
    <row r="4438" spans="1:4" x14ac:dyDescent="0.2">
      <c r="A4438" s="10" t="s">
        <v>4437</v>
      </c>
      <c r="B4438" s="12">
        <v>14.39</v>
      </c>
      <c r="C4438" s="11">
        <v>0</v>
      </c>
      <c r="D4438" s="11">
        <v>0.60389028168584102</v>
      </c>
    </row>
    <row r="4439" spans="1:4" x14ac:dyDescent="0.2">
      <c r="A4439" s="10" t="s">
        <v>4438</v>
      </c>
      <c r="B4439" s="12">
        <v>13.89</v>
      </c>
      <c r="C4439" s="11">
        <v>0</v>
      </c>
      <c r="D4439" s="11">
        <v>1.0988823158545633</v>
      </c>
    </row>
    <row r="4440" spans="1:4" x14ac:dyDescent="0.2">
      <c r="A4440" s="10" t="s">
        <v>4439</v>
      </c>
      <c r="B4440" s="12">
        <v>13</v>
      </c>
      <c r="C4440" s="11">
        <v>0</v>
      </c>
      <c r="D4440" s="11">
        <v>1.9799681366748887</v>
      </c>
    </row>
    <row r="4441" spans="1:4" x14ac:dyDescent="0.2">
      <c r="A4441" s="10" t="s">
        <v>4440</v>
      </c>
      <c r="B4441" s="12">
        <v>13.36</v>
      </c>
      <c r="C4441" s="11">
        <v>0</v>
      </c>
      <c r="D4441" s="11">
        <v>1.6235738720734085</v>
      </c>
    </row>
    <row r="4442" spans="1:4" x14ac:dyDescent="0.2">
      <c r="A4442" s="10" t="s">
        <v>4441</v>
      </c>
      <c r="B4442" s="12">
        <v>14.57</v>
      </c>
      <c r="C4442" s="11">
        <v>0</v>
      </c>
      <c r="D4442" s="11">
        <v>0.42569314938510106</v>
      </c>
    </row>
    <row r="4443" spans="1:4" x14ac:dyDescent="0.2">
      <c r="A4443" s="10" t="s">
        <v>4442</v>
      </c>
      <c r="B4443" s="12">
        <v>16.41</v>
      </c>
      <c r="C4443" s="11">
        <v>1.3958775363557965</v>
      </c>
      <c r="D4443" s="11">
        <v>0</v>
      </c>
    </row>
    <row r="4444" spans="1:4" x14ac:dyDescent="0.2">
      <c r="A4444" s="10" t="s">
        <v>4443</v>
      </c>
      <c r="B4444" s="12">
        <v>14.78</v>
      </c>
      <c r="C4444" s="11">
        <v>0</v>
      </c>
      <c r="D4444" s="11">
        <v>0.21779649503423776</v>
      </c>
    </row>
    <row r="4445" spans="1:4" x14ac:dyDescent="0.2">
      <c r="A4445" s="10" t="s">
        <v>4444</v>
      </c>
      <c r="B4445" s="12">
        <v>14.64</v>
      </c>
      <c r="C4445" s="11">
        <v>0</v>
      </c>
      <c r="D4445" s="11">
        <v>0.35639426460147994</v>
      </c>
    </row>
    <row r="4446" spans="1:4" x14ac:dyDescent="0.2">
      <c r="A4446" s="10" t="s">
        <v>4445</v>
      </c>
      <c r="B4446" s="12">
        <v>13.63</v>
      </c>
      <c r="C4446" s="11">
        <v>0</v>
      </c>
      <c r="D4446" s="11">
        <v>1.3562781736222989</v>
      </c>
    </row>
    <row r="4447" spans="1:4" x14ac:dyDescent="0.2">
      <c r="A4447" s="10" t="s">
        <v>4446</v>
      </c>
      <c r="B4447" s="12">
        <v>14.95</v>
      </c>
      <c r="C4447" s="11">
        <v>0</v>
      </c>
      <c r="D4447" s="11">
        <v>4.9499203416872223E-2</v>
      </c>
    </row>
    <row r="4448" spans="1:4" x14ac:dyDescent="0.2">
      <c r="A4448" s="10" t="s">
        <v>4447</v>
      </c>
      <c r="B4448" s="12">
        <v>16.22</v>
      </c>
      <c r="C4448" s="11">
        <v>1.207780563371682</v>
      </c>
      <c r="D4448" s="11">
        <v>0</v>
      </c>
    </row>
    <row r="4449" spans="1:4" x14ac:dyDescent="0.2">
      <c r="A4449" s="10" t="s">
        <v>4448</v>
      </c>
      <c r="B4449" s="12">
        <v>17.309999999999999</v>
      </c>
      <c r="C4449" s="11">
        <v>2.2868631978594967</v>
      </c>
      <c r="D4449" s="11">
        <v>0</v>
      </c>
    </row>
    <row r="4450" spans="1:4" x14ac:dyDescent="0.2">
      <c r="A4450" s="10" t="s">
        <v>4449</v>
      </c>
      <c r="B4450" s="12">
        <v>12.89</v>
      </c>
      <c r="C4450" s="11">
        <v>0</v>
      </c>
      <c r="D4450" s="11">
        <v>2.0888663841920074</v>
      </c>
    </row>
    <row r="4451" spans="1:4" x14ac:dyDescent="0.2">
      <c r="A4451" s="10" t="s">
        <v>4450</v>
      </c>
      <c r="B4451" s="12">
        <v>13.74</v>
      </c>
      <c r="C4451" s="11">
        <v>0</v>
      </c>
      <c r="D4451" s="11">
        <v>1.2473799261051799</v>
      </c>
    </row>
    <row r="4452" spans="1:4" x14ac:dyDescent="0.2">
      <c r="A4452" s="10" t="s">
        <v>4451</v>
      </c>
      <c r="B4452" s="12">
        <v>14.59</v>
      </c>
      <c r="C4452" s="11">
        <v>0</v>
      </c>
      <c r="D4452" s="11">
        <v>0.40589346801835213</v>
      </c>
    </row>
    <row r="4453" spans="1:4" x14ac:dyDescent="0.2">
      <c r="A4453" s="10" t="s">
        <v>4452</v>
      </c>
      <c r="B4453" s="12">
        <v>12.4</v>
      </c>
      <c r="C4453" s="11">
        <v>0</v>
      </c>
      <c r="D4453" s="11">
        <v>2.5838584183607298</v>
      </c>
    </row>
    <row r="4454" spans="1:4" x14ac:dyDescent="0.2">
      <c r="A4454" s="10" t="s">
        <v>4453</v>
      </c>
      <c r="B4454" s="12">
        <v>13.72</v>
      </c>
      <c r="C4454" s="11">
        <v>0</v>
      </c>
      <c r="D4454" s="11">
        <v>1.2671796074719288</v>
      </c>
    </row>
    <row r="4455" spans="1:4" x14ac:dyDescent="0.2">
      <c r="A4455" s="10" t="s">
        <v>4454</v>
      </c>
      <c r="B4455" s="12">
        <v>14</v>
      </c>
      <c r="C4455" s="11">
        <v>0</v>
      </c>
      <c r="D4455" s="11">
        <v>0.98998406833744435</v>
      </c>
    </row>
    <row r="4456" spans="1:4" x14ac:dyDescent="0.2">
      <c r="A4456" s="10" t="s">
        <v>4455</v>
      </c>
      <c r="B4456" s="12">
        <v>12.9</v>
      </c>
      <c r="C4456" s="11">
        <v>0</v>
      </c>
      <c r="D4456" s="11">
        <v>2.0789665435086331</v>
      </c>
    </row>
    <row r="4457" spans="1:4" x14ac:dyDescent="0.2">
      <c r="A4457" s="10" t="s">
        <v>4456</v>
      </c>
      <c r="B4457" s="12">
        <v>14.96</v>
      </c>
      <c r="C4457" s="11">
        <v>0</v>
      </c>
      <c r="D4457" s="11">
        <v>3.9599362733497775E-2</v>
      </c>
    </row>
    <row r="4458" spans="1:4" x14ac:dyDescent="0.2">
      <c r="A4458" s="10" t="s">
        <v>4457</v>
      </c>
      <c r="B4458" s="12">
        <v>14.95</v>
      </c>
      <c r="C4458" s="11">
        <v>0</v>
      </c>
      <c r="D4458" s="11">
        <v>4.9499203416872223E-2</v>
      </c>
    </row>
    <row r="4459" spans="1:4" x14ac:dyDescent="0.2">
      <c r="A4459" s="10" t="s">
        <v>4458</v>
      </c>
      <c r="B4459" s="12">
        <v>15.16</v>
      </c>
      <c r="C4459" s="11">
        <v>0.1583974509339911</v>
      </c>
      <c r="D4459" s="11">
        <v>0</v>
      </c>
    </row>
    <row r="4460" spans="1:4" x14ac:dyDescent="0.2">
      <c r="A4460" s="10" t="s">
        <v>4459</v>
      </c>
      <c r="B4460" s="12">
        <v>14.98</v>
      </c>
      <c r="C4460" s="11">
        <v>0</v>
      </c>
      <c r="D4460" s="11">
        <v>1.9799681366748888E-2</v>
      </c>
    </row>
    <row r="4461" spans="1:4" x14ac:dyDescent="0.2">
      <c r="A4461" s="10" t="s">
        <v>4460</v>
      </c>
      <c r="B4461" s="12">
        <v>13.56</v>
      </c>
      <c r="C4461" s="11">
        <v>0</v>
      </c>
      <c r="D4461" s="11">
        <v>1.4255770584059198</v>
      </c>
    </row>
    <row r="4462" spans="1:4" x14ac:dyDescent="0.2">
      <c r="A4462" s="10" t="s">
        <v>4461</v>
      </c>
      <c r="B4462" s="12">
        <v>12.63</v>
      </c>
      <c r="C4462" s="11">
        <v>0</v>
      </c>
      <c r="D4462" s="11">
        <v>2.3462622419597432</v>
      </c>
    </row>
    <row r="4463" spans="1:4" x14ac:dyDescent="0.2">
      <c r="A4463" s="10" t="s">
        <v>4462</v>
      </c>
      <c r="B4463" s="12">
        <v>15.57</v>
      </c>
      <c r="C4463" s="11">
        <v>0.56429091895234318</v>
      </c>
      <c r="D4463" s="11">
        <v>0</v>
      </c>
    </row>
    <row r="4464" spans="1:4" x14ac:dyDescent="0.2">
      <c r="A4464" s="10" t="s">
        <v>4463</v>
      </c>
      <c r="B4464" s="12">
        <v>13.63</v>
      </c>
      <c r="C4464" s="11">
        <v>0</v>
      </c>
      <c r="D4464" s="11">
        <v>1.3562781736222989</v>
      </c>
    </row>
    <row r="4465" spans="1:4" x14ac:dyDescent="0.2">
      <c r="A4465" s="10" t="s">
        <v>4464</v>
      </c>
      <c r="B4465" s="12">
        <v>12.25</v>
      </c>
      <c r="C4465" s="11">
        <v>0</v>
      </c>
      <c r="D4465" s="11">
        <v>2.7224561879279721</v>
      </c>
    </row>
    <row r="4466" spans="1:4" x14ac:dyDescent="0.2">
      <c r="A4466" s="10" t="s">
        <v>4465</v>
      </c>
      <c r="B4466" s="12">
        <v>13.54</v>
      </c>
      <c r="C4466" s="11">
        <v>0</v>
      </c>
      <c r="D4466" s="11">
        <v>1.4453767397726687</v>
      </c>
    </row>
    <row r="4467" spans="1:4" x14ac:dyDescent="0.2">
      <c r="A4467" s="10" t="s">
        <v>4466</v>
      </c>
      <c r="B4467" s="12">
        <v>13.52</v>
      </c>
      <c r="C4467" s="11">
        <v>0</v>
      </c>
      <c r="D4467" s="11">
        <v>1.4651764211394176</v>
      </c>
    </row>
    <row r="4468" spans="1:4" x14ac:dyDescent="0.2">
      <c r="A4468" s="10" t="s">
        <v>4467</v>
      </c>
      <c r="B4468" s="12">
        <v>13.61</v>
      </c>
      <c r="C4468" s="11">
        <v>0</v>
      </c>
      <c r="D4468" s="11">
        <v>1.3760778549890476</v>
      </c>
    </row>
    <row r="4469" spans="1:4" x14ac:dyDescent="0.2">
      <c r="A4469" s="10" t="s">
        <v>4468</v>
      </c>
      <c r="B4469" s="12">
        <v>13.76</v>
      </c>
      <c r="C4469" s="11">
        <v>0</v>
      </c>
      <c r="D4469" s="11">
        <v>1.227580244738431</v>
      </c>
    </row>
    <row r="4470" spans="1:4" x14ac:dyDescent="0.2">
      <c r="A4470" s="10" t="s">
        <v>4469</v>
      </c>
      <c r="B4470" s="12">
        <v>14.93</v>
      </c>
      <c r="C4470" s="11">
        <v>0</v>
      </c>
      <c r="D4470" s="11">
        <v>6.9298884783621117E-2</v>
      </c>
    </row>
    <row r="4471" spans="1:4" x14ac:dyDescent="0.2">
      <c r="A4471" s="10" t="s">
        <v>4470</v>
      </c>
      <c r="B4471" s="12">
        <v>14.65</v>
      </c>
      <c r="C4471" s="11">
        <v>0</v>
      </c>
      <c r="D4471" s="11">
        <v>0.34649442391810548</v>
      </c>
    </row>
    <row r="4472" spans="1:4" x14ac:dyDescent="0.2">
      <c r="A4472" s="10" t="s">
        <v>4471</v>
      </c>
      <c r="B4472" s="12">
        <v>11.68</v>
      </c>
      <c r="C4472" s="11">
        <v>0</v>
      </c>
      <c r="D4472" s="11">
        <v>3.2867471068803149</v>
      </c>
    </row>
    <row r="4473" spans="1:4" x14ac:dyDescent="0.2">
      <c r="A4473" s="10" t="s">
        <v>4472</v>
      </c>
      <c r="B4473" s="12">
        <v>13.05</v>
      </c>
      <c r="C4473" s="11">
        <v>0</v>
      </c>
      <c r="D4473" s="11">
        <v>1.9304689332580165</v>
      </c>
    </row>
    <row r="4474" spans="1:4" x14ac:dyDescent="0.2">
      <c r="A4474" s="10" t="s">
        <v>4473</v>
      </c>
      <c r="B4474" s="12">
        <v>15.63</v>
      </c>
      <c r="C4474" s="11">
        <v>0.62368996305258995</v>
      </c>
      <c r="D4474" s="11">
        <v>0</v>
      </c>
    </row>
    <row r="4475" spans="1:4" x14ac:dyDescent="0.2">
      <c r="A4475" s="10" t="s">
        <v>4474</v>
      </c>
      <c r="B4475" s="12">
        <v>15.93</v>
      </c>
      <c r="C4475" s="11">
        <v>0.92068518355382334</v>
      </c>
      <c r="D4475" s="11">
        <v>0</v>
      </c>
    </row>
    <row r="4476" spans="1:4" x14ac:dyDescent="0.2">
      <c r="A4476" s="10" t="s">
        <v>4475</v>
      </c>
      <c r="B4476" s="12">
        <v>13.09</v>
      </c>
      <c r="C4476" s="11">
        <v>0</v>
      </c>
      <c r="D4476" s="11">
        <v>1.8908695705245187</v>
      </c>
    </row>
    <row r="4477" spans="1:4" x14ac:dyDescent="0.2">
      <c r="A4477" s="10" t="s">
        <v>4476</v>
      </c>
      <c r="B4477" s="12">
        <v>14.93</v>
      </c>
      <c r="C4477" s="11">
        <v>0</v>
      </c>
      <c r="D4477" s="11">
        <v>6.9298884783621117E-2</v>
      </c>
    </row>
    <row r="4478" spans="1:4" x14ac:dyDescent="0.2">
      <c r="A4478" s="10" t="s">
        <v>4477</v>
      </c>
      <c r="B4478" s="12">
        <v>14.15</v>
      </c>
      <c r="C4478" s="11">
        <v>0</v>
      </c>
      <c r="D4478" s="11">
        <v>0.84148645808682765</v>
      </c>
    </row>
    <row r="4479" spans="1:4" x14ac:dyDescent="0.2">
      <c r="A4479" s="10" t="s">
        <v>4478</v>
      </c>
      <c r="B4479" s="12">
        <v>13.65</v>
      </c>
      <c r="C4479" s="11">
        <v>0</v>
      </c>
      <c r="D4479" s="11">
        <v>1.3364784922555499</v>
      </c>
    </row>
    <row r="4480" spans="1:4" x14ac:dyDescent="0.2">
      <c r="A4480" s="10" t="s">
        <v>4479</v>
      </c>
      <c r="B4480" s="12">
        <v>14.14</v>
      </c>
      <c r="C4480" s="11">
        <v>0</v>
      </c>
      <c r="D4480" s="11">
        <v>0.85138629877020211</v>
      </c>
    </row>
    <row r="4481" spans="1:4" x14ac:dyDescent="0.2">
      <c r="A4481" s="10" t="s">
        <v>4480</v>
      </c>
      <c r="B4481" s="12">
        <v>16.82</v>
      </c>
      <c r="C4481" s="11">
        <v>1.8017710043741488</v>
      </c>
      <c r="D4481" s="11">
        <v>0</v>
      </c>
    </row>
    <row r="4482" spans="1:4" x14ac:dyDescent="0.2">
      <c r="A4482" s="10" t="s">
        <v>4481</v>
      </c>
      <c r="B4482" s="12">
        <v>14.75</v>
      </c>
      <c r="C4482" s="11">
        <v>0</v>
      </c>
      <c r="D4482" s="11">
        <v>0.24749601708436109</v>
      </c>
    </row>
    <row r="4483" spans="1:4" x14ac:dyDescent="0.2">
      <c r="A4483" s="10" t="s">
        <v>4482</v>
      </c>
      <c r="B4483" s="12">
        <v>12.51</v>
      </c>
      <c r="C4483" s="11">
        <v>0</v>
      </c>
      <c r="D4483" s="11">
        <v>2.4650603301602367</v>
      </c>
    </row>
    <row r="4484" spans="1:4" x14ac:dyDescent="0.2">
      <c r="A4484" s="10" t="s">
        <v>4483</v>
      </c>
      <c r="B4484" s="12">
        <v>14.13</v>
      </c>
      <c r="C4484" s="11">
        <v>0</v>
      </c>
      <c r="D4484" s="11">
        <v>0.86128613945357657</v>
      </c>
    </row>
    <row r="4485" spans="1:4" x14ac:dyDescent="0.2">
      <c r="A4485" s="10" t="s">
        <v>4484</v>
      </c>
      <c r="B4485" s="12">
        <v>13.68</v>
      </c>
      <c r="C4485" s="11">
        <v>0</v>
      </c>
      <c r="D4485" s="11">
        <v>1.3067789702054267</v>
      </c>
    </row>
    <row r="4486" spans="1:4" x14ac:dyDescent="0.2">
      <c r="A4486" s="10" t="s">
        <v>4485</v>
      </c>
      <c r="B4486" s="12">
        <v>13.34</v>
      </c>
      <c r="C4486" s="11">
        <v>0</v>
      </c>
      <c r="D4486" s="11">
        <v>1.6433735534401575</v>
      </c>
    </row>
    <row r="4487" spans="1:4" x14ac:dyDescent="0.2">
      <c r="A4487" s="10" t="s">
        <v>4486</v>
      </c>
      <c r="B4487" s="12">
        <v>14.36</v>
      </c>
      <c r="C4487" s="11">
        <v>0</v>
      </c>
      <c r="D4487" s="11">
        <v>0.63358980373596441</v>
      </c>
    </row>
    <row r="4488" spans="1:4" x14ac:dyDescent="0.2">
      <c r="A4488" s="10" t="s">
        <v>4487</v>
      </c>
      <c r="B4488" s="12">
        <v>12.99</v>
      </c>
      <c r="C4488" s="11">
        <v>0</v>
      </c>
      <c r="D4488" s="11">
        <v>1.9898679773582628</v>
      </c>
    </row>
    <row r="4489" spans="1:4" x14ac:dyDescent="0.2">
      <c r="A4489" s="10" t="s">
        <v>4488</v>
      </c>
      <c r="B4489" s="12">
        <v>12.39</v>
      </c>
      <c r="C4489" s="11">
        <v>0</v>
      </c>
      <c r="D4489" s="11">
        <v>2.5838584183607298</v>
      </c>
    </row>
    <row r="4490" spans="1:4" x14ac:dyDescent="0.2">
      <c r="A4490" s="10" t="s">
        <v>4489</v>
      </c>
      <c r="B4490" s="12">
        <v>13.67</v>
      </c>
      <c r="C4490" s="11">
        <v>0</v>
      </c>
      <c r="D4490" s="11">
        <v>1.316678810888801</v>
      </c>
    </row>
    <row r="4491" spans="1:4" x14ac:dyDescent="0.2">
      <c r="A4491" s="10" t="s">
        <v>4490</v>
      </c>
      <c r="B4491" s="12">
        <v>14.61</v>
      </c>
      <c r="C4491" s="11">
        <v>0</v>
      </c>
      <c r="D4491" s="11">
        <v>0.38609378665160332</v>
      </c>
    </row>
    <row r="4492" spans="1:4" x14ac:dyDescent="0.2">
      <c r="A4492" s="10" t="s">
        <v>4491</v>
      </c>
      <c r="B4492" s="12">
        <v>14.38</v>
      </c>
      <c r="C4492" s="11">
        <v>0</v>
      </c>
      <c r="D4492" s="11">
        <v>0.61379012236921549</v>
      </c>
    </row>
    <row r="4493" spans="1:4" x14ac:dyDescent="0.2">
      <c r="A4493" s="10" t="s">
        <v>4492</v>
      </c>
      <c r="B4493" s="12">
        <v>13.87</v>
      </c>
      <c r="C4493" s="11">
        <v>0</v>
      </c>
      <c r="D4493" s="11">
        <v>1.118681997221312</v>
      </c>
    </row>
    <row r="4494" spans="1:4" x14ac:dyDescent="0.2">
      <c r="A4494" s="10" t="s">
        <v>4493</v>
      </c>
      <c r="B4494" s="12">
        <v>13.68</v>
      </c>
      <c r="C4494" s="11">
        <v>0</v>
      </c>
      <c r="D4494" s="11">
        <v>1.3067789702054267</v>
      </c>
    </row>
    <row r="4495" spans="1:4" x14ac:dyDescent="0.2">
      <c r="A4495" s="10" t="s">
        <v>4494</v>
      </c>
      <c r="B4495" s="12">
        <v>15.4</v>
      </c>
      <c r="C4495" s="11">
        <v>0.39599362733497778</v>
      </c>
      <c r="D4495" s="11">
        <v>0</v>
      </c>
    </row>
    <row r="4496" spans="1:4" x14ac:dyDescent="0.2">
      <c r="A4496" s="10" t="s">
        <v>4495</v>
      </c>
      <c r="B4496" s="12">
        <v>13.6</v>
      </c>
      <c r="C4496" s="11">
        <v>0</v>
      </c>
      <c r="D4496" s="11">
        <v>1.3859776956724219</v>
      </c>
    </row>
    <row r="4497" spans="1:4" x14ac:dyDescent="0.2">
      <c r="A4497" s="10" t="s">
        <v>4496</v>
      </c>
      <c r="B4497" s="12">
        <v>16.239999999999998</v>
      </c>
      <c r="C4497" s="11">
        <v>1.227580244738431</v>
      </c>
      <c r="D4497" s="11">
        <v>0</v>
      </c>
    </row>
    <row r="4498" spans="1:4" x14ac:dyDescent="0.2">
      <c r="A4498" s="10" t="s">
        <v>4497</v>
      </c>
      <c r="B4498" s="12">
        <v>14.75</v>
      </c>
      <c r="C4498" s="11">
        <v>0</v>
      </c>
      <c r="D4498" s="11">
        <v>0.24749601708436109</v>
      </c>
    </row>
    <row r="4499" spans="1:4" x14ac:dyDescent="0.2">
      <c r="A4499" s="10" t="s">
        <v>4498</v>
      </c>
      <c r="B4499" s="12">
        <v>14.56</v>
      </c>
      <c r="C4499" s="11">
        <v>0</v>
      </c>
      <c r="D4499" s="11">
        <v>0.43559299006847552</v>
      </c>
    </row>
    <row r="4500" spans="1:4" x14ac:dyDescent="0.2">
      <c r="A4500" s="10" t="s">
        <v>4499</v>
      </c>
      <c r="B4500" s="12">
        <v>12.89</v>
      </c>
      <c r="C4500" s="11">
        <v>0</v>
      </c>
      <c r="D4500" s="11">
        <v>2.0987662248753822</v>
      </c>
    </row>
    <row r="4501" spans="1:4" x14ac:dyDescent="0.2">
      <c r="A4501" s="10" t="s">
        <v>4500</v>
      </c>
      <c r="B4501" s="12">
        <v>13.6</v>
      </c>
      <c r="C4501" s="11">
        <v>0</v>
      </c>
      <c r="D4501" s="11">
        <v>1.3859776956724219</v>
      </c>
    </row>
    <row r="4502" spans="1:4" x14ac:dyDescent="0.2">
      <c r="A4502" s="10" t="s">
        <v>4501</v>
      </c>
      <c r="B4502" s="12">
        <v>12.94</v>
      </c>
      <c r="C4502" s="11">
        <v>0</v>
      </c>
      <c r="D4502" s="11">
        <v>2.0393671807751352</v>
      </c>
    </row>
    <row r="4503" spans="1:4" x14ac:dyDescent="0.2">
      <c r="A4503" s="10" t="s">
        <v>4502</v>
      </c>
      <c r="B4503" s="12">
        <v>16.190000000000001</v>
      </c>
      <c r="C4503" s="11">
        <v>1.1780810413215588</v>
      </c>
      <c r="D4503" s="11">
        <v>0</v>
      </c>
    </row>
    <row r="4504" spans="1:4" x14ac:dyDescent="0.2">
      <c r="A4504" s="10" t="s">
        <v>4503</v>
      </c>
      <c r="B4504" s="12">
        <v>12.87</v>
      </c>
      <c r="C4504" s="11">
        <v>0</v>
      </c>
      <c r="D4504" s="11">
        <v>2.1086660655587561</v>
      </c>
    </row>
    <row r="4505" spans="1:4" x14ac:dyDescent="0.2">
      <c r="A4505" s="10" t="s">
        <v>4504</v>
      </c>
      <c r="B4505" s="12">
        <v>13.63</v>
      </c>
      <c r="C4505" s="11">
        <v>0</v>
      </c>
      <c r="D4505" s="11">
        <v>1.3562781736222989</v>
      </c>
    </row>
    <row r="4506" spans="1:4" x14ac:dyDescent="0.2">
      <c r="A4506" s="10" t="s">
        <v>4505</v>
      </c>
      <c r="B4506" s="12">
        <v>13.27</v>
      </c>
      <c r="C4506" s="11">
        <v>0</v>
      </c>
      <c r="D4506" s="11">
        <v>1.7126724382237788</v>
      </c>
    </row>
    <row r="4507" spans="1:4" x14ac:dyDescent="0.2">
      <c r="A4507" s="10" t="s">
        <v>4506</v>
      </c>
      <c r="B4507" s="12">
        <v>15.36</v>
      </c>
      <c r="C4507" s="11">
        <v>0.35639426460147994</v>
      </c>
      <c r="D4507" s="11">
        <v>0</v>
      </c>
    </row>
    <row r="4508" spans="1:4" x14ac:dyDescent="0.2">
      <c r="A4508" s="10" t="s">
        <v>4507</v>
      </c>
      <c r="B4508" s="12">
        <v>14.09</v>
      </c>
      <c r="C4508" s="11">
        <v>0</v>
      </c>
      <c r="D4508" s="11">
        <v>0.90088550218707442</v>
      </c>
    </row>
    <row r="4509" spans="1:4" x14ac:dyDescent="0.2">
      <c r="A4509" s="10" t="s">
        <v>4508</v>
      </c>
      <c r="B4509" s="12">
        <v>14.08</v>
      </c>
      <c r="C4509" s="11">
        <v>0</v>
      </c>
      <c r="D4509" s="11">
        <v>0.91078534287044888</v>
      </c>
    </row>
    <row r="4510" spans="1:4" x14ac:dyDescent="0.2">
      <c r="A4510" s="10" t="s">
        <v>4509</v>
      </c>
      <c r="B4510" s="12">
        <v>12.73</v>
      </c>
      <c r="C4510" s="11">
        <v>0</v>
      </c>
      <c r="D4510" s="11">
        <v>2.2472638351259988</v>
      </c>
    </row>
    <row r="4511" spans="1:4" x14ac:dyDescent="0.2">
      <c r="A4511" s="10" t="s">
        <v>4510</v>
      </c>
      <c r="B4511" s="12">
        <v>13.52</v>
      </c>
      <c r="C4511" s="11">
        <v>0</v>
      </c>
      <c r="D4511" s="11">
        <v>1.4651764211394176</v>
      </c>
    </row>
    <row r="4512" spans="1:4" x14ac:dyDescent="0.2">
      <c r="A4512" s="10" t="s">
        <v>4511</v>
      </c>
      <c r="B4512" s="12">
        <v>13.44</v>
      </c>
      <c r="C4512" s="11">
        <v>0</v>
      </c>
      <c r="D4512" s="11">
        <v>1.5443751466064133</v>
      </c>
    </row>
    <row r="4513" spans="1:4" x14ac:dyDescent="0.2">
      <c r="A4513" s="10" t="s">
        <v>4512</v>
      </c>
      <c r="B4513" s="12">
        <v>13.3</v>
      </c>
      <c r="C4513" s="11">
        <v>0</v>
      </c>
      <c r="D4513" s="11">
        <v>1.6829729161736553</v>
      </c>
    </row>
    <row r="4514" spans="1:4" x14ac:dyDescent="0.2">
      <c r="A4514" s="10" t="s">
        <v>4513</v>
      </c>
      <c r="B4514" s="12">
        <v>13.09</v>
      </c>
      <c r="C4514" s="11">
        <v>0</v>
      </c>
      <c r="D4514" s="11">
        <v>1.8908695705245187</v>
      </c>
    </row>
    <row r="4515" spans="1:4" x14ac:dyDescent="0.2">
      <c r="A4515" s="10" t="s">
        <v>4514</v>
      </c>
      <c r="B4515" s="12">
        <v>13.68</v>
      </c>
      <c r="C4515" s="11">
        <v>0</v>
      </c>
      <c r="D4515" s="11">
        <v>1.3067789702054267</v>
      </c>
    </row>
    <row r="4516" spans="1:4" x14ac:dyDescent="0.2">
      <c r="A4516" s="10" t="s">
        <v>4515</v>
      </c>
      <c r="B4516" s="12">
        <v>13.71</v>
      </c>
      <c r="C4516" s="11">
        <v>0</v>
      </c>
      <c r="D4516" s="11">
        <v>1.2770794481553032</v>
      </c>
    </row>
    <row r="4517" spans="1:4" x14ac:dyDescent="0.2">
      <c r="A4517" s="10" t="s">
        <v>4516</v>
      </c>
      <c r="B4517" s="12">
        <v>12.76</v>
      </c>
      <c r="C4517" s="11">
        <v>0</v>
      </c>
      <c r="D4517" s="11">
        <v>2.2175643130758758</v>
      </c>
    </row>
    <row r="4518" spans="1:4" x14ac:dyDescent="0.2">
      <c r="A4518" s="10" t="s">
        <v>4517</v>
      </c>
      <c r="B4518" s="12">
        <v>13.08</v>
      </c>
      <c r="C4518" s="11">
        <v>0</v>
      </c>
      <c r="D4518" s="11">
        <v>1.900769411207893</v>
      </c>
    </row>
    <row r="4519" spans="1:4" x14ac:dyDescent="0.2">
      <c r="A4519" s="10" t="s">
        <v>4518</v>
      </c>
      <c r="B4519" s="12">
        <v>14.9</v>
      </c>
      <c r="C4519" s="11">
        <v>0</v>
      </c>
      <c r="D4519" s="11">
        <v>9.8998406833744446E-2</v>
      </c>
    </row>
    <row r="4520" spans="1:4" x14ac:dyDescent="0.2">
      <c r="A4520" s="10" t="s">
        <v>4519</v>
      </c>
      <c r="B4520" s="12">
        <v>13.89</v>
      </c>
      <c r="C4520" s="11">
        <v>0</v>
      </c>
      <c r="D4520" s="11">
        <v>1.0988823158545633</v>
      </c>
    </row>
    <row r="4521" spans="1:4" x14ac:dyDescent="0.2">
      <c r="A4521" s="10" t="s">
        <v>4520</v>
      </c>
      <c r="B4521" s="12">
        <v>15.24</v>
      </c>
      <c r="C4521" s="11">
        <v>0.23759617640098663</v>
      </c>
      <c r="D4521" s="11">
        <v>0</v>
      </c>
    </row>
    <row r="4522" spans="1:4" x14ac:dyDescent="0.2">
      <c r="A4522" s="10" t="s">
        <v>4521</v>
      </c>
      <c r="B4522" s="12">
        <v>13.6</v>
      </c>
      <c r="C4522" s="11">
        <v>0</v>
      </c>
      <c r="D4522" s="11">
        <v>1.3859776956724219</v>
      </c>
    </row>
    <row r="4523" spans="1:4" x14ac:dyDescent="0.2">
      <c r="A4523" s="10" t="s">
        <v>4522</v>
      </c>
      <c r="B4523" s="12">
        <v>15.77</v>
      </c>
      <c r="C4523" s="11">
        <v>0.76228773261983218</v>
      </c>
      <c r="D4523" s="11">
        <v>0</v>
      </c>
    </row>
    <row r="4524" spans="1:4" x14ac:dyDescent="0.2">
      <c r="A4524" s="10" t="s">
        <v>4523</v>
      </c>
      <c r="B4524" s="12">
        <v>14.13</v>
      </c>
      <c r="C4524" s="11">
        <v>0</v>
      </c>
      <c r="D4524" s="11">
        <v>0.86128613945357657</v>
      </c>
    </row>
    <row r="4525" spans="1:4" x14ac:dyDescent="0.2">
      <c r="A4525" s="10" t="s">
        <v>4524</v>
      </c>
      <c r="B4525" s="12">
        <v>11.94</v>
      </c>
      <c r="C4525" s="11">
        <v>0</v>
      </c>
      <c r="D4525" s="11">
        <v>3.0293512491125796</v>
      </c>
    </row>
    <row r="4526" spans="1:4" x14ac:dyDescent="0.2">
      <c r="A4526" s="10" t="s">
        <v>4525</v>
      </c>
      <c r="B4526" s="12">
        <v>12.49</v>
      </c>
      <c r="C4526" s="11">
        <v>0</v>
      </c>
      <c r="D4526" s="11">
        <v>2.484860011526985</v>
      </c>
    </row>
    <row r="4527" spans="1:4" x14ac:dyDescent="0.2">
      <c r="A4527" s="10" t="s">
        <v>4526</v>
      </c>
      <c r="B4527" s="12">
        <v>12.21</v>
      </c>
      <c r="C4527" s="11">
        <v>0</v>
      </c>
      <c r="D4527" s="11">
        <v>2.7620555506614699</v>
      </c>
    </row>
    <row r="4528" spans="1:4" x14ac:dyDescent="0.2">
      <c r="A4528" s="10" t="s">
        <v>4527</v>
      </c>
      <c r="B4528" s="12">
        <v>13.15</v>
      </c>
      <c r="C4528" s="11">
        <v>0</v>
      </c>
      <c r="D4528" s="11">
        <v>1.8314705264242721</v>
      </c>
    </row>
    <row r="4529" spans="1:4" x14ac:dyDescent="0.2">
      <c r="A4529" s="10" t="s">
        <v>4528</v>
      </c>
      <c r="B4529" s="12">
        <v>14.71</v>
      </c>
      <c r="C4529" s="11">
        <v>0</v>
      </c>
      <c r="D4529" s="11">
        <v>0.28709537981785882</v>
      </c>
    </row>
    <row r="4530" spans="1:4" x14ac:dyDescent="0.2">
      <c r="A4530" s="10" t="s">
        <v>4529</v>
      </c>
      <c r="B4530" s="12">
        <v>15.09</v>
      </c>
      <c r="C4530" s="11">
        <v>8.9098566150369984E-2</v>
      </c>
      <c r="D4530" s="11">
        <v>0</v>
      </c>
    </row>
    <row r="4531" spans="1:4" x14ac:dyDescent="0.2">
      <c r="A4531" s="10" t="s">
        <v>4530</v>
      </c>
      <c r="B4531" s="12">
        <v>15.07</v>
      </c>
      <c r="C4531" s="11">
        <v>6.9298884783621117E-2</v>
      </c>
      <c r="D4531" s="11">
        <v>0</v>
      </c>
    </row>
    <row r="4532" spans="1:4" x14ac:dyDescent="0.2">
      <c r="A4532" s="10" t="s">
        <v>4531</v>
      </c>
      <c r="B4532" s="12">
        <v>14.3</v>
      </c>
      <c r="C4532" s="11">
        <v>0</v>
      </c>
      <c r="D4532" s="11">
        <v>0.69298884783621095</v>
      </c>
    </row>
    <row r="4533" spans="1:4" x14ac:dyDescent="0.2">
      <c r="A4533" s="10" t="s">
        <v>4532</v>
      </c>
      <c r="B4533" s="12">
        <v>15.21</v>
      </c>
      <c r="C4533" s="11">
        <v>0.2078966543508633</v>
      </c>
      <c r="D4533" s="11">
        <v>0</v>
      </c>
    </row>
    <row r="4534" spans="1:4" x14ac:dyDescent="0.2">
      <c r="A4534" s="10" t="s">
        <v>4533</v>
      </c>
      <c r="B4534" s="12">
        <v>13.31</v>
      </c>
      <c r="C4534" s="11">
        <v>0</v>
      </c>
      <c r="D4534" s="11">
        <v>1.6730730754902809</v>
      </c>
    </row>
    <row r="4535" spans="1:4" x14ac:dyDescent="0.2">
      <c r="A4535" s="10" t="s">
        <v>4534</v>
      </c>
      <c r="B4535" s="12">
        <v>15.09</v>
      </c>
      <c r="C4535" s="11">
        <v>8.9098566150369984E-2</v>
      </c>
      <c r="D4535" s="11">
        <v>0</v>
      </c>
    </row>
    <row r="4536" spans="1:4" x14ac:dyDescent="0.2">
      <c r="A4536" s="10" t="s">
        <v>4535</v>
      </c>
      <c r="B4536" s="12">
        <v>13.45</v>
      </c>
      <c r="C4536" s="11">
        <v>0</v>
      </c>
      <c r="D4536" s="11">
        <v>1.5344753059230387</v>
      </c>
    </row>
    <row r="4537" spans="1:4" x14ac:dyDescent="0.2">
      <c r="A4537" s="10" t="s">
        <v>4536</v>
      </c>
      <c r="B4537" s="12">
        <v>12.91</v>
      </c>
      <c r="C4537" s="11">
        <v>0</v>
      </c>
      <c r="D4537" s="11">
        <v>2.0690667028252587</v>
      </c>
    </row>
    <row r="4538" spans="1:4" x14ac:dyDescent="0.2">
      <c r="A4538" s="10" t="s">
        <v>4537</v>
      </c>
      <c r="B4538" s="12">
        <v>14.37</v>
      </c>
      <c r="C4538" s="11">
        <v>0</v>
      </c>
      <c r="D4538" s="11">
        <v>0.62368996305258995</v>
      </c>
    </row>
    <row r="4539" spans="1:4" x14ac:dyDescent="0.2">
      <c r="A4539" s="10" t="s">
        <v>4538</v>
      </c>
      <c r="B4539" s="12">
        <v>13.16</v>
      </c>
      <c r="C4539" s="11">
        <v>0</v>
      </c>
      <c r="D4539" s="11">
        <v>1.8215706857408978</v>
      </c>
    </row>
    <row r="4540" spans="1:4" x14ac:dyDescent="0.2">
      <c r="A4540" s="10" t="s">
        <v>4539</v>
      </c>
      <c r="B4540" s="12">
        <v>15.9</v>
      </c>
      <c r="C4540" s="11">
        <v>0.89098566150369995</v>
      </c>
      <c r="D4540" s="11">
        <v>0</v>
      </c>
    </row>
    <row r="4541" spans="1:4" x14ac:dyDescent="0.2">
      <c r="A4541" s="10" t="s">
        <v>4540</v>
      </c>
      <c r="B4541" s="12">
        <v>13.15</v>
      </c>
      <c r="C4541" s="11">
        <v>0</v>
      </c>
      <c r="D4541" s="11">
        <v>1.8314705264242721</v>
      </c>
    </row>
    <row r="4542" spans="1:4" x14ac:dyDescent="0.2">
      <c r="A4542" s="10" t="s">
        <v>4541</v>
      </c>
      <c r="B4542" s="12">
        <v>14.99</v>
      </c>
      <c r="C4542" s="11">
        <v>0</v>
      </c>
      <c r="D4542" s="11">
        <v>9.8998406833744439E-3</v>
      </c>
    </row>
    <row r="4543" spans="1:4" x14ac:dyDescent="0.2">
      <c r="A4543" s="10" t="s">
        <v>4542</v>
      </c>
      <c r="B4543" s="12">
        <v>15.77</v>
      </c>
      <c r="C4543" s="11">
        <v>0.76228773261983218</v>
      </c>
      <c r="D4543" s="11">
        <v>0</v>
      </c>
    </row>
    <row r="4544" spans="1:4" x14ac:dyDescent="0.2">
      <c r="A4544" s="10" t="s">
        <v>4543</v>
      </c>
      <c r="B4544" s="12">
        <v>14.92</v>
      </c>
      <c r="C4544" s="11">
        <v>0</v>
      </c>
      <c r="D4544" s="11">
        <v>7.9198725466995551E-2</v>
      </c>
    </row>
    <row r="4545" spans="1:4" x14ac:dyDescent="0.2">
      <c r="A4545" s="10" t="s">
        <v>4544</v>
      </c>
      <c r="B4545" s="12">
        <v>11.82</v>
      </c>
      <c r="C4545" s="11">
        <v>0</v>
      </c>
      <c r="D4545" s="11">
        <v>3.1481493373130731</v>
      </c>
    </row>
    <row r="4546" spans="1:4" x14ac:dyDescent="0.2">
      <c r="A4546" s="10" t="s">
        <v>4545</v>
      </c>
      <c r="B4546" s="12">
        <v>14.04</v>
      </c>
      <c r="C4546" s="11">
        <v>0</v>
      </c>
      <c r="D4546" s="11">
        <v>0.9503847056039465</v>
      </c>
    </row>
    <row r="4547" spans="1:4" x14ac:dyDescent="0.2">
      <c r="A4547" s="10" t="s">
        <v>4546</v>
      </c>
      <c r="B4547" s="12">
        <v>15.66</v>
      </c>
      <c r="C4547" s="11">
        <v>0.65338948510271333</v>
      </c>
      <c r="D4547" s="11">
        <v>0</v>
      </c>
    </row>
    <row r="4548" spans="1:4" x14ac:dyDescent="0.2">
      <c r="A4548" s="10" t="s">
        <v>4547</v>
      </c>
      <c r="B4548" s="12">
        <v>13.46</v>
      </c>
      <c r="C4548" s="11">
        <v>0</v>
      </c>
      <c r="D4548" s="11">
        <v>1.5245754652396644</v>
      </c>
    </row>
    <row r="4549" spans="1:4" x14ac:dyDescent="0.2">
      <c r="A4549" s="10" t="s">
        <v>4548</v>
      </c>
      <c r="B4549" s="12">
        <v>15.03</v>
      </c>
      <c r="C4549" s="11">
        <v>2.9699522050123328E-2</v>
      </c>
      <c r="D4549" s="11">
        <v>0</v>
      </c>
    </row>
    <row r="4550" spans="1:4" x14ac:dyDescent="0.2">
      <c r="A4550" s="10" t="s">
        <v>4549</v>
      </c>
      <c r="B4550" s="12">
        <v>14.03</v>
      </c>
      <c r="C4550" s="11">
        <v>0</v>
      </c>
      <c r="D4550" s="11">
        <v>0.96028454628732096</v>
      </c>
    </row>
    <row r="4551" spans="1:4" x14ac:dyDescent="0.2">
      <c r="A4551" s="10" t="s">
        <v>4550</v>
      </c>
      <c r="B4551" s="12">
        <v>15.34</v>
      </c>
      <c r="C4551" s="11">
        <v>0.33659458323473113</v>
      </c>
      <c r="D4551" s="11">
        <v>0</v>
      </c>
    </row>
    <row r="4552" spans="1:4" x14ac:dyDescent="0.2">
      <c r="A4552" s="10" t="s">
        <v>4551</v>
      </c>
      <c r="B4552" s="12">
        <v>15.61</v>
      </c>
      <c r="C4552" s="11">
        <v>0.60389028168584102</v>
      </c>
      <c r="D4552" s="11">
        <v>0</v>
      </c>
    </row>
    <row r="4553" spans="1:4" x14ac:dyDescent="0.2">
      <c r="A4553" s="10" t="s">
        <v>4552</v>
      </c>
      <c r="B4553" s="12">
        <v>13.83</v>
      </c>
      <c r="C4553" s="11">
        <v>0</v>
      </c>
      <c r="D4553" s="11">
        <v>1.1582813599548099</v>
      </c>
    </row>
    <row r="4554" spans="1:4" x14ac:dyDescent="0.2">
      <c r="A4554" s="10" t="s">
        <v>4553</v>
      </c>
      <c r="B4554" s="12">
        <v>15.13</v>
      </c>
      <c r="C4554" s="11">
        <v>0.12869792888386777</v>
      </c>
      <c r="D4554" s="11">
        <v>0</v>
      </c>
    </row>
    <row r="4555" spans="1:4" x14ac:dyDescent="0.2">
      <c r="A4555" s="10" t="s">
        <v>4554</v>
      </c>
      <c r="B4555" s="12">
        <v>14.69</v>
      </c>
      <c r="C4555" s="11">
        <v>0</v>
      </c>
      <c r="D4555" s="11">
        <v>0.30689506118460774</v>
      </c>
    </row>
    <row r="4556" spans="1:4" x14ac:dyDescent="0.2">
      <c r="A4556" s="10" t="s">
        <v>4555</v>
      </c>
      <c r="B4556" s="12">
        <v>13.97</v>
      </c>
      <c r="C4556" s="11">
        <v>0</v>
      </c>
      <c r="D4556" s="11">
        <v>1.0196835903875676</v>
      </c>
    </row>
    <row r="4557" spans="1:4" x14ac:dyDescent="0.2">
      <c r="A4557" s="10" t="s">
        <v>4556</v>
      </c>
      <c r="B4557" s="12">
        <v>11.93</v>
      </c>
      <c r="C4557" s="11">
        <v>0</v>
      </c>
      <c r="D4557" s="11">
        <v>3.0392510897959539</v>
      </c>
    </row>
    <row r="4558" spans="1:4" x14ac:dyDescent="0.2">
      <c r="A4558" s="10" t="s">
        <v>4557</v>
      </c>
      <c r="B4558" s="12">
        <v>13.1</v>
      </c>
      <c r="C4558" s="11">
        <v>0</v>
      </c>
      <c r="D4558" s="11">
        <v>1.8809697298411441</v>
      </c>
    </row>
    <row r="4559" spans="1:4" x14ac:dyDescent="0.2">
      <c r="A4559" s="10" t="s">
        <v>4558</v>
      </c>
      <c r="B4559" s="12">
        <v>13.83</v>
      </c>
      <c r="C4559" s="11">
        <v>0</v>
      </c>
      <c r="D4559" s="11">
        <v>1.1582813599548099</v>
      </c>
    </row>
    <row r="4560" spans="1:4" x14ac:dyDescent="0.2">
      <c r="A4560" s="10" t="s">
        <v>4559</v>
      </c>
      <c r="B4560" s="12">
        <v>13.62</v>
      </c>
      <c r="C4560" s="11">
        <v>0</v>
      </c>
      <c r="D4560" s="11">
        <v>1.366178014305673</v>
      </c>
    </row>
    <row r="4561" spans="1:4" x14ac:dyDescent="0.2">
      <c r="A4561" s="10" t="s">
        <v>4560</v>
      </c>
      <c r="B4561" s="12">
        <v>14.79</v>
      </c>
      <c r="C4561" s="11">
        <v>0</v>
      </c>
      <c r="D4561" s="11">
        <v>0.2078966543508633</v>
      </c>
    </row>
    <row r="4562" spans="1:4" x14ac:dyDescent="0.2">
      <c r="A4562" s="10" t="s">
        <v>4561</v>
      </c>
      <c r="B4562" s="12">
        <v>12.41</v>
      </c>
      <c r="C4562" s="11">
        <v>0</v>
      </c>
      <c r="D4562" s="11">
        <v>2.5640587369939807</v>
      </c>
    </row>
    <row r="4563" spans="1:4" x14ac:dyDescent="0.2">
      <c r="A4563" s="10" t="s">
        <v>4562</v>
      </c>
      <c r="B4563" s="12">
        <v>15.91</v>
      </c>
      <c r="C4563" s="11">
        <v>0.90088550218707442</v>
      </c>
      <c r="D4563" s="11">
        <v>0</v>
      </c>
    </row>
    <row r="4564" spans="1:4" x14ac:dyDescent="0.2">
      <c r="A4564" s="10" t="s">
        <v>4563</v>
      </c>
      <c r="B4564" s="12">
        <v>12.69</v>
      </c>
      <c r="C4564" s="11">
        <v>0</v>
      </c>
      <c r="D4564" s="11">
        <v>2.2868631978594967</v>
      </c>
    </row>
    <row r="4565" spans="1:4" x14ac:dyDescent="0.2">
      <c r="A4565" s="10" t="s">
        <v>4564</v>
      </c>
      <c r="B4565" s="12">
        <v>14.35</v>
      </c>
      <c r="C4565" s="11">
        <v>0</v>
      </c>
      <c r="D4565" s="11">
        <v>0.64348964441933887</v>
      </c>
    </row>
    <row r="4566" spans="1:4" x14ac:dyDescent="0.2">
      <c r="A4566" s="10" t="s">
        <v>4565</v>
      </c>
      <c r="B4566" s="12">
        <v>14.35</v>
      </c>
      <c r="C4566" s="11">
        <v>0</v>
      </c>
      <c r="D4566" s="11">
        <v>0.64348964441933887</v>
      </c>
    </row>
    <row r="4567" spans="1:4" x14ac:dyDescent="0.2">
      <c r="A4567" s="10" t="s">
        <v>4566</v>
      </c>
      <c r="B4567" s="12">
        <v>14.24</v>
      </c>
      <c r="C4567" s="11">
        <v>0</v>
      </c>
      <c r="D4567" s="11">
        <v>0.75238789193645772</v>
      </c>
    </row>
    <row r="4568" spans="1:4" x14ac:dyDescent="0.2">
      <c r="A4568" s="10" t="s">
        <v>4567</v>
      </c>
      <c r="B4568" s="12">
        <v>14.78</v>
      </c>
      <c r="C4568" s="11">
        <v>0</v>
      </c>
      <c r="D4568" s="11">
        <v>0.21779649503423776</v>
      </c>
    </row>
    <row r="4569" spans="1:4" x14ac:dyDescent="0.2">
      <c r="A4569" s="10" t="s">
        <v>4568</v>
      </c>
      <c r="B4569" s="12">
        <v>15.39</v>
      </c>
      <c r="C4569" s="11">
        <v>0.38609378665160332</v>
      </c>
      <c r="D4569" s="11">
        <v>0</v>
      </c>
    </row>
    <row r="4570" spans="1:4" x14ac:dyDescent="0.2">
      <c r="A4570" s="10" t="s">
        <v>4569</v>
      </c>
      <c r="B4570" s="12">
        <v>14.56</v>
      </c>
      <c r="C4570" s="11">
        <v>0</v>
      </c>
      <c r="D4570" s="11">
        <v>0.43559299006847552</v>
      </c>
    </row>
    <row r="4571" spans="1:4" x14ac:dyDescent="0.2">
      <c r="A4571" s="10" t="s">
        <v>4570</v>
      </c>
      <c r="B4571" s="12">
        <v>14.1</v>
      </c>
      <c r="C4571" s="11">
        <v>0</v>
      </c>
      <c r="D4571" s="11">
        <v>0.89098566150369995</v>
      </c>
    </row>
    <row r="4572" spans="1:4" x14ac:dyDescent="0.2">
      <c r="A4572" s="10" t="s">
        <v>4571</v>
      </c>
      <c r="B4572" s="12">
        <v>14.51</v>
      </c>
      <c r="C4572" s="11">
        <v>0</v>
      </c>
      <c r="D4572" s="11">
        <v>0.49499203416872217</v>
      </c>
    </row>
    <row r="4573" spans="1:4" x14ac:dyDescent="0.2">
      <c r="A4573" s="10" t="s">
        <v>4572</v>
      </c>
      <c r="B4573" s="12">
        <v>15.4</v>
      </c>
      <c r="C4573" s="11">
        <v>0.39599362733497778</v>
      </c>
      <c r="D4573" s="11">
        <v>0</v>
      </c>
    </row>
    <row r="4574" spans="1:4" x14ac:dyDescent="0.2">
      <c r="A4574" s="10" t="s">
        <v>4573</v>
      </c>
      <c r="B4574" s="12">
        <v>16</v>
      </c>
      <c r="C4574" s="11">
        <v>0.98998406833744435</v>
      </c>
      <c r="D4574" s="11">
        <v>0</v>
      </c>
    </row>
    <row r="4575" spans="1:4" x14ac:dyDescent="0.2">
      <c r="A4575" s="10" t="s">
        <v>4574</v>
      </c>
      <c r="B4575" s="12">
        <v>14.26</v>
      </c>
      <c r="C4575" s="11">
        <v>0</v>
      </c>
      <c r="D4575" s="11">
        <v>0.7325882105697088</v>
      </c>
    </row>
    <row r="4576" spans="1:4" x14ac:dyDescent="0.2">
      <c r="A4576" s="10" t="s">
        <v>4575</v>
      </c>
      <c r="B4576" s="12">
        <v>14.01</v>
      </c>
      <c r="C4576" s="11">
        <v>0</v>
      </c>
      <c r="D4576" s="11">
        <v>0.98008422765406988</v>
      </c>
    </row>
    <row r="4577" spans="1:4" x14ac:dyDescent="0.2">
      <c r="A4577" s="10" t="s">
        <v>4576</v>
      </c>
      <c r="B4577" s="12">
        <v>14.61</v>
      </c>
      <c r="C4577" s="11">
        <v>0</v>
      </c>
      <c r="D4577" s="11">
        <v>0.38609378665160332</v>
      </c>
    </row>
    <row r="4578" spans="1:4" x14ac:dyDescent="0.2">
      <c r="A4578" s="10" t="s">
        <v>4577</v>
      </c>
      <c r="B4578" s="12">
        <v>14.11</v>
      </c>
      <c r="C4578" s="11">
        <v>0</v>
      </c>
      <c r="D4578" s="11">
        <v>0.88108582082032549</v>
      </c>
    </row>
    <row r="4579" spans="1:4" x14ac:dyDescent="0.2">
      <c r="A4579" s="10" t="s">
        <v>4578</v>
      </c>
      <c r="B4579" s="12">
        <v>13.53</v>
      </c>
      <c r="C4579" s="11">
        <v>0</v>
      </c>
      <c r="D4579" s="11">
        <v>1.4552765804560432</v>
      </c>
    </row>
    <row r="4580" spans="1:4" x14ac:dyDescent="0.2">
      <c r="A4580" s="10" t="s">
        <v>4579</v>
      </c>
      <c r="B4580" s="12">
        <v>13.42</v>
      </c>
      <c r="C4580" s="11">
        <v>0</v>
      </c>
      <c r="D4580" s="11">
        <v>1.5641748279731622</v>
      </c>
    </row>
    <row r="4581" spans="1:4" x14ac:dyDescent="0.2">
      <c r="A4581" s="10" t="s">
        <v>4580</v>
      </c>
      <c r="B4581" s="12">
        <v>14.61</v>
      </c>
      <c r="C4581" s="11">
        <v>0</v>
      </c>
      <c r="D4581" s="11">
        <v>0.38609378665160332</v>
      </c>
    </row>
    <row r="4582" spans="1:4" x14ac:dyDescent="0.2">
      <c r="A4582" s="10" t="s">
        <v>4581</v>
      </c>
      <c r="B4582" s="12">
        <v>14.85</v>
      </c>
      <c r="C4582" s="11">
        <v>0</v>
      </c>
      <c r="D4582" s="11">
        <v>0.14849761025061664</v>
      </c>
    </row>
    <row r="4583" spans="1:4" x14ac:dyDescent="0.2">
      <c r="A4583" s="10" t="s">
        <v>4582</v>
      </c>
      <c r="B4583" s="12">
        <v>15.7</v>
      </c>
      <c r="C4583" s="11">
        <v>0.69298884783621095</v>
      </c>
      <c r="D4583" s="11">
        <v>0</v>
      </c>
    </row>
    <row r="4584" spans="1:4" x14ac:dyDescent="0.2">
      <c r="A4584" s="10" t="s">
        <v>4583</v>
      </c>
      <c r="B4584" s="12">
        <v>14.7</v>
      </c>
      <c r="C4584" s="11">
        <v>0</v>
      </c>
      <c r="D4584" s="11">
        <v>0.29699522050123328</v>
      </c>
    </row>
    <row r="4585" spans="1:4" x14ac:dyDescent="0.2">
      <c r="A4585" s="10" t="s">
        <v>4584</v>
      </c>
      <c r="B4585" s="12">
        <v>15.18</v>
      </c>
      <c r="C4585" s="11">
        <v>0.17819713230073997</v>
      </c>
      <c r="D4585" s="11">
        <v>0</v>
      </c>
    </row>
    <row r="4586" spans="1:4" x14ac:dyDescent="0.2">
      <c r="A4586" s="10" t="s">
        <v>4585</v>
      </c>
      <c r="B4586" s="12">
        <v>14.64</v>
      </c>
      <c r="C4586" s="11">
        <v>0</v>
      </c>
      <c r="D4586" s="11">
        <v>0.35639426460147994</v>
      </c>
    </row>
    <row r="4587" spans="1:4" x14ac:dyDescent="0.2">
      <c r="A4587" s="10" t="s">
        <v>4586</v>
      </c>
      <c r="B4587" s="12">
        <v>16.11</v>
      </c>
      <c r="C4587" s="11">
        <v>1.0988823158545633</v>
      </c>
      <c r="D4587" s="11">
        <v>0</v>
      </c>
    </row>
    <row r="4588" spans="1:4" x14ac:dyDescent="0.2">
      <c r="A4588" s="10" t="s">
        <v>4587</v>
      </c>
      <c r="B4588" s="12">
        <v>13.35</v>
      </c>
      <c r="C4588" s="11">
        <v>0</v>
      </c>
      <c r="D4588" s="11">
        <v>1.6334737127567831</v>
      </c>
    </row>
    <row r="4589" spans="1:4" x14ac:dyDescent="0.2">
      <c r="A4589" s="10" t="s">
        <v>4588</v>
      </c>
      <c r="B4589" s="12">
        <v>12.73</v>
      </c>
      <c r="C4589" s="11">
        <v>0</v>
      </c>
      <c r="D4589" s="11">
        <v>2.2472638351259988</v>
      </c>
    </row>
    <row r="4590" spans="1:4" x14ac:dyDescent="0.2">
      <c r="A4590" s="10" t="s">
        <v>4589</v>
      </c>
      <c r="B4590" s="12">
        <v>14.24</v>
      </c>
      <c r="C4590" s="11">
        <v>0</v>
      </c>
      <c r="D4590" s="11">
        <v>0.75238789193645772</v>
      </c>
    </row>
    <row r="4591" spans="1:4" x14ac:dyDescent="0.2">
      <c r="A4591" s="10" t="s">
        <v>4590</v>
      </c>
      <c r="B4591" s="12">
        <v>14.75</v>
      </c>
      <c r="C4591" s="11">
        <v>0</v>
      </c>
      <c r="D4591" s="11">
        <v>0.24749601708436109</v>
      </c>
    </row>
    <row r="4592" spans="1:4" x14ac:dyDescent="0.2">
      <c r="A4592" s="10" t="s">
        <v>4591</v>
      </c>
      <c r="B4592" s="12">
        <v>14.34</v>
      </c>
      <c r="C4592" s="11">
        <v>0</v>
      </c>
      <c r="D4592" s="11">
        <v>0.65338948510271333</v>
      </c>
    </row>
    <row r="4593" spans="1:4" x14ac:dyDescent="0.2">
      <c r="A4593" s="10" t="s">
        <v>4592</v>
      </c>
      <c r="B4593" s="12">
        <v>13.21</v>
      </c>
      <c r="C4593" s="11">
        <v>0</v>
      </c>
      <c r="D4593" s="11">
        <v>1.7720714823240253</v>
      </c>
    </row>
    <row r="4594" spans="1:4" x14ac:dyDescent="0.2">
      <c r="A4594" s="10" t="s">
        <v>4593</v>
      </c>
      <c r="B4594" s="12">
        <v>14.78</v>
      </c>
      <c r="C4594" s="11">
        <v>0</v>
      </c>
      <c r="D4594" s="11">
        <v>0.21779649503423776</v>
      </c>
    </row>
    <row r="4595" spans="1:4" x14ac:dyDescent="0.2">
      <c r="A4595" s="10" t="s">
        <v>4594</v>
      </c>
      <c r="B4595" s="12">
        <v>14.64</v>
      </c>
      <c r="C4595" s="11">
        <v>0</v>
      </c>
      <c r="D4595" s="11">
        <v>0.35639426460147994</v>
      </c>
    </row>
    <row r="4596" spans="1:4" x14ac:dyDescent="0.2">
      <c r="A4596" s="10" t="s">
        <v>4595</v>
      </c>
      <c r="B4596" s="12">
        <v>13.59</v>
      </c>
      <c r="C4596" s="11">
        <v>0</v>
      </c>
      <c r="D4596" s="11">
        <v>1.3958775363557965</v>
      </c>
    </row>
    <row r="4597" spans="1:4" x14ac:dyDescent="0.2">
      <c r="A4597" s="10" t="s">
        <v>4596</v>
      </c>
      <c r="B4597" s="12">
        <v>15.2</v>
      </c>
      <c r="C4597" s="11">
        <v>0.19799681366748889</v>
      </c>
      <c r="D4597" s="11">
        <v>0</v>
      </c>
    </row>
    <row r="4598" spans="1:4" x14ac:dyDescent="0.2">
      <c r="A4598" s="10" t="s">
        <v>4597</v>
      </c>
      <c r="B4598" s="12">
        <v>13.52</v>
      </c>
      <c r="C4598" s="11">
        <v>0</v>
      </c>
      <c r="D4598" s="11">
        <v>1.4651764211394176</v>
      </c>
    </row>
    <row r="4599" spans="1:4" x14ac:dyDescent="0.2">
      <c r="A4599" s="10" t="s">
        <v>4598</v>
      </c>
      <c r="B4599" s="12">
        <v>16.350000000000001</v>
      </c>
      <c r="C4599" s="11">
        <v>1.3364784922555499</v>
      </c>
      <c r="D4599" s="11">
        <v>0</v>
      </c>
    </row>
    <row r="4600" spans="1:4" x14ac:dyDescent="0.2">
      <c r="A4600" s="10" t="s">
        <v>4599</v>
      </c>
      <c r="B4600" s="12">
        <v>16.02</v>
      </c>
      <c r="C4600" s="11">
        <v>1.0097837497041933</v>
      </c>
      <c r="D4600" s="11">
        <v>0</v>
      </c>
    </row>
    <row r="4601" spans="1:4" x14ac:dyDescent="0.2">
      <c r="A4601" s="10" t="s">
        <v>4600</v>
      </c>
      <c r="B4601" s="12">
        <v>11.45</v>
      </c>
      <c r="C4601" s="11">
        <v>0</v>
      </c>
      <c r="D4601" s="11">
        <v>3.5144434425979272</v>
      </c>
    </row>
    <row r="4602" spans="1:4" x14ac:dyDescent="0.2">
      <c r="A4602" s="10" t="s">
        <v>4601</v>
      </c>
      <c r="B4602" s="12">
        <v>13.56</v>
      </c>
      <c r="C4602" s="11">
        <v>0</v>
      </c>
      <c r="D4602" s="11">
        <v>1.4255770584059198</v>
      </c>
    </row>
    <row r="4603" spans="1:4" x14ac:dyDescent="0.2">
      <c r="A4603" s="10" t="s">
        <v>4602</v>
      </c>
      <c r="B4603" s="12">
        <v>13.81</v>
      </c>
      <c r="C4603" s="11">
        <v>0</v>
      </c>
      <c r="D4603" s="11">
        <v>1.1780810413215588</v>
      </c>
    </row>
    <row r="4604" spans="1:4" x14ac:dyDescent="0.2">
      <c r="A4604" s="10" t="s">
        <v>4603</v>
      </c>
      <c r="B4604" s="12">
        <v>16.170000000000002</v>
      </c>
      <c r="C4604" s="11">
        <v>1.1582813599548099</v>
      </c>
      <c r="D4604" s="11">
        <v>0</v>
      </c>
    </row>
    <row r="4605" spans="1:4" x14ac:dyDescent="0.2">
      <c r="A4605" s="10" t="s">
        <v>4604</v>
      </c>
      <c r="B4605" s="12">
        <v>14.43</v>
      </c>
      <c r="C4605" s="11">
        <v>0</v>
      </c>
      <c r="D4605" s="11">
        <v>0.56429091895234318</v>
      </c>
    </row>
    <row r="4606" spans="1:4" x14ac:dyDescent="0.2">
      <c r="A4606" s="10" t="s">
        <v>4605</v>
      </c>
      <c r="B4606" s="12">
        <v>13.39</v>
      </c>
      <c r="C4606" s="11">
        <v>0</v>
      </c>
      <c r="D4606" s="11">
        <v>1.5938743500232855</v>
      </c>
    </row>
    <row r="4607" spans="1:4" x14ac:dyDescent="0.2">
      <c r="A4607" s="10" t="s">
        <v>4606</v>
      </c>
      <c r="B4607" s="12">
        <v>13.34</v>
      </c>
      <c r="C4607" s="11">
        <v>0</v>
      </c>
      <c r="D4607" s="11">
        <v>1.6433735534401575</v>
      </c>
    </row>
    <row r="4608" spans="1:4" x14ac:dyDescent="0.2">
      <c r="A4608" s="10" t="s">
        <v>4607</v>
      </c>
      <c r="B4608" s="12">
        <v>13.64</v>
      </c>
      <c r="C4608" s="11">
        <v>0</v>
      </c>
      <c r="D4608" s="11">
        <v>1.3463783329389245</v>
      </c>
    </row>
    <row r="4609" spans="1:4" x14ac:dyDescent="0.2">
      <c r="A4609" s="10" t="s">
        <v>4608</v>
      </c>
      <c r="B4609" s="12">
        <v>13.55</v>
      </c>
      <c r="C4609" s="11">
        <v>0</v>
      </c>
      <c r="D4609" s="11">
        <v>1.4354768990892943</v>
      </c>
    </row>
    <row r="4610" spans="1:4" x14ac:dyDescent="0.2">
      <c r="A4610" s="10" t="s">
        <v>4609</v>
      </c>
      <c r="B4610" s="12">
        <v>12.96</v>
      </c>
      <c r="C4610" s="11">
        <v>0</v>
      </c>
      <c r="D4610" s="11">
        <v>2.0195674994083865</v>
      </c>
    </row>
    <row r="4611" spans="1:4" x14ac:dyDescent="0.2">
      <c r="A4611" s="10" t="s">
        <v>4610</v>
      </c>
      <c r="B4611" s="12">
        <v>13.47</v>
      </c>
      <c r="C4611" s="11">
        <v>0</v>
      </c>
      <c r="D4611" s="11">
        <v>1.5146756245562898</v>
      </c>
    </row>
    <row r="4612" spans="1:4" x14ac:dyDescent="0.2">
      <c r="A4612" s="10" t="s">
        <v>4611</v>
      </c>
      <c r="B4612" s="12">
        <v>13.85</v>
      </c>
      <c r="C4612" s="11">
        <v>0</v>
      </c>
      <c r="D4612" s="11">
        <v>1.1384816785880609</v>
      </c>
    </row>
    <row r="4613" spans="1:4" x14ac:dyDescent="0.2">
      <c r="A4613" s="10" t="s">
        <v>4612</v>
      </c>
      <c r="B4613" s="12">
        <v>14.19</v>
      </c>
      <c r="C4613" s="11">
        <v>0</v>
      </c>
      <c r="D4613" s="11">
        <v>0.80188709535333003</v>
      </c>
    </row>
    <row r="4614" spans="1:4" x14ac:dyDescent="0.2">
      <c r="A4614" s="10" t="s">
        <v>4613</v>
      </c>
      <c r="B4614" s="12">
        <v>15.99</v>
      </c>
      <c r="C4614" s="11">
        <v>0.98008422765406988</v>
      </c>
      <c r="D4614" s="11">
        <v>0</v>
      </c>
    </row>
    <row r="4615" spans="1:4" x14ac:dyDescent="0.2">
      <c r="A4615" s="10" t="s">
        <v>4614</v>
      </c>
      <c r="B4615" s="12">
        <v>16.149999999999999</v>
      </c>
      <c r="C4615" s="11">
        <v>1.1384816785880609</v>
      </c>
      <c r="D4615" s="11">
        <v>0</v>
      </c>
    </row>
    <row r="4616" spans="1:4" x14ac:dyDescent="0.2">
      <c r="A4616" s="10" t="s">
        <v>4615</v>
      </c>
      <c r="B4616" s="12">
        <v>14.87</v>
      </c>
      <c r="C4616" s="11">
        <v>0</v>
      </c>
      <c r="D4616" s="11">
        <v>0.12869792888386777</v>
      </c>
    </row>
    <row r="4617" spans="1:4" x14ac:dyDescent="0.2">
      <c r="A4617" s="10" t="s">
        <v>4616</v>
      </c>
      <c r="B4617" s="12">
        <v>15.56</v>
      </c>
      <c r="C4617" s="11">
        <v>0.55439107826896894</v>
      </c>
      <c r="D4617" s="11">
        <v>0</v>
      </c>
    </row>
    <row r="4618" spans="1:4" x14ac:dyDescent="0.2">
      <c r="A4618" s="10" t="s">
        <v>4617</v>
      </c>
      <c r="B4618" s="12">
        <v>12.92</v>
      </c>
      <c r="C4618" s="11">
        <v>0</v>
      </c>
      <c r="D4618" s="11">
        <v>2.0591668621418844</v>
      </c>
    </row>
    <row r="4619" spans="1:4" x14ac:dyDescent="0.2">
      <c r="A4619" s="10" t="s">
        <v>4618</v>
      </c>
      <c r="B4619" s="12">
        <v>12.33</v>
      </c>
      <c r="C4619" s="11">
        <v>0</v>
      </c>
      <c r="D4619" s="11">
        <v>2.6432574624609764</v>
      </c>
    </row>
    <row r="4620" spans="1:4" x14ac:dyDescent="0.2">
      <c r="A4620" s="10" t="s">
        <v>4619</v>
      </c>
      <c r="B4620" s="12">
        <v>14.1</v>
      </c>
      <c r="C4620" s="11">
        <v>0</v>
      </c>
      <c r="D4620" s="11">
        <v>0.89098566150369995</v>
      </c>
    </row>
    <row r="4621" spans="1:4" x14ac:dyDescent="0.2">
      <c r="A4621" s="10" t="s">
        <v>4620</v>
      </c>
      <c r="B4621" s="12">
        <v>15.31</v>
      </c>
      <c r="C4621" s="11">
        <v>0.30689506118460774</v>
      </c>
      <c r="D4621" s="11">
        <v>0</v>
      </c>
    </row>
    <row r="4622" spans="1:4" x14ac:dyDescent="0.2">
      <c r="A4622" s="10" t="s">
        <v>4621</v>
      </c>
      <c r="B4622" s="12">
        <v>12.88</v>
      </c>
      <c r="C4622" s="11">
        <v>0</v>
      </c>
      <c r="D4622" s="11">
        <v>2.0987662248753822</v>
      </c>
    </row>
    <row r="4623" spans="1:4" x14ac:dyDescent="0.2">
      <c r="A4623" s="10" t="s">
        <v>4622</v>
      </c>
      <c r="B4623" s="12">
        <v>13.27</v>
      </c>
      <c r="C4623" s="11">
        <v>0</v>
      </c>
      <c r="D4623" s="11">
        <v>1.7126724382237788</v>
      </c>
    </row>
    <row r="4624" spans="1:4" x14ac:dyDescent="0.2">
      <c r="A4624" s="10" t="s">
        <v>4623</v>
      </c>
      <c r="B4624" s="12">
        <v>12.16</v>
      </c>
      <c r="C4624" s="11">
        <v>0</v>
      </c>
      <c r="D4624" s="11">
        <v>2.8115547540783417</v>
      </c>
    </row>
    <row r="4625" spans="1:4" x14ac:dyDescent="0.2">
      <c r="A4625" s="10" t="s">
        <v>4624</v>
      </c>
      <c r="B4625" s="12">
        <v>13.12</v>
      </c>
      <c r="C4625" s="11">
        <v>0</v>
      </c>
      <c r="D4625" s="11">
        <v>1.8611700484743952</v>
      </c>
    </row>
    <row r="4626" spans="1:4" x14ac:dyDescent="0.2">
      <c r="A4626" s="10" t="s">
        <v>4625</v>
      </c>
      <c r="B4626" s="12">
        <v>14.29</v>
      </c>
      <c r="C4626" s="11">
        <v>0</v>
      </c>
      <c r="D4626" s="11">
        <v>0.70288868851958541</v>
      </c>
    </row>
    <row r="4627" spans="1:4" x14ac:dyDescent="0.2">
      <c r="A4627" s="10" t="s">
        <v>4626</v>
      </c>
      <c r="B4627" s="12">
        <v>15.28</v>
      </c>
      <c r="C4627" s="11">
        <v>0.27719553913448447</v>
      </c>
      <c r="D4627" s="11">
        <v>0</v>
      </c>
    </row>
    <row r="4628" spans="1:4" x14ac:dyDescent="0.2">
      <c r="A4628" s="10" t="s">
        <v>4627</v>
      </c>
      <c r="B4628" s="12">
        <v>15.88</v>
      </c>
      <c r="C4628" s="11">
        <v>0.87118598013695103</v>
      </c>
      <c r="D4628" s="11">
        <v>0</v>
      </c>
    </row>
    <row r="4629" spans="1:4" x14ac:dyDescent="0.2">
      <c r="A4629" s="10" t="s">
        <v>4628</v>
      </c>
      <c r="B4629" s="12">
        <v>14.77</v>
      </c>
      <c r="C4629" s="11">
        <v>0</v>
      </c>
      <c r="D4629" s="11">
        <v>0.22769633571761222</v>
      </c>
    </row>
    <row r="4630" spans="1:4" x14ac:dyDescent="0.2">
      <c r="A4630" s="10" t="s">
        <v>4629</v>
      </c>
      <c r="B4630" s="12">
        <v>14.1</v>
      </c>
      <c r="C4630" s="11">
        <v>0</v>
      </c>
      <c r="D4630" s="11">
        <v>0.89098566150369995</v>
      </c>
    </row>
    <row r="4631" spans="1:4" x14ac:dyDescent="0.2">
      <c r="A4631" s="10" t="s">
        <v>4630</v>
      </c>
      <c r="B4631" s="12">
        <v>14.36</v>
      </c>
      <c r="C4631" s="11">
        <v>0</v>
      </c>
      <c r="D4631" s="11">
        <v>0.63358980373596441</v>
      </c>
    </row>
    <row r="4632" spans="1:4" x14ac:dyDescent="0.2">
      <c r="A4632" s="10" t="s">
        <v>4631</v>
      </c>
      <c r="B4632" s="12">
        <v>14</v>
      </c>
      <c r="C4632" s="11">
        <v>0</v>
      </c>
      <c r="D4632" s="11">
        <v>0.98998406833744435</v>
      </c>
    </row>
    <row r="4633" spans="1:4" x14ac:dyDescent="0.2">
      <c r="A4633" s="10" t="s">
        <v>4632</v>
      </c>
      <c r="B4633" s="12">
        <v>14.29</v>
      </c>
      <c r="C4633" s="11">
        <v>0</v>
      </c>
      <c r="D4633" s="11">
        <v>0.70288868851958541</v>
      </c>
    </row>
    <row r="4634" spans="1:4" x14ac:dyDescent="0.2">
      <c r="A4634" s="10" t="s">
        <v>4633</v>
      </c>
      <c r="B4634" s="12">
        <v>15.51</v>
      </c>
      <c r="C4634" s="11">
        <v>0.50489187485209663</v>
      </c>
      <c r="D4634" s="11">
        <v>0</v>
      </c>
    </row>
    <row r="4635" spans="1:4" x14ac:dyDescent="0.2">
      <c r="A4635" s="10" t="s">
        <v>4634</v>
      </c>
      <c r="B4635" s="12">
        <v>12.89</v>
      </c>
      <c r="C4635" s="11">
        <v>0</v>
      </c>
      <c r="D4635" s="11">
        <v>2.0888663841920074</v>
      </c>
    </row>
    <row r="4636" spans="1:4" x14ac:dyDescent="0.2">
      <c r="A4636" s="10" t="s">
        <v>4635</v>
      </c>
      <c r="B4636" s="12">
        <v>12.78</v>
      </c>
      <c r="C4636" s="11">
        <v>0</v>
      </c>
      <c r="D4636" s="11">
        <v>2.1977646317091266</v>
      </c>
    </row>
    <row r="4637" spans="1:4" x14ac:dyDescent="0.2">
      <c r="A4637" s="10" t="s">
        <v>4636</v>
      </c>
      <c r="B4637" s="12">
        <v>14.81</v>
      </c>
      <c r="C4637" s="11">
        <v>0</v>
      </c>
      <c r="D4637" s="11">
        <v>0.18809697298411443</v>
      </c>
    </row>
    <row r="4638" spans="1:4" x14ac:dyDescent="0.2">
      <c r="A4638" s="10" t="s">
        <v>4637</v>
      </c>
      <c r="B4638" s="12">
        <v>14.39</v>
      </c>
      <c r="C4638" s="11">
        <v>0</v>
      </c>
      <c r="D4638" s="11">
        <v>0.60389028168584102</v>
      </c>
    </row>
    <row r="4639" spans="1:4" x14ac:dyDescent="0.2">
      <c r="A4639" s="10" t="s">
        <v>4638</v>
      </c>
      <c r="B4639" s="12">
        <v>13.97</v>
      </c>
      <c r="C4639" s="11">
        <v>0</v>
      </c>
      <c r="D4639" s="11">
        <v>1.0196835903875676</v>
      </c>
    </row>
    <row r="4640" spans="1:4" x14ac:dyDescent="0.2">
      <c r="A4640" s="10" t="s">
        <v>4639</v>
      </c>
      <c r="B4640" s="12">
        <v>13.96</v>
      </c>
      <c r="C4640" s="11">
        <v>0</v>
      </c>
      <c r="D4640" s="11">
        <v>1.0295834310709422</v>
      </c>
    </row>
    <row r="4641" spans="1:4" x14ac:dyDescent="0.2">
      <c r="A4641" s="10" t="s">
        <v>4640</v>
      </c>
      <c r="B4641" s="12">
        <v>13.55</v>
      </c>
      <c r="C4641" s="11">
        <v>0</v>
      </c>
      <c r="D4641" s="11">
        <v>1.4354768990892943</v>
      </c>
    </row>
    <row r="4642" spans="1:4" x14ac:dyDescent="0.2">
      <c r="A4642" s="10" t="s">
        <v>4641</v>
      </c>
      <c r="B4642" s="12">
        <v>14.9</v>
      </c>
      <c r="C4642" s="11">
        <v>0</v>
      </c>
      <c r="D4642" s="11">
        <v>9.8998406833744446E-2</v>
      </c>
    </row>
    <row r="4643" spans="1:4" x14ac:dyDescent="0.2">
      <c r="A4643" s="10" t="s">
        <v>4642</v>
      </c>
      <c r="B4643" s="12">
        <v>15.49</v>
      </c>
      <c r="C4643" s="11">
        <v>0.48509219348534771</v>
      </c>
      <c r="D4643" s="11">
        <v>0</v>
      </c>
    </row>
    <row r="4644" spans="1:4" x14ac:dyDescent="0.2">
      <c r="A4644" s="10" t="s">
        <v>4643</v>
      </c>
      <c r="B4644" s="12">
        <v>11.92</v>
      </c>
      <c r="C4644" s="11">
        <v>0</v>
      </c>
      <c r="D4644" s="11">
        <v>3.0491509304793287</v>
      </c>
    </row>
    <row r="4645" spans="1:4" x14ac:dyDescent="0.2">
      <c r="A4645" s="10" t="s">
        <v>4644</v>
      </c>
      <c r="B4645" s="12">
        <v>15.62</v>
      </c>
      <c r="C4645" s="11">
        <v>0.61379012236921549</v>
      </c>
      <c r="D4645" s="11">
        <v>0</v>
      </c>
    </row>
    <row r="4646" spans="1:4" x14ac:dyDescent="0.2">
      <c r="A4646" s="10" t="s">
        <v>4645</v>
      </c>
      <c r="B4646" s="12">
        <v>12.98</v>
      </c>
      <c r="C4646" s="11">
        <v>0</v>
      </c>
      <c r="D4646" s="11">
        <v>1.9997678180416376</v>
      </c>
    </row>
    <row r="4647" spans="1:4" x14ac:dyDescent="0.2">
      <c r="A4647" s="10" t="s">
        <v>4646</v>
      </c>
      <c r="B4647" s="12">
        <v>13.93</v>
      </c>
      <c r="C4647" s="11">
        <v>0</v>
      </c>
      <c r="D4647" s="11">
        <v>1.0592829531210655</v>
      </c>
    </row>
    <row r="4648" spans="1:4" x14ac:dyDescent="0.2">
      <c r="A4648" s="10" t="s">
        <v>4647</v>
      </c>
      <c r="B4648" s="12">
        <v>15.29</v>
      </c>
      <c r="C4648" s="11">
        <v>0.28709537981785882</v>
      </c>
      <c r="D4648" s="11">
        <v>0</v>
      </c>
    </row>
    <row r="4649" spans="1:4" x14ac:dyDescent="0.2">
      <c r="A4649" s="10" t="s">
        <v>4648</v>
      </c>
      <c r="B4649" s="12">
        <v>16.5</v>
      </c>
      <c r="C4649" s="11">
        <v>1.4849761025061665</v>
      </c>
      <c r="D4649" s="11">
        <v>0</v>
      </c>
    </row>
    <row r="4650" spans="1:4" x14ac:dyDescent="0.2">
      <c r="A4650" s="10" t="s">
        <v>4649</v>
      </c>
      <c r="B4650" s="12">
        <v>14.2</v>
      </c>
      <c r="C4650" s="11">
        <v>0</v>
      </c>
      <c r="D4650" s="11">
        <v>0.79198725466995556</v>
      </c>
    </row>
    <row r="4651" spans="1:4" x14ac:dyDescent="0.2">
      <c r="A4651" s="10" t="s">
        <v>4650</v>
      </c>
      <c r="B4651" s="12">
        <v>13.77</v>
      </c>
      <c r="C4651" s="11">
        <v>0</v>
      </c>
      <c r="D4651" s="11">
        <v>1.2176804040550566</v>
      </c>
    </row>
    <row r="4652" spans="1:4" x14ac:dyDescent="0.2">
      <c r="A4652" s="10" t="s">
        <v>4651</v>
      </c>
      <c r="B4652" s="12">
        <v>11.3</v>
      </c>
      <c r="C4652" s="11">
        <v>0</v>
      </c>
      <c r="D4652" s="11">
        <v>3.6629410528485442</v>
      </c>
    </row>
    <row r="4653" spans="1:4" x14ac:dyDescent="0.2">
      <c r="A4653" s="10" t="s">
        <v>4652</v>
      </c>
      <c r="B4653" s="12">
        <v>13.52</v>
      </c>
      <c r="C4653" s="11">
        <v>0</v>
      </c>
      <c r="D4653" s="11">
        <v>1.4651764211394176</v>
      </c>
    </row>
    <row r="4654" spans="1:4" x14ac:dyDescent="0.2">
      <c r="A4654" s="10" t="s">
        <v>4653</v>
      </c>
      <c r="B4654" s="12">
        <v>16.010000000000002</v>
      </c>
      <c r="C4654" s="11">
        <v>0.99988390902081881</v>
      </c>
      <c r="D4654" s="11">
        <v>0</v>
      </c>
    </row>
    <row r="4655" spans="1:4" x14ac:dyDescent="0.2">
      <c r="A4655" s="10" t="s">
        <v>4654</v>
      </c>
      <c r="B4655" s="12">
        <v>14.67</v>
      </c>
      <c r="C4655" s="11">
        <v>0</v>
      </c>
      <c r="D4655" s="11">
        <v>0.32669474255135666</v>
      </c>
    </row>
    <row r="4656" spans="1:4" x14ac:dyDescent="0.2">
      <c r="A4656" s="10" t="s">
        <v>4655</v>
      </c>
      <c r="B4656" s="12">
        <v>14.75</v>
      </c>
      <c r="C4656" s="11">
        <v>0</v>
      </c>
      <c r="D4656" s="11">
        <v>0.24749601708436109</v>
      </c>
    </row>
    <row r="4657" spans="1:4" x14ac:dyDescent="0.2">
      <c r="A4657" s="10" t="s">
        <v>4656</v>
      </c>
      <c r="B4657" s="12">
        <v>13.48</v>
      </c>
      <c r="C4657" s="11">
        <v>0</v>
      </c>
      <c r="D4657" s="11">
        <v>1.5047757838729154</v>
      </c>
    </row>
    <row r="4658" spans="1:4" x14ac:dyDescent="0.2">
      <c r="A4658" s="10" t="s">
        <v>4657</v>
      </c>
      <c r="B4658" s="12">
        <v>11.13</v>
      </c>
      <c r="C4658" s="11">
        <v>0</v>
      </c>
      <c r="D4658" s="11">
        <v>3.8312383444659099</v>
      </c>
    </row>
    <row r="4659" spans="1:4" x14ac:dyDescent="0.2">
      <c r="A4659" s="10" t="s">
        <v>4658</v>
      </c>
      <c r="B4659" s="12">
        <v>12.39</v>
      </c>
      <c r="C4659" s="11">
        <v>0</v>
      </c>
      <c r="D4659" s="11">
        <v>2.5838584183607298</v>
      </c>
    </row>
    <row r="4660" spans="1:4" x14ac:dyDescent="0.2">
      <c r="A4660" s="10" t="s">
        <v>4659</v>
      </c>
      <c r="B4660" s="12">
        <v>14.56</v>
      </c>
      <c r="C4660" s="11">
        <v>0</v>
      </c>
      <c r="D4660" s="11">
        <v>0.43559299006847552</v>
      </c>
    </row>
    <row r="4661" spans="1:4" x14ac:dyDescent="0.2">
      <c r="A4661" s="10" t="s">
        <v>4660</v>
      </c>
      <c r="B4661" s="12">
        <v>14.06</v>
      </c>
      <c r="C4661" s="11">
        <v>0</v>
      </c>
      <c r="D4661" s="11">
        <v>0.93058502423719758</v>
      </c>
    </row>
    <row r="4662" spans="1:4" x14ac:dyDescent="0.2">
      <c r="A4662" s="10" t="s">
        <v>4661</v>
      </c>
      <c r="B4662" s="12">
        <v>15.53</v>
      </c>
      <c r="C4662" s="11">
        <v>0.52469155621884556</v>
      </c>
      <c r="D4662" s="11">
        <v>0</v>
      </c>
    </row>
    <row r="4663" spans="1:4" x14ac:dyDescent="0.2">
      <c r="A4663" s="10" t="s">
        <v>4662</v>
      </c>
      <c r="B4663" s="12">
        <v>12.84</v>
      </c>
      <c r="C4663" s="11">
        <v>0</v>
      </c>
      <c r="D4663" s="11">
        <v>2.1383655876088801</v>
      </c>
    </row>
    <row r="4664" spans="1:4" x14ac:dyDescent="0.2">
      <c r="A4664" s="10" t="s">
        <v>4663</v>
      </c>
      <c r="B4664" s="12">
        <v>12.91</v>
      </c>
      <c r="C4664" s="11">
        <v>0</v>
      </c>
      <c r="D4664" s="11">
        <v>2.0690667028252587</v>
      </c>
    </row>
    <row r="4665" spans="1:4" x14ac:dyDescent="0.2">
      <c r="A4665" s="10" t="s">
        <v>4664</v>
      </c>
      <c r="B4665" s="12">
        <v>11.91</v>
      </c>
      <c r="C4665" s="11">
        <v>0</v>
      </c>
      <c r="D4665" s="11">
        <v>3.0590507711627031</v>
      </c>
    </row>
    <row r="4666" spans="1:4" x14ac:dyDescent="0.2">
      <c r="A4666" s="10" t="s">
        <v>4665</v>
      </c>
      <c r="B4666" s="12">
        <v>16.21</v>
      </c>
      <c r="C4666" s="11">
        <v>1.1978807226883077</v>
      </c>
      <c r="D4666" s="11">
        <v>0</v>
      </c>
    </row>
    <row r="4667" spans="1:4" x14ac:dyDescent="0.2">
      <c r="A4667" s="10" t="s">
        <v>4666</v>
      </c>
      <c r="B4667" s="12">
        <v>12.74</v>
      </c>
      <c r="C4667" s="11">
        <v>0</v>
      </c>
      <c r="D4667" s="11">
        <v>2.237363994442624</v>
      </c>
    </row>
    <row r="4668" spans="1:4" x14ac:dyDescent="0.2">
      <c r="A4668" s="10" t="s">
        <v>4667</v>
      </c>
      <c r="B4668" s="12">
        <v>14.11</v>
      </c>
      <c r="C4668" s="11">
        <v>0</v>
      </c>
      <c r="D4668" s="11">
        <v>0.88108582082032549</v>
      </c>
    </row>
    <row r="4669" spans="1:4" x14ac:dyDescent="0.2">
      <c r="A4669" s="10" t="s">
        <v>4668</v>
      </c>
      <c r="B4669" s="12">
        <v>16.36</v>
      </c>
      <c r="C4669" s="11">
        <v>1.3463783329389245</v>
      </c>
      <c r="D4669" s="11">
        <v>0</v>
      </c>
    </row>
    <row r="4670" spans="1:4" x14ac:dyDescent="0.2">
      <c r="A4670" s="10" t="s">
        <v>4669</v>
      </c>
      <c r="B4670" s="12">
        <v>12.79</v>
      </c>
      <c r="C4670" s="11">
        <v>0</v>
      </c>
      <c r="D4670" s="11">
        <v>2.1878647910257518</v>
      </c>
    </row>
    <row r="4671" spans="1:4" x14ac:dyDescent="0.2">
      <c r="A4671" s="10" t="s">
        <v>4670</v>
      </c>
      <c r="B4671" s="12">
        <v>12.85</v>
      </c>
      <c r="C4671" s="11">
        <v>0</v>
      </c>
      <c r="D4671" s="11">
        <v>2.1284657469255053</v>
      </c>
    </row>
    <row r="4672" spans="1:4" x14ac:dyDescent="0.2">
      <c r="A4672" s="10" t="s">
        <v>4671</v>
      </c>
      <c r="B4672" s="12">
        <v>13.61</v>
      </c>
      <c r="C4672" s="11">
        <v>0</v>
      </c>
      <c r="D4672" s="11">
        <v>1.3760778549890476</v>
      </c>
    </row>
    <row r="4673" spans="1:4" x14ac:dyDescent="0.2">
      <c r="A4673" s="10" t="s">
        <v>4672</v>
      </c>
      <c r="B4673" s="12">
        <v>12.23</v>
      </c>
      <c r="C4673" s="11">
        <v>0</v>
      </c>
      <c r="D4673" s="11">
        <v>2.7422558692947208</v>
      </c>
    </row>
    <row r="4674" spans="1:4" x14ac:dyDescent="0.2">
      <c r="A4674" s="10" t="s">
        <v>4673</v>
      </c>
      <c r="B4674" s="12">
        <v>12.05</v>
      </c>
      <c r="C4674" s="11">
        <v>0</v>
      </c>
      <c r="D4674" s="11">
        <v>2.9204530015954608</v>
      </c>
    </row>
    <row r="4675" spans="1:4" x14ac:dyDescent="0.2">
      <c r="A4675" s="10" t="s">
        <v>4674</v>
      </c>
      <c r="B4675" s="12">
        <v>13.17</v>
      </c>
      <c r="C4675" s="11">
        <v>0</v>
      </c>
      <c r="D4675" s="11">
        <v>1.8116708450575232</v>
      </c>
    </row>
    <row r="4676" spans="1:4" x14ac:dyDescent="0.2">
      <c r="A4676" s="10" t="s">
        <v>4675</v>
      </c>
      <c r="B4676" s="12">
        <v>12.96</v>
      </c>
      <c r="C4676" s="11">
        <v>0</v>
      </c>
      <c r="D4676" s="11">
        <v>2.0195674994083865</v>
      </c>
    </row>
    <row r="4677" spans="1:4" x14ac:dyDescent="0.2">
      <c r="A4677" s="10" t="s">
        <v>4676</v>
      </c>
      <c r="B4677" s="12">
        <v>14.42</v>
      </c>
      <c r="C4677" s="11">
        <v>0</v>
      </c>
      <c r="D4677" s="11">
        <v>0.57419075963571764</v>
      </c>
    </row>
    <row r="4678" spans="1:4" x14ac:dyDescent="0.2">
      <c r="A4678" s="10" t="s">
        <v>4677</v>
      </c>
      <c r="B4678" s="12">
        <v>14.47</v>
      </c>
      <c r="C4678" s="11">
        <v>0</v>
      </c>
      <c r="D4678" s="11">
        <v>0.52469155621884556</v>
      </c>
    </row>
    <row r="4679" spans="1:4" x14ac:dyDescent="0.2">
      <c r="A4679" s="10" t="s">
        <v>4678</v>
      </c>
      <c r="B4679" s="12">
        <v>13.01</v>
      </c>
      <c r="C4679" s="11">
        <v>0</v>
      </c>
      <c r="D4679" s="11">
        <v>1.9700682959915143</v>
      </c>
    </row>
    <row r="4680" spans="1:4" x14ac:dyDescent="0.2">
      <c r="A4680" s="10" t="s">
        <v>4679</v>
      </c>
      <c r="B4680" s="12">
        <v>12.6</v>
      </c>
      <c r="C4680" s="11">
        <v>0</v>
      </c>
      <c r="D4680" s="11">
        <v>2.3759617640098663</v>
      </c>
    </row>
    <row r="4681" spans="1:4" x14ac:dyDescent="0.2">
      <c r="A4681" s="10" t="s">
        <v>4680</v>
      </c>
      <c r="B4681" s="12">
        <v>11.03</v>
      </c>
      <c r="C4681" s="11">
        <v>0</v>
      </c>
      <c r="D4681" s="11">
        <v>3.9302367512996543</v>
      </c>
    </row>
    <row r="4682" spans="1:4" x14ac:dyDescent="0.2">
      <c r="A4682" s="10" t="s">
        <v>4681</v>
      </c>
      <c r="B4682" s="12">
        <v>14.26</v>
      </c>
      <c r="C4682" s="11">
        <v>0</v>
      </c>
      <c r="D4682" s="11">
        <v>0.7325882105697088</v>
      </c>
    </row>
    <row r="4683" spans="1:4" x14ac:dyDescent="0.2">
      <c r="A4683" s="10" t="s">
        <v>4682</v>
      </c>
      <c r="B4683" s="12">
        <v>14.54</v>
      </c>
      <c r="C4683" s="11">
        <v>0</v>
      </c>
      <c r="D4683" s="11">
        <v>0.45539267143522444</v>
      </c>
    </row>
    <row r="4684" spans="1:4" x14ac:dyDescent="0.2">
      <c r="A4684" s="10" t="s">
        <v>4683</v>
      </c>
      <c r="B4684" s="12">
        <v>14.07</v>
      </c>
      <c r="C4684" s="11">
        <v>0</v>
      </c>
      <c r="D4684" s="11">
        <v>0.92068518355382334</v>
      </c>
    </row>
    <row r="4685" spans="1:4" x14ac:dyDescent="0.2">
      <c r="A4685" s="10" t="s">
        <v>4684</v>
      </c>
      <c r="B4685" s="12">
        <v>14.26</v>
      </c>
      <c r="C4685" s="11">
        <v>0</v>
      </c>
      <c r="D4685" s="11">
        <v>0.7325882105697088</v>
      </c>
    </row>
    <row r="4686" spans="1:4" x14ac:dyDescent="0.2">
      <c r="A4686" s="10" t="s">
        <v>4685</v>
      </c>
      <c r="B4686" s="12">
        <v>13.28</v>
      </c>
      <c r="C4686" s="11">
        <v>0</v>
      </c>
      <c r="D4686" s="11">
        <v>1.7027725975404042</v>
      </c>
    </row>
    <row r="4687" spans="1:4" x14ac:dyDescent="0.2">
      <c r="A4687" s="10" t="s">
        <v>4686</v>
      </c>
      <c r="B4687" s="12">
        <v>14.64</v>
      </c>
      <c r="C4687" s="11">
        <v>0</v>
      </c>
      <c r="D4687" s="11">
        <v>0.35639426460147994</v>
      </c>
    </row>
    <row r="4688" spans="1:4" x14ac:dyDescent="0.2">
      <c r="A4688" s="10" t="s">
        <v>4687</v>
      </c>
      <c r="B4688" s="12">
        <v>16.16</v>
      </c>
      <c r="C4688" s="11">
        <v>1.1483815192714353</v>
      </c>
      <c r="D4688" s="11">
        <v>0</v>
      </c>
    </row>
    <row r="4689" spans="1:4" x14ac:dyDescent="0.2">
      <c r="A4689" s="10" t="s">
        <v>4688</v>
      </c>
      <c r="B4689" s="12">
        <v>13.44</v>
      </c>
      <c r="C4689" s="11">
        <v>0</v>
      </c>
      <c r="D4689" s="11">
        <v>1.5443751466064133</v>
      </c>
    </row>
    <row r="4690" spans="1:4" x14ac:dyDescent="0.2">
      <c r="A4690" s="10" t="s">
        <v>4689</v>
      </c>
      <c r="B4690" s="12">
        <v>13.24</v>
      </c>
      <c r="C4690" s="11">
        <v>0</v>
      </c>
      <c r="D4690" s="11">
        <v>1.7423719602739021</v>
      </c>
    </row>
    <row r="4691" spans="1:4" x14ac:dyDescent="0.2">
      <c r="A4691" s="10" t="s">
        <v>4690</v>
      </c>
      <c r="B4691" s="12">
        <v>14.32</v>
      </c>
      <c r="C4691" s="11">
        <v>0</v>
      </c>
      <c r="D4691" s="11">
        <v>0.67318916646946225</v>
      </c>
    </row>
    <row r="4692" spans="1:4" x14ac:dyDescent="0.2">
      <c r="A4692" s="10" t="s">
        <v>4691</v>
      </c>
      <c r="B4692" s="12">
        <v>12.76</v>
      </c>
      <c r="C4692" s="11">
        <v>0</v>
      </c>
      <c r="D4692" s="11">
        <v>2.2175643130758758</v>
      </c>
    </row>
    <row r="4693" spans="1:4" x14ac:dyDescent="0.2">
      <c r="A4693" s="10" t="s">
        <v>4692</v>
      </c>
      <c r="B4693" s="12">
        <v>12.97</v>
      </c>
      <c r="C4693" s="11">
        <v>0</v>
      </c>
      <c r="D4693" s="11">
        <v>2.0096676587250117</v>
      </c>
    </row>
    <row r="4694" spans="1:4" x14ac:dyDescent="0.2">
      <c r="A4694" s="10" t="s">
        <v>4693</v>
      </c>
      <c r="B4694" s="12">
        <v>13.09</v>
      </c>
      <c r="C4694" s="11">
        <v>0</v>
      </c>
      <c r="D4694" s="11">
        <v>1.8908695705245187</v>
      </c>
    </row>
    <row r="4695" spans="1:4" x14ac:dyDescent="0.2">
      <c r="A4695" s="10" t="s">
        <v>4694</v>
      </c>
      <c r="B4695" s="12">
        <v>14.45</v>
      </c>
      <c r="C4695" s="11">
        <v>0</v>
      </c>
      <c r="D4695" s="11">
        <v>0.54449123758559448</v>
      </c>
    </row>
    <row r="4696" spans="1:4" x14ac:dyDescent="0.2">
      <c r="A4696" s="10" t="s">
        <v>4695</v>
      </c>
      <c r="B4696" s="12">
        <v>16.38</v>
      </c>
      <c r="C4696" s="11">
        <v>1.366178014305673</v>
      </c>
      <c r="D4696" s="11">
        <v>0</v>
      </c>
    </row>
    <row r="4697" spans="1:4" x14ac:dyDescent="0.2">
      <c r="A4697" s="10" t="s">
        <v>4696</v>
      </c>
      <c r="B4697" s="12">
        <v>12.18</v>
      </c>
      <c r="C4697" s="11">
        <v>0</v>
      </c>
      <c r="D4697" s="11">
        <v>2.791755072711593</v>
      </c>
    </row>
    <row r="4698" spans="1:4" x14ac:dyDescent="0.2">
      <c r="A4698" s="10" t="s">
        <v>4697</v>
      </c>
      <c r="B4698" s="12">
        <v>14.28</v>
      </c>
      <c r="C4698" s="11">
        <v>0</v>
      </c>
      <c r="D4698" s="11">
        <v>0.71278852920295988</v>
      </c>
    </row>
    <row r="4699" spans="1:4" x14ac:dyDescent="0.2">
      <c r="A4699" s="10" t="s">
        <v>4698</v>
      </c>
      <c r="B4699" s="12">
        <v>14.35</v>
      </c>
      <c r="C4699" s="11">
        <v>0</v>
      </c>
      <c r="D4699" s="11">
        <v>0.64348964441933887</v>
      </c>
    </row>
    <row r="4700" spans="1:4" x14ac:dyDescent="0.2">
      <c r="A4700" s="10" t="s">
        <v>4699</v>
      </c>
      <c r="B4700" s="12">
        <v>14.26</v>
      </c>
      <c r="C4700" s="11">
        <v>0</v>
      </c>
      <c r="D4700" s="11">
        <v>0.7325882105697088</v>
      </c>
    </row>
    <row r="4701" spans="1:4" x14ac:dyDescent="0.2">
      <c r="A4701" s="10" t="s">
        <v>4700</v>
      </c>
      <c r="B4701" s="12">
        <v>13.74</v>
      </c>
      <c r="C4701" s="11">
        <v>0</v>
      </c>
      <c r="D4701" s="11">
        <v>1.2473799261051799</v>
      </c>
    </row>
    <row r="4702" spans="1:4" x14ac:dyDescent="0.2">
      <c r="A4702" s="10" t="s">
        <v>4701</v>
      </c>
      <c r="B4702" s="12">
        <v>14.23</v>
      </c>
      <c r="C4702" s="11">
        <v>0</v>
      </c>
      <c r="D4702" s="11">
        <v>0.76228773261983218</v>
      </c>
    </row>
    <row r="4703" spans="1:4" x14ac:dyDescent="0.2">
      <c r="A4703" s="10" t="s">
        <v>4702</v>
      </c>
      <c r="B4703" s="12">
        <v>15.78</v>
      </c>
      <c r="C4703" s="11">
        <v>0.77218757330320664</v>
      </c>
      <c r="D4703" s="11">
        <v>0</v>
      </c>
    </row>
    <row r="4704" spans="1:4" x14ac:dyDescent="0.2">
      <c r="A4704" s="10" t="s">
        <v>4703</v>
      </c>
      <c r="B4704" s="12">
        <v>13.85</v>
      </c>
      <c r="C4704" s="11">
        <v>0</v>
      </c>
      <c r="D4704" s="11">
        <v>1.1384816785880609</v>
      </c>
    </row>
    <row r="4705" spans="1:4" x14ac:dyDescent="0.2">
      <c r="A4705" s="10" t="s">
        <v>4704</v>
      </c>
      <c r="B4705" s="12">
        <v>13.19</v>
      </c>
      <c r="C4705" s="11">
        <v>0</v>
      </c>
      <c r="D4705" s="11">
        <v>1.7918711636907743</v>
      </c>
    </row>
    <row r="4706" spans="1:4" x14ac:dyDescent="0.2">
      <c r="A4706" s="10" t="s">
        <v>4705</v>
      </c>
      <c r="B4706" s="12">
        <v>12.68</v>
      </c>
      <c r="C4706" s="11">
        <v>0</v>
      </c>
      <c r="D4706" s="11">
        <v>2.2967630385428706</v>
      </c>
    </row>
    <row r="4707" spans="1:4" x14ac:dyDescent="0.2">
      <c r="A4707" s="10" t="s">
        <v>4706</v>
      </c>
      <c r="B4707" s="12">
        <v>14.76</v>
      </c>
      <c r="C4707" s="11">
        <v>0</v>
      </c>
      <c r="D4707" s="11">
        <v>0.23759617640098663</v>
      </c>
    </row>
    <row r="4708" spans="1:4" x14ac:dyDescent="0.2">
      <c r="A4708" s="10" t="s">
        <v>4707</v>
      </c>
      <c r="B4708" s="12">
        <v>14.76</v>
      </c>
      <c r="C4708" s="11">
        <v>0</v>
      </c>
      <c r="D4708" s="11">
        <v>0.23759617640098663</v>
      </c>
    </row>
    <row r="4709" spans="1:4" x14ac:dyDescent="0.2">
      <c r="A4709" s="10" t="s">
        <v>4708</v>
      </c>
      <c r="B4709" s="12">
        <v>16.63</v>
      </c>
      <c r="C4709" s="11">
        <v>1.6136740313900342</v>
      </c>
      <c r="D4709" s="11">
        <v>0</v>
      </c>
    </row>
    <row r="4710" spans="1:4" x14ac:dyDescent="0.2">
      <c r="A4710" s="10" t="s">
        <v>4709</v>
      </c>
      <c r="B4710" s="12">
        <v>13.28</v>
      </c>
      <c r="C4710" s="11">
        <v>0</v>
      </c>
      <c r="D4710" s="11">
        <v>1.7027725975404042</v>
      </c>
    </row>
    <row r="4711" spans="1:4" x14ac:dyDescent="0.2">
      <c r="A4711" s="10" t="s">
        <v>4710</v>
      </c>
      <c r="B4711" s="12">
        <v>15.94</v>
      </c>
      <c r="C4711" s="11">
        <v>0.93058502423719758</v>
      </c>
      <c r="D4711" s="11">
        <v>0</v>
      </c>
    </row>
    <row r="4712" spans="1:4" x14ac:dyDescent="0.2">
      <c r="A4712" s="10" t="s">
        <v>4711</v>
      </c>
      <c r="B4712" s="12">
        <v>13.63</v>
      </c>
      <c r="C4712" s="11">
        <v>0</v>
      </c>
      <c r="D4712" s="11">
        <v>1.3562781736222989</v>
      </c>
    </row>
    <row r="4713" spans="1:4" x14ac:dyDescent="0.2">
      <c r="A4713" s="10" t="s">
        <v>4712</v>
      </c>
      <c r="B4713" s="12">
        <v>13.97</v>
      </c>
      <c r="C4713" s="11">
        <v>0</v>
      </c>
      <c r="D4713" s="11">
        <v>1.0196835903875676</v>
      </c>
    </row>
    <row r="4714" spans="1:4" x14ac:dyDescent="0.2">
      <c r="A4714" s="10" t="s">
        <v>4713</v>
      </c>
      <c r="B4714" s="12">
        <v>15.52</v>
      </c>
      <c r="C4714" s="11">
        <v>0.51479171553547109</v>
      </c>
      <c r="D4714" s="11">
        <v>0</v>
      </c>
    </row>
    <row r="4715" spans="1:4" x14ac:dyDescent="0.2">
      <c r="A4715" s="10" t="s">
        <v>4714</v>
      </c>
      <c r="B4715" s="12">
        <v>15.48</v>
      </c>
      <c r="C4715" s="11">
        <v>0.47519235280197325</v>
      </c>
      <c r="D4715" s="11">
        <v>0</v>
      </c>
    </row>
    <row r="4716" spans="1:4" x14ac:dyDescent="0.2">
      <c r="A4716" s="10" t="s">
        <v>4715</v>
      </c>
      <c r="B4716" s="12">
        <v>15.46</v>
      </c>
      <c r="C4716" s="11">
        <v>0.45539267143522444</v>
      </c>
      <c r="D4716" s="11">
        <v>0</v>
      </c>
    </row>
    <row r="4717" spans="1:4" x14ac:dyDescent="0.2">
      <c r="A4717" s="10" t="s">
        <v>4716</v>
      </c>
      <c r="B4717" s="12">
        <v>14.35</v>
      </c>
      <c r="C4717" s="11">
        <v>0</v>
      </c>
      <c r="D4717" s="11">
        <v>0.64348964441933887</v>
      </c>
    </row>
    <row r="4718" spans="1:4" x14ac:dyDescent="0.2">
      <c r="A4718" s="10" t="s">
        <v>4717</v>
      </c>
      <c r="B4718" s="12">
        <v>12.68</v>
      </c>
      <c r="C4718" s="11">
        <v>0</v>
      </c>
      <c r="D4718" s="11">
        <v>2.2967630385428706</v>
      </c>
    </row>
    <row r="4719" spans="1:4" x14ac:dyDescent="0.2">
      <c r="A4719" s="10" t="s">
        <v>4718</v>
      </c>
      <c r="B4719" s="12">
        <v>15.9</v>
      </c>
      <c r="C4719" s="11">
        <v>0.89098566150369995</v>
      </c>
      <c r="D4719" s="11">
        <v>0</v>
      </c>
    </row>
    <row r="4720" spans="1:4" x14ac:dyDescent="0.2">
      <c r="A4720" s="10" t="s">
        <v>4719</v>
      </c>
      <c r="B4720" s="12">
        <v>14.64</v>
      </c>
      <c r="C4720" s="11">
        <v>0</v>
      </c>
      <c r="D4720" s="11">
        <v>0.35639426460147994</v>
      </c>
    </row>
    <row r="4721" spans="1:4" x14ac:dyDescent="0.2">
      <c r="A4721" s="10" t="s">
        <v>4720</v>
      </c>
      <c r="B4721" s="12">
        <v>14.98</v>
      </c>
      <c r="C4721" s="11">
        <v>0</v>
      </c>
      <c r="D4721" s="11">
        <v>1.9799681366748888E-2</v>
      </c>
    </row>
    <row r="4722" spans="1:4" x14ac:dyDescent="0.2">
      <c r="A4722" s="10" t="s">
        <v>4721</v>
      </c>
      <c r="B4722" s="12">
        <v>12.85</v>
      </c>
      <c r="C4722" s="11">
        <v>0</v>
      </c>
      <c r="D4722" s="11">
        <v>2.1284657469255053</v>
      </c>
    </row>
    <row r="4723" spans="1:4" x14ac:dyDescent="0.2">
      <c r="A4723" s="10" t="s">
        <v>4722</v>
      </c>
      <c r="B4723" s="12">
        <v>15.17</v>
      </c>
      <c r="C4723" s="11">
        <v>0.16829729161736556</v>
      </c>
      <c r="D4723" s="11">
        <v>0</v>
      </c>
    </row>
    <row r="4724" spans="1:4" x14ac:dyDescent="0.2">
      <c r="A4724" s="10" t="s">
        <v>4723</v>
      </c>
      <c r="B4724" s="12">
        <v>13.75</v>
      </c>
      <c r="C4724" s="11">
        <v>0</v>
      </c>
      <c r="D4724" s="11">
        <v>1.2374800854218053</v>
      </c>
    </row>
    <row r="4725" spans="1:4" x14ac:dyDescent="0.2">
      <c r="A4725" s="10" t="s">
        <v>4724</v>
      </c>
      <c r="B4725" s="12">
        <v>12.77</v>
      </c>
      <c r="C4725" s="11">
        <v>0</v>
      </c>
      <c r="D4725" s="11">
        <v>2.207664472392501</v>
      </c>
    </row>
    <row r="4726" spans="1:4" x14ac:dyDescent="0.2">
      <c r="A4726" s="10" t="s">
        <v>4725</v>
      </c>
      <c r="B4726" s="12">
        <v>12.63</v>
      </c>
      <c r="C4726" s="11">
        <v>0</v>
      </c>
      <c r="D4726" s="11">
        <v>2.3462622419597432</v>
      </c>
    </row>
    <row r="4727" spans="1:4" x14ac:dyDescent="0.2">
      <c r="A4727" s="10" t="s">
        <v>4726</v>
      </c>
      <c r="B4727" s="12">
        <v>14.89</v>
      </c>
      <c r="C4727" s="11">
        <v>0</v>
      </c>
      <c r="D4727" s="11">
        <v>0.10889824751711888</v>
      </c>
    </row>
    <row r="4728" spans="1:4" x14ac:dyDescent="0.2">
      <c r="A4728" s="10" t="s">
        <v>4727</v>
      </c>
      <c r="B4728" s="12">
        <v>14.05</v>
      </c>
      <c r="C4728" s="11">
        <v>0</v>
      </c>
      <c r="D4728" s="11">
        <v>0.94048486492057204</v>
      </c>
    </row>
    <row r="4729" spans="1:4" x14ac:dyDescent="0.2">
      <c r="A4729" s="10" t="s">
        <v>4728</v>
      </c>
      <c r="B4729" s="12">
        <v>16.22</v>
      </c>
      <c r="C4729" s="11">
        <v>1.207780563371682</v>
      </c>
      <c r="D4729" s="11">
        <v>0</v>
      </c>
    </row>
    <row r="4730" spans="1:4" x14ac:dyDescent="0.2">
      <c r="A4730" s="10" t="s">
        <v>4729</v>
      </c>
      <c r="B4730" s="12">
        <v>14.25</v>
      </c>
      <c r="C4730" s="11">
        <v>0</v>
      </c>
      <c r="D4730" s="11">
        <v>0.74248805125308326</v>
      </c>
    </row>
    <row r="4731" spans="1:4" x14ac:dyDescent="0.2">
      <c r="A4731" s="10" t="s">
        <v>4730</v>
      </c>
      <c r="B4731" s="12">
        <v>13.78</v>
      </c>
      <c r="C4731" s="11">
        <v>0</v>
      </c>
      <c r="D4731" s="11">
        <v>1.207780563371682</v>
      </c>
    </row>
    <row r="4732" spans="1:4" x14ac:dyDescent="0.2">
      <c r="A4732" s="10" t="s">
        <v>4731</v>
      </c>
      <c r="B4732" s="12">
        <v>15.45</v>
      </c>
      <c r="C4732" s="11">
        <v>0.44549283075184998</v>
      </c>
      <c r="D4732" s="11">
        <v>0</v>
      </c>
    </row>
    <row r="4733" spans="1:4" x14ac:dyDescent="0.2">
      <c r="A4733" s="10" t="s">
        <v>4732</v>
      </c>
      <c r="B4733" s="12">
        <v>13.16</v>
      </c>
      <c r="C4733" s="11">
        <v>0</v>
      </c>
      <c r="D4733" s="11">
        <v>1.8215706857408978</v>
      </c>
    </row>
    <row r="4734" spans="1:4" x14ac:dyDescent="0.2">
      <c r="A4734" s="10" t="s">
        <v>4733</v>
      </c>
      <c r="B4734" s="12">
        <v>14.11</v>
      </c>
      <c r="C4734" s="11">
        <v>0</v>
      </c>
      <c r="D4734" s="11">
        <v>0.88108582082032549</v>
      </c>
    </row>
    <row r="4735" spans="1:4" x14ac:dyDescent="0.2">
      <c r="A4735" s="10" t="s">
        <v>4734</v>
      </c>
      <c r="B4735" s="12">
        <v>12.17</v>
      </c>
      <c r="C4735" s="11">
        <v>0</v>
      </c>
      <c r="D4735" s="11">
        <v>2.8016549133949677</v>
      </c>
    </row>
    <row r="4736" spans="1:4" x14ac:dyDescent="0.2">
      <c r="A4736" s="10" t="s">
        <v>4735</v>
      </c>
      <c r="B4736" s="12">
        <v>11.99</v>
      </c>
      <c r="C4736" s="11">
        <v>0</v>
      </c>
      <c r="D4736" s="11">
        <v>2.9798520456957074</v>
      </c>
    </row>
    <row r="4737" spans="1:4" x14ac:dyDescent="0.2">
      <c r="A4737" s="10" t="s">
        <v>4736</v>
      </c>
      <c r="B4737" s="12">
        <v>16.55</v>
      </c>
      <c r="C4737" s="11">
        <v>1.5344753059230387</v>
      </c>
      <c r="D4737" s="11">
        <v>0</v>
      </c>
    </row>
    <row r="4738" spans="1:4" x14ac:dyDescent="0.2">
      <c r="A4738" s="10" t="s">
        <v>4737</v>
      </c>
      <c r="B4738" s="12">
        <v>14.13</v>
      </c>
      <c r="C4738" s="11">
        <v>0</v>
      </c>
      <c r="D4738" s="11">
        <v>0.86128613945357657</v>
      </c>
    </row>
    <row r="4739" spans="1:4" x14ac:dyDescent="0.2">
      <c r="A4739" s="10" t="s">
        <v>4738</v>
      </c>
      <c r="B4739" s="12">
        <v>14.53</v>
      </c>
      <c r="C4739" s="11">
        <v>0</v>
      </c>
      <c r="D4739" s="11">
        <v>0.46529251211859879</v>
      </c>
    </row>
    <row r="4740" spans="1:4" x14ac:dyDescent="0.2">
      <c r="A4740" s="10" t="s">
        <v>4739</v>
      </c>
      <c r="B4740" s="12">
        <v>13.34</v>
      </c>
      <c r="C4740" s="11">
        <v>0</v>
      </c>
      <c r="D4740" s="11">
        <v>1.6433735534401575</v>
      </c>
    </row>
    <row r="4741" spans="1:4" x14ac:dyDescent="0.2">
      <c r="A4741" s="10" t="s">
        <v>4740</v>
      </c>
      <c r="B4741" s="12">
        <v>14.61</v>
      </c>
      <c r="C4741" s="11">
        <v>0</v>
      </c>
      <c r="D4741" s="11">
        <v>0.38609378665160332</v>
      </c>
    </row>
    <row r="4742" spans="1:4" x14ac:dyDescent="0.2">
      <c r="A4742" s="10" t="s">
        <v>4741</v>
      </c>
      <c r="B4742" s="12">
        <v>14.33</v>
      </c>
      <c r="C4742" s="11">
        <v>0</v>
      </c>
      <c r="D4742" s="11">
        <v>0.66328932578608779</v>
      </c>
    </row>
    <row r="4743" spans="1:4" x14ac:dyDescent="0.2">
      <c r="A4743" s="10" t="s">
        <v>4742</v>
      </c>
      <c r="B4743" s="12">
        <v>14.01</v>
      </c>
      <c r="C4743" s="11">
        <v>0</v>
      </c>
      <c r="D4743" s="11">
        <v>0.98008422765406988</v>
      </c>
    </row>
    <row r="4744" spans="1:4" x14ac:dyDescent="0.2">
      <c r="A4744" s="10" t="s">
        <v>4743</v>
      </c>
      <c r="B4744" s="12">
        <v>15.45</v>
      </c>
      <c r="C4744" s="11">
        <v>0.44549283075184998</v>
      </c>
      <c r="D4744" s="11">
        <v>0</v>
      </c>
    </row>
    <row r="4745" spans="1:4" x14ac:dyDescent="0.2">
      <c r="A4745" s="10" t="s">
        <v>4744</v>
      </c>
      <c r="B4745" s="12">
        <v>15.09</v>
      </c>
      <c r="C4745" s="11">
        <v>8.9098566150369984E-2</v>
      </c>
      <c r="D4745" s="11">
        <v>0</v>
      </c>
    </row>
    <row r="4746" spans="1:4" x14ac:dyDescent="0.2">
      <c r="A4746" s="10" t="s">
        <v>4745</v>
      </c>
      <c r="B4746" s="12">
        <v>13.75</v>
      </c>
      <c r="C4746" s="11">
        <v>0</v>
      </c>
      <c r="D4746" s="11">
        <v>1.2374800854218053</v>
      </c>
    </row>
    <row r="4747" spans="1:4" x14ac:dyDescent="0.2">
      <c r="A4747" s="10" t="s">
        <v>4746</v>
      </c>
      <c r="B4747" s="12">
        <v>13.75</v>
      </c>
      <c r="C4747" s="11">
        <v>0</v>
      </c>
      <c r="D4747" s="11">
        <v>1.2374800854218053</v>
      </c>
    </row>
    <row r="4748" spans="1:4" x14ac:dyDescent="0.2">
      <c r="A4748" s="10" t="s">
        <v>4747</v>
      </c>
      <c r="B4748" s="12">
        <v>14.64</v>
      </c>
      <c r="C4748" s="11">
        <v>0</v>
      </c>
      <c r="D4748" s="11">
        <v>0.35639426460147994</v>
      </c>
    </row>
    <row r="4749" spans="1:4" x14ac:dyDescent="0.2">
      <c r="A4749" s="10" t="s">
        <v>4748</v>
      </c>
      <c r="B4749" s="12">
        <v>15.39</v>
      </c>
      <c r="C4749" s="11">
        <v>0.38609378665160332</v>
      </c>
      <c r="D4749" s="11">
        <v>0</v>
      </c>
    </row>
    <row r="4750" spans="1:4" x14ac:dyDescent="0.2">
      <c r="A4750" s="10" t="s">
        <v>4749</v>
      </c>
      <c r="B4750" s="12">
        <v>13.04</v>
      </c>
      <c r="C4750" s="11">
        <v>0</v>
      </c>
      <c r="D4750" s="11">
        <v>1.9403687739413908</v>
      </c>
    </row>
    <row r="4751" spans="1:4" x14ac:dyDescent="0.2">
      <c r="A4751" s="10" t="s">
        <v>4750</v>
      </c>
      <c r="B4751" s="12">
        <v>12.55</v>
      </c>
      <c r="C4751" s="11">
        <v>0</v>
      </c>
      <c r="D4751" s="11">
        <v>2.4254609674267389</v>
      </c>
    </row>
    <row r="4752" spans="1:4" x14ac:dyDescent="0.2">
      <c r="A4752" s="10" t="s">
        <v>4751</v>
      </c>
      <c r="B4752" s="12">
        <v>14.31</v>
      </c>
      <c r="C4752" s="11">
        <v>0</v>
      </c>
      <c r="D4752" s="11">
        <v>0.68308900715283649</v>
      </c>
    </row>
    <row r="4753" spans="1:4" x14ac:dyDescent="0.2">
      <c r="A4753" s="10" t="s">
        <v>4752</v>
      </c>
      <c r="B4753" s="12">
        <v>12.53</v>
      </c>
      <c r="C4753" s="11">
        <v>0</v>
      </c>
      <c r="D4753" s="11">
        <v>2.4452606487934876</v>
      </c>
    </row>
    <row r="4754" spans="1:4" x14ac:dyDescent="0.2">
      <c r="A4754" s="10" t="s">
        <v>4753</v>
      </c>
      <c r="B4754" s="12">
        <v>15.37</v>
      </c>
      <c r="C4754" s="11">
        <v>0.3662941052848544</v>
      </c>
      <c r="D4754" s="11">
        <v>0</v>
      </c>
    </row>
    <row r="4755" spans="1:4" x14ac:dyDescent="0.2">
      <c r="A4755" s="10" t="s">
        <v>4754</v>
      </c>
      <c r="B4755" s="12">
        <v>15.89</v>
      </c>
      <c r="C4755" s="11">
        <v>0.88108582082032549</v>
      </c>
      <c r="D4755" s="11">
        <v>0</v>
      </c>
    </row>
    <row r="4756" spans="1:4" x14ac:dyDescent="0.2">
      <c r="A4756" s="10" t="s">
        <v>4755</v>
      </c>
      <c r="B4756" s="12">
        <v>14.38</v>
      </c>
      <c r="C4756" s="11">
        <v>0</v>
      </c>
      <c r="D4756" s="11">
        <v>0.61379012236921549</v>
      </c>
    </row>
    <row r="4757" spans="1:4" x14ac:dyDescent="0.2">
      <c r="A4757" s="10" t="s">
        <v>4756</v>
      </c>
      <c r="B4757" s="12">
        <v>13.97</v>
      </c>
      <c r="C4757" s="11">
        <v>0</v>
      </c>
      <c r="D4757" s="11">
        <v>1.0196835903875676</v>
      </c>
    </row>
    <row r="4758" spans="1:4" x14ac:dyDescent="0.2">
      <c r="A4758" s="10" t="s">
        <v>4757</v>
      </c>
      <c r="B4758" s="12">
        <v>16.28</v>
      </c>
      <c r="C4758" s="11">
        <v>1.2671796074719288</v>
      </c>
      <c r="D4758" s="11">
        <v>0</v>
      </c>
    </row>
    <row r="4759" spans="1:4" x14ac:dyDescent="0.2">
      <c r="A4759" s="10" t="s">
        <v>4758</v>
      </c>
      <c r="B4759" s="12">
        <v>14.58</v>
      </c>
      <c r="C4759" s="11">
        <v>0</v>
      </c>
      <c r="D4759" s="11">
        <v>0.41579330870172659</v>
      </c>
    </row>
    <row r="4760" spans="1:4" x14ac:dyDescent="0.2">
      <c r="A4760" s="10" t="s">
        <v>4759</v>
      </c>
      <c r="B4760" s="12">
        <v>13.6</v>
      </c>
      <c r="C4760" s="11">
        <v>0</v>
      </c>
      <c r="D4760" s="11">
        <v>1.3859776956724219</v>
      </c>
    </row>
    <row r="4761" spans="1:4" x14ac:dyDescent="0.2">
      <c r="A4761" s="10" t="s">
        <v>4760</v>
      </c>
      <c r="B4761" s="12">
        <v>15.37</v>
      </c>
      <c r="C4761" s="11">
        <v>0.3662941052848544</v>
      </c>
      <c r="D4761" s="11">
        <v>0</v>
      </c>
    </row>
    <row r="4762" spans="1:4" x14ac:dyDescent="0.2">
      <c r="A4762" s="10" t="s">
        <v>4761</v>
      </c>
      <c r="B4762" s="12">
        <v>12.98</v>
      </c>
      <c r="C4762" s="11">
        <v>0</v>
      </c>
      <c r="D4762" s="11">
        <v>1.9997678180416376</v>
      </c>
    </row>
    <row r="4763" spans="1:4" x14ac:dyDescent="0.2">
      <c r="A4763" s="10" t="s">
        <v>4762</v>
      </c>
      <c r="B4763" s="12">
        <v>13.14</v>
      </c>
      <c r="C4763" s="11">
        <v>0</v>
      </c>
      <c r="D4763" s="11">
        <v>1.8413703671076467</v>
      </c>
    </row>
    <row r="4764" spans="1:4" x14ac:dyDescent="0.2">
      <c r="A4764" s="10" t="s">
        <v>4763</v>
      </c>
      <c r="B4764" s="12">
        <v>15.13</v>
      </c>
      <c r="C4764" s="11">
        <v>0.12869792888386777</v>
      </c>
      <c r="D4764" s="11">
        <v>0</v>
      </c>
    </row>
    <row r="4765" spans="1:4" x14ac:dyDescent="0.2">
      <c r="A4765" s="10" t="s">
        <v>4764</v>
      </c>
      <c r="B4765" s="12">
        <v>13.19</v>
      </c>
      <c r="C4765" s="11">
        <v>0</v>
      </c>
      <c r="D4765" s="11">
        <v>1.7918711636907743</v>
      </c>
    </row>
    <row r="4766" spans="1:4" x14ac:dyDescent="0.2">
      <c r="A4766" s="10" t="s">
        <v>4765</v>
      </c>
      <c r="B4766" s="12">
        <v>12.61</v>
      </c>
      <c r="C4766" s="11">
        <v>0</v>
      </c>
      <c r="D4766" s="11">
        <v>2.3660619233264919</v>
      </c>
    </row>
    <row r="4767" spans="1:4" x14ac:dyDescent="0.2">
      <c r="A4767" s="10" t="s">
        <v>4766</v>
      </c>
      <c r="B4767" s="12">
        <v>14.1</v>
      </c>
      <c r="C4767" s="11">
        <v>0</v>
      </c>
      <c r="D4767" s="11">
        <v>0.89098566150369995</v>
      </c>
    </row>
    <row r="4768" spans="1:4" x14ac:dyDescent="0.2">
      <c r="A4768" s="10" t="s">
        <v>4767</v>
      </c>
      <c r="B4768" s="12">
        <v>13.33</v>
      </c>
      <c r="C4768" s="11">
        <v>0</v>
      </c>
      <c r="D4768" s="11">
        <v>1.653273394123532</v>
      </c>
    </row>
    <row r="4769" spans="1:4" x14ac:dyDescent="0.2">
      <c r="A4769" s="10" t="s">
        <v>4768</v>
      </c>
      <c r="B4769" s="12">
        <v>13.28</v>
      </c>
      <c r="C4769" s="11">
        <v>0</v>
      </c>
      <c r="D4769" s="11">
        <v>1.7027725975404042</v>
      </c>
    </row>
    <row r="4770" spans="1:4" x14ac:dyDescent="0.2">
      <c r="A4770" s="10" t="s">
        <v>4769</v>
      </c>
      <c r="B4770" s="12">
        <v>14.38</v>
      </c>
      <c r="C4770" s="11">
        <v>0</v>
      </c>
      <c r="D4770" s="11">
        <v>0.61379012236921549</v>
      </c>
    </row>
    <row r="4771" spans="1:4" x14ac:dyDescent="0.2">
      <c r="A4771" s="10" t="s">
        <v>4770</v>
      </c>
      <c r="B4771" s="12">
        <v>15.8</v>
      </c>
      <c r="C4771" s="11">
        <v>0.79198725466995556</v>
      </c>
      <c r="D4771" s="11">
        <v>0</v>
      </c>
    </row>
    <row r="4772" spans="1:4" x14ac:dyDescent="0.2">
      <c r="A4772" s="10" t="s">
        <v>4771</v>
      </c>
      <c r="B4772" s="12">
        <v>12.3</v>
      </c>
      <c r="C4772" s="11">
        <v>0</v>
      </c>
      <c r="D4772" s="11">
        <v>2.6729569845110999</v>
      </c>
    </row>
    <row r="4773" spans="1:4" x14ac:dyDescent="0.2">
      <c r="A4773" s="10" t="s">
        <v>4772</v>
      </c>
      <c r="B4773" s="12">
        <v>16.02</v>
      </c>
      <c r="C4773" s="11">
        <v>1.0097837497041933</v>
      </c>
      <c r="D4773" s="11">
        <v>0</v>
      </c>
    </row>
    <row r="4774" spans="1:4" x14ac:dyDescent="0.2">
      <c r="A4774" s="10" t="s">
        <v>4773</v>
      </c>
      <c r="B4774" s="12">
        <v>14.24</v>
      </c>
      <c r="C4774" s="11">
        <v>0</v>
      </c>
      <c r="D4774" s="11">
        <v>0.75238789193645772</v>
      </c>
    </row>
    <row r="4775" spans="1:4" x14ac:dyDescent="0.2">
      <c r="A4775" s="10" t="s">
        <v>4774</v>
      </c>
      <c r="B4775" s="12">
        <v>13.42</v>
      </c>
      <c r="C4775" s="11">
        <v>0</v>
      </c>
      <c r="D4775" s="11">
        <v>1.5641748279731622</v>
      </c>
    </row>
    <row r="4776" spans="1:4" x14ac:dyDescent="0.2">
      <c r="A4776" s="10" t="s">
        <v>4775</v>
      </c>
      <c r="B4776" s="12">
        <v>12.03</v>
      </c>
      <c r="C4776" s="11">
        <v>0</v>
      </c>
      <c r="D4776" s="11">
        <v>2.94025268296221</v>
      </c>
    </row>
    <row r="4777" spans="1:4" x14ac:dyDescent="0.2">
      <c r="A4777" s="10" t="s">
        <v>4776</v>
      </c>
      <c r="B4777" s="12">
        <v>15.84</v>
      </c>
      <c r="C4777" s="11">
        <v>0.83158661740345319</v>
      </c>
      <c r="D4777" s="11">
        <v>0</v>
      </c>
    </row>
    <row r="4778" spans="1:4" x14ac:dyDescent="0.2">
      <c r="A4778" s="10" t="s">
        <v>4777</v>
      </c>
      <c r="B4778" s="12">
        <v>13.85</v>
      </c>
      <c r="C4778" s="11">
        <v>0</v>
      </c>
      <c r="D4778" s="11">
        <v>1.1384816785880609</v>
      </c>
    </row>
    <row r="4779" spans="1:4" x14ac:dyDescent="0.2">
      <c r="A4779" s="10" t="s">
        <v>4778</v>
      </c>
      <c r="B4779" s="12">
        <v>15.09</v>
      </c>
      <c r="C4779" s="11">
        <v>8.9098566150369984E-2</v>
      </c>
      <c r="D4779" s="11">
        <v>0</v>
      </c>
    </row>
    <row r="4780" spans="1:4" x14ac:dyDescent="0.2">
      <c r="A4780" s="10" t="s">
        <v>4779</v>
      </c>
      <c r="B4780" s="12">
        <v>14.87</v>
      </c>
      <c r="C4780" s="11">
        <v>0</v>
      </c>
      <c r="D4780" s="11">
        <v>0.12869792888386777</v>
      </c>
    </row>
    <row r="4781" spans="1:4" x14ac:dyDescent="0.2">
      <c r="A4781" s="10" t="s">
        <v>4780</v>
      </c>
      <c r="B4781" s="12">
        <v>13.84</v>
      </c>
      <c r="C4781" s="11">
        <v>0</v>
      </c>
      <c r="D4781" s="11">
        <v>1.1483815192714353</v>
      </c>
    </row>
    <row r="4782" spans="1:4" x14ac:dyDescent="0.2">
      <c r="A4782" s="10" t="s">
        <v>4781</v>
      </c>
      <c r="B4782" s="12">
        <v>14.03</v>
      </c>
      <c r="C4782" s="11">
        <v>0</v>
      </c>
      <c r="D4782" s="11">
        <v>0.96028454628732096</v>
      </c>
    </row>
    <row r="4783" spans="1:4" x14ac:dyDescent="0.2">
      <c r="A4783" s="10" t="s">
        <v>4782</v>
      </c>
      <c r="B4783" s="12">
        <v>13.71</v>
      </c>
      <c r="C4783" s="11">
        <v>0</v>
      </c>
      <c r="D4783" s="11">
        <v>1.2770794481553032</v>
      </c>
    </row>
    <row r="4784" spans="1:4" x14ac:dyDescent="0.2">
      <c r="A4784" s="10" t="s">
        <v>4783</v>
      </c>
      <c r="B4784" s="12">
        <v>13.88</v>
      </c>
      <c r="C4784" s="11">
        <v>0</v>
      </c>
      <c r="D4784" s="11">
        <v>1.1087821565379379</v>
      </c>
    </row>
    <row r="4785" spans="1:4" x14ac:dyDescent="0.2">
      <c r="A4785" s="10" t="s">
        <v>4784</v>
      </c>
      <c r="B4785" s="12">
        <v>13.65</v>
      </c>
      <c r="C4785" s="11">
        <v>0</v>
      </c>
      <c r="D4785" s="11">
        <v>1.3364784922555499</v>
      </c>
    </row>
    <row r="4786" spans="1:4" x14ac:dyDescent="0.2">
      <c r="A4786" s="10" t="s">
        <v>4785</v>
      </c>
      <c r="B4786" s="12">
        <v>14.38</v>
      </c>
      <c r="C4786" s="11">
        <v>0</v>
      </c>
      <c r="D4786" s="11">
        <v>0.61379012236921549</v>
      </c>
    </row>
    <row r="4787" spans="1:4" x14ac:dyDescent="0.2">
      <c r="A4787" s="10" t="s">
        <v>4786</v>
      </c>
      <c r="B4787" s="12">
        <v>16.010000000000002</v>
      </c>
      <c r="C4787" s="11">
        <v>0.99988390902081881</v>
      </c>
      <c r="D4787" s="11">
        <v>0</v>
      </c>
    </row>
    <row r="4788" spans="1:4" x14ac:dyDescent="0.2">
      <c r="A4788" s="10" t="s">
        <v>4787</v>
      </c>
      <c r="B4788" s="12">
        <v>12.3</v>
      </c>
      <c r="C4788" s="11">
        <v>0</v>
      </c>
      <c r="D4788" s="11">
        <v>2.6729569845110999</v>
      </c>
    </row>
    <row r="4789" spans="1:4" x14ac:dyDescent="0.2">
      <c r="A4789" s="10" t="s">
        <v>4788</v>
      </c>
      <c r="B4789" s="12">
        <v>14.56</v>
      </c>
      <c r="C4789" s="11">
        <v>0</v>
      </c>
      <c r="D4789" s="11">
        <v>0.43559299006847552</v>
      </c>
    </row>
    <row r="4790" spans="1:4" x14ac:dyDescent="0.2">
      <c r="A4790" s="10" t="s">
        <v>4789</v>
      </c>
      <c r="B4790" s="12">
        <v>12.96</v>
      </c>
      <c r="C4790" s="11">
        <v>0</v>
      </c>
      <c r="D4790" s="11">
        <v>2.0195674994083865</v>
      </c>
    </row>
    <row r="4791" spans="1:4" x14ac:dyDescent="0.2">
      <c r="A4791" s="10" t="s">
        <v>4790</v>
      </c>
      <c r="B4791" s="12">
        <v>15.19</v>
      </c>
      <c r="C4791" s="11">
        <v>0.18809697298411443</v>
      </c>
      <c r="D4791" s="11">
        <v>0</v>
      </c>
    </row>
    <row r="4792" spans="1:4" x14ac:dyDescent="0.2">
      <c r="A4792" s="10" t="s">
        <v>4791</v>
      </c>
      <c r="B4792" s="12">
        <v>13.63</v>
      </c>
      <c r="C4792" s="11">
        <v>0</v>
      </c>
      <c r="D4792" s="11">
        <v>1.3562781736222989</v>
      </c>
    </row>
    <row r="4793" spans="1:4" x14ac:dyDescent="0.2">
      <c r="A4793" s="10" t="s">
        <v>4792</v>
      </c>
      <c r="B4793" s="12">
        <v>13.76</v>
      </c>
      <c r="C4793" s="11">
        <v>0</v>
      </c>
      <c r="D4793" s="11">
        <v>1.227580244738431</v>
      </c>
    </row>
    <row r="4794" spans="1:4" x14ac:dyDescent="0.2">
      <c r="A4794" s="10" t="s">
        <v>4793</v>
      </c>
      <c r="B4794" s="12">
        <v>14.96</v>
      </c>
      <c r="C4794" s="11">
        <v>0</v>
      </c>
      <c r="D4794" s="11">
        <v>3.9599362733497775E-2</v>
      </c>
    </row>
    <row r="4795" spans="1:4" x14ac:dyDescent="0.2">
      <c r="A4795" s="10" t="s">
        <v>4794</v>
      </c>
      <c r="B4795" s="12">
        <v>13.21</v>
      </c>
      <c r="C4795" s="11">
        <v>0</v>
      </c>
      <c r="D4795" s="11">
        <v>1.7720714823240253</v>
      </c>
    </row>
    <row r="4796" spans="1:4" x14ac:dyDescent="0.2">
      <c r="A4796" s="10" t="s">
        <v>4795</v>
      </c>
      <c r="B4796" s="12">
        <v>15.05</v>
      </c>
      <c r="C4796" s="11">
        <v>4.9499203416872223E-2</v>
      </c>
      <c r="D4796" s="11">
        <v>0</v>
      </c>
    </row>
    <row r="4797" spans="1:4" x14ac:dyDescent="0.2">
      <c r="A4797" s="10" t="s">
        <v>4796</v>
      </c>
      <c r="B4797" s="12">
        <v>14.52</v>
      </c>
      <c r="C4797" s="11">
        <v>0</v>
      </c>
      <c r="D4797" s="11">
        <v>0.47519235280197325</v>
      </c>
    </row>
    <row r="4798" spans="1:4" x14ac:dyDescent="0.2">
      <c r="A4798" s="10" t="s">
        <v>4797</v>
      </c>
      <c r="B4798" s="12">
        <v>14.06</v>
      </c>
      <c r="C4798" s="11">
        <v>0</v>
      </c>
      <c r="D4798" s="11">
        <v>0.93058502423719758</v>
      </c>
    </row>
    <row r="4799" spans="1:4" x14ac:dyDescent="0.2">
      <c r="A4799" s="10" t="s">
        <v>4798</v>
      </c>
      <c r="B4799" s="12">
        <v>14.85</v>
      </c>
      <c r="C4799" s="11">
        <v>0</v>
      </c>
      <c r="D4799" s="11">
        <v>0.14849761025061664</v>
      </c>
    </row>
    <row r="4800" spans="1:4" x14ac:dyDescent="0.2">
      <c r="A4800" s="10" t="s">
        <v>4799</v>
      </c>
      <c r="B4800" s="12">
        <v>12</v>
      </c>
      <c r="C4800" s="11">
        <v>0</v>
      </c>
      <c r="D4800" s="11">
        <v>2.969952205012333</v>
      </c>
    </row>
    <row r="4801" spans="1:4" x14ac:dyDescent="0.2">
      <c r="A4801" s="10" t="s">
        <v>4800</v>
      </c>
      <c r="B4801" s="12">
        <v>14.01</v>
      </c>
      <c r="C4801" s="11">
        <v>0</v>
      </c>
      <c r="D4801" s="11">
        <v>0.98008422765406988</v>
      </c>
    </row>
    <row r="4802" spans="1:4" x14ac:dyDescent="0.2">
      <c r="A4802" s="10" t="s">
        <v>4801</v>
      </c>
      <c r="B4802" s="12">
        <v>14.15</v>
      </c>
      <c r="C4802" s="11">
        <v>0</v>
      </c>
      <c r="D4802" s="11">
        <v>0.84148645808682765</v>
      </c>
    </row>
    <row r="4803" spans="1:4" x14ac:dyDescent="0.2">
      <c r="A4803" s="10" t="s">
        <v>4802</v>
      </c>
      <c r="B4803" s="12">
        <v>13.76</v>
      </c>
      <c r="C4803" s="11">
        <v>0</v>
      </c>
      <c r="D4803" s="11">
        <v>1.227580244738431</v>
      </c>
    </row>
    <row r="4804" spans="1:4" x14ac:dyDescent="0.2">
      <c r="A4804" s="10" t="s">
        <v>4803</v>
      </c>
      <c r="B4804" s="12">
        <v>11.99</v>
      </c>
      <c r="C4804" s="11">
        <v>0</v>
      </c>
      <c r="D4804" s="11">
        <v>2.9798520456957074</v>
      </c>
    </row>
    <row r="4805" spans="1:4" x14ac:dyDescent="0.2">
      <c r="A4805" s="10" t="s">
        <v>4804</v>
      </c>
      <c r="B4805" s="12">
        <v>12.77</v>
      </c>
      <c r="C4805" s="11">
        <v>0</v>
      </c>
      <c r="D4805" s="11">
        <v>2.207664472392501</v>
      </c>
    </row>
    <row r="4806" spans="1:4" x14ac:dyDescent="0.2">
      <c r="A4806" s="10" t="s">
        <v>4805</v>
      </c>
      <c r="B4806" s="12">
        <v>15.06</v>
      </c>
      <c r="C4806" s="11">
        <v>5.9399044100246656E-2</v>
      </c>
      <c r="D4806" s="11">
        <v>0</v>
      </c>
    </row>
    <row r="4807" spans="1:4" x14ac:dyDescent="0.2">
      <c r="A4807" s="10" t="s">
        <v>4806</v>
      </c>
      <c r="B4807" s="12">
        <v>13.96</v>
      </c>
      <c r="C4807" s="11">
        <v>0</v>
      </c>
      <c r="D4807" s="11">
        <v>1.0295834310709422</v>
      </c>
    </row>
    <row r="4808" spans="1:4" x14ac:dyDescent="0.2">
      <c r="A4808" s="10" t="s">
        <v>4807</v>
      </c>
      <c r="B4808" s="12">
        <v>14.12</v>
      </c>
      <c r="C4808" s="11">
        <v>0</v>
      </c>
      <c r="D4808" s="11">
        <v>0.87118598013695103</v>
      </c>
    </row>
    <row r="4809" spans="1:4" x14ac:dyDescent="0.2">
      <c r="A4809" s="10" t="s">
        <v>4808</v>
      </c>
      <c r="B4809" s="12">
        <v>15.3</v>
      </c>
      <c r="C4809" s="11">
        <v>0.29699522050123328</v>
      </c>
      <c r="D4809" s="11">
        <v>0</v>
      </c>
    </row>
    <row r="4810" spans="1:4" x14ac:dyDescent="0.2">
      <c r="A4810" s="10" t="s">
        <v>4809</v>
      </c>
      <c r="B4810" s="12">
        <v>12.62</v>
      </c>
      <c r="C4810" s="11">
        <v>0</v>
      </c>
      <c r="D4810" s="11">
        <v>2.3561620826431176</v>
      </c>
    </row>
    <row r="4811" spans="1:4" x14ac:dyDescent="0.2">
      <c r="A4811" s="10" t="s">
        <v>4810</v>
      </c>
      <c r="B4811" s="12">
        <v>15.16</v>
      </c>
      <c r="C4811" s="11">
        <v>0.1583974509339911</v>
      </c>
      <c r="D4811" s="11">
        <v>0</v>
      </c>
    </row>
    <row r="4812" spans="1:4" x14ac:dyDescent="0.2">
      <c r="A4812" s="10" t="s">
        <v>4811</v>
      </c>
      <c r="B4812" s="12">
        <v>13.67</v>
      </c>
      <c r="C4812" s="11">
        <v>0</v>
      </c>
      <c r="D4812" s="11">
        <v>1.316678810888801</v>
      </c>
    </row>
    <row r="4813" spans="1:4" x14ac:dyDescent="0.2">
      <c r="A4813" s="10" t="s">
        <v>4812</v>
      </c>
      <c r="B4813" s="12">
        <v>12.22</v>
      </c>
      <c r="C4813" s="11">
        <v>0</v>
      </c>
      <c r="D4813" s="11">
        <v>2.7521557099780951</v>
      </c>
    </row>
    <row r="4814" spans="1:4" x14ac:dyDescent="0.2">
      <c r="A4814" s="10" t="s">
        <v>4813</v>
      </c>
      <c r="B4814" s="12">
        <v>14.91</v>
      </c>
      <c r="C4814" s="11">
        <v>0</v>
      </c>
      <c r="D4814" s="11">
        <v>8.9098566150369984E-2</v>
      </c>
    </row>
    <row r="4815" spans="1:4" x14ac:dyDescent="0.2">
      <c r="A4815" s="10" t="s">
        <v>4814</v>
      </c>
      <c r="B4815" s="12">
        <v>15.02</v>
      </c>
      <c r="C4815" s="11">
        <v>1.9799681366748888E-2</v>
      </c>
      <c r="D4815" s="11">
        <v>0</v>
      </c>
    </row>
    <row r="4816" spans="1:4" x14ac:dyDescent="0.2">
      <c r="A4816" s="10" t="s">
        <v>4815</v>
      </c>
      <c r="B4816" s="12">
        <v>14.54</v>
      </c>
      <c r="C4816" s="11">
        <v>0</v>
      </c>
      <c r="D4816" s="11">
        <v>0.45539267143522444</v>
      </c>
    </row>
    <row r="4817" spans="1:4" x14ac:dyDescent="0.2">
      <c r="A4817" s="10" t="s">
        <v>4816</v>
      </c>
      <c r="B4817" s="12">
        <v>15.53</v>
      </c>
      <c r="C4817" s="11">
        <v>0.52469155621884556</v>
      </c>
      <c r="D4817" s="11">
        <v>0</v>
      </c>
    </row>
    <row r="4818" spans="1:4" x14ac:dyDescent="0.2">
      <c r="A4818" s="10" t="s">
        <v>4817</v>
      </c>
      <c r="B4818" s="12">
        <v>13.8</v>
      </c>
      <c r="C4818" s="11">
        <v>0</v>
      </c>
      <c r="D4818" s="11">
        <v>1.1879808820049331</v>
      </c>
    </row>
    <row r="4819" spans="1:4" x14ac:dyDescent="0.2">
      <c r="A4819" s="10" t="s">
        <v>4818</v>
      </c>
      <c r="B4819" s="12">
        <v>14.28</v>
      </c>
      <c r="C4819" s="11">
        <v>0</v>
      </c>
      <c r="D4819" s="11">
        <v>0.71278852920295988</v>
      </c>
    </row>
    <row r="4820" spans="1:4" x14ac:dyDescent="0.2">
      <c r="A4820" s="10" t="s">
        <v>4819</v>
      </c>
      <c r="B4820" s="12">
        <v>14</v>
      </c>
      <c r="C4820" s="11">
        <v>0</v>
      </c>
      <c r="D4820" s="11">
        <v>0.98998406833744435</v>
      </c>
    </row>
    <row r="4821" spans="1:4" x14ac:dyDescent="0.2">
      <c r="A4821" s="10" t="s">
        <v>4820</v>
      </c>
      <c r="B4821" s="12">
        <v>14.49</v>
      </c>
      <c r="C4821" s="11">
        <v>0</v>
      </c>
      <c r="D4821" s="11">
        <v>0.50489187485209663</v>
      </c>
    </row>
    <row r="4822" spans="1:4" x14ac:dyDescent="0.2">
      <c r="A4822" s="10" t="s">
        <v>4821</v>
      </c>
      <c r="B4822" s="12">
        <v>12.67</v>
      </c>
      <c r="C4822" s="11">
        <v>0</v>
      </c>
      <c r="D4822" s="11">
        <v>2.3066628792262454</v>
      </c>
    </row>
    <row r="4823" spans="1:4" x14ac:dyDescent="0.2">
      <c r="A4823" s="10" t="s">
        <v>4822</v>
      </c>
      <c r="B4823" s="12">
        <v>13.44</v>
      </c>
      <c r="C4823" s="11">
        <v>0</v>
      </c>
      <c r="D4823" s="11">
        <v>1.5443751466064133</v>
      </c>
    </row>
    <row r="4824" spans="1:4" x14ac:dyDescent="0.2">
      <c r="A4824" s="10" t="s">
        <v>4823</v>
      </c>
      <c r="B4824" s="12">
        <v>14.66</v>
      </c>
      <c r="C4824" s="11">
        <v>0</v>
      </c>
      <c r="D4824" s="11">
        <v>0.33659458323473113</v>
      </c>
    </row>
    <row r="4825" spans="1:4" x14ac:dyDescent="0.2">
      <c r="A4825" s="10" t="s">
        <v>4824</v>
      </c>
      <c r="B4825" s="12">
        <v>15.62</v>
      </c>
      <c r="C4825" s="11">
        <v>0.61379012236921549</v>
      </c>
      <c r="D4825" s="11">
        <v>0</v>
      </c>
    </row>
    <row r="4826" spans="1:4" x14ac:dyDescent="0.2">
      <c r="A4826" s="10" t="s">
        <v>4825</v>
      </c>
      <c r="B4826" s="12">
        <v>13.8</v>
      </c>
      <c r="C4826" s="11">
        <v>0</v>
      </c>
      <c r="D4826" s="11">
        <v>1.1879808820049331</v>
      </c>
    </row>
    <row r="4827" spans="1:4" x14ac:dyDescent="0.2">
      <c r="A4827" s="10" t="s">
        <v>4826</v>
      </c>
      <c r="B4827" s="12">
        <v>14.78</v>
      </c>
      <c r="C4827" s="11">
        <v>0</v>
      </c>
      <c r="D4827" s="11">
        <v>0.21779649503423776</v>
      </c>
    </row>
    <row r="4828" spans="1:4" x14ac:dyDescent="0.2">
      <c r="A4828" s="10" t="s">
        <v>4827</v>
      </c>
      <c r="B4828" s="12">
        <v>14.72</v>
      </c>
      <c r="C4828" s="11">
        <v>0</v>
      </c>
      <c r="D4828" s="11">
        <v>0.27719553913448447</v>
      </c>
    </row>
    <row r="4829" spans="1:4" x14ac:dyDescent="0.2">
      <c r="A4829" s="10" t="s">
        <v>4828</v>
      </c>
      <c r="B4829" s="12">
        <v>16.260000000000002</v>
      </c>
      <c r="C4829" s="11">
        <v>1.2473799261051799</v>
      </c>
      <c r="D4829" s="11">
        <v>0</v>
      </c>
    </row>
    <row r="4830" spans="1:4" x14ac:dyDescent="0.2">
      <c r="A4830" s="10" t="s">
        <v>4829</v>
      </c>
      <c r="B4830" s="12">
        <v>13.04</v>
      </c>
      <c r="C4830" s="11">
        <v>0</v>
      </c>
      <c r="D4830" s="11">
        <v>1.9403687739413908</v>
      </c>
    </row>
    <row r="4831" spans="1:4" x14ac:dyDescent="0.2">
      <c r="A4831" s="10" t="s">
        <v>4830</v>
      </c>
      <c r="B4831" s="12">
        <v>14.54</v>
      </c>
      <c r="C4831" s="11">
        <v>0</v>
      </c>
      <c r="D4831" s="11">
        <v>0.46529251211859879</v>
      </c>
    </row>
    <row r="4832" spans="1:4" x14ac:dyDescent="0.2">
      <c r="A4832" s="10" t="s">
        <v>4831</v>
      </c>
      <c r="B4832" s="12">
        <v>14.24</v>
      </c>
      <c r="C4832" s="11">
        <v>0</v>
      </c>
      <c r="D4832" s="11">
        <v>0.75238789193645772</v>
      </c>
    </row>
    <row r="4833" spans="1:4" x14ac:dyDescent="0.2">
      <c r="A4833" s="10" t="s">
        <v>4832</v>
      </c>
      <c r="B4833" s="12">
        <v>14.05</v>
      </c>
      <c r="C4833" s="11">
        <v>0</v>
      </c>
      <c r="D4833" s="11">
        <v>0.94048486492057204</v>
      </c>
    </row>
    <row r="4834" spans="1:4" x14ac:dyDescent="0.2">
      <c r="A4834" s="10" t="s">
        <v>4833</v>
      </c>
      <c r="B4834" s="12">
        <v>15.52</v>
      </c>
      <c r="C4834" s="11">
        <v>0.51479171553547109</v>
      </c>
      <c r="D4834" s="11">
        <v>0</v>
      </c>
    </row>
    <row r="4835" spans="1:4" x14ac:dyDescent="0.2">
      <c r="A4835" s="10" t="s">
        <v>4834</v>
      </c>
      <c r="B4835" s="12">
        <v>14.31</v>
      </c>
      <c r="C4835" s="11">
        <v>0</v>
      </c>
      <c r="D4835" s="11">
        <v>0.68308900715283649</v>
      </c>
    </row>
    <row r="4836" spans="1:4" x14ac:dyDescent="0.2">
      <c r="A4836" s="10" t="s">
        <v>4835</v>
      </c>
      <c r="B4836" s="12">
        <v>14.9</v>
      </c>
      <c r="C4836" s="11">
        <v>0</v>
      </c>
      <c r="D4836" s="11">
        <v>9.8998406833744446E-2</v>
      </c>
    </row>
    <row r="4837" spans="1:4" x14ac:dyDescent="0.2">
      <c r="A4837" s="10" t="s">
        <v>4836</v>
      </c>
      <c r="B4837" s="12">
        <v>13.69</v>
      </c>
      <c r="C4837" s="11">
        <v>0</v>
      </c>
      <c r="D4837" s="11">
        <v>1.2968791295220521</v>
      </c>
    </row>
    <row r="4838" spans="1:4" x14ac:dyDescent="0.2">
      <c r="A4838" s="10" t="s">
        <v>4837</v>
      </c>
      <c r="B4838" s="12">
        <v>15.85</v>
      </c>
      <c r="C4838" s="11">
        <v>0.84148645808682765</v>
      </c>
      <c r="D4838" s="11">
        <v>0</v>
      </c>
    </row>
    <row r="4839" spans="1:4" x14ac:dyDescent="0.2">
      <c r="A4839" s="10" t="s">
        <v>4838</v>
      </c>
      <c r="B4839" s="12">
        <v>13.07</v>
      </c>
      <c r="C4839" s="11">
        <v>0</v>
      </c>
      <c r="D4839" s="11">
        <v>1.9106692518912676</v>
      </c>
    </row>
    <row r="4840" spans="1:4" x14ac:dyDescent="0.2">
      <c r="A4840" s="10" t="s">
        <v>4839</v>
      </c>
      <c r="B4840" s="12">
        <v>14.97</v>
      </c>
      <c r="C4840" s="11">
        <v>0</v>
      </c>
      <c r="D4840" s="11">
        <v>2.9699522050123328E-2</v>
      </c>
    </row>
    <row r="4841" spans="1:4" x14ac:dyDescent="0.2">
      <c r="A4841" s="10" t="s">
        <v>4840</v>
      </c>
      <c r="B4841" s="12">
        <v>14.83</v>
      </c>
      <c r="C4841" s="11">
        <v>0</v>
      </c>
      <c r="D4841" s="11">
        <v>0.16829729161736556</v>
      </c>
    </row>
    <row r="4842" spans="1:4" x14ac:dyDescent="0.2">
      <c r="A4842" s="10" t="s">
        <v>4841</v>
      </c>
      <c r="B4842" s="12">
        <v>11.76</v>
      </c>
      <c r="C4842" s="11">
        <v>0</v>
      </c>
      <c r="D4842" s="11">
        <v>3.2075483814133201</v>
      </c>
    </row>
    <row r="4843" spans="1:4" x14ac:dyDescent="0.2">
      <c r="A4843" s="10" t="s">
        <v>4842</v>
      </c>
      <c r="B4843" s="12">
        <v>16.52</v>
      </c>
      <c r="C4843" s="11">
        <v>1.5047757838729154</v>
      </c>
      <c r="D4843" s="11">
        <v>0</v>
      </c>
    </row>
    <row r="4844" spans="1:4" x14ac:dyDescent="0.2">
      <c r="A4844" s="10" t="s">
        <v>4843</v>
      </c>
      <c r="B4844" s="12">
        <v>14.12</v>
      </c>
      <c r="C4844" s="11">
        <v>0</v>
      </c>
      <c r="D4844" s="11">
        <v>0.87118598013695103</v>
      </c>
    </row>
    <row r="4845" spans="1:4" x14ac:dyDescent="0.2">
      <c r="A4845" s="10" t="s">
        <v>4844</v>
      </c>
      <c r="B4845" s="12">
        <v>16.940000000000001</v>
      </c>
      <c r="C4845" s="11">
        <v>1.9205690925746419</v>
      </c>
      <c r="D4845" s="11">
        <v>0</v>
      </c>
    </row>
    <row r="4846" spans="1:4" x14ac:dyDescent="0.2">
      <c r="A4846" s="10" t="s">
        <v>4845</v>
      </c>
      <c r="B4846" s="12">
        <v>13.12</v>
      </c>
      <c r="C4846" s="11">
        <v>0</v>
      </c>
      <c r="D4846" s="11">
        <v>1.8611700484743952</v>
      </c>
    </row>
    <row r="4847" spans="1:4" x14ac:dyDescent="0.2">
      <c r="A4847" s="10" t="s">
        <v>4846</v>
      </c>
      <c r="B4847" s="12">
        <v>15.47</v>
      </c>
      <c r="C4847" s="11">
        <v>0.46529251211859879</v>
      </c>
      <c r="D4847" s="11">
        <v>0</v>
      </c>
    </row>
    <row r="4848" spans="1:4" x14ac:dyDescent="0.2">
      <c r="A4848" s="10" t="s">
        <v>4847</v>
      </c>
      <c r="B4848" s="12">
        <v>15.68</v>
      </c>
      <c r="C4848" s="11">
        <v>0.67318916646946225</v>
      </c>
      <c r="D4848" s="11">
        <v>0</v>
      </c>
    </row>
    <row r="4849" spans="1:4" x14ac:dyDescent="0.2">
      <c r="A4849" s="10" t="s">
        <v>4848</v>
      </c>
      <c r="B4849" s="12">
        <v>13.86</v>
      </c>
      <c r="C4849" s="11">
        <v>0</v>
      </c>
      <c r="D4849" s="11">
        <v>1.1285818379046864</v>
      </c>
    </row>
    <row r="4850" spans="1:4" x14ac:dyDescent="0.2">
      <c r="A4850" s="10" t="s">
        <v>4849</v>
      </c>
      <c r="B4850" s="12">
        <v>13.12</v>
      </c>
      <c r="C4850" s="11">
        <v>0</v>
      </c>
      <c r="D4850" s="11">
        <v>1.8611700484743952</v>
      </c>
    </row>
    <row r="4851" spans="1:4" x14ac:dyDescent="0.2">
      <c r="A4851" s="10" t="s">
        <v>4850</v>
      </c>
      <c r="B4851" s="12">
        <v>13.6</v>
      </c>
      <c r="C4851" s="11">
        <v>0</v>
      </c>
      <c r="D4851" s="11">
        <v>1.3859776956724219</v>
      </c>
    </row>
    <row r="4852" spans="1:4" x14ac:dyDescent="0.2">
      <c r="A4852" s="10" t="s">
        <v>4851</v>
      </c>
      <c r="B4852" s="12">
        <v>14.41</v>
      </c>
      <c r="C4852" s="11">
        <v>0</v>
      </c>
      <c r="D4852" s="11">
        <v>0.5840906003190921</v>
      </c>
    </row>
    <row r="4853" spans="1:4" x14ac:dyDescent="0.2">
      <c r="A4853" s="10" t="s">
        <v>4852</v>
      </c>
      <c r="B4853" s="12">
        <v>13.44</v>
      </c>
      <c r="C4853" s="11">
        <v>0</v>
      </c>
      <c r="D4853" s="11">
        <v>1.5443751466064133</v>
      </c>
    </row>
    <row r="4854" spans="1:4" x14ac:dyDescent="0.2">
      <c r="A4854" s="10" t="s">
        <v>4853</v>
      </c>
      <c r="B4854" s="12">
        <v>13.86</v>
      </c>
      <c r="C4854" s="11">
        <v>0</v>
      </c>
      <c r="D4854" s="11">
        <v>1.1285818379046864</v>
      </c>
    </row>
    <row r="4855" spans="1:4" x14ac:dyDescent="0.2">
      <c r="A4855" s="10" t="s">
        <v>4854</v>
      </c>
      <c r="B4855" s="12">
        <v>14.08</v>
      </c>
      <c r="C4855" s="11">
        <v>0</v>
      </c>
      <c r="D4855" s="11">
        <v>0.91078534287044888</v>
      </c>
    </row>
    <row r="4856" spans="1:4" x14ac:dyDescent="0.2">
      <c r="A4856" s="10" t="s">
        <v>4855</v>
      </c>
      <c r="B4856" s="12">
        <v>12.02</v>
      </c>
      <c r="C4856" s="11">
        <v>0</v>
      </c>
      <c r="D4856" s="11">
        <v>2.9501525236455843</v>
      </c>
    </row>
    <row r="4857" spans="1:4" x14ac:dyDescent="0.2">
      <c r="A4857" s="10" t="s">
        <v>4856</v>
      </c>
      <c r="B4857" s="12">
        <v>11.64</v>
      </c>
      <c r="C4857" s="11">
        <v>0</v>
      </c>
      <c r="D4857" s="11">
        <v>3.3263464696138128</v>
      </c>
    </row>
    <row r="4858" spans="1:4" x14ac:dyDescent="0.2">
      <c r="A4858" s="10" t="s">
        <v>4857</v>
      </c>
      <c r="B4858" s="12">
        <v>13.08</v>
      </c>
      <c r="C4858" s="11">
        <v>0</v>
      </c>
      <c r="D4858" s="11">
        <v>1.900769411207893</v>
      </c>
    </row>
    <row r="4859" spans="1:4" x14ac:dyDescent="0.2">
      <c r="A4859" s="10" t="s">
        <v>4858</v>
      </c>
      <c r="B4859" s="12">
        <v>15.07</v>
      </c>
      <c r="C4859" s="11">
        <v>6.9298884783621117E-2</v>
      </c>
      <c r="D4859" s="11">
        <v>0</v>
      </c>
    </row>
    <row r="4860" spans="1:4" x14ac:dyDescent="0.2">
      <c r="A4860" s="10" t="s">
        <v>4859</v>
      </c>
      <c r="B4860" s="12">
        <v>13.03</v>
      </c>
      <c r="C4860" s="11">
        <v>0</v>
      </c>
      <c r="D4860" s="11">
        <v>1.9502686146247654</v>
      </c>
    </row>
    <row r="4861" spans="1:4" x14ac:dyDescent="0.2">
      <c r="A4861" s="10" t="s">
        <v>4860</v>
      </c>
      <c r="B4861" s="12">
        <v>13.77</v>
      </c>
      <c r="C4861" s="11">
        <v>0</v>
      </c>
      <c r="D4861" s="11">
        <v>1.2176804040550566</v>
      </c>
    </row>
    <row r="4862" spans="1:4" x14ac:dyDescent="0.2">
      <c r="A4862" s="10" t="s">
        <v>4861</v>
      </c>
      <c r="B4862" s="12">
        <v>15.22</v>
      </c>
      <c r="C4862" s="11">
        <v>0.21779649503423776</v>
      </c>
      <c r="D4862" s="11">
        <v>0</v>
      </c>
    </row>
    <row r="4863" spans="1:4" x14ac:dyDescent="0.2">
      <c r="A4863" s="10" t="s">
        <v>4862</v>
      </c>
      <c r="B4863" s="12">
        <v>14.32</v>
      </c>
      <c r="C4863" s="11">
        <v>0</v>
      </c>
      <c r="D4863" s="11">
        <v>0.67318916646946225</v>
      </c>
    </row>
    <row r="4864" spans="1:4" x14ac:dyDescent="0.2">
      <c r="A4864" s="10" t="s">
        <v>4863</v>
      </c>
      <c r="B4864" s="12">
        <v>12.73</v>
      </c>
      <c r="C4864" s="11">
        <v>0</v>
      </c>
      <c r="D4864" s="11">
        <v>2.2472638351259988</v>
      </c>
    </row>
    <row r="4865" spans="1:4" x14ac:dyDescent="0.2">
      <c r="A4865" s="10" t="s">
        <v>4864</v>
      </c>
      <c r="B4865" s="12">
        <v>12.71</v>
      </c>
      <c r="C4865" s="11">
        <v>0</v>
      </c>
      <c r="D4865" s="11">
        <v>2.2670635164927475</v>
      </c>
    </row>
    <row r="4866" spans="1:4" x14ac:dyDescent="0.2">
      <c r="A4866" s="10" t="s">
        <v>4865</v>
      </c>
      <c r="B4866" s="12">
        <v>16.21</v>
      </c>
      <c r="C4866" s="11">
        <v>1.1978807226883077</v>
      </c>
      <c r="D4866" s="11">
        <v>0</v>
      </c>
    </row>
    <row r="4867" spans="1:4" x14ac:dyDescent="0.2">
      <c r="A4867" s="10" t="s">
        <v>4866</v>
      </c>
      <c r="B4867" s="12">
        <v>13.99</v>
      </c>
      <c r="C4867" s="11">
        <v>0</v>
      </c>
      <c r="D4867" s="11">
        <v>0.99988390902081881</v>
      </c>
    </row>
    <row r="4868" spans="1:4" x14ac:dyDescent="0.2">
      <c r="A4868" s="10" t="s">
        <v>4867</v>
      </c>
      <c r="B4868" s="12">
        <v>14.91</v>
      </c>
      <c r="C4868" s="11">
        <v>0</v>
      </c>
      <c r="D4868" s="11">
        <v>8.9098566150369984E-2</v>
      </c>
    </row>
    <row r="4869" spans="1:4" x14ac:dyDescent="0.2">
      <c r="A4869" s="10" t="s">
        <v>4868</v>
      </c>
      <c r="B4869" s="12">
        <v>15.27</v>
      </c>
      <c r="C4869" s="11">
        <v>0.26729569845111001</v>
      </c>
      <c r="D4869" s="11">
        <v>0</v>
      </c>
    </row>
    <row r="4870" spans="1:4" x14ac:dyDescent="0.2">
      <c r="A4870" s="10" t="s">
        <v>4869</v>
      </c>
      <c r="B4870" s="12">
        <v>16.170000000000002</v>
      </c>
      <c r="C4870" s="11">
        <v>1.1582813599548099</v>
      </c>
      <c r="D4870" s="11">
        <v>0</v>
      </c>
    </row>
    <row r="4871" spans="1:4" x14ac:dyDescent="0.2">
      <c r="A4871" s="10" t="s">
        <v>4870</v>
      </c>
      <c r="B4871" s="12">
        <v>13.64</v>
      </c>
      <c r="C4871" s="11">
        <v>0</v>
      </c>
      <c r="D4871" s="11">
        <v>1.3463783329389245</v>
      </c>
    </row>
    <row r="4872" spans="1:4" x14ac:dyDescent="0.2">
      <c r="A4872" s="10" t="s">
        <v>4871</v>
      </c>
      <c r="B4872" s="12">
        <v>15.09</v>
      </c>
      <c r="C4872" s="11">
        <v>8.9098566150369984E-2</v>
      </c>
      <c r="D4872" s="11">
        <v>0</v>
      </c>
    </row>
    <row r="4873" spans="1:4" x14ac:dyDescent="0.2">
      <c r="A4873" s="10" t="s">
        <v>4872</v>
      </c>
      <c r="B4873" s="12">
        <v>15.61</v>
      </c>
      <c r="C4873" s="11">
        <v>0.60389028168584102</v>
      </c>
      <c r="D4873" s="11">
        <v>0</v>
      </c>
    </row>
    <row r="4874" spans="1:4" x14ac:dyDescent="0.2">
      <c r="A4874" s="10" t="s">
        <v>4873</v>
      </c>
      <c r="B4874" s="12">
        <v>13.4</v>
      </c>
      <c r="C4874" s="11">
        <v>0</v>
      </c>
      <c r="D4874" s="11">
        <v>1.5839745093399111</v>
      </c>
    </row>
    <row r="4875" spans="1:4" x14ac:dyDescent="0.2">
      <c r="A4875" s="10" t="s">
        <v>4874</v>
      </c>
      <c r="B4875" s="12">
        <v>13.44</v>
      </c>
      <c r="C4875" s="11">
        <v>0</v>
      </c>
      <c r="D4875" s="11">
        <v>1.5443751466064133</v>
      </c>
    </row>
    <row r="4876" spans="1:4" x14ac:dyDescent="0.2">
      <c r="A4876" s="10" t="s">
        <v>4875</v>
      </c>
      <c r="B4876" s="12">
        <v>15.35</v>
      </c>
      <c r="C4876" s="11">
        <v>0.34649442391810548</v>
      </c>
      <c r="D4876" s="11">
        <v>0</v>
      </c>
    </row>
    <row r="4877" spans="1:4" x14ac:dyDescent="0.2">
      <c r="A4877" s="10" t="s">
        <v>4876</v>
      </c>
      <c r="B4877" s="12">
        <v>13.13</v>
      </c>
      <c r="C4877" s="11">
        <v>0</v>
      </c>
      <c r="D4877" s="11">
        <v>1.851270207791021</v>
      </c>
    </row>
    <row r="4878" spans="1:4" x14ac:dyDescent="0.2">
      <c r="A4878" s="10" t="s">
        <v>4877</v>
      </c>
      <c r="B4878" s="12">
        <v>14.11</v>
      </c>
      <c r="C4878" s="11">
        <v>0</v>
      </c>
      <c r="D4878" s="11">
        <v>0.88108582082032549</v>
      </c>
    </row>
    <row r="4879" spans="1:4" x14ac:dyDescent="0.2">
      <c r="A4879" s="10" t="s">
        <v>4878</v>
      </c>
      <c r="B4879" s="12">
        <v>14.15</v>
      </c>
      <c r="C4879" s="11">
        <v>0</v>
      </c>
      <c r="D4879" s="11">
        <v>0.84148645808682765</v>
      </c>
    </row>
    <row r="4880" spans="1:4" x14ac:dyDescent="0.2">
      <c r="A4880" s="10" t="s">
        <v>4879</v>
      </c>
      <c r="B4880" s="12">
        <v>14.27</v>
      </c>
      <c r="C4880" s="11">
        <v>0</v>
      </c>
      <c r="D4880" s="11">
        <v>0.72268836988633434</v>
      </c>
    </row>
    <row r="4881" spans="1:4" x14ac:dyDescent="0.2">
      <c r="A4881" s="10" t="s">
        <v>4880</v>
      </c>
      <c r="B4881" s="12">
        <v>14.01</v>
      </c>
      <c r="C4881" s="11">
        <v>0</v>
      </c>
      <c r="D4881" s="11">
        <v>0.98008422765406988</v>
      </c>
    </row>
    <row r="4882" spans="1:4" x14ac:dyDescent="0.2">
      <c r="A4882" s="10" t="s">
        <v>4881</v>
      </c>
      <c r="B4882" s="12">
        <v>13.19</v>
      </c>
      <c r="C4882" s="11">
        <v>0</v>
      </c>
      <c r="D4882" s="11">
        <v>1.7918711636907743</v>
      </c>
    </row>
    <row r="4883" spans="1:4" x14ac:dyDescent="0.2">
      <c r="A4883" s="10" t="s">
        <v>4882</v>
      </c>
      <c r="B4883" s="12">
        <v>14.15</v>
      </c>
      <c r="C4883" s="11">
        <v>0</v>
      </c>
      <c r="D4883" s="11">
        <v>0.84148645808682765</v>
      </c>
    </row>
    <row r="4884" spans="1:4" x14ac:dyDescent="0.2">
      <c r="A4884" s="10" t="s">
        <v>4883</v>
      </c>
      <c r="B4884" s="12">
        <v>14.47</v>
      </c>
      <c r="C4884" s="11">
        <v>0</v>
      </c>
      <c r="D4884" s="11">
        <v>0.52469155621884556</v>
      </c>
    </row>
    <row r="4885" spans="1:4" x14ac:dyDescent="0.2">
      <c r="A4885" s="10" t="s">
        <v>4884</v>
      </c>
      <c r="B4885" s="12">
        <v>13.97</v>
      </c>
      <c r="C4885" s="11">
        <v>0</v>
      </c>
      <c r="D4885" s="11">
        <v>1.0196835903875676</v>
      </c>
    </row>
    <row r="4886" spans="1:4" x14ac:dyDescent="0.2">
      <c r="A4886" s="10" t="s">
        <v>4885</v>
      </c>
      <c r="B4886" s="12">
        <v>15.26</v>
      </c>
      <c r="C4886" s="11">
        <v>0.25739585776773555</v>
      </c>
      <c r="D4886" s="11">
        <v>0</v>
      </c>
    </row>
    <row r="4887" spans="1:4" x14ac:dyDescent="0.2">
      <c r="A4887" s="10" t="s">
        <v>4886</v>
      </c>
      <c r="B4887" s="12">
        <v>13.67</v>
      </c>
      <c r="C4887" s="11">
        <v>0</v>
      </c>
      <c r="D4887" s="11">
        <v>1.316678810888801</v>
      </c>
    </row>
    <row r="4888" spans="1:4" x14ac:dyDescent="0.2">
      <c r="A4888" s="10" t="s">
        <v>4887</v>
      </c>
      <c r="B4888" s="12">
        <v>13.25</v>
      </c>
      <c r="C4888" s="11">
        <v>0</v>
      </c>
      <c r="D4888" s="11">
        <v>1.7324721195905277</v>
      </c>
    </row>
    <row r="4889" spans="1:4" x14ac:dyDescent="0.2">
      <c r="A4889" s="10" t="s">
        <v>4888</v>
      </c>
      <c r="B4889" s="12">
        <v>13.74</v>
      </c>
      <c r="C4889" s="11">
        <v>0</v>
      </c>
      <c r="D4889" s="11">
        <v>1.2473799261051799</v>
      </c>
    </row>
    <row r="4890" spans="1:4" x14ac:dyDescent="0.2">
      <c r="A4890" s="10" t="s">
        <v>4889</v>
      </c>
      <c r="B4890" s="12">
        <v>15.93</v>
      </c>
      <c r="C4890" s="11">
        <v>0.92068518355382334</v>
      </c>
      <c r="D4890" s="11">
        <v>0</v>
      </c>
    </row>
    <row r="4891" spans="1:4" x14ac:dyDescent="0.2">
      <c r="A4891" s="10" t="s">
        <v>4890</v>
      </c>
      <c r="B4891" s="12">
        <v>12.62</v>
      </c>
      <c r="C4891" s="11">
        <v>0</v>
      </c>
      <c r="D4891" s="11">
        <v>2.3561620826431176</v>
      </c>
    </row>
    <row r="4892" spans="1:4" x14ac:dyDescent="0.2">
      <c r="A4892" s="10" t="s">
        <v>4891</v>
      </c>
      <c r="B4892" s="12">
        <v>15.26</v>
      </c>
      <c r="C4892" s="11">
        <v>0.25739585776773555</v>
      </c>
      <c r="D4892" s="11">
        <v>0</v>
      </c>
    </row>
    <row r="4893" spans="1:4" x14ac:dyDescent="0.2">
      <c r="A4893" s="10" t="s">
        <v>4892</v>
      </c>
      <c r="B4893" s="12">
        <v>13.63</v>
      </c>
      <c r="C4893" s="11">
        <v>0</v>
      </c>
      <c r="D4893" s="11">
        <v>1.3562781736222989</v>
      </c>
    </row>
    <row r="4894" spans="1:4" x14ac:dyDescent="0.2">
      <c r="A4894" s="10" t="s">
        <v>4893</v>
      </c>
      <c r="B4894" s="12">
        <v>13.65</v>
      </c>
      <c r="C4894" s="11">
        <v>0</v>
      </c>
      <c r="D4894" s="11">
        <v>1.3364784922555499</v>
      </c>
    </row>
    <row r="4895" spans="1:4" x14ac:dyDescent="0.2">
      <c r="A4895" s="10" t="s">
        <v>4894</v>
      </c>
      <c r="B4895" s="12">
        <v>17.29</v>
      </c>
      <c r="C4895" s="11">
        <v>2.2670635164927475</v>
      </c>
      <c r="D4895" s="11">
        <v>0</v>
      </c>
    </row>
    <row r="4896" spans="1:4" x14ac:dyDescent="0.2">
      <c r="A4896" s="10" t="s">
        <v>4895</v>
      </c>
      <c r="B4896" s="12">
        <v>12.95</v>
      </c>
      <c r="C4896" s="11">
        <v>0</v>
      </c>
      <c r="D4896" s="11">
        <v>2.0294673400917609</v>
      </c>
    </row>
    <row r="4897" spans="1:4" x14ac:dyDescent="0.2">
      <c r="A4897" s="10" t="s">
        <v>4896</v>
      </c>
      <c r="B4897" s="12">
        <v>16.05</v>
      </c>
      <c r="C4897" s="11">
        <v>1.0394832717543165</v>
      </c>
      <c r="D4897" s="11">
        <v>0</v>
      </c>
    </row>
    <row r="4898" spans="1:4" x14ac:dyDescent="0.2">
      <c r="A4898" s="10" t="s">
        <v>4897</v>
      </c>
      <c r="B4898" s="12">
        <v>13.48</v>
      </c>
      <c r="C4898" s="11">
        <v>0</v>
      </c>
      <c r="D4898" s="11">
        <v>1.5047757838729154</v>
      </c>
    </row>
    <row r="4899" spans="1:4" x14ac:dyDescent="0.2">
      <c r="A4899" s="10" t="s">
        <v>4898</v>
      </c>
      <c r="B4899" s="12">
        <v>15.07</v>
      </c>
      <c r="C4899" s="11">
        <v>6.9298884783621117E-2</v>
      </c>
      <c r="D4899" s="11">
        <v>0</v>
      </c>
    </row>
    <row r="4900" spans="1:4" x14ac:dyDescent="0.2">
      <c r="A4900" s="10" t="s">
        <v>4899</v>
      </c>
      <c r="B4900" s="12">
        <v>15.07</v>
      </c>
      <c r="C4900" s="11">
        <v>6.9298884783621117E-2</v>
      </c>
      <c r="D4900" s="11">
        <v>0</v>
      </c>
    </row>
    <row r="4901" spans="1:4" x14ac:dyDescent="0.2">
      <c r="A4901" s="10" t="s">
        <v>4900</v>
      </c>
      <c r="B4901" s="12">
        <v>14.98</v>
      </c>
      <c r="C4901" s="11">
        <v>0</v>
      </c>
      <c r="D4901" s="11">
        <v>1.9799681366748888E-2</v>
      </c>
    </row>
    <row r="4902" spans="1:4" x14ac:dyDescent="0.2">
      <c r="A4902" s="10" t="s">
        <v>4901</v>
      </c>
      <c r="B4902" s="12">
        <v>11.79</v>
      </c>
      <c r="C4902" s="11">
        <v>0</v>
      </c>
      <c r="D4902" s="11">
        <v>3.1778488593631962</v>
      </c>
    </row>
    <row r="4903" spans="1:4" x14ac:dyDescent="0.2">
      <c r="A4903" s="10" t="s">
        <v>4902</v>
      </c>
      <c r="B4903" s="12">
        <v>15.39</v>
      </c>
      <c r="C4903" s="11">
        <v>0.38609378665160332</v>
      </c>
      <c r="D4903" s="11">
        <v>0</v>
      </c>
    </row>
    <row r="4904" spans="1:4" x14ac:dyDescent="0.2">
      <c r="A4904" s="10" t="s">
        <v>4903</v>
      </c>
      <c r="B4904" s="12">
        <v>15.16</v>
      </c>
      <c r="C4904" s="11">
        <v>0.1583974509339911</v>
      </c>
      <c r="D4904" s="11">
        <v>0</v>
      </c>
    </row>
    <row r="4905" spans="1:4" x14ac:dyDescent="0.2">
      <c r="A4905" s="10" t="s">
        <v>4904</v>
      </c>
      <c r="B4905" s="12">
        <v>16.170000000000002</v>
      </c>
      <c r="C4905" s="11">
        <v>1.1582813599548099</v>
      </c>
      <c r="D4905" s="11">
        <v>0</v>
      </c>
    </row>
    <row r="4906" spans="1:4" x14ac:dyDescent="0.2">
      <c r="A4906" s="10" t="s">
        <v>4905</v>
      </c>
      <c r="B4906" s="12">
        <v>12.49</v>
      </c>
      <c r="C4906" s="11">
        <v>0</v>
      </c>
      <c r="D4906" s="11">
        <v>2.484860011526985</v>
      </c>
    </row>
    <row r="4907" spans="1:4" x14ac:dyDescent="0.2">
      <c r="A4907" s="10" t="s">
        <v>4906</v>
      </c>
      <c r="B4907" s="12">
        <v>11.88</v>
      </c>
      <c r="C4907" s="11">
        <v>0</v>
      </c>
      <c r="D4907" s="11">
        <v>3.0887502932128266</v>
      </c>
    </row>
    <row r="4908" spans="1:4" x14ac:dyDescent="0.2">
      <c r="A4908" s="10" t="s">
        <v>4907</v>
      </c>
      <c r="B4908" s="12">
        <v>13.35</v>
      </c>
      <c r="C4908" s="11">
        <v>0</v>
      </c>
      <c r="D4908" s="11">
        <v>1.6334737127567831</v>
      </c>
    </row>
    <row r="4909" spans="1:4" x14ac:dyDescent="0.2">
      <c r="A4909" s="10" t="s">
        <v>4908</v>
      </c>
      <c r="B4909" s="12">
        <v>13.72</v>
      </c>
      <c r="C4909" s="11">
        <v>0</v>
      </c>
      <c r="D4909" s="11">
        <v>1.2671796074719288</v>
      </c>
    </row>
    <row r="4910" spans="1:4" x14ac:dyDescent="0.2">
      <c r="A4910" s="10" t="s">
        <v>4909</v>
      </c>
      <c r="B4910" s="12">
        <v>14.13</v>
      </c>
      <c r="C4910" s="11">
        <v>0</v>
      </c>
      <c r="D4910" s="11">
        <v>0.86128613945357657</v>
      </c>
    </row>
    <row r="4911" spans="1:4" x14ac:dyDescent="0.2">
      <c r="A4911" s="10" t="s">
        <v>4910</v>
      </c>
      <c r="B4911" s="12">
        <v>14.5</v>
      </c>
      <c r="C4911" s="11">
        <v>0</v>
      </c>
      <c r="D4911" s="11">
        <v>0.49499203416872217</v>
      </c>
    </row>
    <row r="4912" spans="1:4" x14ac:dyDescent="0.2">
      <c r="A4912" s="10" t="s">
        <v>4911</v>
      </c>
      <c r="B4912" s="12">
        <v>14.79</v>
      </c>
      <c r="C4912" s="11">
        <v>0</v>
      </c>
      <c r="D4912" s="11">
        <v>0.2078966543508633</v>
      </c>
    </row>
    <row r="4913" spans="1:4" x14ac:dyDescent="0.2">
      <c r="A4913" s="10" t="s">
        <v>4912</v>
      </c>
      <c r="B4913" s="12">
        <v>12.6</v>
      </c>
      <c r="C4913" s="11">
        <v>0</v>
      </c>
      <c r="D4913" s="11">
        <v>2.3759617640098663</v>
      </c>
    </row>
    <row r="4914" spans="1:4" x14ac:dyDescent="0.2">
      <c r="A4914" s="10" t="s">
        <v>4913</v>
      </c>
      <c r="B4914" s="12">
        <v>13.48</v>
      </c>
      <c r="C4914" s="11">
        <v>0</v>
      </c>
      <c r="D4914" s="11">
        <v>1.5047757838729154</v>
      </c>
    </row>
    <row r="4915" spans="1:4" x14ac:dyDescent="0.2">
      <c r="A4915" s="10" t="s">
        <v>4914</v>
      </c>
      <c r="B4915" s="12">
        <v>15.11</v>
      </c>
      <c r="C4915" s="11">
        <v>0.10889824751711888</v>
      </c>
      <c r="D4915" s="11">
        <v>0</v>
      </c>
    </row>
    <row r="4916" spans="1:4" x14ac:dyDescent="0.2">
      <c r="A4916" s="10" t="s">
        <v>4915</v>
      </c>
      <c r="B4916" s="12">
        <v>16.100000000000001</v>
      </c>
      <c r="C4916" s="11">
        <v>1.088982475171189</v>
      </c>
      <c r="D4916" s="11">
        <v>0</v>
      </c>
    </row>
    <row r="4917" spans="1:4" x14ac:dyDescent="0.2">
      <c r="A4917" s="10" t="s">
        <v>4916</v>
      </c>
      <c r="B4917" s="12">
        <v>13.48</v>
      </c>
      <c r="C4917" s="11">
        <v>0</v>
      </c>
      <c r="D4917" s="11">
        <v>1.5047757838729154</v>
      </c>
    </row>
    <row r="4918" spans="1:4" x14ac:dyDescent="0.2">
      <c r="A4918" s="10" t="s">
        <v>4917</v>
      </c>
      <c r="B4918" s="12">
        <v>14.16</v>
      </c>
      <c r="C4918" s="11">
        <v>0</v>
      </c>
      <c r="D4918" s="11">
        <v>0.83158661740345319</v>
      </c>
    </row>
    <row r="4919" spans="1:4" x14ac:dyDescent="0.2">
      <c r="A4919" s="10" t="s">
        <v>4918</v>
      </c>
      <c r="B4919" s="12">
        <v>14.39</v>
      </c>
      <c r="C4919" s="11">
        <v>0</v>
      </c>
      <c r="D4919" s="11">
        <v>0.60389028168584102</v>
      </c>
    </row>
    <row r="4920" spans="1:4" x14ac:dyDescent="0.2">
      <c r="A4920" s="10" t="s">
        <v>4919</v>
      </c>
      <c r="B4920" s="12">
        <v>14.21</v>
      </c>
      <c r="C4920" s="11">
        <v>0</v>
      </c>
      <c r="D4920" s="11">
        <v>0.7820874139865811</v>
      </c>
    </row>
    <row r="4921" spans="1:4" x14ac:dyDescent="0.2">
      <c r="A4921" s="10" t="s">
        <v>4920</v>
      </c>
      <c r="B4921" s="12">
        <v>13.82</v>
      </c>
      <c r="C4921" s="11">
        <v>0</v>
      </c>
      <c r="D4921" s="11">
        <v>1.1681812006381842</v>
      </c>
    </row>
    <row r="4922" spans="1:4" x14ac:dyDescent="0.2">
      <c r="A4922" s="10" t="s">
        <v>4921</v>
      </c>
      <c r="B4922" s="12">
        <v>14.19</v>
      </c>
      <c r="C4922" s="11">
        <v>0</v>
      </c>
      <c r="D4922" s="11">
        <v>0.80188709535333003</v>
      </c>
    </row>
    <row r="4923" spans="1:4" x14ac:dyDescent="0.2">
      <c r="A4923" s="10" t="s">
        <v>4922</v>
      </c>
      <c r="B4923" s="12">
        <v>13.78</v>
      </c>
      <c r="C4923" s="11">
        <v>0</v>
      </c>
      <c r="D4923" s="11">
        <v>1.207780563371682</v>
      </c>
    </row>
    <row r="4924" spans="1:4" x14ac:dyDescent="0.2">
      <c r="A4924" s="10" t="s">
        <v>4923</v>
      </c>
      <c r="B4924" s="12">
        <v>16.510000000000002</v>
      </c>
      <c r="C4924" s="11">
        <v>1.4948759431895409</v>
      </c>
      <c r="D4924" s="11">
        <v>0</v>
      </c>
    </row>
    <row r="4925" spans="1:4" x14ac:dyDescent="0.2">
      <c r="A4925" s="10" t="s">
        <v>4924</v>
      </c>
      <c r="B4925" s="12">
        <v>14.04</v>
      </c>
      <c r="C4925" s="11">
        <v>0</v>
      </c>
      <c r="D4925" s="11">
        <v>0.9503847056039465</v>
      </c>
    </row>
    <row r="4926" spans="1:4" x14ac:dyDescent="0.2">
      <c r="A4926" s="10" t="s">
        <v>4925</v>
      </c>
      <c r="B4926" s="12">
        <v>15.94</v>
      </c>
      <c r="C4926" s="11">
        <v>0.93058502423719758</v>
      </c>
      <c r="D4926" s="11">
        <v>0</v>
      </c>
    </row>
    <row r="4927" spans="1:4" x14ac:dyDescent="0.2">
      <c r="A4927" s="10" t="s">
        <v>4926</v>
      </c>
      <c r="B4927" s="12">
        <v>14.62</v>
      </c>
      <c r="C4927" s="11">
        <v>0</v>
      </c>
      <c r="D4927" s="11">
        <v>0.37619394596822886</v>
      </c>
    </row>
    <row r="4928" spans="1:4" x14ac:dyDescent="0.2">
      <c r="A4928" s="10" t="s">
        <v>4927</v>
      </c>
      <c r="B4928" s="12">
        <v>15.35</v>
      </c>
      <c r="C4928" s="11">
        <v>0.34649442391810548</v>
      </c>
      <c r="D4928" s="11">
        <v>0</v>
      </c>
    </row>
    <row r="4929" spans="1:4" x14ac:dyDescent="0.2">
      <c r="A4929" s="10" t="s">
        <v>4928</v>
      </c>
      <c r="B4929" s="12">
        <v>16.41</v>
      </c>
      <c r="C4929" s="11">
        <v>1.3958775363557965</v>
      </c>
      <c r="D4929" s="11">
        <v>0</v>
      </c>
    </row>
    <row r="4930" spans="1:4" x14ac:dyDescent="0.2">
      <c r="A4930" s="10" t="s">
        <v>4929</v>
      </c>
      <c r="B4930" s="12">
        <v>14.42</v>
      </c>
      <c r="C4930" s="11">
        <v>0</v>
      </c>
      <c r="D4930" s="11">
        <v>0.57419075963571764</v>
      </c>
    </row>
    <row r="4931" spans="1:4" x14ac:dyDescent="0.2">
      <c r="A4931" s="10" t="s">
        <v>4930</v>
      </c>
      <c r="B4931" s="12">
        <v>14.31</v>
      </c>
      <c r="C4931" s="11">
        <v>0</v>
      </c>
      <c r="D4931" s="11">
        <v>0.68308900715283649</v>
      </c>
    </row>
    <row r="4932" spans="1:4" x14ac:dyDescent="0.2">
      <c r="A4932" s="10" t="s">
        <v>4931</v>
      </c>
      <c r="B4932" s="12">
        <v>15.74</v>
      </c>
      <c r="C4932" s="11">
        <v>0.7325882105697088</v>
      </c>
      <c r="D4932" s="11">
        <v>0</v>
      </c>
    </row>
    <row r="4933" spans="1:4" x14ac:dyDescent="0.2">
      <c r="A4933" s="10" t="s">
        <v>4932</v>
      </c>
      <c r="B4933" s="12">
        <v>13.1</v>
      </c>
      <c r="C4933" s="11">
        <v>0</v>
      </c>
      <c r="D4933" s="11">
        <v>1.8809697298411441</v>
      </c>
    </row>
    <row r="4934" spans="1:4" x14ac:dyDescent="0.2">
      <c r="A4934" s="10" t="s">
        <v>4933</v>
      </c>
      <c r="B4934" s="12">
        <v>12.22</v>
      </c>
      <c r="C4934" s="11">
        <v>0</v>
      </c>
      <c r="D4934" s="11">
        <v>2.7521557099780951</v>
      </c>
    </row>
    <row r="4935" spans="1:4" x14ac:dyDescent="0.2">
      <c r="A4935" s="10" t="s">
        <v>4934</v>
      </c>
      <c r="B4935" s="12">
        <v>15.22</v>
      </c>
      <c r="C4935" s="11">
        <v>0.21779649503423776</v>
      </c>
      <c r="D4935" s="11">
        <v>0</v>
      </c>
    </row>
    <row r="4936" spans="1:4" x14ac:dyDescent="0.2">
      <c r="A4936" s="10" t="s">
        <v>4935</v>
      </c>
      <c r="B4936" s="12">
        <v>14.82</v>
      </c>
      <c r="C4936" s="11">
        <v>0</v>
      </c>
      <c r="D4936" s="11">
        <v>0.17819713230073997</v>
      </c>
    </row>
    <row r="4937" spans="1:4" x14ac:dyDescent="0.2">
      <c r="A4937" s="10" t="s">
        <v>4936</v>
      </c>
      <c r="B4937" s="12">
        <v>11.81</v>
      </c>
      <c r="C4937" s="11">
        <v>0</v>
      </c>
      <c r="D4937" s="11">
        <v>3.1580491779964475</v>
      </c>
    </row>
    <row r="4938" spans="1:4" x14ac:dyDescent="0.2">
      <c r="A4938" s="10" t="s">
        <v>4937</v>
      </c>
      <c r="B4938" s="12">
        <v>15.91</v>
      </c>
      <c r="C4938" s="11">
        <v>0.90088550218707442</v>
      </c>
      <c r="D4938" s="11">
        <v>0</v>
      </c>
    </row>
    <row r="4939" spans="1:4" x14ac:dyDescent="0.2">
      <c r="A4939" s="10" t="s">
        <v>4938</v>
      </c>
      <c r="B4939" s="12">
        <v>13.03</v>
      </c>
      <c r="C4939" s="11">
        <v>0</v>
      </c>
      <c r="D4939" s="11">
        <v>1.9502686146247654</v>
      </c>
    </row>
    <row r="4940" spans="1:4" x14ac:dyDescent="0.2">
      <c r="A4940" s="10" t="s">
        <v>4939</v>
      </c>
      <c r="B4940" s="12">
        <v>13.24</v>
      </c>
      <c r="C4940" s="11">
        <v>0</v>
      </c>
      <c r="D4940" s="11">
        <v>1.7423719602739021</v>
      </c>
    </row>
    <row r="4941" spans="1:4" x14ac:dyDescent="0.2">
      <c r="A4941" s="10" t="s">
        <v>4940</v>
      </c>
      <c r="B4941" s="12">
        <v>12.28</v>
      </c>
      <c r="C4941" s="11">
        <v>0</v>
      </c>
      <c r="D4941" s="11">
        <v>2.692756665877849</v>
      </c>
    </row>
    <row r="4942" spans="1:4" x14ac:dyDescent="0.2">
      <c r="A4942" s="10" t="s">
        <v>4941</v>
      </c>
      <c r="B4942" s="12">
        <v>13.48</v>
      </c>
      <c r="C4942" s="11">
        <v>0</v>
      </c>
      <c r="D4942" s="11">
        <v>1.5047757838729154</v>
      </c>
    </row>
    <row r="4943" spans="1:4" x14ac:dyDescent="0.2">
      <c r="A4943" s="10" t="s">
        <v>4942</v>
      </c>
      <c r="B4943" s="12">
        <v>13.63</v>
      </c>
      <c r="C4943" s="11">
        <v>0</v>
      </c>
      <c r="D4943" s="11">
        <v>1.3562781736222989</v>
      </c>
    </row>
    <row r="4944" spans="1:4" x14ac:dyDescent="0.2">
      <c r="A4944" s="10" t="s">
        <v>4943</v>
      </c>
      <c r="B4944" s="12">
        <v>13.7</v>
      </c>
      <c r="C4944" s="11">
        <v>0</v>
      </c>
      <c r="D4944" s="11">
        <v>1.2869792888386777</v>
      </c>
    </row>
    <row r="4945" spans="1:4" x14ac:dyDescent="0.2">
      <c r="A4945" s="10" t="s">
        <v>4944</v>
      </c>
      <c r="B4945" s="12">
        <v>14.67</v>
      </c>
      <c r="C4945" s="11">
        <v>0</v>
      </c>
      <c r="D4945" s="11">
        <v>0.32669474255135666</v>
      </c>
    </row>
    <row r="4946" spans="1:4" x14ac:dyDescent="0.2">
      <c r="A4946" s="10" t="s">
        <v>4945</v>
      </c>
      <c r="B4946" s="12">
        <v>14.06</v>
      </c>
      <c r="C4946" s="11">
        <v>0</v>
      </c>
      <c r="D4946" s="11">
        <v>0.93058502423719758</v>
      </c>
    </row>
    <row r="4947" spans="1:4" x14ac:dyDescent="0.2">
      <c r="A4947" s="10" t="s">
        <v>4946</v>
      </c>
      <c r="B4947" s="12">
        <v>14.55</v>
      </c>
      <c r="C4947" s="11">
        <v>0</v>
      </c>
      <c r="D4947" s="11">
        <v>0.44549283075184998</v>
      </c>
    </row>
    <row r="4948" spans="1:4" x14ac:dyDescent="0.2">
      <c r="A4948" s="10" t="s">
        <v>4947</v>
      </c>
      <c r="B4948" s="12">
        <v>15.3</v>
      </c>
      <c r="C4948" s="11">
        <v>0.29699522050123328</v>
      </c>
      <c r="D4948" s="11">
        <v>0</v>
      </c>
    </row>
    <row r="4949" spans="1:4" x14ac:dyDescent="0.2">
      <c r="A4949" s="10" t="s">
        <v>4948</v>
      </c>
      <c r="B4949" s="12">
        <v>14.09</v>
      </c>
      <c r="C4949" s="11">
        <v>0</v>
      </c>
      <c r="D4949" s="11">
        <v>0.90088550218707442</v>
      </c>
    </row>
    <row r="4950" spans="1:4" x14ac:dyDescent="0.2">
      <c r="A4950" s="10" t="s">
        <v>4949</v>
      </c>
      <c r="B4950" s="12">
        <v>12.71</v>
      </c>
      <c r="C4950" s="11">
        <v>0</v>
      </c>
      <c r="D4950" s="11">
        <v>2.2670635164927475</v>
      </c>
    </row>
    <row r="4951" spans="1:4" x14ac:dyDescent="0.2">
      <c r="A4951" s="10" t="s">
        <v>4950</v>
      </c>
      <c r="B4951" s="12">
        <v>13.35</v>
      </c>
      <c r="C4951" s="11">
        <v>0</v>
      </c>
      <c r="D4951" s="11">
        <v>1.6334737127567831</v>
      </c>
    </row>
    <row r="4952" spans="1:4" x14ac:dyDescent="0.2">
      <c r="A4952" s="10" t="s">
        <v>4951</v>
      </c>
      <c r="B4952" s="12">
        <v>11.89</v>
      </c>
      <c r="C4952" s="11">
        <v>0</v>
      </c>
      <c r="D4952" s="11">
        <v>3.0788504525294518</v>
      </c>
    </row>
    <row r="4953" spans="1:4" x14ac:dyDescent="0.2">
      <c r="A4953" s="10" t="s">
        <v>4952</v>
      </c>
      <c r="B4953" s="12">
        <v>12.91</v>
      </c>
      <c r="C4953" s="11">
        <v>0</v>
      </c>
      <c r="D4953" s="11">
        <v>2.0690667028252587</v>
      </c>
    </row>
    <row r="4954" spans="1:4" x14ac:dyDescent="0.2">
      <c r="A4954" s="10" t="s">
        <v>4953</v>
      </c>
      <c r="B4954" s="12">
        <v>14.53</v>
      </c>
      <c r="C4954" s="11">
        <v>0</v>
      </c>
      <c r="D4954" s="11">
        <v>0.46529251211859879</v>
      </c>
    </row>
    <row r="4955" spans="1:4" x14ac:dyDescent="0.2">
      <c r="A4955" s="10" t="s">
        <v>4954</v>
      </c>
      <c r="B4955" s="12">
        <v>13.67</v>
      </c>
      <c r="C4955" s="11">
        <v>0</v>
      </c>
      <c r="D4955" s="11">
        <v>1.316678810888801</v>
      </c>
    </row>
    <row r="4956" spans="1:4" x14ac:dyDescent="0.2">
      <c r="A4956" s="10" t="s">
        <v>4955</v>
      </c>
      <c r="B4956" s="12">
        <v>13.46</v>
      </c>
      <c r="C4956" s="11">
        <v>0</v>
      </c>
      <c r="D4956" s="11">
        <v>1.5245754652396644</v>
      </c>
    </row>
    <row r="4957" spans="1:4" x14ac:dyDescent="0.2">
      <c r="A4957" s="10" t="s">
        <v>4956</v>
      </c>
      <c r="B4957" s="12">
        <v>13.29</v>
      </c>
      <c r="C4957" s="11">
        <v>0</v>
      </c>
      <c r="D4957" s="11">
        <v>1.6928727568570299</v>
      </c>
    </row>
    <row r="4958" spans="1:4" x14ac:dyDescent="0.2">
      <c r="A4958" s="10" t="s">
        <v>4957</v>
      </c>
      <c r="B4958" s="12">
        <v>13.43</v>
      </c>
      <c r="C4958" s="11">
        <v>0</v>
      </c>
      <c r="D4958" s="11">
        <v>1.5542749872897876</v>
      </c>
    </row>
    <row r="4959" spans="1:4" x14ac:dyDescent="0.2">
      <c r="A4959" s="10" t="s">
        <v>4958</v>
      </c>
      <c r="B4959" s="12">
        <v>14.32</v>
      </c>
      <c r="C4959" s="11">
        <v>0</v>
      </c>
      <c r="D4959" s="11">
        <v>0.67318916646946225</v>
      </c>
    </row>
    <row r="4960" spans="1:4" x14ac:dyDescent="0.2">
      <c r="A4960" s="10" t="s">
        <v>4959</v>
      </c>
      <c r="B4960" s="12">
        <v>13.5</v>
      </c>
      <c r="C4960" s="11">
        <v>0</v>
      </c>
      <c r="D4960" s="11">
        <v>1.4849761025061665</v>
      </c>
    </row>
    <row r="4961" spans="1:4" x14ac:dyDescent="0.2">
      <c r="A4961" s="10" t="s">
        <v>4960</v>
      </c>
      <c r="B4961" s="12">
        <v>12.87</v>
      </c>
      <c r="C4961" s="11">
        <v>0</v>
      </c>
      <c r="D4961" s="11">
        <v>2.1086660655587561</v>
      </c>
    </row>
    <row r="4962" spans="1:4" x14ac:dyDescent="0.2">
      <c r="A4962" s="10" t="s">
        <v>4961</v>
      </c>
      <c r="B4962" s="12">
        <v>14.26</v>
      </c>
      <c r="C4962" s="11">
        <v>0</v>
      </c>
      <c r="D4962" s="11">
        <v>0.7325882105697088</v>
      </c>
    </row>
    <row r="4963" spans="1:4" x14ac:dyDescent="0.2">
      <c r="A4963" s="10" t="s">
        <v>4962</v>
      </c>
      <c r="B4963" s="12">
        <v>15.85</v>
      </c>
      <c r="C4963" s="11">
        <v>0.84148645808682765</v>
      </c>
      <c r="D4963" s="11">
        <v>0</v>
      </c>
    </row>
    <row r="4964" spans="1:4" x14ac:dyDescent="0.2">
      <c r="A4964" s="10" t="s">
        <v>4963</v>
      </c>
      <c r="B4964" s="12">
        <v>14.63</v>
      </c>
      <c r="C4964" s="11">
        <v>0</v>
      </c>
      <c r="D4964" s="11">
        <v>0.3662941052848544</v>
      </c>
    </row>
    <row r="4965" spans="1:4" x14ac:dyDescent="0.2">
      <c r="A4965" s="10" t="s">
        <v>4964</v>
      </c>
      <c r="B4965" s="12">
        <v>12.69</v>
      </c>
      <c r="C4965" s="11">
        <v>0</v>
      </c>
      <c r="D4965" s="11">
        <v>2.2868631978594967</v>
      </c>
    </row>
    <row r="4966" spans="1:4" x14ac:dyDescent="0.2">
      <c r="A4966" s="10" t="s">
        <v>4965</v>
      </c>
      <c r="B4966" s="12">
        <v>14.28</v>
      </c>
      <c r="C4966" s="11">
        <v>0</v>
      </c>
      <c r="D4966" s="11">
        <v>0.71278852920295988</v>
      </c>
    </row>
    <row r="4967" spans="1:4" x14ac:dyDescent="0.2">
      <c r="A4967" s="10" t="s">
        <v>4966</v>
      </c>
      <c r="B4967" s="12">
        <v>13.73</v>
      </c>
      <c r="C4967" s="11">
        <v>0</v>
      </c>
      <c r="D4967" s="11">
        <v>1.2572797667885542</v>
      </c>
    </row>
    <row r="4968" spans="1:4" x14ac:dyDescent="0.2">
      <c r="A4968" s="10" t="s">
        <v>4967</v>
      </c>
      <c r="B4968" s="12">
        <v>14.45</v>
      </c>
      <c r="C4968" s="11">
        <v>0</v>
      </c>
      <c r="D4968" s="11">
        <v>0.54449123758559448</v>
      </c>
    </row>
    <row r="4969" spans="1:4" x14ac:dyDescent="0.2">
      <c r="A4969" s="10" t="s">
        <v>4968</v>
      </c>
      <c r="B4969" s="12">
        <v>13.3</v>
      </c>
      <c r="C4969" s="11">
        <v>0</v>
      </c>
      <c r="D4969" s="11">
        <v>1.6829729161736553</v>
      </c>
    </row>
    <row r="4970" spans="1:4" x14ac:dyDescent="0.2">
      <c r="A4970" s="10" t="s">
        <v>4969</v>
      </c>
      <c r="B4970" s="12">
        <v>14.64</v>
      </c>
      <c r="C4970" s="11">
        <v>0</v>
      </c>
      <c r="D4970" s="11">
        <v>0.35639426460147994</v>
      </c>
    </row>
    <row r="4971" spans="1:4" x14ac:dyDescent="0.2">
      <c r="A4971" s="10" t="s">
        <v>4970</v>
      </c>
      <c r="B4971" s="12">
        <v>13.71</v>
      </c>
      <c r="C4971" s="11">
        <v>0</v>
      </c>
      <c r="D4971" s="11">
        <v>1.2770794481553032</v>
      </c>
    </row>
    <row r="4972" spans="1:4" x14ac:dyDescent="0.2">
      <c r="A4972" s="10" t="s">
        <v>4971</v>
      </c>
      <c r="B4972" s="12">
        <v>11.92</v>
      </c>
      <c r="C4972" s="11">
        <v>0</v>
      </c>
      <c r="D4972" s="11">
        <v>3.0491509304793287</v>
      </c>
    </row>
    <row r="4973" spans="1:4" x14ac:dyDescent="0.2">
      <c r="A4973" s="10" t="s">
        <v>4972</v>
      </c>
      <c r="B4973" s="12">
        <v>14.22</v>
      </c>
      <c r="C4973" s="11">
        <v>0</v>
      </c>
      <c r="D4973" s="11">
        <v>0.77218757330320664</v>
      </c>
    </row>
    <row r="4974" spans="1:4" x14ac:dyDescent="0.2">
      <c r="A4974" s="10" t="s">
        <v>4973</v>
      </c>
      <c r="B4974" s="12">
        <v>14.23</v>
      </c>
      <c r="C4974" s="11">
        <v>0</v>
      </c>
      <c r="D4974" s="11">
        <v>0.76228773261983218</v>
      </c>
    </row>
    <row r="4975" spans="1:4" x14ac:dyDescent="0.2">
      <c r="A4975" s="10" t="s">
        <v>4974</v>
      </c>
      <c r="B4975" s="12">
        <v>13.45</v>
      </c>
      <c r="C4975" s="11">
        <v>0</v>
      </c>
      <c r="D4975" s="11">
        <v>1.5344753059230387</v>
      </c>
    </row>
    <row r="4976" spans="1:4" x14ac:dyDescent="0.2">
      <c r="A4976" s="10" t="s">
        <v>4975</v>
      </c>
      <c r="B4976" s="12">
        <v>13.13</v>
      </c>
      <c r="C4976" s="11">
        <v>0</v>
      </c>
      <c r="D4976" s="11">
        <v>1.851270207791021</v>
      </c>
    </row>
    <row r="4977" spans="1:4" x14ac:dyDescent="0.2">
      <c r="A4977" s="10" t="s">
        <v>4976</v>
      </c>
      <c r="B4977" s="12">
        <v>13.85</v>
      </c>
      <c r="C4977" s="11">
        <v>0</v>
      </c>
      <c r="D4977" s="11">
        <v>1.1384816785880609</v>
      </c>
    </row>
    <row r="4978" spans="1:4" x14ac:dyDescent="0.2">
      <c r="A4978" s="10" t="s">
        <v>4977</v>
      </c>
      <c r="B4978" s="12">
        <v>14.56</v>
      </c>
      <c r="C4978" s="11">
        <v>0</v>
      </c>
      <c r="D4978" s="11">
        <v>0.43559299006847552</v>
      </c>
    </row>
    <row r="4979" spans="1:4" x14ac:dyDescent="0.2">
      <c r="A4979" s="10" t="s">
        <v>4978</v>
      </c>
      <c r="B4979" s="12">
        <v>15.28</v>
      </c>
      <c r="C4979" s="11">
        <v>0.27719553913448447</v>
      </c>
      <c r="D4979" s="11">
        <v>0</v>
      </c>
    </row>
    <row r="4980" spans="1:4" x14ac:dyDescent="0.2">
      <c r="A4980" s="10" t="s">
        <v>4979</v>
      </c>
      <c r="B4980" s="12">
        <v>14.28</v>
      </c>
      <c r="C4980" s="11">
        <v>0</v>
      </c>
      <c r="D4980" s="11">
        <v>0.71278852920295988</v>
      </c>
    </row>
    <row r="4981" spans="1:4" x14ac:dyDescent="0.2">
      <c r="A4981" s="10" t="s">
        <v>4980</v>
      </c>
      <c r="B4981" s="12">
        <v>11.92</v>
      </c>
      <c r="C4981" s="11">
        <v>0</v>
      </c>
      <c r="D4981" s="11">
        <v>3.0491509304793287</v>
      </c>
    </row>
    <row r="4982" spans="1:4" x14ac:dyDescent="0.2">
      <c r="A4982" s="10" t="s">
        <v>4981</v>
      </c>
      <c r="B4982" s="12">
        <v>13.95</v>
      </c>
      <c r="C4982" s="11">
        <v>0</v>
      </c>
      <c r="D4982" s="11">
        <v>1.0394832717543165</v>
      </c>
    </row>
    <row r="4983" spans="1:4" x14ac:dyDescent="0.2">
      <c r="A4983" s="10" t="s">
        <v>4982</v>
      </c>
      <c r="B4983" s="12">
        <v>13.76</v>
      </c>
      <c r="C4983" s="11">
        <v>0</v>
      </c>
      <c r="D4983" s="11">
        <v>1.227580244738431</v>
      </c>
    </row>
    <row r="4984" spans="1:4" x14ac:dyDescent="0.2">
      <c r="A4984" s="10" t="s">
        <v>4983</v>
      </c>
      <c r="B4984" s="12">
        <v>14.59</v>
      </c>
      <c r="C4984" s="11">
        <v>0</v>
      </c>
      <c r="D4984" s="11">
        <v>0.40589346801835213</v>
      </c>
    </row>
    <row r="4985" spans="1:4" x14ac:dyDescent="0.2">
      <c r="A4985" s="10" t="s">
        <v>4984</v>
      </c>
      <c r="B4985" s="12">
        <v>14.05</v>
      </c>
      <c r="C4985" s="11">
        <v>0</v>
      </c>
      <c r="D4985" s="11">
        <v>0.94048486492057204</v>
      </c>
    </row>
    <row r="4986" spans="1:4" x14ac:dyDescent="0.2">
      <c r="A4986" s="10" t="s">
        <v>4985</v>
      </c>
      <c r="B4986" s="12">
        <v>15.21</v>
      </c>
      <c r="C4986" s="11">
        <v>0.2078966543508633</v>
      </c>
      <c r="D4986" s="11">
        <v>0</v>
      </c>
    </row>
    <row r="4987" spans="1:4" x14ac:dyDescent="0.2">
      <c r="A4987" s="10" t="s">
        <v>4986</v>
      </c>
      <c r="B4987" s="12">
        <v>13.26</v>
      </c>
      <c r="C4987" s="11">
        <v>0</v>
      </c>
      <c r="D4987" s="11">
        <v>1.7225722789071531</v>
      </c>
    </row>
    <row r="4988" spans="1:4" x14ac:dyDescent="0.2">
      <c r="A4988" s="10" t="s">
        <v>4987</v>
      </c>
      <c r="B4988" s="12">
        <v>13.43</v>
      </c>
      <c r="C4988" s="11">
        <v>0</v>
      </c>
      <c r="D4988" s="11">
        <v>1.5542749872897876</v>
      </c>
    </row>
    <row r="4989" spans="1:4" x14ac:dyDescent="0.2">
      <c r="A4989" s="10" t="s">
        <v>4988</v>
      </c>
      <c r="B4989" s="12">
        <v>15.06</v>
      </c>
      <c r="C4989" s="11">
        <v>5.9399044100246656E-2</v>
      </c>
      <c r="D4989" s="11">
        <v>0</v>
      </c>
    </row>
    <row r="4990" spans="1:4" x14ac:dyDescent="0.2">
      <c r="A4990" s="10" t="s">
        <v>4989</v>
      </c>
      <c r="B4990" s="12">
        <v>15.82</v>
      </c>
      <c r="C4990" s="11">
        <v>0.81178693603670427</v>
      </c>
      <c r="D4990" s="11">
        <v>0</v>
      </c>
    </row>
    <row r="4991" spans="1:4" x14ac:dyDescent="0.2">
      <c r="A4991" s="10" t="s">
        <v>4990</v>
      </c>
      <c r="B4991" s="12">
        <v>14.36</v>
      </c>
      <c r="C4991" s="11">
        <v>0</v>
      </c>
      <c r="D4991" s="11">
        <v>0.63358980373596441</v>
      </c>
    </row>
    <row r="4992" spans="1:4" x14ac:dyDescent="0.2">
      <c r="A4992" s="10" t="s">
        <v>4991</v>
      </c>
      <c r="B4992" s="12">
        <v>13.53</v>
      </c>
      <c r="C4992" s="11">
        <v>0</v>
      </c>
      <c r="D4992" s="11">
        <v>1.4552765804560432</v>
      </c>
    </row>
    <row r="4993" spans="1:4" x14ac:dyDescent="0.2">
      <c r="A4993" s="10" t="s">
        <v>4992</v>
      </c>
      <c r="B4993" s="12">
        <v>12.78</v>
      </c>
      <c r="C4993" s="11">
        <v>0</v>
      </c>
      <c r="D4993" s="11">
        <v>2.1977646317091266</v>
      </c>
    </row>
    <row r="4994" spans="1:4" x14ac:dyDescent="0.2">
      <c r="A4994" s="10" t="s">
        <v>4993</v>
      </c>
      <c r="B4994" s="12">
        <v>14.69</v>
      </c>
      <c r="C4994" s="11">
        <v>0</v>
      </c>
      <c r="D4994" s="11">
        <v>0.30689506118460774</v>
      </c>
    </row>
    <row r="4995" spans="1:4" x14ac:dyDescent="0.2">
      <c r="A4995" s="10" t="s">
        <v>4994</v>
      </c>
      <c r="B4995" s="12">
        <v>12.14</v>
      </c>
      <c r="C4995" s="11">
        <v>0</v>
      </c>
      <c r="D4995" s="11">
        <v>2.8313544354450908</v>
      </c>
    </row>
    <row r="4996" spans="1:4" x14ac:dyDescent="0.2">
      <c r="A4996" s="10" t="s">
        <v>4995</v>
      </c>
      <c r="B4996" s="12">
        <v>14.04</v>
      </c>
      <c r="C4996" s="11">
        <v>0</v>
      </c>
      <c r="D4996" s="11">
        <v>0.9503847056039465</v>
      </c>
    </row>
    <row r="4997" spans="1:4" x14ac:dyDescent="0.2">
      <c r="A4997" s="10" t="s">
        <v>4996</v>
      </c>
      <c r="B4997" s="12">
        <v>14.21</v>
      </c>
      <c r="C4997" s="11">
        <v>0</v>
      </c>
      <c r="D4997" s="11">
        <v>0.7820874139865811</v>
      </c>
    </row>
    <row r="4998" spans="1:4" x14ac:dyDescent="0.2">
      <c r="A4998" s="10" t="s">
        <v>4997</v>
      </c>
      <c r="B4998" s="12">
        <v>14.02</v>
      </c>
      <c r="C4998" s="11">
        <v>0</v>
      </c>
      <c r="D4998" s="11">
        <v>0.97018438697069542</v>
      </c>
    </row>
    <row r="4999" spans="1:4" x14ac:dyDescent="0.2">
      <c r="A4999" s="10" t="s">
        <v>4998</v>
      </c>
      <c r="B4999" s="12">
        <v>14.36</v>
      </c>
      <c r="C4999" s="11">
        <v>0</v>
      </c>
      <c r="D4999" s="11">
        <v>0.63358980373596441</v>
      </c>
    </row>
    <row r="5000" spans="1:4" x14ac:dyDescent="0.2">
      <c r="A5000" s="10" t="s">
        <v>4999</v>
      </c>
      <c r="B5000" s="12">
        <v>13.06</v>
      </c>
      <c r="C5000" s="11">
        <v>0</v>
      </c>
      <c r="D5000" s="11">
        <v>1.9205690925746419</v>
      </c>
    </row>
    <row r="5001" spans="1:4" x14ac:dyDescent="0.2">
      <c r="A5001" s="10" t="s">
        <v>5000</v>
      </c>
      <c r="B5001" s="12">
        <v>12.82</v>
      </c>
      <c r="C5001" s="11">
        <v>0</v>
      </c>
      <c r="D5001" s="11">
        <v>2.1581652689756288</v>
      </c>
    </row>
    <row r="5002" spans="1:4" x14ac:dyDescent="0.2">
      <c r="A5002" s="10" t="s">
        <v>5001</v>
      </c>
      <c r="B5002" s="12">
        <v>13.74</v>
      </c>
      <c r="C5002" s="11">
        <v>0</v>
      </c>
      <c r="D5002" s="11">
        <v>1.2473799261051799</v>
      </c>
    </row>
    <row r="5003" spans="1:4" x14ac:dyDescent="0.2">
      <c r="A5003" s="10" t="s">
        <v>5002</v>
      </c>
      <c r="B5003" s="12">
        <v>14.57</v>
      </c>
      <c r="C5003" s="11">
        <v>0</v>
      </c>
      <c r="D5003" s="11">
        <v>0.42569314938510106</v>
      </c>
    </row>
    <row r="5004" spans="1:4" x14ac:dyDescent="0.2">
      <c r="A5004" s="10" t="s">
        <v>5003</v>
      </c>
      <c r="B5004" s="12">
        <v>13.19</v>
      </c>
      <c r="C5004" s="11">
        <v>0</v>
      </c>
      <c r="D5004" s="11">
        <v>1.7918711636907743</v>
      </c>
    </row>
    <row r="5005" spans="1:4" x14ac:dyDescent="0.2">
      <c r="A5005" s="10" t="s">
        <v>5004</v>
      </c>
      <c r="B5005" s="12">
        <v>13.56</v>
      </c>
      <c r="C5005" s="11">
        <v>0</v>
      </c>
      <c r="D5005" s="11">
        <v>1.4255770584059198</v>
      </c>
    </row>
    <row r="5006" spans="1:4" x14ac:dyDescent="0.2">
      <c r="A5006" s="10" t="s">
        <v>5005</v>
      </c>
      <c r="B5006" s="12">
        <v>15.07</v>
      </c>
      <c r="C5006" s="11">
        <v>6.9298884783621117E-2</v>
      </c>
      <c r="D5006" s="11">
        <v>0</v>
      </c>
    </row>
    <row r="5007" spans="1:4" x14ac:dyDescent="0.2">
      <c r="A5007" s="10" t="s">
        <v>5006</v>
      </c>
      <c r="B5007" s="12">
        <v>15.06</v>
      </c>
      <c r="C5007" s="11">
        <v>5.9399044100246656E-2</v>
      </c>
      <c r="D5007" s="11">
        <v>0</v>
      </c>
    </row>
    <row r="5008" spans="1:4" x14ac:dyDescent="0.2">
      <c r="A5008" s="10" t="s">
        <v>5007</v>
      </c>
      <c r="B5008" s="12">
        <v>13.96</v>
      </c>
      <c r="C5008" s="11">
        <v>0</v>
      </c>
      <c r="D5008" s="11">
        <v>1.0295834310709422</v>
      </c>
    </row>
    <row r="5009" spans="1:4" x14ac:dyDescent="0.2">
      <c r="A5009" s="10" t="s">
        <v>5008</v>
      </c>
      <c r="B5009" s="12">
        <v>13.31</v>
      </c>
      <c r="C5009" s="11">
        <v>0</v>
      </c>
      <c r="D5009" s="11">
        <v>1.6730730754902809</v>
      </c>
    </row>
    <row r="5010" spans="1:4" x14ac:dyDescent="0.2">
      <c r="A5010" s="10" t="s">
        <v>5009</v>
      </c>
      <c r="B5010" s="12">
        <v>13.56</v>
      </c>
      <c r="C5010" s="11">
        <v>0</v>
      </c>
      <c r="D5010" s="11">
        <v>1.4255770584059198</v>
      </c>
    </row>
    <row r="5011" spans="1:4" x14ac:dyDescent="0.2">
      <c r="A5011" s="10" t="s">
        <v>5010</v>
      </c>
      <c r="B5011" s="12">
        <v>12.97</v>
      </c>
      <c r="C5011" s="11">
        <v>0</v>
      </c>
      <c r="D5011" s="11">
        <v>2.0096676587250117</v>
      </c>
    </row>
    <row r="5012" spans="1:4" x14ac:dyDescent="0.2">
      <c r="A5012" s="10" t="s">
        <v>5011</v>
      </c>
      <c r="B5012" s="12">
        <v>15.1</v>
      </c>
      <c r="C5012" s="11">
        <v>9.8998406833744446E-2</v>
      </c>
      <c r="D5012" s="11">
        <v>0</v>
      </c>
    </row>
    <row r="5013" spans="1:4" x14ac:dyDescent="0.2">
      <c r="A5013" s="10" t="s">
        <v>5012</v>
      </c>
      <c r="B5013" s="12">
        <v>14.49</v>
      </c>
      <c r="C5013" s="11">
        <v>0</v>
      </c>
      <c r="D5013" s="11">
        <v>0.50489187485209663</v>
      </c>
    </row>
    <row r="5014" spans="1:4" x14ac:dyDescent="0.2">
      <c r="A5014" s="10" t="s">
        <v>5013</v>
      </c>
      <c r="B5014" s="12">
        <v>11.24</v>
      </c>
      <c r="C5014" s="11">
        <v>0</v>
      </c>
      <c r="D5014" s="11">
        <v>3.7223400969487903</v>
      </c>
    </row>
    <row r="5015" spans="1:4" x14ac:dyDescent="0.2">
      <c r="A5015" s="10" t="s">
        <v>5014</v>
      </c>
      <c r="B5015" s="12">
        <v>14.09</v>
      </c>
      <c r="C5015" s="11">
        <v>0</v>
      </c>
      <c r="D5015" s="11">
        <v>0.90088550218707442</v>
      </c>
    </row>
    <row r="5016" spans="1:4" x14ac:dyDescent="0.2">
      <c r="A5016" s="10" t="s">
        <v>5015</v>
      </c>
      <c r="B5016" s="12">
        <v>13.17</v>
      </c>
      <c r="C5016" s="11">
        <v>0</v>
      </c>
      <c r="D5016" s="11">
        <v>1.8116708450575232</v>
      </c>
    </row>
    <row r="5017" spans="1:4" x14ac:dyDescent="0.2">
      <c r="B5017" s="16"/>
    </row>
    <row r="5018" spans="1:4" x14ac:dyDescent="0.2">
      <c r="B5018" s="16"/>
    </row>
    <row r="5019" spans="1:4" x14ac:dyDescent="0.2">
      <c r="B5019" s="16"/>
    </row>
    <row r="5020" spans="1:4" x14ac:dyDescent="0.2">
      <c r="B5020" s="16"/>
    </row>
    <row r="5021" spans="1:4" x14ac:dyDescent="0.2">
      <c r="B5021" s="16"/>
    </row>
    <row r="5022" spans="1:4" x14ac:dyDescent="0.2">
      <c r="B5022" s="16"/>
    </row>
    <row r="5023" spans="1:4" x14ac:dyDescent="0.2">
      <c r="B5023" s="16"/>
    </row>
    <row r="5024" spans="1:4" x14ac:dyDescent="0.2">
      <c r="B5024" s="16"/>
    </row>
    <row r="5025" spans="2:2" x14ac:dyDescent="0.2">
      <c r="B5025" s="16"/>
    </row>
    <row r="5026" spans="2:2" x14ac:dyDescent="0.2">
      <c r="B5026" s="16"/>
    </row>
    <row r="5027" spans="2:2" x14ac:dyDescent="0.2">
      <c r="B5027" s="16"/>
    </row>
    <row r="5028" spans="2:2" x14ac:dyDescent="0.2">
      <c r="B5028" s="16"/>
    </row>
    <row r="5029" spans="2:2" x14ac:dyDescent="0.2">
      <c r="B5029" s="16"/>
    </row>
    <row r="5030" spans="2:2" x14ac:dyDescent="0.2">
      <c r="B5030" s="16"/>
    </row>
    <row r="5031" spans="2:2" x14ac:dyDescent="0.2">
      <c r="B5031" s="16"/>
    </row>
    <row r="5032" spans="2:2" x14ac:dyDescent="0.2">
      <c r="B5032" s="16"/>
    </row>
    <row r="5033" spans="2:2" x14ac:dyDescent="0.2">
      <c r="B5033" s="16"/>
    </row>
    <row r="5034" spans="2:2" x14ac:dyDescent="0.2">
      <c r="B5034" s="16"/>
    </row>
    <row r="5035" spans="2:2" x14ac:dyDescent="0.2">
      <c r="B5035" s="16"/>
    </row>
    <row r="5036" spans="2:2" x14ac:dyDescent="0.2">
      <c r="B5036" s="16"/>
    </row>
    <row r="5037" spans="2:2" x14ac:dyDescent="0.2">
      <c r="B5037" s="16"/>
    </row>
    <row r="5038" spans="2:2" x14ac:dyDescent="0.2">
      <c r="B5038" s="16"/>
    </row>
    <row r="5039" spans="2:2" x14ac:dyDescent="0.2">
      <c r="B5039" s="16"/>
    </row>
    <row r="5040" spans="2:2" x14ac:dyDescent="0.2">
      <c r="B5040" s="16"/>
    </row>
    <row r="5041" spans="2:2" x14ac:dyDescent="0.2">
      <c r="B5041" s="16"/>
    </row>
    <row r="5042" spans="2:2" x14ac:dyDescent="0.2">
      <c r="B5042" s="16"/>
    </row>
    <row r="5043" spans="2:2" x14ac:dyDescent="0.2">
      <c r="B5043" s="16"/>
    </row>
    <row r="5044" spans="2:2" x14ac:dyDescent="0.2">
      <c r="B5044" s="16"/>
    </row>
    <row r="5045" spans="2:2" x14ac:dyDescent="0.2">
      <c r="B5045" s="16"/>
    </row>
    <row r="5046" spans="2:2" x14ac:dyDescent="0.2">
      <c r="B5046" s="16"/>
    </row>
    <row r="5047" spans="2:2" x14ac:dyDescent="0.2">
      <c r="B5047" s="16"/>
    </row>
    <row r="5048" spans="2:2" x14ac:dyDescent="0.2">
      <c r="B5048" s="16"/>
    </row>
    <row r="5049" spans="2:2" x14ac:dyDescent="0.2">
      <c r="B5049" s="16"/>
    </row>
    <row r="5050" spans="2:2" x14ac:dyDescent="0.2">
      <c r="B5050" s="16"/>
    </row>
    <row r="5051" spans="2:2" x14ac:dyDescent="0.2">
      <c r="B5051" s="16"/>
    </row>
    <row r="5052" spans="2:2" x14ac:dyDescent="0.2">
      <c r="B5052" s="16"/>
    </row>
    <row r="5053" spans="2:2" x14ac:dyDescent="0.2">
      <c r="B5053" s="16"/>
    </row>
    <row r="5054" spans="2:2" x14ac:dyDescent="0.2">
      <c r="B5054" s="16"/>
    </row>
    <row r="5055" spans="2:2" x14ac:dyDescent="0.2">
      <c r="B5055" s="16"/>
    </row>
    <row r="5056" spans="2:2" x14ac:dyDescent="0.2">
      <c r="B5056" s="16"/>
    </row>
    <row r="5057" spans="2:2" x14ac:dyDescent="0.2">
      <c r="B5057" s="16"/>
    </row>
    <row r="5058" spans="2:2" x14ac:dyDescent="0.2">
      <c r="B5058" s="16"/>
    </row>
    <row r="5059" spans="2:2" x14ac:dyDescent="0.2">
      <c r="B5059" s="16"/>
    </row>
    <row r="5060" spans="2:2" x14ac:dyDescent="0.2">
      <c r="B5060" s="16"/>
    </row>
    <row r="5061" spans="2:2" x14ac:dyDescent="0.2">
      <c r="B5061" s="16"/>
    </row>
    <row r="5062" spans="2:2" x14ac:dyDescent="0.2">
      <c r="B5062" s="16"/>
    </row>
    <row r="5063" spans="2:2" x14ac:dyDescent="0.2">
      <c r="B5063" s="16"/>
    </row>
    <row r="5064" spans="2:2" x14ac:dyDescent="0.2">
      <c r="B5064" s="16"/>
    </row>
    <row r="5065" spans="2:2" x14ac:dyDescent="0.2">
      <c r="B5065" s="16"/>
    </row>
    <row r="5066" spans="2:2" x14ac:dyDescent="0.2">
      <c r="B5066" s="16"/>
    </row>
    <row r="5067" spans="2:2" x14ac:dyDescent="0.2">
      <c r="B5067" s="16"/>
    </row>
    <row r="5068" spans="2:2" x14ac:dyDescent="0.2">
      <c r="B5068" s="16"/>
    </row>
    <row r="5069" spans="2:2" x14ac:dyDescent="0.2">
      <c r="B5069" s="16"/>
    </row>
    <row r="5070" spans="2:2" x14ac:dyDescent="0.2">
      <c r="B5070" s="16"/>
    </row>
    <row r="5071" spans="2:2" x14ac:dyDescent="0.2">
      <c r="B5071" s="16"/>
    </row>
    <row r="5072" spans="2:2" x14ac:dyDescent="0.2">
      <c r="B5072" s="16"/>
    </row>
    <row r="5073" spans="2:2" x14ac:dyDescent="0.2">
      <c r="B5073" s="16"/>
    </row>
    <row r="5074" spans="2:2" x14ac:dyDescent="0.2">
      <c r="B5074" s="16"/>
    </row>
    <row r="5075" spans="2:2" x14ac:dyDescent="0.2">
      <c r="B5075" s="16"/>
    </row>
    <row r="5076" spans="2:2" x14ac:dyDescent="0.2">
      <c r="B5076" s="16"/>
    </row>
    <row r="5077" spans="2:2" x14ac:dyDescent="0.2">
      <c r="B5077" s="16"/>
    </row>
    <row r="5078" spans="2:2" x14ac:dyDescent="0.2">
      <c r="B5078" s="16"/>
    </row>
    <row r="5079" spans="2:2" x14ac:dyDescent="0.2">
      <c r="B5079" s="16"/>
    </row>
    <row r="5080" spans="2:2" x14ac:dyDescent="0.2">
      <c r="B5080" s="16"/>
    </row>
    <row r="5081" spans="2:2" x14ac:dyDescent="0.2">
      <c r="B5081" s="16"/>
    </row>
    <row r="5082" spans="2:2" x14ac:dyDescent="0.2">
      <c r="B5082" s="16"/>
    </row>
    <row r="5083" spans="2:2" x14ac:dyDescent="0.2">
      <c r="B5083" s="16"/>
    </row>
    <row r="5084" spans="2:2" x14ac:dyDescent="0.2">
      <c r="B5084" s="16"/>
    </row>
    <row r="5085" spans="2:2" x14ac:dyDescent="0.2">
      <c r="B5085" s="16"/>
    </row>
    <row r="5086" spans="2:2" x14ac:dyDescent="0.2">
      <c r="B5086" s="16"/>
    </row>
    <row r="5087" spans="2:2" x14ac:dyDescent="0.2">
      <c r="B5087" s="16"/>
    </row>
    <row r="5088" spans="2:2" x14ac:dyDescent="0.2">
      <c r="B5088" s="16"/>
    </row>
    <row r="5089" spans="2:2" x14ac:dyDescent="0.2">
      <c r="B5089" s="16"/>
    </row>
    <row r="5090" spans="2:2" x14ac:dyDescent="0.2">
      <c r="B5090" s="16"/>
    </row>
    <row r="5091" spans="2:2" x14ac:dyDescent="0.2">
      <c r="B5091" s="16"/>
    </row>
    <row r="5092" spans="2:2" x14ac:dyDescent="0.2">
      <c r="B5092" s="16"/>
    </row>
    <row r="5093" spans="2:2" x14ac:dyDescent="0.2">
      <c r="B5093" s="16"/>
    </row>
    <row r="5094" spans="2:2" x14ac:dyDescent="0.2">
      <c r="B5094" s="16"/>
    </row>
    <row r="5095" spans="2:2" x14ac:dyDescent="0.2">
      <c r="B5095" s="16"/>
    </row>
    <row r="5096" spans="2:2" x14ac:dyDescent="0.2">
      <c r="B5096" s="16"/>
    </row>
    <row r="5097" spans="2:2" x14ac:dyDescent="0.2">
      <c r="B5097" s="16"/>
    </row>
    <row r="5098" spans="2:2" x14ac:dyDescent="0.2">
      <c r="B5098" s="16"/>
    </row>
    <row r="5099" spans="2:2" x14ac:dyDescent="0.2">
      <c r="B5099" s="16"/>
    </row>
    <row r="5100" spans="2:2" x14ac:dyDescent="0.2">
      <c r="B5100" s="16"/>
    </row>
    <row r="5101" spans="2:2" x14ac:dyDescent="0.2">
      <c r="B5101" s="16"/>
    </row>
    <row r="5102" spans="2:2" x14ac:dyDescent="0.2">
      <c r="B5102" s="16"/>
    </row>
    <row r="5103" spans="2:2" x14ac:dyDescent="0.2">
      <c r="B5103" s="16"/>
    </row>
    <row r="5104" spans="2:2" x14ac:dyDescent="0.2">
      <c r="B5104" s="16"/>
    </row>
    <row r="5105" spans="2:2" x14ac:dyDescent="0.2">
      <c r="B5105" s="16"/>
    </row>
    <row r="5106" spans="2:2" x14ac:dyDescent="0.2">
      <c r="B5106" s="16"/>
    </row>
    <row r="5107" spans="2:2" x14ac:dyDescent="0.2">
      <c r="B5107" s="16"/>
    </row>
    <row r="5108" spans="2:2" x14ac:dyDescent="0.2">
      <c r="B5108" s="16"/>
    </row>
    <row r="5109" spans="2:2" x14ac:dyDescent="0.2">
      <c r="B5109" s="16"/>
    </row>
    <row r="5110" spans="2:2" x14ac:dyDescent="0.2">
      <c r="B5110" s="16"/>
    </row>
    <row r="5111" spans="2:2" x14ac:dyDescent="0.2">
      <c r="B5111" s="16"/>
    </row>
    <row r="5112" spans="2:2" x14ac:dyDescent="0.2">
      <c r="B5112" s="16"/>
    </row>
    <row r="5113" spans="2:2" x14ac:dyDescent="0.2">
      <c r="B5113" s="16"/>
    </row>
    <row r="5114" spans="2:2" x14ac:dyDescent="0.2">
      <c r="B5114" s="16"/>
    </row>
    <row r="5115" spans="2:2" x14ac:dyDescent="0.2">
      <c r="B5115" s="16"/>
    </row>
    <row r="5116" spans="2:2" x14ac:dyDescent="0.2">
      <c r="B5116" s="16"/>
    </row>
    <row r="5117" spans="2:2" x14ac:dyDescent="0.2">
      <c r="B5117" s="16"/>
    </row>
    <row r="5118" spans="2:2" x14ac:dyDescent="0.2">
      <c r="B5118" s="16"/>
    </row>
    <row r="5119" spans="2:2" x14ac:dyDescent="0.2">
      <c r="B5119" s="16"/>
    </row>
    <row r="5120" spans="2:2" x14ac:dyDescent="0.2">
      <c r="B5120" s="16"/>
    </row>
    <row r="5121" spans="2:2" x14ac:dyDescent="0.2">
      <c r="B5121" s="16"/>
    </row>
    <row r="5122" spans="2:2" x14ac:dyDescent="0.2">
      <c r="B5122" s="16"/>
    </row>
    <row r="5123" spans="2:2" x14ac:dyDescent="0.2">
      <c r="B5123" s="16"/>
    </row>
    <row r="5124" spans="2:2" x14ac:dyDescent="0.2">
      <c r="B5124" s="16"/>
    </row>
    <row r="5125" spans="2:2" x14ac:dyDescent="0.2">
      <c r="B5125" s="16"/>
    </row>
    <row r="5126" spans="2:2" x14ac:dyDescent="0.2">
      <c r="B5126" s="16"/>
    </row>
    <row r="5127" spans="2:2" x14ac:dyDescent="0.2">
      <c r="B5127" s="16"/>
    </row>
    <row r="5128" spans="2:2" x14ac:dyDescent="0.2">
      <c r="B5128" s="16"/>
    </row>
    <row r="5129" spans="2:2" x14ac:dyDescent="0.2">
      <c r="B5129" s="16"/>
    </row>
    <row r="5130" spans="2:2" x14ac:dyDescent="0.2">
      <c r="B5130" s="16"/>
    </row>
    <row r="5131" spans="2:2" x14ac:dyDescent="0.2">
      <c r="B5131" s="16"/>
    </row>
    <row r="5132" spans="2:2" x14ac:dyDescent="0.2">
      <c r="B5132" s="16"/>
    </row>
    <row r="5133" spans="2:2" x14ac:dyDescent="0.2">
      <c r="B5133" s="16"/>
    </row>
    <row r="5134" spans="2:2" x14ac:dyDescent="0.2">
      <c r="B5134" s="16"/>
    </row>
    <row r="5135" spans="2:2" x14ac:dyDescent="0.2">
      <c r="B5135" s="16"/>
    </row>
    <row r="5136" spans="2:2" x14ac:dyDescent="0.2">
      <c r="B5136" s="16"/>
    </row>
    <row r="5137" spans="2:2" x14ac:dyDescent="0.2">
      <c r="B5137" s="16"/>
    </row>
    <row r="5138" spans="2:2" x14ac:dyDescent="0.2">
      <c r="B5138" s="16"/>
    </row>
    <row r="5139" spans="2:2" x14ac:dyDescent="0.2">
      <c r="B5139" s="16"/>
    </row>
    <row r="5140" spans="2:2" x14ac:dyDescent="0.2">
      <c r="B5140" s="16"/>
    </row>
    <row r="5141" spans="2:2" x14ac:dyDescent="0.2">
      <c r="B5141" s="16"/>
    </row>
    <row r="5142" spans="2:2" x14ac:dyDescent="0.2">
      <c r="B5142" s="16"/>
    </row>
    <row r="5143" spans="2:2" x14ac:dyDescent="0.2">
      <c r="B5143" s="16"/>
    </row>
    <row r="5144" spans="2:2" x14ac:dyDescent="0.2">
      <c r="B5144" s="16"/>
    </row>
    <row r="5145" spans="2:2" x14ac:dyDescent="0.2">
      <c r="B5145" s="16"/>
    </row>
    <row r="5146" spans="2:2" x14ac:dyDescent="0.2">
      <c r="B5146" s="16"/>
    </row>
    <row r="5147" spans="2:2" x14ac:dyDescent="0.2">
      <c r="B5147" s="16"/>
    </row>
    <row r="5148" spans="2:2" x14ac:dyDescent="0.2">
      <c r="B5148" s="16"/>
    </row>
    <row r="5149" spans="2:2" x14ac:dyDescent="0.2">
      <c r="B5149" s="16"/>
    </row>
    <row r="5150" spans="2:2" x14ac:dyDescent="0.2">
      <c r="B5150" s="16"/>
    </row>
    <row r="5151" spans="2:2" x14ac:dyDescent="0.2">
      <c r="B5151" s="16"/>
    </row>
    <row r="5152" spans="2:2" x14ac:dyDescent="0.2">
      <c r="B5152" s="16"/>
    </row>
    <row r="5153" spans="2:2" x14ac:dyDescent="0.2">
      <c r="B5153" s="16"/>
    </row>
    <row r="5154" spans="2:2" x14ac:dyDescent="0.2">
      <c r="B5154" s="16"/>
    </row>
    <row r="5155" spans="2:2" x14ac:dyDescent="0.2">
      <c r="B5155" s="16"/>
    </row>
    <row r="5156" spans="2:2" x14ac:dyDescent="0.2">
      <c r="B5156" s="16"/>
    </row>
    <row r="5157" spans="2:2" x14ac:dyDescent="0.2">
      <c r="B5157" s="16"/>
    </row>
    <row r="5158" spans="2:2" x14ac:dyDescent="0.2">
      <c r="B5158" s="16"/>
    </row>
    <row r="5159" spans="2:2" x14ac:dyDescent="0.2">
      <c r="B5159" s="16"/>
    </row>
    <row r="5160" spans="2:2" x14ac:dyDescent="0.2">
      <c r="B5160" s="16"/>
    </row>
    <row r="5161" spans="2:2" x14ac:dyDescent="0.2">
      <c r="B5161" s="16"/>
    </row>
    <row r="5162" spans="2:2" x14ac:dyDescent="0.2">
      <c r="B5162" s="16"/>
    </row>
    <row r="5163" spans="2:2" x14ac:dyDescent="0.2">
      <c r="B5163" s="16"/>
    </row>
    <row r="5164" spans="2:2" x14ac:dyDescent="0.2">
      <c r="B5164" s="16"/>
    </row>
    <row r="5165" spans="2:2" x14ac:dyDescent="0.2">
      <c r="B5165" s="16"/>
    </row>
    <row r="5166" spans="2:2" x14ac:dyDescent="0.2">
      <c r="B5166" s="16"/>
    </row>
    <row r="5167" spans="2:2" x14ac:dyDescent="0.2">
      <c r="B5167" s="16"/>
    </row>
    <row r="5168" spans="2:2" x14ac:dyDescent="0.2">
      <c r="B5168" s="16"/>
    </row>
    <row r="5169" spans="2:2" x14ac:dyDescent="0.2">
      <c r="B5169" s="16"/>
    </row>
    <row r="5170" spans="2:2" x14ac:dyDescent="0.2">
      <c r="B5170" s="16"/>
    </row>
    <row r="5171" spans="2:2" x14ac:dyDescent="0.2">
      <c r="B5171" s="16"/>
    </row>
    <row r="5172" spans="2:2" x14ac:dyDescent="0.2">
      <c r="B5172" s="16"/>
    </row>
    <row r="5173" spans="2:2" x14ac:dyDescent="0.2">
      <c r="B5173" s="16"/>
    </row>
    <row r="5174" spans="2:2" x14ac:dyDescent="0.2">
      <c r="B5174" s="16"/>
    </row>
    <row r="5175" spans="2:2" x14ac:dyDescent="0.2">
      <c r="B5175" s="16"/>
    </row>
    <row r="5176" spans="2:2" x14ac:dyDescent="0.2">
      <c r="B5176" s="16"/>
    </row>
    <row r="5177" spans="2:2" x14ac:dyDescent="0.2">
      <c r="B5177" s="16"/>
    </row>
    <row r="5178" spans="2:2" x14ac:dyDescent="0.2">
      <c r="B5178" s="16"/>
    </row>
    <row r="5179" spans="2:2" x14ac:dyDescent="0.2">
      <c r="B5179" s="16"/>
    </row>
    <row r="5180" spans="2:2" x14ac:dyDescent="0.2">
      <c r="B5180" s="16"/>
    </row>
    <row r="5181" spans="2:2" x14ac:dyDescent="0.2">
      <c r="B5181" s="16"/>
    </row>
    <row r="5182" spans="2:2" x14ac:dyDescent="0.2">
      <c r="B5182" s="16"/>
    </row>
    <row r="5183" spans="2:2" x14ac:dyDescent="0.2">
      <c r="B5183" s="16"/>
    </row>
    <row r="5184" spans="2:2" x14ac:dyDescent="0.2">
      <c r="B5184" s="16"/>
    </row>
    <row r="5185" spans="2:2" x14ac:dyDescent="0.2">
      <c r="B5185" s="16"/>
    </row>
    <row r="5186" spans="2:2" x14ac:dyDescent="0.2">
      <c r="B5186" s="16"/>
    </row>
    <row r="5187" spans="2:2" x14ac:dyDescent="0.2">
      <c r="B5187" s="16"/>
    </row>
    <row r="5188" spans="2:2" x14ac:dyDescent="0.2">
      <c r="B5188" s="16"/>
    </row>
    <row r="5189" spans="2:2" x14ac:dyDescent="0.2">
      <c r="B5189" s="16"/>
    </row>
    <row r="5190" spans="2:2" x14ac:dyDescent="0.2">
      <c r="B5190" s="16"/>
    </row>
    <row r="5191" spans="2:2" x14ac:dyDescent="0.2">
      <c r="B5191" s="16"/>
    </row>
    <row r="5192" spans="2:2" x14ac:dyDescent="0.2">
      <c r="B5192" s="16"/>
    </row>
    <row r="5193" spans="2:2" x14ac:dyDescent="0.2">
      <c r="B5193" s="16"/>
    </row>
    <row r="5194" spans="2:2" x14ac:dyDescent="0.2">
      <c r="B5194" s="16"/>
    </row>
    <row r="5195" spans="2:2" x14ac:dyDescent="0.2">
      <c r="B5195" s="16"/>
    </row>
    <row r="5196" spans="2:2" x14ac:dyDescent="0.2">
      <c r="B5196" s="16"/>
    </row>
    <row r="5197" spans="2:2" x14ac:dyDescent="0.2">
      <c r="B5197" s="16"/>
    </row>
    <row r="5198" spans="2:2" x14ac:dyDescent="0.2">
      <c r="B5198" s="16"/>
    </row>
    <row r="5199" spans="2:2" x14ac:dyDescent="0.2">
      <c r="B5199" s="16"/>
    </row>
    <row r="5200" spans="2:2" x14ac:dyDescent="0.2">
      <c r="B5200" s="16"/>
    </row>
    <row r="5201" spans="2:2" x14ac:dyDescent="0.2">
      <c r="B5201" s="16"/>
    </row>
    <row r="5202" spans="2:2" x14ac:dyDescent="0.2">
      <c r="B5202" s="16"/>
    </row>
    <row r="5203" spans="2:2" x14ac:dyDescent="0.2">
      <c r="B5203" s="16"/>
    </row>
    <row r="5204" spans="2:2" x14ac:dyDescent="0.2">
      <c r="B5204" s="16"/>
    </row>
    <row r="5205" spans="2:2" x14ac:dyDescent="0.2">
      <c r="B5205" s="16"/>
    </row>
    <row r="5206" spans="2:2" x14ac:dyDescent="0.2">
      <c r="B5206" s="16"/>
    </row>
    <row r="5207" spans="2:2" x14ac:dyDescent="0.2">
      <c r="B5207" s="16"/>
    </row>
    <row r="5208" spans="2:2" x14ac:dyDescent="0.2">
      <c r="B5208" s="16"/>
    </row>
    <row r="5209" spans="2:2" x14ac:dyDescent="0.2">
      <c r="B5209" s="16"/>
    </row>
    <row r="5210" spans="2:2" x14ac:dyDescent="0.2">
      <c r="B5210" s="16"/>
    </row>
    <row r="5211" spans="2:2" x14ac:dyDescent="0.2">
      <c r="B5211" s="16"/>
    </row>
    <row r="5212" spans="2:2" x14ac:dyDescent="0.2">
      <c r="B5212" s="16"/>
    </row>
    <row r="5213" spans="2:2" x14ac:dyDescent="0.2">
      <c r="B5213" s="16"/>
    </row>
    <row r="5214" spans="2:2" x14ac:dyDescent="0.2">
      <c r="B5214" s="16"/>
    </row>
    <row r="5215" spans="2:2" x14ac:dyDescent="0.2">
      <c r="B5215" s="16"/>
    </row>
    <row r="5216" spans="2:2" x14ac:dyDescent="0.2">
      <c r="B5216" s="16"/>
    </row>
    <row r="5217" spans="2:2" x14ac:dyDescent="0.2">
      <c r="B5217" s="16"/>
    </row>
    <row r="5218" spans="2:2" x14ac:dyDescent="0.2">
      <c r="B5218" s="16"/>
    </row>
    <row r="5219" spans="2:2" x14ac:dyDescent="0.2">
      <c r="B5219" s="16"/>
    </row>
    <row r="5220" spans="2:2" x14ac:dyDescent="0.2">
      <c r="B5220" s="16"/>
    </row>
    <row r="5221" spans="2:2" x14ac:dyDescent="0.2">
      <c r="B5221" s="16"/>
    </row>
    <row r="5222" spans="2:2" x14ac:dyDescent="0.2">
      <c r="B5222" s="16"/>
    </row>
    <row r="5223" spans="2:2" x14ac:dyDescent="0.2">
      <c r="B5223" s="16"/>
    </row>
    <row r="5224" spans="2:2" x14ac:dyDescent="0.2">
      <c r="B5224" s="16"/>
    </row>
    <row r="5225" spans="2:2" x14ac:dyDescent="0.2">
      <c r="B5225" s="16"/>
    </row>
    <row r="5226" spans="2:2" x14ac:dyDescent="0.2">
      <c r="B5226" s="16"/>
    </row>
    <row r="5227" spans="2:2" x14ac:dyDescent="0.2">
      <c r="B5227" s="16"/>
    </row>
    <row r="5228" spans="2:2" x14ac:dyDescent="0.2">
      <c r="B5228" s="16"/>
    </row>
    <row r="5229" spans="2:2" x14ac:dyDescent="0.2">
      <c r="B5229" s="16"/>
    </row>
    <row r="5230" spans="2:2" x14ac:dyDescent="0.2">
      <c r="B5230" s="16"/>
    </row>
    <row r="5231" spans="2:2" x14ac:dyDescent="0.2">
      <c r="B5231" s="16"/>
    </row>
    <row r="5232" spans="2:2" x14ac:dyDescent="0.2">
      <c r="B5232" s="16"/>
    </row>
    <row r="5233" spans="2:2" x14ac:dyDescent="0.2">
      <c r="B5233" s="16"/>
    </row>
    <row r="5234" spans="2:2" x14ac:dyDescent="0.2">
      <c r="B5234" s="16"/>
    </row>
    <row r="5235" spans="2:2" x14ac:dyDescent="0.2">
      <c r="B5235" s="16"/>
    </row>
    <row r="5236" spans="2:2" x14ac:dyDescent="0.2">
      <c r="B5236" s="16"/>
    </row>
    <row r="5237" spans="2:2" x14ac:dyDescent="0.2">
      <c r="B5237" s="16"/>
    </row>
    <row r="5238" spans="2:2" x14ac:dyDescent="0.2">
      <c r="B5238" s="16"/>
    </row>
    <row r="5239" spans="2:2" x14ac:dyDescent="0.2">
      <c r="B5239" s="16"/>
    </row>
    <row r="5240" spans="2:2" x14ac:dyDescent="0.2">
      <c r="B5240" s="16"/>
    </row>
    <row r="5241" spans="2:2" x14ac:dyDescent="0.2">
      <c r="B5241" s="16"/>
    </row>
    <row r="5242" spans="2:2" x14ac:dyDescent="0.2">
      <c r="B5242" s="16"/>
    </row>
    <row r="5243" spans="2:2" x14ac:dyDescent="0.2">
      <c r="B5243" s="16"/>
    </row>
    <row r="5244" spans="2:2" x14ac:dyDescent="0.2">
      <c r="B5244" s="16"/>
    </row>
    <row r="5245" spans="2:2" x14ac:dyDescent="0.2">
      <c r="B5245" s="16"/>
    </row>
    <row r="5246" spans="2:2" x14ac:dyDescent="0.2">
      <c r="B5246" s="16"/>
    </row>
    <row r="5247" spans="2:2" x14ac:dyDescent="0.2">
      <c r="B5247" s="16"/>
    </row>
    <row r="5248" spans="2:2" x14ac:dyDescent="0.2">
      <c r="B5248" s="16"/>
    </row>
    <row r="5249" spans="2:2" x14ac:dyDescent="0.2">
      <c r="B5249" s="16"/>
    </row>
    <row r="5250" spans="2:2" x14ac:dyDescent="0.2">
      <c r="B5250" s="16"/>
    </row>
    <row r="5251" spans="2:2" x14ac:dyDescent="0.2">
      <c r="B5251" s="16"/>
    </row>
    <row r="5252" spans="2:2" x14ac:dyDescent="0.2">
      <c r="B5252" s="16"/>
    </row>
    <row r="5253" spans="2:2" x14ac:dyDescent="0.2">
      <c r="B5253" s="16"/>
    </row>
    <row r="5254" spans="2:2" x14ac:dyDescent="0.2">
      <c r="B5254" s="16"/>
    </row>
    <row r="5255" spans="2:2" x14ac:dyDescent="0.2">
      <c r="B5255" s="16"/>
    </row>
    <row r="5256" spans="2:2" x14ac:dyDescent="0.2">
      <c r="B5256" s="16"/>
    </row>
    <row r="5257" spans="2:2" x14ac:dyDescent="0.2">
      <c r="B5257" s="16"/>
    </row>
    <row r="5258" spans="2:2" x14ac:dyDescent="0.2">
      <c r="B5258" s="16"/>
    </row>
    <row r="5259" spans="2:2" x14ac:dyDescent="0.2">
      <c r="B5259" s="16"/>
    </row>
    <row r="5260" spans="2:2" x14ac:dyDescent="0.2">
      <c r="B5260" s="16"/>
    </row>
    <row r="5261" spans="2:2" x14ac:dyDescent="0.2">
      <c r="B5261" s="16"/>
    </row>
    <row r="5262" spans="2:2" x14ac:dyDescent="0.2">
      <c r="B5262" s="16"/>
    </row>
    <row r="5263" spans="2:2" x14ac:dyDescent="0.2">
      <c r="B5263" s="16"/>
    </row>
    <row r="5264" spans="2:2" x14ac:dyDescent="0.2">
      <c r="B5264" s="16"/>
    </row>
    <row r="5265" spans="2:2" x14ac:dyDescent="0.2">
      <c r="B5265" s="16"/>
    </row>
    <row r="5266" spans="2:2" x14ac:dyDescent="0.2">
      <c r="B5266" s="16"/>
    </row>
    <row r="5267" spans="2:2" x14ac:dyDescent="0.2">
      <c r="B5267" s="16"/>
    </row>
    <row r="5268" spans="2:2" x14ac:dyDescent="0.2">
      <c r="B5268" s="16"/>
    </row>
    <row r="5269" spans="2:2" x14ac:dyDescent="0.2">
      <c r="B5269" s="16"/>
    </row>
    <row r="5270" spans="2:2" x14ac:dyDescent="0.2">
      <c r="B5270" s="16"/>
    </row>
    <row r="5271" spans="2:2" x14ac:dyDescent="0.2">
      <c r="B5271" s="16"/>
    </row>
    <row r="5272" spans="2:2" x14ac:dyDescent="0.2">
      <c r="B5272" s="16"/>
    </row>
    <row r="5273" spans="2:2" x14ac:dyDescent="0.2">
      <c r="B5273" s="16"/>
    </row>
    <row r="5274" spans="2:2" x14ac:dyDescent="0.2">
      <c r="B5274" s="16"/>
    </row>
    <row r="5275" spans="2:2" x14ac:dyDescent="0.2">
      <c r="B5275" s="16"/>
    </row>
    <row r="5276" spans="2:2" x14ac:dyDescent="0.2">
      <c r="B5276" s="16"/>
    </row>
    <row r="5277" spans="2:2" x14ac:dyDescent="0.2">
      <c r="B5277" s="16"/>
    </row>
    <row r="5278" spans="2:2" x14ac:dyDescent="0.2">
      <c r="B5278" s="16"/>
    </row>
    <row r="5279" spans="2:2" x14ac:dyDescent="0.2">
      <c r="B5279" s="16"/>
    </row>
    <row r="5280" spans="2:2" x14ac:dyDescent="0.2">
      <c r="B5280" s="16"/>
    </row>
    <row r="5281" spans="2:2" x14ac:dyDescent="0.2">
      <c r="B5281" s="16"/>
    </row>
    <row r="5282" spans="2:2" x14ac:dyDescent="0.2">
      <c r="B5282" s="16"/>
    </row>
    <row r="5283" spans="2:2" x14ac:dyDescent="0.2">
      <c r="B5283" s="16"/>
    </row>
    <row r="5284" spans="2:2" x14ac:dyDescent="0.2">
      <c r="B5284" s="16"/>
    </row>
    <row r="5285" spans="2:2" x14ac:dyDescent="0.2">
      <c r="B5285" s="16"/>
    </row>
    <row r="5286" spans="2:2" x14ac:dyDescent="0.2">
      <c r="B5286" s="16"/>
    </row>
    <row r="5287" spans="2:2" x14ac:dyDescent="0.2">
      <c r="B5287" s="16"/>
    </row>
    <row r="5288" spans="2:2" x14ac:dyDescent="0.2">
      <c r="B5288" s="16"/>
    </row>
    <row r="5289" spans="2:2" x14ac:dyDescent="0.2">
      <c r="B5289" s="16"/>
    </row>
    <row r="5290" spans="2:2" x14ac:dyDescent="0.2">
      <c r="B5290" s="16"/>
    </row>
    <row r="5291" spans="2:2" x14ac:dyDescent="0.2">
      <c r="B5291" s="16"/>
    </row>
    <row r="5292" spans="2:2" x14ac:dyDescent="0.2">
      <c r="B5292" s="16"/>
    </row>
    <row r="5293" spans="2:2" x14ac:dyDescent="0.2">
      <c r="B5293" s="16"/>
    </row>
    <row r="5294" spans="2:2" x14ac:dyDescent="0.2">
      <c r="B5294" s="16"/>
    </row>
    <row r="5295" spans="2:2" x14ac:dyDescent="0.2">
      <c r="B5295" s="16"/>
    </row>
    <row r="5296" spans="2:2" x14ac:dyDescent="0.2">
      <c r="B5296" s="16"/>
    </row>
    <row r="5297" spans="2:2" x14ac:dyDescent="0.2">
      <c r="B5297" s="16"/>
    </row>
    <row r="5298" spans="2:2" x14ac:dyDescent="0.2">
      <c r="B5298" s="16"/>
    </row>
    <row r="5299" spans="2:2" x14ac:dyDescent="0.2">
      <c r="B5299" s="16"/>
    </row>
    <row r="5300" spans="2:2" x14ac:dyDescent="0.2">
      <c r="B5300" s="16"/>
    </row>
    <row r="5301" spans="2:2" x14ac:dyDescent="0.2">
      <c r="B5301" s="16"/>
    </row>
    <row r="5302" spans="2:2" x14ac:dyDescent="0.2">
      <c r="B5302" s="16"/>
    </row>
    <row r="5303" spans="2:2" x14ac:dyDescent="0.2">
      <c r="B5303" s="16"/>
    </row>
    <row r="5304" spans="2:2" x14ac:dyDescent="0.2">
      <c r="B5304" s="16"/>
    </row>
    <row r="5305" spans="2:2" x14ac:dyDescent="0.2">
      <c r="B5305" s="16"/>
    </row>
    <row r="5306" spans="2:2" x14ac:dyDescent="0.2">
      <c r="B5306" s="16"/>
    </row>
    <row r="5307" spans="2:2" x14ac:dyDescent="0.2">
      <c r="B5307" s="16"/>
    </row>
    <row r="5308" spans="2:2" x14ac:dyDescent="0.2">
      <c r="B5308" s="16"/>
    </row>
    <row r="5309" spans="2:2" x14ac:dyDescent="0.2">
      <c r="B5309" s="16"/>
    </row>
    <row r="5310" spans="2:2" x14ac:dyDescent="0.2">
      <c r="B5310" s="16"/>
    </row>
    <row r="5311" spans="2:2" x14ac:dyDescent="0.2">
      <c r="B5311" s="16"/>
    </row>
    <row r="5312" spans="2:2" x14ac:dyDescent="0.2">
      <c r="B5312" s="16"/>
    </row>
    <row r="5313" spans="2:2" x14ac:dyDescent="0.2">
      <c r="B5313" s="16"/>
    </row>
    <row r="5314" spans="2:2" x14ac:dyDescent="0.2">
      <c r="B5314" s="16"/>
    </row>
    <row r="5315" spans="2:2" x14ac:dyDescent="0.2">
      <c r="B5315" s="16"/>
    </row>
    <row r="5316" spans="2:2" x14ac:dyDescent="0.2">
      <c r="B5316" s="16"/>
    </row>
    <row r="5317" spans="2:2" x14ac:dyDescent="0.2">
      <c r="B5317" s="16"/>
    </row>
    <row r="5318" spans="2:2" x14ac:dyDescent="0.2">
      <c r="B5318" s="16"/>
    </row>
    <row r="5319" spans="2:2" x14ac:dyDescent="0.2">
      <c r="B5319" s="16"/>
    </row>
    <row r="5320" spans="2:2" x14ac:dyDescent="0.2">
      <c r="B5320" s="16"/>
    </row>
    <row r="5321" spans="2:2" x14ac:dyDescent="0.2">
      <c r="B5321" s="16"/>
    </row>
    <row r="5322" spans="2:2" x14ac:dyDescent="0.2">
      <c r="B5322" s="16"/>
    </row>
    <row r="5323" spans="2:2" x14ac:dyDescent="0.2">
      <c r="B5323" s="16"/>
    </row>
    <row r="5324" spans="2:2" x14ac:dyDescent="0.2">
      <c r="B5324" s="16"/>
    </row>
    <row r="5325" spans="2:2" x14ac:dyDescent="0.2">
      <c r="B5325" s="16"/>
    </row>
    <row r="5326" spans="2:2" x14ac:dyDescent="0.2">
      <c r="B5326" s="16"/>
    </row>
    <row r="5327" spans="2:2" x14ac:dyDescent="0.2">
      <c r="B5327" s="16"/>
    </row>
    <row r="5328" spans="2:2" x14ac:dyDescent="0.2">
      <c r="B5328" s="16"/>
    </row>
    <row r="5329" spans="2:2" x14ac:dyDescent="0.2">
      <c r="B5329" s="16"/>
    </row>
    <row r="5330" spans="2:2" x14ac:dyDescent="0.2">
      <c r="B5330" s="16"/>
    </row>
    <row r="5331" spans="2:2" x14ac:dyDescent="0.2">
      <c r="B5331" s="16"/>
    </row>
    <row r="5332" spans="2:2" x14ac:dyDescent="0.2">
      <c r="B5332" s="16"/>
    </row>
    <row r="5333" spans="2:2" x14ac:dyDescent="0.2">
      <c r="B5333" s="16"/>
    </row>
    <row r="5334" spans="2:2" x14ac:dyDescent="0.2">
      <c r="B5334" s="16"/>
    </row>
    <row r="5335" spans="2:2" x14ac:dyDescent="0.2">
      <c r="B5335" s="16"/>
    </row>
    <row r="5336" spans="2:2" x14ac:dyDescent="0.2">
      <c r="B5336" s="16"/>
    </row>
    <row r="5337" spans="2:2" x14ac:dyDescent="0.2">
      <c r="B5337" s="16"/>
    </row>
    <row r="5338" spans="2:2" x14ac:dyDescent="0.2">
      <c r="B5338" s="16"/>
    </row>
    <row r="5339" spans="2:2" x14ac:dyDescent="0.2">
      <c r="B5339" s="16"/>
    </row>
    <row r="5340" spans="2:2" x14ac:dyDescent="0.2">
      <c r="B5340" s="16"/>
    </row>
    <row r="5341" spans="2:2" x14ac:dyDescent="0.2">
      <c r="B5341" s="16"/>
    </row>
    <row r="5342" spans="2:2" x14ac:dyDescent="0.2">
      <c r="B5342" s="16"/>
    </row>
    <row r="5343" spans="2:2" x14ac:dyDescent="0.2">
      <c r="B5343" s="16"/>
    </row>
    <row r="5344" spans="2:2" x14ac:dyDescent="0.2">
      <c r="B5344" s="16"/>
    </row>
    <row r="5345" spans="2:2" x14ac:dyDescent="0.2">
      <c r="B5345" s="16"/>
    </row>
    <row r="5346" spans="2:2" x14ac:dyDescent="0.2">
      <c r="B5346" s="16"/>
    </row>
    <row r="5347" spans="2:2" x14ac:dyDescent="0.2">
      <c r="B5347" s="16"/>
    </row>
    <row r="5348" spans="2:2" x14ac:dyDescent="0.2">
      <c r="B5348" s="16"/>
    </row>
    <row r="5349" spans="2:2" x14ac:dyDescent="0.2">
      <c r="B5349" s="16"/>
    </row>
    <row r="5350" spans="2:2" x14ac:dyDescent="0.2">
      <c r="B5350" s="16"/>
    </row>
    <row r="5351" spans="2:2" x14ac:dyDescent="0.2">
      <c r="B5351" s="16"/>
    </row>
    <row r="5352" spans="2:2" x14ac:dyDescent="0.2">
      <c r="B5352" s="16"/>
    </row>
    <row r="5353" spans="2:2" x14ac:dyDescent="0.2">
      <c r="B5353" s="16"/>
    </row>
    <row r="5354" spans="2:2" x14ac:dyDescent="0.2">
      <c r="B5354" s="16"/>
    </row>
    <row r="5355" spans="2:2" x14ac:dyDescent="0.2">
      <c r="B5355" s="16"/>
    </row>
    <row r="5356" spans="2:2" x14ac:dyDescent="0.2">
      <c r="B5356" s="16"/>
    </row>
    <row r="5357" spans="2:2" x14ac:dyDescent="0.2">
      <c r="B5357" s="16"/>
    </row>
    <row r="5358" spans="2:2" x14ac:dyDescent="0.2">
      <c r="B5358" s="16"/>
    </row>
    <row r="5359" spans="2:2" x14ac:dyDescent="0.2">
      <c r="B5359" s="16"/>
    </row>
    <row r="5360" spans="2:2" x14ac:dyDescent="0.2">
      <c r="B5360" s="16"/>
    </row>
    <row r="5361" spans="2:2" x14ac:dyDescent="0.2">
      <c r="B5361" s="16"/>
    </row>
    <row r="5362" spans="2:2" x14ac:dyDescent="0.2">
      <c r="B5362" s="16"/>
    </row>
    <row r="5363" spans="2:2" x14ac:dyDescent="0.2">
      <c r="B5363" s="16"/>
    </row>
    <row r="5364" spans="2:2" x14ac:dyDescent="0.2">
      <c r="B5364" s="16"/>
    </row>
    <row r="5365" spans="2:2" x14ac:dyDescent="0.2">
      <c r="B5365" s="16"/>
    </row>
    <row r="5366" spans="2:2" x14ac:dyDescent="0.2">
      <c r="B5366" s="16"/>
    </row>
    <row r="5367" spans="2:2" x14ac:dyDescent="0.2">
      <c r="B5367" s="16"/>
    </row>
    <row r="5368" spans="2:2" x14ac:dyDescent="0.2">
      <c r="B5368" s="16"/>
    </row>
    <row r="5369" spans="2:2" x14ac:dyDescent="0.2">
      <c r="B5369" s="16"/>
    </row>
    <row r="5370" spans="2:2" x14ac:dyDescent="0.2">
      <c r="B5370" s="16"/>
    </row>
    <row r="5371" spans="2:2" x14ac:dyDescent="0.2">
      <c r="B5371" s="16"/>
    </row>
    <row r="5372" spans="2:2" x14ac:dyDescent="0.2">
      <c r="B5372" s="16"/>
    </row>
    <row r="5373" spans="2:2" x14ac:dyDescent="0.2">
      <c r="B5373" s="16"/>
    </row>
    <row r="5374" spans="2:2" x14ac:dyDescent="0.2">
      <c r="B5374" s="16"/>
    </row>
    <row r="5375" spans="2:2" x14ac:dyDescent="0.2">
      <c r="B5375" s="16"/>
    </row>
    <row r="5376" spans="2:2" x14ac:dyDescent="0.2">
      <c r="B5376" s="16"/>
    </row>
    <row r="5377" spans="2:2" x14ac:dyDescent="0.2">
      <c r="B5377" s="16"/>
    </row>
    <row r="5378" spans="2:2" x14ac:dyDescent="0.2">
      <c r="B5378" s="16"/>
    </row>
    <row r="5379" spans="2:2" x14ac:dyDescent="0.2">
      <c r="B5379" s="16"/>
    </row>
    <row r="5380" spans="2:2" x14ac:dyDescent="0.2">
      <c r="B5380" s="16"/>
    </row>
    <row r="5381" spans="2:2" x14ac:dyDescent="0.2">
      <c r="B5381" s="16"/>
    </row>
    <row r="5382" spans="2:2" x14ac:dyDescent="0.2">
      <c r="B5382" s="16"/>
    </row>
    <row r="5383" spans="2:2" x14ac:dyDescent="0.2">
      <c r="B5383" s="16"/>
    </row>
    <row r="5384" spans="2:2" x14ac:dyDescent="0.2">
      <c r="B5384" s="16"/>
    </row>
    <row r="5385" spans="2:2" x14ac:dyDescent="0.2">
      <c r="B5385" s="16"/>
    </row>
    <row r="5386" spans="2:2" x14ac:dyDescent="0.2">
      <c r="B5386" s="16"/>
    </row>
    <row r="5387" spans="2:2" x14ac:dyDescent="0.2">
      <c r="B5387" s="16"/>
    </row>
    <row r="5388" spans="2:2" x14ac:dyDescent="0.2">
      <c r="B5388" s="16"/>
    </row>
    <row r="5389" spans="2:2" x14ac:dyDescent="0.2">
      <c r="B5389" s="16"/>
    </row>
    <row r="5390" spans="2:2" x14ac:dyDescent="0.2">
      <c r="B5390" s="16"/>
    </row>
    <row r="5391" spans="2:2" x14ac:dyDescent="0.2">
      <c r="B5391" s="16"/>
    </row>
    <row r="5392" spans="2:2" x14ac:dyDescent="0.2">
      <c r="B5392" s="16"/>
    </row>
    <row r="5393" spans="2:2" x14ac:dyDescent="0.2">
      <c r="B5393" s="16"/>
    </row>
    <row r="5394" spans="2:2" x14ac:dyDescent="0.2">
      <c r="B5394" s="16"/>
    </row>
    <row r="5395" spans="2:2" x14ac:dyDescent="0.2">
      <c r="B5395" s="16"/>
    </row>
    <row r="5396" spans="2:2" x14ac:dyDescent="0.2">
      <c r="B5396" s="16"/>
    </row>
    <row r="5397" spans="2:2" x14ac:dyDescent="0.2">
      <c r="B5397" s="16"/>
    </row>
    <row r="5398" spans="2:2" x14ac:dyDescent="0.2">
      <c r="B5398" s="16"/>
    </row>
    <row r="5399" spans="2:2" x14ac:dyDescent="0.2">
      <c r="B5399" s="16"/>
    </row>
    <row r="5400" spans="2:2" x14ac:dyDescent="0.2">
      <c r="B5400" s="16"/>
    </row>
    <row r="5401" spans="2:2" x14ac:dyDescent="0.2">
      <c r="B5401" s="16"/>
    </row>
    <row r="5402" spans="2:2" x14ac:dyDescent="0.2">
      <c r="B5402" s="16"/>
    </row>
    <row r="5403" spans="2:2" x14ac:dyDescent="0.2">
      <c r="B5403" s="16"/>
    </row>
    <row r="5404" spans="2:2" x14ac:dyDescent="0.2">
      <c r="B5404" s="16"/>
    </row>
    <row r="5405" spans="2:2" x14ac:dyDescent="0.2">
      <c r="B5405" s="16"/>
    </row>
    <row r="5406" spans="2:2" x14ac:dyDescent="0.2">
      <c r="B5406" s="16"/>
    </row>
    <row r="5407" spans="2:2" x14ac:dyDescent="0.2">
      <c r="B5407" s="16"/>
    </row>
    <row r="5408" spans="2:2" x14ac:dyDescent="0.2">
      <c r="B5408" s="16"/>
    </row>
    <row r="5409" spans="2:2" x14ac:dyDescent="0.2">
      <c r="B5409" s="16"/>
    </row>
    <row r="5410" spans="2:2" x14ac:dyDescent="0.2">
      <c r="B5410" s="16"/>
    </row>
    <row r="5411" spans="2:2" x14ac:dyDescent="0.2">
      <c r="B5411" s="16"/>
    </row>
    <row r="5412" spans="2:2" x14ac:dyDescent="0.2">
      <c r="B5412" s="16"/>
    </row>
    <row r="5413" spans="2:2" x14ac:dyDescent="0.2">
      <c r="B5413" s="16"/>
    </row>
    <row r="5414" spans="2:2" x14ac:dyDescent="0.2">
      <c r="B5414" s="16"/>
    </row>
    <row r="5415" spans="2:2" x14ac:dyDescent="0.2">
      <c r="B5415" s="16"/>
    </row>
    <row r="5416" spans="2:2" x14ac:dyDescent="0.2">
      <c r="B5416" s="16"/>
    </row>
    <row r="5417" spans="2:2" x14ac:dyDescent="0.2">
      <c r="B5417" s="16"/>
    </row>
    <row r="5418" spans="2:2" x14ac:dyDescent="0.2">
      <c r="B5418" s="16"/>
    </row>
    <row r="5419" spans="2:2" x14ac:dyDescent="0.2">
      <c r="B5419" s="16"/>
    </row>
    <row r="5420" spans="2:2" x14ac:dyDescent="0.2">
      <c r="B5420" s="16"/>
    </row>
    <row r="5421" spans="2:2" x14ac:dyDescent="0.2">
      <c r="B5421" s="16"/>
    </row>
    <row r="5422" spans="2:2" x14ac:dyDescent="0.2">
      <c r="B5422" s="16"/>
    </row>
    <row r="5423" spans="2:2" x14ac:dyDescent="0.2">
      <c r="B5423" s="16"/>
    </row>
    <row r="5424" spans="2:2" x14ac:dyDescent="0.2">
      <c r="B5424" s="16"/>
    </row>
    <row r="5425" spans="2:2" x14ac:dyDescent="0.2">
      <c r="B5425" s="16"/>
    </row>
    <row r="5426" spans="2:2" x14ac:dyDescent="0.2">
      <c r="B5426" s="16"/>
    </row>
    <row r="5427" spans="2:2" x14ac:dyDescent="0.2">
      <c r="B5427" s="16"/>
    </row>
    <row r="5428" spans="2:2" x14ac:dyDescent="0.2">
      <c r="B5428" s="16"/>
    </row>
    <row r="5429" spans="2:2" x14ac:dyDescent="0.2">
      <c r="B5429" s="16"/>
    </row>
    <row r="5430" spans="2:2" x14ac:dyDescent="0.2">
      <c r="B5430" s="16"/>
    </row>
    <row r="5431" spans="2:2" x14ac:dyDescent="0.2">
      <c r="B5431" s="16"/>
    </row>
    <row r="5432" spans="2:2" x14ac:dyDescent="0.2">
      <c r="B5432" s="16"/>
    </row>
    <row r="5433" spans="2:2" x14ac:dyDescent="0.2">
      <c r="B5433" s="16"/>
    </row>
    <row r="5434" spans="2:2" x14ac:dyDescent="0.2">
      <c r="B5434" s="16"/>
    </row>
    <row r="5435" spans="2:2" x14ac:dyDescent="0.2">
      <c r="B5435" s="16"/>
    </row>
    <row r="5436" spans="2:2" x14ac:dyDescent="0.2">
      <c r="B5436" s="16"/>
    </row>
    <row r="5437" spans="2:2" x14ac:dyDescent="0.2">
      <c r="B5437" s="16"/>
    </row>
    <row r="5438" spans="2:2" x14ac:dyDescent="0.2">
      <c r="B5438" s="16"/>
    </row>
    <row r="5439" spans="2:2" x14ac:dyDescent="0.2">
      <c r="B5439" s="16"/>
    </row>
    <row r="5440" spans="2:2" x14ac:dyDescent="0.2">
      <c r="B5440" s="16"/>
    </row>
    <row r="5441" spans="2:2" x14ac:dyDescent="0.2">
      <c r="B5441" s="16"/>
    </row>
    <row r="5442" spans="2:2" x14ac:dyDescent="0.2">
      <c r="B5442" s="16"/>
    </row>
    <row r="5443" spans="2:2" x14ac:dyDescent="0.2">
      <c r="B5443" s="16"/>
    </row>
    <row r="5444" spans="2:2" x14ac:dyDescent="0.2">
      <c r="B5444" s="16"/>
    </row>
    <row r="5445" spans="2:2" x14ac:dyDescent="0.2">
      <c r="B5445" s="16"/>
    </row>
    <row r="5446" spans="2:2" x14ac:dyDescent="0.2">
      <c r="B5446" s="16"/>
    </row>
    <row r="5447" spans="2:2" x14ac:dyDescent="0.2">
      <c r="B5447" s="16"/>
    </row>
    <row r="5448" spans="2:2" x14ac:dyDescent="0.2">
      <c r="B5448" s="16"/>
    </row>
    <row r="5449" spans="2:2" x14ac:dyDescent="0.2">
      <c r="B5449" s="16"/>
    </row>
    <row r="5450" spans="2:2" x14ac:dyDescent="0.2">
      <c r="B5450" s="16"/>
    </row>
    <row r="5451" spans="2:2" x14ac:dyDescent="0.2">
      <c r="B5451" s="16"/>
    </row>
    <row r="5452" spans="2:2" x14ac:dyDescent="0.2">
      <c r="B5452" s="16"/>
    </row>
    <row r="5453" spans="2:2" x14ac:dyDescent="0.2">
      <c r="B5453" s="16"/>
    </row>
    <row r="5454" spans="2:2" x14ac:dyDescent="0.2">
      <c r="B5454" s="16"/>
    </row>
    <row r="5455" spans="2:2" x14ac:dyDescent="0.2">
      <c r="B5455" s="16"/>
    </row>
    <row r="5456" spans="2:2" x14ac:dyDescent="0.2">
      <c r="B5456" s="16"/>
    </row>
    <row r="5457" spans="2:2" x14ac:dyDescent="0.2">
      <c r="B5457" s="16"/>
    </row>
    <row r="5458" spans="2:2" x14ac:dyDescent="0.2">
      <c r="B5458" s="16"/>
    </row>
    <row r="5459" spans="2:2" x14ac:dyDescent="0.2">
      <c r="B5459" s="16"/>
    </row>
    <row r="5460" spans="2:2" x14ac:dyDescent="0.2">
      <c r="B5460" s="16"/>
    </row>
    <row r="5461" spans="2:2" x14ac:dyDescent="0.2">
      <c r="B5461" s="16"/>
    </row>
    <row r="5462" spans="2:2" x14ac:dyDescent="0.2">
      <c r="B5462" s="16"/>
    </row>
    <row r="5463" spans="2:2" x14ac:dyDescent="0.2">
      <c r="B5463" s="16"/>
    </row>
    <row r="5464" spans="2:2" x14ac:dyDescent="0.2">
      <c r="B5464" s="16"/>
    </row>
    <row r="5465" spans="2:2" x14ac:dyDescent="0.2">
      <c r="B5465" s="16"/>
    </row>
    <row r="5466" spans="2:2" x14ac:dyDescent="0.2">
      <c r="B5466" s="16"/>
    </row>
    <row r="5467" spans="2:2" x14ac:dyDescent="0.2">
      <c r="B5467" s="16"/>
    </row>
    <row r="5468" spans="2:2" x14ac:dyDescent="0.2">
      <c r="B5468" s="16"/>
    </row>
    <row r="5469" spans="2:2" x14ac:dyDescent="0.2">
      <c r="B5469" s="16"/>
    </row>
    <row r="5470" spans="2:2" x14ac:dyDescent="0.2">
      <c r="B5470" s="16"/>
    </row>
    <row r="5471" spans="2:2" x14ac:dyDescent="0.2">
      <c r="B5471" s="16"/>
    </row>
    <row r="5472" spans="2:2" x14ac:dyDescent="0.2">
      <c r="B5472" s="16"/>
    </row>
    <row r="5473" spans="2:2" x14ac:dyDescent="0.2">
      <c r="B5473" s="16"/>
    </row>
    <row r="5474" spans="2:2" x14ac:dyDescent="0.2">
      <c r="B5474" s="16"/>
    </row>
    <row r="5475" spans="2:2" x14ac:dyDescent="0.2">
      <c r="B5475" s="16"/>
    </row>
    <row r="5476" spans="2:2" x14ac:dyDescent="0.2">
      <c r="B5476" s="16"/>
    </row>
    <row r="5477" spans="2:2" x14ac:dyDescent="0.2">
      <c r="B5477" s="16"/>
    </row>
    <row r="5478" spans="2:2" x14ac:dyDescent="0.2">
      <c r="B5478" s="16"/>
    </row>
    <row r="5479" spans="2:2" x14ac:dyDescent="0.2">
      <c r="B5479" s="16"/>
    </row>
    <row r="5480" spans="2:2" x14ac:dyDescent="0.2">
      <c r="B5480" s="16"/>
    </row>
    <row r="5481" spans="2:2" x14ac:dyDescent="0.2">
      <c r="B5481" s="16"/>
    </row>
    <row r="5482" spans="2:2" x14ac:dyDescent="0.2">
      <c r="B5482" s="16"/>
    </row>
    <row r="5483" spans="2:2" x14ac:dyDescent="0.2">
      <c r="B5483" s="16"/>
    </row>
    <row r="5484" spans="2:2" x14ac:dyDescent="0.2">
      <c r="B5484" s="16"/>
    </row>
    <row r="5485" spans="2:2" x14ac:dyDescent="0.2">
      <c r="B5485" s="16"/>
    </row>
    <row r="5486" spans="2:2" x14ac:dyDescent="0.2">
      <c r="B5486" s="16"/>
    </row>
    <row r="5487" spans="2:2" x14ac:dyDescent="0.2">
      <c r="B5487" s="16"/>
    </row>
    <row r="5488" spans="2:2" x14ac:dyDescent="0.2">
      <c r="B5488" s="16"/>
    </row>
    <row r="5489" spans="2:2" x14ac:dyDescent="0.2">
      <c r="B5489" s="16"/>
    </row>
    <row r="5490" spans="2:2" x14ac:dyDescent="0.2">
      <c r="B5490" s="16"/>
    </row>
    <row r="5491" spans="2:2" x14ac:dyDescent="0.2">
      <c r="B5491" s="16"/>
    </row>
    <row r="5492" spans="2:2" x14ac:dyDescent="0.2">
      <c r="B5492" s="16"/>
    </row>
    <row r="5493" spans="2:2" x14ac:dyDescent="0.2">
      <c r="B5493" s="16"/>
    </row>
    <row r="5494" spans="2:2" x14ac:dyDescent="0.2">
      <c r="B5494" s="16"/>
    </row>
    <row r="5495" spans="2:2" x14ac:dyDescent="0.2">
      <c r="B5495" s="16"/>
    </row>
    <row r="5496" spans="2:2" x14ac:dyDescent="0.2">
      <c r="B5496" s="16"/>
    </row>
    <row r="5497" spans="2:2" x14ac:dyDescent="0.2">
      <c r="B5497" s="16"/>
    </row>
    <row r="5498" spans="2:2" x14ac:dyDescent="0.2">
      <c r="B5498" s="16"/>
    </row>
    <row r="5499" spans="2:2" x14ac:dyDescent="0.2">
      <c r="B5499" s="16"/>
    </row>
    <row r="5500" spans="2:2" x14ac:dyDescent="0.2">
      <c r="B5500" s="16"/>
    </row>
    <row r="5501" spans="2:2" x14ac:dyDescent="0.2">
      <c r="B5501" s="16"/>
    </row>
    <row r="5502" spans="2:2" x14ac:dyDescent="0.2">
      <c r="B5502" s="16"/>
    </row>
    <row r="5503" spans="2:2" x14ac:dyDescent="0.2">
      <c r="B5503" s="16"/>
    </row>
    <row r="5504" spans="2:2" x14ac:dyDescent="0.2">
      <c r="B5504" s="16"/>
    </row>
    <row r="5505" spans="2:2" x14ac:dyDescent="0.2">
      <c r="B5505" s="16"/>
    </row>
    <row r="5506" spans="2:2" x14ac:dyDescent="0.2">
      <c r="B5506" s="16"/>
    </row>
    <row r="5507" spans="2:2" x14ac:dyDescent="0.2">
      <c r="B5507" s="16"/>
    </row>
    <row r="5508" spans="2:2" x14ac:dyDescent="0.2">
      <c r="B5508" s="16"/>
    </row>
    <row r="5509" spans="2:2" x14ac:dyDescent="0.2">
      <c r="B5509" s="16"/>
    </row>
    <row r="5510" spans="2:2" x14ac:dyDescent="0.2">
      <c r="B5510" s="16"/>
    </row>
    <row r="5511" spans="2:2" x14ac:dyDescent="0.2">
      <c r="B5511" s="16"/>
    </row>
    <row r="5512" spans="2:2" x14ac:dyDescent="0.2">
      <c r="B5512" s="16"/>
    </row>
    <row r="5513" spans="2:2" x14ac:dyDescent="0.2">
      <c r="B5513" s="16"/>
    </row>
    <row r="5514" spans="2:2" x14ac:dyDescent="0.2">
      <c r="B5514" s="16"/>
    </row>
    <row r="5515" spans="2:2" x14ac:dyDescent="0.2">
      <c r="B5515" s="16"/>
    </row>
    <row r="5516" spans="2:2" x14ac:dyDescent="0.2">
      <c r="B5516" s="16"/>
    </row>
    <row r="5517" spans="2:2" x14ac:dyDescent="0.2">
      <c r="B5517" s="16"/>
    </row>
    <row r="5518" spans="2:2" x14ac:dyDescent="0.2">
      <c r="B5518" s="16"/>
    </row>
    <row r="5519" spans="2:2" x14ac:dyDescent="0.2">
      <c r="B5519" s="16"/>
    </row>
    <row r="5520" spans="2:2" x14ac:dyDescent="0.2">
      <c r="B5520" s="16"/>
    </row>
    <row r="5521" spans="2:2" x14ac:dyDescent="0.2">
      <c r="B5521" s="16"/>
    </row>
    <row r="5522" spans="2:2" x14ac:dyDescent="0.2">
      <c r="B5522" s="16"/>
    </row>
    <row r="5523" spans="2:2" x14ac:dyDescent="0.2">
      <c r="B5523" s="16"/>
    </row>
    <row r="5524" spans="2:2" x14ac:dyDescent="0.2">
      <c r="B5524" s="16"/>
    </row>
    <row r="5525" spans="2:2" x14ac:dyDescent="0.2">
      <c r="B5525" s="16"/>
    </row>
    <row r="5526" spans="2:2" x14ac:dyDescent="0.2">
      <c r="B5526" s="16"/>
    </row>
    <row r="5527" spans="2:2" x14ac:dyDescent="0.2">
      <c r="B5527" s="16"/>
    </row>
    <row r="5528" spans="2:2" x14ac:dyDescent="0.2">
      <c r="B5528" s="16"/>
    </row>
    <row r="5529" spans="2:2" x14ac:dyDescent="0.2">
      <c r="B5529" s="16"/>
    </row>
    <row r="5530" spans="2:2" x14ac:dyDescent="0.2">
      <c r="B5530" s="16"/>
    </row>
    <row r="5531" spans="2:2" x14ac:dyDescent="0.2">
      <c r="B5531" s="16"/>
    </row>
    <row r="5532" spans="2:2" x14ac:dyDescent="0.2">
      <c r="B5532" s="16"/>
    </row>
    <row r="5533" spans="2:2" x14ac:dyDescent="0.2">
      <c r="B5533" s="16"/>
    </row>
    <row r="5534" spans="2:2" x14ac:dyDescent="0.2">
      <c r="B5534" s="16"/>
    </row>
    <row r="5535" spans="2:2" x14ac:dyDescent="0.2">
      <c r="B5535" s="16"/>
    </row>
    <row r="5536" spans="2:2" x14ac:dyDescent="0.2">
      <c r="B5536" s="16"/>
    </row>
    <row r="5537" spans="2:2" x14ac:dyDescent="0.2">
      <c r="B5537" s="16"/>
    </row>
    <row r="5538" spans="2:2" x14ac:dyDescent="0.2">
      <c r="B5538" s="16"/>
    </row>
    <row r="5539" spans="2:2" x14ac:dyDescent="0.2">
      <c r="B5539" s="16"/>
    </row>
    <row r="5540" spans="2:2" x14ac:dyDescent="0.2">
      <c r="B5540" s="16"/>
    </row>
    <row r="5541" spans="2:2" x14ac:dyDescent="0.2">
      <c r="B5541" s="16"/>
    </row>
    <row r="5542" spans="2:2" x14ac:dyDescent="0.2">
      <c r="B5542" s="16"/>
    </row>
    <row r="5543" spans="2:2" x14ac:dyDescent="0.2">
      <c r="B5543" s="16"/>
    </row>
    <row r="5544" spans="2:2" x14ac:dyDescent="0.2">
      <c r="B5544" s="16"/>
    </row>
    <row r="5545" spans="2:2" x14ac:dyDescent="0.2">
      <c r="B5545" s="16"/>
    </row>
    <row r="5546" spans="2:2" x14ac:dyDescent="0.2">
      <c r="B5546" s="16"/>
    </row>
    <row r="5547" spans="2:2" x14ac:dyDescent="0.2">
      <c r="B5547" s="16"/>
    </row>
    <row r="5548" spans="2:2" x14ac:dyDescent="0.2">
      <c r="B5548" s="16"/>
    </row>
    <row r="5549" spans="2:2" x14ac:dyDescent="0.2">
      <c r="B5549" s="16"/>
    </row>
    <row r="5550" spans="2:2" x14ac:dyDescent="0.2">
      <c r="B5550" s="16"/>
    </row>
    <row r="5551" spans="2:2" x14ac:dyDescent="0.2">
      <c r="B5551" s="16"/>
    </row>
    <row r="5552" spans="2:2" x14ac:dyDescent="0.2">
      <c r="B5552" s="16"/>
    </row>
    <row r="5553" spans="2:2" x14ac:dyDescent="0.2">
      <c r="B5553" s="16"/>
    </row>
    <row r="5554" spans="2:2" x14ac:dyDescent="0.2">
      <c r="B5554" s="16"/>
    </row>
    <row r="5555" spans="2:2" x14ac:dyDescent="0.2">
      <c r="B5555" s="16"/>
    </row>
    <row r="5556" spans="2:2" x14ac:dyDescent="0.2">
      <c r="B5556" s="16"/>
    </row>
    <row r="5557" spans="2:2" x14ac:dyDescent="0.2">
      <c r="B5557" s="16"/>
    </row>
    <row r="5558" spans="2:2" x14ac:dyDescent="0.2">
      <c r="B5558" s="16"/>
    </row>
    <row r="5559" spans="2:2" x14ac:dyDescent="0.2">
      <c r="B5559" s="16"/>
    </row>
    <row r="5560" spans="2:2" x14ac:dyDescent="0.2">
      <c r="B5560" s="16"/>
    </row>
    <row r="5561" spans="2:2" x14ac:dyDescent="0.2">
      <c r="B5561" s="16"/>
    </row>
    <row r="5562" spans="2:2" x14ac:dyDescent="0.2">
      <c r="B5562" s="16"/>
    </row>
    <row r="5563" spans="2:2" x14ac:dyDescent="0.2">
      <c r="B5563" s="16"/>
    </row>
    <row r="5564" spans="2:2" x14ac:dyDescent="0.2">
      <c r="B5564" s="16"/>
    </row>
    <row r="5565" spans="2:2" x14ac:dyDescent="0.2">
      <c r="B5565" s="16"/>
    </row>
    <row r="5566" spans="2:2" x14ac:dyDescent="0.2">
      <c r="B5566" s="16"/>
    </row>
    <row r="5567" spans="2:2" x14ac:dyDescent="0.2">
      <c r="B5567" s="16"/>
    </row>
    <row r="5568" spans="2:2" x14ac:dyDescent="0.2">
      <c r="B5568" s="16"/>
    </row>
    <row r="5569" spans="2:2" x14ac:dyDescent="0.2">
      <c r="B5569" s="16"/>
    </row>
    <row r="5570" spans="2:2" x14ac:dyDescent="0.2">
      <c r="B5570" s="16"/>
    </row>
    <row r="5571" spans="2:2" x14ac:dyDescent="0.2">
      <c r="B5571" s="16"/>
    </row>
    <row r="5572" spans="2:2" x14ac:dyDescent="0.2">
      <c r="B5572" s="16"/>
    </row>
    <row r="5573" spans="2:2" x14ac:dyDescent="0.2">
      <c r="B5573" s="16"/>
    </row>
    <row r="5574" spans="2:2" x14ac:dyDescent="0.2">
      <c r="B5574" s="16"/>
    </row>
    <row r="5575" spans="2:2" x14ac:dyDescent="0.2">
      <c r="B5575" s="16"/>
    </row>
    <row r="5576" spans="2:2" x14ac:dyDescent="0.2">
      <c r="B5576" s="16"/>
    </row>
    <row r="5577" spans="2:2" x14ac:dyDescent="0.2">
      <c r="B5577" s="16"/>
    </row>
    <row r="5578" spans="2:2" x14ac:dyDescent="0.2">
      <c r="B5578" s="16"/>
    </row>
    <row r="5579" spans="2:2" x14ac:dyDescent="0.2">
      <c r="B5579" s="16"/>
    </row>
    <row r="5580" spans="2:2" x14ac:dyDescent="0.2">
      <c r="B5580" s="16"/>
    </row>
    <row r="5581" spans="2:2" x14ac:dyDescent="0.2">
      <c r="B5581" s="16"/>
    </row>
    <row r="5582" spans="2:2" x14ac:dyDescent="0.2">
      <c r="B5582" s="16"/>
    </row>
    <row r="5583" spans="2:2" x14ac:dyDescent="0.2">
      <c r="B5583" s="16"/>
    </row>
    <row r="5584" spans="2:2" x14ac:dyDescent="0.2">
      <c r="B5584" s="16"/>
    </row>
    <row r="5585" spans="2:2" x14ac:dyDescent="0.2">
      <c r="B5585" s="16"/>
    </row>
    <row r="5586" spans="2:2" x14ac:dyDescent="0.2">
      <c r="B5586" s="16"/>
    </row>
    <row r="5587" spans="2:2" x14ac:dyDescent="0.2">
      <c r="B5587" s="16"/>
    </row>
    <row r="5588" spans="2:2" x14ac:dyDescent="0.2">
      <c r="B5588" s="16"/>
    </row>
    <row r="5589" spans="2:2" x14ac:dyDescent="0.2">
      <c r="B5589" s="16"/>
    </row>
    <row r="5590" spans="2:2" x14ac:dyDescent="0.2">
      <c r="B5590" s="16"/>
    </row>
    <row r="5591" spans="2:2" x14ac:dyDescent="0.2">
      <c r="B5591" s="16"/>
    </row>
    <row r="5592" spans="2:2" x14ac:dyDescent="0.2">
      <c r="B5592" s="16"/>
    </row>
    <row r="5593" spans="2:2" x14ac:dyDescent="0.2">
      <c r="B5593" s="16"/>
    </row>
    <row r="5594" spans="2:2" x14ac:dyDescent="0.2">
      <c r="B5594" s="16"/>
    </row>
    <row r="5595" spans="2:2" x14ac:dyDescent="0.2">
      <c r="B5595" s="16"/>
    </row>
    <row r="5596" spans="2:2" x14ac:dyDescent="0.2">
      <c r="B5596" s="16"/>
    </row>
    <row r="5597" spans="2:2" x14ac:dyDescent="0.2">
      <c r="B5597" s="16"/>
    </row>
    <row r="5598" spans="2:2" x14ac:dyDescent="0.2">
      <c r="B5598" s="16"/>
    </row>
    <row r="5599" spans="2:2" x14ac:dyDescent="0.2">
      <c r="B5599" s="16"/>
    </row>
    <row r="5600" spans="2:2" x14ac:dyDescent="0.2">
      <c r="B5600" s="16"/>
    </row>
    <row r="5601" spans="2:2" x14ac:dyDescent="0.2">
      <c r="B5601" s="16"/>
    </row>
    <row r="5602" spans="2:2" x14ac:dyDescent="0.2">
      <c r="B5602" s="16"/>
    </row>
    <row r="5603" spans="2:2" x14ac:dyDescent="0.2">
      <c r="B5603" s="16"/>
    </row>
    <row r="5604" spans="2:2" x14ac:dyDescent="0.2">
      <c r="B5604" s="16"/>
    </row>
    <row r="5605" spans="2:2" x14ac:dyDescent="0.2">
      <c r="B5605" s="16"/>
    </row>
    <row r="5606" spans="2:2" x14ac:dyDescent="0.2">
      <c r="B5606" s="16"/>
    </row>
    <row r="5607" spans="2:2" x14ac:dyDescent="0.2">
      <c r="B5607" s="16"/>
    </row>
    <row r="5608" spans="2:2" x14ac:dyDescent="0.2">
      <c r="B5608" s="16"/>
    </row>
    <row r="5609" spans="2:2" x14ac:dyDescent="0.2">
      <c r="B5609" s="16"/>
    </row>
    <row r="5610" spans="2:2" x14ac:dyDescent="0.2">
      <c r="B5610" s="16"/>
    </row>
    <row r="5611" spans="2:2" x14ac:dyDescent="0.2">
      <c r="B5611" s="16"/>
    </row>
    <row r="5612" spans="2:2" x14ac:dyDescent="0.2">
      <c r="B5612" s="16"/>
    </row>
    <row r="5613" spans="2:2" x14ac:dyDescent="0.2">
      <c r="B5613" s="16"/>
    </row>
    <row r="5614" spans="2:2" x14ac:dyDescent="0.2">
      <c r="B5614" s="16"/>
    </row>
    <row r="5615" spans="2:2" x14ac:dyDescent="0.2">
      <c r="B5615" s="16"/>
    </row>
    <row r="5616" spans="2:2" x14ac:dyDescent="0.2">
      <c r="B5616" s="16"/>
    </row>
    <row r="5617" spans="2:2" x14ac:dyDescent="0.2">
      <c r="B5617" s="16"/>
    </row>
    <row r="5618" spans="2:2" x14ac:dyDescent="0.2">
      <c r="B5618" s="16"/>
    </row>
    <row r="5619" spans="2:2" x14ac:dyDescent="0.2">
      <c r="B5619" s="16"/>
    </row>
    <row r="5620" spans="2:2" x14ac:dyDescent="0.2">
      <c r="B5620" s="16"/>
    </row>
    <row r="5621" spans="2:2" x14ac:dyDescent="0.2">
      <c r="B5621" s="16"/>
    </row>
    <row r="5622" spans="2:2" x14ac:dyDescent="0.2">
      <c r="B5622" s="16"/>
    </row>
    <row r="5623" spans="2:2" x14ac:dyDescent="0.2">
      <c r="B5623" s="16"/>
    </row>
    <row r="5624" spans="2:2" x14ac:dyDescent="0.2">
      <c r="B5624" s="16"/>
    </row>
    <row r="5625" spans="2:2" x14ac:dyDescent="0.2">
      <c r="B5625" s="16"/>
    </row>
    <row r="5626" spans="2:2" x14ac:dyDescent="0.2">
      <c r="B5626" s="16"/>
    </row>
    <row r="5627" spans="2:2" x14ac:dyDescent="0.2">
      <c r="B5627" s="16"/>
    </row>
    <row r="5628" spans="2:2" x14ac:dyDescent="0.2">
      <c r="B5628" s="16"/>
    </row>
    <row r="5629" spans="2:2" x14ac:dyDescent="0.2">
      <c r="B5629" s="16"/>
    </row>
    <row r="5630" spans="2:2" x14ac:dyDescent="0.2">
      <c r="B5630" s="16"/>
    </row>
    <row r="5631" spans="2:2" x14ac:dyDescent="0.2">
      <c r="B5631" s="16"/>
    </row>
    <row r="5632" spans="2:2" x14ac:dyDescent="0.2">
      <c r="B5632" s="16"/>
    </row>
    <row r="5633" spans="2:2" x14ac:dyDescent="0.2">
      <c r="B5633" s="16"/>
    </row>
    <row r="5634" spans="2:2" x14ac:dyDescent="0.2">
      <c r="B5634" s="16"/>
    </row>
    <row r="5635" spans="2:2" x14ac:dyDescent="0.2">
      <c r="B5635" s="16"/>
    </row>
    <row r="5636" spans="2:2" x14ac:dyDescent="0.2">
      <c r="B5636" s="16"/>
    </row>
    <row r="5637" spans="2:2" x14ac:dyDescent="0.2">
      <c r="B5637" s="16"/>
    </row>
    <row r="5638" spans="2:2" x14ac:dyDescent="0.2">
      <c r="B5638" s="16"/>
    </row>
    <row r="5639" spans="2:2" x14ac:dyDescent="0.2">
      <c r="B5639" s="16"/>
    </row>
    <row r="5640" spans="2:2" x14ac:dyDescent="0.2">
      <c r="B5640" s="16"/>
    </row>
    <row r="5641" spans="2:2" x14ac:dyDescent="0.2">
      <c r="B5641" s="16"/>
    </row>
    <row r="5642" spans="2:2" x14ac:dyDescent="0.2">
      <c r="B5642" s="16"/>
    </row>
    <row r="5643" spans="2:2" x14ac:dyDescent="0.2">
      <c r="B5643" s="16"/>
    </row>
    <row r="5644" spans="2:2" x14ac:dyDescent="0.2">
      <c r="B5644" s="16"/>
    </row>
    <row r="5645" spans="2:2" x14ac:dyDescent="0.2">
      <c r="B5645" s="16"/>
    </row>
    <row r="5646" spans="2:2" x14ac:dyDescent="0.2">
      <c r="B5646" s="16"/>
    </row>
    <row r="5647" spans="2:2" x14ac:dyDescent="0.2">
      <c r="B5647" s="16"/>
    </row>
    <row r="5648" spans="2:2" x14ac:dyDescent="0.2">
      <c r="B5648" s="16"/>
    </row>
    <row r="5649" spans="2:2" x14ac:dyDescent="0.2">
      <c r="B5649" s="16"/>
    </row>
    <row r="5650" spans="2:2" x14ac:dyDescent="0.2">
      <c r="B5650" s="16"/>
    </row>
    <row r="5651" spans="2:2" x14ac:dyDescent="0.2">
      <c r="B5651" s="16"/>
    </row>
    <row r="5652" spans="2:2" x14ac:dyDescent="0.2">
      <c r="B5652" s="16"/>
    </row>
    <row r="5653" spans="2:2" x14ac:dyDescent="0.2">
      <c r="B5653" s="16"/>
    </row>
    <row r="5654" spans="2:2" x14ac:dyDescent="0.2">
      <c r="B5654" s="16"/>
    </row>
    <row r="5655" spans="2:2" x14ac:dyDescent="0.2">
      <c r="B5655" s="16"/>
    </row>
    <row r="5656" spans="2:2" x14ac:dyDescent="0.2">
      <c r="B5656" s="16"/>
    </row>
    <row r="5657" spans="2:2" x14ac:dyDescent="0.2">
      <c r="B5657" s="16"/>
    </row>
    <row r="5658" spans="2:2" x14ac:dyDescent="0.2">
      <c r="B5658" s="16"/>
    </row>
    <row r="5659" spans="2:2" x14ac:dyDescent="0.2">
      <c r="B5659" s="16"/>
    </row>
    <row r="5660" spans="2:2" x14ac:dyDescent="0.2">
      <c r="B5660" s="16"/>
    </row>
    <row r="5661" spans="2:2" x14ac:dyDescent="0.2">
      <c r="B5661" s="16"/>
    </row>
    <row r="5662" spans="2:2" x14ac:dyDescent="0.2">
      <c r="B5662" s="16"/>
    </row>
    <row r="5663" spans="2:2" x14ac:dyDescent="0.2">
      <c r="B5663" s="16"/>
    </row>
    <row r="5664" spans="2:2" x14ac:dyDescent="0.2">
      <c r="B5664" s="16"/>
    </row>
    <row r="5665" spans="2:2" x14ac:dyDescent="0.2">
      <c r="B5665" s="16"/>
    </row>
    <row r="5666" spans="2:2" x14ac:dyDescent="0.2">
      <c r="B5666" s="16"/>
    </row>
    <row r="5667" spans="2:2" x14ac:dyDescent="0.2">
      <c r="B5667" s="16"/>
    </row>
    <row r="5668" spans="2:2" x14ac:dyDescent="0.2">
      <c r="B5668" s="16"/>
    </row>
    <row r="5669" spans="2:2" x14ac:dyDescent="0.2">
      <c r="B5669" s="16"/>
    </row>
    <row r="5670" spans="2:2" x14ac:dyDescent="0.2">
      <c r="B5670" s="16"/>
    </row>
    <row r="5671" spans="2:2" x14ac:dyDescent="0.2">
      <c r="B5671" s="16"/>
    </row>
    <row r="5672" spans="2:2" x14ac:dyDescent="0.2">
      <c r="B5672" s="16"/>
    </row>
    <row r="5673" spans="2:2" x14ac:dyDescent="0.2">
      <c r="B5673" s="16"/>
    </row>
    <row r="5674" spans="2:2" x14ac:dyDescent="0.2">
      <c r="B5674" s="16"/>
    </row>
    <row r="5675" spans="2:2" x14ac:dyDescent="0.2">
      <c r="B5675" s="16"/>
    </row>
    <row r="5676" spans="2:2" x14ac:dyDescent="0.2">
      <c r="B5676" s="16"/>
    </row>
    <row r="5677" spans="2:2" x14ac:dyDescent="0.2">
      <c r="B5677" s="16"/>
    </row>
    <row r="5678" spans="2:2" x14ac:dyDescent="0.2">
      <c r="B5678" s="16"/>
    </row>
    <row r="5679" spans="2:2" x14ac:dyDescent="0.2">
      <c r="B5679" s="16"/>
    </row>
    <row r="5680" spans="2:2" x14ac:dyDescent="0.2">
      <c r="B5680" s="16"/>
    </row>
    <row r="5681" spans="2:2" x14ac:dyDescent="0.2">
      <c r="B5681" s="16"/>
    </row>
    <row r="5682" spans="2:2" x14ac:dyDescent="0.2">
      <c r="B5682" s="16"/>
    </row>
    <row r="5683" spans="2:2" x14ac:dyDescent="0.2">
      <c r="B5683" s="16"/>
    </row>
    <row r="5684" spans="2:2" x14ac:dyDescent="0.2">
      <c r="B5684" s="16"/>
    </row>
    <row r="5685" spans="2:2" x14ac:dyDescent="0.2">
      <c r="B5685" s="16"/>
    </row>
    <row r="5686" spans="2:2" x14ac:dyDescent="0.2">
      <c r="B5686" s="16"/>
    </row>
    <row r="5687" spans="2:2" x14ac:dyDescent="0.2">
      <c r="B5687" s="16"/>
    </row>
    <row r="5688" spans="2:2" x14ac:dyDescent="0.2">
      <c r="B5688" s="16"/>
    </row>
    <row r="5689" spans="2:2" x14ac:dyDescent="0.2">
      <c r="B5689" s="16"/>
    </row>
    <row r="5690" spans="2:2" x14ac:dyDescent="0.2">
      <c r="B5690" s="16"/>
    </row>
    <row r="5691" spans="2:2" x14ac:dyDescent="0.2">
      <c r="B5691" s="16"/>
    </row>
    <row r="5692" spans="2:2" x14ac:dyDescent="0.2">
      <c r="B5692" s="16"/>
    </row>
    <row r="5693" spans="2:2" x14ac:dyDescent="0.2">
      <c r="B5693" s="16"/>
    </row>
    <row r="5694" spans="2:2" x14ac:dyDescent="0.2">
      <c r="B5694" s="16"/>
    </row>
    <row r="5695" spans="2:2" x14ac:dyDescent="0.2">
      <c r="B5695" s="16"/>
    </row>
    <row r="5696" spans="2:2" x14ac:dyDescent="0.2">
      <c r="B5696" s="16"/>
    </row>
    <row r="5697" spans="2:2" x14ac:dyDescent="0.2">
      <c r="B5697" s="16"/>
    </row>
    <row r="5698" spans="2:2" x14ac:dyDescent="0.2">
      <c r="B5698" s="16"/>
    </row>
    <row r="5699" spans="2:2" x14ac:dyDescent="0.2">
      <c r="B5699" s="16"/>
    </row>
    <row r="5700" spans="2:2" x14ac:dyDescent="0.2">
      <c r="B5700" s="16"/>
    </row>
    <row r="5701" spans="2:2" x14ac:dyDescent="0.2">
      <c r="B5701" s="16"/>
    </row>
    <row r="5702" spans="2:2" x14ac:dyDescent="0.2">
      <c r="B5702" s="16"/>
    </row>
    <row r="5703" spans="2:2" x14ac:dyDescent="0.2">
      <c r="B5703" s="16"/>
    </row>
    <row r="5704" spans="2:2" x14ac:dyDescent="0.2">
      <c r="B5704" s="16"/>
    </row>
    <row r="5705" spans="2:2" x14ac:dyDescent="0.2">
      <c r="B5705" s="16"/>
    </row>
    <row r="5706" spans="2:2" x14ac:dyDescent="0.2">
      <c r="B5706" s="16"/>
    </row>
    <row r="5707" spans="2:2" x14ac:dyDescent="0.2">
      <c r="B5707" s="16"/>
    </row>
    <row r="5708" spans="2:2" x14ac:dyDescent="0.2">
      <c r="B5708" s="16"/>
    </row>
    <row r="5709" spans="2:2" x14ac:dyDescent="0.2">
      <c r="B5709" s="16"/>
    </row>
    <row r="5710" spans="2:2" x14ac:dyDescent="0.2">
      <c r="B5710" s="16"/>
    </row>
    <row r="5711" spans="2:2" x14ac:dyDescent="0.2">
      <c r="B5711" s="16"/>
    </row>
    <row r="5712" spans="2:2" x14ac:dyDescent="0.2">
      <c r="B5712" s="16"/>
    </row>
    <row r="5713" spans="2:2" x14ac:dyDescent="0.2">
      <c r="B5713" s="16"/>
    </row>
    <row r="5714" spans="2:2" x14ac:dyDescent="0.2">
      <c r="B5714" s="16"/>
    </row>
    <row r="5715" spans="2:2" x14ac:dyDescent="0.2">
      <c r="B5715" s="16"/>
    </row>
    <row r="5716" spans="2:2" x14ac:dyDescent="0.2">
      <c r="B5716" s="16"/>
    </row>
    <row r="5717" spans="2:2" x14ac:dyDescent="0.2">
      <c r="B5717" s="16"/>
    </row>
    <row r="5718" spans="2:2" x14ac:dyDescent="0.2">
      <c r="B5718" s="16"/>
    </row>
    <row r="5719" spans="2:2" x14ac:dyDescent="0.2">
      <c r="B5719" s="16"/>
    </row>
    <row r="5720" spans="2:2" x14ac:dyDescent="0.2">
      <c r="B5720" s="16"/>
    </row>
    <row r="5721" spans="2:2" x14ac:dyDescent="0.2">
      <c r="B5721" s="16"/>
    </row>
    <row r="5722" spans="2:2" x14ac:dyDescent="0.2">
      <c r="B5722" s="16"/>
    </row>
    <row r="5723" spans="2:2" x14ac:dyDescent="0.2">
      <c r="B5723" s="16"/>
    </row>
    <row r="5724" spans="2:2" x14ac:dyDescent="0.2">
      <c r="B5724" s="16"/>
    </row>
    <row r="5725" spans="2:2" x14ac:dyDescent="0.2">
      <c r="B5725" s="16"/>
    </row>
    <row r="5726" spans="2:2" x14ac:dyDescent="0.2">
      <c r="B5726" s="16"/>
    </row>
    <row r="5727" spans="2:2" x14ac:dyDescent="0.2">
      <c r="B5727" s="16"/>
    </row>
    <row r="5728" spans="2:2" x14ac:dyDescent="0.2">
      <c r="B5728" s="16"/>
    </row>
    <row r="5729" spans="2:2" x14ac:dyDescent="0.2">
      <c r="B5729" s="16"/>
    </row>
    <row r="5730" spans="2:2" x14ac:dyDescent="0.2">
      <c r="B5730" s="16"/>
    </row>
    <row r="5731" spans="2:2" x14ac:dyDescent="0.2">
      <c r="B5731" s="16"/>
    </row>
    <row r="5732" spans="2:2" x14ac:dyDescent="0.2">
      <c r="B5732" s="16"/>
    </row>
    <row r="5733" spans="2:2" x14ac:dyDescent="0.2">
      <c r="B5733" s="16"/>
    </row>
    <row r="5734" spans="2:2" x14ac:dyDescent="0.2">
      <c r="B5734" s="16"/>
    </row>
    <row r="5735" spans="2:2" x14ac:dyDescent="0.2">
      <c r="B5735" s="16"/>
    </row>
    <row r="5736" spans="2:2" x14ac:dyDescent="0.2">
      <c r="B5736" s="16"/>
    </row>
    <row r="5737" spans="2:2" x14ac:dyDescent="0.2">
      <c r="B5737" s="16"/>
    </row>
    <row r="5738" spans="2:2" x14ac:dyDescent="0.2">
      <c r="B5738" s="16"/>
    </row>
    <row r="5739" spans="2:2" x14ac:dyDescent="0.2">
      <c r="B5739" s="16"/>
    </row>
    <row r="5740" spans="2:2" x14ac:dyDescent="0.2">
      <c r="B5740" s="16"/>
    </row>
    <row r="5741" spans="2:2" x14ac:dyDescent="0.2">
      <c r="B5741" s="16"/>
    </row>
    <row r="5742" spans="2:2" x14ac:dyDescent="0.2">
      <c r="B5742" s="16"/>
    </row>
    <row r="5743" spans="2:2" x14ac:dyDescent="0.2">
      <c r="B5743" s="16"/>
    </row>
    <row r="5744" spans="2:2" x14ac:dyDescent="0.2">
      <c r="B5744" s="16"/>
    </row>
    <row r="5745" spans="2:2" x14ac:dyDescent="0.2">
      <c r="B5745" s="16"/>
    </row>
    <row r="5746" spans="2:2" x14ac:dyDescent="0.2">
      <c r="B5746" s="16"/>
    </row>
    <row r="5747" spans="2:2" x14ac:dyDescent="0.2">
      <c r="B5747" s="16"/>
    </row>
    <row r="5748" spans="2:2" x14ac:dyDescent="0.2">
      <c r="B5748" s="16"/>
    </row>
    <row r="5749" spans="2:2" x14ac:dyDescent="0.2">
      <c r="B5749" s="16"/>
    </row>
    <row r="5750" spans="2:2" x14ac:dyDescent="0.2">
      <c r="B5750" s="16"/>
    </row>
    <row r="5751" spans="2:2" x14ac:dyDescent="0.2">
      <c r="B5751" s="16"/>
    </row>
    <row r="5752" spans="2:2" x14ac:dyDescent="0.2">
      <c r="B5752" s="16"/>
    </row>
    <row r="5753" spans="2:2" x14ac:dyDescent="0.2">
      <c r="B5753" s="16"/>
    </row>
    <row r="5754" spans="2:2" x14ac:dyDescent="0.2">
      <c r="B5754" s="16"/>
    </row>
    <row r="5755" spans="2:2" x14ac:dyDescent="0.2">
      <c r="B5755" s="16"/>
    </row>
    <row r="5756" spans="2:2" x14ac:dyDescent="0.2">
      <c r="B5756" s="16"/>
    </row>
    <row r="5757" spans="2:2" x14ac:dyDescent="0.2">
      <c r="B5757" s="16"/>
    </row>
    <row r="5758" spans="2:2" x14ac:dyDescent="0.2">
      <c r="B5758" s="16"/>
    </row>
    <row r="5759" spans="2:2" x14ac:dyDescent="0.2">
      <c r="B5759" s="16"/>
    </row>
    <row r="5760" spans="2:2" x14ac:dyDescent="0.2">
      <c r="B5760" s="16"/>
    </row>
    <row r="5761" spans="2:2" x14ac:dyDescent="0.2">
      <c r="B5761" s="16"/>
    </row>
    <row r="5762" spans="2:2" x14ac:dyDescent="0.2">
      <c r="B5762" s="16"/>
    </row>
    <row r="5763" spans="2:2" x14ac:dyDescent="0.2">
      <c r="B5763" s="16"/>
    </row>
    <row r="5764" spans="2:2" x14ac:dyDescent="0.2">
      <c r="B5764" s="16"/>
    </row>
    <row r="5765" spans="2:2" x14ac:dyDescent="0.2">
      <c r="B5765" s="16"/>
    </row>
    <row r="5766" spans="2:2" x14ac:dyDescent="0.2">
      <c r="B5766" s="16"/>
    </row>
    <row r="5767" spans="2:2" x14ac:dyDescent="0.2">
      <c r="B5767" s="16"/>
    </row>
    <row r="5768" spans="2:2" x14ac:dyDescent="0.2">
      <c r="B5768" s="16"/>
    </row>
    <row r="5769" spans="2:2" x14ac:dyDescent="0.2">
      <c r="B5769" s="16"/>
    </row>
    <row r="5770" spans="2:2" x14ac:dyDescent="0.2">
      <c r="B5770" s="16"/>
    </row>
    <row r="5771" spans="2:2" x14ac:dyDescent="0.2">
      <c r="B5771" s="16"/>
    </row>
    <row r="5772" spans="2:2" x14ac:dyDescent="0.2">
      <c r="B5772" s="16"/>
    </row>
    <row r="5773" spans="2:2" x14ac:dyDescent="0.2">
      <c r="B5773" s="16"/>
    </row>
    <row r="5774" spans="2:2" x14ac:dyDescent="0.2">
      <c r="B5774" s="16"/>
    </row>
    <row r="5775" spans="2:2" x14ac:dyDescent="0.2">
      <c r="B5775" s="16"/>
    </row>
    <row r="5776" spans="2:2" x14ac:dyDescent="0.2">
      <c r="B5776" s="16"/>
    </row>
    <row r="5777" spans="2:2" x14ac:dyDescent="0.2">
      <c r="B5777" s="16"/>
    </row>
    <row r="5778" spans="2:2" x14ac:dyDescent="0.2">
      <c r="B5778" s="16"/>
    </row>
    <row r="5779" spans="2:2" x14ac:dyDescent="0.2">
      <c r="B5779" s="16"/>
    </row>
    <row r="5780" spans="2:2" x14ac:dyDescent="0.2">
      <c r="B5780" s="16"/>
    </row>
    <row r="5781" spans="2:2" x14ac:dyDescent="0.2">
      <c r="B5781" s="16"/>
    </row>
    <row r="5782" spans="2:2" x14ac:dyDescent="0.2">
      <c r="B5782" s="16"/>
    </row>
    <row r="5783" spans="2:2" x14ac:dyDescent="0.2">
      <c r="B5783" s="16"/>
    </row>
    <row r="5784" spans="2:2" x14ac:dyDescent="0.2">
      <c r="B5784" s="16"/>
    </row>
    <row r="5785" spans="2:2" x14ac:dyDescent="0.2">
      <c r="B5785" s="16"/>
    </row>
    <row r="5786" spans="2:2" x14ac:dyDescent="0.2">
      <c r="B5786" s="16"/>
    </row>
    <row r="5787" spans="2:2" x14ac:dyDescent="0.2">
      <c r="B5787" s="16"/>
    </row>
    <row r="5788" spans="2:2" x14ac:dyDescent="0.2">
      <c r="B5788" s="16"/>
    </row>
    <row r="5789" spans="2:2" x14ac:dyDescent="0.2">
      <c r="B5789" s="16"/>
    </row>
    <row r="5790" spans="2:2" x14ac:dyDescent="0.2">
      <c r="B5790" s="16"/>
    </row>
    <row r="5791" spans="2:2" x14ac:dyDescent="0.2">
      <c r="B5791" s="16"/>
    </row>
    <row r="5792" spans="2:2" x14ac:dyDescent="0.2">
      <c r="B5792" s="16"/>
    </row>
    <row r="5793" spans="2:2" x14ac:dyDescent="0.2">
      <c r="B5793" s="16"/>
    </row>
    <row r="5794" spans="2:2" x14ac:dyDescent="0.2">
      <c r="B5794" s="16"/>
    </row>
    <row r="5795" spans="2:2" x14ac:dyDescent="0.2">
      <c r="B5795" s="16"/>
    </row>
    <row r="5796" spans="2:2" x14ac:dyDescent="0.2">
      <c r="B5796" s="16"/>
    </row>
    <row r="5797" spans="2:2" x14ac:dyDescent="0.2">
      <c r="B5797" s="16"/>
    </row>
    <row r="5798" spans="2:2" x14ac:dyDescent="0.2">
      <c r="B5798" s="16"/>
    </row>
    <row r="5799" spans="2:2" x14ac:dyDescent="0.2">
      <c r="B5799" s="16"/>
    </row>
    <row r="5800" spans="2:2" x14ac:dyDescent="0.2">
      <c r="B5800" s="16"/>
    </row>
    <row r="5801" spans="2:2" x14ac:dyDescent="0.2">
      <c r="B5801" s="16"/>
    </row>
    <row r="5802" spans="2:2" x14ac:dyDescent="0.2">
      <c r="B5802" s="16"/>
    </row>
    <row r="5803" spans="2:2" x14ac:dyDescent="0.2">
      <c r="B5803" s="16"/>
    </row>
    <row r="5804" spans="2:2" x14ac:dyDescent="0.2">
      <c r="B5804" s="16"/>
    </row>
    <row r="5805" spans="2:2" x14ac:dyDescent="0.2">
      <c r="B5805" s="16"/>
    </row>
    <row r="5806" spans="2:2" x14ac:dyDescent="0.2">
      <c r="B5806" s="16"/>
    </row>
    <row r="5807" spans="2:2" x14ac:dyDescent="0.2">
      <c r="B5807" s="16"/>
    </row>
    <row r="5808" spans="2:2" x14ac:dyDescent="0.2">
      <c r="B5808" s="16"/>
    </row>
    <row r="5809" spans="2:2" x14ac:dyDescent="0.2">
      <c r="B5809" s="16"/>
    </row>
    <row r="5810" spans="2:2" x14ac:dyDescent="0.2">
      <c r="B5810" s="16"/>
    </row>
    <row r="5811" spans="2:2" x14ac:dyDescent="0.2">
      <c r="B5811" s="16"/>
    </row>
    <row r="5812" spans="2:2" x14ac:dyDescent="0.2">
      <c r="B5812" s="16"/>
    </row>
    <row r="5813" spans="2:2" x14ac:dyDescent="0.2">
      <c r="B5813" s="16"/>
    </row>
    <row r="5814" spans="2:2" x14ac:dyDescent="0.2">
      <c r="B5814" s="16"/>
    </row>
    <row r="5815" spans="2:2" x14ac:dyDescent="0.2">
      <c r="B5815" s="16"/>
    </row>
    <row r="5816" spans="2:2" x14ac:dyDescent="0.2">
      <c r="B5816" s="16"/>
    </row>
    <row r="5817" spans="2:2" x14ac:dyDescent="0.2">
      <c r="B5817" s="16"/>
    </row>
    <row r="5818" spans="2:2" x14ac:dyDescent="0.2">
      <c r="B5818" s="16"/>
    </row>
    <row r="5819" spans="2:2" x14ac:dyDescent="0.2">
      <c r="B5819" s="16"/>
    </row>
    <row r="5820" spans="2:2" x14ac:dyDescent="0.2">
      <c r="B5820" s="16"/>
    </row>
    <row r="5821" spans="2:2" x14ac:dyDescent="0.2">
      <c r="B5821" s="16"/>
    </row>
    <row r="5822" spans="2:2" x14ac:dyDescent="0.2">
      <c r="B5822" s="16"/>
    </row>
    <row r="5823" spans="2:2" x14ac:dyDescent="0.2">
      <c r="B5823" s="16"/>
    </row>
    <row r="5824" spans="2:2" x14ac:dyDescent="0.2">
      <c r="B5824" s="16"/>
    </row>
    <row r="5825" spans="2:2" x14ac:dyDescent="0.2">
      <c r="B5825" s="16"/>
    </row>
    <row r="5826" spans="2:2" x14ac:dyDescent="0.2">
      <c r="B5826" s="16"/>
    </row>
    <row r="5827" spans="2:2" x14ac:dyDescent="0.2">
      <c r="B5827" s="16"/>
    </row>
    <row r="5828" spans="2:2" x14ac:dyDescent="0.2">
      <c r="B5828" s="16"/>
    </row>
    <row r="5829" spans="2:2" x14ac:dyDescent="0.2">
      <c r="B5829" s="16"/>
    </row>
    <row r="5830" spans="2:2" x14ac:dyDescent="0.2">
      <c r="B5830" s="16"/>
    </row>
    <row r="5831" spans="2:2" x14ac:dyDescent="0.2">
      <c r="B5831" s="16"/>
    </row>
    <row r="5832" spans="2:2" x14ac:dyDescent="0.2">
      <c r="B5832" s="16"/>
    </row>
    <row r="5833" spans="2:2" x14ac:dyDescent="0.2">
      <c r="B5833" s="16"/>
    </row>
    <row r="5834" spans="2:2" x14ac:dyDescent="0.2">
      <c r="B5834" s="16"/>
    </row>
    <row r="5835" spans="2:2" x14ac:dyDescent="0.2">
      <c r="B5835" s="16"/>
    </row>
    <row r="5836" spans="2:2" x14ac:dyDescent="0.2">
      <c r="B5836" s="16"/>
    </row>
    <row r="5837" spans="2:2" x14ac:dyDescent="0.2">
      <c r="B5837" s="16"/>
    </row>
    <row r="5838" spans="2:2" x14ac:dyDescent="0.2">
      <c r="B5838" s="16"/>
    </row>
    <row r="5839" spans="2:2" x14ac:dyDescent="0.2">
      <c r="B5839" s="16"/>
    </row>
    <row r="5840" spans="2:2" x14ac:dyDescent="0.2">
      <c r="B5840" s="16"/>
    </row>
    <row r="5841" spans="2:2" x14ac:dyDescent="0.2">
      <c r="B5841" s="16"/>
    </row>
    <row r="5842" spans="2:2" x14ac:dyDescent="0.2">
      <c r="B5842" s="16"/>
    </row>
    <row r="5843" spans="2:2" x14ac:dyDescent="0.2">
      <c r="B5843" s="16"/>
    </row>
    <row r="5844" spans="2:2" x14ac:dyDescent="0.2">
      <c r="B5844" s="16"/>
    </row>
    <row r="5845" spans="2:2" x14ac:dyDescent="0.2">
      <c r="B5845" s="16"/>
    </row>
    <row r="5846" spans="2:2" x14ac:dyDescent="0.2">
      <c r="B5846" s="16"/>
    </row>
    <row r="5847" spans="2:2" x14ac:dyDescent="0.2">
      <c r="B5847" s="16"/>
    </row>
    <row r="5848" spans="2:2" x14ac:dyDescent="0.2">
      <c r="B5848" s="16"/>
    </row>
    <row r="5849" spans="2:2" x14ac:dyDescent="0.2">
      <c r="B5849" s="16"/>
    </row>
    <row r="5850" spans="2:2" x14ac:dyDescent="0.2">
      <c r="B5850" s="16"/>
    </row>
    <row r="5851" spans="2:2" x14ac:dyDescent="0.2">
      <c r="B5851" s="16"/>
    </row>
    <row r="5852" spans="2:2" x14ac:dyDescent="0.2">
      <c r="B5852" s="16"/>
    </row>
    <row r="5853" spans="2:2" x14ac:dyDescent="0.2">
      <c r="B5853" s="16"/>
    </row>
    <row r="5854" spans="2:2" x14ac:dyDescent="0.2">
      <c r="B5854" s="16"/>
    </row>
    <row r="5855" spans="2:2" x14ac:dyDescent="0.2">
      <c r="B5855" s="16"/>
    </row>
    <row r="5856" spans="2:2" x14ac:dyDescent="0.2">
      <c r="B5856" s="16"/>
    </row>
    <row r="5857" spans="2:2" x14ac:dyDescent="0.2">
      <c r="B5857" s="16"/>
    </row>
    <row r="5858" spans="2:2" x14ac:dyDescent="0.2">
      <c r="B5858" s="16"/>
    </row>
    <row r="5859" spans="2:2" x14ac:dyDescent="0.2">
      <c r="B5859" s="16"/>
    </row>
    <row r="5860" spans="2:2" x14ac:dyDescent="0.2">
      <c r="B5860" s="16"/>
    </row>
    <row r="5861" spans="2:2" x14ac:dyDescent="0.2">
      <c r="B5861" s="16"/>
    </row>
    <row r="5862" spans="2:2" x14ac:dyDescent="0.2">
      <c r="B5862" s="16"/>
    </row>
    <row r="5863" spans="2:2" x14ac:dyDescent="0.2">
      <c r="B5863" s="16"/>
    </row>
    <row r="5864" spans="2:2" x14ac:dyDescent="0.2">
      <c r="B5864" s="16"/>
    </row>
    <row r="5865" spans="2:2" x14ac:dyDescent="0.2">
      <c r="B5865" s="16"/>
    </row>
    <row r="5866" spans="2:2" x14ac:dyDescent="0.2">
      <c r="B5866" s="16"/>
    </row>
    <row r="5867" spans="2:2" x14ac:dyDescent="0.2">
      <c r="B5867" s="16"/>
    </row>
    <row r="5868" spans="2:2" x14ac:dyDescent="0.2">
      <c r="B5868" s="16"/>
    </row>
    <row r="5869" spans="2:2" x14ac:dyDescent="0.2">
      <c r="B5869" s="16"/>
    </row>
    <row r="5870" spans="2:2" x14ac:dyDescent="0.2">
      <c r="B5870" s="16"/>
    </row>
    <row r="5871" spans="2:2" x14ac:dyDescent="0.2">
      <c r="B5871" s="16"/>
    </row>
    <row r="5872" spans="2:2" x14ac:dyDescent="0.2">
      <c r="B5872" s="16"/>
    </row>
    <row r="5873" spans="2:2" x14ac:dyDescent="0.2">
      <c r="B5873" s="16"/>
    </row>
    <row r="5874" spans="2:2" x14ac:dyDescent="0.2">
      <c r="B5874" s="16"/>
    </row>
    <row r="5875" spans="2:2" x14ac:dyDescent="0.2">
      <c r="B5875" s="16"/>
    </row>
    <row r="5876" spans="2:2" x14ac:dyDescent="0.2">
      <c r="B5876" s="16"/>
    </row>
    <row r="5877" spans="2:2" x14ac:dyDescent="0.2">
      <c r="B5877" s="16"/>
    </row>
    <row r="5878" spans="2:2" x14ac:dyDescent="0.2">
      <c r="B5878" s="16"/>
    </row>
    <row r="5879" spans="2:2" x14ac:dyDescent="0.2">
      <c r="B5879" s="16"/>
    </row>
    <row r="5880" spans="2:2" x14ac:dyDescent="0.2">
      <c r="B5880" s="16"/>
    </row>
    <row r="5881" spans="2:2" x14ac:dyDescent="0.2">
      <c r="B5881" s="16"/>
    </row>
    <row r="5882" spans="2:2" x14ac:dyDescent="0.2">
      <c r="B5882" s="16"/>
    </row>
    <row r="5883" spans="2:2" x14ac:dyDescent="0.2">
      <c r="B5883" s="16"/>
    </row>
    <row r="5884" spans="2:2" x14ac:dyDescent="0.2">
      <c r="B5884" s="16"/>
    </row>
    <row r="5885" spans="2:2" x14ac:dyDescent="0.2">
      <c r="B5885" s="16"/>
    </row>
    <row r="5886" spans="2:2" x14ac:dyDescent="0.2">
      <c r="B5886" s="16"/>
    </row>
    <row r="5887" spans="2:2" x14ac:dyDescent="0.2">
      <c r="B5887" s="16"/>
    </row>
    <row r="5888" spans="2:2" x14ac:dyDescent="0.2">
      <c r="B5888" s="16"/>
    </row>
    <row r="5889" spans="2:2" x14ac:dyDescent="0.2">
      <c r="B5889" s="16"/>
    </row>
    <row r="5890" spans="2:2" x14ac:dyDescent="0.2">
      <c r="B5890" s="16"/>
    </row>
    <row r="5891" spans="2:2" x14ac:dyDescent="0.2">
      <c r="B5891" s="16"/>
    </row>
    <row r="5892" spans="2:2" x14ac:dyDescent="0.2">
      <c r="B5892" s="16"/>
    </row>
    <row r="5893" spans="2:2" x14ac:dyDescent="0.2">
      <c r="B5893" s="16"/>
    </row>
    <row r="5894" spans="2:2" x14ac:dyDescent="0.2">
      <c r="B5894" s="16"/>
    </row>
    <row r="5895" spans="2:2" x14ac:dyDescent="0.2">
      <c r="B5895" s="16"/>
    </row>
    <row r="5896" spans="2:2" x14ac:dyDescent="0.2">
      <c r="B5896" s="16"/>
    </row>
    <row r="5897" spans="2:2" x14ac:dyDescent="0.2">
      <c r="B5897" s="16"/>
    </row>
    <row r="5898" spans="2:2" x14ac:dyDescent="0.2">
      <c r="B5898" s="16"/>
    </row>
    <row r="5899" spans="2:2" x14ac:dyDescent="0.2">
      <c r="B5899" s="16"/>
    </row>
    <row r="5900" spans="2:2" x14ac:dyDescent="0.2">
      <c r="B5900" s="16"/>
    </row>
    <row r="5901" spans="2:2" x14ac:dyDescent="0.2">
      <c r="B5901" s="16"/>
    </row>
    <row r="5902" spans="2:2" x14ac:dyDescent="0.2">
      <c r="B5902" s="16"/>
    </row>
    <row r="5903" spans="2:2" x14ac:dyDescent="0.2">
      <c r="B5903" s="16"/>
    </row>
    <row r="5904" spans="2:2" x14ac:dyDescent="0.2">
      <c r="B5904" s="16"/>
    </row>
    <row r="5905" spans="2:2" x14ac:dyDescent="0.2">
      <c r="B5905" s="16"/>
    </row>
    <row r="5906" spans="2:2" x14ac:dyDescent="0.2">
      <c r="B5906" s="16"/>
    </row>
    <row r="5907" spans="2:2" x14ac:dyDescent="0.2">
      <c r="B5907" s="16"/>
    </row>
    <row r="5908" spans="2:2" x14ac:dyDescent="0.2">
      <c r="B5908" s="16"/>
    </row>
    <row r="5909" spans="2:2" x14ac:dyDescent="0.2">
      <c r="B5909" s="16"/>
    </row>
    <row r="5910" spans="2:2" x14ac:dyDescent="0.2">
      <c r="B5910" s="16"/>
    </row>
    <row r="5911" spans="2:2" x14ac:dyDescent="0.2">
      <c r="B5911" s="16"/>
    </row>
    <row r="5912" spans="2:2" x14ac:dyDescent="0.2">
      <c r="B5912" s="16"/>
    </row>
    <row r="5913" spans="2:2" x14ac:dyDescent="0.2">
      <c r="B5913" s="16"/>
    </row>
    <row r="5914" spans="2:2" x14ac:dyDescent="0.2">
      <c r="B5914" s="16"/>
    </row>
    <row r="5915" spans="2:2" x14ac:dyDescent="0.2">
      <c r="B5915" s="16"/>
    </row>
    <row r="5916" spans="2:2" x14ac:dyDescent="0.2">
      <c r="B5916" s="16"/>
    </row>
    <row r="5917" spans="2:2" x14ac:dyDescent="0.2">
      <c r="B5917" s="16"/>
    </row>
    <row r="5918" spans="2:2" x14ac:dyDescent="0.2">
      <c r="B5918" s="16"/>
    </row>
    <row r="5919" spans="2:2" x14ac:dyDescent="0.2">
      <c r="B5919" s="16"/>
    </row>
    <row r="5920" spans="2:2" x14ac:dyDescent="0.2">
      <c r="B5920" s="16"/>
    </row>
    <row r="5921" spans="2:2" x14ac:dyDescent="0.2">
      <c r="B5921" s="16"/>
    </row>
    <row r="5922" spans="2:2" x14ac:dyDescent="0.2">
      <c r="B5922" s="16"/>
    </row>
    <row r="5923" spans="2:2" x14ac:dyDescent="0.2">
      <c r="B5923" s="16"/>
    </row>
    <row r="5924" spans="2:2" x14ac:dyDescent="0.2">
      <c r="B5924" s="16"/>
    </row>
    <row r="5925" spans="2:2" x14ac:dyDescent="0.2">
      <c r="B5925" s="16"/>
    </row>
    <row r="5926" spans="2:2" x14ac:dyDescent="0.2">
      <c r="B5926" s="16"/>
    </row>
    <row r="5927" spans="2:2" x14ac:dyDescent="0.2">
      <c r="B5927" s="16"/>
    </row>
    <row r="5928" spans="2:2" x14ac:dyDescent="0.2">
      <c r="B5928" s="16"/>
    </row>
    <row r="5929" spans="2:2" x14ac:dyDescent="0.2">
      <c r="B5929" s="16"/>
    </row>
    <row r="5930" spans="2:2" x14ac:dyDescent="0.2">
      <c r="B5930" s="16"/>
    </row>
    <row r="5931" spans="2:2" x14ac:dyDescent="0.2">
      <c r="B5931" s="16"/>
    </row>
    <row r="5932" spans="2:2" x14ac:dyDescent="0.2">
      <c r="B5932" s="16"/>
    </row>
    <row r="5933" spans="2:2" x14ac:dyDescent="0.2">
      <c r="B5933" s="16"/>
    </row>
    <row r="5934" spans="2:2" x14ac:dyDescent="0.2">
      <c r="B5934" s="16"/>
    </row>
    <row r="5935" spans="2:2" x14ac:dyDescent="0.2">
      <c r="B5935" s="16"/>
    </row>
    <row r="5936" spans="2:2" x14ac:dyDescent="0.2">
      <c r="B5936" s="16"/>
    </row>
    <row r="5937" spans="2:2" x14ac:dyDescent="0.2">
      <c r="B5937" s="16"/>
    </row>
    <row r="5938" spans="2:2" x14ac:dyDescent="0.2">
      <c r="B5938" s="16"/>
    </row>
    <row r="5939" spans="2:2" x14ac:dyDescent="0.2">
      <c r="B5939" s="16"/>
    </row>
    <row r="5940" spans="2:2" x14ac:dyDescent="0.2">
      <c r="B5940" s="16"/>
    </row>
    <row r="5941" spans="2:2" x14ac:dyDescent="0.2">
      <c r="B5941" s="16"/>
    </row>
    <row r="5942" spans="2:2" x14ac:dyDescent="0.2">
      <c r="B5942" s="16"/>
    </row>
    <row r="5943" spans="2:2" x14ac:dyDescent="0.2">
      <c r="B5943" s="16"/>
    </row>
    <row r="5944" spans="2:2" x14ac:dyDescent="0.2">
      <c r="B5944" s="16"/>
    </row>
    <row r="5945" spans="2:2" x14ac:dyDescent="0.2">
      <c r="B5945" s="16"/>
    </row>
    <row r="5946" spans="2:2" x14ac:dyDescent="0.2">
      <c r="B5946" s="16"/>
    </row>
    <row r="5947" spans="2:2" x14ac:dyDescent="0.2">
      <c r="B5947" s="16"/>
    </row>
    <row r="5948" spans="2:2" x14ac:dyDescent="0.2">
      <c r="B5948" s="16"/>
    </row>
    <row r="5949" spans="2:2" x14ac:dyDescent="0.2">
      <c r="B5949" s="16"/>
    </row>
    <row r="5950" spans="2:2" x14ac:dyDescent="0.2">
      <c r="B5950" s="16"/>
    </row>
    <row r="5951" spans="2:2" x14ac:dyDescent="0.2">
      <c r="B5951" s="16"/>
    </row>
    <row r="5952" spans="2:2" x14ac:dyDescent="0.2">
      <c r="B5952" s="16"/>
    </row>
    <row r="5953" spans="2:2" x14ac:dyDescent="0.2">
      <c r="B5953" s="16"/>
    </row>
    <row r="5954" spans="2:2" x14ac:dyDescent="0.2">
      <c r="B5954" s="16"/>
    </row>
    <row r="5955" spans="2:2" x14ac:dyDescent="0.2">
      <c r="B5955" s="16"/>
    </row>
    <row r="5956" spans="2:2" x14ac:dyDescent="0.2">
      <c r="B5956" s="16"/>
    </row>
    <row r="5957" spans="2:2" x14ac:dyDescent="0.2">
      <c r="B5957" s="16"/>
    </row>
    <row r="5958" spans="2:2" x14ac:dyDescent="0.2">
      <c r="B5958" s="16"/>
    </row>
    <row r="5959" spans="2:2" x14ac:dyDescent="0.2">
      <c r="B5959" s="16"/>
    </row>
    <row r="5960" spans="2:2" x14ac:dyDescent="0.2">
      <c r="B5960" s="16"/>
    </row>
    <row r="5961" spans="2:2" x14ac:dyDescent="0.2">
      <c r="B5961" s="16"/>
    </row>
    <row r="5962" spans="2:2" x14ac:dyDescent="0.2">
      <c r="B5962" s="16"/>
    </row>
    <row r="5963" spans="2:2" x14ac:dyDescent="0.2">
      <c r="B5963" s="16"/>
    </row>
    <row r="5964" spans="2:2" x14ac:dyDescent="0.2">
      <c r="B5964" s="16"/>
    </row>
    <row r="5965" spans="2:2" x14ac:dyDescent="0.2">
      <c r="B5965" s="16"/>
    </row>
    <row r="5966" spans="2:2" x14ac:dyDescent="0.2">
      <c r="B5966" s="16"/>
    </row>
    <row r="5967" spans="2:2" x14ac:dyDescent="0.2">
      <c r="B5967" s="16"/>
    </row>
    <row r="5968" spans="2:2" x14ac:dyDescent="0.2">
      <c r="B5968" s="16"/>
    </row>
    <row r="5969" spans="2:2" x14ac:dyDescent="0.2">
      <c r="B5969" s="16"/>
    </row>
    <row r="5970" spans="2:2" x14ac:dyDescent="0.2">
      <c r="B5970" s="16"/>
    </row>
    <row r="5971" spans="2:2" x14ac:dyDescent="0.2">
      <c r="B5971" s="16"/>
    </row>
    <row r="5972" spans="2:2" x14ac:dyDescent="0.2">
      <c r="B5972" s="16"/>
    </row>
    <row r="5973" spans="2:2" x14ac:dyDescent="0.2">
      <c r="B5973" s="16"/>
    </row>
    <row r="5974" spans="2:2" x14ac:dyDescent="0.2">
      <c r="B5974" s="16"/>
    </row>
    <row r="5975" spans="2:2" x14ac:dyDescent="0.2">
      <c r="B5975" s="16"/>
    </row>
    <row r="5976" spans="2:2" x14ac:dyDescent="0.2">
      <c r="B5976" s="16"/>
    </row>
    <row r="5977" spans="2:2" x14ac:dyDescent="0.2">
      <c r="B5977" s="16"/>
    </row>
    <row r="5978" spans="2:2" x14ac:dyDescent="0.2">
      <c r="B5978" s="16"/>
    </row>
    <row r="5979" spans="2:2" x14ac:dyDescent="0.2">
      <c r="B5979" s="16"/>
    </row>
    <row r="5980" spans="2:2" x14ac:dyDescent="0.2">
      <c r="B5980" s="16"/>
    </row>
    <row r="5981" spans="2:2" x14ac:dyDescent="0.2">
      <c r="B5981" s="16"/>
    </row>
    <row r="5982" spans="2:2" x14ac:dyDescent="0.2">
      <c r="B5982" s="16"/>
    </row>
    <row r="5983" spans="2:2" x14ac:dyDescent="0.2">
      <c r="B5983" s="16"/>
    </row>
    <row r="5984" spans="2:2" x14ac:dyDescent="0.2">
      <c r="B5984" s="16"/>
    </row>
    <row r="5985" spans="2:2" x14ac:dyDescent="0.2">
      <c r="B5985" s="16"/>
    </row>
    <row r="5986" spans="2:2" x14ac:dyDescent="0.2">
      <c r="B5986" s="16"/>
    </row>
    <row r="5987" spans="2:2" x14ac:dyDescent="0.2">
      <c r="B5987" s="16"/>
    </row>
    <row r="5988" spans="2:2" x14ac:dyDescent="0.2">
      <c r="B5988" s="16"/>
    </row>
    <row r="5989" spans="2:2" x14ac:dyDescent="0.2">
      <c r="B5989" s="16"/>
    </row>
    <row r="5990" spans="2:2" x14ac:dyDescent="0.2">
      <c r="B5990" s="16"/>
    </row>
    <row r="5991" spans="2:2" x14ac:dyDescent="0.2">
      <c r="B5991" s="16"/>
    </row>
    <row r="5992" spans="2:2" x14ac:dyDescent="0.2">
      <c r="B5992" s="16"/>
    </row>
    <row r="5993" spans="2:2" x14ac:dyDescent="0.2">
      <c r="B5993" s="16"/>
    </row>
    <row r="5994" spans="2:2" x14ac:dyDescent="0.2">
      <c r="B5994" s="16"/>
    </row>
    <row r="5995" spans="2:2" x14ac:dyDescent="0.2">
      <c r="B5995" s="16"/>
    </row>
    <row r="5996" spans="2:2" x14ac:dyDescent="0.2">
      <c r="B5996" s="16"/>
    </row>
    <row r="5997" spans="2:2" x14ac:dyDescent="0.2">
      <c r="B5997" s="16"/>
    </row>
    <row r="5998" spans="2:2" x14ac:dyDescent="0.2">
      <c r="B5998" s="16"/>
    </row>
    <row r="5999" spans="2:2" x14ac:dyDescent="0.2">
      <c r="B5999" s="16"/>
    </row>
    <row r="6000" spans="2:2" x14ac:dyDescent="0.2">
      <c r="B6000" s="16"/>
    </row>
    <row r="6001" spans="2:2" x14ac:dyDescent="0.2">
      <c r="B6001" s="16"/>
    </row>
    <row r="6002" spans="2:2" x14ac:dyDescent="0.2">
      <c r="B6002" s="16"/>
    </row>
    <row r="6003" spans="2:2" x14ac:dyDescent="0.2">
      <c r="B6003" s="16"/>
    </row>
    <row r="6004" spans="2:2" x14ac:dyDescent="0.2">
      <c r="B6004" s="16"/>
    </row>
    <row r="6005" spans="2:2" x14ac:dyDescent="0.2">
      <c r="B6005" s="16"/>
    </row>
    <row r="6006" spans="2:2" x14ac:dyDescent="0.2">
      <c r="B6006" s="16"/>
    </row>
    <row r="6007" spans="2:2" x14ac:dyDescent="0.2">
      <c r="B6007" s="16"/>
    </row>
    <row r="6008" spans="2:2" x14ac:dyDescent="0.2">
      <c r="B6008" s="16"/>
    </row>
    <row r="6009" spans="2:2" x14ac:dyDescent="0.2">
      <c r="B6009" s="16"/>
    </row>
    <row r="6010" spans="2:2" x14ac:dyDescent="0.2">
      <c r="B6010" s="16"/>
    </row>
    <row r="6011" spans="2:2" x14ac:dyDescent="0.2">
      <c r="B6011" s="16"/>
    </row>
    <row r="6012" spans="2:2" x14ac:dyDescent="0.2">
      <c r="B6012" s="16"/>
    </row>
    <row r="6013" spans="2:2" x14ac:dyDescent="0.2">
      <c r="B6013" s="16"/>
    </row>
    <row r="6014" spans="2:2" x14ac:dyDescent="0.2">
      <c r="B6014" s="16"/>
    </row>
    <row r="6015" spans="2:2" x14ac:dyDescent="0.2">
      <c r="B6015" s="16"/>
    </row>
    <row r="6016" spans="2:2" x14ac:dyDescent="0.2">
      <c r="B6016" s="16"/>
    </row>
    <row r="6017" spans="2:2" x14ac:dyDescent="0.2">
      <c r="B6017" s="16"/>
    </row>
    <row r="6018" spans="2:2" x14ac:dyDescent="0.2">
      <c r="B6018" s="16"/>
    </row>
    <row r="6019" spans="2:2" x14ac:dyDescent="0.2">
      <c r="B6019" s="16"/>
    </row>
    <row r="6020" spans="2:2" x14ac:dyDescent="0.2">
      <c r="B6020" s="16"/>
    </row>
    <row r="6021" spans="2:2" x14ac:dyDescent="0.2">
      <c r="B6021" s="16"/>
    </row>
    <row r="6022" spans="2:2" x14ac:dyDescent="0.2">
      <c r="B6022" s="16"/>
    </row>
    <row r="6023" spans="2:2" x14ac:dyDescent="0.2">
      <c r="B6023" s="16"/>
    </row>
    <row r="6024" spans="2:2" x14ac:dyDescent="0.2">
      <c r="B6024" s="16"/>
    </row>
    <row r="6025" spans="2:2" x14ac:dyDescent="0.2">
      <c r="B6025" s="16"/>
    </row>
    <row r="6026" spans="2:2" x14ac:dyDescent="0.2">
      <c r="B6026" s="16"/>
    </row>
    <row r="6027" spans="2:2" x14ac:dyDescent="0.2">
      <c r="B6027" s="16"/>
    </row>
    <row r="6028" spans="2:2" x14ac:dyDescent="0.2">
      <c r="B6028" s="16"/>
    </row>
    <row r="6029" spans="2:2" x14ac:dyDescent="0.2">
      <c r="B6029" s="16"/>
    </row>
    <row r="6030" spans="2:2" x14ac:dyDescent="0.2">
      <c r="B6030" s="16"/>
    </row>
    <row r="6031" spans="2:2" x14ac:dyDescent="0.2">
      <c r="B6031" s="16"/>
    </row>
    <row r="6032" spans="2:2" x14ac:dyDescent="0.2">
      <c r="B6032" s="16"/>
    </row>
    <row r="6033" spans="2:2" x14ac:dyDescent="0.2">
      <c r="B6033" s="16"/>
    </row>
    <row r="6034" spans="2:2" x14ac:dyDescent="0.2">
      <c r="B6034" s="16"/>
    </row>
    <row r="6035" spans="2:2" x14ac:dyDescent="0.2">
      <c r="B6035" s="16"/>
    </row>
    <row r="6036" spans="2:2" x14ac:dyDescent="0.2">
      <c r="B6036" s="16"/>
    </row>
    <row r="6037" spans="2:2" x14ac:dyDescent="0.2">
      <c r="B6037" s="16"/>
    </row>
    <row r="6038" spans="2:2" x14ac:dyDescent="0.2">
      <c r="B6038" s="16"/>
    </row>
    <row r="6039" spans="2:2" x14ac:dyDescent="0.2">
      <c r="B6039" s="16"/>
    </row>
    <row r="6040" spans="2:2" x14ac:dyDescent="0.2">
      <c r="B6040" s="16"/>
    </row>
    <row r="6041" spans="2:2" x14ac:dyDescent="0.2">
      <c r="B6041" s="16"/>
    </row>
    <row r="6042" spans="2:2" x14ac:dyDescent="0.2">
      <c r="B6042" s="16"/>
    </row>
    <row r="6043" spans="2:2" x14ac:dyDescent="0.2">
      <c r="B6043" s="16"/>
    </row>
    <row r="6044" spans="2:2" x14ac:dyDescent="0.2">
      <c r="B6044" s="16"/>
    </row>
    <row r="6045" spans="2:2" x14ac:dyDescent="0.2">
      <c r="B6045" s="16"/>
    </row>
    <row r="6046" spans="2:2" x14ac:dyDescent="0.2">
      <c r="B6046" s="16"/>
    </row>
    <row r="6047" spans="2:2" x14ac:dyDescent="0.2">
      <c r="B6047" s="16"/>
    </row>
    <row r="6048" spans="2:2" x14ac:dyDescent="0.2">
      <c r="B6048" s="16"/>
    </row>
    <row r="6049" spans="2:2" x14ac:dyDescent="0.2">
      <c r="B6049" s="16"/>
    </row>
    <row r="6050" spans="2:2" x14ac:dyDescent="0.2">
      <c r="B6050" s="16"/>
    </row>
    <row r="6051" spans="2:2" x14ac:dyDescent="0.2">
      <c r="B6051" s="16"/>
    </row>
    <row r="6052" spans="2:2" x14ac:dyDescent="0.2">
      <c r="B6052" s="16"/>
    </row>
    <row r="6053" spans="2:2" x14ac:dyDescent="0.2">
      <c r="B6053" s="16"/>
    </row>
    <row r="6054" spans="2:2" x14ac:dyDescent="0.2">
      <c r="B6054" s="16"/>
    </row>
    <row r="6055" spans="2:2" x14ac:dyDescent="0.2">
      <c r="B6055" s="16"/>
    </row>
    <row r="6056" spans="2:2" x14ac:dyDescent="0.2">
      <c r="B6056" s="16"/>
    </row>
    <row r="6057" spans="2:2" x14ac:dyDescent="0.2">
      <c r="B6057" s="16"/>
    </row>
    <row r="6058" spans="2:2" x14ac:dyDescent="0.2">
      <c r="B6058" s="16"/>
    </row>
    <row r="6059" spans="2:2" x14ac:dyDescent="0.2">
      <c r="B6059" s="16"/>
    </row>
    <row r="6060" spans="2:2" x14ac:dyDescent="0.2">
      <c r="B6060" s="16"/>
    </row>
    <row r="6061" spans="2:2" x14ac:dyDescent="0.2">
      <c r="B6061" s="16"/>
    </row>
    <row r="6062" spans="2:2" x14ac:dyDescent="0.2">
      <c r="B6062" s="16"/>
    </row>
    <row r="6063" spans="2:2" x14ac:dyDescent="0.2">
      <c r="B6063" s="16"/>
    </row>
    <row r="6064" spans="2:2" x14ac:dyDescent="0.2">
      <c r="B6064" s="16"/>
    </row>
    <row r="6065" spans="2:2" x14ac:dyDescent="0.2">
      <c r="B6065" s="16"/>
    </row>
    <row r="6066" spans="2:2" x14ac:dyDescent="0.2">
      <c r="B6066" s="16"/>
    </row>
    <row r="6067" spans="2:2" x14ac:dyDescent="0.2">
      <c r="B6067" s="16"/>
    </row>
    <row r="6068" spans="2:2" x14ac:dyDescent="0.2">
      <c r="B6068" s="16"/>
    </row>
    <row r="6069" spans="2:2" x14ac:dyDescent="0.2">
      <c r="B6069" s="16"/>
    </row>
    <row r="6070" spans="2:2" x14ac:dyDescent="0.2">
      <c r="B6070" s="16"/>
    </row>
    <row r="6071" spans="2:2" x14ac:dyDescent="0.2">
      <c r="B6071" s="16"/>
    </row>
    <row r="6072" spans="2:2" x14ac:dyDescent="0.2">
      <c r="B6072" s="16"/>
    </row>
    <row r="6073" spans="2:2" x14ac:dyDescent="0.2">
      <c r="B6073" s="16"/>
    </row>
    <row r="6074" spans="2:2" x14ac:dyDescent="0.2">
      <c r="B6074" s="16"/>
    </row>
    <row r="6075" spans="2:2" x14ac:dyDescent="0.2">
      <c r="B6075" s="16"/>
    </row>
    <row r="6076" spans="2:2" x14ac:dyDescent="0.2">
      <c r="B6076" s="16"/>
    </row>
    <row r="6077" spans="2:2" x14ac:dyDescent="0.2">
      <c r="B6077" s="16"/>
    </row>
    <row r="6078" spans="2:2" x14ac:dyDescent="0.2">
      <c r="B6078" s="16"/>
    </row>
    <row r="6079" spans="2:2" x14ac:dyDescent="0.2">
      <c r="B6079" s="16"/>
    </row>
    <row r="6080" spans="2:2" x14ac:dyDescent="0.2">
      <c r="B6080" s="16"/>
    </row>
    <row r="6081" spans="2:2" x14ac:dyDescent="0.2">
      <c r="B6081" s="16"/>
    </row>
    <row r="6082" spans="2:2" x14ac:dyDescent="0.2">
      <c r="B6082" s="16"/>
    </row>
    <row r="6083" spans="2:2" x14ac:dyDescent="0.2">
      <c r="B6083" s="16"/>
    </row>
    <row r="6084" spans="2:2" x14ac:dyDescent="0.2">
      <c r="B6084" s="16"/>
    </row>
    <row r="6085" spans="2:2" x14ac:dyDescent="0.2">
      <c r="B6085" s="16"/>
    </row>
    <row r="6086" spans="2:2" x14ac:dyDescent="0.2">
      <c r="B6086" s="16"/>
    </row>
    <row r="6087" spans="2:2" x14ac:dyDescent="0.2">
      <c r="B6087" s="16"/>
    </row>
    <row r="6088" spans="2:2" x14ac:dyDescent="0.2">
      <c r="B6088" s="16"/>
    </row>
    <row r="6089" spans="2:2" x14ac:dyDescent="0.2">
      <c r="B6089" s="16"/>
    </row>
    <row r="6090" spans="2:2" x14ac:dyDescent="0.2">
      <c r="B6090" s="16"/>
    </row>
    <row r="6091" spans="2:2" x14ac:dyDescent="0.2">
      <c r="B6091" s="16"/>
    </row>
    <row r="6092" spans="2:2" x14ac:dyDescent="0.2">
      <c r="B6092" s="16"/>
    </row>
    <row r="6093" spans="2:2" x14ac:dyDescent="0.2">
      <c r="B6093" s="16"/>
    </row>
    <row r="6094" spans="2:2" x14ac:dyDescent="0.2">
      <c r="B6094" s="16"/>
    </row>
    <row r="6095" spans="2:2" x14ac:dyDescent="0.2">
      <c r="B6095" s="16"/>
    </row>
    <row r="6096" spans="2:2" x14ac:dyDescent="0.2">
      <c r="B6096" s="16"/>
    </row>
    <row r="6097" spans="2:2" x14ac:dyDescent="0.2">
      <c r="B6097" s="16"/>
    </row>
    <row r="6098" spans="2:2" x14ac:dyDescent="0.2">
      <c r="B6098" s="16"/>
    </row>
    <row r="6099" spans="2:2" x14ac:dyDescent="0.2">
      <c r="B6099" s="16"/>
    </row>
    <row r="6100" spans="2:2" x14ac:dyDescent="0.2">
      <c r="B6100" s="16"/>
    </row>
    <row r="6101" spans="2:2" x14ac:dyDescent="0.2">
      <c r="B6101" s="16"/>
    </row>
    <row r="6102" spans="2:2" x14ac:dyDescent="0.2">
      <c r="B6102" s="16"/>
    </row>
    <row r="6103" spans="2:2" x14ac:dyDescent="0.2">
      <c r="B6103" s="16"/>
    </row>
    <row r="6104" spans="2:2" x14ac:dyDescent="0.2">
      <c r="B6104" s="16"/>
    </row>
    <row r="6105" spans="2:2" x14ac:dyDescent="0.2">
      <c r="B6105" s="16"/>
    </row>
    <row r="6106" spans="2:2" x14ac:dyDescent="0.2">
      <c r="B6106" s="16"/>
    </row>
    <row r="6107" spans="2:2" x14ac:dyDescent="0.2">
      <c r="B6107" s="16"/>
    </row>
    <row r="6108" spans="2:2" x14ac:dyDescent="0.2">
      <c r="B6108" s="16"/>
    </row>
    <row r="6109" spans="2:2" x14ac:dyDescent="0.2">
      <c r="B6109" s="16"/>
    </row>
    <row r="6110" spans="2:2" x14ac:dyDescent="0.2">
      <c r="B6110" s="16"/>
    </row>
    <row r="6111" spans="2:2" x14ac:dyDescent="0.2">
      <c r="B6111" s="16"/>
    </row>
    <row r="6112" spans="2:2" x14ac:dyDescent="0.2">
      <c r="B6112" s="16"/>
    </row>
    <row r="6113" spans="2:2" x14ac:dyDescent="0.2">
      <c r="B6113" s="16"/>
    </row>
    <row r="6114" spans="2:2" x14ac:dyDescent="0.2">
      <c r="B6114" s="16"/>
    </row>
    <row r="6115" spans="2:2" x14ac:dyDescent="0.2">
      <c r="B6115" s="16"/>
    </row>
    <row r="6116" spans="2:2" x14ac:dyDescent="0.2">
      <c r="B6116" s="16"/>
    </row>
    <row r="6117" spans="2:2" x14ac:dyDescent="0.2">
      <c r="B6117" s="16"/>
    </row>
    <row r="6118" spans="2:2" x14ac:dyDescent="0.2">
      <c r="B6118" s="16"/>
    </row>
    <row r="6119" spans="2:2" x14ac:dyDescent="0.2">
      <c r="B6119" s="16"/>
    </row>
    <row r="6120" spans="2:2" x14ac:dyDescent="0.2">
      <c r="B6120" s="16"/>
    </row>
    <row r="6121" spans="2:2" x14ac:dyDescent="0.2">
      <c r="B6121" s="16"/>
    </row>
    <row r="6122" spans="2:2" x14ac:dyDescent="0.2">
      <c r="B6122" s="16"/>
    </row>
    <row r="6123" spans="2:2" x14ac:dyDescent="0.2">
      <c r="B6123" s="16"/>
    </row>
    <row r="6124" spans="2:2" x14ac:dyDescent="0.2">
      <c r="B6124" s="16"/>
    </row>
    <row r="6125" spans="2:2" x14ac:dyDescent="0.2">
      <c r="B6125" s="16"/>
    </row>
    <row r="6126" spans="2:2" x14ac:dyDescent="0.2">
      <c r="B6126" s="16"/>
    </row>
    <row r="6127" spans="2:2" x14ac:dyDescent="0.2">
      <c r="B6127" s="16"/>
    </row>
    <row r="6128" spans="2:2" x14ac:dyDescent="0.2">
      <c r="B6128" s="16"/>
    </row>
    <row r="6129" spans="2:2" x14ac:dyDescent="0.2">
      <c r="B6129" s="16"/>
    </row>
    <row r="6130" spans="2:2" x14ac:dyDescent="0.2">
      <c r="B6130" s="16"/>
    </row>
    <row r="6131" spans="2:2" x14ac:dyDescent="0.2">
      <c r="B6131" s="16"/>
    </row>
    <row r="6132" spans="2:2" x14ac:dyDescent="0.2">
      <c r="B6132" s="16"/>
    </row>
    <row r="6133" spans="2:2" x14ac:dyDescent="0.2">
      <c r="B6133" s="16"/>
    </row>
    <row r="6134" spans="2:2" x14ac:dyDescent="0.2">
      <c r="B6134" s="16"/>
    </row>
    <row r="6135" spans="2:2" x14ac:dyDescent="0.2">
      <c r="B6135" s="16"/>
    </row>
    <row r="6136" spans="2:2" x14ac:dyDescent="0.2">
      <c r="B6136" s="16"/>
    </row>
    <row r="6137" spans="2:2" x14ac:dyDescent="0.2">
      <c r="B6137" s="16"/>
    </row>
    <row r="6138" spans="2:2" x14ac:dyDescent="0.2">
      <c r="B6138" s="16"/>
    </row>
    <row r="6139" spans="2:2" x14ac:dyDescent="0.2">
      <c r="B6139" s="16"/>
    </row>
    <row r="6140" spans="2:2" x14ac:dyDescent="0.2">
      <c r="B6140" s="16"/>
    </row>
    <row r="6141" spans="2:2" x14ac:dyDescent="0.2">
      <c r="B6141" s="16"/>
    </row>
    <row r="6142" spans="2:2" x14ac:dyDescent="0.2">
      <c r="B6142" s="16"/>
    </row>
    <row r="6143" spans="2:2" x14ac:dyDescent="0.2">
      <c r="B6143" s="16"/>
    </row>
    <row r="6144" spans="2:2" x14ac:dyDescent="0.2">
      <c r="B6144" s="16"/>
    </row>
    <row r="6145" spans="2:2" x14ac:dyDescent="0.2">
      <c r="B6145" s="16"/>
    </row>
    <row r="6146" spans="2:2" x14ac:dyDescent="0.2">
      <c r="B6146" s="16"/>
    </row>
    <row r="6147" spans="2:2" x14ac:dyDescent="0.2">
      <c r="B6147" s="16"/>
    </row>
    <row r="6148" spans="2:2" x14ac:dyDescent="0.2">
      <c r="B6148" s="16"/>
    </row>
    <row r="6149" spans="2:2" x14ac:dyDescent="0.2">
      <c r="B6149" s="16"/>
    </row>
    <row r="6150" spans="2:2" x14ac:dyDescent="0.2">
      <c r="B6150" s="16"/>
    </row>
    <row r="6151" spans="2:2" x14ac:dyDescent="0.2">
      <c r="B6151" s="16"/>
    </row>
    <row r="6152" spans="2:2" x14ac:dyDescent="0.2">
      <c r="B6152" s="16"/>
    </row>
    <row r="6153" spans="2:2" x14ac:dyDescent="0.2">
      <c r="B6153" s="16"/>
    </row>
    <row r="6154" spans="2:2" x14ac:dyDescent="0.2">
      <c r="B6154" s="16"/>
    </row>
    <row r="6155" spans="2:2" x14ac:dyDescent="0.2">
      <c r="B6155" s="16"/>
    </row>
    <row r="6156" spans="2:2" x14ac:dyDescent="0.2">
      <c r="B6156" s="16"/>
    </row>
    <row r="6157" spans="2:2" x14ac:dyDescent="0.2">
      <c r="B6157" s="16"/>
    </row>
    <row r="6158" spans="2:2" x14ac:dyDescent="0.2">
      <c r="B6158" s="16"/>
    </row>
    <row r="6159" spans="2:2" x14ac:dyDescent="0.2">
      <c r="B6159" s="16"/>
    </row>
    <row r="6160" spans="2:2" x14ac:dyDescent="0.2">
      <c r="B6160" s="16"/>
    </row>
    <row r="6161" spans="2:2" x14ac:dyDescent="0.2">
      <c r="B6161" s="16"/>
    </row>
    <row r="6162" spans="2:2" x14ac:dyDescent="0.2">
      <c r="B6162" s="16"/>
    </row>
    <row r="6163" spans="2:2" x14ac:dyDescent="0.2">
      <c r="B6163" s="16"/>
    </row>
    <row r="6164" spans="2:2" x14ac:dyDescent="0.2">
      <c r="B6164" s="16"/>
    </row>
    <row r="6165" spans="2:2" x14ac:dyDescent="0.2">
      <c r="B6165" s="16"/>
    </row>
    <row r="6166" spans="2:2" x14ac:dyDescent="0.2">
      <c r="B6166" s="16"/>
    </row>
    <row r="6167" spans="2:2" x14ac:dyDescent="0.2">
      <c r="B6167" s="16"/>
    </row>
    <row r="6168" spans="2:2" x14ac:dyDescent="0.2">
      <c r="B6168" s="16"/>
    </row>
    <row r="6169" spans="2:2" x14ac:dyDescent="0.2">
      <c r="B6169" s="16"/>
    </row>
    <row r="6170" spans="2:2" x14ac:dyDescent="0.2">
      <c r="B6170" s="16"/>
    </row>
    <row r="6171" spans="2:2" x14ac:dyDescent="0.2">
      <c r="B6171" s="16"/>
    </row>
    <row r="6172" spans="2:2" x14ac:dyDescent="0.2">
      <c r="B6172" s="16"/>
    </row>
    <row r="6173" spans="2:2" x14ac:dyDescent="0.2">
      <c r="B6173" s="16"/>
    </row>
    <row r="6174" spans="2:2" x14ac:dyDescent="0.2">
      <c r="B6174" s="16"/>
    </row>
    <row r="6175" spans="2:2" x14ac:dyDescent="0.2">
      <c r="B6175" s="16"/>
    </row>
    <row r="6176" spans="2:2" x14ac:dyDescent="0.2">
      <c r="B6176" s="16"/>
    </row>
    <row r="6177" spans="2:2" x14ac:dyDescent="0.2">
      <c r="B6177" s="16"/>
    </row>
    <row r="6178" spans="2:2" x14ac:dyDescent="0.2">
      <c r="B6178" s="16"/>
    </row>
    <row r="6179" spans="2:2" x14ac:dyDescent="0.2">
      <c r="B6179" s="16"/>
    </row>
    <row r="6180" spans="2:2" x14ac:dyDescent="0.2">
      <c r="B6180" s="16"/>
    </row>
    <row r="6181" spans="2:2" x14ac:dyDescent="0.2">
      <c r="B6181" s="16"/>
    </row>
    <row r="6182" spans="2:2" x14ac:dyDescent="0.2">
      <c r="B6182" s="16"/>
    </row>
    <row r="6183" spans="2:2" x14ac:dyDescent="0.2">
      <c r="B6183" s="16"/>
    </row>
    <row r="6184" spans="2:2" x14ac:dyDescent="0.2">
      <c r="B6184" s="16"/>
    </row>
    <row r="6185" spans="2:2" x14ac:dyDescent="0.2">
      <c r="B6185" s="16"/>
    </row>
    <row r="6186" spans="2:2" x14ac:dyDescent="0.2">
      <c r="B6186" s="16"/>
    </row>
    <row r="6187" spans="2:2" x14ac:dyDescent="0.2">
      <c r="B6187" s="16"/>
    </row>
    <row r="6188" spans="2:2" x14ac:dyDescent="0.2">
      <c r="B6188" s="16"/>
    </row>
    <row r="6189" spans="2:2" x14ac:dyDescent="0.2">
      <c r="B6189" s="16"/>
    </row>
    <row r="6190" spans="2:2" x14ac:dyDescent="0.2">
      <c r="B6190" s="16"/>
    </row>
    <row r="6191" spans="2:2" x14ac:dyDescent="0.2">
      <c r="B6191" s="16"/>
    </row>
    <row r="6192" spans="2:2" x14ac:dyDescent="0.2">
      <c r="B6192" s="16"/>
    </row>
    <row r="6193" spans="2:2" x14ac:dyDescent="0.2">
      <c r="B6193" s="16"/>
    </row>
    <row r="6194" spans="2:2" x14ac:dyDescent="0.2">
      <c r="B6194" s="16"/>
    </row>
    <row r="6195" spans="2:2" x14ac:dyDescent="0.2">
      <c r="B6195" s="16"/>
    </row>
    <row r="6196" spans="2:2" x14ac:dyDescent="0.2">
      <c r="B6196" s="16"/>
    </row>
    <row r="6197" spans="2:2" x14ac:dyDescent="0.2">
      <c r="B6197" s="16"/>
    </row>
    <row r="6198" spans="2:2" x14ac:dyDescent="0.2">
      <c r="B6198" s="16"/>
    </row>
    <row r="6199" spans="2:2" x14ac:dyDescent="0.2">
      <c r="B6199" s="16"/>
    </row>
    <row r="6200" spans="2:2" x14ac:dyDescent="0.2">
      <c r="B6200" s="16"/>
    </row>
    <row r="6201" spans="2:2" x14ac:dyDescent="0.2">
      <c r="B6201" s="16"/>
    </row>
    <row r="6202" spans="2:2" x14ac:dyDescent="0.2">
      <c r="B6202" s="16"/>
    </row>
    <row r="6203" spans="2:2" x14ac:dyDescent="0.2">
      <c r="B6203" s="16"/>
    </row>
    <row r="6204" spans="2:2" x14ac:dyDescent="0.2">
      <c r="B6204" s="16"/>
    </row>
    <row r="6205" spans="2:2" x14ac:dyDescent="0.2">
      <c r="B6205" s="16"/>
    </row>
    <row r="6206" spans="2:2" x14ac:dyDescent="0.2">
      <c r="B6206" s="16"/>
    </row>
    <row r="6207" spans="2:2" x14ac:dyDescent="0.2">
      <c r="B6207" s="16"/>
    </row>
    <row r="6208" spans="2:2" x14ac:dyDescent="0.2">
      <c r="B6208" s="16"/>
    </row>
    <row r="6209" spans="2:2" x14ac:dyDescent="0.2">
      <c r="B6209" s="16"/>
    </row>
    <row r="6210" spans="2:2" x14ac:dyDescent="0.2">
      <c r="B6210" s="16"/>
    </row>
    <row r="6211" spans="2:2" x14ac:dyDescent="0.2">
      <c r="B6211" s="16"/>
    </row>
    <row r="6212" spans="2:2" x14ac:dyDescent="0.2">
      <c r="B6212" s="16"/>
    </row>
    <row r="6213" spans="2:2" x14ac:dyDescent="0.2">
      <c r="B6213" s="16"/>
    </row>
    <row r="6214" spans="2:2" x14ac:dyDescent="0.2">
      <c r="B6214" s="16"/>
    </row>
    <row r="6215" spans="2:2" x14ac:dyDescent="0.2">
      <c r="B6215" s="16"/>
    </row>
    <row r="6216" spans="2:2" x14ac:dyDescent="0.2">
      <c r="B6216" s="16"/>
    </row>
    <row r="6217" spans="2:2" x14ac:dyDescent="0.2">
      <c r="B6217" s="16"/>
    </row>
    <row r="6218" spans="2:2" x14ac:dyDescent="0.2">
      <c r="B6218" s="16"/>
    </row>
    <row r="6219" spans="2:2" x14ac:dyDescent="0.2">
      <c r="B6219" s="16"/>
    </row>
    <row r="6220" spans="2:2" x14ac:dyDescent="0.2">
      <c r="B6220" s="16"/>
    </row>
    <row r="6221" spans="2:2" x14ac:dyDescent="0.2">
      <c r="B6221" s="16"/>
    </row>
    <row r="6222" spans="2:2" x14ac:dyDescent="0.2">
      <c r="B6222" s="16"/>
    </row>
    <row r="6223" spans="2:2" x14ac:dyDescent="0.2">
      <c r="B6223" s="16"/>
    </row>
    <row r="6224" spans="2:2" x14ac:dyDescent="0.2">
      <c r="B6224" s="16"/>
    </row>
    <row r="6225" spans="2:2" x14ac:dyDescent="0.2">
      <c r="B6225" s="16"/>
    </row>
    <row r="6226" spans="2:2" x14ac:dyDescent="0.2">
      <c r="B6226" s="16"/>
    </row>
    <row r="6227" spans="2:2" x14ac:dyDescent="0.2">
      <c r="B6227" s="16"/>
    </row>
    <row r="6228" spans="2:2" x14ac:dyDescent="0.2">
      <c r="B6228" s="16"/>
    </row>
    <row r="6229" spans="2:2" x14ac:dyDescent="0.2">
      <c r="B6229" s="16"/>
    </row>
    <row r="6230" spans="2:2" x14ac:dyDescent="0.2">
      <c r="B6230" s="16"/>
    </row>
    <row r="6231" spans="2:2" x14ac:dyDescent="0.2">
      <c r="B6231" s="16"/>
    </row>
    <row r="6232" spans="2:2" x14ac:dyDescent="0.2">
      <c r="B6232" s="16"/>
    </row>
    <row r="6233" spans="2:2" x14ac:dyDescent="0.2">
      <c r="B6233" s="16"/>
    </row>
    <row r="6234" spans="2:2" x14ac:dyDescent="0.2">
      <c r="B6234" s="16"/>
    </row>
    <row r="6235" spans="2:2" x14ac:dyDescent="0.2">
      <c r="B6235" s="16"/>
    </row>
    <row r="6236" spans="2:2" x14ac:dyDescent="0.2">
      <c r="B6236" s="16"/>
    </row>
    <row r="6237" spans="2:2" x14ac:dyDescent="0.2">
      <c r="B6237" s="16"/>
    </row>
    <row r="6238" spans="2:2" x14ac:dyDescent="0.2">
      <c r="B6238" s="16"/>
    </row>
    <row r="6239" spans="2:2" x14ac:dyDescent="0.2">
      <c r="B6239" s="16"/>
    </row>
    <row r="6240" spans="2:2" x14ac:dyDescent="0.2">
      <c r="B6240" s="16"/>
    </row>
    <row r="6241" spans="2:2" x14ac:dyDescent="0.2">
      <c r="B6241" s="16"/>
    </row>
    <row r="6242" spans="2:2" x14ac:dyDescent="0.2">
      <c r="B6242" s="16"/>
    </row>
    <row r="6243" spans="2:2" x14ac:dyDescent="0.2">
      <c r="B6243" s="16"/>
    </row>
    <row r="6244" spans="2:2" x14ac:dyDescent="0.2">
      <c r="B6244" s="16"/>
    </row>
    <row r="6245" spans="2:2" x14ac:dyDescent="0.2">
      <c r="B6245" s="16"/>
    </row>
    <row r="6246" spans="2:2" x14ac:dyDescent="0.2">
      <c r="B6246" s="16"/>
    </row>
    <row r="6247" spans="2:2" x14ac:dyDescent="0.2">
      <c r="B6247" s="16"/>
    </row>
    <row r="6248" spans="2:2" x14ac:dyDescent="0.2">
      <c r="B6248" s="16"/>
    </row>
    <row r="6249" spans="2:2" x14ac:dyDescent="0.2">
      <c r="B6249" s="16"/>
    </row>
    <row r="6250" spans="2:2" x14ac:dyDescent="0.2">
      <c r="B6250" s="16"/>
    </row>
    <row r="6251" spans="2:2" x14ac:dyDescent="0.2">
      <c r="B6251" s="16"/>
    </row>
    <row r="6252" spans="2:2" x14ac:dyDescent="0.2">
      <c r="B6252" s="16"/>
    </row>
    <row r="6253" spans="2:2" x14ac:dyDescent="0.2">
      <c r="B6253" s="16"/>
    </row>
    <row r="6254" spans="2:2" x14ac:dyDescent="0.2">
      <c r="B6254" s="16"/>
    </row>
    <row r="6255" spans="2:2" x14ac:dyDescent="0.2">
      <c r="B6255" s="16"/>
    </row>
    <row r="6256" spans="2:2" x14ac:dyDescent="0.2">
      <c r="B6256" s="16"/>
    </row>
    <row r="6257" spans="2:2" x14ac:dyDescent="0.2">
      <c r="B6257" s="16"/>
    </row>
    <row r="6258" spans="2:2" x14ac:dyDescent="0.2">
      <c r="B6258" s="16"/>
    </row>
    <row r="6259" spans="2:2" x14ac:dyDescent="0.2">
      <c r="B6259" s="16"/>
    </row>
    <row r="6260" spans="2:2" x14ac:dyDescent="0.2">
      <c r="B6260" s="16"/>
    </row>
    <row r="6261" spans="2:2" x14ac:dyDescent="0.2">
      <c r="B6261" s="16"/>
    </row>
    <row r="6262" spans="2:2" x14ac:dyDescent="0.2">
      <c r="B6262" s="16"/>
    </row>
    <row r="6263" spans="2:2" x14ac:dyDescent="0.2">
      <c r="B6263" s="16"/>
    </row>
    <row r="6264" spans="2:2" x14ac:dyDescent="0.2">
      <c r="B6264" s="16"/>
    </row>
    <row r="6265" spans="2:2" x14ac:dyDescent="0.2">
      <c r="B6265" s="16"/>
    </row>
    <row r="6266" spans="2:2" x14ac:dyDescent="0.2">
      <c r="B6266" s="16"/>
    </row>
    <row r="6267" spans="2:2" x14ac:dyDescent="0.2">
      <c r="B6267" s="16"/>
    </row>
    <row r="6268" spans="2:2" x14ac:dyDescent="0.2">
      <c r="B6268" s="16"/>
    </row>
    <row r="6269" spans="2:2" x14ac:dyDescent="0.2">
      <c r="B6269" s="16"/>
    </row>
    <row r="6270" spans="2:2" x14ac:dyDescent="0.2">
      <c r="B6270" s="16"/>
    </row>
    <row r="6271" spans="2:2" x14ac:dyDescent="0.2">
      <c r="B6271" s="16"/>
    </row>
    <row r="6272" spans="2:2" x14ac:dyDescent="0.2">
      <c r="B6272" s="16"/>
    </row>
    <row r="6273" spans="2:2" x14ac:dyDescent="0.2">
      <c r="B6273" s="16"/>
    </row>
    <row r="6274" spans="2:2" x14ac:dyDescent="0.2">
      <c r="B6274" s="16"/>
    </row>
    <row r="6275" spans="2:2" x14ac:dyDescent="0.2">
      <c r="B6275" s="16"/>
    </row>
    <row r="6276" spans="2:2" x14ac:dyDescent="0.2">
      <c r="B6276" s="16"/>
    </row>
    <row r="6277" spans="2:2" x14ac:dyDescent="0.2">
      <c r="B6277" s="16"/>
    </row>
    <row r="6278" spans="2:2" x14ac:dyDescent="0.2">
      <c r="B6278" s="16"/>
    </row>
    <row r="6279" spans="2:2" x14ac:dyDescent="0.2">
      <c r="B6279" s="16"/>
    </row>
    <row r="6280" spans="2:2" x14ac:dyDescent="0.2">
      <c r="B6280" s="16"/>
    </row>
    <row r="6281" spans="2:2" x14ac:dyDescent="0.2">
      <c r="B6281" s="16"/>
    </row>
    <row r="6282" spans="2:2" x14ac:dyDescent="0.2">
      <c r="B6282" s="16"/>
    </row>
    <row r="6283" spans="2:2" x14ac:dyDescent="0.2">
      <c r="B6283" s="16"/>
    </row>
    <row r="6284" spans="2:2" x14ac:dyDescent="0.2">
      <c r="B6284" s="16"/>
    </row>
    <row r="6285" spans="2:2" x14ac:dyDescent="0.2">
      <c r="B6285" s="16"/>
    </row>
    <row r="6286" spans="2:2" x14ac:dyDescent="0.2">
      <c r="B6286" s="16"/>
    </row>
    <row r="6287" spans="2:2" x14ac:dyDescent="0.2">
      <c r="B6287" s="16"/>
    </row>
    <row r="6288" spans="2:2" x14ac:dyDescent="0.2">
      <c r="B6288" s="16"/>
    </row>
    <row r="6289" spans="2:2" x14ac:dyDescent="0.2">
      <c r="B6289" s="16"/>
    </row>
    <row r="6290" spans="2:2" x14ac:dyDescent="0.2">
      <c r="B6290" s="16"/>
    </row>
    <row r="6291" spans="2:2" x14ac:dyDescent="0.2">
      <c r="B6291" s="16"/>
    </row>
    <row r="6292" spans="2:2" x14ac:dyDescent="0.2">
      <c r="B6292" s="16"/>
    </row>
    <row r="6293" spans="2:2" x14ac:dyDescent="0.2">
      <c r="B6293" s="16"/>
    </row>
    <row r="6294" spans="2:2" x14ac:dyDescent="0.2">
      <c r="B6294" s="16"/>
    </row>
    <row r="6295" spans="2:2" x14ac:dyDescent="0.2">
      <c r="B6295" s="16"/>
    </row>
    <row r="6296" spans="2:2" x14ac:dyDescent="0.2">
      <c r="B6296" s="16"/>
    </row>
    <row r="6297" spans="2:2" x14ac:dyDescent="0.2">
      <c r="B6297" s="16"/>
    </row>
    <row r="6298" spans="2:2" x14ac:dyDescent="0.2">
      <c r="B6298" s="16"/>
    </row>
    <row r="6299" spans="2:2" x14ac:dyDescent="0.2">
      <c r="B6299" s="16"/>
    </row>
    <row r="6300" spans="2:2" x14ac:dyDescent="0.2">
      <c r="B6300" s="16"/>
    </row>
    <row r="6301" spans="2:2" x14ac:dyDescent="0.2">
      <c r="B6301" s="16"/>
    </row>
    <row r="6302" spans="2:2" x14ac:dyDescent="0.2">
      <c r="B6302" s="16"/>
    </row>
    <row r="6303" spans="2:2" x14ac:dyDescent="0.2">
      <c r="B6303" s="16"/>
    </row>
    <row r="6304" spans="2:2" x14ac:dyDescent="0.2">
      <c r="B6304" s="16"/>
    </row>
    <row r="6305" spans="2:2" x14ac:dyDescent="0.2">
      <c r="B6305" s="16"/>
    </row>
    <row r="6306" spans="2:2" x14ac:dyDescent="0.2">
      <c r="B6306" s="16"/>
    </row>
    <row r="6307" spans="2:2" x14ac:dyDescent="0.2">
      <c r="B6307" s="16"/>
    </row>
    <row r="6308" spans="2:2" x14ac:dyDescent="0.2">
      <c r="B6308" s="16"/>
    </row>
    <row r="6309" spans="2:2" x14ac:dyDescent="0.2">
      <c r="B6309" s="16"/>
    </row>
    <row r="6310" spans="2:2" x14ac:dyDescent="0.2">
      <c r="B6310" s="16"/>
    </row>
    <row r="6311" spans="2:2" x14ac:dyDescent="0.2">
      <c r="B6311" s="16"/>
    </row>
    <row r="6312" spans="2:2" x14ac:dyDescent="0.2">
      <c r="B6312" s="16"/>
    </row>
    <row r="6313" spans="2:2" x14ac:dyDescent="0.2">
      <c r="B6313" s="16"/>
    </row>
    <row r="6314" spans="2:2" x14ac:dyDescent="0.2">
      <c r="B6314" s="16"/>
    </row>
    <row r="6315" spans="2:2" x14ac:dyDescent="0.2">
      <c r="B6315" s="16"/>
    </row>
    <row r="6316" spans="2:2" x14ac:dyDescent="0.2">
      <c r="B6316" s="16"/>
    </row>
    <row r="6317" spans="2:2" x14ac:dyDescent="0.2">
      <c r="B6317" s="16"/>
    </row>
    <row r="6318" spans="2:2" x14ac:dyDescent="0.2">
      <c r="B6318" s="16"/>
    </row>
    <row r="6319" spans="2:2" x14ac:dyDescent="0.2">
      <c r="B6319" s="16"/>
    </row>
    <row r="6320" spans="2:2" x14ac:dyDescent="0.2">
      <c r="B6320" s="16"/>
    </row>
    <row r="6321" spans="2:2" x14ac:dyDescent="0.2">
      <c r="B6321" s="16"/>
    </row>
    <row r="6322" spans="2:2" x14ac:dyDescent="0.2">
      <c r="B6322" s="16"/>
    </row>
    <row r="6323" spans="2:2" x14ac:dyDescent="0.2">
      <c r="B6323" s="16"/>
    </row>
    <row r="6324" spans="2:2" x14ac:dyDescent="0.2">
      <c r="B6324" s="16"/>
    </row>
    <row r="6325" spans="2:2" x14ac:dyDescent="0.2">
      <c r="B6325" s="16"/>
    </row>
    <row r="6326" spans="2:2" x14ac:dyDescent="0.2">
      <c r="B6326" s="16"/>
    </row>
    <row r="6327" spans="2:2" x14ac:dyDescent="0.2">
      <c r="B6327" s="16"/>
    </row>
    <row r="6328" spans="2:2" x14ac:dyDescent="0.2">
      <c r="B6328" s="16"/>
    </row>
    <row r="6329" spans="2:2" x14ac:dyDescent="0.2">
      <c r="B6329" s="16"/>
    </row>
    <row r="6330" spans="2:2" x14ac:dyDescent="0.2">
      <c r="B6330" s="16"/>
    </row>
    <row r="6331" spans="2:2" x14ac:dyDescent="0.2">
      <c r="B6331" s="16"/>
    </row>
    <row r="6332" spans="2:2" x14ac:dyDescent="0.2">
      <c r="B6332" s="16"/>
    </row>
    <row r="6333" spans="2:2" x14ac:dyDescent="0.2">
      <c r="B6333" s="16"/>
    </row>
    <row r="6334" spans="2:2" x14ac:dyDescent="0.2">
      <c r="B6334" s="16"/>
    </row>
    <row r="6335" spans="2:2" x14ac:dyDescent="0.2">
      <c r="B6335" s="16"/>
    </row>
    <row r="6336" spans="2:2" x14ac:dyDescent="0.2">
      <c r="B6336" s="16"/>
    </row>
    <row r="6337" spans="2:2" x14ac:dyDescent="0.2">
      <c r="B6337" s="16"/>
    </row>
    <row r="6338" spans="2:2" x14ac:dyDescent="0.2">
      <c r="B6338" s="16"/>
    </row>
    <row r="6339" spans="2:2" x14ac:dyDescent="0.2">
      <c r="B6339" s="16"/>
    </row>
    <row r="6340" spans="2:2" x14ac:dyDescent="0.2">
      <c r="B6340" s="16"/>
    </row>
    <row r="6341" spans="2:2" x14ac:dyDescent="0.2">
      <c r="B6341" s="16"/>
    </row>
    <row r="6342" spans="2:2" x14ac:dyDescent="0.2">
      <c r="B6342" s="16"/>
    </row>
    <row r="6343" spans="2:2" x14ac:dyDescent="0.2">
      <c r="B6343" s="16"/>
    </row>
    <row r="6344" spans="2:2" x14ac:dyDescent="0.2">
      <c r="B6344" s="16"/>
    </row>
    <row r="6345" spans="2:2" x14ac:dyDescent="0.2">
      <c r="B6345" s="16"/>
    </row>
    <row r="6346" spans="2:2" x14ac:dyDescent="0.2">
      <c r="B6346" s="16"/>
    </row>
    <row r="6347" spans="2:2" x14ac:dyDescent="0.2">
      <c r="B6347" s="16"/>
    </row>
    <row r="6348" spans="2:2" x14ac:dyDescent="0.2">
      <c r="B6348" s="16"/>
    </row>
    <row r="6349" spans="2:2" x14ac:dyDescent="0.2">
      <c r="B6349" s="16"/>
    </row>
    <row r="6350" spans="2:2" x14ac:dyDescent="0.2">
      <c r="B6350" s="16"/>
    </row>
    <row r="6351" spans="2:2" x14ac:dyDescent="0.2">
      <c r="B6351" s="16"/>
    </row>
    <row r="6352" spans="2:2" x14ac:dyDescent="0.2">
      <c r="B6352" s="16"/>
    </row>
    <row r="6353" spans="2:2" x14ac:dyDescent="0.2">
      <c r="B6353" s="16"/>
    </row>
    <row r="6354" spans="2:2" x14ac:dyDescent="0.2">
      <c r="B6354" s="16"/>
    </row>
    <row r="6355" spans="2:2" x14ac:dyDescent="0.2">
      <c r="B6355" s="16"/>
    </row>
    <row r="6356" spans="2:2" x14ac:dyDescent="0.2">
      <c r="B6356" s="16"/>
    </row>
    <row r="6357" spans="2:2" x14ac:dyDescent="0.2">
      <c r="B6357" s="16"/>
    </row>
    <row r="6358" spans="2:2" x14ac:dyDescent="0.2">
      <c r="B6358" s="16"/>
    </row>
    <row r="6359" spans="2:2" x14ac:dyDescent="0.2">
      <c r="B6359" s="16"/>
    </row>
    <row r="6360" spans="2:2" x14ac:dyDescent="0.2">
      <c r="B6360" s="16"/>
    </row>
    <row r="6361" spans="2:2" x14ac:dyDescent="0.2">
      <c r="B6361" s="16"/>
    </row>
    <row r="6362" spans="2:2" x14ac:dyDescent="0.2">
      <c r="B6362" s="16"/>
    </row>
    <row r="6363" spans="2:2" x14ac:dyDescent="0.2">
      <c r="B6363" s="16"/>
    </row>
    <row r="6364" spans="2:2" x14ac:dyDescent="0.2">
      <c r="B6364" s="16"/>
    </row>
    <row r="6365" spans="2:2" x14ac:dyDescent="0.2">
      <c r="B6365" s="16"/>
    </row>
    <row r="6366" spans="2:2" x14ac:dyDescent="0.2">
      <c r="B6366" s="16"/>
    </row>
    <row r="6367" spans="2:2" x14ac:dyDescent="0.2">
      <c r="B6367" s="16"/>
    </row>
    <row r="6368" spans="2:2" x14ac:dyDescent="0.2">
      <c r="B6368" s="16"/>
    </row>
    <row r="6369" spans="2:2" x14ac:dyDescent="0.2">
      <c r="B6369" s="16"/>
    </row>
    <row r="6370" spans="2:2" x14ac:dyDescent="0.2">
      <c r="B6370" s="16"/>
    </row>
    <row r="6371" spans="2:2" x14ac:dyDescent="0.2">
      <c r="B6371" s="16"/>
    </row>
    <row r="6372" spans="2:2" x14ac:dyDescent="0.2">
      <c r="B6372" s="16"/>
    </row>
    <row r="6373" spans="2:2" x14ac:dyDescent="0.2">
      <c r="B6373" s="16"/>
    </row>
    <row r="6374" spans="2:2" x14ac:dyDescent="0.2">
      <c r="B6374" s="16"/>
    </row>
    <row r="6375" spans="2:2" x14ac:dyDescent="0.2">
      <c r="B6375" s="16"/>
    </row>
    <row r="6376" spans="2:2" x14ac:dyDescent="0.2">
      <c r="B6376" s="16"/>
    </row>
    <row r="6377" spans="2:2" x14ac:dyDescent="0.2">
      <c r="B6377" s="16"/>
    </row>
    <row r="6378" spans="2:2" x14ac:dyDescent="0.2">
      <c r="B6378" s="16"/>
    </row>
    <row r="6379" spans="2:2" x14ac:dyDescent="0.2">
      <c r="B6379" s="16"/>
    </row>
    <row r="6380" spans="2:2" x14ac:dyDescent="0.2">
      <c r="B6380" s="16"/>
    </row>
    <row r="6381" spans="2:2" x14ac:dyDescent="0.2">
      <c r="B6381" s="16"/>
    </row>
    <row r="6382" spans="2:2" x14ac:dyDescent="0.2">
      <c r="B6382" s="16"/>
    </row>
    <row r="6383" spans="2:2" x14ac:dyDescent="0.2">
      <c r="B6383" s="16"/>
    </row>
    <row r="6384" spans="2:2" x14ac:dyDescent="0.2">
      <c r="B6384" s="16"/>
    </row>
    <row r="6385" spans="2:2" x14ac:dyDescent="0.2">
      <c r="B6385" s="16"/>
    </row>
    <row r="6386" spans="2:2" x14ac:dyDescent="0.2">
      <c r="B6386" s="16"/>
    </row>
    <row r="6387" spans="2:2" x14ac:dyDescent="0.2">
      <c r="B6387" s="16"/>
    </row>
    <row r="6388" spans="2:2" x14ac:dyDescent="0.2">
      <c r="B6388" s="16"/>
    </row>
    <row r="6389" spans="2:2" x14ac:dyDescent="0.2">
      <c r="B6389" s="16"/>
    </row>
    <row r="6390" spans="2:2" x14ac:dyDescent="0.2">
      <c r="B6390" s="16"/>
    </row>
    <row r="6391" spans="2:2" x14ac:dyDescent="0.2">
      <c r="B6391" s="16"/>
    </row>
    <row r="6392" spans="2:2" x14ac:dyDescent="0.2">
      <c r="B6392" s="16"/>
    </row>
    <row r="6393" spans="2:2" x14ac:dyDescent="0.2">
      <c r="B6393" s="16"/>
    </row>
    <row r="6394" spans="2:2" x14ac:dyDescent="0.2">
      <c r="B6394" s="16"/>
    </row>
    <row r="6395" spans="2:2" x14ac:dyDescent="0.2">
      <c r="B6395" s="16"/>
    </row>
    <row r="6396" spans="2:2" x14ac:dyDescent="0.2">
      <c r="B6396" s="16"/>
    </row>
    <row r="6397" spans="2:2" x14ac:dyDescent="0.2">
      <c r="B6397" s="16"/>
    </row>
    <row r="6398" spans="2:2" x14ac:dyDescent="0.2">
      <c r="B6398" s="16"/>
    </row>
    <row r="6399" spans="2:2" x14ac:dyDescent="0.2">
      <c r="B6399" s="16"/>
    </row>
    <row r="6400" spans="2:2" x14ac:dyDescent="0.2">
      <c r="B6400" s="16"/>
    </row>
    <row r="6401" spans="2:2" x14ac:dyDescent="0.2">
      <c r="B6401" s="16"/>
    </row>
    <row r="6402" spans="2:2" x14ac:dyDescent="0.2">
      <c r="B6402" s="16"/>
    </row>
    <row r="6403" spans="2:2" x14ac:dyDescent="0.2">
      <c r="B6403" s="16"/>
    </row>
    <row r="6404" spans="2:2" x14ac:dyDescent="0.2">
      <c r="B6404" s="16"/>
    </row>
    <row r="6405" spans="2:2" x14ac:dyDescent="0.2">
      <c r="B6405" s="16"/>
    </row>
    <row r="6406" spans="2:2" x14ac:dyDescent="0.2">
      <c r="B6406" s="16"/>
    </row>
    <row r="6407" spans="2:2" x14ac:dyDescent="0.2">
      <c r="B6407" s="16"/>
    </row>
    <row r="6408" spans="2:2" x14ac:dyDescent="0.2">
      <c r="B6408" s="16"/>
    </row>
    <row r="6409" spans="2:2" x14ac:dyDescent="0.2">
      <c r="B6409" s="16"/>
    </row>
    <row r="6410" spans="2:2" x14ac:dyDescent="0.2">
      <c r="B6410" s="16"/>
    </row>
    <row r="6411" spans="2:2" x14ac:dyDescent="0.2">
      <c r="B6411" s="16"/>
    </row>
    <row r="6412" spans="2:2" x14ac:dyDescent="0.2">
      <c r="B6412" s="16"/>
    </row>
    <row r="6413" spans="2:2" x14ac:dyDescent="0.2">
      <c r="B6413" s="16"/>
    </row>
    <row r="6414" spans="2:2" x14ac:dyDescent="0.2">
      <c r="B6414" s="16"/>
    </row>
    <row r="6415" spans="2:2" x14ac:dyDescent="0.2">
      <c r="B6415" s="16"/>
    </row>
    <row r="6416" spans="2:2" x14ac:dyDescent="0.2">
      <c r="B6416" s="16"/>
    </row>
    <row r="6417" spans="2:2" x14ac:dyDescent="0.2">
      <c r="B6417" s="16"/>
    </row>
    <row r="6418" spans="2:2" x14ac:dyDescent="0.2">
      <c r="B6418" s="16"/>
    </row>
    <row r="6419" spans="2:2" x14ac:dyDescent="0.2">
      <c r="B6419" s="16"/>
    </row>
    <row r="6420" spans="2:2" x14ac:dyDescent="0.2">
      <c r="B6420" s="16"/>
    </row>
    <row r="6421" spans="2:2" x14ac:dyDescent="0.2">
      <c r="B6421" s="16"/>
    </row>
    <row r="6422" spans="2:2" x14ac:dyDescent="0.2">
      <c r="B6422" s="16"/>
    </row>
    <row r="6423" spans="2:2" x14ac:dyDescent="0.2">
      <c r="B6423" s="16"/>
    </row>
    <row r="6424" spans="2:2" x14ac:dyDescent="0.2">
      <c r="B6424" s="16"/>
    </row>
    <row r="6425" spans="2:2" x14ac:dyDescent="0.2">
      <c r="B6425" s="16"/>
    </row>
    <row r="6426" spans="2:2" x14ac:dyDescent="0.2">
      <c r="B6426" s="16"/>
    </row>
    <row r="6427" spans="2:2" x14ac:dyDescent="0.2">
      <c r="B6427" s="16"/>
    </row>
    <row r="6428" spans="2:2" x14ac:dyDescent="0.2">
      <c r="B6428" s="16"/>
    </row>
    <row r="6429" spans="2:2" x14ac:dyDescent="0.2">
      <c r="B6429" s="16"/>
    </row>
    <row r="6430" spans="2:2" x14ac:dyDescent="0.2">
      <c r="B6430" s="16"/>
    </row>
    <row r="6431" spans="2:2" x14ac:dyDescent="0.2">
      <c r="B6431" s="16"/>
    </row>
    <row r="6432" spans="2:2" x14ac:dyDescent="0.2">
      <c r="B6432" s="16"/>
    </row>
    <row r="6433" spans="2:2" x14ac:dyDescent="0.2">
      <c r="B6433" s="16"/>
    </row>
    <row r="6434" spans="2:2" x14ac:dyDescent="0.2">
      <c r="B6434" s="16"/>
    </row>
    <row r="6435" spans="2:2" x14ac:dyDescent="0.2">
      <c r="B6435" s="16"/>
    </row>
    <row r="6436" spans="2:2" x14ac:dyDescent="0.2">
      <c r="B6436" s="16"/>
    </row>
    <row r="6437" spans="2:2" x14ac:dyDescent="0.2">
      <c r="B6437" s="16"/>
    </row>
    <row r="6438" spans="2:2" x14ac:dyDescent="0.2">
      <c r="B6438" s="16"/>
    </row>
    <row r="6439" spans="2:2" x14ac:dyDescent="0.2">
      <c r="B6439" s="16"/>
    </row>
    <row r="6440" spans="2:2" x14ac:dyDescent="0.2">
      <c r="B6440" s="16"/>
    </row>
    <row r="6441" spans="2:2" x14ac:dyDescent="0.2">
      <c r="B6441" s="16"/>
    </row>
    <row r="6442" spans="2:2" x14ac:dyDescent="0.2">
      <c r="B6442" s="16"/>
    </row>
    <row r="6443" spans="2:2" x14ac:dyDescent="0.2">
      <c r="B6443" s="16"/>
    </row>
    <row r="6444" spans="2:2" x14ac:dyDescent="0.2">
      <c r="B6444" s="16"/>
    </row>
    <row r="6445" spans="2:2" x14ac:dyDescent="0.2">
      <c r="B6445" s="16"/>
    </row>
    <row r="6446" spans="2:2" x14ac:dyDescent="0.2">
      <c r="B6446" s="16"/>
    </row>
    <row r="6447" spans="2:2" x14ac:dyDescent="0.2">
      <c r="B6447" s="16"/>
    </row>
    <row r="6448" spans="2:2" x14ac:dyDescent="0.2">
      <c r="B6448" s="16"/>
    </row>
    <row r="6449" spans="2:2" x14ac:dyDescent="0.2">
      <c r="B6449" s="16"/>
    </row>
    <row r="6450" spans="2:2" x14ac:dyDescent="0.2">
      <c r="B6450" s="16"/>
    </row>
    <row r="6451" spans="2:2" x14ac:dyDescent="0.2">
      <c r="B6451" s="16"/>
    </row>
    <row r="6452" spans="2:2" x14ac:dyDescent="0.2">
      <c r="B6452" s="16"/>
    </row>
    <row r="6453" spans="2:2" x14ac:dyDescent="0.2">
      <c r="B6453" s="16"/>
    </row>
    <row r="6454" spans="2:2" x14ac:dyDescent="0.2">
      <c r="B6454" s="16"/>
    </row>
    <row r="6455" spans="2:2" x14ac:dyDescent="0.2">
      <c r="B6455" s="16"/>
    </row>
    <row r="6456" spans="2:2" x14ac:dyDescent="0.2">
      <c r="B6456" s="16"/>
    </row>
    <row r="6457" spans="2:2" x14ac:dyDescent="0.2">
      <c r="B6457" s="16"/>
    </row>
    <row r="6458" spans="2:2" x14ac:dyDescent="0.2">
      <c r="B6458" s="16"/>
    </row>
    <row r="6459" spans="2:2" x14ac:dyDescent="0.2">
      <c r="B6459" s="16"/>
    </row>
    <row r="6460" spans="2:2" x14ac:dyDescent="0.2">
      <c r="B6460" s="16"/>
    </row>
    <row r="6461" spans="2:2" x14ac:dyDescent="0.2">
      <c r="B6461" s="16"/>
    </row>
    <row r="6462" spans="2:2" x14ac:dyDescent="0.2">
      <c r="B6462" s="16"/>
    </row>
    <row r="6463" spans="2:2" x14ac:dyDescent="0.2">
      <c r="B6463" s="16"/>
    </row>
    <row r="6464" spans="2:2" x14ac:dyDescent="0.2">
      <c r="B6464" s="16"/>
    </row>
    <row r="6465" spans="2:2" x14ac:dyDescent="0.2">
      <c r="B6465" s="16"/>
    </row>
    <row r="6466" spans="2:2" x14ac:dyDescent="0.2">
      <c r="B6466" s="16"/>
    </row>
    <row r="6467" spans="2:2" x14ac:dyDescent="0.2">
      <c r="B6467" s="16"/>
    </row>
    <row r="6468" spans="2:2" x14ac:dyDescent="0.2">
      <c r="B6468" s="16"/>
    </row>
    <row r="6469" spans="2:2" x14ac:dyDescent="0.2">
      <c r="B6469" s="16"/>
    </row>
    <row r="6470" spans="2:2" x14ac:dyDescent="0.2">
      <c r="B6470" s="16"/>
    </row>
    <row r="6471" spans="2:2" x14ac:dyDescent="0.2">
      <c r="B6471" s="16"/>
    </row>
    <row r="6472" spans="2:2" x14ac:dyDescent="0.2">
      <c r="B6472" s="16"/>
    </row>
    <row r="6473" spans="2:2" x14ac:dyDescent="0.2">
      <c r="B6473" s="16"/>
    </row>
    <row r="6474" spans="2:2" x14ac:dyDescent="0.2">
      <c r="B6474" s="16"/>
    </row>
    <row r="6475" spans="2:2" x14ac:dyDescent="0.2">
      <c r="B6475" s="16"/>
    </row>
    <row r="6476" spans="2:2" x14ac:dyDescent="0.2">
      <c r="B6476" s="16"/>
    </row>
    <row r="6477" spans="2:2" x14ac:dyDescent="0.2">
      <c r="B6477" s="16"/>
    </row>
    <row r="6478" spans="2:2" x14ac:dyDescent="0.2">
      <c r="B6478" s="16"/>
    </row>
    <row r="6479" spans="2:2" x14ac:dyDescent="0.2">
      <c r="B6479" s="16"/>
    </row>
    <row r="6480" spans="2:2" x14ac:dyDescent="0.2">
      <c r="B6480" s="16"/>
    </row>
    <row r="6481" spans="2:2" x14ac:dyDescent="0.2">
      <c r="B6481" s="16"/>
    </row>
    <row r="6482" spans="2:2" x14ac:dyDescent="0.2">
      <c r="B6482" s="16"/>
    </row>
    <row r="6483" spans="2:2" x14ac:dyDescent="0.2">
      <c r="B6483" s="16"/>
    </row>
    <row r="6484" spans="2:2" x14ac:dyDescent="0.2">
      <c r="B6484" s="16"/>
    </row>
    <row r="6485" spans="2:2" x14ac:dyDescent="0.2">
      <c r="B6485" s="16"/>
    </row>
    <row r="6486" spans="2:2" x14ac:dyDescent="0.2">
      <c r="B6486" s="16"/>
    </row>
    <row r="6487" spans="2:2" x14ac:dyDescent="0.2">
      <c r="B6487" s="16"/>
    </row>
    <row r="6488" spans="2:2" x14ac:dyDescent="0.2">
      <c r="B6488" s="16"/>
    </row>
    <row r="6489" spans="2:2" x14ac:dyDescent="0.2">
      <c r="B6489" s="16"/>
    </row>
    <row r="6490" spans="2:2" x14ac:dyDescent="0.2">
      <c r="B6490" s="16"/>
    </row>
    <row r="6491" spans="2:2" x14ac:dyDescent="0.2">
      <c r="B6491" s="16"/>
    </row>
    <row r="6492" spans="2:2" x14ac:dyDescent="0.2">
      <c r="B6492" s="16"/>
    </row>
    <row r="6493" spans="2:2" x14ac:dyDescent="0.2">
      <c r="B6493" s="16"/>
    </row>
    <row r="6494" spans="2:2" x14ac:dyDescent="0.2">
      <c r="B6494" s="16"/>
    </row>
    <row r="6495" spans="2:2" x14ac:dyDescent="0.2">
      <c r="B6495" s="16"/>
    </row>
    <row r="6496" spans="2:2" x14ac:dyDescent="0.2">
      <c r="B6496" s="16"/>
    </row>
    <row r="6497" spans="2:2" x14ac:dyDescent="0.2">
      <c r="B6497" s="16"/>
    </row>
    <row r="6498" spans="2:2" x14ac:dyDescent="0.2">
      <c r="B6498" s="16"/>
    </row>
    <row r="6499" spans="2:2" x14ac:dyDescent="0.2">
      <c r="B6499" s="16"/>
    </row>
    <row r="6500" spans="2:2" x14ac:dyDescent="0.2">
      <c r="B6500" s="16"/>
    </row>
    <row r="6501" spans="2:2" x14ac:dyDescent="0.2">
      <c r="B6501" s="16"/>
    </row>
    <row r="6502" spans="2:2" x14ac:dyDescent="0.2">
      <c r="B6502" s="16"/>
    </row>
    <row r="6503" spans="2:2" x14ac:dyDescent="0.2">
      <c r="B6503" s="16"/>
    </row>
    <row r="6504" spans="2:2" x14ac:dyDescent="0.2">
      <c r="B6504" s="16"/>
    </row>
    <row r="6505" spans="2:2" x14ac:dyDescent="0.2">
      <c r="B6505" s="16"/>
    </row>
    <row r="6506" spans="2:2" x14ac:dyDescent="0.2">
      <c r="B6506" s="16"/>
    </row>
    <row r="6507" spans="2:2" x14ac:dyDescent="0.2">
      <c r="B6507" s="16"/>
    </row>
    <row r="6508" spans="2:2" x14ac:dyDescent="0.2">
      <c r="B6508" s="16"/>
    </row>
    <row r="6509" spans="2:2" x14ac:dyDescent="0.2">
      <c r="B6509" s="16"/>
    </row>
    <row r="6510" spans="2:2" x14ac:dyDescent="0.2">
      <c r="B6510" s="16"/>
    </row>
    <row r="6511" spans="2:2" x14ac:dyDescent="0.2">
      <c r="B6511" s="16"/>
    </row>
    <row r="6512" spans="2:2" x14ac:dyDescent="0.2">
      <c r="B6512" s="16"/>
    </row>
    <row r="6513" spans="2:2" x14ac:dyDescent="0.2">
      <c r="B6513" s="16"/>
    </row>
    <row r="6514" spans="2:2" x14ac:dyDescent="0.2">
      <c r="B6514" s="16"/>
    </row>
    <row r="6515" spans="2:2" x14ac:dyDescent="0.2">
      <c r="B6515" s="16"/>
    </row>
    <row r="6516" spans="2:2" x14ac:dyDescent="0.2">
      <c r="B6516" s="16"/>
    </row>
    <row r="6517" spans="2:2" x14ac:dyDescent="0.2">
      <c r="B6517" s="16"/>
    </row>
    <row r="6518" spans="2:2" x14ac:dyDescent="0.2">
      <c r="B6518" s="16"/>
    </row>
    <row r="6519" spans="2:2" x14ac:dyDescent="0.2">
      <c r="B6519" s="16"/>
    </row>
    <row r="6520" spans="2:2" x14ac:dyDescent="0.2">
      <c r="B6520" s="16"/>
    </row>
    <row r="6521" spans="2:2" x14ac:dyDescent="0.2">
      <c r="B6521" s="16"/>
    </row>
    <row r="6522" spans="2:2" x14ac:dyDescent="0.2">
      <c r="B6522" s="16"/>
    </row>
    <row r="6523" spans="2:2" x14ac:dyDescent="0.2">
      <c r="B6523" s="16"/>
    </row>
    <row r="6524" spans="2:2" x14ac:dyDescent="0.2">
      <c r="B6524" s="16"/>
    </row>
    <row r="6525" spans="2:2" x14ac:dyDescent="0.2">
      <c r="B6525" s="16"/>
    </row>
    <row r="6526" spans="2:2" x14ac:dyDescent="0.2">
      <c r="B6526" s="16"/>
    </row>
    <row r="6527" spans="2:2" x14ac:dyDescent="0.2">
      <c r="B6527" s="16"/>
    </row>
    <row r="6528" spans="2:2" x14ac:dyDescent="0.2">
      <c r="B6528" s="16"/>
    </row>
    <row r="6529" spans="2:2" x14ac:dyDescent="0.2">
      <c r="B6529" s="16"/>
    </row>
    <row r="6530" spans="2:2" x14ac:dyDescent="0.2">
      <c r="B6530" s="16"/>
    </row>
    <row r="6531" spans="2:2" x14ac:dyDescent="0.2">
      <c r="B6531" s="16"/>
    </row>
    <row r="6532" spans="2:2" x14ac:dyDescent="0.2">
      <c r="B6532" s="16"/>
    </row>
    <row r="6533" spans="2:2" x14ac:dyDescent="0.2">
      <c r="B6533" s="16"/>
    </row>
    <row r="6534" spans="2:2" x14ac:dyDescent="0.2">
      <c r="B6534" s="16"/>
    </row>
    <row r="6535" spans="2:2" x14ac:dyDescent="0.2">
      <c r="B6535" s="16"/>
    </row>
    <row r="6536" spans="2:2" x14ac:dyDescent="0.2">
      <c r="B6536" s="16"/>
    </row>
    <row r="6537" spans="2:2" x14ac:dyDescent="0.2">
      <c r="B6537" s="16"/>
    </row>
    <row r="6538" spans="2:2" x14ac:dyDescent="0.2">
      <c r="B6538" s="16"/>
    </row>
    <row r="6539" spans="2:2" x14ac:dyDescent="0.2">
      <c r="B6539" s="16"/>
    </row>
    <row r="6540" spans="2:2" x14ac:dyDescent="0.2">
      <c r="B6540" s="16"/>
    </row>
    <row r="6541" spans="2:2" x14ac:dyDescent="0.2">
      <c r="B6541" s="16"/>
    </row>
    <row r="6542" spans="2:2" x14ac:dyDescent="0.2">
      <c r="B6542" s="16"/>
    </row>
    <row r="6543" spans="2:2" x14ac:dyDescent="0.2">
      <c r="B6543" s="16"/>
    </row>
    <row r="6544" spans="2:2" x14ac:dyDescent="0.2">
      <c r="B6544" s="16"/>
    </row>
    <row r="6545" spans="2:2" x14ac:dyDescent="0.2">
      <c r="B6545" s="16"/>
    </row>
    <row r="6546" spans="2:2" x14ac:dyDescent="0.2">
      <c r="B6546" s="16"/>
    </row>
    <row r="6547" spans="2:2" x14ac:dyDescent="0.2">
      <c r="B6547" s="16"/>
    </row>
    <row r="6548" spans="2:2" x14ac:dyDescent="0.2">
      <c r="B6548" s="16"/>
    </row>
    <row r="6549" spans="2:2" x14ac:dyDescent="0.2">
      <c r="B6549" s="16"/>
    </row>
    <row r="6550" spans="2:2" x14ac:dyDescent="0.2">
      <c r="B6550" s="16"/>
    </row>
    <row r="6551" spans="2:2" x14ac:dyDescent="0.2">
      <c r="B6551" s="16"/>
    </row>
    <row r="6552" spans="2:2" x14ac:dyDescent="0.2">
      <c r="B6552" s="16"/>
    </row>
    <row r="6553" spans="2:2" x14ac:dyDescent="0.2">
      <c r="B6553" s="16"/>
    </row>
    <row r="6554" spans="2:2" x14ac:dyDescent="0.2">
      <c r="B6554" s="16"/>
    </row>
    <row r="6555" spans="2:2" x14ac:dyDescent="0.2">
      <c r="B6555" s="16"/>
    </row>
    <row r="6556" spans="2:2" x14ac:dyDescent="0.2">
      <c r="B6556" s="16"/>
    </row>
    <row r="6557" spans="2:2" x14ac:dyDescent="0.2">
      <c r="B6557" s="16"/>
    </row>
    <row r="6558" spans="2:2" x14ac:dyDescent="0.2">
      <c r="B6558" s="16"/>
    </row>
    <row r="6559" spans="2:2" x14ac:dyDescent="0.2">
      <c r="B6559" s="16"/>
    </row>
    <row r="6560" spans="2:2" x14ac:dyDescent="0.2">
      <c r="B6560" s="16"/>
    </row>
    <row r="6561" spans="2:2" x14ac:dyDescent="0.2">
      <c r="B6561" s="16"/>
    </row>
    <row r="6562" spans="2:2" x14ac:dyDescent="0.2">
      <c r="B6562" s="16"/>
    </row>
    <row r="6563" spans="2:2" x14ac:dyDescent="0.2">
      <c r="B6563" s="16"/>
    </row>
    <row r="6564" spans="2:2" x14ac:dyDescent="0.2">
      <c r="B6564" s="16"/>
    </row>
    <row r="6565" spans="2:2" x14ac:dyDescent="0.2">
      <c r="B6565" s="16"/>
    </row>
    <row r="6566" spans="2:2" x14ac:dyDescent="0.2">
      <c r="B6566" s="16"/>
    </row>
    <row r="6567" spans="2:2" x14ac:dyDescent="0.2">
      <c r="B6567" s="16"/>
    </row>
    <row r="6568" spans="2:2" x14ac:dyDescent="0.2">
      <c r="B6568" s="16"/>
    </row>
    <row r="6569" spans="2:2" x14ac:dyDescent="0.2">
      <c r="B6569" s="16"/>
    </row>
    <row r="6570" spans="2:2" x14ac:dyDescent="0.2">
      <c r="B6570" s="16"/>
    </row>
    <row r="6571" spans="2:2" x14ac:dyDescent="0.2">
      <c r="B6571" s="16"/>
    </row>
    <row r="6572" spans="2:2" x14ac:dyDescent="0.2">
      <c r="B6572" s="16"/>
    </row>
    <row r="6573" spans="2:2" x14ac:dyDescent="0.2">
      <c r="B6573" s="16"/>
    </row>
    <row r="6574" spans="2:2" x14ac:dyDescent="0.2">
      <c r="B6574" s="16"/>
    </row>
    <row r="6575" spans="2:2" x14ac:dyDescent="0.2">
      <c r="B6575" s="16"/>
    </row>
    <row r="6576" spans="2:2" x14ac:dyDescent="0.2">
      <c r="B6576" s="16"/>
    </row>
    <row r="6577" spans="2:2" x14ac:dyDescent="0.2">
      <c r="B6577" s="16"/>
    </row>
    <row r="6578" spans="2:2" x14ac:dyDescent="0.2">
      <c r="B6578" s="16"/>
    </row>
    <row r="6579" spans="2:2" x14ac:dyDescent="0.2">
      <c r="B6579" s="16"/>
    </row>
    <row r="6580" spans="2:2" x14ac:dyDescent="0.2">
      <c r="B6580" s="16"/>
    </row>
    <row r="6581" spans="2:2" x14ac:dyDescent="0.2">
      <c r="B6581" s="16"/>
    </row>
    <row r="6582" spans="2:2" x14ac:dyDescent="0.2">
      <c r="B6582" s="16"/>
    </row>
    <row r="6583" spans="2:2" x14ac:dyDescent="0.2">
      <c r="B6583" s="16"/>
    </row>
    <row r="6584" spans="2:2" x14ac:dyDescent="0.2">
      <c r="B6584" s="16"/>
    </row>
    <row r="6585" spans="2:2" x14ac:dyDescent="0.2">
      <c r="B6585" s="16"/>
    </row>
    <row r="6586" spans="2:2" x14ac:dyDescent="0.2">
      <c r="B6586" s="16"/>
    </row>
    <row r="6587" spans="2:2" x14ac:dyDescent="0.2">
      <c r="B6587" s="16"/>
    </row>
    <row r="6588" spans="2:2" x14ac:dyDescent="0.2">
      <c r="B6588" s="16"/>
    </row>
    <row r="6589" spans="2:2" x14ac:dyDescent="0.2">
      <c r="B6589" s="16"/>
    </row>
    <row r="6590" spans="2:2" x14ac:dyDescent="0.2">
      <c r="B6590" s="16"/>
    </row>
    <row r="6591" spans="2:2" x14ac:dyDescent="0.2">
      <c r="B6591" s="16"/>
    </row>
    <row r="6592" spans="2:2" x14ac:dyDescent="0.2">
      <c r="B6592" s="16"/>
    </row>
    <row r="6593" spans="2:2" x14ac:dyDescent="0.2">
      <c r="B6593" s="16"/>
    </row>
    <row r="6594" spans="2:2" x14ac:dyDescent="0.2">
      <c r="B6594" s="16"/>
    </row>
    <row r="6595" spans="2:2" x14ac:dyDescent="0.2">
      <c r="B6595" s="16"/>
    </row>
    <row r="6596" spans="2:2" x14ac:dyDescent="0.2">
      <c r="B6596" s="16"/>
    </row>
    <row r="6597" spans="2:2" x14ac:dyDescent="0.2">
      <c r="B6597" s="16"/>
    </row>
    <row r="6598" spans="2:2" x14ac:dyDescent="0.2">
      <c r="B6598" s="16"/>
    </row>
    <row r="6599" spans="2:2" x14ac:dyDescent="0.2">
      <c r="B6599" s="16"/>
    </row>
    <row r="6600" spans="2:2" x14ac:dyDescent="0.2">
      <c r="B6600" s="16"/>
    </row>
    <row r="6601" spans="2:2" x14ac:dyDescent="0.2">
      <c r="B6601" s="16"/>
    </row>
    <row r="6602" spans="2:2" x14ac:dyDescent="0.2">
      <c r="B6602" s="16"/>
    </row>
    <row r="6603" spans="2:2" x14ac:dyDescent="0.2">
      <c r="B6603" s="16"/>
    </row>
    <row r="6604" spans="2:2" x14ac:dyDescent="0.2">
      <c r="B6604" s="16"/>
    </row>
    <row r="6605" spans="2:2" x14ac:dyDescent="0.2">
      <c r="B6605" s="16"/>
    </row>
    <row r="6606" spans="2:2" x14ac:dyDescent="0.2">
      <c r="B6606" s="16"/>
    </row>
    <row r="6607" spans="2:2" x14ac:dyDescent="0.2">
      <c r="B6607" s="16"/>
    </row>
    <row r="6608" spans="2:2" x14ac:dyDescent="0.2">
      <c r="B6608" s="16"/>
    </row>
    <row r="6609" spans="2:2" x14ac:dyDescent="0.2">
      <c r="B6609" s="16"/>
    </row>
    <row r="6610" spans="2:2" x14ac:dyDescent="0.2">
      <c r="B6610" s="16"/>
    </row>
    <row r="6611" spans="2:2" x14ac:dyDescent="0.2">
      <c r="B6611" s="16"/>
    </row>
    <row r="6612" spans="2:2" x14ac:dyDescent="0.2">
      <c r="B6612" s="16"/>
    </row>
    <row r="6613" spans="2:2" x14ac:dyDescent="0.2">
      <c r="B6613" s="16"/>
    </row>
    <row r="6614" spans="2:2" x14ac:dyDescent="0.2">
      <c r="B6614" s="16"/>
    </row>
    <row r="6615" spans="2:2" x14ac:dyDescent="0.2">
      <c r="B6615" s="16"/>
    </row>
    <row r="6616" spans="2:2" x14ac:dyDescent="0.2">
      <c r="B6616" s="16"/>
    </row>
    <row r="6617" spans="2:2" x14ac:dyDescent="0.2">
      <c r="B6617" s="16"/>
    </row>
    <row r="6618" spans="2:2" x14ac:dyDescent="0.2">
      <c r="B6618" s="16"/>
    </row>
    <row r="6619" spans="2:2" x14ac:dyDescent="0.2">
      <c r="B6619" s="16"/>
    </row>
    <row r="6620" spans="2:2" x14ac:dyDescent="0.2">
      <c r="B6620" s="16"/>
    </row>
    <row r="6621" spans="2:2" x14ac:dyDescent="0.2">
      <c r="B6621" s="16"/>
    </row>
    <row r="6622" spans="2:2" x14ac:dyDescent="0.2">
      <c r="B6622" s="16"/>
    </row>
    <row r="6623" spans="2:2" x14ac:dyDescent="0.2">
      <c r="B6623" s="16"/>
    </row>
    <row r="6624" spans="2:2" x14ac:dyDescent="0.2">
      <c r="B6624" s="16"/>
    </row>
    <row r="6625" spans="2:2" x14ac:dyDescent="0.2">
      <c r="B6625" s="16"/>
    </row>
    <row r="6626" spans="2:2" x14ac:dyDescent="0.2">
      <c r="B6626" s="16"/>
    </row>
    <row r="6627" spans="2:2" x14ac:dyDescent="0.2">
      <c r="B6627" s="16"/>
    </row>
    <row r="6628" spans="2:2" x14ac:dyDescent="0.2">
      <c r="B6628" s="16"/>
    </row>
    <row r="6629" spans="2:2" x14ac:dyDescent="0.2">
      <c r="B6629" s="16"/>
    </row>
    <row r="6630" spans="2:2" x14ac:dyDescent="0.2">
      <c r="B6630" s="16"/>
    </row>
    <row r="6631" spans="2:2" x14ac:dyDescent="0.2">
      <c r="B6631" s="16"/>
    </row>
    <row r="6632" spans="2:2" x14ac:dyDescent="0.2">
      <c r="B6632" s="16"/>
    </row>
    <row r="6633" spans="2:2" x14ac:dyDescent="0.2">
      <c r="B6633" s="16"/>
    </row>
    <row r="6634" spans="2:2" x14ac:dyDescent="0.2">
      <c r="B6634" s="16"/>
    </row>
    <row r="6635" spans="2:2" x14ac:dyDescent="0.2">
      <c r="B6635" s="16"/>
    </row>
    <row r="6636" spans="2:2" x14ac:dyDescent="0.2">
      <c r="B6636" s="16"/>
    </row>
    <row r="6637" spans="2:2" x14ac:dyDescent="0.2">
      <c r="B6637" s="16"/>
    </row>
    <row r="6638" spans="2:2" x14ac:dyDescent="0.2">
      <c r="B6638" s="16"/>
    </row>
    <row r="6639" spans="2:2" x14ac:dyDescent="0.2">
      <c r="B6639" s="16"/>
    </row>
    <row r="6640" spans="2:2" x14ac:dyDescent="0.2">
      <c r="B6640" s="16"/>
    </row>
    <row r="6641" spans="2:2" x14ac:dyDescent="0.2">
      <c r="B6641" s="16"/>
    </row>
    <row r="6642" spans="2:2" x14ac:dyDescent="0.2">
      <c r="B6642" s="16"/>
    </row>
    <row r="6643" spans="2:2" x14ac:dyDescent="0.2">
      <c r="B6643" s="16"/>
    </row>
    <row r="6644" spans="2:2" x14ac:dyDescent="0.2">
      <c r="B6644" s="16"/>
    </row>
    <row r="6645" spans="2:2" x14ac:dyDescent="0.2">
      <c r="B6645" s="16"/>
    </row>
    <row r="6646" spans="2:2" x14ac:dyDescent="0.2">
      <c r="B6646" s="16"/>
    </row>
    <row r="6647" spans="2:2" x14ac:dyDescent="0.2">
      <c r="B6647" s="16"/>
    </row>
    <row r="6648" spans="2:2" x14ac:dyDescent="0.2">
      <c r="B6648" s="16"/>
    </row>
    <row r="6649" spans="2:2" x14ac:dyDescent="0.2">
      <c r="B6649" s="16"/>
    </row>
    <row r="6650" spans="2:2" x14ac:dyDescent="0.2">
      <c r="B6650" s="16"/>
    </row>
    <row r="6651" spans="2:2" x14ac:dyDescent="0.2">
      <c r="B6651" s="16"/>
    </row>
    <row r="6652" spans="2:2" x14ac:dyDescent="0.2">
      <c r="B6652" s="16"/>
    </row>
    <row r="6653" spans="2:2" x14ac:dyDescent="0.2">
      <c r="B6653" s="16"/>
    </row>
    <row r="6654" spans="2:2" x14ac:dyDescent="0.2">
      <c r="B6654" s="16"/>
    </row>
    <row r="6655" spans="2:2" x14ac:dyDescent="0.2">
      <c r="B6655" s="16"/>
    </row>
    <row r="6656" spans="2:2" x14ac:dyDescent="0.2">
      <c r="B6656" s="16"/>
    </row>
    <row r="6657" spans="2:2" x14ac:dyDescent="0.2">
      <c r="B6657" s="16"/>
    </row>
    <row r="6658" spans="2:2" x14ac:dyDescent="0.2">
      <c r="B6658" s="16"/>
    </row>
    <row r="6659" spans="2:2" x14ac:dyDescent="0.2">
      <c r="B6659" s="16"/>
    </row>
    <row r="6660" spans="2:2" x14ac:dyDescent="0.2">
      <c r="B6660" s="16"/>
    </row>
    <row r="6661" spans="2:2" x14ac:dyDescent="0.2">
      <c r="B6661" s="16"/>
    </row>
    <row r="6662" spans="2:2" x14ac:dyDescent="0.2">
      <c r="B6662" s="16"/>
    </row>
    <row r="6663" spans="2:2" x14ac:dyDescent="0.2">
      <c r="B6663" s="16"/>
    </row>
    <row r="6664" spans="2:2" x14ac:dyDescent="0.2">
      <c r="B6664" s="16"/>
    </row>
    <row r="6665" spans="2:2" x14ac:dyDescent="0.2">
      <c r="B6665" s="16"/>
    </row>
    <row r="6666" spans="2:2" x14ac:dyDescent="0.2">
      <c r="B6666" s="16"/>
    </row>
    <row r="6667" spans="2:2" x14ac:dyDescent="0.2">
      <c r="B6667" s="16"/>
    </row>
    <row r="6668" spans="2:2" x14ac:dyDescent="0.2">
      <c r="B6668" s="16"/>
    </row>
    <row r="6669" spans="2:2" x14ac:dyDescent="0.2">
      <c r="B6669" s="16"/>
    </row>
    <row r="6670" spans="2:2" x14ac:dyDescent="0.2">
      <c r="B6670" s="16"/>
    </row>
    <row r="6671" spans="2:2" x14ac:dyDescent="0.2">
      <c r="B6671" s="16"/>
    </row>
    <row r="6672" spans="2:2" x14ac:dyDescent="0.2">
      <c r="B6672" s="16"/>
    </row>
    <row r="6673" spans="2:2" x14ac:dyDescent="0.2">
      <c r="B6673" s="16"/>
    </row>
    <row r="6674" spans="2:2" x14ac:dyDescent="0.2">
      <c r="B6674" s="16"/>
    </row>
    <row r="6675" spans="2:2" x14ac:dyDescent="0.2">
      <c r="B6675" s="16"/>
    </row>
    <row r="6676" spans="2:2" x14ac:dyDescent="0.2">
      <c r="B6676" s="16"/>
    </row>
    <row r="6677" spans="2:2" x14ac:dyDescent="0.2">
      <c r="B6677" s="16"/>
    </row>
    <row r="6678" spans="2:2" x14ac:dyDescent="0.2">
      <c r="B6678" s="16"/>
    </row>
    <row r="6679" spans="2:2" x14ac:dyDescent="0.2">
      <c r="B6679" s="16"/>
    </row>
    <row r="6680" spans="2:2" x14ac:dyDescent="0.2">
      <c r="B6680" s="16"/>
    </row>
    <row r="6681" spans="2:2" x14ac:dyDescent="0.2">
      <c r="B6681" s="16"/>
    </row>
    <row r="6682" spans="2:2" x14ac:dyDescent="0.2">
      <c r="B6682" s="16"/>
    </row>
    <row r="6683" spans="2:2" x14ac:dyDescent="0.2">
      <c r="B6683" s="16"/>
    </row>
    <row r="6684" spans="2:2" x14ac:dyDescent="0.2">
      <c r="B6684" s="16"/>
    </row>
    <row r="6685" spans="2:2" x14ac:dyDescent="0.2">
      <c r="B6685" s="16"/>
    </row>
    <row r="6686" spans="2:2" x14ac:dyDescent="0.2">
      <c r="B6686" s="16"/>
    </row>
    <row r="6687" spans="2:2" x14ac:dyDescent="0.2">
      <c r="B6687" s="16"/>
    </row>
    <row r="6688" spans="2:2" x14ac:dyDescent="0.2">
      <c r="B6688" s="16"/>
    </row>
    <row r="6689" spans="2:2" x14ac:dyDescent="0.2">
      <c r="B6689" s="16"/>
    </row>
    <row r="6690" spans="2:2" x14ac:dyDescent="0.2">
      <c r="B6690" s="16"/>
    </row>
    <row r="6691" spans="2:2" x14ac:dyDescent="0.2">
      <c r="B6691" s="16"/>
    </row>
    <row r="6692" spans="2:2" x14ac:dyDescent="0.2">
      <c r="B6692" s="16"/>
    </row>
    <row r="6693" spans="2:2" x14ac:dyDescent="0.2">
      <c r="B6693" s="16"/>
    </row>
    <row r="6694" spans="2:2" x14ac:dyDescent="0.2">
      <c r="B6694" s="16"/>
    </row>
    <row r="6695" spans="2:2" x14ac:dyDescent="0.2">
      <c r="B6695" s="16"/>
    </row>
    <row r="6696" spans="2:2" x14ac:dyDescent="0.2">
      <c r="B6696" s="16"/>
    </row>
    <row r="6697" spans="2:2" x14ac:dyDescent="0.2">
      <c r="B6697" s="16"/>
    </row>
    <row r="6698" spans="2:2" x14ac:dyDescent="0.2">
      <c r="B6698" s="16"/>
    </row>
    <row r="6699" spans="2:2" x14ac:dyDescent="0.2">
      <c r="B6699" s="16"/>
    </row>
    <row r="6700" spans="2:2" x14ac:dyDescent="0.2">
      <c r="B6700" s="16"/>
    </row>
    <row r="6701" spans="2:2" x14ac:dyDescent="0.2">
      <c r="B6701" s="16"/>
    </row>
    <row r="6702" spans="2:2" x14ac:dyDescent="0.2">
      <c r="B6702" s="16"/>
    </row>
    <row r="6703" spans="2:2" x14ac:dyDescent="0.2">
      <c r="B6703" s="16"/>
    </row>
    <row r="6704" spans="2:2" x14ac:dyDescent="0.2">
      <c r="B6704" s="16"/>
    </row>
    <row r="6705" spans="2:2" x14ac:dyDescent="0.2">
      <c r="B6705" s="16"/>
    </row>
    <row r="6706" spans="2:2" x14ac:dyDescent="0.2">
      <c r="B6706" s="16"/>
    </row>
    <row r="6707" spans="2:2" x14ac:dyDescent="0.2">
      <c r="B6707" s="16"/>
    </row>
    <row r="6708" spans="2:2" x14ac:dyDescent="0.2">
      <c r="B6708" s="16"/>
    </row>
    <row r="6709" spans="2:2" x14ac:dyDescent="0.2">
      <c r="B6709" s="16"/>
    </row>
    <row r="6710" spans="2:2" x14ac:dyDescent="0.2">
      <c r="B6710" s="16"/>
    </row>
    <row r="6711" spans="2:2" x14ac:dyDescent="0.2">
      <c r="B6711" s="16"/>
    </row>
    <row r="6712" spans="2:2" x14ac:dyDescent="0.2">
      <c r="B6712" s="16"/>
    </row>
    <row r="6713" spans="2:2" x14ac:dyDescent="0.2">
      <c r="B6713" s="16"/>
    </row>
    <row r="6714" spans="2:2" x14ac:dyDescent="0.2">
      <c r="B6714" s="16"/>
    </row>
    <row r="6715" spans="2:2" x14ac:dyDescent="0.2">
      <c r="B6715" s="16"/>
    </row>
    <row r="6716" spans="2:2" x14ac:dyDescent="0.2">
      <c r="B6716" s="16"/>
    </row>
    <row r="6717" spans="2:2" x14ac:dyDescent="0.2">
      <c r="B6717" s="16"/>
    </row>
    <row r="6718" spans="2:2" x14ac:dyDescent="0.2">
      <c r="B6718" s="16"/>
    </row>
    <row r="6719" spans="2:2" x14ac:dyDescent="0.2">
      <c r="B6719" s="16"/>
    </row>
    <row r="6720" spans="2:2" x14ac:dyDescent="0.2">
      <c r="B6720" s="16"/>
    </row>
    <row r="6721" spans="2:2" x14ac:dyDescent="0.2">
      <c r="B6721" s="16"/>
    </row>
    <row r="6722" spans="2:2" x14ac:dyDescent="0.2">
      <c r="B6722" s="16"/>
    </row>
    <row r="6723" spans="2:2" x14ac:dyDescent="0.2">
      <c r="B6723" s="16"/>
    </row>
    <row r="6724" spans="2:2" x14ac:dyDescent="0.2">
      <c r="B6724" s="16"/>
    </row>
    <row r="6725" spans="2:2" x14ac:dyDescent="0.2">
      <c r="B6725" s="16"/>
    </row>
    <row r="6726" spans="2:2" x14ac:dyDescent="0.2">
      <c r="B6726" s="16"/>
    </row>
    <row r="6727" spans="2:2" x14ac:dyDescent="0.2">
      <c r="B6727" s="16"/>
    </row>
    <row r="6728" spans="2:2" x14ac:dyDescent="0.2">
      <c r="B6728" s="16"/>
    </row>
    <row r="6729" spans="2:2" x14ac:dyDescent="0.2">
      <c r="B6729" s="16"/>
    </row>
    <row r="6730" spans="2:2" x14ac:dyDescent="0.2">
      <c r="B6730" s="16"/>
    </row>
    <row r="6731" spans="2:2" x14ac:dyDescent="0.2">
      <c r="B6731" s="16"/>
    </row>
    <row r="6732" spans="2:2" x14ac:dyDescent="0.2">
      <c r="B6732" s="16"/>
    </row>
    <row r="6733" spans="2:2" x14ac:dyDescent="0.2">
      <c r="B6733" s="16"/>
    </row>
    <row r="6734" spans="2:2" x14ac:dyDescent="0.2">
      <c r="B6734" s="16"/>
    </row>
    <row r="6735" spans="2:2" x14ac:dyDescent="0.2">
      <c r="B6735" s="16"/>
    </row>
    <row r="6736" spans="2:2" x14ac:dyDescent="0.2">
      <c r="B6736" s="16"/>
    </row>
    <row r="6737" spans="2:2" x14ac:dyDescent="0.2">
      <c r="B6737" s="16"/>
    </row>
    <row r="6738" spans="2:2" x14ac:dyDescent="0.2">
      <c r="B6738" s="16"/>
    </row>
    <row r="6739" spans="2:2" x14ac:dyDescent="0.2">
      <c r="B6739" s="16"/>
    </row>
    <row r="6740" spans="2:2" x14ac:dyDescent="0.2">
      <c r="B6740" s="16"/>
    </row>
    <row r="6741" spans="2:2" x14ac:dyDescent="0.2">
      <c r="B6741" s="16"/>
    </row>
    <row r="6742" spans="2:2" x14ac:dyDescent="0.2">
      <c r="B6742" s="16"/>
    </row>
    <row r="6743" spans="2:2" x14ac:dyDescent="0.2">
      <c r="B6743" s="16"/>
    </row>
    <row r="6744" spans="2:2" x14ac:dyDescent="0.2">
      <c r="B6744" s="16"/>
    </row>
    <row r="6745" spans="2:2" x14ac:dyDescent="0.2">
      <c r="B6745" s="16"/>
    </row>
    <row r="6746" spans="2:2" x14ac:dyDescent="0.2">
      <c r="B6746" s="16"/>
    </row>
    <row r="6747" spans="2:2" x14ac:dyDescent="0.2">
      <c r="B6747" s="16"/>
    </row>
    <row r="6748" spans="2:2" x14ac:dyDescent="0.2">
      <c r="B6748" s="16"/>
    </row>
    <row r="6749" spans="2:2" x14ac:dyDescent="0.2">
      <c r="B6749" s="16"/>
    </row>
    <row r="6750" spans="2:2" x14ac:dyDescent="0.2">
      <c r="B6750" s="16"/>
    </row>
    <row r="6751" spans="2:2" x14ac:dyDescent="0.2">
      <c r="B6751" s="16"/>
    </row>
    <row r="6752" spans="2:2" x14ac:dyDescent="0.2">
      <c r="B6752" s="16"/>
    </row>
    <row r="6753" spans="2:2" x14ac:dyDescent="0.2">
      <c r="B6753" s="16"/>
    </row>
    <row r="6754" spans="2:2" x14ac:dyDescent="0.2">
      <c r="B6754" s="16"/>
    </row>
    <row r="6755" spans="2:2" x14ac:dyDescent="0.2">
      <c r="B6755" s="16"/>
    </row>
    <row r="6756" spans="2:2" x14ac:dyDescent="0.2">
      <c r="B6756" s="16"/>
    </row>
    <row r="6757" spans="2:2" x14ac:dyDescent="0.2">
      <c r="B6757" s="16"/>
    </row>
    <row r="6758" spans="2:2" x14ac:dyDescent="0.2">
      <c r="B6758" s="16"/>
    </row>
    <row r="6759" spans="2:2" x14ac:dyDescent="0.2">
      <c r="B6759" s="16"/>
    </row>
    <row r="6760" spans="2:2" x14ac:dyDescent="0.2">
      <c r="B6760" s="16"/>
    </row>
    <row r="6761" spans="2:2" x14ac:dyDescent="0.2">
      <c r="B6761" s="16"/>
    </row>
    <row r="6762" spans="2:2" x14ac:dyDescent="0.2">
      <c r="B6762" s="16"/>
    </row>
    <row r="6763" spans="2:2" x14ac:dyDescent="0.2">
      <c r="B6763" s="16"/>
    </row>
    <row r="6764" spans="2:2" x14ac:dyDescent="0.2">
      <c r="B6764" s="16"/>
    </row>
    <row r="6765" spans="2:2" x14ac:dyDescent="0.2">
      <c r="B6765" s="16"/>
    </row>
    <row r="6766" spans="2:2" x14ac:dyDescent="0.2">
      <c r="B6766" s="16"/>
    </row>
    <row r="6767" spans="2:2" x14ac:dyDescent="0.2">
      <c r="B6767" s="16"/>
    </row>
    <row r="6768" spans="2:2" x14ac:dyDescent="0.2">
      <c r="B6768" s="16"/>
    </row>
    <row r="6769" spans="2:2" x14ac:dyDescent="0.2">
      <c r="B6769" s="16"/>
    </row>
    <row r="6770" spans="2:2" x14ac:dyDescent="0.2">
      <c r="B6770" s="16"/>
    </row>
    <row r="6771" spans="2:2" x14ac:dyDescent="0.2">
      <c r="B6771" s="16"/>
    </row>
    <row r="6772" spans="2:2" x14ac:dyDescent="0.2">
      <c r="B6772" s="16"/>
    </row>
    <row r="6773" spans="2:2" x14ac:dyDescent="0.2">
      <c r="B6773" s="16"/>
    </row>
    <row r="6774" spans="2:2" x14ac:dyDescent="0.2">
      <c r="B6774" s="16"/>
    </row>
    <row r="6775" spans="2:2" x14ac:dyDescent="0.2">
      <c r="B6775" s="16"/>
    </row>
    <row r="6776" spans="2:2" x14ac:dyDescent="0.2">
      <c r="B6776" s="16"/>
    </row>
    <row r="6777" spans="2:2" x14ac:dyDescent="0.2">
      <c r="B6777" s="16"/>
    </row>
    <row r="6778" spans="2:2" x14ac:dyDescent="0.2">
      <c r="B6778" s="16"/>
    </row>
    <row r="6779" spans="2:2" x14ac:dyDescent="0.2">
      <c r="B6779" s="16"/>
    </row>
    <row r="6780" spans="2:2" x14ac:dyDescent="0.2">
      <c r="B6780" s="16"/>
    </row>
    <row r="6781" spans="2:2" x14ac:dyDescent="0.2">
      <c r="B6781" s="16"/>
    </row>
    <row r="6782" spans="2:2" x14ac:dyDescent="0.2">
      <c r="B6782" s="16"/>
    </row>
    <row r="6783" spans="2:2" x14ac:dyDescent="0.2">
      <c r="B6783" s="16"/>
    </row>
    <row r="6784" spans="2:2" x14ac:dyDescent="0.2">
      <c r="B6784" s="16"/>
    </row>
    <row r="6785" spans="2:2" x14ac:dyDescent="0.2">
      <c r="B6785" s="16"/>
    </row>
    <row r="6786" spans="2:2" x14ac:dyDescent="0.2">
      <c r="B6786" s="16"/>
    </row>
    <row r="6787" spans="2:2" x14ac:dyDescent="0.2">
      <c r="B6787" s="16"/>
    </row>
    <row r="6788" spans="2:2" x14ac:dyDescent="0.2">
      <c r="B6788" s="16"/>
    </row>
    <row r="6789" spans="2:2" x14ac:dyDescent="0.2">
      <c r="B6789" s="16"/>
    </row>
    <row r="6790" spans="2:2" x14ac:dyDescent="0.2">
      <c r="B6790" s="16"/>
    </row>
    <row r="6791" spans="2:2" x14ac:dyDescent="0.2">
      <c r="B6791" s="16"/>
    </row>
    <row r="6792" spans="2:2" x14ac:dyDescent="0.2">
      <c r="B6792" s="16"/>
    </row>
    <row r="6793" spans="2:2" x14ac:dyDescent="0.2">
      <c r="B6793" s="16"/>
    </row>
    <row r="6794" spans="2:2" x14ac:dyDescent="0.2">
      <c r="B6794" s="16"/>
    </row>
    <row r="6795" spans="2:2" x14ac:dyDescent="0.2">
      <c r="B6795" s="16"/>
    </row>
    <row r="6796" spans="2:2" x14ac:dyDescent="0.2">
      <c r="B6796" s="16"/>
    </row>
    <row r="6797" spans="2:2" x14ac:dyDescent="0.2">
      <c r="B6797" s="16"/>
    </row>
    <row r="6798" spans="2:2" x14ac:dyDescent="0.2">
      <c r="B6798" s="16"/>
    </row>
    <row r="6799" spans="2:2" x14ac:dyDescent="0.2">
      <c r="B6799" s="16"/>
    </row>
    <row r="6800" spans="2:2" x14ac:dyDescent="0.2">
      <c r="B6800" s="16"/>
    </row>
    <row r="6801" spans="2:2" x14ac:dyDescent="0.2">
      <c r="B6801" s="16"/>
    </row>
    <row r="6802" spans="2:2" x14ac:dyDescent="0.2">
      <c r="B6802" s="16"/>
    </row>
    <row r="6803" spans="2:2" x14ac:dyDescent="0.2">
      <c r="B6803" s="16"/>
    </row>
    <row r="6804" spans="2:2" x14ac:dyDescent="0.2">
      <c r="B6804" s="16"/>
    </row>
    <row r="6805" spans="2:2" x14ac:dyDescent="0.2">
      <c r="B6805" s="16"/>
    </row>
    <row r="6806" spans="2:2" x14ac:dyDescent="0.2">
      <c r="B6806" s="16"/>
    </row>
    <row r="6807" spans="2:2" x14ac:dyDescent="0.2">
      <c r="B6807" s="16"/>
    </row>
    <row r="6808" spans="2:2" x14ac:dyDescent="0.2">
      <c r="B6808" s="16"/>
    </row>
    <row r="6809" spans="2:2" x14ac:dyDescent="0.2">
      <c r="B6809" s="16"/>
    </row>
    <row r="6810" spans="2:2" x14ac:dyDescent="0.2">
      <c r="B6810" s="16"/>
    </row>
    <row r="6811" spans="2:2" x14ac:dyDescent="0.2">
      <c r="B6811" s="16"/>
    </row>
    <row r="6812" spans="2:2" x14ac:dyDescent="0.2">
      <c r="B6812" s="16"/>
    </row>
    <row r="6813" spans="2:2" x14ac:dyDescent="0.2">
      <c r="B6813" s="16"/>
    </row>
    <row r="6814" spans="2:2" x14ac:dyDescent="0.2">
      <c r="B6814" s="16"/>
    </row>
    <row r="6815" spans="2:2" x14ac:dyDescent="0.2">
      <c r="B6815" s="16"/>
    </row>
    <row r="6816" spans="2:2" x14ac:dyDescent="0.2">
      <c r="B6816" s="16"/>
    </row>
    <row r="6817" spans="2:2" x14ac:dyDescent="0.2">
      <c r="B6817" s="16"/>
    </row>
    <row r="6818" spans="2:2" x14ac:dyDescent="0.2">
      <c r="B6818" s="16"/>
    </row>
    <row r="6819" spans="2:2" x14ac:dyDescent="0.2">
      <c r="B6819" s="16"/>
    </row>
    <row r="6820" spans="2:2" x14ac:dyDescent="0.2">
      <c r="B6820" s="16"/>
    </row>
    <row r="6821" spans="2:2" x14ac:dyDescent="0.2">
      <c r="B6821" s="16"/>
    </row>
    <row r="6822" spans="2:2" x14ac:dyDescent="0.2">
      <c r="B6822" s="16"/>
    </row>
    <row r="6823" spans="2:2" x14ac:dyDescent="0.2">
      <c r="B6823" s="16"/>
    </row>
    <row r="6824" spans="2:2" x14ac:dyDescent="0.2">
      <c r="B6824" s="16"/>
    </row>
    <row r="6825" spans="2:2" x14ac:dyDescent="0.2">
      <c r="B6825" s="16"/>
    </row>
    <row r="6826" spans="2:2" x14ac:dyDescent="0.2">
      <c r="B6826" s="16"/>
    </row>
    <row r="6827" spans="2:2" x14ac:dyDescent="0.2">
      <c r="B6827" s="16"/>
    </row>
    <row r="6828" spans="2:2" x14ac:dyDescent="0.2">
      <c r="B6828" s="16"/>
    </row>
    <row r="6829" spans="2:2" x14ac:dyDescent="0.2">
      <c r="B6829" s="16"/>
    </row>
    <row r="6830" spans="2:2" x14ac:dyDescent="0.2">
      <c r="B6830" s="16"/>
    </row>
    <row r="6831" spans="2:2" x14ac:dyDescent="0.2">
      <c r="B6831" s="16"/>
    </row>
    <row r="6832" spans="2:2" x14ac:dyDescent="0.2">
      <c r="B6832" s="16"/>
    </row>
    <row r="6833" spans="2:2" x14ac:dyDescent="0.2">
      <c r="B6833" s="16"/>
    </row>
    <row r="6834" spans="2:2" x14ac:dyDescent="0.2">
      <c r="B6834" s="16"/>
    </row>
    <row r="6835" spans="2:2" x14ac:dyDescent="0.2">
      <c r="B6835" s="16"/>
    </row>
    <row r="6836" spans="2:2" x14ac:dyDescent="0.2">
      <c r="B6836" s="16"/>
    </row>
    <row r="6837" spans="2:2" x14ac:dyDescent="0.2">
      <c r="B6837" s="16"/>
    </row>
    <row r="6838" spans="2:2" x14ac:dyDescent="0.2">
      <c r="B6838" s="16"/>
    </row>
    <row r="6839" spans="2:2" x14ac:dyDescent="0.2">
      <c r="B6839" s="16"/>
    </row>
    <row r="6840" spans="2:2" x14ac:dyDescent="0.2">
      <c r="B6840" s="16"/>
    </row>
    <row r="6841" spans="2:2" x14ac:dyDescent="0.2">
      <c r="B6841" s="16"/>
    </row>
    <row r="6842" spans="2:2" x14ac:dyDescent="0.2">
      <c r="B6842" s="16"/>
    </row>
    <row r="6843" spans="2:2" x14ac:dyDescent="0.2">
      <c r="B6843" s="16"/>
    </row>
    <row r="6844" spans="2:2" x14ac:dyDescent="0.2">
      <c r="B6844" s="16"/>
    </row>
    <row r="6845" spans="2:2" x14ac:dyDescent="0.2">
      <c r="B6845" s="16"/>
    </row>
    <row r="6846" spans="2:2" x14ac:dyDescent="0.2">
      <c r="B6846" s="16"/>
    </row>
    <row r="6847" spans="2:2" x14ac:dyDescent="0.2">
      <c r="B6847" s="16"/>
    </row>
    <row r="6848" spans="2:2" x14ac:dyDescent="0.2">
      <c r="B6848" s="16"/>
    </row>
    <row r="6849" spans="2:2" x14ac:dyDescent="0.2">
      <c r="B6849" s="16"/>
    </row>
    <row r="6850" spans="2:2" x14ac:dyDescent="0.2">
      <c r="B6850" s="16"/>
    </row>
    <row r="6851" spans="2:2" x14ac:dyDescent="0.2">
      <c r="B6851" s="16"/>
    </row>
    <row r="6852" spans="2:2" x14ac:dyDescent="0.2">
      <c r="B6852" s="16"/>
    </row>
    <row r="6853" spans="2:2" x14ac:dyDescent="0.2">
      <c r="B6853" s="16"/>
    </row>
    <row r="6854" spans="2:2" x14ac:dyDescent="0.2">
      <c r="B6854" s="16"/>
    </row>
    <row r="6855" spans="2:2" x14ac:dyDescent="0.2">
      <c r="B6855" s="16"/>
    </row>
    <row r="6856" spans="2:2" x14ac:dyDescent="0.2">
      <c r="B6856" s="16"/>
    </row>
    <row r="6857" spans="2:2" x14ac:dyDescent="0.2">
      <c r="B6857" s="16"/>
    </row>
    <row r="6858" spans="2:2" x14ac:dyDescent="0.2">
      <c r="B6858" s="16"/>
    </row>
    <row r="6859" spans="2:2" x14ac:dyDescent="0.2">
      <c r="B6859" s="16"/>
    </row>
    <row r="6860" spans="2:2" x14ac:dyDescent="0.2">
      <c r="B6860" s="16"/>
    </row>
    <row r="6861" spans="2:2" x14ac:dyDescent="0.2">
      <c r="B6861" s="16"/>
    </row>
    <row r="6862" spans="2:2" x14ac:dyDescent="0.2">
      <c r="B6862" s="16"/>
    </row>
    <row r="6863" spans="2:2" x14ac:dyDescent="0.2">
      <c r="B6863" s="16"/>
    </row>
    <row r="6864" spans="2:2" x14ac:dyDescent="0.2">
      <c r="B6864" s="16"/>
    </row>
    <row r="6865" spans="2:2" x14ac:dyDescent="0.2">
      <c r="B6865" s="16"/>
    </row>
    <row r="6866" spans="2:2" x14ac:dyDescent="0.2">
      <c r="B6866" s="16"/>
    </row>
    <row r="6867" spans="2:2" x14ac:dyDescent="0.2">
      <c r="B6867" s="16"/>
    </row>
    <row r="6868" spans="2:2" x14ac:dyDescent="0.2">
      <c r="B6868" s="16"/>
    </row>
    <row r="6869" spans="2:2" x14ac:dyDescent="0.2">
      <c r="B6869" s="16"/>
    </row>
    <row r="6870" spans="2:2" x14ac:dyDescent="0.2">
      <c r="B6870" s="16"/>
    </row>
    <row r="6871" spans="2:2" x14ac:dyDescent="0.2">
      <c r="B6871" s="16"/>
    </row>
    <row r="6872" spans="2:2" x14ac:dyDescent="0.2">
      <c r="B6872" s="16"/>
    </row>
    <row r="6873" spans="2:2" x14ac:dyDescent="0.2">
      <c r="B6873" s="16"/>
    </row>
    <row r="6874" spans="2:2" x14ac:dyDescent="0.2">
      <c r="B6874" s="16"/>
    </row>
    <row r="6875" spans="2:2" x14ac:dyDescent="0.2">
      <c r="B6875" s="16"/>
    </row>
    <row r="6876" spans="2:2" x14ac:dyDescent="0.2">
      <c r="B6876" s="16"/>
    </row>
    <row r="6877" spans="2:2" x14ac:dyDescent="0.2">
      <c r="B6877" s="16"/>
    </row>
    <row r="6878" spans="2:2" x14ac:dyDescent="0.2">
      <c r="B6878" s="16"/>
    </row>
    <row r="6879" spans="2:2" x14ac:dyDescent="0.2">
      <c r="B6879" s="16"/>
    </row>
    <row r="6880" spans="2:2" x14ac:dyDescent="0.2">
      <c r="B6880" s="16"/>
    </row>
    <row r="6881" spans="2:2" x14ac:dyDescent="0.2">
      <c r="B6881" s="16"/>
    </row>
    <row r="6882" spans="2:2" x14ac:dyDescent="0.2">
      <c r="B6882" s="16"/>
    </row>
    <row r="6883" spans="2:2" x14ac:dyDescent="0.2">
      <c r="B6883" s="16"/>
    </row>
    <row r="6884" spans="2:2" x14ac:dyDescent="0.2">
      <c r="B6884" s="16"/>
    </row>
    <row r="6885" spans="2:2" x14ac:dyDescent="0.2">
      <c r="B6885" s="16"/>
    </row>
    <row r="6886" spans="2:2" x14ac:dyDescent="0.2">
      <c r="B6886" s="16"/>
    </row>
    <row r="6887" spans="2:2" x14ac:dyDescent="0.2">
      <c r="B6887" s="16"/>
    </row>
    <row r="6888" spans="2:2" x14ac:dyDescent="0.2">
      <c r="B6888" s="16"/>
    </row>
    <row r="6889" spans="2:2" x14ac:dyDescent="0.2">
      <c r="B6889" s="16"/>
    </row>
    <row r="6890" spans="2:2" x14ac:dyDescent="0.2">
      <c r="B6890" s="16"/>
    </row>
    <row r="6891" spans="2:2" x14ac:dyDescent="0.2">
      <c r="B6891" s="16"/>
    </row>
    <row r="6892" spans="2:2" x14ac:dyDescent="0.2">
      <c r="B6892" s="16"/>
    </row>
    <row r="6893" spans="2:2" x14ac:dyDescent="0.2">
      <c r="B6893" s="16"/>
    </row>
    <row r="6894" spans="2:2" x14ac:dyDescent="0.2">
      <c r="B6894" s="16"/>
    </row>
    <row r="6895" spans="2:2" x14ac:dyDescent="0.2">
      <c r="B6895" s="16"/>
    </row>
    <row r="6896" spans="2:2" x14ac:dyDescent="0.2">
      <c r="B6896" s="16"/>
    </row>
    <row r="6897" spans="2:2" x14ac:dyDescent="0.2">
      <c r="B6897" s="16"/>
    </row>
    <row r="6898" spans="2:2" x14ac:dyDescent="0.2">
      <c r="B6898" s="16"/>
    </row>
    <row r="6899" spans="2:2" x14ac:dyDescent="0.2">
      <c r="B6899" s="16"/>
    </row>
    <row r="6900" spans="2:2" x14ac:dyDescent="0.2">
      <c r="B6900" s="16"/>
    </row>
    <row r="6901" spans="2:2" x14ac:dyDescent="0.2">
      <c r="B6901" s="16"/>
    </row>
    <row r="6902" spans="2:2" x14ac:dyDescent="0.2">
      <c r="B6902" s="16"/>
    </row>
    <row r="6903" spans="2:2" x14ac:dyDescent="0.2">
      <c r="B6903" s="16"/>
    </row>
    <row r="6904" spans="2:2" x14ac:dyDescent="0.2">
      <c r="B6904" s="16"/>
    </row>
    <row r="6905" spans="2:2" x14ac:dyDescent="0.2">
      <c r="B6905" s="16"/>
    </row>
    <row r="6906" spans="2:2" x14ac:dyDescent="0.2">
      <c r="B6906" s="16"/>
    </row>
    <row r="6907" spans="2:2" x14ac:dyDescent="0.2">
      <c r="B6907" s="16"/>
    </row>
    <row r="6908" spans="2:2" x14ac:dyDescent="0.2">
      <c r="B6908" s="16"/>
    </row>
    <row r="6909" spans="2:2" x14ac:dyDescent="0.2">
      <c r="B6909" s="16"/>
    </row>
    <row r="6910" spans="2:2" x14ac:dyDescent="0.2">
      <c r="B6910" s="16"/>
    </row>
    <row r="6911" spans="2:2" x14ac:dyDescent="0.2">
      <c r="B6911" s="16"/>
    </row>
    <row r="6912" spans="2:2" x14ac:dyDescent="0.2">
      <c r="B6912" s="16"/>
    </row>
    <row r="6913" spans="2:2" x14ac:dyDescent="0.2">
      <c r="B6913" s="16"/>
    </row>
    <row r="6914" spans="2:2" x14ac:dyDescent="0.2">
      <c r="B6914" s="16"/>
    </row>
    <row r="6915" spans="2:2" x14ac:dyDescent="0.2">
      <c r="B6915" s="16"/>
    </row>
    <row r="6916" spans="2:2" x14ac:dyDescent="0.2">
      <c r="B6916" s="16"/>
    </row>
    <row r="6917" spans="2:2" x14ac:dyDescent="0.2">
      <c r="B6917" s="16"/>
    </row>
    <row r="6918" spans="2:2" x14ac:dyDescent="0.2">
      <c r="B6918" s="16"/>
    </row>
    <row r="6919" spans="2:2" x14ac:dyDescent="0.2">
      <c r="B6919" s="16"/>
    </row>
    <row r="6920" spans="2:2" x14ac:dyDescent="0.2">
      <c r="B6920" s="16"/>
    </row>
    <row r="6921" spans="2:2" x14ac:dyDescent="0.2">
      <c r="B6921" s="16"/>
    </row>
    <row r="6922" spans="2:2" x14ac:dyDescent="0.2">
      <c r="B6922" s="16"/>
    </row>
    <row r="6923" spans="2:2" x14ac:dyDescent="0.2">
      <c r="B6923" s="16"/>
    </row>
    <row r="6924" spans="2:2" x14ac:dyDescent="0.2">
      <c r="B6924" s="16"/>
    </row>
    <row r="6925" spans="2:2" x14ac:dyDescent="0.2">
      <c r="B6925" s="16"/>
    </row>
    <row r="6926" spans="2:2" x14ac:dyDescent="0.2">
      <c r="B6926" s="16"/>
    </row>
    <row r="6927" spans="2:2" x14ac:dyDescent="0.2">
      <c r="B6927" s="16"/>
    </row>
    <row r="6928" spans="2:2" x14ac:dyDescent="0.2">
      <c r="B6928" s="16"/>
    </row>
    <row r="6929" spans="2:2" x14ac:dyDescent="0.2">
      <c r="B6929" s="16"/>
    </row>
    <row r="6930" spans="2:2" x14ac:dyDescent="0.2">
      <c r="B6930" s="16"/>
    </row>
    <row r="6931" spans="2:2" x14ac:dyDescent="0.2">
      <c r="B6931" s="16"/>
    </row>
    <row r="6932" spans="2:2" x14ac:dyDescent="0.2">
      <c r="B6932" s="16"/>
    </row>
    <row r="6933" spans="2:2" x14ac:dyDescent="0.2">
      <c r="B6933" s="16"/>
    </row>
    <row r="6934" spans="2:2" x14ac:dyDescent="0.2">
      <c r="B6934" s="16"/>
    </row>
    <row r="6935" spans="2:2" x14ac:dyDescent="0.2">
      <c r="B6935" s="16"/>
    </row>
    <row r="6936" spans="2:2" x14ac:dyDescent="0.2">
      <c r="B6936" s="16"/>
    </row>
    <row r="6937" spans="2:2" x14ac:dyDescent="0.2">
      <c r="B6937" s="16"/>
    </row>
    <row r="6938" spans="2:2" x14ac:dyDescent="0.2">
      <c r="B6938" s="16"/>
    </row>
    <row r="6939" spans="2:2" x14ac:dyDescent="0.2">
      <c r="B6939" s="16"/>
    </row>
    <row r="6940" spans="2:2" x14ac:dyDescent="0.2">
      <c r="B6940" s="16"/>
    </row>
    <row r="6941" spans="2:2" x14ac:dyDescent="0.2">
      <c r="B6941" s="16"/>
    </row>
    <row r="6942" spans="2:2" x14ac:dyDescent="0.2">
      <c r="B6942" s="16"/>
    </row>
    <row r="6943" spans="2:2" x14ac:dyDescent="0.2">
      <c r="B6943" s="16"/>
    </row>
    <row r="6944" spans="2:2" x14ac:dyDescent="0.2">
      <c r="B6944" s="16"/>
    </row>
    <row r="6945" spans="2:2" x14ac:dyDescent="0.2">
      <c r="B6945" s="16"/>
    </row>
    <row r="6946" spans="2:2" x14ac:dyDescent="0.2">
      <c r="B6946" s="16"/>
    </row>
    <row r="6947" spans="2:2" x14ac:dyDescent="0.2">
      <c r="B6947" s="16"/>
    </row>
    <row r="6948" spans="2:2" x14ac:dyDescent="0.2">
      <c r="B6948" s="16"/>
    </row>
    <row r="6949" spans="2:2" x14ac:dyDescent="0.2">
      <c r="B6949" s="16"/>
    </row>
    <row r="6950" spans="2:2" x14ac:dyDescent="0.2">
      <c r="B6950" s="16"/>
    </row>
    <row r="6951" spans="2:2" x14ac:dyDescent="0.2">
      <c r="B6951" s="16"/>
    </row>
    <row r="6952" spans="2:2" x14ac:dyDescent="0.2">
      <c r="B6952" s="16"/>
    </row>
    <row r="6953" spans="2:2" x14ac:dyDescent="0.2">
      <c r="B6953" s="16"/>
    </row>
    <row r="6954" spans="2:2" x14ac:dyDescent="0.2">
      <c r="B6954" s="16"/>
    </row>
    <row r="6955" spans="2:2" x14ac:dyDescent="0.2">
      <c r="B6955" s="16"/>
    </row>
    <row r="6956" spans="2:2" x14ac:dyDescent="0.2">
      <c r="B6956" s="16"/>
    </row>
    <row r="6957" spans="2:2" x14ac:dyDescent="0.2">
      <c r="B6957" s="16"/>
    </row>
    <row r="6958" spans="2:2" x14ac:dyDescent="0.2">
      <c r="B6958" s="16"/>
    </row>
    <row r="6959" spans="2:2" x14ac:dyDescent="0.2">
      <c r="B6959" s="16"/>
    </row>
    <row r="6960" spans="2:2" x14ac:dyDescent="0.2">
      <c r="B6960" s="16"/>
    </row>
    <row r="6961" spans="2:2" x14ac:dyDescent="0.2">
      <c r="B6961" s="16"/>
    </row>
    <row r="6962" spans="2:2" x14ac:dyDescent="0.2">
      <c r="B6962" s="16"/>
    </row>
    <row r="6963" spans="2:2" x14ac:dyDescent="0.2">
      <c r="B6963" s="16"/>
    </row>
    <row r="6964" spans="2:2" x14ac:dyDescent="0.2">
      <c r="B6964" s="16"/>
    </row>
    <row r="6965" spans="2:2" x14ac:dyDescent="0.2">
      <c r="B6965" s="16"/>
    </row>
    <row r="6966" spans="2:2" x14ac:dyDescent="0.2">
      <c r="B6966" s="16"/>
    </row>
    <row r="6967" spans="2:2" x14ac:dyDescent="0.2">
      <c r="B6967" s="16"/>
    </row>
    <row r="6968" spans="2:2" x14ac:dyDescent="0.2">
      <c r="B6968" s="16"/>
    </row>
    <row r="6969" spans="2:2" x14ac:dyDescent="0.2">
      <c r="B6969" s="16"/>
    </row>
    <row r="6970" spans="2:2" x14ac:dyDescent="0.2">
      <c r="B6970" s="16"/>
    </row>
    <row r="6971" spans="2:2" x14ac:dyDescent="0.2">
      <c r="B6971" s="16"/>
    </row>
    <row r="6972" spans="2:2" x14ac:dyDescent="0.2">
      <c r="B6972" s="16"/>
    </row>
    <row r="6973" spans="2:2" x14ac:dyDescent="0.2">
      <c r="B6973" s="16"/>
    </row>
    <row r="6974" spans="2:2" x14ac:dyDescent="0.2">
      <c r="B6974" s="16"/>
    </row>
    <row r="6975" spans="2:2" x14ac:dyDescent="0.2">
      <c r="B6975" s="16"/>
    </row>
    <row r="6976" spans="2:2" x14ac:dyDescent="0.2">
      <c r="B6976" s="16"/>
    </row>
    <row r="6977" spans="2:2" x14ac:dyDescent="0.2">
      <c r="B6977" s="16"/>
    </row>
    <row r="6978" spans="2:2" x14ac:dyDescent="0.2">
      <c r="B6978" s="16"/>
    </row>
    <row r="6979" spans="2:2" x14ac:dyDescent="0.2">
      <c r="B6979" s="16"/>
    </row>
    <row r="6980" spans="2:2" x14ac:dyDescent="0.2">
      <c r="B6980" s="16"/>
    </row>
    <row r="6981" spans="2:2" x14ac:dyDescent="0.2">
      <c r="B6981" s="16"/>
    </row>
    <row r="6982" spans="2:2" x14ac:dyDescent="0.2">
      <c r="B6982" s="16"/>
    </row>
    <row r="6983" spans="2:2" x14ac:dyDescent="0.2">
      <c r="B6983" s="16"/>
    </row>
    <row r="6984" spans="2:2" x14ac:dyDescent="0.2">
      <c r="B6984" s="16"/>
    </row>
    <row r="6985" spans="2:2" x14ac:dyDescent="0.2">
      <c r="B6985" s="16"/>
    </row>
    <row r="6986" spans="2:2" x14ac:dyDescent="0.2">
      <c r="B6986" s="16"/>
    </row>
    <row r="6987" spans="2:2" x14ac:dyDescent="0.2">
      <c r="B6987" s="16"/>
    </row>
    <row r="6988" spans="2:2" x14ac:dyDescent="0.2">
      <c r="B6988" s="16"/>
    </row>
    <row r="6989" spans="2:2" x14ac:dyDescent="0.2">
      <c r="B6989" s="16"/>
    </row>
    <row r="6990" spans="2:2" x14ac:dyDescent="0.2">
      <c r="B6990" s="16"/>
    </row>
    <row r="6991" spans="2:2" x14ac:dyDescent="0.2">
      <c r="B6991" s="16"/>
    </row>
    <row r="6992" spans="2:2" x14ac:dyDescent="0.2">
      <c r="B6992" s="16"/>
    </row>
    <row r="6993" spans="2:2" x14ac:dyDescent="0.2">
      <c r="B6993" s="16"/>
    </row>
    <row r="6994" spans="2:2" x14ac:dyDescent="0.2">
      <c r="B6994" s="16"/>
    </row>
    <row r="6995" spans="2:2" x14ac:dyDescent="0.2">
      <c r="B6995" s="16"/>
    </row>
    <row r="6996" spans="2:2" x14ac:dyDescent="0.2">
      <c r="B6996" s="16"/>
    </row>
    <row r="6997" spans="2:2" x14ac:dyDescent="0.2">
      <c r="B6997" s="16"/>
    </row>
    <row r="6998" spans="2:2" x14ac:dyDescent="0.2">
      <c r="B6998" s="16"/>
    </row>
    <row r="6999" spans="2:2" x14ac:dyDescent="0.2">
      <c r="B6999" s="16"/>
    </row>
    <row r="7000" spans="2:2" x14ac:dyDescent="0.2">
      <c r="B7000" s="16"/>
    </row>
    <row r="7001" spans="2:2" x14ac:dyDescent="0.2">
      <c r="B7001" s="16"/>
    </row>
    <row r="7002" spans="2:2" x14ac:dyDescent="0.2">
      <c r="B7002" s="16"/>
    </row>
    <row r="7003" spans="2:2" x14ac:dyDescent="0.2">
      <c r="B7003" s="16"/>
    </row>
    <row r="7004" spans="2:2" x14ac:dyDescent="0.2">
      <c r="B7004" s="16"/>
    </row>
    <row r="7005" spans="2:2" x14ac:dyDescent="0.2">
      <c r="B7005" s="16"/>
    </row>
    <row r="7006" spans="2:2" x14ac:dyDescent="0.2">
      <c r="B7006" s="16"/>
    </row>
    <row r="7007" spans="2:2" x14ac:dyDescent="0.2">
      <c r="B7007" s="16"/>
    </row>
    <row r="7008" spans="2:2" x14ac:dyDescent="0.2">
      <c r="B7008" s="16"/>
    </row>
    <row r="7009" spans="2:2" x14ac:dyDescent="0.2">
      <c r="B7009" s="16"/>
    </row>
    <row r="7010" spans="2:2" x14ac:dyDescent="0.2">
      <c r="B7010" s="16"/>
    </row>
    <row r="7011" spans="2:2" x14ac:dyDescent="0.2">
      <c r="B7011" s="16"/>
    </row>
    <row r="7012" spans="2:2" x14ac:dyDescent="0.2">
      <c r="B7012" s="16"/>
    </row>
    <row r="7013" spans="2:2" x14ac:dyDescent="0.2">
      <c r="B7013" s="16"/>
    </row>
    <row r="7014" spans="2:2" x14ac:dyDescent="0.2">
      <c r="B7014" s="16"/>
    </row>
    <row r="7015" spans="2:2" x14ac:dyDescent="0.2">
      <c r="B7015" s="16"/>
    </row>
    <row r="7016" spans="2:2" x14ac:dyDescent="0.2">
      <c r="B7016" s="16"/>
    </row>
    <row r="7017" spans="2:2" x14ac:dyDescent="0.2">
      <c r="B7017" s="16"/>
    </row>
    <row r="7018" spans="2:2" x14ac:dyDescent="0.2">
      <c r="B7018" s="16"/>
    </row>
    <row r="7019" spans="2:2" x14ac:dyDescent="0.2">
      <c r="B7019" s="16"/>
    </row>
    <row r="7020" spans="2:2" x14ac:dyDescent="0.2">
      <c r="B7020" s="16"/>
    </row>
    <row r="7021" spans="2:2" x14ac:dyDescent="0.2">
      <c r="B7021" s="16"/>
    </row>
    <row r="7022" spans="2:2" x14ac:dyDescent="0.2">
      <c r="B7022" s="16"/>
    </row>
    <row r="7023" spans="2:2" x14ac:dyDescent="0.2">
      <c r="B7023" s="16"/>
    </row>
    <row r="7024" spans="2:2" x14ac:dyDescent="0.2">
      <c r="B7024" s="16"/>
    </row>
    <row r="7025" spans="2:2" x14ac:dyDescent="0.2">
      <c r="B7025" s="16"/>
    </row>
    <row r="7026" spans="2:2" x14ac:dyDescent="0.2">
      <c r="B7026" s="16"/>
    </row>
    <row r="7027" spans="2:2" x14ac:dyDescent="0.2">
      <c r="B7027" s="16"/>
    </row>
    <row r="7028" spans="2:2" x14ac:dyDescent="0.2">
      <c r="B7028" s="16"/>
    </row>
    <row r="7029" spans="2:2" x14ac:dyDescent="0.2">
      <c r="B7029" s="16"/>
    </row>
    <row r="7030" spans="2:2" x14ac:dyDescent="0.2">
      <c r="B7030" s="16"/>
    </row>
    <row r="7031" spans="2:2" x14ac:dyDescent="0.2">
      <c r="B7031" s="16"/>
    </row>
    <row r="7032" spans="2:2" x14ac:dyDescent="0.2">
      <c r="B7032" s="16"/>
    </row>
    <row r="7033" spans="2:2" x14ac:dyDescent="0.2">
      <c r="B7033" s="16"/>
    </row>
    <row r="7034" spans="2:2" x14ac:dyDescent="0.2">
      <c r="B7034" s="16"/>
    </row>
    <row r="7035" spans="2:2" x14ac:dyDescent="0.2">
      <c r="B7035" s="16"/>
    </row>
    <row r="7036" spans="2:2" x14ac:dyDescent="0.2">
      <c r="B7036" s="16"/>
    </row>
    <row r="7037" spans="2:2" x14ac:dyDescent="0.2">
      <c r="B7037" s="16"/>
    </row>
    <row r="7038" spans="2:2" x14ac:dyDescent="0.2">
      <c r="B7038" s="16"/>
    </row>
    <row r="7039" spans="2:2" x14ac:dyDescent="0.2">
      <c r="B7039" s="16"/>
    </row>
    <row r="7040" spans="2:2" x14ac:dyDescent="0.2">
      <c r="B7040" s="16"/>
    </row>
    <row r="7041" spans="2:2" x14ac:dyDescent="0.2">
      <c r="B7041" s="16"/>
    </row>
    <row r="7042" spans="2:2" x14ac:dyDescent="0.2">
      <c r="B7042" s="16"/>
    </row>
    <row r="7043" spans="2:2" x14ac:dyDescent="0.2">
      <c r="B7043" s="16"/>
    </row>
    <row r="7044" spans="2:2" x14ac:dyDescent="0.2">
      <c r="B7044" s="16"/>
    </row>
    <row r="7045" spans="2:2" x14ac:dyDescent="0.2">
      <c r="B7045" s="16"/>
    </row>
    <row r="7046" spans="2:2" x14ac:dyDescent="0.2">
      <c r="B7046" s="16"/>
    </row>
    <row r="7047" spans="2:2" x14ac:dyDescent="0.2">
      <c r="B7047" s="16"/>
    </row>
    <row r="7048" spans="2:2" x14ac:dyDescent="0.2">
      <c r="B7048" s="16"/>
    </row>
    <row r="7049" spans="2:2" x14ac:dyDescent="0.2">
      <c r="B7049" s="16"/>
    </row>
    <row r="7050" spans="2:2" x14ac:dyDescent="0.2">
      <c r="B7050" s="16"/>
    </row>
    <row r="7051" spans="2:2" x14ac:dyDescent="0.2">
      <c r="B7051" s="16"/>
    </row>
    <row r="7052" spans="2:2" x14ac:dyDescent="0.2">
      <c r="B7052" s="16"/>
    </row>
    <row r="7053" spans="2:2" x14ac:dyDescent="0.2">
      <c r="B7053" s="16"/>
    </row>
    <row r="7054" spans="2:2" x14ac:dyDescent="0.2">
      <c r="B7054" s="16"/>
    </row>
    <row r="7055" spans="2:2" x14ac:dyDescent="0.2">
      <c r="B7055" s="16"/>
    </row>
    <row r="7056" spans="2:2" x14ac:dyDescent="0.2">
      <c r="B7056" s="16"/>
    </row>
    <row r="7057" spans="2:2" x14ac:dyDescent="0.2">
      <c r="B7057" s="16"/>
    </row>
    <row r="7058" spans="2:2" x14ac:dyDescent="0.2">
      <c r="B7058" s="16"/>
    </row>
    <row r="7059" spans="2:2" x14ac:dyDescent="0.2">
      <c r="B7059" s="16"/>
    </row>
    <row r="7060" spans="2:2" x14ac:dyDescent="0.2">
      <c r="B7060" s="16"/>
    </row>
    <row r="7061" spans="2:2" x14ac:dyDescent="0.2">
      <c r="B7061" s="16"/>
    </row>
    <row r="7062" spans="2:2" x14ac:dyDescent="0.2">
      <c r="B7062" s="16"/>
    </row>
    <row r="7063" spans="2:2" x14ac:dyDescent="0.2">
      <c r="B7063" s="16"/>
    </row>
    <row r="7064" spans="2:2" x14ac:dyDescent="0.2">
      <c r="B7064" s="16"/>
    </row>
    <row r="7065" spans="2:2" x14ac:dyDescent="0.2">
      <c r="B7065" s="16"/>
    </row>
    <row r="7066" spans="2:2" x14ac:dyDescent="0.2">
      <c r="B7066" s="16"/>
    </row>
    <row r="7067" spans="2:2" x14ac:dyDescent="0.2">
      <c r="B7067" s="16"/>
    </row>
    <row r="7068" spans="2:2" x14ac:dyDescent="0.2">
      <c r="B7068" s="16"/>
    </row>
    <row r="7069" spans="2:2" x14ac:dyDescent="0.2">
      <c r="B7069" s="16"/>
    </row>
    <row r="7070" spans="2:2" x14ac:dyDescent="0.2">
      <c r="B7070" s="16"/>
    </row>
    <row r="7071" spans="2:2" x14ac:dyDescent="0.2">
      <c r="B7071" s="16"/>
    </row>
    <row r="7072" spans="2:2" x14ac:dyDescent="0.2">
      <c r="B7072" s="16"/>
    </row>
    <row r="7073" spans="2:2" x14ac:dyDescent="0.2">
      <c r="B7073" s="16"/>
    </row>
    <row r="7074" spans="2:2" x14ac:dyDescent="0.2">
      <c r="B7074" s="16"/>
    </row>
    <row r="7075" spans="2:2" x14ac:dyDescent="0.2">
      <c r="B7075" s="16"/>
    </row>
    <row r="7076" spans="2:2" x14ac:dyDescent="0.2">
      <c r="B7076" s="16"/>
    </row>
    <row r="7077" spans="2:2" x14ac:dyDescent="0.2">
      <c r="B7077" s="16"/>
    </row>
    <row r="7078" spans="2:2" x14ac:dyDescent="0.2">
      <c r="B7078" s="16"/>
    </row>
    <row r="7079" spans="2:2" x14ac:dyDescent="0.2">
      <c r="B7079" s="16"/>
    </row>
    <row r="7080" spans="2:2" x14ac:dyDescent="0.2">
      <c r="B7080" s="16"/>
    </row>
    <row r="7081" spans="2:2" x14ac:dyDescent="0.2">
      <c r="B7081" s="16"/>
    </row>
    <row r="7082" spans="2:2" x14ac:dyDescent="0.2">
      <c r="B7082" s="16"/>
    </row>
    <row r="7083" spans="2:2" x14ac:dyDescent="0.2">
      <c r="B7083" s="16"/>
    </row>
    <row r="7084" spans="2:2" x14ac:dyDescent="0.2">
      <c r="B7084" s="16"/>
    </row>
    <row r="7085" spans="2:2" x14ac:dyDescent="0.2">
      <c r="B7085" s="16"/>
    </row>
    <row r="7086" spans="2:2" x14ac:dyDescent="0.2">
      <c r="B7086" s="16"/>
    </row>
    <row r="7087" spans="2:2" x14ac:dyDescent="0.2">
      <c r="B7087" s="16"/>
    </row>
    <row r="7088" spans="2:2" x14ac:dyDescent="0.2">
      <c r="B7088" s="16"/>
    </row>
    <row r="7089" spans="2:2" x14ac:dyDescent="0.2">
      <c r="B7089" s="16"/>
    </row>
    <row r="7090" spans="2:2" x14ac:dyDescent="0.2">
      <c r="B7090" s="16"/>
    </row>
    <row r="7091" spans="2:2" x14ac:dyDescent="0.2">
      <c r="B7091" s="16"/>
    </row>
    <row r="7092" spans="2:2" x14ac:dyDescent="0.2">
      <c r="B7092" s="16"/>
    </row>
    <row r="7093" spans="2:2" x14ac:dyDescent="0.2">
      <c r="B7093" s="16"/>
    </row>
    <row r="7094" spans="2:2" x14ac:dyDescent="0.2">
      <c r="B7094" s="16"/>
    </row>
    <row r="7095" spans="2:2" x14ac:dyDescent="0.2">
      <c r="B7095" s="16"/>
    </row>
    <row r="7096" spans="2:2" x14ac:dyDescent="0.2">
      <c r="B7096" s="16"/>
    </row>
    <row r="7097" spans="2:2" x14ac:dyDescent="0.2">
      <c r="B7097" s="16"/>
    </row>
    <row r="7098" spans="2:2" x14ac:dyDescent="0.2">
      <c r="B7098" s="16"/>
    </row>
    <row r="7099" spans="2:2" x14ac:dyDescent="0.2">
      <c r="B7099" s="16"/>
    </row>
    <row r="7100" spans="2:2" x14ac:dyDescent="0.2">
      <c r="B7100" s="16"/>
    </row>
    <row r="7101" spans="2:2" x14ac:dyDescent="0.2">
      <c r="B7101" s="16"/>
    </row>
    <row r="7102" spans="2:2" x14ac:dyDescent="0.2">
      <c r="B7102" s="16"/>
    </row>
    <row r="7103" spans="2:2" x14ac:dyDescent="0.2">
      <c r="B7103" s="16"/>
    </row>
    <row r="7104" spans="2:2" x14ac:dyDescent="0.2">
      <c r="B7104" s="16"/>
    </row>
    <row r="7105" spans="2:2" x14ac:dyDescent="0.2">
      <c r="B7105" s="16"/>
    </row>
    <row r="7106" spans="2:2" x14ac:dyDescent="0.2">
      <c r="B7106" s="16"/>
    </row>
    <row r="7107" spans="2:2" x14ac:dyDescent="0.2">
      <c r="B7107" s="16"/>
    </row>
    <row r="7108" spans="2:2" x14ac:dyDescent="0.2">
      <c r="B7108" s="16"/>
    </row>
    <row r="7109" spans="2:2" x14ac:dyDescent="0.2">
      <c r="B7109" s="16"/>
    </row>
    <row r="7110" spans="2:2" x14ac:dyDescent="0.2">
      <c r="B7110" s="16"/>
    </row>
    <row r="7111" spans="2:2" x14ac:dyDescent="0.2">
      <c r="B7111" s="16"/>
    </row>
    <row r="7112" spans="2:2" x14ac:dyDescent="0.2">
      <c r="B7112" s="16"/>
    </row>
    <row r="7113" spans="2:2" x14ac:dyDescent="0.2">
      <c r="B7113" s="16"/>
    </row>
    <row r="7114" spans="2:2" x14ac:dyDescent="0.2">
      <c r="B7114" s="16"/>
    </row>
    <row r="7115" spans="2:2" x14ac:dyDescent="0.2">
      <c r="B7115" s="16"/>
    </row>
    <row r="7116" spans="2:2" x14ac:dyDescent="0.2">
      <c r="B7116" s="16"/>
    </row>
    <row r="7117" spans="2:2" x14ac:dyDescent="0.2">
      <c r="B7117" s="16"/>
    </row>
    <row r="7118" spans="2:2" x14ac:dyDescent="0.2">
      <c r="B7118" s="16"/>
    </row>
    <row r="7119" spans="2:2" x14ac:dyDescent="0.2">
      <c r="B7119" s="16"/>
    </row>
    <row r="7120" spans="2:2" x14ac:dyDescent="0.2">
      <c r="B7120" s="16"/>
    </row>
    <row r="7121" spans="2:2" x14ac:dyDescent="0.2">
      <c r="B7121" s="16"/>
    </row>
    <row r="7122" spans="2:2" x14ac:dyDescent="0.2">
      <c r="B7122" s="16"/>
    </row>
    <row r="7123" spans="2:2" x14ac:dyDescent="0.2">
      <c r="B7123" s="16"/>
    </row>
    <row r="7124" spans="2:2" x14ac:dyDescent="0.2">
      <c r="B7124" s="16"/>
    </row>
    <row r="7125" spans="2:2" x14ac:dyDescent="0.2">
      <c r="B7125" s="16"/>
    </row>
    <row r="7126" spans="2:2" x14ac:dyDescent="0.2">
      <c r="B7126" s="16"/>
    </row>
    <row r="7127" spans="2:2" x14ac:dyDescent="0.2">
      <c r="B7127" s="16"/>
    </row>
    <row r="7128" spans="2:2" x14ac:dyDescent="0.2">
      <c r="B7128" s="16"/>
    </row>
    <row r="7129" spans="2:2" x14ac:dyDescent="0.2">
      <c r="B7129" s="16"/>
    </row>
    <row r="7130" spans="2:2" x14ac:dyDescent="0.2">
      <c r="B7130" s="16"/>
    </row>
    <row r="7131" spans="2:2" x14ac:dyDescent="0.2">
      <c r="B7131" s="16"/>
    </row>
    <row r="7132" spans="2:2" x14ac:dyDescent="0.2">
      <c r="B7132" s="16"/>
    </row>
    <row r="7133" spans="2:2" x14ac:dyDescent="0.2">
      <c r="B7133" s="16"/>
    </row>
    <row r="7134" spans="2:2" x14ac:dyDescent="0.2">
      <c r="B7134" s="16"/>
    </row>
    <row r="7135" spans="2:2" x14ac:dyDescent="0.2">
      <c r="B7135" s="16"/>
    </row>
    <row r="7136" spans="2:2" x14ac:dyDescent="0.2">
      <c r="B7136" s="16"/>
    </row>
    <row r="7137" spans="2:2" x14ac:dyDescent="0.2">
      <c r="B7137" s="16"/>
    </row>
    <row r="7138" spans="2:2" x14ac:dyDescent="0.2">
      <c r="B7138" s="16"/>
    </row>
    <row r="7139" spans="2:2" x14ac:dyDescent="0.2">
      <c r="B7139" s="16"/>
    </row>
    <row r="7140" spans="2:2" x14ac:dyDescent="0.2">
      <c r="B7140" s="16"/>
    </row>
    <row r="7141" spans="2:2" x14ac:dyDescent="0.2">
      <c r="B7141" s="16"/>
    </row>
    <row r="7142" spans="2:2" x14ac:dyDescent="0.2">
      <c r="B7142" s="16"/>
    </row>
    <row r="7143" spans="2:2" x14ac:dyDescent="0.2">
      <c r="B7143" s="16"/>
    </row>
    <row r="7144" spans="2:2" x14ac:dyDescent="0.2">
      <c r="B7144" s="16"/>
    </row>
    <row r="7145" spans="2:2" x14ac:dyDescent="0.2">
      <c r="B7145" s="16"/>
    </row>
    <row r="7146" spans="2:2" x14ac:dyDescent="0.2">
      <c r="B7146" s="16"/>
    </row>
    <row r="7147" spans="2:2" x14ac:dyDescent="0.2">
      <c r="B7147" s="16"/>
    </row>
    <row r="7148" spans="2:2" x14ac:dyDescent="0.2">
      <c r="B7148" s="16"/>
    </row>
    <row r="7149" spans="2:2" x14ac:dyDescent="0.2">
      <c r="B7149" s="16"/>
    </row>
    <row r="7150" spans="2:2" x14ac:dyDescent="0.2">
      <c r="B7150" s="16"/>
    </row>
    <row r="7151" spans="2:2" x14ac:dyDescent="0.2">
      <c r="B7151" s="16"/>
    </row>
    <row r="7152" spans="2:2" x14ac:dyDescent="0.2">
      <c r="B7152" s="16"/>
    </row>
    <row r="7153" spans="2:2" x14ac:dyDescent="0.2">
      <c r="B7153" s="16"/>
    </row>
    <row r="7154" spans="2:2" x14ac:dyDescent="0.2">
      <c r="B7154" s="16"/>
    </row>
    <row r="7155" spans="2:2" x14ac:dyDescent="0.2">
      <c r="B7155" s="16"/>
    </row>
    <row r="7156" spans="2:2" x14ac:dyDescent="0.2">
      <c r="B7156" s="16"/>
    </row>
    <row r="7157" spans="2:2" x14ac:dyDescent="0.2">
      <c r="B7157" s="16"/>
    </row>
    <row r="7158" spans="2:2" x14ac:dyDescent="0.2">
      <c r="B7158" s="16"/>
    </row>
    <row r="7159" spans="2:2" x14ac:dyDescent="0.2">
      <c r="B7159" s="16"/>
    </row>
    <row r="7160" spans="2:2" x14ac:dyDescent="0.2">
      <c r="B7160" s="16"/>
    </row>
    <row r="7161" spans="2:2" x14ac:dyDescent="0.2">
      <c r="B7161" s="16"/>
    </row>
    <row r="7162" spans="2:2" x14ac:dyDescent="0.2">
      <c r="B7162" s="16"/>
    </row>
    <row r="7163" spans="2:2" x14ac:dyDescent="0.2">
      <c r="B7163" s="16"/>
    </row>
    <row r="7164" spans="2:2" x14ac:dyDescent="0.2">
      <c r="B7164" s="16"/>
    </row>
    <row r="7165" spans="2:2" x14ac:dyDescent="0.2">
      <c r="B7165" s="16"/>
    </row>
    <row r="7166" spans="2:2" x14ac:dyDescent="0.2">
      <c r="B7166" s="16"/>
    </row>
    <row r="7167" spans="2:2" x14ac:dyDescent="0.2">
      <c r="B7167" s="16"/>
    </row>
    <row r="7168" spans="2:2" x14ac:dyDescent="0.2">
      <c r="B7168" s="16"/>
    </row>
    <row r="7169" spans="2:2" x14ac:dyDescent="0.2">
      <c r="B7169" s="16"/>
    </row>
    <row r="7170" spans="2:2" x14ac:dyDescent="0.2">
      <c r="B7170" s="16"/>
    </row>
    <row r="7171" spans="2:2" x14ac:dyDescent="0.2">
      <c r="B7171" s="16"/>
    </row>
    <row r="7172" spans="2:2" x14ac:dyDescent="0.2">
      <c r="B7172" s="16"/>
    </row>
    <row r="7173" spans="2:2" x14ac:dyDescent="0.2">
      <c r="B7173" s="16"/>
    </row>
    <row r="7174" spans="2:2" x14ac:dyDescent="0.2">
      <c r="B7174" s="16"/>
    </row>
    <row r="7175" spans="2:2" x14ac:dyDescent="0.2">
      <c r="B7175" s="16"/>
    </row>
    <row r="7176" spans="2:2" x14ac:dyDescent="0.2">
      <c r="B7176" s="16"/>
    </row>
    <row r="7177" spans="2:2" x14ac:dyDescent="0.2">
      <c r="B7177" s="16"/>
    </row>
    <row r="7178" spans="2:2" x14ac:dyDescent="0.2">
      <c r="B7178" s="16"/>
    </row>
    <row r="7179" spans="2:2" x14ac:dyDescent="0.2">
      <c r="B7179" s="16"/>
    </row>
    <row r="7180" spans="2:2" x14ac:dyDescent="0.2">
      <c r="B7180" s="16"/>
    </row>
    <row r="7181" spans="2:2" x14ac:dyDescent="0.2">
      <c r="B7181" s="16"/>
    </row>
    <row r="7182" spans="2:2" x14ac:dyDescent="0.2">
      <c r="B7182" s="16"/>
    </row>
    <row r="7183" spans="2:2" x14ac:dyDescent="0.2">
      <c r="B7183" s="16"/>
    </row>
    <row r="7184" spans="2:2" x14ac:dyDescent="0.2">
      <c r="B7184" s="16"/>
    </row>
    <row r="7185" spans="2:2" x14ac:dyDescent="0.2">
      <c r="B7185" s="16"/>
    </row>
    <row r="7186" spans="2:2" x14ac:dyDescent="0.2">
      <c r="B7186" s="16"/>
    </row>
    <row r="7187" spans="2:2" x14ac:dyDescent="0.2">
      <c r="B7187" s="16"/>
    </row>
    <row r="7188" spans="2:2" x14ac:dyDescent="0.2">
      <c r="B7188" s="16"/>
    </row>
    <row r="7189" spans="2:2" x14ac:dyDescent="0.2">
      <c r="B7189" s="16"/>
    </row>
    <row r="7190" spans="2:2" x14ac:dyDescent="0.2">
      <c r="B7190" s="16"/>
    </row>
    <row r="7191" spans="2:2" x14ac:dyDescent="0.2">
      <c r="B7191" s="16"/>
    </row>
    <row r="7192" spans="2:2" x14ac:dyDescent="0.2">
      <c r="B7192" s="16"/>
    </row>
    <row r="7193" spans="2:2" x14ac:dyDescent="0.2">
      <c r="B7193" s="16"/>
    </row>
    <row r="7194" spans="2:2" x14ac:dyDescent="0.2">
      <c r="B7194" s="16"/>
    </row>
    <row r="7195" spans="2:2" x14ac:dyDescent="0.2">
      <c r="B7195" s="16"/>
    </row>
    <row r="7196" spans="2:2" x14ac:dyDescent="0.2">
      <c r="B7196" s="16"/>
    </row>
    <row r="7197" spans="2:2" x14ac:dyDescent="0.2">
      <c r="B7197" s="16"/>
    </row>
    <row r="7198" spans="2:2" x14ac:dyDescent="0.2">
      <c r="B7198" s="16"/>
    </row>
    <row r="7199" spans="2:2" x14ac:dyDescent="0.2">
      <c r="B7199" s="16"/>
    </row>
    <row r="7200" spans="2:2" x14ac:dyDescent="0.2">
      <c r="B7200" s="16"/>
    </row>
    <row r="7201" spans="2:2" x14ac:dyDescent="0.2">
      <c r="B7201" s="16"/>
    </row>
    <row r="7202" spans="2:2" x14ac:dyDescent="0.2">
      <c r="B7202" s="16"/>
    </row>
    <row r="7203" spans="2:2" x14ac:dyDescent="0.2">
      <c r="B7203" s="16"/>
    </row>
    <row r="7204" spans="2:2" x14ac:dyDescent="0.2">
      <c r="B7204" s="16"/>
    </row>
    <row r="7205" spans="2:2" x14ac:dyDescent="0.2">
      <c r="B7205" s="16"/>
    </row>
    <row r="7206" spans="2:2" x14ac:dyDescent="0.2">
      <c r="B7206" s="16"/>
    </row>
    <row r="7207" spans="2:2" x14ac:dyDescent="0.2">
      <c r="B7207" s="16"/>
    </row>
    <row r="7208" spans="2:2" x14ac:dyDescent="0.2">
      <c r="B7208" s="16"/>
    </row>
    <row r="7209" spans="2:2" x14ac:dyDescent="0.2">
      <c r="B7209" s="16"/>
    </row>
    <row r="7210" spans="2:2" x14ac:dyDescent="0.2">
      <c r="B7210" s="16"/>
    </row>
    <row r="7211" spans="2:2" x14ac:dyDescent="0.2">
      <c r="B7211" s="16"/>
    </row>
    <row r="7212" spans="2:2" x14ac:dyDescent="0.2">
      <c r="B7212" s="16"/>
    </row>
    <row r="7213" spans="2:2" x14ac:dyDescent="0.2">
      <c r="B7213" s="16"/>
    </row>
    <row r="7214" spans="2:2" x14ac:dyDescent="0.2">
      <c r="B7214" s="16"/>
    </row>
    <row r="7215" spans="2:2" x14ac:dyDescent="0.2">
      <c r="B7215" s="16"/>
    </row>
    <row r="7216" spans="2:2" x14ac:dyDescent="0.2">
      <c r="B7216" s="16"/>
    </row>
    <row r="7217" spans="2:2" x14ac:dyDescent="0.2">
      <c r="B7217" s="16"/>
    </row>
    <row r="7218" spans="2:2" x14ac:dyDescent="0.2">
      <c r="B7218" s="16"/>
    </row>
    <row r="7219" spans="2:2" x14ac:dyDescent="0.2">
      <c r="B7219" s="16"/>
    </row>
    <row r="7220" spans="2:2" x14ac:dyDescent="0.2">
      <c r="B7220" s="16"/>
    </row>
    <row r="7221" spans="2:2" x14ac:dyDescent="0.2">
      <c r="B7221" s="16"/>
    </row>
    <row r="7222" spans="2:2" x14ac:dyDescent="0.2">
      <c r="B7222" s="16"/>
    </row>
    <row r="7223" spans="2:2" x14ac:dyDescent="0.2">
      <c r="B7223" s="16"/>
    </row>
    <row r="7224" spans="2:2" x14ac:dyDescent="0.2">
      <c r="B7224" s="16"/>
    </row>
    <row r="7225" spans="2:2" x14ac:dyDescent="0.2">
      <c r="B7225" s="16"/>
    </row>
    <row r="7226" spans="2:2" x14ac:dyDescent="0.2">
      <c r="B7226" s="16"/>
    </row>
    <row r="7227" spans="2:2" x14ac:dyDescent="0.2">
      <c r="B7227" s="16"/>
    </row>
    <row r="7228" spans="2:2" x14ac:dyDescent="0.2">
      <c r="B7228" s="16"/>
    </row>
    <row r="7229" spans="2:2" x14ac:dyDescent="0.2">
      <c r="B7229" s="16"/>
    </row>
    <row r="7230" spans="2:2" x14ac:dyDescent="0.2">
      <c r="B7230" s="16"/>
    </row>
    <row r="7231" spans="2:2" x14ac:dyDescent="0.2">
      <c r="B7231" s="16"/>
    </row>
    <row r="7232" spans="2:2" x14ac:dyDescent="0.2">
      <c r="B7232" s="16"/>
    </row>
    <row r="7233" spans="2:2" x14ac:dyDescent="0.2">
      <c r="B7233" s="16"/>
    </row>
    <row r="7234" spans="2:2" x14ac:dyDescent="0.2">
      <c r="B7234" s="16"/>
    </row>
    <row r="7235" spans="2:2" x14ac:dyDescent="0.2">
      <c r="B7235" s="16"/>
    </row>
    <row r="7236" spans="2:2" x14ac:dyDescent="0.2">
      <c r="B7236" s="16"/>
    </row>
    <row r="7237" spans="2:2" x14ac:dyDescent="0.2">
      <c r="B7237" s="16"/>
    </row>
    <row r="7238" spans="2:2" x14ac:dyDescent="0.2">
      <c r="B7238" s="16"/>
    </row>
    <row r="7239" spans="2:2" x14ac:dyDescent="0.2">
      <c r="B7239" s="16"/>
    </row>
    <row r="7240" spans="2:2" x14ac:dyDescent="0.2">
      <c r="B7240" s="16"/>
    </row>
    <row r="7241" spans="2:2" x14ac:dyDescent="0.2">
      <c r="B7241" s="16"/>
    </row>
    <row r="7242" spans="2:2" x14ac:dyDescent="0.2">
      <c r="B7242" s="16"/>
    </row>
    <row r="7243" spans="2:2" x14ac:dyDescent="0.2">
      <c r="B7243" s="16"/>
    </row>
    <row r="7244" spans="2:2" x14ac:dyDescent="0.2">
      <c r="B7244" s="16"/>
    </row>
    <row r="7245" spans="2:2" x14ac:dyDescent="0.2">
      <c r="B7245" s="16"/>
    </row>
    <row r="7246" spans="2:2" x14ac:dyDescent="0.2">
      <c r="B7246" s="16"/>
    </row>
    <row r="7247" spans="2:2" x14ac:dyDescent="0.2">
      <c r="B7247" s="16"/>
    </row>
    <row r="7248" spans="2:2" x14ac:dyDescent="0.2">
      <c r="B7248" s="16"/>
    </row>
    <row r="7249" spans="2:2" x14ac:dyDescent="0.2">
      <c r="B7249" s="16"/>
    </row>
    <row r="7250" spans="2:2" x14ac:dyDescent="0.2">
      <c r="B7250" s="16"/>
    </row>
    <row r="7251" spans="2:2" x14ac:dyDescent="0.2">
      <c r="B7251" s="16"/>
    </row>
    <row r="7252" spans="2:2" x14ac:dyDescent="0.2">
      <c r="B7252" s="16"/>
    </row>
    <row r="7253" spans="2:2" x14ac:dyDescent="0.2">
      <c r="B7253" s="16"/>
    </row>
    <row r="7254" spans="2:2" x14ac:dyDescent="0.2">
      <c r="B7254" s="16"/>
    </row>
    <row r="7255" spans="2:2" x14ac:dyDescent="0.2">
      <c r="B7255" s="16"/>
    </row>
    <row r="7256" spans="2:2" x14ac:dyDescent="0.2">
      <c r="B7256" s="16"/>
    </row>
    <row r="7257" spans="2:2" x14ac:dyDescent="0.2">
      <c r="B7257" s="16"/>
    </row>
    <row r="7258" spans="2:2" x14ac:dyDescent="0.2">
      <c r="B7258" s="16"/>
    </row>
    <row r="7259" spans="2:2" x14ac:dyDescent="0.2">
      <c r="B7259" s="16"/>
    </row>
    <row r="7260" spans="2:2" x14ac:dyDescent="0.2">
      <c r="B7260" s="16"/>
    </row>
    <row r="7261" spans="2:2" x14ac:dyDescent="0.2">
      <c r="B7261" s="16"/>
    </row>
    <row r="7262" spans="2:2" x14ac:dyDescent="0.2">
      <c r="B7262" s="16"/>
    </row>
    <row r="7263" spans="2:2" x14ac:dyDescent="0.2">
      <c r="B7263" s="16"/>
    </row>
    <row r="7264" spans="2:2" x14ac:dyDescent="0.2">
      <c r="B7264" s="16"/>
    </row>
    <row r="7265" spans="2:2" x14ac:dyDescent="0.2">
      <c r="B7265" s="16"/>
    </row>
    <row r="7266" spans="2:2" x14ac:dyDescent="0.2">
      <c r="B7266" s="16"/>
    </row>
    <row r="7267" spans="2:2" x14ac:dyDescent="0.2">
      <c r="B7267" s="16"/>
    </row>
    <row r="7268" spans="2:2" x14ac:dyDescent="0.2">
      <c r="B7268" s="16"/>
    </row>
    <row r="7269" spans="2:2" x14ac:dyDescent="0.2">
      <c r="B7269" s="16"/>
    </row>
    <row r="7270" spans="2:2" x14ac:dyDescent="0.2">
      <c r="B7270" s="16"/>
    </row>
    <row r="7271" spans="2:2" x14ac:dyDescent="0.2">
      <c r="B7271" s="16"/>
    </row>
    <row r="7272" spans="2:2" x14ac:dyDescent="0.2">
      <c r="B7272" s="16"/>
    </row>
    <row r="7273" spans="2:2" x14ac:dyDescent="0.2">
      <c r="B7273" s="16"/>
    </row>
    <row r="7274" spans="2:2" x14ac:dyDescent="0.2">
      <c r="B7274" s="16"/>
    </row>
    <row r="7275" spans="2:2" x14ac:dyDescent="0.2">
      <c r="B7275" s="16"/>
    </row>
    <row r="7276" spans="2:2" x14ac:dyDescent="0.2">
      <c r="B7276" s="16"/>
    </row>
    <row r="7277" spans="2:2" x14ac:dyDescent="0.2">
      <c r="B7277" s="16"/>
    </row>
    <row r="7278" spans="2:2" x14ac:dyDescent="0.2">
      <c r="B7278" s="16"/>
    </row>
    <row r="7279" spans="2:2" x14ac:dyDescent="0.2">
      <c r="B7279" s="16"/>
    </row>
    <row r="7280" spans="2:2" x14ac:dyDescent="0.2">
      <c r="B7280" s="16"/>
    </row>
    <row r="7281" spans="2:2" x14ac:dyDescent="0.2">
      <c r="B7281" s="16"/>
    </row>
    <row r="7282" spans="2:2" x14ac:dyDescent="0.2">
      <c r="B7282" s="16"/>
    </row>
    <row r="7283" spans="2:2" x14ac:dyDescent="0.2">
      <c r="B7283" s="16"/>
    </row>
    <row r="7284" spans="2:2" x14ac:dyDescent="0.2">
      <c r="B7284" s="16"/>
    </row>
    <row r="7285" spans="2:2" x14ac:dyDescent="0.2">
      <c r="B7285" s="16"/>
    </row>
    <row r="7286" spans="2:2" x14ac:dyDescent="0.2">
      <c r="B7286" s="16"/>
    </row>
    <row r="7287" spans="2:2" x14ac:dyDescent="0.2">
      <c r="B7287" s="16"/>
    </row>
    <row r="7288" spans="2:2" x14ac:dyDescent="0.2">
      <c r="B7288" s="16"/>
    </row>
    <row r="7289" spans="2:2" x14ac:dyDescent="0.2">
      <c r="B7289" s="16"/>
    </row>
    <row r="7290" spans="2:2" x14ac:dyDescent="0.2">
      <c r="B7290" s="16"/>
    </row>
    <row r="7291" spans="2:2" x14ac:dyDescent="0.2">
      <c r="B7291" s="16"/>
    </row>
    <row r="7292" spans="2:2" x14ac:dyDescent="0.2">
      <c r="B7292" s="16"/>
    </row>
    <row r="7293" spans="2:2" x14ac:dyDescent="0.2">
      <c r="B7293" s="16"/>
    </row>
    <row r="7294" spans="2:2" x14ac:dyDescent="0.2">
      <c r="B7294" s="16"/>
    </row>
    <row r="7295" spans="2:2" x14ac:dyDescent="0.2">
      <c r="B7295" s="16"/>
    </row>
    <row r="7296" spans="2:2" x14ac:dyDescent="0.2">
      <c r="B7296" s="16"/>
    </row>
    <row r="7297" spans="2:2" x14ac:dyDescent="0.2">
      <c r="B7297" s="16"/>
    </row>
    <row r="7298" spans="2:2" x14ac:dyDescent="0.2">
      <c r="B7298" s="16"/>
    </row>
    <row r="7299" spans="2:2" x14ac:dyDescent="0.2">
      <c r="B7299" s="16"/>
    </row>
    <row r="7300" spans="2:2" x14ac:dyDescent="0.2">
      <c r="B7300" s="16"/>
    </row>
    <row r="7301" spans="2:2" x14ac:dyDescent="0.2">
      <c r="B7301" s="16"/>
    </row>
    <row r="7302" spans="2:2" x14ac:dyDescent="0.2">
      <c r="B7302" s="16"/>
    </row>
    <row r="7303" spans="2:2" x14ac:dyDescent="0.2">
      <c r="B7303" s="16"/>
    </row>
    <row r="7304" spans="2:2" x14ac:dyDescent="0.2">
      <c r="B7304" s="16"/>
    </row>
    <row r="7305" spans="2:2" x14ac:dyDescent="0.2">
      <c r="B7305" s="16"/>
    </row>
    <row r="7306" spans="2:2" x14ac:dyDescent="0.2">
      <c r="B7306" s="16"/>
    </row>
    <row r="7307" spans="2:2" x14ac:dyDescent="0.2">
      <c r="B7307" s="16"/>
    </row>
    <row r="7308" spans="2:2" x14ac:dyDescent="0.2">
      <c r="B7308" s="16"/>
    </row>
    <row r="7309" spans="2:2" x14ac:dyDescent="0.2">
      <c r="B7309" s="16"/>
    </row>
    <row r="7310" spans="2:2" x14ac:dyDescent="0.2">
      <c r="B7310" s="16"/>
    </row>
    <row r="7311" spans="2:2" x14ac:dyDescent="0.2">
      <c r="B7311" s="16"/>
    </row>
    <row r="7312" spans="2:2" x14ac:dyDescent="0.2">
      <c r="B7312" s="16"/>
    </row>
    <row r="7313" spans="2:2" x14ac:dyDescent="0.2">
      <c r="B7313" s="16"/>
    </row>
    <row r="7314" spans="2:2" x14ac:dyDescent="0.2">
      <c r="B7314" s="16"/>
    </row>
    <row r="7315" spans="2:2" x14ac:dyDescent="0.2">
      <c r="B7315" s="16"/>
    </row>
    <row r="7316" spans="2:2" x14ac:dyDescent="0.2">
      <c r="B7316" s="16"/>
    </row>
    <row r="7317" spans="2:2" x14ac:dyDescent="0.2">
      <c r="B7317" s="16"/>
    </row>
    <row r="7318" spans="2:2" x14ac:dyDescent="0.2">
      <c r="B7318" s="16"/>
    </row>
    <row r="7319" spans="2:2" x14ac:dyDescent="0.2">
      <c r="B7319" s="16"/>
    </row>
    <row r="7320" spans="2:2" x14ac:dyDescent="0.2">
      <c r="B7320" s="16"/>
    </row>
    <row r="7321" spans="2:2" x14ac:dyDescent="0.2">
      <c r="B7321" s="16"/>
    </row>
    <row r="7322" spans="2:2" x14ac:dyDescent="0.2">
      <c r="B7322" s="16"/>
    </row>
    <row r="7323" spans="2:2" x14ac:dyDescent="0.2">
      <c r="B7323" s="16"/>
    </row>
    <row r="7324" spans="2:2" x14ac:dyDescent="0.2">
      <c r="B7324" s="16"/>
    </row>
    <row r="7325" spans="2:2" x14ac:dyDescent="0.2">
      <c r="B7325" s="16"/>
    </row>
    <row r="7326" spans="2:2" x14ac:dyDescent="0.2">
      <c r="B7326" s="16"/>
    </row>
    <row r="7327" spans="2:2" x14ac:dyDescent="0.2">
      <c r="B7327" s="16"/>
    </row>
    <row r="7328" spans="2:2" x14ac:dyDescent="0.2">
      <c r="B7328" s="16"/>
    </row>
    <row r="7329" spans="2:2" x14ac:dyDescent="0.2">
      <c r="B7329" s="16"/>
    </row>
    <row r="7330" spans="2:2" x14ac:dyDescent="0.2">
      <c r="B7330" s="16"/>
    </row>
    <row r="7331" spans="2:2" x14ac:dyDescent="0.2">
      <c r="B7331" s="16"/>
    </row>
    <row r="7332" spans="2:2" x14ac:dyDescent="0.2">
      <c r="B7332" s="16"/>
    </row>
    <row r="7333" spans="2:2" x14ac:dyDescent="0.2">
      <c r="B7333" s="16"/>
    </row>
    <row r="7334" spans="2:2" x14ac:dyDescent="0.2">
      <c r="B7334" s="16"/>
    </row>
    <row r="7335" spans="2:2" x14ac:dyDescent="0.2">
      <c r="B7335" s="16"/>
    </row>
    <row r="7336" spans="2:2" x14ac:dyDescent="0.2">
      <c r="B7336" s="16"/>
    </row>
    <row r="7337" spans="2:2" x14ac:dyDescent="0.2">
      <c r="B7337" s="16"/>
    </row>
    <row r="7338" spans="2:2" x14ac:dyDescent="0.2">
      <c r="B7338" s="16"/>
    </row>
    <row r="7339" spans="2:2" x14ac:dyDescent="0.2">
      <c r="B7339" s="16"/>
    </row>
    <row r="7340" spans="2:2" x14ac:dyDescent="0.2">
      <c r="B7340" s="16"/>
    </row>
    <row r="7341" spans="2:2" x14ac:dyDescent="0.2">
      <c r="B7341" s="16"/>
    </row>
    <row r="7342" spans="2:2" x14ac:dyDescent="0.2">
      <c r="B7342" s="16"/>
    </row>
    <row r="7343" spans="2:2" x14ac:dyDescent="0.2">
      <c r="B7343" s="16"/>
    </row>
    <row r="7344" spans="2:2" x14ac:dyDescent="0.2">
      <c r="B7344" s="16"/>
    </row>
    <row r="7345" spans="2:2" x14ac:dyDescent="0.2">
      <c r="B7345" s="16"/>
    </row>
    <row r="7346" spans="2:2" x14ac:dyDescent="0.2">
      <c r="B7346" s="16"/>
    </row>
    <row r="7347" spans="2:2" x14ac:dyDescent="0.2">
      <c r="B7347" s="16"/>
    </row>
    <row r="7348" spans="2:2" x14ac:dyDescent="0.2">
      <c r="B7348" s="16"/>
    </row>
    <row r="7349" spans="2:2" x14ac:dyDescent="0.2">
      <c r="B7349" s="16"/>
    </row>
    <row r="7350" spans="2:2" x14ac:dyDescent="0.2">
      <c r="B7350" s="16"/>
    </row>
    <row r="7351" spans="2:2" x14ac:dyDescent="0.2">
      <c r="B7351" s="16"/>
    </row>
    <row r="7352" spans="2:2" x14ac:dyDescent="0.2">
      <c r="B7352" s="16"/>
    </row>
    <row r="7353" spans="2:2" x14ac:dyDescent="0.2">
      <c r="B7353" s="16"/>
    </row>
    <row r="7354" spans="2:2" x14ac:dyDescent="0.2">
      <c r="B7354" s="16"/>
    </row>
    <row r="7355" spans="2:2" x14ac:dyDescent="0.2">
      <c r="B7355" s="16"/>
    </row>
    <row r="7356" spans="2:2" x14ac:dyDescent="0.2">
      <c r="B7356" s="16"/>
    </row>
    <row r="7357" spans="2:2" x14ac:dyDescent="0.2">
      <c r="B7357" s="16"/>
    </row>
    <row r="7358" spans="2:2" x14ac:dyDescent="0.2">
      <c r="B7358" s="16"/>
    </row>
    <row r="7359" spans="2:2" x14ac:dyDescent="0.2">
      <c r="B7359" s="16"/>
    </row>
    <row r="7360" spans="2:2" x14ac:dyDescent="0.2">
      <c r="B7360" s="16"/>
    </row>
    <row r="7361" spans="2:2" x14ac:dyDescent="0.2">
      <c r="B7361" s="16"/>
    </row>
    <row r="7362" spans="2:2" x14ac:dyDescent="0.2">
      <c r="B7362" s="16"/>
    </row>
    <row r="7363" spans="2:2" x14ac:dyDescent="0.2">
      <c r="B7363" s="16"/>
    </row>
    <row r="7364" spans="2:2" x14ac:dyDescent="0.2">
      <c r="B7364" s="16"/>
    </row>
    <row r="7365" spans="2:2" x14ac:dyDescent="0.2">
      <c r="B7365" s="16"/>
    </row>
    <row r="7366" spans="2:2" x14ac:dyDescent="0.2">
      <c r="B7366" s="16"/>
    </row>
    <row r="7367" spans="2:2" x14ac:dyDescent="0.2">
      <c r="B7367" s="16"/>
    </row>
    <row r="7368" spans="2:2" x14ac:dyDescent="0.2">
      <c r="B7368" s="16"/>
    </row>
    <row r="7369" spans="2:2" x14ac:dyDescent="0.2">
      <c r="B7369" s="16"/>
    </row>
    <row r="7370" spans="2:2" x14ac:dyDescent="0.2">
      <c r="B7370" s="16"/>
    </row>
    <row r="7371" spans="2:2" x14ac:dyDescent="0.2">
      <c r="B7371" s="16"/>
    </row>
    <row r="7372" spans="2:2" x14ac:dyDescent="0.2">
      <c r="B7372" s="16"/>
    </row>
    <row r="7373" spans="2:2" x14ac:dyDescent="0.2">
      <c r="B7373" s="16"/>
    </row>
    <row r="7374" spans="2:2" x14ac:dyDescent="0.2">
      <c r="B7374" s="16"/>
    </row>
    <row r="7375" spans="2:2" x14ac:dyDescent="0.2">
      <c r="B7375" s="16"/>
    </row>
    <row r="7376" spans="2:2" x14ac:dyDescent="0.2">
      <c r="B7376" s="16"/>
    </row>
    <row r="7377" spans="2:2" x14ac:dyDescent="0.2">
      <c r="B7377" s="16"/>
    </row>
    <row r="7378" spans="2:2" x14ac:dyDescent="0.2">
      <c r="B7378" s="16"/>
    </row>
    <row r="7379" spans="2:2" x14ac:dyDescent="0.2">
      <c r="B7379" s="16"/>
    </row>
    <row r="7380" spans="2:2" x14ac:dyDescent="0.2">
      <c r="B7380" s="16"/>
    </row>
    <row r="7381" spans="2:2" x14ac:dyDescent="0.2">
      <c r="B7381" s="16"/>
    </row>
    <row r="7382" spans="2:2" x14ac:dyDescent="0.2">
      <c r="B7382" s="16"/>
    </row>
    <row r="7383" spans="2:2" x14ac:dyDescent="0.2">
      <c r="B7383" s="16"/>
    </row>
    <row r="7384" spans="2:2" x14ac:dyDescent="0.2">
      <c r="B7384" s="16"/>
    </row>
    <row r="7385" spans="2:2" x14ac:dyDescent="0.2">
      <c r="B7385" s="16"/>
    </row>
    <row r="7386" spans="2:2" x14ac:dyDescent="0.2">
      <c r="B7386" s="16"/>
    </row>
    <row r="7387" spans="2:2" x14ac:dyDescent="0.2">
      <c r="B7387" s="16"/>
    </row>
    <row r="7388" spans="2:2" x14ac:dyDescent="0.2">
      <c r="B7388" s="16"/>
    </row>
    <row r="7389" spans="2:2" x14ac:dyDescent="0.2">
      <c r="B7389" s="16"/>
    </row>
    <row r="7390" spans="2:2" x14ac:dyDescent="0.2">
      <c r="B7390" s="16"/>
    </row>
    <row r="7391" spans="2:2" x14ac:dyDescent="0.2">
      <c r="B7391" s="16"/>
    </row>
    <row r="7392" spans="2:2" x14ac:dyDescent="0.2">
      <c r="B7392" s="16"/>
    </row>
    <row r="7393" spans="2:2" x14ac:dyDescent="0.2">
      <c r="B7393" s="16"/>
    </row>
    <row r="7394" spans="2:2" x14ac:dyDescent="0.2">
      <c r="B7394" s="16"/>
    </row>
    <row r="7395" spans="2:2" x14ac:dyDescent="0.2">
      <c r="B7395" s="16"/>
    </row>
    <row r="7396" spans="2:2" x14ac:dyDescent="0.2">
      <c r="B7396" s="16"/>
    </row>
    <row r="7397" spans="2:2" x14ac:dyDescent="0.2">
      <c r="B7397" s="16"/>
    </row>
    <row r="7398" spans="2:2" x14ac:dyDescent="0.2">
      <c r="B7398" s="16"/>
    </row>
    <row r="7399" spans="2:2" x14ac:dyDescent="0.2">
      <c r="B7399" s="16"/>
    </row>
    <row r="7400" spans="2:2" x14ac:dyDescent="0.2">
      <c r="B7400" s="16"/>
    </row>
    <row r="7401" spans="2:2" x14ac:dyDescent="0.2">
      <c r="B7401" s="16"/>
    </row>
    <row r="7402" spans="2:2" x14ac:dyDescent="0.2">
      <c r="B7402" s="16"/>
    </row>
    <row r="7403" spans="2:2" x14ac:dyDescent="0.2">
      <c r="B7403" s="16"/>
    </row>
    <row r="7404" spans="2:2" x14ac:dyDescent="0.2">
      <c r="B7404" s="16"/>
    </row>
    <row r="7405" spans="2:2" x14ac:dyDescent="0.2">
      <c r="B7405" s="16"/>
    </row>
    <row r="7406" spans="2:2" x14ac:dyDescent="0.2">
      <c r="B7406" s="16"/>
    </row>
    <row r="7407" spans="2:2" x14ac:dyDescent="0.2">
      <c r="B7407" s="16"/>
    </row>
    <row r="7408" spans="2:2" x14ac:dyDescent="0.2">
      <c r="B7408" s="16"/>
    </row>
    <row r="7409" spans="2:2" x14ac:dyDescent="0.2">
      <c r="B7409" s="16"/>
    </row>
    <row r="7410" spans="2:2" x14ac:dyDescent="0.2">
      <c r="B7410" s="16"/>
    </row>
    <row r="7411" spans="2:2" x14ac:dyDescent="0.2">
      <c r="B7411" s="16"/>
    </row>
    <row r="7412" spans="2:2" x14ac:dyDescent="0.2">
      <c r="B7412" s="16"/>
    </row>
    <row r="7413" spans="2:2" x14ac:dyDescent="0.2">
      <c r="B7413" s="16"/>
    </row>
    <row r="7414" spans="2:2" x14ac:dyDescent="0.2">
      <c r="B7414" s="16"/>
    </row>
    <row r="7415" spans="2:2" x14ac:dyDescent="0.2">
      <c r="B7415" s="16"/>
    </row>
    <row r="7416" spans="2:2" x14ac:dyDescent="0.2">
      <c r="B7416" s="16"/>
    </row>
    <row r="7417" spans="2:2" x14ac:dyDescent="0.2">
      <c r="B7417" s="16"/>
    </row>
    <row r="7418" spans="2:2" x14ac:dyDescent="0.2">
      <c r="B7418" s="16"/>
    </row>
    <row r="7419" spans="2:2" x14ac:dyDescent="0.2">
      <c r="B7419" s="16"/>
    </row>
    <row r="7420" spans="2:2" x14ac:dyDescent="0.2">
      <c r="B7420" s="16"/>
    </row>
    <row r="7421" spans="2:2" x14ac:dyDescent="0.2">
      <c r="B7421" s="16"/>
    </row>
    <row r="7422" spans="2:2" x14ac:dyDescent="0.2">
      <c r="B7422" s="16"/>
    </row>
    <row r="7423" spans="2:2" x14ac:dyDescent="0.2">
      <c r="B7423" s="16"/>
    </row>
    <row r="7424" spans="2:2" x14ac:dyDescent="0.2">
      <c r="B7424" s="16"/>
    </row>
    <row r="7425" spans="2:2" x14ac:dyDescent="0.2">
      <c r="B7425" s="16"/>
    </row>
    <row r="7426" spans="2:2" x14ac:dyDescent="0.2">
      <c r="B7426" s="16"/>
    </row>
    <row r="7427" spans="2:2" x14ac:dyDescent="0.2">
      <c r="B7427" s="16"/>
    </row>
    <row r="7428" spans="2:2" x14ac:dyDescent="0.2">
      <c r="B7428" s="16"/>
    </row>
    <row r="7429" spans="2:2" x14ac:dyDescent="0.2">
      <c r="B7429" s="16"/>
    </row>
    <row r="7430" spans="2:2" x14ac:dyDescent="0.2">
      <c r="B7430" s="16"/>
    </row>
    <row r="7431" spans="2:2" x14ac:dyDescent="0.2">
      <c r="B7431" s="16"/>
    </row>
    <row r="7432" spans="2:2" x14ac:dyDescent="0.2">
      <c r="B7432" s="16"/>
    </row>
    <row r="7433" spans="2:2" x14ac:dyDescent="0.2">
      <c r="B7433" s="16"/>
    </row>
    <row r="7434" spans="2:2" x14ac:dyDescent="0.2">
      <c r="B7434" s="16"/>
    </row>
    <row r="7435" spans="2:2" x14ac:dyDescent="0.2">
      <c r="B7435" s="16"/>
    </row>
    <row r="7436" spans="2:2" x14ac:dyDescent="0.2">
      <c r="B7436" s="16"/>
    </row>
    <row r="7437" spans="2:2" x14ac:dyDescent="0.2">
      <c r="B7437" s="16"/>
    </row>
    <row r="7438" spans="2:2" x14ac:dyDescent="0.2">
      <c r="B7438" s="16"/>
    </row>
    <row r="7439" spans="2:2" x14ac:dyDescent="0.2">
      <c r="B7439" s="16"/>
    </row>
    <row r="7440" spans="2:2" x14ac:dyDescent="0.2">
      <c r="B7440" s="16"/>
    </row>
    <row r="7441" spans="2:2" x14ac:dyDescent="0.2">
      <c r="B7441" s="16"/>
    </row>
    <row r="7442" spans="2:2" x14ac:dyDescent="0.2">
      <c r="B7442" s="16"/>
    </row>
    <row r="7443" spans="2:2" x14ac:dyDescent="0.2">
      <c r="B7443" s="16"/>
    </row>
    <row r="7444" spans="2:2" x14ac:dyDescent="0.2">
      <c r="B7444" s="16"/>
    </row>
    <row r="7445" spans="2:2" x14ac:dyDescent="0.2">
      <c r="B7445" s="16"/>
    </row>
    <row r="7446" spans="2:2" x14ac:dyDescent="0.2">
      <c r="B7446" s="16"/>
    </row>
    <row r="7447" spans="2:2" x14ac:dyDescent="0.2">
      <c r="B7447" s="16"/>
    </row>
    <row r="7448" spans="2:2" x14ac:dyDescent="0.2">
      <c r="B7448" s="16"/>
    </row>
    <row r="7449" spans="2:2" x14ac:dyDescent="0.2">
      <c r="B7449" s="16"/>
    </row>
    <row r="7450" spans="2:2" x14ac:dyDescent="0.2">
      <c r="B7450" s="16"/>
    </row>
    <row r="7451" spans="2:2" x14ac:dyDescent="0.2">
      <c r="B7451" s="16"/>
    </row>
    <row r="7452" spans="2:2" x14ac:dyDescent="0.2">
      <c r="B7452" s="16"/>
    </row>
    <row r="7453" spans="2:2" x14ac:dyDescent="0.2">
      <c r="B7453" s="16"/>
    </row>
    <row r="7454" spans="2:2" x14ac:dyDescent="0.2">
      <c r="B7454" s="16"/>
    </row>
    <row r="7455" spans="2:2" x14ac:dyDescent="0.2">
      <c r="B7455" s="16"/>
    </row>
    <row r="7456" spans="2:2" x14ac:dyDescent="0.2">
      <c r="B7456" s="16"/>
    </row>
    <row r="7457" spans="2:2" x14ac:dyDescent="0.2">
      <c r="B7457" s="16"/>
    </row>
    <row r="7458" spans="2:2" x14ac:dyDescent="0.2">
      <c r="B7458" s="16"/>
    </row>
    <row r="7459" spans="2:2" x14ac:dyDescent="0.2">
      <c r="B7459" s="16"/>
    </row>
    <row r="7460" spans="2:2" x14ac:dyDescent="0.2">
      <c r="B7460" s="16"/>
    </row>
    <row r="7461" spans="2:2" x14ac:dyDescent="0.2">
      <c r="B7461" s="16"/>
    </row>
    <row r="7462" spans="2:2" x14ac:dyDescent="0.2">
      <c r="B7462" s="16"/>
    </row>
    <row r="7463" spans="2:2" x14ac:dyDescent="0.2">
      <c r="B7463" s="16"/>
    </row>
    <row r="7464" spans="2:2" x14ac:dyDescent="0.2">
      <c r="B7464" s="16"/>
    </row>
    <row r="7465" spans="2:2" x14ac:dyDescent="0.2">
      <c r="B7465" s="16"/>
    </row>
    <row r="7466" spans="2:2" x14ac:dyDescent="0.2">
      <c r="B7466" s="16"/>
    </row>
    <row r="7467" spans="2:2" x14ac:dyDescent="0.2">
      <c r="B7467" s="16"/>
    </row>
    <row r="7468" spans="2:2" x14ac:dyDescent="0.2">
      <c r="B7468" s="16"/>
    </row>
    <row r="7469" spans="2:2" x14ac:dyDescent="0.2">
      <c r="B7469" s="16"/>
    </row>
    <row r="7470" spans="2:2" x14ac:dyDescent="0.2">
      <c r="B7470" s="16"/>
    </row>
    <row r="7471" spans="2:2" x14ac:dyDescent="0.2">
      <c r="B7471" s="16"/>
    </row>
    <row r="7472" spans="2:2" x14ac:dyDescent="0.2">
      <c r="B7472" s="16"/>
    </row>
    <row r="7473" spans="2:2" x14ac:dyDescent="0.2">
      <c r="B7473" s="16"/>
    </row>
    <row r="7474" spans="2:2" x14ac:dyDescent="0.2">
      <c r="B7474" s="16"/>
    </row>
    <row r="7475" spans="2:2" x14ac:dyDescent="0.2">
      <c r="B7475" s="16"/>
    </row>
    <row r="7476" spans="2:2" x14ac:dyDescent="0.2">
      <c r="B7476" s="16"/>
    </row>
    <row r="7477" spans="2:2" x14ac:dyDescent="0.2">
      <c r="B7477" s="16"/>
    </row>
    <row r="7478" spans="2:2" x14ac:dyDescent="0.2">
      <c r="B7478" s="16"/>
    </row>
    <row r="7479" spans="2:2" x14ac:dyDescent="0.2">
      <c r="B7479" s="16"/>
    </row>
    <row r="7480" spans="2:2" x14ac:dyDescent="0.2">
      <c r="B7480" s="16"/>
    </row>
    <row r="7481" spans="2:2" x14ac:dyDescent="0.2">
      <c r="B7481" s="16"/>
    </row>
    <row r="7482" spans="2:2" x14ac:dyDescent="0.2">
      <c r="B7482" s="16"/>
    </row>
    <row r="7483" spans="2:2" x14ac:dyDescent="0.2">
      <c r="B7483" s="16"/>
    </row>
    <row r="7484" spans="2:2" x14ac:dyDescent="0.2">
      <c r="B7484" s="16"/>
    </row>
    <row r="7485" spans="2:2" x14ac:dyDescent="0.2">
      <c r="B7485" s="16"/>
    </row>
    <row r="7486" spans="2:2" x14ac:dyDescent="0.2">
      <c r="B7486" s="16"/>
    </row>
    <row r="7487" spans="2:2" x14ac:dyDescent="0.2">
      <c r="B7487" s="16"/>
    </row>
    <row r="7488" spans="2:2" x14ac:dyDescent="0.2">
      <c r="B7488" s="16"/>
    </row>
    <row r="7489" spans="2:2" x14ac:dyDescent="0.2">
      <c r="B7489" s="16"/>
    </row>
    <row r="7490" spans="2:2" x14ac:dyDescent="0.2">
      <c r="B7490" s="16"/>
    </row>
    <row r="7491" spans="2:2" x14ac:dyDescent="0.2">
      <c r="B7491" s="16"/>
    </row>
    <row r="7492" spans="2:2" x14ac:dyDescent="0.2">
      <c r="B7492" s="16"/>
    </row>
    <row r="7493" spans="2:2" x14ac:dyDescent="0.2">
      <c r="B7493" s="16"/>
    </row>
    <row r="7494" spans="2:2" x14ac:dyDescent="0.2">
      <c r="B7494" s="16"/>
    </row>
    <row r="7495" spans="2:2" x14ac:dyDescent="0.2">
      <c r="B7495" s="16"/>
    </row>
    <row r="7496" spans="2:2" x14ac:dyDescent="0.2">
      <c r="B7496" s="16"/>
    </row>
    <row r="7497" spans="2:2" x14ac:dyDescent="0.2">
      <c r="B7497" s="16"/>
    </row>
    <row r="7498" spans="2:2" x14ac:dyDescent="0.2">
      <c r="B7498" s="16"/>
    </row>
    <row r="7499" spans="2:2" x14ac:dyDescent="0.2">
      <c r="B7499" s="16"/>
    </row>
    <row r="7500" spans="2:2" x14ac:dyDescent="0.2">
      <c r="B7500" s="16"/>
    </row>
    <row r="7501" spans="2:2" x14ac:dyDescent="0.2">
      <c r="B7501" s="16"/>
    </row>
    <row r="7502" spans="2:2" x14ac:dyDescent="0.2">
      <c r="B7502" s="16"/>
    </row>
    <row r="7503" spans="2:2" x14ac:dyDescent="0.2">
      <c r="B7503" s="16"/>
    </row>
    <row r="7504" spans="2:2" x14ac:dyDescent="0.2">
      <c r="B7504" s="16"/>
    </row>
    <row r="7505" spans="2:2" x14ac:dyDescent="0.2">
      <c r="B7505" s="16"/>
    </row>
    <row r="7506" spans="2:2" x14ac:dyDescent="0.2">
      <c r="B7506" s="16"/>
    </row>
    <row r="7507" spans="2:2" x14ac:dyDescent="0.2">
      <c r="B7507" s="16"/>
    </row>
    <row r="7508" spans="2:2" x14ac:dyDescent="0.2">
      <c r="B7508" s="16"/>
    </row>
    <row r="7509" spans="2:2" x14ac:dyDescent="0.2">
      <c r="B7509" s="16"/>
    </row>
    <row r="7510" spans="2:2" x14ac:dyDescent="0.2">
      <c r="B7510" s="16"/>
    </row>
    <row r="7511" spans="2:2" x14ac:dyDescent="0.2">
      <c r="B7511" s="16"/>
    </row>
    <row r="7512" spans="2:2" x14ac:dyDescent="0.2">
      <c r="B7512" s="16"/>
    </row>
    <row r="7513" spans="2:2" x14ac:dyDescent="0.2">
      <c r="B7513" s="16"/>
    </row>
    <row r="7514" spans="2:2" x14ac:dyDescent="0.2">
      <c r="B7514" s="16"/>
    </row>
    <row r="7515" spans="2:2" x14ac:dyDescent="0.2">
      <c r="B7515" s="16"/>
    </row>
    <row r="7516" spans="2:2" x14ac:dyDescent="0.2">
      <c r="B7516" s="16"/>
    </row>
    <row r="7517" spans="2:2" x14ac:dyDescent="0.2">
      <c r="B7517" s="16"/>
    </row>
    <row r="7518" spans="2:2" x14ac:dyDescent="0.2">
      <c r="B7518" s="16"/>
    </row>
    <row r="7519" spans="2:2" x14ac:dyDescent="0.2">
      <c r="B7519" s="16"/>
    </row>
    <row r="7520" spans="2:2" x14ac:dyDescent="0.2">
      <c r="B7520" s="16"/>
    </row>
    <row r="7521" spans="2:2" x14ac:dyDescent="0.2">
      <c r="B7521" s="16"/>
    </row>
    <row r="7522" spans="2:2" x14ac:dyDescent="0.2">
      <c r="B7522" s="16"/>
    </row>
    <row r="7523" spans="2:2" x14ac:dyDescent="0.2">
      <c r="B7523" s="16"/>
    </row>
    <row r="7524" spans="2:2" x14ac:dyDescent="0.2">
      <c r="B7524" s="16"/>
    </row>
    <row r="7525" spans="2:2" x14ac:dyDescent="0.2">
      <c r="B7525" s="16"/>
    </row>
    <row r="7526" spans="2:2" x14ac:dyDescent="0.2">
      <c r="B7526" s="16"/>
    </row>
    <row r="7527" spans="2:2" x14ac:dyDescent="0.2">
      <c r="B7527" s="16"/>
    </row>
    <row r="7528" spans="2:2" x14ac:dyDescent="0.2">
      <c r="B7528" s="16"/>
    </row>
    <row r="7529" spans="2:2" x14ac:dyDescent="0.2">
      <c r="B7529" s="16"/>
    </row>
    <row r="7530" spans="2:2" x14ac:dyDescent="0.2">
      <c r="B7530" s="16"/>
    </row>
    <row r="7531" spans="2:2" x14ac:dyDescent="0.2">
      <c r="B7531" s="16"/>
    </row>
    <row r="7532" spans="2:2" x14ac:dyDescent="0.2">
      <c r="B7532" s="16"/>
    </row>
    <row r="7533" spans="2:2" x14ac:dyDescent="0.2">
      <c r="B7533" s="16"/>
    </row>
    <row r="7534" spans="2:2" x14ac:dyDescent="0.2">
      <c r="B7534" s="16"/>
    </row>
    <row r="7535" spans="2:2" x14ac:dyDescent="0.2">
      <c r="B7535" s="16"/>
    </row>
    <row r="7536" spans="2:2" x14ac:dyDescent="0.2">
      <c r="B7536" s="16"/>
    </row>
    <row r="7537" spans="2:2" x14ac:dyDescent="0.2">
      <c r="B7537" s="16"/>
    </row>
    <row r="7538" spans="2:2" x14ac:dyDescent="0.2">
      <c r="B7538" s="16"/>
    </row>
    <row r="7539" spans="2:2" x14ac:dyDescent="0.2">
      <c r="B7539" s="16"/>
    </row>
    <row r="7540" spans="2:2" x14ac:dyDescent="0.2">
      <c r="B7540" s="16"/>
    </row>
    <row r="7541" spans="2:2" x14ac:dyDescent="0.2">
      <c r="B7541" s="16"/>
    </row>
    <row r="7542" spans="2:2" x14ac:dyDescent="0.2">
      <c r="B7542" s="16"/>
    </row>
    <row r="7543" spans="2:2" x14ac:dyDescent="0.2">
      <c r="B7543" s="16"/>
    </row>
    <row r="7544" spans="2:2" x14ac:dyDescent="0.2">
      <c r="B7544" s="16"/>
    </row>
    <row r="7545" spans="2:2" x14ac:dyDescent="0.2">
      <c r="B7545" s="16"/>
    </row>
    <row r="7546" spans="2:2" x14ac:dyDescent="0.2">
      <c r="B7546" s="16"/>
    </row>
    <row r="7547" spans="2:2" x14ac:dyDescent="0.2">
      <c r="B7547" s="16"/>
    </row>
    <row r="7548" spans="2:2" x14ac:dyDescent="0.2">
      <c r="B7548" s="16"/>
    </row>
    <row r="7549" spans="2:2" x14ac:dyDescent="0.2">
      <c r="B7549" s="16"/>
    </row>
    <row r="7550" spans="2:2" x14ac:dyDescent="0.2">
      <c r="B7550" s="16"/>
    </row>
    <row r="7551" spans="2:2" x14ac:dyDescent="0.2">
      <c r="B7551" s="16"/>
    </row>
    <row r="7552" spans="2:2" x14ac:dyDescent="0.2">
      <c r="B7552" s="16"/>
    </row>
    <row r="7553" spans="2:2" x14ac:dyDescent="0.2">
      <c r="B7553" s="16"/>
    </row>
    <row r="7554" spans="2:2" x14ac:dyDescent="0.2">
      <c r="B7554" s="16"/>
    </row>
    <row r="7555" spans="2:2" x14ac:dyDescent="0.2">
      <c r="B7555" s="16"/>
    </row>
    <row r="7556" spans="2:2" x14ac:dyDescent="0.2">
      <c r="B7556" s="16"/>
    </row>
    <row r="7557" spans="2:2" x14ac:dyDescent="0.2">
      <c r="B7557" s="16"/>
    </row>
    <row r="7558" spans="2:2" x14ac:dyDescent="0.2">
      <c r="B7558" s="16"/>
    </row>
    <row r="7559" spans="2:2" x14ac:dyDescent="0.2">
      <c r="B7559" s="16"/>
    </row>
    <row r="7560" spans="2:2" x14ac:dyDescent="0.2">
      <c r="B7560" s="16"/>
    </row>
    <row r="7561" spans="2:2" x14ac:dyDescent="0.2">
      <c r="B7561" s="16"/>
    </row>
    <row r="7562" spans="2:2" x14ac:dyDescent="0.2">
      <c r="B7562" s="16"/>
    </row>
    <row r="7563" spans="2:2" x14ac:dyDescent="0.2">
      <c r="B7563" s="16"/>
    </row>
    <row r="7564" spans="2:2" x14ac:dyDescent="0.2">
      <c r="B7564" s="16"/>
    </row>
    <row r="7565" spans="2:2" x14ac:dyDescent="0.2">
      <c r="B7565" s="16"/>
    </row>
    <row r="7566" spans="2:2" x14ac:dyDescent="0.2">
      <c r="B7566" s="16"/>
    </row>
    <row r="7567" spans="2:2" x14ac:dyDescent="0.2">
      <c r="B7567" s="16"/>
    </row>
    <row r="7568" spans="2:2" x14ac:dyDescent="0.2">
      <c r="B7568" s="16"/>
    </row>
    <row r="7569" spans="2:2" x14ac:dyDescent="0.2">
      <c r="B7569" s="16"/>
    </row>
    <row r="7570" spans="2:2" x14ac:dyDescent="0.2">
      <c r="B7570" s="16"/>
    </row>
    <row r="7571" spans="2:2" x14ac:dyDescent="0.2">
      <c r="B7571" s="16"/>
    </row>
    <row r="7572" spans="2:2" x14ac:dyDescent="0.2">
      <c r="B7572" s="16"/>
    </row>
    <row r="7573" spans="2:2" x14ac:dyDescent="0.2">
      <c r="B7573" s="16"/>
    </row>
    <row r="7574" spans="2:2" x14ac:dyDescent="0.2">
      <c r="B7574" s="16"/>
    </row>
    <row r="7575" spans="2:2" x14ac:dyDescent="0.2">
      <c r="B7575" s="16"/>
    </row>
    <row r="7576" spans="2:2" x14ac:dyDescent="0.2">
      <c r="B7576" s="16"/>
    </row>
    <row r="7577" spans="2:2" x14ac:dyDescent="0.2">
      <c r="B7577" s="16"/>
    </row>
    <row r="7578" spans="2:2" x14ac:dyDescent="0.2">
      <c r="B7578" s="16"/>
    </row>
    <row r="7579" spans="2:2" x14ac:dyDescent="0.2">
      <c r="B7579" s="16"/>
    </row>
    <row r="7580" spans="2:2" x14ac:dyDescent="0.2">
      <c r="B7580" s="16"/>
    </row>
    <row r="7581" spans="2:2" x14ac:dyDescent="0.2">
      <c r="B7581" s="16"/>
    </row>
    <row r="7582" spans="2:2" x14ac:dyDescent="0.2">
      <c r="B7582" s="16"/>
    </row>
    <row r="7583" spans="2:2" x14ac:dyDescent="0.2">
      <c r="B7583" s="16"/>
    </row>
    <row r="7584" spans="2:2" x14ac:dyDescent="0.2">
      <c r="B7584" s="16"/>
    </row>
    <row r="7585" spans="2:2" x14ac:dyDescent="0.2">
      <c r="B7585" s="16"/>
    </row>
    <row r="7586" spans="2:2" x14ac:dyDescent="0.2">
      <c r="B7586" s="16"/>
    </row>
    <row r="7587" spans="2:2" x14ac:dyDescent="0.2">
      <c r="B7587" s="16"/>
    </row>
    <row r="7588" spans="2:2" x14ac:dyDescent="0.2">
      <c r="B7588" s="16"/>
    </row>
    <row r="7589" spans="2:2" x14ac:dyDescent="0.2">
      <c r="B7589" s="16"/>
    </row>
    <row r="7590" spans="2:2" x14ac:dyDescent="0.2">
      <c r="B7590" s="16"/>
    </row>
    <row r="7591" spans="2:2" x14ac:dyDescent="0.2">
      <c r="B7591" s="16"/>
    </row>
    <row r="7592" spans="2:2" x14ac:dyDescent="0.2">
      <c r="B7592" s="16"/>
    </row>
    <row r="7593" spans="2:2" x14ac:dyDescent="0.2">
      <c r="B7593" s="16"/>
    </row>
    <row r="7594" spans="2:2" x14ac:dyDescent="0.2">
      <c r="B7594" s="16"/>
    </row>
    <row r="7595" spans="2:2" x14ac:dyDescent="0.2">
      <c r="B7595" s="16"/>
    </row>
    <row r="7596" spans="2:2" x14ac:dyDescent="0.2">
      <c r="B7596" s="16"/>
    </row>
    <row r="7597" spans="2:2" x14ac:dyDescent="0.2">
      <c r="B7597" s="16"/>
    </row>
    <row r="7598" spans="2:2" x14ac:dyDescent="0.2">
      <c r="B7598" s="16"/>
    </row>
    <row r="7599" spans="2:2" x14ac:dyDescent="0.2">
      <c r="B7599" s="16"/>
    </row>
    <row r="7600" spans="2:2" x14ac:dyDescent="0.2">
      <c r="B7600" s="16"/>
    </row>
    <row r="7601" spans="2:2" x14ac:dyDescent="0.2">
      <c r="B7601" s="16"/>
    </row>
    <row r="7602" spans="2:2" x14ac:dyDescent="0.2">
      <c r="B7602" s="16"/>
    </row>
    <row r="7603" spans="2:2" x14ac:dyDescent="0.2">
      <c r="B7603" s="16"/>
    </row>
    <row r="7604" spans="2:2" x14ac:dyDescent="0.2">
      <c r="B7604" s="16"/>
    </row>
    <row r="7605" spans="2:2" x14ac:dyDescent="0.2">
      <c r="B7605" s="16"/>
    </row>
    <row r="7606" spans="2:2" x14ac:dyDescent="0.2">
      <c r="B7606" s="16"/>
    </row>
    <row r="7607" spans="2:2" x14ac:dyDescent="0.2">
      <c r="B7607" s="16"/>
    </row>
    <row r="7608" spans="2:2" x14ac:dyDescent="0.2">
      <c r="B7608" s="16"/>
    </row>
    <row r="7609" spans="2:2" x14ac:dyDescent="0.2">
      <c r="B7609" s="16"/>
    </row>
    <row r="7610" spans="2:2" x14ac:dyDescent="0.2">
      <c r="B7610" s="16"/>
    </row>
    <row r="7611" spans="2:2" x14ac:dyDescent="0.2">
      <c r="B7611" s="16"/>
    </row>
    <row r="7612" spans="2:2" x14ac:dyDescent="0.2">
      <c r="B7612" s="16"/>
    </row>
    <row r="7613" spans="2:2" x14ac:dyDescent="0.2">
      <c r="B7613" s="16"/>
    </row>
    <row r="7614" spans="2:2" x14ac:dyDescent="0.2">
      <c r="B7614" s="16"/>
    </row>
    <row r="7615" spans="2:2" x14ac:dyDescent="0.2">
      <c r="B7615" s="16"/>
    </row>
    <row r="7616" spans="2:2" x14ac:dyDescent="0.2">
      <c r="B7616" s="16"/>
    </row>
    <row r="7617" spans="2:2" x14ac:dyDescent="0.2">
      <c r="B7617" s="16"/>
    </row>
    <row r="7618" spans="2:2" x14ac:dyDescent="0.2">
      <c r="B7618" s="16"/>
    </row>
    <row r="7619" spans="2:2" x14ac:dyDescent="0.2">
      <c r="B7619" s="16"/>
    </row>
    <row r="7620" spans="2:2" x14ac:dyDescent="0.2">
      <c r="B7620" s="16"/>
    </row>
    <row r="7621" spans="2:2" x14ac:dyDescent="0.2">
      <c r="B7621" s="16"/>
    </row>
    <row r="7622" spans="2:2" x14ac:dyDescent="0.2">
      <c r="B7622" s="16"/>
    </row>
    <row r="7623" spans="2:2" x14ac:dyDescent="0.2">
      <c r="B7623" s="16"/>
    </row>
    <row r="7624" spans="2:2" x14ac:dyDescent="0.2">
      <c r="B7624" s="16"/>
    </row>
    <row r="7625" spans="2:2" x14ac:dyDescent="0.2">
      <c r="B7625" s="16"/>
    </row>
    <row r="7626" spans="2:2" x14ac:dyDescent="0.2">
      <c r="B7626" s="16"/>
    </row>
    <row r="7627" spans="2:2" x14ac:dyDescent="0.2">
      <c r="B7627" s="16"/>
    </row>
    <row r="7628" spans="2:2" x14ac:dyDescent="0.2">
      <c r="B7628" s="16"/>
    </row>
    <row r="7629" spans="2:2" x14ac:dyDescent="0.2">
      <c r="B7629" s="16"/>
    </row>
    <row r="7630" spans="2:2" x14ac:dyDescent="0.2">
      <c r="B7630" s="16"/>
    </row>
    <row r="7631" spans="2:2" x14ac:dyDescent="0.2">
      <c r="B7631" s="16"/>
    </row>
    <row r="7632" spans="2:2" x14ac:dyDescent="0.2">
      <c r="B7632" s="16"/>
    </row>
    <row r="7633" spans="2:2" x14ac:dyDescent="0.2">
      <c r="B7633" s="16"/>
    </row>
    <row r="7634" spans="2:2" x14ac:dyDescent="0.2">
      <c r="B7634" s="16"/>
    </row>
    <row r="7635" spans="2:2" x14ac:dyDescent="0.2">
      <c r="B7635" s="16"/>
    </row>
    <row r="7636" spans="2:2" x14ac:dyDescent="0.2">
      <c r="B7636" s="16"/>
    </row>
    <row r="7637" spans="2:2" x14ac:dyDescent="0.2">
      <c r="B7637" s="16"/>
    </row>
    <row r="7638" spans="2:2" x14ac:dyDescent="0.2">
      <c r="B7638" s="16"/>
    </row>
    <row r="7639" spans="2:2" x14ac:dyDescent="0.2">
      <c r="B7639" s="16"/>
    </row>
    <row r="7640" spans="2:2" x14ac:dyDescent="0.2">
      <c r="B7640" s="16"/>
    </row>
    <row r="7641" spans="2:2" x14ac:dyDescent="0.2">
      <c r="B7641" s="16"/>
    </row>
    <row r="7642" spans="2:2" x14ac:dyDescent="0.2">
      <c r="B7642" s="16"/>
    </row>
    <row r="7643" spans="2:2" x14ac:dyDescent="0.2">
      <c r="B7643" s="16"/>
    </row>
    <row r="7644" spans="2:2" x14ac:dyDescent="0.2">
      <c r="B7644" s="16"/>
    </row>
    <row r="7645" spans="2:2" x14ac:dyDescent="0.2">
      <c r="B7645" s="16"/>
    </row>
    <row r="7646" spans="2:2" x14ac:dyDescent="0.2">
      <c r="B7646" s="16"/>
    </row>
    <row r="7647" spans="2:2" x14ac:dyDescent="0.2">
      <c r="B7647" s="16"/>
    </row>
    <row r="7648" spans="2:2" x14ac:dyDescent="0.2">
      <c r="B7648" s="16"/>
    </row>
    <row r="7649" spans="2:2" x14ac:dyDescent="0.2">
      <c r="B7649" s="16"/>
    </row>
    <row r="7650" spans="2:2" x14ac:dyDescent="0.2">
      <c r="B7650" s="16"/>
    </row>
    <row r="7651" spans="2:2" x14ac:dyDescent="0.2">
      <c r="B7651" s="16"/>
    </row>
    <row r="7652" spans="2:2" x14ac:dyDescent="0.2">
      <c r="B7652" s="16"/>
    </row>
    <row r="7653" spans="2:2" x14ac:dyDescent="0.2">
      <c r="B7653" s="16"/>
    </row>
    <row r="7654" spans="2:2" x14ac:dyDescent="0.2">
      <c r="B7654" s="16"/>
    </row>
    <row r="7655" spans="2:2" x14ac:dyDescent="0.2">
      <c r="B7655" s="16"/>
    </row>
    <row r="7656" spans="2:2" x14ac:dyDescent="0.2">
      <c r="B7656" s="16"/>
    </row>
    <row r="7657" spans="2:2" x14ac:dyDescent="0.2">
      <c r="B7657" s="16"/>
    </row>
    <row r="7658" spans="2:2" x14ac:dyDescent="0.2">
      <c r="B7658" s="16"/>
    </row>
    <row r="7659" spans="2:2" x14ac:dyDescent="0.2">
      <c r="B7659" s="16"/>
    </row>
    <row r="7660" spans="2:2" x14ac:dyDescent="0.2">
      <c r="B7660" s="16"/>
    </row>
    <row r="7661" spans="2:2" x14ac:dyDescent="0.2">
      <c r="B7661" s="16"/>
    </row>
    <row r="7662" spans="2:2" x14ac:dyDescent="0.2">
      <c r="B7662" s="16"/>
    </row>
    <row r="7663" spans="2:2" x14ac:dyDescent="0.2">
      <c r="B7663" s="16"/>
    </row>
    <row r="7664" spans="2:2" x14ac:dyDescent="0.2">
      <c r="B7664" s="16"/>
    </row>
    <row r="7665" spans="2:2" x14ac:dyDescent="0.2">
      <c r="B7665" s="16"/>
    </row>
    <row r="7666" spans="2:2" x14ac:dyDescent="0.2">
      <c r="B7666" s="16"/>
    </row>
    <row r="7667" spans="2:2" x14ac:dyDescent="0.2">
      <c r="B7667" s="16"/>
    </row>
    <row r="7668" spans="2:2" x14ac:dyDescent="0.2">
      <c r="B7668" s="16"/>
    </row>
    <row r="7669" spans="2:2" x14ac:dyDescent="0.2">
      <c r="B7669" s="16"/>
    </row>
    <row r="7670" spans="2:2" x14ac:dyDescent="0.2">
      <c r="B7670" s="16"/>
    </row>
    <row r="7671" spans="2:2" x14ac:dyDescent="0.2">
      <c r="B7671" s="16"/>
    </row>
    <row r="7672" spans="2:2" x14ac:dyDescent="0.2">
      <c r="B7672" s="16"/>
    </row>
    <row r="7673" spans="2:2" x14ac:dyDescent="0.2">
      <c r="B7673" s="16"/>
    </row>
    <row r="7674" spans="2:2" x14ac:dyDescent="0.2">
      <c r="B7674" s="16"/>
    </row>
    <row r="7675" spans="2:2" x14ac:dyDescent="0.2">
      <c r="B7675" s="16"/>
    </row>
    <row r="7676" spans="2:2" x14ac:dyDescent="0.2">
      <c r="B7676" s="16"/>
    </row>
    <row r="7677" spans="2:2" x14ac:dyDescent="0.2">
      <c r="B7677" s="16"/>
    </row>
    <row r="7678" spans="2:2" x14ac:dyDescent="0.2">
      <c r="B7678" s="16"/>
    </row>
    <row r="7679" spans="2:2" x14ac:dyDescent="0.2">
      <c r="B7679" s="16"/>
    </row>
    <row r="7680" spans="2:2" x14ac:dyDescent="0.2">
      <c r="B7680" s="16"/>
    </row>
    <row r="7681" spans="2:2" x14ac:dyDescent="0.2">
      <c r="B7681" s="16"/>
    </row>
    <row r="7682" spans="2:2" x14ac:dyDescent="0.2">
      <c r="B7682" s="16"/>
    </row>
    <row r="7683" spans="2:2" x14ac:dyDescent="0.2">
      <c r="B7683" s="16"/>
    </row>
    <row r="7684" spans="2:2" x14ac:dyDescent="0.2">
      <c r="B7684" s="16"/>
    </row>
    <row r="7685" spans="2:2" x14ac:dyDescent="0.2">
      <c r="B7685" s="16"/>
    </row>
    <row r="7686" spans="2:2" x14ac:dyDescent="0.2">
      <c r="B7686" s="16"/>
    </row>
    <row r="7687" spans="2:2" x14ac:dyDescent="0.2">
      <c r="B7687" s="16"/>
    </row>
    <row r="7688" spans="2:2" x14ac:dyDescent="0.2">
      <c r="B7688" s="16"/>
    </row>
    <row r="7689" spans="2:2" x14ac:dyDescent="0.2">
      <c r="B7689" s="16"/>
    </row>
    <row r="7690" spans="2:2" x14ac:dyDescent="0.2">
      <c r="B7690" s="16"/>
    </row>
    <row r="7691" spans="2:2" x14ac:dyDescent="0.2">
      <c r="B7691" s="16"/>
    </row>
    <row r="7692" spans="2:2" x14ac:dyDescent="0.2">
      <c r="B7692" s="16"/>
    </row>
    <row r="7693" spans="2:2" x14ac:dyDescent="0.2">
      <c r="B7693" s="16"/>
    </row>
    <row r="7694" spans="2:2" x14ac:dyDescent="0.2">
      <c r="B7694" s="16"/>
    </row>
    <row r="7695" spans="2:2" x14ac:dyDescent="0.2">
      <c r="B7695" s="16"/>
    </row>
    <row r="7696" spans="2:2" x14ac:dyDescent="0.2">
      <c r="B7696" s="16"/>
    </row>
    <row r="7697" spans="2:2" x14ac:dyDescent="0.2">
      <c r="B7697" s="16"/>
    </row>
    <row r="7698" spans="2:2" x14ac:dyDescent="0.2">
      <c r="B7698" s="16"/>
    </row>
    <row r="7699" spans="2:2" x14ac:dyDescent="0.2">
      <c r="B7699" s="16"/>
    </row>
    <row r="7700" spans="2:2" x14ac:dyDescent="0.2">
      <c r="B7700" s="16"/>
    </row>
    <row r="7701" spans="2:2" x14ac:dyDescent="0.2">
      <c r="B7701" s="16"/>
    </row>
    <row r="7702" spans="2:2" x14ac:dyDescent="0.2">
      <c r="B7702" s="16"/>
    </row>
    <row r="7703" spans="2:2" x14ac:dyDescent="0.2">
      <c r="B7703" s="16"/>
    </row>
    <row r="7704" spans="2:2" x14ac:dyDescent="0.2">
      <c r="B7704" s="16"/>
    </row>
    <row r="7705" spans="2:2" x14ac:dyDescent="0.2">
      <c r="B7705" s="16"/>
    </row>
    <row r="7706" spans="2:2" x14ac:dyDescent="0.2">
      <c r="B7706" s="16"/>
    </row>
    <row r="7707" spans="2:2" x14ac:dyDescent="0.2">
      <c r="B7707" s="16"/>
    </row>
    <row r="7708" spans="2:2" x14ac:dyDescent="0.2">
      <c r="B7708" s="16"/>
    </row>
    <row r="7709" spans="2:2" x14ac:dyDescent="0.2">
      <c r="B7709" s="16"/>
    </row>
    <row r="7710" spans="2:2" x14ac:dyDescent="0.2">
      <c r="B7710" s="16"/>
    </row>
    <row r="7711" spans="2:2" x14ac:dyDescent="0.2">
      <c r="B7711" s="16"/>
    </row>
    <row r="7712" spans="2:2" x14ac:dyDescent="0.2">
      <c r="B7712" s="16"/>
    </row>
    <row r="7713" spans="2:2" x14ac:dyDescent="0.2">
      <c r="B7713" s="16"/>
    </row>
    <row r="7714" spans="2:2" x14ac:dyDescent="0.2">
      <c r="B7714" s="16"/>
    </row>
    <row r="7715" spans="2:2" x14ac:dyDescent="0.2">
      <c r="B7715" s="16"/>
    </row>
    <row r="7716" spans="2:2" x14ac:dyDescent="0.2">
      <c r="B7716" s="16"/>
    </row>
    <row r="7717" spans="2:2" x14ac:dyDescent="0.2">
      <c r="B7717" s="16"/>
    </row>
    <row r="7718" spans="2:2" x14ac:dyDescent="0.2">
      <c r="B7718" s="16"/>
    </row>
    <row r="7719" spans="2:2" x14ac:dyDescent="0.2">
      <c r="B7719" s="16"/>
    </row>
    <row r="7720" spans="2:2" x14ac:dyDescent="0.2">
      <c r="B7720" s="16"/>
    </row>
    <row r="7721" spans="2:2" x14ac:dyDescent="0.2">
      <c r="B7721" s="16"/>
    </row>
    <row r="7722" spans="2:2" x14ac:dyDescent="0.2">
      <c r="B7722" s="16"/>
    </row>
    <row r="7723" spans="2:2" x14ac:dyDescent="0.2">
      <c r="B7723" s="16"/>
    </row>
    <row r="7724" spans="2:2" x14ac:dyDescent="0.2">
      <c r="B7724" s="16"/>
    </row>
    <row r="7725" spans="2:2" x14ac:dyDescent="0.2">
      <c r="B7725" s="16"/>
    </row>
    <row r="7726" spans="2:2" x14ac:dyDescent="0.2">
      <c r="B7726" s="16"/>
    </row>
    <row r="7727" spans="2:2" x14ac:dyDescent="0.2">
      <c r="B7727" s="16"/>
    </row>
    <row r="7728" spans="2:2" x14ac:dyDescent="0.2">
      <c r="B7728" s="16"/>
    </row>
    <row r="7729" spans="2:2" x14ac:dyDescent="0.2">
      <c r="B7729" s="16"/>
    </row>
    <row r="7730" spans="2:2" x14ac:dyDescent="0.2">
      <c r="B7730" s="16"/>
    </row>
    <row r="7731" spans="2:2" x14ac:dyDescent="0.2">
      <c r="B7731" s="16"/>
    </row>
    <row r="7732" spans="2:2" x14ac:dyDescent="0.2">
      <c r="B7732" s="16"/>
    </row>
    <row r="7733" spans="2:2" x14ac:dyDescent="0.2">
      <c r="B7733" s="16"/>
    </row>
    <row r="7734" spans="2:2" x14ac:dyDescent="0.2">
      <c r="B7734" s="16"/>
    </row>
    <row r="7735" spans="2:2" x14ac:dyDescent="0.2">
      <c r="B7735" s="16"/>
    </row>
    <row r="7736" spans="2:2" x14ac:dyDescent="0.2">
      <c r="B7736" s="16"/>
    </row>
    <row r="7737" spans="2:2" x14ac:dyDescent="0.2">
      <c r="B7737" s="16"/>
    </row>
    <row r="7738" spans="2:2" x14ac:dyDescent="0.2">
      <c r="B7738" s="16"/>
    </row>
    <row r="7739" spans="2:2" x14ac:dyDescent="0.2">
      <c r="B7739" s="16"/>
    </row>
    <row r="7740" spans="2:2" x14ac:dyDescent="0.2">
      <c r="B7740" s="16"/>
    </row>
    <row r="7741" spans="2:2" x14ac:dyDescent="0.2">
      <c r="B7741" s="16"/>
    </row>
    <row r="7742" spans="2:2" x14ac:dyDescent="0.2">
      <c r="B7742" s="16"/>
    </row>
    <row r="7743" spans="2:2" x14ac:dyDescent="0.2">
      <c r="B7743" s="16"/>
    </row>
    <row r="7744" spans="2:2" x14ac:dyDescent="0.2">
      <c r="B7744" s="16"/>
    </row>
    <row r="7745" spans="2:2" x14ac:dyDescent="0.2">
      <c r="B7745" s="16"/>
    </row>
    <row r="7746" spans="2:2" x14ac:dyDescent="0.2">
      <c r="B7746" s="16"/>
    </row>
    <row r="7747" spans="2:2" x14ac:dyDescent="0.2">
      <c r="B7747" s="16"/>
    </row>
    <row r="7748" spans="2:2" x14ac:dyDescent="0.2">
      <c r="B7748" s="16"/>
    </row>
    <row r="7749" spans="2:2" x14ac:dyDescent="0.2">
      <c r="B7749" s="16"/>
    </row>
    <row r="7750" spans="2:2" x14ac:dyDescent="0.2">
      <c r="B7750" s="16"/>
    </row>
    <row r="7751" spans="2:2" x14ac:dyDescent="0.2">
      <c r="B7751" s="16"/>
    </row>
    <row r="7752" spans="2:2" x14ac:dyDescent="0.2">
      <c r="B7752" s="16"/>
    </row>
    <row r="7753" spans="2:2" x14ac:dyDescent="0.2">
      <c r="B7753" s="16"/>
    </row>
    <row r="7754" spans="2:2" x14ac:dyDescent="0.2">
      <c r="B7754" s="16"/>
    </row>
    <row r="7755" spans="2:2" x14ac:dyDescent="0.2">
      <c r="B7755" s="16"/>
    </row>
    <row r="7756" spans="2:2" x14ac:dyDescent="0.2">
      <c r="B7756" s="16"/>
    </row>
    <row r="7757" spans="2:2" x14ac:dyDescent="0.2">
      <c r="B7757" s="16"/>
    </row>
    <row r="7758" spans="2:2" x14ac:dyDescent="0.2">
      <c r="B7758" s="16"/>
    </row>
    <row r="7759" spans="2:2" x14ac:dyDescent="0.2">
      <c r="B7759" s="16"/>
    </row>
    <row r="7760" spans="2:2" x14ac:dyDescent="0.2">
      <c r="B7760" s="16"/>
    </row>
    <row r="7761" spans="2:2" x14ac:dyDescent="0.2">
      <c r="B7761" s="16"/>
    </row>
    <row r="7762" spans="2:2" x14ac:dyDescent="0.2">
      <c r="B7762" s="16"/>
    </row>
    <row r="7763" spans="2:2" x14ac:dyDescent="0.2">
      <c r="B7763" s="16"/>
    </row>
    <row r="7764" spans="2:2" x14ac:dyDescent="0.2">
      <c r="B7764" s="16"/>
    </row>
    <row r="7765" spans="2:2" x14ac:dyDescent="0.2">
      <c r="B7765" s="16"/>
    </row>
    <row r="7766" spans="2:2" x14ac:dyDescent="0.2">
      <c r="B7766" s="16"/>
    </row>
    <row r="7767" spans="2:2" x14ac:dyDescent="0.2">
      <c r="B7767" s="16"/>
    </row>
    <row r="7768" spans="2:2" x14ac:dyDescent="0.2">
      <c r="B7768" s="16"/>
    </row>
    <row r="7769" spans="2:2" x14ac:dyDescent="0.2">
      <c r="B7769" s="16"/>
    </row>
    <row r="7770" spans="2:2" x14ac:dyDescent="0.2">
      <c r="B7770" s="16"/>
    </row>
    <row r="7771" spans="2:2" x14ac:dyDescent="0.2">
      <c r="B7771" s="16"/>
    </row>
    <row r="7772" spans="2:2" x14ac:dyDescent="0.2">
      <c r="B7772" s="16"/>
    </row>
    <row r="7773" spans="2:2" x14ac:dyDescent="0.2">
      <c r="B7773" s="16"/>
    </row>
    <row r="7774" spans="2:2" x14ac:dyDescent="0.2">
      <c r="B7774" s="16"/>
    </row>
    <row r="7775" spans="2:2" x14ac:dyDescent="0.2">
      <c r="B7775" s="16"/>
    </row>
    <row r="7776" spans="2:2" x14ac:dyDescent="0.2">
      <c r="B7776" s="16"/>
    </row>
    <row r="7777" spans="2:2" x14ac:dyDescent="0.2">
      <c r="B7777" s="16"/>
    </row>
    <row r="7778" spans="2:2" x14ac:dyDescent="0.2">
      <c r="B7778" s="16"/>
    </row>
    <row r="7779" spans="2:2" x14ac:dyDescent="0.2">
      <c r="B7779" s="16"/>
    </row>
    <row r="7780" spans="2:2" x14ac:dyDescent="0.2">
      <c r="B7780" s="16"/>
    </row>
    <row r="7781" spans="2:2" x14ac:dyDescent="0.2">
      <c r="B7781" s="16"/>
    </row>
    <row r="7782" spans="2:2" x14ac:dyDescent="0.2">
      <c r="B7782" s="16"/>
    </row>
    <row r="7783" spans="2:2" x14ac:dyDescent="0.2">
      <c r="B7783" s="16"/>
    </row>
    <row r="7784" spans="2:2" x14ac:dyDescent="0.2">
      <c r="B7784" s="16"/>
    </row>
    <row r="7785" spans="2:2" x14ac:dyDescent="0.2">
      <c r="B7785" s="16"/>
    </row>
    <row r="7786" spans="2:2" x14ac:dyDescent="0.2">
      <c r="B7786" s="16"/>
    </row>
    <row r="7787" spans="2:2" x14ac:dyDescent="0.2">
      <c r="B7787" s="16"/>
    </row>
    <row r="7788" spans="2:2" x14ac:dyDescent="0.2">
      <c r="B7788" s="16"/>
    </row>
    <row r="7789" spans="2:2" x14ac:dyDescent="0.2">
      <c r="B7789" s="16"/>
    </row>
    <row r="7790" spans="2:2" x14ac:dyDescent="0.2">
      <c r="B7790" s="16"/>
    </row>
    <row r="7791" spans="2:2" x14ac:dyDescent="0.2">
      <c r="B7791" s="16"/>
    </row>
    <row r="7792" spans="2:2" x14ac:dyDescent="0.2">
      <c r="B7792" s="16"/>
    </row>
    <row r="7793" spans="2:2" x14ac:dyDescent="0.2">
      <c r="B7793" s="16"/>
    </row>
    <row r="7794" spans="2:2" x14ac:dyDescent="0.2">
      <c r="B7794" s="16"/>
    </row>
    <row r="7795" spans="2:2" x14ac:dyDescent="0.2">
      <c r="B7795" s="16"/>
    </row>
    <row r="7796" spans="2:2" x14ac:dyDescent="0.2">
      <c r="B7796" s="16"/>
    </row>
    <row r="7797" spans="2:2" x14ac:dyDescent="0.2">
      <c r="B7797" s="16"/>
    </row>
    <row r="7798" spans="2:2" x14ac:dyDescent="0.2">
      <c r="B7798" s="16"/>
    </row>
    <row r="7799" spans="2:2" x14ac:dyDescent="0.2">
      <c r="B7799" s="16"/>
    </row>
    <row r="7800" spans="2:2" x14ac:dyDescent="0.2">
      <c r="B7800" s="16"/>
    </row>
    <row r="7801" spans="2:2" x14ac:dyDescent="0.2">
      <c r="B7801" s="16"/>
    </row>
    <row r="7802" spans="2:2" x14ac:dyDescent="0.2">
      <c r="B7802" s="16"/>
    </row>
    <row r="7803" spans="2:2" x14ac:dyDescent="0.2">
      <c r="B7803" s="16"/>
    </row>
    <row r="7804" spans="2:2" x14ac:dyDescent="0.2">
      <c r="B7804" s="16"/>
    </row>
    <row r="7805" spans="2:2" x14ac:dyDescent="0.2">
      <c r="B7805" s="16"/>
    </row>
    <row r="7806" spans="2:2" x14ac:dyDescent="0.2">
      <c r="B7806" s="16"/>
    </row>
    <row r="7807" spans="2:2" x14ac:dyDescent="0.2">
      <c r="B7807" s="16"/>
    </row>
    <row r="7808" spans="2:2" x14ac:dyDescent="0.2">
      <c r="B7808" s="16"/>
    </row>
    <row r="7809" spans="2:2" x14ac:dyDescent="0.2">
      <c r="B7809" s="16"/>
    </row>
    <row r="7810" spans="2:2" x14ac:dyDescent="0.2">
      <c r="B7810" s="16"/>
    </row>
    <row r="7811" spans="2:2" x14ac:dyDescent="0.2">
      <c r="B7811" s="16"/>
    </row>
    <row r="7812" spans="2:2" x14ac:dyDescent="0.2">
      <c r="B7812" s="16"/>
    </row>
    <row r="7813" spans="2:2" x14ac:dyDescent="0.2">
      <c r="B7813" s="16"/>
    </row>
    <row r="7814" spans="2:2" x14ac:dyDescent="0.2">
      <c r="B7814" s="16"/>
    </row>
    <row r="7815" spans="2:2" x14ac:dyDescent="0.2">
      <c r="B7815" s="16"/>
    </row>
    <row r="7816" spans="2:2" x14ac:dyDescent="0.2">
      <c r="B7816" s="16"/>
    </row>
    <row r="7817" spans="2:2" x14ac:dyDescent="0.2">
      <c r="B7817" s="16"/>
    </row>
    <row r="7818" spans="2:2" x14ac:dyDescent="0.2">
      <c r="B7818" s="16"/>
    </row>
    <row r="7819" spans="2:2" x14ac:dyDescent="0.2">
      <c r="B7819" s="16"/>
    </row>
    <row r="7820" spans="2:2" x14ac:dyDescent="0.2">
      <c r="B7820" s="16"/>
    </row>
    <row r="7821" spans="2:2" x14ac:dyDescent="0.2">
      <c r="B7821" s="16"/>
    </row>
    <row r="7822" spans="2:2" x14ac:dyDescent="0.2">
      <c r="B7822" s="16"/>
    </row>
    <row r="7823" spans="2:2" x14ac:dyDescent="0.2">
      <c r="B7823" s="16"/>
    </row>
    <row r="7824" spans="2:2" x14ac:dyDescent="0.2">
      <c r="B7824" s="16"/>
    </row>
    <row r="7825" spans="2:2" x14ac:dyDescent="0.2">
      <c r="B7825" s="16"/>
    </row>
    <row r="7826" spans="2:2" x14ac:dyDescent="0.2">
      <c r="B7826" s="16"/>
    </row>
    <row r="7827" spans="2:2" x14ac:dyDescent="0.2">
      <c r="B7827" s="16"/>
    </row>
    <row r="7828" spans="2:2" x14ac:dyDescent="0.2">
      <c r="B7828" s="16"/>
    </row>
    <row r="7829" spans="2:2" x14ac:dyDescent="0.2">
      <c r="B7829" s="16"/>
    </row>
    <row r="7830" spans="2:2" x14ac:dyDescent="0.2">
      <c r="B7830" s="16"/>
    </row>
    <row r="7831" spans="2:2" x14ac:dyDescent="0.2">
      <c r="B7831" s="16"/>
    </row>
    <row r="7832" spans="2:2" x14ac:dyDescent="0.2">
      <c r="B7832" s="16"/>
    </row>
    <row r="7833" spans="2:2" x14ac:dyDescent="0.2">
      <c r="B7833" s="16"/>
    </row>
    <row r="7834" spans="2:2" x14ac:dyDescent="0.2">
      <c r="B7834" s="16"/>
    </row>
    <row r="7835" spans="2:2" x14ac:dyDescent="0.2">
      <c r="B7835" s="16"/>
    </row>
    <row r="7836" spans="2:2" x14ac:dyDescent="0.2">
      <c r="B7836" s="16"/>
    </row>
    <row r="7837" spans="2:2" x14ac:dyDescent="0.2">
      <c r="B7837" s="16"/>
    </row>
    <row r="7838" spans="2:2" x14ac:dyDescent="0.2">
      <c r="B7838" s="16"/>
    </row>
    <row r="7839" spans="2:2" x14ac:dyDescent="0.2">
      <c r="B7839" s="16"/>
    </row>
    <row r="7840" spans="2:2" x14ac:dyDescent="0.2">
      <c r="B7840" s="16"/>
    </row>
    <row r="7841" spans="2:2" x14ac:dyDescent="0.2">
      <c r="B7841" s="16"/>
    </row>
    <row r="7842" spans="2:2" x14ac:dyDescent="0.2">
      <c r="B7842" s="16"/>
    </row>
    <row r="7843" spans="2:2" x14ac:dyDescent="0.2">
      <c r="B7843" s="16"/>
    </row>
    <row r="7844" spans="2:2" x14ac:dyDescent="0.2">
      <c r="B7844" s="16"/>
    </row>
    <row r="7845" spans="2:2" x14ac:dyDescent="0.2">
      <c r="B7845" s="16"/>
    </row>
    <row r="7846" spans="2:2" x14ac:dyDescent="0.2">
      <c r="B7846" s="16"/>
    </row>
    <row r="7847" spans="2:2" x14ac:dyDescent="0.2">
      <c r="B7847" s="16"/>
    </row>
    <row r="7848" spans="2:2" x14ac:dyDescent="0.2">
      <c r="B7848" s="16"/>
    </row>
    <row r="7849" spans="2:2" x14ac:dyDescent="0.2">
      <c r="B7849" s="16"/>
    </row>
    <row r="7850" spans="2:2" x14ac:dyDescent="0.2">
      <c r="B7850" s="16"/>
    </row>
    <row r="7851" spans="2:2" x14ac:dyDescent="0.2">
      <c r="B7851" s="16"/>
    </row>
    <row r="7852" spans="2:2" x14ac:dyDescent="0.2">
      <c r="B7852" s="16"/>
    </row>
    <row r="7853" spans="2:2" x14ac:dyDescent="0.2">
      <c r="B7853" s="16"/>
    </row>
    <row r="7854" spans="2:2" x14ac:dyDescent="0.2">
      <c r="B7854" s="16"/>
    </row>
    <row r="7855" spans="2:2" x14ac:dyDescent="0.2">
      <c r="B7855" s="16"/>
    </row>
    <row r="7856" spans="2:2" x14ac:dyDescent="0.2">
      <c r="B7856" s="16"/>
    </row>
    <row r="7857" spans="2:2" x14ac:dyDescent="0.2">
      <c r="B7857" s="16"/>
    </row>
    <row r="7858" spans="2:2" x14ac:dyDescent="0.2">
      <c r="B7858" s="16"/>
    </row>
    <row r="7859" spans="2:2" x14ac:dyDescent="0.2">
      <c r="B7859" s="16"/>
    </row>
    <row r="7860" spans="2:2" x14ac:dyDescent="0.2">
      <c r="B7860" s="16"/>
    </row>
    <row r="7861" spans="2:2" x14ac:dyDescent="0.2">
      <c r="B7861" s="16"/>
    </row>
    <row r="7862" spans="2:2" x14ac:dyDescent="0.2">
      <c r="B7862" s="16"/>
    </row>
    <row r="7863" spans="2:2" x14ac:dyDescent="0.2">
      <c r="B7863" s="16"/>
    </row>
    <row r="7864" spans="2:2" x14ac:dyDescent="0.2">
      <c r="B7864" s="16"/>
    </row>
    <row r="7865" spans="2:2" x14ac:dyDescent="0.2">
      <c r="B7865" s="16"/>
    </row>
    <row r="7866" spans="2:2" x14ac:dyDescent="0.2">
      <c r="B7866" s="16"/>
    </row>
    <row r="7867" spans="2:2" x14ac:dyDescent="0.2">
      <c r="B7867" s="16"/>
    </row>
    <row r="7868" spans="2:2" x14ac:dyDescent="0.2">
      <c r="B7868" s="16"/>
    </row>
    <row r="7869" spans="2:2" x14ac:dyDescent="0.2">
      <c r="B7869" s="16"/>
    </row>
    <row r="7870" spans="2:2" x14ac:dyDescent="0.2">
      <c r="B7870" s="16"/>
    </row>
    <row r="7871" spans="2:2" x14ac:dyDescent="0.2">
      <c r="B7871" s="16"/>
    </row>
    <row r="7872" spans="2:2" x14ac:dyDescent="0.2">
      <c r="B7872" s="16"/>
    </row>
    <row r="7873" spans="2:2" x14ac:dyDescent="0.2">
      <c r="B7873" s="16"/>
    </row>
    <row r="7874" spans="2:2" x14ac:dyDescent="0.2">
      <c r="B7874" s="16"/>
    </row>
    <row r="7875" spans="2:2" x14ac:dyDescent="0.2">
      <c r="B7875" s="16"/>
    </row>
    <row r="7876" spans="2:2" x14ac:dyDescent="0.2">
      <c r="B7876" s="16"/>
    </row>
    <row r="7877" spans="2:2" x14ac:dyDescent="0.2">
      <c r="B7877" s="16"/>
    </row>
    <row r="7878" spans="2:2" x14ac:dyDescent="0.2">
      <c r="B7878" s="16"/>
    </row>
    <row r="7879" spans="2:2" x14ac:dyDescent="0.2">
      <c r="B7879" s="16"/>
    </row>
    <row r="7880" spans="2:2" x14ac:dyDescent="0.2">
      <c r="B7880" s="16"/>
    </row>
    <row r="7881" spans="2:2" x14ac:dyDescent="0.2">
      <c r="B7881" s="16"/>
    </row>
    <row r="7882" spans="2:2" x14ac:dyDescent="0.2">
      <c r="B7882" s="16"/>
    </row>
    <row r="7883" spans="2:2" x14ac:dyDescent="0.2">
      <c r="B7883" s="16"/>
    </row>
    <row r="7884" spans="2:2" x14ac:dyDescent="0.2">
      <c r="B7884" s="16"/>
    </row>
    <row r="7885" spans="2:2" x14ac:dyDescent="0.2">
      <c r="B7885" s="16"/>
    </row>
    <row r="7886" spans="2:2" x14ac:dyDescent="0.2">
      <c r="B7886" s="16"/>
    </row>
    <row r="7887" spans="2:2" x14ac:dyDescent="0.2">
      <c r="B7887" s="16"/>
    </row>
    <row r="7888" spans="2:2" x14ac:dyDescent="0.2">
      <c r="B7888" s="16"/>
    </row>
    <row r="7889" spans="2:2" x14ac:dyDescent="0.2">
      <c r="B7889" s="16"/>
    </row>
    <row r="7890" spans="2:2" x14ac:dyDescent="0.2">
      <c r="B7890" s="16"/>
    </row>
    <row r="7891" spans="2:2" x14ac:dyDescent="0.2">
      <c r="B7891" s="16"/>
    </row>
    <row r="7892" spans="2:2" x14ac:dyDescent="0.2">
      <c r="B7892" s="16"/>
    </row>
    <row r="7893" spans="2:2" x14ac:dyDescent="0.2">
      <c r="B7893" s="16"/>
    </row>
    <row r="7894" spans="2:2" x14ac:dyDescent="0.2">
      <c r="B7894" s="16"/>
    </row>
    <row r="7895" spans="2:2" x14ac:dyDescent="0.2">
      <c r="B7895" s="16"/>
    </row>
    <row r="7896" spans="2:2" x14ac:dyDescent="0.2">
      <c r="B7896" s="16"/>
    </row>
    <row r="7897" spans="2:2" x14ac:dyDescent="0.2">
      <c r="B7897" s="16"/>
    </row>
    <row r="7898" spans="2:2" x14ac:dyDescent="0.2">
      <c r="B7898" s="16"/>
    </row>
    <row r="7899" spans="2:2" x14ac:dyDescent="0.2">
      <c r="B7899" s="16"/>
    </row>
    <row r="7900" spans="2:2" x14ac:dyDescent="0.2">
      <c r="B7900" s="16"/>
    </row>
    <row r="7901" spans="2:2" x14ac:dyDescent="0.2">
      <c r="B7901" s="16"/>
    </row>
    <row r="7902" spans="2:2" x14ac:dyDescent="0.2">
      <c r="B7902" s="16"/>
    </row>
    <row r="7903" spans="2:2" x14ac:dyDescent="0.2">
      <c r="B7903" s="16"/>
    </row>
    <row r="7904" spans="2:2" x14ac:dyDescent="0.2">
      <c r="B7904" s="16"/>
    </row>
    <row r="7905" spans="2:2" x14ac:dyDescent="0.2">
      <c r="B7905" s="16"/>
    </row>
    <row r="7906" spans="2:2" x14ac:dyDescent="0.2">
      <c r="B7906" s="16"/>
    </row>
    <row r="7907" spans="2:2" x14ac:dyDescent="0.2">
      <c r="B7907" s="16"/>
    </row>
    <row r="7908" spans="2:2" x14ac:dyDescent="0.2">
      <c r="B7908" s="16"/>
    </row>
    <row r="7909" spans="2:2" x14ac:dyDescent="0.2">
      <c r="B7909" s="16"/>
    </row>
    <row r="7910" spans="2:2" x14ac:dyDescent="0.2">
      <c r="B7910" s="16"/>
    </row>
    <row r="7911" spans="2:2" x14ac:dyDescent="0.2">
      <c r="B7911" s="16"/>
    </row>
    <row r="7912" spans="2:2" x14ac:dyDescent="0.2">
      <c r="B7912" s="16"/>
    </row>
    <row r="7913" spans="2:2" x14ac:dyDescent="0.2">
      <c r="B7913" s="16"/>
    </row>
    <row r="7914" spans="2:2" x14ac:dyDescent="0.2">
      <c r="B7914" s="16"/>
    </row>
    <row r="7915" spans="2:2" x14ac:dyDescent="0.2">
      <c r="B7915" s="16"/>
    </row>
    <row r="7916" spans="2:2" x14ac:dyDescent="0.2">
      <c r="B7916" s="16"/>
    </row>
    <row r="7917" spans="2:2" x14ac:dyDescent="0.2">
      <c r="B7917" s="16"/>
    </row>
    <row r="7918" spans="2:2" x14ac:dyDescent="0.2">
      <c r="B7918" s="16"/>
    </row>
    <row r="7919" spans="2:2" x14ac:dyDescent="0.2">
      <c r="B7919" s="16"/>
    </row>
    <row r="7920" spans="2:2" x14ac:dyDescent="0.2">
      <c r="B7920" s="16"/>
    </row>
    <row r="7921" spans="2:2" x14ac:dyDescent="0.2">
      <c r="B7921" s="16"/>
    </row>
    <row r="7922" spans="2:2" x14ac:dyDescent="0.2">
      <c r="B7922" s="16"/>
    </row>
    <row r="7923" spans="2:2" x14ac:dyDescent="0.2">
      <c r="B7923" s="16"/>
    </row>
    <row r="7924" spans="2:2" x14ac:dyDescent="0.2">
      <c r="B7924" s="16"/>
    </row>
    <row r="7925" spans="2:2" x14ac:dyDescent="0.2">
      <c r="B7925" s="16"/>
    </row>
    <row r="7926" spans="2:2" x14ac:dyDescent="0.2">
      <c r="B7926" s="16"/>
    </row>
    <row r="7927" spans="2:2" x14ac:dyDescent="0.2">
      <c r="B7927" s="16"/>
    </row>
    <row r="7928" spans="2:2" x14ac:dyDescent="0.2">
      <c r="B7928" s="16"/>
    </row>
    <row r="7929" spans="2:2" x14ac:dyDescent="0.2">
      <c r="B7929" s="16"/>
    </row>
    <row r="7930" spans="2:2" x14ac:dyDescent="0.2">
      <c r="B7930" s="16"/>
    </row>
    <row r="7931" spans="2:2" x14ac:dyDescent="0.2">
      <c r="B7931" s="16"/>
    </row>
    <row r="7932" spans="2:2" x14ac:dyDescent="0.2">
      <c r="B7932" s="16"/>
    </row>
    <row r="7933" spans="2:2" x14ac:dyDescent="0.2">
      <c r="B7933" s="16"/>
    </row>
    <row r="7934" spans="2:2" x14ac:dyDescent="0.2">
      <c r="B7934" s="16"/>
    </row>
    <row r="7935" spans="2:2" x14ac:dyDescent="0.2">
      <c r="B7935" s="16"/>
    </row>
    <row r="7936" spans="2:2" x14ac:dyDescent="0.2">
      <c r="B7936" s="16"/>
    </row>
    <row r="7937" spans="2:2" x14ac:dyDescent="0.2">
      <c r="B7937" s="16"/>
    </row>
    <row r="7938" spans="2:2" x14ac:dyDescent="0.2">
      <c r="B7938" s="16"/>
    </row>
    <row r="7939" spans="2:2" x14ac:dyDescent="0.2">
      <c r="B7939" s="16"/>
    </row>
    <row r="7940" spans="2:2" x14ac:dyDescent="0.2">
      <c r="B7940" s="16"/>
    </row>
    <row r="7941" spans="2:2" x14ac:dyDescent="0.2">
      <c r="B7941" s="16"/>
    </row>
    <row r="7942" spans="2:2" x14ac:dyDescent="0.2">
      <c r="B7942" s="16"/>
    </row>
    <row r="7943" spans="2:2" x14ac:dyDescent="0.2">
      <c r="B7943" s="16"/>
    </row>
    <row r="7944" spans="2:2" x14ac:dyDescent="0.2">
      <c r="B7944" s="16"/>
    </row>
    <row r="7945" spans="2:2" x14ac:dyDescent="0.2">
      <c r="B7945" s="16"/>
    </row>
    <row r="7946" spans="2:2" x14ac:dyDescent="0.2">
      <c r="B7946" s="16"/>
    </row>
    <row r="7947" spans="2:2" x14ac:dyDescent="0.2">
      <c r="B7947" s="16"/>
    </row>
    <row r="7948" spans="2:2" x14ac:dyDescent="0.2">
      <c r="B7948" s="16"/>
    </row>
    <row r="7949" spans="2:2" x14ac:dyDescent="0.2">
      <c r="B7949" s="16"/>
    </row>
    <row r="7950" spans="2:2" x14ac:dyDescent="0.2">
      <c r="B7950" s="16"/>
    </row>
    <row r="7951" spans="2:2" x14ac:dyDescent="0.2">
      <c r="B7951" s="16"/>
    </row>
    <row r="7952" spans="2:2" x14ac:dyDescent="0.2">
      <c r="B7952" s="16"/>
    </row>
    <row r="7953" spans="2:2" x14ac:dyDescent="0.2">
      <c r="B7953" s="16"/>
    </row>
    <row r="7954" spans="2:2" x14ac:dyDescent="0.2">
      <c r="B7954" s="16"/>
    </row>
    <row r="7955" spans="2:2" x14ac:dyDescent="0.2">
      <c r="B7955" s="16"/>
    </row>
    <row r="7956" spans="2:2" x14ac:dyDescent="0.2">
      <c r="B7956" s="16"/>
    </row>
    <row r="7957" spans="2:2" x14ac:dyDescent="0.2">
      <c r="B7957" s="16"/>
    </row>
    <row r="7958" spans="2:2" x14ac:dyDescent="0.2">
      <c r="B7958" s="16"/>
    </row>
    <row r="7959" spans="2:2" x14ac:dyDescent="0.2">
      <c r="B7959" s="16"/>
    </row>
    <row r="7960" spans="2:2" x14ac:dyDescent="0.2">
      <c r="B7960" s="16"/>
    </row>
    <row r="7961" spans="2:2" x14ac:dyDescent="0.2">
      <c r="B7961" s="16"/>
    </row>
    <row r="7962" spans="2:2" x14ac:dyDescent="0.2">
      <c r="B7962" s="16"/>
    </row>
    <row r="7963" spans="2:2" x14ac:dyDescent="0.2">
      <c r="B7963" s="16"/>
    </row>
    <row r="7964" spans="2:2" x14ac:dyDescent="0.2">
      <c r="B7964" s="16"/>
    </row>
    <row r="7965" spans="2:2" x14ac:dyDescent="0.2">
      <c r="B7965" s="16"/>
    </row>
    <row r="7966" spans="2:2" x14ac:dyDescent="0.2">
      <c r="B7966" s="16"/>
    </row>
    <row r="7967" spans="2:2" x14ac:dyDescent="0.2">
      <c r="B7967" s="16"/>
    </row>
    <row r="7968" spans="2:2" x14ac:dyDescent="0.2">
      <c r="B7968" s="16"/>
    </row>
    <row r="7969" spans="2:2" x14ac:dyDescent="0.2">
      <c r="B7969" s="16"/>
    </row>
    <row r="7970" spans="2:2" x14ac:dyDescent="0.2">
      <c r="B7970" s="16"/>
    </row>
    <row r="7971" spans="2:2" x14ac:dyDescent="0.2">
      <c r="B7971" s="16"/>
    </row>
    <row r="7972" spans="2:2" x14ac:dyDescent="0.2">
      <c r="B7972" s="16"/>
    </row>
    <row r="7973" spans="2:2" x14ac:dyDescent="0.2">
      <c r="B7973" s="16"/>
    </row>
    <row r="7974" spans="2:2" x14ac:dyDescent="0.2">
      <c r="B7974" s="16"/>
    </row>
    <row r="7975" spans="2:2" x14ac:dyDescent="0.2">
      <c r="B7975" s="16"/>
    </row>
    <row r="7976" spans="2:2" x14ac:dyDescent="0.2">
      <c r="B7976" s="16"/>
    </row>
    <row r="7977" spans="2:2" x14ac:dyDescent="0.2">
      <c r="B7977" s="16"/>
    </row>
    <row r="7978" spans="2:2" x14ac:dyDescent="0.2">
      <c r="B7978" s="16"/>
    </row>
    <row r="7979" spans="2:2" x14ac:dyDescent="0.2">
      <c r="B7979" s="16"/>
    </row>
    <row r="7980" spans="2:2" x14ac:dyDescent="0.2">
      <c r="B7980" s="16"/>
    </row>
    <row r="7981" spans="2:2" x14ac:dyDescent="0.2">
      <c r="B7981" s="16"/>
    </row>
    <row r="7982" spans="2:2" x14ac:dyDescent="0.2">
      <c r="B7982" s="16"/>
    </row>
    <row r="7983" spans="2:2" x14ac:dyDescent="0.2">
      <c r="B7983" s="16"/>
    </row>
    <row r="7984" spans="2:2" x14ac:dyDescent="0.2">
      <c r="B7984" s="16"/>
    </row>
    <row r="7985" spans="2:2" x14ac:dyDescent="0.2">
      <c r="B7985" s="16"/>
    </row>
    <row r="7986" spans="2:2" x14ac:dyDescent="0.2">
      <c r="B7986" s="16"/>
    </row>
    <row r="7987" spans="2:2" x14ac:dyDescent="0.2">
      <c r="B7987" s="16"/>
    </row>
    <row r="7988" spans="2:2" x14ac:dyDescent="0.2">
      <c r="B7988" s="16"/>
    </row>
    <row r="7989" spans="2:2" x14ac:dyDescent="0.2">
      <c r="B7989" s="16"/>
    </row>
    <row r="7990" spans="2:2" x14ac:dyDescent="0.2">
      <c r="B7990" s="16"/>
    </row>
    <row r="7991" spans="2:2" x14ac:dyDescent="0.2">
      <c r="B7991" s="16"/>
    </row>
    <row r="7992" spans="2:2" x14ac:dyDescent="0.2">
      <c r="B7992" s="16"/>
    </row>
    <row r="7993" spans="2:2" x14ac:dyDescent="0.2">
      <c r="B7993" s="16"/>
    </row>
    <row r="7994" spans="2:2" x14ac:dyDescent="0.2">
      <c r="B7994" s="16"/>
    </row>
    <row r="7995" spans="2:2" x14ac:dyDescent="0.2">
      <c r="B7995" s="16"/>
    </row>
    <row r="7996" spans="2:2" x14ac:dyDescent="0.2">
      <c r="B7996" s="16"/>
    </row>
    <row r="7997" spans="2:2" x14ac:dyDescent="0.2">
      <c r="B7997" s="16"/>
    </row>
    <row r="7998" spans="2:2" x14ac:dyDescent="0.2">
      <c r="B7998" s="16"/>
    </row>
    <row r="7999" spans="2:2" x14ac:dyDescent="0.2">
      <c r="B7999" s="16"/>
    </row>
    <row r="8000" spans="2:2" x14ac:dyDescent="0.2">
      <c r="B8000" s="16"/>
    </row>
    <row r="8001" spans="2:2" x14ac:dyDescent="0.2">
      <c r="B8001" s="16"/>
    </row>
    <row r="8002" spans="2:2" x14ac:dyDescent="0.2">
      <c r="B8002" s="16"/>
    </row>
    <row r="8003" spans="2:2" x14ac:dyDescent="0.2">
      <c r="B8003" s="16"/>
    </row>
    <row r="8004" spans="2:2" x14ac:dyDescent="0.2">
      <c r="B8004" s="16"/>
    </row>
    <row r="8005" spans="2:2" x14ac:dyDescent="0.2">
      <c r="B8005" s="16"/>
    </row>
    <row r="8006" spans="2:2" x14ac:dyDescent="0.2">
      <c r="B8006" s="16"/>
    </row>
    <row r="8007" spans="2:2" x14ac:dyDescent="0.2">
      <c r="B8007" s="16"/>
    </row>
    <row r="8008" spans="2:2" x14ac:dyDescent="0.2">
      <c r="B8008" s="16"/>
    </row>
    <row r="8009" spans="2:2" x14ac:dyDescent="0.2">
      <c r="B8009" s="16"/>
    </row>
    <row r="8010" spans="2:2" x14ac:dyDescent="0.2">
      <c r="B8010" s="16"/>
    </row>
    <row r="8011" spans="2:2" x14ac:dyDescent="0.2">
      <c r="B8011" s="16"/>
    </row>
    <row r="8012" spans="2:2" x14ac:dyDescent="0.2">
      <c r="B8012" s="16"/>
    </row>
    <row r="8013" spans="2:2" x14ac:dyDescent="0.2">
      <c r="B8013" s="16"/>
    </row>
    <row r="8014" spans="2:2" x14ac:dyDescent="0.2">
      <c r="B8014" s="16"/>
    </row>
    <row r="8015" spans="2:2" x14ac:dyDescent="0.2">
      <c r="B8015" s="16"/>
    </row>
    <row r="8016" spans="2:2" x14ac:dyDescent="0.2">
      <c r="B8016" s="16"/>
    </row>
    <row r="8017" spans="2:2" x14ac:dyDescent="0.2">
      <c r="B8017" s="16"/>
    </row>
    <row r="8018" spans="2:2" x14ac:dyDescent="0.2">
      <c r="B8018" s="16"/>
    </row>
    <row r="8019" spans="2:2" x14ac:dyDescent="0.2">
      <c r="B8019" s="16"/>
    </row>
    <row r="8020" spans="2:2" x14ac:dyDescent="0.2">
      <c r="B8020" s="16"/>
    </row>
    <row r="8021" spans="2:2" x14ac:dyDescent="0.2">
      <c r="B8021" s="16"/>
    </row>
    <row r="8022" spans="2:2" x14ac:dyDescent="0.2">
      <c r="B8022" s="16"/>
    </row>
    <row r="8023" spans="2:2" x14ac:dyDescent="0.2">
      <c r="B8023" s="16"/>
    </row>
    <row r="8024" spans="2:2" x14ac:dyDescent="0.2">
      <c r="B8024" s="16"/>
    </row>
    <row r="8025" spans="2:2" x14ac:dyDescent="0.2">
      <c r="B8025" s="16"/>
    </row>
    <row r="8026" spans="2:2" x14ac:dyDescent="0.2">
      <c r="B8026" s="16"/>
    </row>
    <row r="8027" spans="2:2" x14ac:dyDescent="0.2">
      <c r="B8027" s="16"/>
    </row>
    <row r="8028" spans="2:2" x14ac:dyDescent="0.2">
      <c r="B8028" s="16"/>
    </row>
    <row r="8029" spans="2:2" x14ac:dyDescent="0.2">
      <c r="B8029" s="16"/>
    </row>
    <row r="8030" spans="2:2" x14ac:dyDescent="0.2">
      <c r="B8030" s="16"/>
    </row>
    <row r="8031" spans="2:2" x14ac:dyDescent="0.2">
      <c r="B8031" s="16"/>
    </row>
    <row r="8032" spans="2:2" x14ac:dyDescent="0.2">
      <c r="B8032" s="16"/>
    </row>
    <row r="8033" spans="2:2" x14ac:dyDescent="0.2">
      <c r="B8033" s="16"/>
    </row>
    <row r="8034" spans="2:2" x14ac:dyDescent="0.2">
      <c r="B8034" s="16"/>
    </row>
    <row r="8035" spans="2:2" x14ac:dyDescent="0.2">
      <c r="B8035" s="16"/>
    </row>
    <row r="8036" spans="2:2" x14ac:dyDescent="0.2">
      <c r="B8036" s="16"/>
    </row>
    <row r="8037" spans="2:2" x14ac:dyDescent="0.2">
      <c r="B8037" s="16"/>
    </row>
    <row r="8038" spans="2:2" x14ac:dyDescent="0.2">
      <c r="B8038" s="16"/>
    </row>
    <row r="8039" spans="2:2" x14ac:dyDescent="0.2">
      <c r="B8039" s="16"/>
    </row>
    <row r="8040" spans="2:2" x14ac:dyDescent="0.2">
      <c r="B8040" s="16"/>
    </row>
    <row r="8041" spans="2:2" x14ac:dyDescent="0.2">
      <c r="B8041" s="16"/>
    </row>
    <row r="8042" spans="2:2" x14ac:dyDescent="0.2">
      <c r="B8042" s="16"/>
    </row>
    <row r="8043" spans="2:2" x14ac:dyDescent="0.2">
      <c r="B8043" s="16"/>
    </row>
    <row r="8044" spans="2:2" x14ac:dyDescent="0.2">
      <c r="B8044" s="16"/>
    </row>
    <row r="8045" spans="2:2" x14ac:dyDescent="0.2">
      <c r="B8045" s="16"/>
    </row>
    <row r="8046" spans="2:2" x14ac:dyDescent="0.2">
      <c r="B8046" s="16"/>
    </row>
    <row r="8047" spans="2:2" x14ac:dyDescent="0.2">
      <c r="B8047" s="16"/>
    </row>
    <row r="8048" spans="2:2" x14ac:dyDescent="0.2">
      <c r="B8048" s="16"/>
    </row>
    <row r="8049" spans="2:2" x14ac:dyDescent="0.2">
      <c r="B8049" s="16"/>
    </row>
    <row r="8050" spans="2:2" x14ac:dyDescent="0.2">
      <c r="B8050" s="16"/>
    </row>
    <row r="8051" spans="2:2" x14ac:dyDescent="0.2">
      <c r="B8051" s="16"/>
    </row>
    <row r="8052" spans="2:2" x14ac:dyDescent="0.2">
      <c r="B8052" s="16"/>
    </row>
    <row r="8053" spans="2:2" x14ac:dyDescent="0.2">
      <c r="B8053" s="16"/>
    </row>
    <row r="8054" spans="2:2" x14ac:dyDescent="0.2">
      <c r="B8054" s="16"/>
    </row>
    <row r="8055" spans="2:2" x14ac:dyDescent="0.2">
      <c r="B8055" s="16"/>
    </row>
    <row r="8056" spans="2:2" x14ac:dyDescent="0.2">
      <c r="B8056" s="16"/>
    </row>
    <row r="8057" spans="2:2" x14ac:dyDescent="0.2">
      <c r="B8057" s="16"/>
    </row>
    <row r="8058" spans="2:2" x14ac:dyDescent="0.2">
      <c r="B8058" s="16"/>
    </row>
    <row r="8059" spans="2:2" x14ac:dyDescent="0.2">
      <c r="B8059" s="16"/>
    </row>
    <row r="8060" spans="2:2" x14ac:dyDescent="0.2">
      <c r="B8060" s="16"/>
    </row>
    <row r="8061" spans="2:2" x14ac:dyDescent="0.2">
      <c r="B8061" s="16"/>
    </row>
    <row r="8062" spans="2:2" x14ac:dyDescent="0.2">
      <c r="B8062" s="16"/>
    </row>
    <row r="8063" spans="2:2" x14ac:dyDescent="0.2">
      <c r="B8063" s="16"/>
    </row>
    <row r="8064" spans="2:2" x14ac:dyDescent="0.2">
      <c r="B8064" s="16"/>
    </row>
    <row r="8065" spans="2:2" x14ac:dyDescent="0.2">
      <c r="B8065" s="16"/>
    </row>
    <row r="8066" spans="2:2" x14ac:dyDescent="0.2">
      <c r="B8066" s="16"/>
    </row>
    <row r="8067" spans="2:2" x14ac:dyDescent="0.2">
      <c r="B8067" s="16"/>
    </row>
    <row r="8068" spans="2:2" x14ac:dyDescent="0.2">
      <c r="B8068" s="16"/>
    </row>
    <row r="8069" spans="2:2" x14ac:dyDescent="0.2">
      <c r="B8069" s="16"/>
    </row>
    <row r="8070" spans="2:2" x14ac:dyDescent="0.2">
      <c r="B8070" s="16"/>
    </row>
    <row r="8071" spans="2:2" x14ac:dyDescent="0.2">
      <c r="B8071" s="16"/>
    </row>
    <row r="8072" spans="2:2" x14ac:dyDescent="0.2">
      <c r="B8072" s="16"/>
    </row>
    <row r="8073" spans="2:2" x14ac:dyDescent="0.2">
      <c r="B8073" s="16"/>
    </row>
    <row r="8074" spans="2:2" x14ac:dyDescent="0.2">
      <c r="B8074" s="16"/>
    </row>
    <row r="8075" spans="2:2" x14ac:dyDescent="0.2">
      <c r="B8075" s="16"/>
    </row>
    <row r="8076" spans="2:2" x14ac:dyDescent="0.2">
      <c r="B8076" s="16"/>
    </row>
    <row r="8077" spans="2:2" x14ac:dyDescent="0.2">
      <c r="B8077" s="16"/>
    </row>
    <row r="8078" spans="2:2" x14ac:dyDescent="0.2">
      <c r="B8078" s="16"/>
    </row>
    <row r="8079" spans="2:2" x14ac:dyDescent="0.2">
      <c r="B8079" s="16"/>
    </row>
    <row r="8080" spans="2:2" x14ac:dyDescent="0.2">
      <c r="B8080" s="16"/>
    </row>
    <row r="8081" spans="2:2" x14ac:dyDescent="0.2">
      <c r="B8081" s="16"/>
    </row>
    <row r="8082" spans="2:2" x14ac:dyDescent="0.2">
      <c r="B8082" s="16"/>
    </row>
    <row r="8083" spans="2:2" x14ac:dyDescent="0.2">
      <c r="B8083" s="16"/>
    </row>
    <row r="8084" spans="2:2" x14ac:dyDescent="0.2">
      <c r="B8084" s="16"/>
    </row>
    <row r="8085" spans="2:2" x14ac:dyDescent="0.2">
      <c r="B8085" s="16"/>
    </row>
    <row r="8086" spans="2:2" x14ac:dyDescent="0.2">
      <c r="B8086" s="16"/>
    </row>
    <row r="8087" spans="2:2" x14ac:dyDescent="0.2">
      <c r="B8087" s="16"/>
    </row>
    <row r="8088" spans="2:2" x14ac:dyDescent="0.2">
      <c r="B8088" s="16"/>
    </row>
    <row r="8089" spans="2:2" x14ac:dyDescent="0.2">
      <c r="B8089" s="16"/>
    </row>
    <row r="8090" spans="2:2" x14ac:dyDescent="0.2">
      <c r="B8090" s="16"/>
    </row>
    <row r="8091" spans="2:2" x14ac:dyDescent="0.2">
      <c r="B8091" s="16"/>
    </row>
    <row r="8092" spans="2:2" x14ac:dyDescent="0.2">
      <c r="B8092" s="16"/>
    </row>
    <row r="8093" spans="2:2" x14ac:dyDescent="0.2">
      <c r="B8093" s="16"/>
    </row>
    <row r="8094" spans="2:2" x14ac:dyDescent="0.2">
      <c r="B8094" s="16"/>
    </row>
    <row r="8095" spans="2:2" x14ac:dyDescent="0.2">
      <c r="B8095" s="16"/>
    </row>
    <row r="8096" spans="2:2" x14ac:dyDescent="0.2">
      <c r="B8096" s="16"/>
    </row>
    <row r="8097" spans="2:2" x14ac:dyDescent="0.2">
      <c r="B8097" s="16"/>
    </row>
    <row r="8098" spans="2:2" x14ac:dyDescent="0.2">
      <c r="B8098" s="16"/>
    </row>
    <row r="8099" spans="2:2" x14ac:dyDescent="0.2">
      <c r="B8099" s="16"/>
    </row>
    <row r="8100" spans="2:2" x14ac:dyDescent="0.2">
      <c r="B8100" s="16"/>
    </row>
    <row r="8101" spans="2:2" x14ac:dyDescent="0.2">
      <c r="B8101" s="16"/>
    </row>
    <row r="8102" spans="2:2" x14ac:dyDescent="0.2">
      <c r="B8102" s="16"/>
    </row>
    <row r="8103" spans="2:2" x14ac:dyDescent="0.2">
      <c r="B8103" s="16"/>
    </row>
    <row r="8104" spans="2:2" x14ac:dyDescent="0.2">
      <c r="B8104" s="16"/>
    </row>
    <row r="8105" spans="2:2" x14ac:dyDescent="0.2">
      <c r="B8105" s="16"/>
    </row>
    <row r="8106" spans="2:2" x14ac:dyDescent="0.2">
      <c r="B8106" s="16"/>
    </row>
    <row r="8107" spans="2:2" x14ac:dyDescent="0.2">
      <c r="B8107" s="16"/>
    </row>
    <row r="8108" spans="2:2" x14ac:dyDescent="0.2">
      <c r="B8108" s="16"/>
    </row>
    <row r="8109" spans="2:2" x14ac:dyDescent="0.2">
      <c r="B8109" s="16"/>
    </row>
    <row r="8110" spans="2:2" x14ac:dyDescent="0.2">
      <c r="B8110" s="16"/>
    </row>
    <row r="8111" spans="2:2" x14ac:dyDescent="0.2">
      <c r="B8111" s="16"/>
    </row>
    <row r="8112" spans="2:2" x14ac:dyDescent="0.2">
      <c r="B8112" s="16"/>
    </row>
    <row r="8113" spans="2:2" x14ac:dyDescent="0.2">
      <c r="B8113" s="16"/>
    </row>
    <row r="8114" spans="2:2" x14ac:dyDescent="0.2">
      <c r="B8114" s="16"/>
    </row>
    <row r="8115" spans="2:2" x14ac:dyDescent="0.2">
      <c r="B8115" s="16"/>
    </row>
    <row r="8116" spans="2:2" x14ac:dyDescent="0.2">
      <c r="B8116" s="16"/>
    </row>
    <row r="8117" spans="2:2" x14ac:dyDescent="0.2">
      <c r="B8117" s="16"/>
    </row>
    <row r="8118" spans="2:2" x14ac:dyDescent="0.2">
      <c r="B8118" s="16"/>
    </row>
    <row r="8119" spans="2:2" x14ac:dyDescent="0.2">
      <c r="B8119" s="16"/>
    </row>
    <row r="8120" spans="2:2" x14ac:dyDescent="0.2">
      <c r="B8120" s="16"/>
    </row>
    <row r="8121" spans="2:2" x14ac:dyDescent="0.2">
      <c r="B8121" s="16"/>
    </row>
    <row r="8122" spans="2:2" x14ac:dyDescent="0.2">
      <c r="B8122" s="16"/>
    </row>
    <row r="8123" spans="2:2" x14ac:dyDescent="0.2">
      <c r="B8123" s="16"/>
    </row>
    <row r="8124" spans="2:2" x14ac:dyDescent="0.2">
      <c r="B8124" s="16"/>
    </row>
    <row r="8125" spans="2:2" x14ac:dyDescent="0.2">
      <c r="B8125" s="16"/>
    </row>
    <row r="8126" spans="2:2" x14ac:dyDescent="0.2">
      <c r="B8126" s="16"/>
    </row>
    <row r="8127" spans="2:2" x14ac:dyDescent="0.2">
      <c r="B8127" s="16"/>
    </row>
    <row r="8128" spans="2:2" x14ac:dyDescent="0.2">
      <c r="B8128" s="16"/>
    </row>
    <row r="8129" spans="2:2" x14ac:dyDescent="0.2">
      <c r="B8129" s="16"/>
    </row>
    <row r="8130" spans="2:2" x14ac:dyDescent="0.2">
      <c r="B8130" s="16"/>
    </row>
    <row r="8131" spans="2:2" x14ac:dyDescent="0.2">
      <c r="B8131" s="16"/>
    </row>
    <row r="8132" spans="2:2" x14ac:dyDescent="0.2">
      <c r="B8132" s="16"/>
    </row>
    <row r="8133" spans="2:2" x14ac:dyDescent="0.2">
      <c r="B8133" s="16"/>
    </row>
    <row r="8134" spans="2:2" x14ac:dyDescent="0.2">
      <c r="B8134" s="16"/>
    </row>
    <row r="8135" spans="2:2" x14ac:dyDescent="0.2">
      <c r="B8135" s="16"/>
    </row>
    <row r="8136" spans="2:2" x14ac:dyDescent="0.2">
      <c r="B8136" s="16"/>
    </row>
    <row r="8137" spans="2:2" x14ac:dyDescent="0.2">
      <c r="B8137" s="16"/>
    </row>
    <row r="8138" spans="2:2" x14ac:dyDescent="0.2">
      <c r="B8138" s="16"/>
    </row>
    <row r="8139" spans="2:2" x14ac:dyDescent="0.2">
      <c r="B8139" s="16"/>
    </row>
    <row r="8140" spans="2:2" x14ac:dyDescent="0.2">
      <c r="B8140" s="16"/>
    </row>
    <row r="8141" spans="2:2" x14ac:dyDescent="0.2">
      <c r="B8141" s="16"/>
    </row>
    <row r="8142" spans="2:2" x14ac:dyDescent="0.2">
      <c r="B8142" s="16"/>
    </row>
    <row r="8143" spans="2:2" x14ac:dyDescent="0.2">
      <c r="B8143" s="16"/>
    </row>
    <row r="8144" spans="2:2" x14ac:dyDescent="0.2">
      <c r="B8144" s="16"/>
    </row>
    <row r="8145" spans="2:2" x14ac:dyDescent="0.2">
      <c r="B8145" s="16"/>
    </row>
    <row r="8146" spans="2:2" x14ac:dyDescent="0.2">
      <c r="B8146" s="16"/>
    </row>
    <row r="8147" spans="2:2" x14ac:dyDescent="0.2">
      <c r="B8147" s="16"/>
    </row>
    <row r="8148" spans="2:2" x14ac:dyDescent="0.2">
      <c r="B8148" s="16"/>
    </row>
    <row r="8149" spans="2:2" x14ac:dyDescent="0.2">
      <c r="B8149" s="16"/>
    </row>
    <row r="8150" spans="2:2" x14ac:dyDescent="0.2">
      <c r="B8150" s="16"/>
    </row>
    <row r="8151" spans="2:2" x14ac:dyDescent="0.2">
      <c r="B8151" s="16"/>
    </row>
    <row r="8152" spans="2:2" x14ac:dyDescent="0.2">
      <c r="B8152" s="16"/>
    </row>
    <row r="8153" spans="2:2" x14ac:dyDescent="0.2">
      <c r="B8153" s="16"/>
    </row>
    <row r="8154" spans="2:2" x14ac:dyDescent="0.2">
      <c r="B8154" s="16"/>
    </row>
    <row r="8155" spans="2:2" x14ac:dyDescent="0.2">
      <c r="B8155" s="16"/>
    </row>
    <row r="8156" spans="2:2" x14ac:dyDescent="0.2">
      <c r="B8156" s="16"/>
    </row>
    <row r="8157" spans="2:2" x14ac:dyDescent="0.2">
      <c r="B8157" s="16"/>
    </row>
    <row r="8158" spans="2:2" x14ac:dyDescent="0.2">
      <c r="B8158" s="16"/>
    </row>
    <row r="8159" spans="2:2" x14ac:dyDescent="0.2">
      <c r="B8159" s="16"/>
    </row>
    <row r="8160" spans="2:2" x14ac:dyDescent="0.2">
      <c r="B8160" s="16"/>
    </row>
    <row r="8161" spans="2:2" x14ac:dyDescent="0.2">
      <c r="B8161" s="16"/>
    </row>
    <row r="8162" spans="2:2" x14ac:dyDescent="0.2">
      <c r="B8162" s="16"/>
    </row>
    <row r="8163" spans="2:2" x14ac:dyDescent="0.2">
      <c r="B8163" s="16"/>
    </row>
    <row r="8164" spans="2:2" x14ac:dyDescent="0.2">
      <c r="B8164" s="16"/>
    </row>
    <row r="8165" spans="2:2" x14ac:dyDescent="0.2">
      <c r="B8165" s="16"/>
    </row>
    <row r="8166" spans="2:2" x14ac:dyDescent="0.2">
      <c r="B8166" s="16"/>
    </row>
    <row r="8167" spans="2:2" x14ac:dyDescent="0.2">
      <c r="B8167" s="16"/>
    </row>
    <row r="8168" spans="2:2" x14ac:dyDescent="0.2">
      <c r="B8168" s="16"/>
    </row>
    <row r="8169" spans="2:2" x14ac:dyDescent="0.2">
      <c r="B8169" s="16"/>
    </row>
    <row r="8170" spans="2:2" x14ac:dyDescent="0.2">
      <c r="B8170" s="16"/>
    </row>
    <row r="8171" spans="2:2" x14ac:dyDescent="0.2">
      <c r="B8171" s="16"/>
    </row>
    <row r="8172" spans="2:2" x14ac:dyDescent="0.2">
      <c r="B8172" s="16"/>
    </row>
    <row r="8173" spans="2:2" x14ac:dyDescent="0.2">
      <c r="B8173" s="16"/>
    </row>
    <row r="8174" spans="2:2" x14ac:dyDescent="0.2">
      <c r="B8174" s="16"/>
    </row>
    <row r="8175" spans="2:2" x14ac:dyDescent="0.2">
      <c r="B8175" s="16"/>
    </row>
    <row r="8176" spans="2:2" x14ac:dyDescent="0.2">
      <c r="B8176" s="16"/>
    </row>
    <row r="8177" spans="2:2" x14ac:dyDescent="0.2">
      <c r="B8177" s="16"/>
    </row>
    <row r="8178" spans="2:2" x14ac:dyDescent="0.2">
      <c r="B8178" s="16"/>
    </row>
    <row r="8179" spans="2:2" x14ac:dyDescent="0.2">
      <c r="B8179" s="16"/>
    </row>
    <row r="8180" spans="2:2" x14ac:dyDescent="0.2">
      <c r="B8180" s="16"/>
    </row>
    <row r="8181" spans="2:2" x14ac:dyDescent="0.2">
      <c r="B8181" s="16"/>
    </row>
    <row r="8182" spans="2:2" x14ac:dyDescent="0.2">
      <c r="B8182" s="16"/>
    </row>
    <row r="8183" spans="2:2" x14ac:dyDescent="0.2">
      <c r="B8183" s="16"/>
    </row>
    <row r="8184" spans="2:2" x14ac:dyDescent="0.2">
      <c r="B8184" s="16"/>
    </row>
    <row r="8185" spans="2:2" x14ac:dyDescent="0.2">
      <c r="B8185" s="16"/>
    </row>
    <row r="8186" spans="2:2" x14ac:dyDescent="0.2">
      <c r="B8186" s="16"/>
    </row>
    <row r="8187" spans="2:2" x14ac:dyDescent="0.2">
      <c r="B8187" s="16"/>
    </row>
    <row r="8188" spans="2:2" x14ac:dyDescent="0.2">
      <c r="B8188" s="16"/>
    </row>
    <row r="8189" spans="2:2" x14ac:dyDescent="0.2">
      <c r="B8189" s="16"/>
    </row>
    <row r="8190" spans="2:2" x14ac:dyDescent="0.2">
      <c r="B8190" s="16"/>
    </row>
    <row r="8191" spans="2:2" x14ac:dyDescent="0.2">
      <c r="B8191" s="16"/>
    </row>
    <row r="8192" spans="2:2" x14ac:dyDescent="0.2">
      <c r="B8192" s="16"/>
    </row>
    <row r="8193" spans="2:2" x14ac:dyDescent="0.2">
      <c r="B8193" s="16"/>
    </row>
    <row r="8194" spans="2:2" x14ac:dyDescent="0.2">
      <c r="B8194" s="16"/>
    </row>
    <row r="8195" spans="2:2" x14ac:dyDescent="0.2">
      <c r="B8195" s="16"/>
    </row>
    <row r="8196" spans="2:2" x14ac:dyDescent="0.2">
      <c r="B8196" s="16"/>
    </row>
    <row r="8197" spans="2:2" x14ac:dyDescent="0.2">
      <c r="B8197" s="16"/>
    </row>
    <row r="8198" spans="2:2" x14ac:dyDescent="0.2">
      <c r="B8198" s="16"/>
    </row>
    <row r="8199" spans="2:2" x14ac:dyDescent="0.2">
      <c r="B8199" s="16"/>
    </row>
    <row r="8200" spans="2:2" x14ac:dyDescent="0.2">
      <c r="B8200" s="16"/>
    </row>
    <row r="8201" spans="2:2" x14ac:dyDescent="0.2">
      <c r="B8201" s="16"/>
    </row>
    <row r="8202" spans="2:2" x14ac:dyDescent="0.2">
      <c r="B8202" s="16"/>
    </row>
    <row r="8203" spans="2:2" x14ac:dyDescent="0.2">
      <c r="B8203" s="16"/>
    </row>
    <row r="8204" spans="2:2" x14ac:dyDescent="0.2">
      <c r="B8204" s="16"/>
    </row>
    <row r="8205" spans="2:2" x14ac:dyDescent="0.2">
      <c r="B8205" s="16"/>
    </row>
    <row r="8206" spans="2:2" x14ac:dyDescent="0.2">
      <c r="B8206" s="16"/>
    </row>
    <row r="8207" spans="2:2" x14ac:dyDescent="0.2">
      <c r="B8207" s="16"/>
    </row>
    <row r="8208" spans="2:2" x14ac:dyDescent="0.2">
      <c r="B8208" s="16"/>
    </row>
    <row r="8209" spans="2:2" x14ac:dyDescent="0.2">
      <c r="B8209" s="16"/>
    </row>
    <row r="8210" spans="2:2" x14ac:dyDescent="0.2">
      <c r="B8210" s="16"/>
    </row>
    <row r="8211" spans="2:2" x14ac:dyDescent="0.2">
      <c r="B8211" s="16"/>
    </row>
    <row r="8212" spans="2:2" x14ac:dyDescent="0.2">
      <c r="B8212" s="16"/>
    </row>
    <row r="8213" spans="2:2" x14ac:dyDescent="0.2">
      <c r="B8213" s="16"/>
    </row>
    <row r="8214" spans="2:2" x14ac:dyDescent="0.2">
      <c r="B8214" s="16"/>
    </row>
    <row r="8215" spans="2:2" x14ac:dyDescent="0.2">
      <c r="B8215" s="16"/>
    </row>
    <row r="8216" spans="2:2" x14ac:dyDescent="0.2">
      <c r="B8216" s="16"/>
    </row>
    <row r="8217" spans="2:2" x14ac:dyDescent="0.2">
      <c r="B8217" s="16"/>
    </row>
    <row r="8218" spans="2:2" x14ac:dyDescent="0.2">
      <c r="B8218" s="16"/>
    </row>
    <row r="8219" spans="2:2" x14ac:dyDescent="0.2">
      <c r="B8219" s="16"/>
    </row>
    <row r="8220" spans="2:2" x14ac:dyDescent="0.2">
      <c r="B8220" s="16"/>
    </row>
    <row r="8221" spans="2:2" x14ac:dyDescent="0.2">
      <c r="B8221" s="16"/>
    </row>
    <row r="8222" spans="2:2" x14ac:dyDescent="0.2">
      <c r="B8222" s="16"/>
    </row>
    <row r="8223" spans="2:2" x14ac:dyDescent="0.2">
      <c r="B8223" s="16"/>
    </row>
    <row r="8224" spans="2:2" x14ac:dyDescent="0.2">
      <c r="B8224" s="16"/>
    </row>
    <row r="8225" spans="2:2" x14ac:dyDescent="0.2">
      <c r="B8225" s="16"/>
    </row>
    <row r="8226" spans="2:2" x14ac:dyDescent="0.2">
      <c r="B8226" s="16"/>
    </row>
    <row r="8227" spans="2:2" x14ac:dyDescent="0.2">
      <c r="B8227" s="16"/>
    </row>
    <row r="8228" spans="2:2" x14ac:dyDescent="0.2">
      <c r="B8228" s="16"/>
    </row>
    <row r="8229" spans="2:2" x14ac:dyDescent="0.2">
      <c r="B8229" s="16"/>
    </row>
    <row r="8230" spans="2:2" x14ac:dyDescent="0.2">
      <c r="B8230" s="16"/>
    </row>
    <row r="8231" spans="2:2" x14ac:dyDescent="0.2">
      <c r="B8231" s="16"/>
    </row>
    <row r="8232" spans="2:2" x14ac:dyDescent="0.2">
      <c r="B8232" s="16"/>
    </row>
    <row r="8233" spans="2:2" x14ac:dyDescent="0.2">
      <c r="B8233" s="16"/>
    </row>
    <row r="8234" spans="2:2" x14ac:dyDescent="0.2">
      <c r="B8234" s="16"/>
    </row>
    <row r="8235" spans="2:2" x14ac:dyDescent="0.2">
      <c r="B8235" s="16"/>
    </row>
    <row r="8236" spans="2:2" x14ac:dyDescent="0.2">
      <c r="B8236" s="16"/>
    </row>
    <row r="8237" spans="2:2" x14ac:dyDescent="0.2">
      <c r="B8237" s="16"/>
    </row>
    <row r="8238" spans="2:2" x14ac:dyDescent="0.2">
      <c r="B8238" s="16"/>
    </row>
    <row r="8239" spans="2:2" x14ac:dyDescent="0.2">
      <c r="B8239" s="16"/>
    </row>
    <row r="8240" spans="2:2" x14ac:dyDescent="0.2">
      <c r="B8240" s="16"/>
    </row>
    <row r="8241" spans="2:2" x14ac:dyDescent="0.2">
      <c r="B8241" s="16"/>
    </row>
    <row r="8242" spans="2:2" x14ac:dyDescent="0.2">
      <c r="B8242" s="16"/>
    </row>
    <row r="8243" spans="2:2" x14ac:dyDescent="0.2">
      <c r="B8243" s="16"/>
    </row>
    <row r="8244" spans="2:2" x14ac:dyDescent="0.2">
      <c r="B8244" s="16"/>
    </row>
    <row r="8245" spans="2:2" x14ac:dyDescent="0.2">
      <c r="B8245" s="16"/>
    </row>
    <row r="8246" spans="2:2" x14ac:dyDescent="0.2">
      <c r="B8246" s="16"/>
    </row>
    <row r="8247" spans="2:2" x14ac:dyDescent="0.2">
      <c r="B8247" s="16"/>
    </row>
    <row r="8248" spans="2:2" x14ac:dyDescent="0.2">
      <c r="B8248" s="16"/>
    </row>
    <row r="8249" spans="2:2" x14ac:dyDescent="0.2">
      <c r="B8249" s="16"/>
    </row>
    <row r="8250" spans="2:2" x14ac:dyDescent="0.2">
      <c r="B8250" s="16"/>
    </row>
    <row r="8251" spans="2:2" x14ac:dyDescent="0.2">
      <c r="B8251" s="16"/>
    </row>
    <row r="8252" spans="2:2" x14ac:dyDescent="0.2">
      <c r="B8252" s="16"/>
    </row>
    <row r="8253" spans="2:2" x14ac:dyDescent="0.2">
      <c r="B8253" s="16"/>
    </row>
    <row r="8254" spans="2:2" x14ac:dyDescent="0.2">
      <c r="B8254" s="16"/>
    </row>
    <row r="8255" spans="2:2" x14ac:dyDescent="0.2">
      <c r="B8255" s="16"/>
    </row>
    <row r="8256" spans="2:2" x14ac:dyDescent="0.2">
      <c r="B8256" s="16"/>
    </row>
    <row r="8257" spans="2:2" x14ac:dyDescent="0.2">
      <c r="B8257" s="16"/>
    </row>
    <row r="8258" spans="2:2" x14ac:dyDescent="0.2">
      <c r="B8258" s="16"/>
    </row>
    <row r="8259" spans="2:2" x14ac:dyDescent="0.2">
      <c r="B8259" s="16"/>
    </row>
    <row r="8260" spans="2:2" x14ac:dyDescent="0.2">
      <c r="B8260" s="16"/>
    </row>
    <row r="8261" spans="2:2" x14ac:dyDescent="0.2">
      <c r="B8261" s="16"/>
    </row>
    <row r="8262" spans="2:2" x14ac:dyDescent="0.2">
      <c r="B8262" s="16"/>
    </row>
    <row r="8263" spans="2:2" x14ac:dyDescent="0.2">
      <c r="B8263" s="16"/>
    </row>
    <row r="8264" spans="2:2" x14ac:dyDescent="0.2">
      <c r="B8264" s="16"/>
    </row>
    <row r="8265" spans="2:2" x14ac:dyDescent="0.2">
      <c r="B8265" s="16"/>
    </row>
    <row r="8266" spans="2:2" x14ac:dyDescent="0.2">
      <c r="B8266" s="16"/>
    </row>
    <row r="8267" spans="2:2" x14ac:dyDescent="0.2">
      <c r="B8267" s="16"/>
    </row>
    <row r="8268" spans="2:2" x14ac:dyDescent="0.2">
      <c r="B8268" s="16"/>
    </row>
    <row r="8269" spans="2:2" x14ac:dyDescent="0.2">
      <c r="B8269" s="16"/>
    </row>
    <row r="8270" spans="2:2" x14ac:dyDescent="0.2">
      <c r="B8270" s="16"/>
    </row>
    <row r="8271" spans="2:2" x14ac:dyDescent="0.2">
      <c r="B8271" s="16"/>
    </row>
    <row r="8272" spans="2:2" x14ac:dyDescent="0.2">
      <c r="B8272" s="16"/>
    </row>
    <row r="8273" spans="2:2" x14ac:dyDescent="0.2">
      <c r="B8273" s="16"/>
    </row>
    <row r="8274" spans="2:2" x14ac:dyDescent="0.2">
      <c r="B8274" s="16"/>
    </row>
    <row r="8275" spans="2:2" x14ac:dyDescent="0.2">
      <c r="B8275" s="16"/>
    </row>
    <row r="8276" spans="2:2" x14ac:dyDescent="0.2">
      <c r="B8276" s="16"/>
    </row>
    <row r="8277" spans="2:2" x14ac:dyDescent="0.2">
      <c r="B8277" s="16"/>
    </row>
    <row r="8278" spans="2:2" x14ac:dyDescent="0.2">
      <c r="B8278" s="16"/>
    </row>
    <row r="8279" spans="2:2" x14ac:dyDescent="0.2">
      <c r="B8279" s="16"/>
    </row>
    <row r="8280" spans="2:2" x14ac:dyDescent="0.2">
      <c r="B8280" s="16"/>
    </row>
    <row r="8281" spans="2:2" x14ac:dyDescent="0.2">
      <c r="B8281" s="16"/>
    </row>
    <row r="8282" spans="2:2" x14ac:dyDescent="0.2">
      <c r="B8282" s="16"/>
    </row>
    <row r="8283" spans="2:2" x14ac:dyDescent="0.2">
      <c r="B8283" s="16"/>
    </row>
    <row r="8284" spans="2:2" x14ac:dyDescent="0.2">
      <c r="B8284" s="16"/>
    </row>
    <row r="8285" spans="2:2" x14ac:dyDescent="0.2">
      <c r="B8285" s="16"/>
    </row>
    <row r="8286" spans="2:2" x14ac:dyDescent="0.2">
      <c r="B8286" s="16"/>
    </row>
    <row r="8287" spans="2:2" x14ac:dyDescent="0.2">
      <c r="B8287" s="16"/>
    </row>
    <row r="8288" spans="2:2" x14ac:dyDescent="0.2">
      <c r="B8288" s="16"/>
    </row>
    <row r="8289" spans="2:2" x14ac:dyDescent="0.2">
      <c r="B8289" s="16"/>
    </row>
    <row r="8290" spans="2:2" x14ac:dyDescent="0.2">
      <c r="B8290" s="16"/>
    </row>
    <row r="8291" spans="2:2" x14ac:dyDescent="0.2">
      <c r="B8291" s="16"/>
    </row>
    <row r="8292" spans="2:2" x14ac:dyDescent="0.2">
      <c r="B8292" s="16"/>
    </row>
    <row r="8293" spans="2:2" x14ac:dyDescent="0.2">
      <c r="B8293" s="16"/>
    </row>
    <row r="8294" spans="2:2" x14ac:dyDescent="0.2">
      <c r="B8294" s="16"/>
    </row>
    <row r="8295" spans="2:2" x14ac:dyDescent="0.2">
      <c r="B8295" s="16"/>
    </row>
    <row r="8296" spans="2:2" x14ac:dyDescent="0.2">
      <c r="B8296" s="16"/>
    </row>
    <row r="8297" spans="2:2" x14ac:dyDescent="0.2">
      <c r="B8297" s="16"/>
    </row>
    <row r="8298" spans="2:2" x14ac:dyDescent="0.2">
      <c r="B8298" s="16"/>
    </row>
    <row r="8299" spans="2:2" x14ac:dyDescent="0.2">
      <c r="B8299" s="16"/>
    </row>
    <row r="8300" spans="2:2" x14ac:dyDescent="0.2">
      <c r="B8300" s="16"/>
    </row>
    <row r="8301" spans="2:2" x14ac:dyDescent="0.2">
      <c r="B8301" s="16"/>
    </row>
    <row r="8302" spans="2:2" x14ac:dyDescent="0.2">
      <c r="B8302" s="16"/>
    </row>
    <row r="8303" spans="2:2" x14ac:dyDescent="0.2">
      <c r="B8303" s="16"/>
    </row>
    <row r="8304" spans="2:2" x14ac:dyDescent="0.2">
      <c r="B8304" s="16"/>
    </row>
    <row r="8305" spans="2:2" x14ac:dyDescent="0.2">
      <c r="B8305" s="16"/>
    </row>
    <row r="8306" spans="2:2" x14ac:dyDescent="0.2">
      <c r="B8306" s="16"/>
    </row>
    <row r="8307" spans="2:2" x14ac:dyDescent="0.2">
      <c r="B8307" s="16"/>
    </row>
    <row r="8308" spans="2:2" x14ac:dyDescent="0.2">
      <c r="B8308" s="16"/>
    </row>
    <row r="8309" spans="2:2" x14ac:dyDescent="0.2">
      <c r="B8309" s="16"/>
    </row>
    <row r="8310" spans="2:2" x14ac:dyDescent="0.2">
      <c r="B8310" s="16"/>
    </row>
    <row r="8311" spans="2:2" x14ac:dyDescent="0.2">
      <c r="B8311" s="16"/>
    </row>
    <row r="8312" spans="2:2" x14ac:dyDescent="0.2">
      <c r="B8312" s="16"/>
    </row>
    <row r="8313" spans="2:2" x14ac:dyDescent="0.2">
      <c r="B8313" s="16"/>
    </row>
    <row r="8314" spans="2:2" x14ac:dyDescent="0.2">
      <c r="B8314" s="16"/>
    </row>
    <row r="8315" spans="2:2" x14ac:dyDescent="0.2">
      <c r="B8315" s="16"/>
    </row>
    <row r="8316" spans="2:2" x14ac:dyDescent="0.2">
      <c r="B8316" s="16"/>
    </row>
    <row r="8317" spans="2:2" x14ac:dyDescent="0.2">
      <c r="B8317" s="16"/>
    </row>
    <row r="8318" spans="2:2" x14ac:dyDescent="0.2">
      <c r="B8318" s="16"/>
    </row>
    <row r="8319" spans="2:2" x14ac:dyDescent="0.2">
      <c r="B8319" s="16"/>
    </row>
    <row r="8320" spans="2:2" x14ac:dyDescent="0.2">
      <c r="B8320" s="16"/>
    </row>
    <row r="8321" spans="2:2" x14ac:dyDescent="0.2">
      <c r="B8321" s="16"/>
    </row>
    <row r="8322" spans="2:2" x14ac:dyDescent="0.2">
      <c r="B8322" s="16"/>
    </row>
    <row r="8323" spans="2:2" x14ac:dyDescent="0.2">
      <c r="B8323" s="16"/>
    </row>
    <row r="8324" spans="2:2" x14ac:dyDescent="0.2">
      <c r="B8324" s="16"/>
    </row>
    <row r="8325" spans="2:2" x14ac:dyDescent="0.2">
      <c r="B8325" s="16"/>
    </row>
    <row r="8326" spans="2:2" x14ac:dyDescent="0.2">
      <c r="B8326" s="16"/>
    </row>
    <row r="8327" spans="2:2" x14ac:dyDescent="0.2">
      <c r="B8327" s="16"/>
    </row>
    <row r="8328" spans="2:2" x14ac:dyDescent="0.2">
      <c r="B8328" s="16"/>
    </row>
    <row r="8329" spans="2:2" x14ac:dyDescent="0.2">
      <c r="B8329" s="16"/>
    </row>
    <row r="8330" spans="2:2" x14ac:dyDescent="0.2">
      <c r="B8330" s="16"/>
    </row>
    <row r="8331" spans="2:2" x14ac:dyDescent="0.2">
      <c r="B8331" s="16"/>
    </row>
    <row r="8332" spans="2:2" x14ac:dyDescent="0.2">
      <c r="B8332" s="16"/>
    </row>
    <row r="8333" spans="2:2" x14ac:dyDescent="0.2">
      <c r="B8333" s="16"/>
    </row>
    <row r="8334" spans="2:2" x14ac:dyDescent="0.2">
      <c r="B8334" s="16"/>
    </row>
    <row r="8335" spans="2:2" x14ac:dyDescent="0.2">
      <c r="B8335" s="16"/>
    </row>
    <row r="8336" spans="2:2" x14ac:dyDescent="0.2">
      <c r="B8336" s="16"/>
    </row>
    <row r="8337" spans="2:2" x14ac:dyDescent="0.2">
      <c r="B8337" s="16"/>
    </row>
    <row r="8338" spans="2:2" x14ac:dyDescent="0.2">
      <c r="B8338" s="16"/>
    </row>
    <row r="8339" spans="2:2" x14ac:dyDescent="0.2">
      <c r="B8339" s="16"/>
    </row>
    <row r="8340" spans="2:2" x14ac:dyDescent="0.2">
      <c r="B8340" s="16"/>
    </row>
    <row r="8341" spans="2:2" x14ac:dyDescent="0.2">
      <c r="B8341" s="16"/>
    </row>
    <row r="8342" spans="2:2" x14ac:dyDescent="0.2">
      <c r="B8342" s="16"/>
    </row>
    <row r="8343" spans="2:2" x14ac:dyDescent="0.2">
      <c r="B8343" s="16"/>
    </row>
    <row r="8344" spans="2:2" x14ac:dyDescent="0.2">
      <c r="B8344" s="16"/>
    </row>
    <row r="8345" spans="2:2" x14ac:dyDescent="0.2">
      <c r="B8345" s="16"/>
    </row>
    <row r="8346" spans="2:2" x14ac:dyDescent="0.2">
      <c r="B8346" s="16"/>
    </row>
    <row r="8347" spans="2:2" x14ac:dyDescent="0.2">
      <c r="B8347" s="16"/>
    </row>
    <row r="8348" spans="2:2" x14ac:dyDescent="0.2">
      <c r="B8348" s="16"/>
    </row>
    <row r="8349" spans="2:2" x14ac:dyDescent="0.2">
      <c r="B8349" s="16"/>
    </row>
    <row r="8350" spans="2:2" x14ac:dyDescent="0.2">
      <c r="B8350" s="16"/>
    </row>
    <row r="8351" spans="2:2" x14ac:dyDescent="0.2">
      <c r="B8351" s="16"/>
    </row>
    <row r="8352" spans="2:2" x14ac:dyDescent="0.2">
      <c r="B8352" s="16"/>
    </row>
    <row r="8353" spans="2:2" x14ac:dyDescent="0.2">
      <c r="B8353" s="16"/>
    </row>
    <row r="8354" spans="2:2" x14ac:dyDescent="0.2">
      <c r="B8354" s="16"/>
    </row>
    <row r="8355" spans="2:2" x14ac:dyDescent="0.2">
      <c r="B8355" s="16"/>
    </row>
    <row r="8356" spans="2:2" x14ac:dyDescent="0.2">
      <c r="B8356" s="16"/>
    </row>
    <row r="8357" spans="2:2" x14ac:dyDescent="0.2">
      <c r="B8357" s="16"/>
    </row>
    <row r="8358" spans="2:2" x14ac:dyDescent="0.2">
      <c r="B8358" s="16"/>
    </row>
    <row r="8359" spans="2:2" x14ac:dyDescent="0.2">
      <c r="B8359" s="16"/>
    </row>
    <row r="8360" spans="2:2" x14ac:dyDescent="0.2">
      <c r="B8360" s="16"/>
    </row>
    <row r="8361" spans="2:2" x14ac:dyDescent="0.2">
      <c r="B8361" s="16"/>
    </row>
    <row r="8362" spans="2:2" x14ac:dyDescent="0.2">
      <c r="B8362" s="16"/>
    </row>
    <row r="8363" spans="2:2" x14ac:dyDescent="0.2">
      <c r="B8363" s="16"/>
    </row>
    <row r="8364" spans="2:2" x14ac:dyDescent="0.2">
      <c r="B8364" s="16"/>
    </row>
    <row r="8365" spans="2:2" x14ac:dyDescent="0.2">
      <c r="B8365" s="16"/>
    </row>
    <row r="8366" spans="2:2" x14ac:dyDescent="0.2">
      <c r="B8366" s="16"/>
    </row>
    <row r="8367" spans="2:2" x14ac:dyDescent="0.2">
      <c r="B8367" s="16"/>
    </row>
    <row r="8368" spans="2:2" x14ac:dyDescent="0.2">
      <c r="B8368" s="16"/>
    </row>
    <row r="8369" spans="2:2" x14ac:dyDescent="0.2">
      <c r="B8369" s="16"/>
    </row>
    <row r="8370" spans="2:2" x14ac:dyDescent="0.2">
      <c r="B8370" s="16"/>
    </row>
    <row r="8371" spans="2:2" x14ac:dyDescent="0.2">
      <c r="B8371" s="16"/>
    </row>
    <row r="8372" spans="2:2" x14ac:dyDescent="0.2">
      <c r="B8372" s="16"/>
    </row>
    <row r="8373" spans="2:2" x14ac:dyDescent="0.2">
      <c r="B8373" s="16"/>
    </row>
    <row r="8374" spans="2:2" x14ac:dyDescent="0.2">
      <c r="B8374" s="16"/>
    </row>
    <row r="8375" spans="2:2" x14ac:dyDescent="0.2">
      <c r="B8375" s="16"/>
    </row>
    <row r="8376" spans="2:2" x14ac:dyDescent="0.2">
      <c r="B8376" s="16"/>
    </row>
    <row r="8377" spans="2:2" x14ac:dyDescent="0.2">
      <c r="B8377" s="16"/>
    </row>
    <row r="8378" spans="2:2" x14ac:dyDescent="0.2">
      <c r="B8378" s="16"/>
    </row>
    <row r="8379" spans="2:2" x14ac:dyDescent="0.2">
      <c r="B8379" s="16"/>
    </row>
    <row r="8380" spans="2:2" x14ac:dyDescent="0.2">
      <c r="B8380" s="16"/>
    </row>
    <row r="8381" spans="2:2" x14ac:dyDescent="0.2">
      <c r="B8381" s="16"/>
    </row>
    <row r="8382" spans="2:2" x14ac:dyDescent="0.2">
      <c r="B8382" s="16"/>
    </row>
    <row r="8383" spans="2:2" x14ac:dyDescent="0.2">
      <c r="B8383" s="16"/>
    </row>
    <row r="8384" spans="2:2" x14ac:dyDescent="0.2">
      <c r="B8384" s="16"/>
    </row>
    <row r="8385" spans="2:2" x14ac:dyDescent="0.2">
      <c r="B8385" s="16"/>
    </row>
    <row r="8386" spans="2:2" x14ac:dyDescent="0.2">
      <c r="B8386" s="16"/>
    </row>
    <row r="8387" spans="2:2" x14ac:dyDescent="0.2">
      <c r="B8387" s="16"/>
    </row>
    <row r="8388" spans="2:2" x14ac:dyDescent="0.2">
      <c r="B8388" s="16"/>
    </row>
    <row r="8389" spans="2:2" x14ac:dyDescent="0.2">
      <c r="B8389" s="16"/>
    </row>
    <row r="8390" spans="2:2" x14ac:dyDescent="0.2">
      <c r="B8390" s="16"/>
    </row>
    <row r="8391" spans="2:2" x14ac:dyDescent="0.2">
      <c r="B8391" s="16"/>
    </row>
    <row r="8392" spans="2:2" x14ac:dyDescent="0.2">
      <c r="B8392" s="16"/>
    </row>
    <row r="8393" spans="2:2" x14ac:dyDescent="0.2">
      <c r="B8393" s="16"/>
    </row>
    <row r="8394" spans="2:2" x14ac:dyDescent="0.2">
      <c r="B8394" s="16"/>
    </row>
    <row r="8395" spans="2:2" x14ac:dyDescent="0.2">
      <c r="B8395" s="16"/>
    </row>
    <row r="8396" spans="2:2" x14ac:dyDescent="0.2">
      <c r="B8396" s="16"/>
    </row>
    <row r="8397" spans="2:2" x14ac:dyDescent="0.2">
      <c r="B8397" s="16"/>
    </row>
    <row r="8398" spans="2:2" x14ac:dyDescent="0.2">
      <c r="B8398" s="16"/>
    </row>
    <row r="8399" spans="2:2" x14ac:dyDescent="0.2">
      <c r="B8399" s="16"/>
    </row>
    <row r="8400" spans="2:2" x14ac:dyDescent="0.2">
      <c r="B8400" s="16"/>
    </row>
    <row r="8401" spans="2:2" x14ac:dyDescent="0.2">
      <c r="B8401" s="16"/>
    </row>
    <row r="8402" spans="2:2" x14ac:dyDescent="0.2">
      <c r="B8402" s="16"/>
    </row>
    <row r="8403" spans="2:2" x14ac:dyDescent="0.2">
      <c r="B8403" s="16"/>
    </row>
    <row r="8404" spans="2:2" x14ac:dyDescent="0.2">
      <c r="B8404" s="16"/>
    </row>
    <row r="8405" spans="2:2" x14ac:dyDescent="0.2">
      <c r="B8405" s="16"/>
    </row>
    <row r="8406" spans="2:2" x14ac:dyDescent="0.2">
      <c r="B8406" s="16"/>
    </row>
    <row r="8407" spans="2:2" x14ac:dyDescent="0.2">
      <c r="B8407" s="16"/>
    </row>
    <row r="8408" spans="2:2" x14ac:dyDescent="0.2">
      <c r="B8408" s="16"/>
    </row>
    <row r="8409" spans="2:2" x14ac:dyDescent="0.2">
      <c r="B8409" s="16"/>
    </row>
    <row r="8410" spans="2:2" x14ac:dyDescent="0.2">
      <c r="B8410" s="16"/>
    </row>
    <row r="8411" spans="2:2" x14ac:dyDescent="0.2">
      <c r="B8411" s="16"/>
    </row>
    <row r="8412" spans="2:2" x14ac:dyDescent="0.2">
      <c r="B8412" s="16"/>
    </row>
    <row r="8413" spans="2:2" x14ac:dyDescent="0.2">
      <c r="B8413" s="16"/>
    </row>
    <row r="8414" spans="2:2" x14ac:dyDescent="0.2">
      <c r="B8414" s="16"/>
    </row>
    <row r="8415" spans="2:2" x14ac:dyDescent="0.2">
      <c r="B8415" s="16"/>
    </row>
    <row r="8416" spans="2:2" x14ac:dyDescent="0.2">
      <c r="B8416" s="16"/>
    </row>
    <row r="8417" spans="2:2" x14ac:dyDescent="0.2">
      <c r="B8417" s="16"/>
    </row>
    <row r="8418" spans="2:2" x14ac:dyDescent="0.2">
      <c r="B8418" s="16"/>
    </row>
    <row r="8419" spans="2:2" x14ac:dyDescent="0.2">
      <c r="B8419" s="16"/>
    </row>
    <row r="8420" spans="2:2" x14ac:dyDescent="0.2">
      <c r="B8420" s="16"/>
    </row>
    <row r="8421" spans="2:2" x14ac:dyDescent="0.2">
      <c r="B8421" s="16"/>
    </row>
    <row r="8422" spans="2:2" x14ac:dyDescent="0.2">
      <c r="B8422" s="16"/>
    </row>
    <row r="8423" spans="2:2" x14ac:dyDescent="0.2">
      <c r="B8423" s="16"/>
    </row>
    <row r="8424" spans="2:2" x14ac:dyDescent="0.2">
      <c r="B8424" s="16"/>
    </row>
    <row r="8425" spans="2:2" x14ac:dyDescent="0.2">
      <c r="B8425" s="16"/>
    </row>
    <row r="8426" spans="2:2" x14ac:dyDescent="0.2">
      <c r="B8426" s="16"/>
    </row>
    <row r="8427" spans="2:2" x14ac:dyDescent="0.2">
      <c r="B8427" s="16"/>
    </row>
    <row r="8428" spans="2:2" x14ac:dyDescent="0.2">
      <c r="B8428" s="16"/>
    </row>
    <row r="8429" spans="2:2" x14ac:dyDescent="0.2">
      <c r="B8429" s="16"/>
    </row>
    <row r="8430" spans="2:2" x14ac:dyDescent="0.2">
      <c r="B8430" s="16"/>
    </row>
    <row r="8431" spans="2:2" x14ac:dyDescent="0.2">
      <c r="B8431" s="16"/>
    </row>
    <row r="8432" spans="2:2" x14ac:dyDescent="0.2">
      <c r="B8432" s="16"/>
    </row>
    <row r="8433" spans="2:2" x14ac:dyDescent="0.2">
      <c r="B8433" s="16"/>
    </row>
    <row r="8434" spans="2:2" x14ac:dyDescent="0.2">
      <c r="B8434" s="16"/>
    </row>
    <row r="8435" spans="2:2" x14ac:dyDescent="0.2">
      <c r="B8435" s="16"/>
    </row>
    <row r="8436" spans="2:2" x14ac:dyDescent="0.2">
      <c r="B8436" s="16"/>
    </row>
    <row r="8437" spans="2:2" x14ac:dyDescent="0.2">
      <c r="B8437" s="16"/>
    </row>
    <row r="8438" spans="2:2" x14ac:dyDescent="0.2">
      <c r="B8438" s="16"/>
    </row>
    <row r="8439" spans="2:2" x14ac:dyDescent="0.2">
      <c r="B8439" s="16"/>
    </row>
    <row r="8440" spans="2:2" x14ac:dyDescent="0.2">
      <c r="B8440" s="16"/>
    </row>
    <row r="8441" spans="2:2" x14ac:dyDescent="0.2">
      <c r="B8441" s="16"/>
    </row>
    <row r="8442" spans="2:2" x14ac:dyDescent="0.2">
      <c r="B8442" s="16"/>
    </row>
    <row r="8443" spans="2:2" x14ac:dyDescent="0.2">
      <c r="B8443" s="16"/>
    </row>
    <row r="8444" spans="2:2" x14ac:dyDescent="0.2">
      <c r="B8444" s="16"/>
    </row>
    <row r="8445" spans="2:2" x14ac:dyDescent="0.2">
      <c r="B8445" s="16"/>
    </row>
    <row r="8446" spans="2:2" x14ac:dyDescent="0.2">
      <c r="B8446" s="16"/>
    </row>
    <row r="8447" spans="2:2" x14ac:dyDescent="0.2">
      <c r="B8447" s="16"/>
    </row>
    <row r="8448" spans="2:2" x14ac:dyDescent="0.2">
      <c r="B8448" s="16"/>
    </row>
    <row r="8449" spans="2:2" x14ac:dyDescent="0.2">
      <c r="B8449" s="16"/>
    </row>
    <row r="8450" spans="2:2" x14ac:dyDescent="0.2">
      <c r="B8450" s="16"/>
    </row>
    <row r="8451" spans="2:2" x14ac:dyDescent="0.2">
      <c r="B8451" s="16"/>
    </row>
    <row r="8452" spans="2:2" x14ac:dyDescent="0.2">
      <c r="B8452" s="16"/>
    </row>
    <row r="8453" spans="2:2" x14ac:dyDescent="0.2">
      <c r="B8453" s="16"/>
    </row>
    <row r="8454" spans="2:2" x14ac:dyDescent="0.2">
      <c r="B8454" s="16"/>
    </row>
    <row r="8455" spans="2:2" x14ac:dyDescent="0.2">
      <c r="B8455" s="16"/>
    </row>
    <row r="8456" spans="2:2" x14ac:dyDescent="0.2">
      <c r="B8456" s="16"/>
    </row>
    <row r="8457" spans="2:2" x14ac:dyDescent="0.2">
      <c r="B8457" s="16"/>
    </row>
    <row r="8458" spans="2:2" x14ac:dyDescent="0.2">
      <c r="B8458" s="16"/>
    </row>
    <row r="8459" spans="2:2" x14ac:dyDescent="0.2">
      <c r="B8459" s="16"/>
    </row>
    <row r="8460" spans="2:2" x14ac:dyDescent="0.2">
      <c r="B8460" s="16"/>
    </row>
    <row r="8461" spans="2:2" x14ac:dyDescent="0.2">
      <c r="B8461" s="16"/>
    </row>
    <row r="8462" spans="2:2" x14ac:dyDescent="0.2">
      <c r="B8462" s="16"/>
    </row>
    <row r="8463" spans="2:2" x14ac:dyDescent="0.2">
      <c r="B8463" s="16"/>
    </row>
    <row r="8464" spans="2:2" x14ac:dyDescent="0.2">
      <c r="B8464" s="16"/>
    </row>
    <row r="8465" spans="2:2" x14ac:dyDescent="0.2">
      <c r="B8465" s="16"/>
    </row>
    <row r="8466" spans="2:2" x14ac:dyDescent="0.2">
      <c r="B8466" s="16"/>
    </row>
    <row r="8467" spans="2:2" x14ac:dyDescent="0.2">
      <c r="B8467" s="16"/>
    </row>
    <row r="8468" spans="2:2" x14ac:dyDescent="0.2">
      <c r="B8468" s="16"/>
    </row>
    <row r="8469" spans="2:2" x14ac:dyDescent="0.2">
      <c r="B8469" s="16"/>
    </row>
    <row r="8470" spans="2:2" x14ac:dyDescent="0.2">
      <c r="B8470" s="16"/>
    </row>
    <row r="8471" spans="2:2" x14ac:dyDescent="0.2">
      <c r="B8471" s="16"/>
    </row>
    <row r="8472" spans="2:2" x14ac:dyDescent="0.2">
      <c r="B8472" s="16"/>
    </row>
    <row r="8473" spans="2:2" x14ac:dyDescent="0.2">
      <c r="B8473" s="16"/>
    </row>
    <row r="8474" spans="2:2" x14ac:dyDescent="0.2">
      <c r="B8474" s="16"/>
    </row>
    <row r="8475" spans="2:2" x14ac:dyDescent="0.2">
      <c r="B8475" s="16"/>
    </row>
    <row r="8476" spans="2:2" x14ac:dyDescent="0.2">
      <c r="B8476" s="16"/>
    </row>
    <row r="8477" spans="2:2" x14ac:dyDescent="0.2">
      <c r="B8477" s="16"/>
    </row>
    <row r="8478" spans="2:2" x14ac:dyDescent="0.2">
      <c r="B8478" s="16"/>
    </row>
    <row r="8479" spans="2:2" x14ac:dyDescent="0.2">
      <c r="B8479" s="16"/>
    </row>
    <row r="8480" spans="2:2" x14ac:dyDescent="0.2">
      <c r="B8480" s="16"/>
    </row>
    <row r="8481" spans="2:2" x14ac:dyDescent="0.2">
      <c r="B8481" s="16"/>
    </row>
    <row r="8482" spans="2:2" x14ac:dyDescent="0.2">
      <c r="B8482" s="16"/>
    </row>
    <row r="8483" spans="2:2" x14ac:dyDescent="0.2">
      <c r="B8483" s="16"/>
    </row>
    <row r="8484" spans="2:2" x14ac:dyDescent="0.2">
      <c r="B8484" s="16"/>
    </row>
    <row r="8485" spans="2:2" x14ac:dyDescent="0.2">
      <c r="B8485" s="16"/>
    </row>
    <row r="8486" spans="2:2" x14ac:dyDescent="0.2">
      <c r="B8486" s="16"/>
    </row>
    <row r="8487" spans="2:2" x14ac:dyDescent="0.2">
      <c r="B8487" s="16"/>
    </row>
    <row r="8488" spans="2:2" x14ac:dyDescent="0.2">
      <c r="B8488" s="16"/>
    </row>
    <row r="8489" spans="2:2" x14ac:dyDescent="0.2">
      <c r="B8489" s="16"/>
    </row>
    <row r="8490" spans="2:2" x14ac:dyDescent="0.2">
      <c r="B8490" s="16"/>
    </row>
    <row r="8491" spans="2:2" x14ac:dyDescent="0.2">
      <c r="B8491" s="16"/>
    </row>
    <row r="8492" spans="2:2" x14ac:dyDescent="0.2">
      <c r="B8492" s="16"/>
    </row>
    <row r="8493" spans="2:2" x14ac:dyDescent="0.2">
      <c r="B8493" s="16"/>
    </row>
    <row r="8494" spans="2:2" x14ac:dyDescent="0.2">
      <c r="B8494" s="16"/>
    </row>
    <row r="8495" spans="2:2" x14ac:dyDescent="0.2">
      <c r="B8495" s="16"/>
    </row>
    <row r="8496" spans="2:2" x14ac:dyDescent="0.2">
      <c r="B8496" s="16"/>
    </row>
    <row r="8497" spans="2:2" x14ac:dyDescent="0.2">
      <c r="B8497" s="16"/>
    </row>
    <row r="8498" spans="2:2" x14ac:dyDescent="0.2">
      <c r="B8498" s="16"/>
    </row>
    <row r="8499" spans="2:2" x14ac:dyDescent="0.2">
      <c r="B8499" s="16"/>
    </row>
    <row r="8500" spans="2:2" x14ac:dyDescent="0.2">
      <c r="B8500" s="16"/>
    </row>
    <row r="8501" spans="2:2" x14ac:dyDescent="0.2">
      <c r="B8501" s="16"/>
    </row>
    <row r="8502" spans="2:2" x14ac:dyDescent="0.2">
      <c r="B8502" s="16"/>
    </row>
    <row r="8503" spans="2:2" x14ac:dyDescent="0.2">
      <c r="B8503" s="16"/>
    </row>
    <row r="8504" spans="2:2" x14ac:dyDescent="0.2">
      <c r="B8504" s="16"/>
    </row>
    <row r="8505" spans="2:2" x14ac:dyDescent="0.2">
      <c r="B8505" s="16"/>
    </row>
    <row r="8506" spans="2:2" x14ac:dyDescent="0.2">
      <c r="B8506" s="16"/>
    </row>
    <row r="8507" spans="2:2" x14ac:dyDescent="0.2">
      <c r="B8507" s="16"/>
    </row>
    <row r="8508" spans="2:2" x14ac:dyDescent="0.2">
      <c r="B8508" s="16"/>
    </row>
    <row r="8509" spans="2:2" x14ac:dyDescent="0.2">
      <c r="B8509" s="16"/>
    </row>
    <row r="8510" spans="2:2" x14ac:dyDescent="0.2">
      <c r="B8510" s="16"/>
    </row>
    <row r="8511" spans="2:2" x14ac:dyDescent="0.2">
      <c r="B8511" s="16"/>
    </row>
    <row r="8512" spans="2:2" x14ac:dyDescent="0.2">
      <c r="B8512" s="16"/>
    </row>
    <row r="8513" spans="2:2" x14ac:dyDescent="0.2">
      <c r="B8513" s="16"/>
    </row>
    <row r="8514" spans="2:2" x14ac:dyDescent="0.2">
      <c r="B8514" s="16"/>
    </row>
    <row r="8515" spans="2:2" x14ac:dyDescent="0.2">
      <c r="B8515" s="16"/>
    </row>
    <row r="8516" spans="2:2" x14ac:dyDescent="0.2">
      <c r="B8516" s="16"/>
    </row>
    <row r="8517" spans="2:2" x14ac:dyDescent="0.2">
      <c r="B8517" s="16"/>
    </row>
    <row r="8518" spans="2:2" x14ac:dyDescent="0.2">
      <c r="B8518" s="16"/>
    </row>
    <row r="8519" spans="2:2" x14ac:dyDescent="0.2">
      <c r="B8519" s="16"/>
    </row>
    <row r="8520" spans="2:2" x14ac:dyDescent="0.2">
      <c r="B8520" s="16"/>
    </row>
    <row r="8521" spans="2:2" x14ac:dyDescent="0.2">
      <c r="B8521" s="16"/>
    </row>
    <row r="8522" spans="2:2" x14ac:dyDescent="0.2">
      <c r="B8522" s="16"/>
    </row>
    <row r="8523" spans="2:2" x14ac:dyDescent="0.2">
      <c r="B8523" s="16"/>
    </row>
    <row r="8524" spans="2:2" x14ac:dyDescent="0.2">
      <c r="B8524" s="16"/>
    </row>
    <row r="8525" spans="2:2" x14ac:dyDescent="0.2">
      <c r="B8525" s="16"/>
    </row>
    <row r="8526" spans="2:2" x14ac:dyDescent="0.2">
      <c r="B8526" s="16"/>
    </row>
    <row r="8527" spans="2:2" x14ac:dyDescent="0.2">
      <c r="B8527" s="16"/>
    </row>
    <row r="8528" spans="2:2" x14ac:dyDescent="0.2">
      <c r="B8528" s="16"/>
    </row>
    <row r="8529" spans="2:2" x14ac:dyDescent="0.2">
      <c r="B8529" s="16"/>
    </row>
    <row r="8530" spans="2:2" x14ac:dyDescent="0.2">
      <c r="B8530" s="16"/>
    </row>
    <row r="8531" spans="2:2" x14ac:dyDescent="0.2">
      <c r="B8531" s="16"/>
    </row>
    <row r="8532" spans="2:2" x14ac:dyDescent="0.2">
      <c r="B8532" s="16"/>
    </row>
    <row r="8533" spans="2:2" x14ac:dyDescent="0.2">
      <c r="B8533" s="16"/>
    </row>
    <row r="8534" spans="2:2" x14ac:dyDescent="0.2">
      <c r="B8534" s="16"/>
    </row>
    <row r="8535" spans="2:2" x14ac:dyDescent="0.2">
      <c r="B8535" s="16"/>
    </row>
    <row r="8536" spans="2:2" x14ac:dyDescent="0.2">
      <c r="B8536" s="16"/>
    </row>
    <row r="8537" spans="2:2" x14ac:dyDescent="0.2">
      <c r="B8537" s="16"/>
    </row>
    <row r="8538" spans="2:2" x14ac:dyDescent="0.2">
      <c r="B8538" s="16"/>
    </row>
    <row r="8539" spans="2:2" x14ac:dyDescent="0.2">
      <c r="B8539" s="16"/>
    </row>
    <row r="8540" spans="2:2" x14ac:dyDescent="0.2">
      <c r="B8540" s="16"/>
    </row>
    <row r="8541" spans="2:2" x14ac:dyDescent="0.2">
      <c r="B8541" s="16"/>
    </row>
    <row r="8542" spans="2:2" x14ac:dyDescent="0.2">
      <c r="B8542" s="16"/>
    </row>
    <row r="8543" spans="2:2" x14ac:dyDescent="0.2">
      <c r="B8543" s="16"/>
    </row>
    <row r="8544" spans="2:2" x14ac:dyDescent="0.2">
      <c r="B8544" s="16"/>
    </row>
    <row r="8545" spans="2:2" x14ac:dyDescent="0.2">
      <c r="B8545" s="16"/>
    </row>
    <row r="8546" spans="2:2" x14ac:dyDescent="0.2">
      <c r="B8546" s="16"/>
    </row>
    <row r="8547" spans="2:2" x14ac:dyDescent="0.2">
      <c r="B8547" s="16"/>
    </row>
    <row r="8548" spans="2:2" x14ac:dyDescent="0.2">
      <c r="B8548" s="16"/>
    </row>
    <row r="8549" spans="2:2" x14ac:dyDescent="0.2">
      <c r="B8549" s="16"/>
    </row>
    <row r="8550" spans="2:2" x14ac:dyDescent="0.2">
      <c r="B8550" s="16"/>
    </row>
    <row r="8551" spans="2:2" x14ac:dyDescent="0.2">
      <c r="B8551" s="16"/>
    </row>
    <row r="8552" spans="2:2" x14ac:dyDescent="0.2">
      <c r="B8552" s="16"/>
    </row>
    <row r="8553" spans="2:2" x14ac:dyDescent="0.2">
      <c r="B8553" s="16"/>
    </row>
    <row r="8554" spans="2:2" x14ac:dyDescent="0.2">
      <c r="B8554" s="16"/>
    </row>
    <row r="8555" spans="2:2" x14ac:dyDescent="0.2">
      <c r="B8555" s="16"/>
    </row>
    <row r="8556" spans="2:2" x14ac:dyDescent="0.2">
      <c r="B8556" s="16"/>
    </row>
    <row r="8557" spans="2:2" x14ac:dyDescent="0.2">
      <c r="B8557" s="16"/>
    </row>
    <row r="8558" spans="2:2" x14ac:dyDescent="0.2">
      <c r="B8558" s="16"/>
    </row>
    <row r="8559" spans="2:2" x14ac:dyDescent="0.2">
      <c r="B8559" s="16"/>
    </row>
    <row r="8560" spans="2:2" x14ac:dyDescent="0.2">
      <c r="B8560" s="16"/>
    </row>
    <row r="8561" spans="2:2" x14ac:dyDescent="0.2">
      <c r="B8561" s="16"/>
    </row>
    <row r="8562" spans="2:2" x14ac:dyDescent="0.2">
      <c r="B8562" s="16"/>
    </row>
    <row r="8563" spans="2:2" x14ac:dyDescent="0.2">
      <c r="B8563" s="16"/>
    </row>
    <row r="8564" spans="2:2" x14ac:dyDescent="0.2">
      <c r="B8564" s="16"/>
    </row>
    <row r="8565" spans="2:2" x14ac:dyDescent="0.2">
      <c r="B8565" s="16"/>
    </row>
    <row r="8566" spans="2:2" x14ac:dyDescent="0.2">
      <c r="B8566" s="16"/>
    </row>
    <row r="8567" spans="2:2" x14ac:dyDescent="0.2">
      <c r="B8567" s="16"/>
    </row>
    <row r="8568" spans="2:2" x14ac:dyDescent="0.2">
      <c r="B8568" s="16"/>
    </row>
    <row r="8569" spans="2:2" x14ac:dyDescent="0.2">
      <c r="B8569" s="16"/>
    </row>
    <row r="8570" spans="2:2" x14ac:dyDescent="0.2">
      <c r="B8570" s="16"/>
    </row>
    <row r="8571" spans="2:2" x14ac:dyDescent="0.2">
      <c r="B8571" s="16"/>
    </row>
    <row r="8572" spans="2:2" x14ac:dyDescent="0.2">
      <c r="B8572" s="16"/>
    </row>
    <row r="8573" spans="2:2" x14ac:dyDescent="0.2">
      <c r="B8573" s="16"/>
    </row>
    <row r="8574" spans="2:2" x14ac:dyDescent="0.2">
      <c r="B8574" s="16"/>
    </row>
    <row r="8575" spans="2:2" x14ac:dyDescent="0.2">
      <c r="B8575" s="16"/>
    </row>
    <row r="8576" spans="2:2" x14ac:dyDescent="0.2">
      <c r="B8576" s="16"/>
    </row>
    <row r="8577" spans="2:2" x14ac:dyDescent="0.2">
      <c r="B8577" s="16"/>
    </row>
    <row r="8578" spans="2:2" x14ac:dyDescent="0.2">
      <c r="B8578" s="16"/>
    </row>
    <row r="8579" spans="2:2" x14ac:dyDescent="0.2">
      <c r="B8579" s="16"/>
    </row>
    <row r="8580" spans="2:2" x14ac:dyDescent="0.2">
      <c r="B8580" s="16"/>
    </row>
    <row r="8581" spans="2:2" x14ac:dyDescent="0.2">
      <c r="B8581" s="16"/>
    </row>
    <row r="8582" spans="2:2" x14ac:dyDescent="0.2">
      <c r="B8582" s="16"/>
    </row>
    <row r="8583" spans="2:2" x14ac:dyDescent="0.2">
      <c r="B8583" s="16"/>
    </row>
    <row r="8584" spans="2:2" x14ac:dyDescent="0.2">
      <c r="B8584" s="16"/>
    </row>
    <row r="8585" spans="2:2" x14ac:dyDescent="0.2">
      <c r="B8585" s="16"/>
    </row>
    <row r="8586" spans="2:2" x14ac:dyDescent="0.2">
      <c r="B8586" s="16"/>
    </row>
    <row r="8587" spans="2:2" x14ac:dyDescent="0.2">
      <c r="B8587" s="16"/>
    </row>
    <row r="8588" spans="2:2" x14ac:dyDescent="0.2">
      <c r="B8588" s="16"/>
    </row>
    <row r="8589" spans="2:2" x14ac:dyDescent="0.2">
      <c r="B8589" s="16"/>
    </row>
    <row r="8590" spans="2:2" x14ac:dyDescent="0.2">
      <c r="B8590" s="16"/>
    </row>
    <row r="8591" spans="2:2" x14ac:dyDescent="0.2">
      <c r="B8591" s="16"/>
    </row>
    <row r="8592" spans="2:2" x14ac:dyDescent="0.2">
      <c r="B8592" s="16"/>
    </row>
    <row r="8593" spans="2:2" x14ac:dyDescent="0.2">
      <c r="B8593" s="16"/>
    </row>
    <row r="8594" spans="2:2" x14ac:dyDescent="0.2">
      <c r="B8594" s="16"/>
    </row>
    <row r="8595" spans="2:2" x14ac:dyDescent="0.2">
      <c r="B8595" s="16"/>
    </row>
    <row r="8596" spans="2:2" x14ac:dyDescent="0.2">
      <c r="B8596" s="16"/>
    </row>
    <row r="8597" spans="2:2" x14ac:dyDescent="0.2">
      <c r="B8597" s="16"/>
    </row>
    <row r="8598" spans="2:2" x14ac:dyDescent="0.2">
      <c r="B8598" s="16"/>
    </row>
    <row r="8599" spans="2:2" x14ac:dyDescent="0.2">
      <c r="B8599" s="16"/>
    </row>
    <row r="8600" spans="2:2" x14ac:dyDescent="0.2">
      <c r="B8600" s="16"/>
    </row>
    <row r="8601" spans="2:2" x14ac:dyDescent="0.2">
      <c r="B8601" s="16"/>
    </row>
    <row r="8602" spans="2:2" x14ac:dyDescent="0.2">
      <c r="B8602" s="16"/>
    </row>
    <row r="8603" spans="2:2" x14ac:dyDescent="0.2">
      <c r="B8603" s="16"/>
    </row>
    <row r="8604" spans="2:2" x14ac:dyDescent="0.2">
      <c r="B8604" s="16"/>
    </row>
    <row r="8605" spans="2:2" x14ac:dyDescent="0.2">
      <c r="B8605" s="16"/>
    </row>
    <row r="8606" spans="2:2" x14ac:dyDescent="0.2">
      <c r="B8606" s="16"/>
    </row>
    <row r="8607" spans="2:2" x14ac:dyDescent="0.2">
      <c r="B8607" s="16"/>
    </row>
    <row r="8608" spans="2:2" x14ac:dyDescent="0.2">
      <c r="B8608" s="16"/>
    </row>
    <row r="8609" spans="2:2" x14ac:dyDescent="0.2">
      <c r="B8609" s="16"/>
    </row>
    <row r="8610" spans="2:2" x14ac:dyDescent="0.2">
      <c r="B8610" s="16"/>
    </row>
    <row r="8611" spans="2:2" x14ac:dyDescent="0.2">
      <c r="B8611" s="16"/>
    </row>
    <row r="8612" spans="2:2" x14ac:dyDescent="0.2">
      <c r="B8612" s="16"/>
    </row>
    <row r="8613" spans="2:2" x14ac:dyDescent="0.2">
      <c r="B8613" s="16"/>
    </row>
    <row r="8614" spans="2:2" x14ac:dyDescent="0.2">
      <c r="B8614" s="16"/>
    </row>
    <row r="8615" spans="2:2" x14ac:dyDescent="0.2">
      <c r="B8615" s="16"/>
    </row>
    <row r="8616" spans="2:2" x14ac:dyDescent="0.2">
      <c r="B8616" s="16"/>
    </row>
    <row r="8617" spans="2:2" x14ac:dyDescent="0.2">
      <c r="B8617" s="16"/>
    </row>
    <row r="8618" spans="2:2" x14ac:dyDescent="0.2">
      <c r="B8618" s="16"/>
    </row>
    <row r="8619" spans="2:2" x14ac:dyDescent="0.2">
      <c r="B8619" s="16"/>
    </row>
    <row r="8620" spans="2:2" x14ac:dyDescent="0.2">
      <c r="B8620" s="16"/>
    </row>
    <row r="8621" spans="2:2" x14ac:dyDescent="0.2">
      <c r="B8621" s="16"/>
    </row>
    <row r="8622" spans="2:2" x14ac:dyDescent="0.2">
      <c r="B8622" s="16"/>
    </row>
    <row r="8623" spans="2:2" x14ac:dyDescent="0.2">
      <c r="B8623" s="16"/>
    </row>
    <row r="8624" spans="2:2" x14ac:dyDescent="0.2">
      <c r="B8624" s="16"/>
    </row>
    <row r="8625" spans="2:2" x14ac:dyDescent="0.2">
      <c r="B8625" s="16"/>
    </row>
    <row r="8626" spans="2:2" x14ac:dyDescent="0.2">
      <c r="B8626" s="16"/>
    </row>
    <row r="8627" spans="2:2" x14ac:dyDescent="0.2">
      <c r="B8627" s="16"/>
    </row>
    <row r="8628" spans="2:2" x14ac:dyDescent="0.2">
      <c r="B8628" s="16"/>
    </row>
    <row r="8629" spans="2:2" x14ac:dyDescent="0.2">
      <c r="B8629" s="16"/>
    </row>
    <row r="8630" spans="2:2" x14ac:dyDescent="0.2">
      <c r="B8630" s="16"/>
    </row>
    <row r="8631" spans="2:2" x14ac:dyDescent="0.2">
      <c r="B8631" s="16"/>
    </row>
    <row r="8632" spans="2:2" x14ac:dyDescent="0.2">
      <c r="B8632" s="16"/>
    </row>
    <row r="8633" spans="2:2" x14ac:dyDescent="0.2">
      <c r="B8633" s="16"/>
    </row>
    <row r="8634" spans="2:2" x14ac:dyDescent="0.2">
      <c r="B8634" s="16"/>
    </row>
    <row r="8635" spans="2:2" x14ac:dyDescent="0.2">
      <c r="B8635" s="16"/>
    </row>
    <row r="8636" spans="2:2" x14ac:dyDescent="0.2">
      <c r="B8636" s="16"/>
    </row>
    <row r="8637" spans="2:2" x14ac:dyDescent="0.2">
      <c r="B8637" s="16"/>
    </row>
    <row r="8638" spans="2:2" x14ac:dyDescent="0.2">
      <c r="B8638" s="16"/>
    </row>
    <row r="8639" spans="2:2" x14ac:dyDescent="0.2">
      <c r="B8639" s="16"/>
    </row>
    <row r="8640" spans="2:2" x14ac:dyDescent="0.2">
      <c r="B8640" s="16"/>
    </row>
    <row r="8641" spans="2:2" x14ac:dyDescent="0.2">
      <c r="B8641" s="16"/>
    </row>
    <row r="8642" spans="2:2" x14ac:dyDescent="0.2">
      <c r="B8642" s="16"/>
    </row>
    <row r="8643" spans="2:2" x14ac:dyDescent="0.2">
      <c r="B8643" s="16"/>
    </row>
    <row r="8644" spans="2:2" x14ac:dyDescent="0.2">
      <c r="B8644" s="16"/>
    </row>
    <row r="8645" spans="2:2" x14ac:dyDescent="0.2">
      <c r="B8645" s="16"/>
    </row>
    <row r="8646" spans="2:2" x14ac:dyDescent="0.2">
      <c r="B8646" s="16"/>
    </row>
    <row r="8647" spans="2:2" x14ac:dyDescent="0.2">
      <c r="B8647" s="16"/>
    </row>
    <row r="8648" spans="2:2" x14ac:dyDescent="0.2">
      <c r="B8648" s="16"/>
    </row>
    <row r="8649" spans="2:2" x14ac:dyDescent="0.2">
      <c r="B8649" s="16"/>
    </row>
    <row r="8650" spans="2:2" x14ac:dyDescent="0.2">
      <c r="B8650" s="16"/>
    </row>
    <row r="8651" spans="2:2" x14ac:dyDescent="0.2">
      <c r="B8651" s="16"/>
    </row>
    <row r="8652" spans="2:2" x14ac:dyDescent="0.2">
      <c r="B8652" s="16"/>
    </row>
    <row r="8653" spans="2:2" x14ac:dyDescent="0.2">
      <c r="B8653" s="16"/>
    </row>
    <row r="8654" spans="2:2" x14ac:dyDescent="0.2">
      <c r="B8654" s="16"/>
    </row>
    <row r="8655" spans="2:2" x14ac:dyDescent="0.2">
      <c r="B8655" s="16"/>
    </row>
    <row r="8656" spans="2:2" x14ac:dyDescent="0.2">
      <c r="B8656" s="16"/>
    </row>
    <row r="8657" spans="2:2" x14ac:dyDescent="0.2">
      <c r="B8657" s="16"/>
    </row>
    <row r="8658" spans="2:2" x14ac:dyDescent="0.2">
      <c r="B8658" s="16"/>
    </row>
    <row r="8659" spans="2:2" x14ac:dyDescent="0.2">
      <c r="B8659" s="16"/>
    </row>
    <row r="8660" spans="2:2" x14ac:dyDescent="0.2">
      <c r="B8660" s="16"/>
    </row>
    <row r="8661" spans="2:2" x14ac:dyDescent="0.2">
      <c r="B8661" s="16"/>
    </row>
    <row r="8662" spans="2:2" x14ac:dyDescent="0.2">
      <c r="B8662" s="16"/>
    </row>
    <row r="8663" spans="2:2" x14ac:dyDescent="0.2">
      <c r="B8663" s="16"/>
    </row>
    <row r="8664" spans="2:2" x14ac:dyDescent="0.2">
      <c r="B8664" s="16"/>
    </row>
    <row r="8665" spans="2:2" x14ac:dyDescent="0.2">
      <c r="B8665" s="16"/>
    </row>
    <row r="8666" spans="2:2" x14ac:dyDescent="0.2">
      <c r="B8666" s="16"/>
    </row>
    <row r="8667" spans="2:2" x14ac:dyDescent="0.2">
      <c r="B8667" s="16"/>
    </row>
    <row r="8668" spans="2:2" x14ac:dyDescent="0.2">
      <c r="B8668" s="16"/>
    </row>
    <row r="8669" spans="2:2" x14ac:dyDescent="0.2">
      <c r="B8669" s="16"/>
    </row>
    <row r="8670" spans="2:2" x14ac:dyDescent="0.2">
      <c r="B8670" s="16"/>
    </row>
    <row r="8671" spans="2:2" x14ac:dyDescent="0.2">
      <c r="B8671" s="16"/>
    </row>
    <row r="8672" spans="2:2" x14ac:dyDescent="0.2">
      <c r="B8672" s="16"/>
    </row>
    <row r="8673" spans="2:2" x14ac:dyDescent="0.2">
      <c r="B8673" s="16"/>
    </row>
    <row r="8674" spans="2:2" x14ac:dyDescent="0.2">
      <c r="B8674" s="16"/>
    </row>
    <row r="8675" spans="2:2" x14ac:dyDescent="0.2">
      <c r="B8675" s="16"/>
    </row>
    <row r="8676" spans="2:2" x14ac:dyDescent="0.2">
      <c r="B8676" s="16"/>
    </row>
    <row r="8677" spans="2:2" x14ac:dyDescent="0.2">
      <c r="B8677" s="16"/>
    </row>
    <row r="8678" spans="2:2" x14ac:dyDescent="0.2">
      <c r="B8678" s="16"/>
    </row>
    <row r="8679" spans="2:2" x14ac:dyDescent="0.2">
      <c r="B8679" s="16"/>
    </row>
    <row r="8680" spans="2:2" x14ac:dyDescent="0.2">
      <c r="B8680" s="16"/>
    </row>
    <row r="8681" spans="2:2" x14ac:dyDescent="0.2">
      <c r="B8681" s="16"/>
    </row>
    <row r="8682" spans="2:2" x14ac:dyDescent="0.2">
      <c r="B8682" s="16"/>
    </row>
    <row r="8683" spans="2:2" x14ac:dyDescent="0.2">
      <c r="B8683" s="16"/>
    </row>
    <row r="8684" spans="2:2" x14ac:dyDescent="0.2">
      <c r="B8684" s="16"/>
    </row>
    <row r="8685" spans="2:2" x14ac:dyDescent="0.2">
      <c r="B8685" s="16"/>
    </row>
    <row r="8686" spans="2:2" x14ac:dyDescent="0.2">
      <c r="B8686" s="16"/>
    </row>
    <row r="8687" spans="2:2" x14ac:dyDescent="0.2">
      <c r="B8687" s="16"/>
    </row>
    <row r="8688" spans="2:2" x14ac:dyDescent="0.2">
      <c r="B8688" s="16"/>
    </row>
    <row r="8689" spans="2:2" x14ac:dyDescent="0.2">
      <c r="B8689" s="16"/>
    </row>
    <row r="8690" spans="2:2" x14ac:dyDescent="0.2">
      <c r="B8690" s="16"/>
    </row>
    <row r="8691" spans="2:2" x14ac:dyDescent="0.2">
      <c r="B8691" s="16"/>
    </row>
    <row r="8692" spans="2:2" x14ac:dyDescent="0.2">
      <c r="B8692" s="16"/>
    </row>
    <row r="8693" spans="2:2" x14ac:dyDescent="0.2">
      <c r="B8693" s="16"/>
    </row>
    <row r="8694" spans="2:2" x14ac:dyDescent="0.2">
      <c r="B8694" s="16"/>
    </row>
    <row r="8695" spans="2:2" x14ac:dyDescent="0.2">
      <c r="B8695" s="16"/>
    </row>
    <row r="8696" spans="2:2" x14ac:dyDescent="0.2">
      <c r="B8696" s="16"/>
    </row>
    <row r="8697" spans="2:2" x14ac:dyDescent="0.2">
      <c r="B8697" s="16"/>
    </row>
    <row r="8698" spans="2:2" x14ac:dyDescent="0.2">
      <c r="B8698" s="16"/>
    </row>
    <row r="8699" spans="2:2" x14ac:dyDescent="0.2">
      <c r="B8699" s="16"/>
    </row>
    <row r="8700" spans="2:2" x14ac:dyDescent="0.2">
      <c r="B8700" s="16"/>
    </row>
    <row r="8701" spans="2:2" x14ac:dyDescent="0.2">
      <c r="B8701" s="16"/>
    </row>
    <row r="8702" spans="2:2" x14ac:dyDescent="0.2">
      <c r="B8702" s="16"/>
    </row>
    <row r="8703" spans="2:2" x14ac:dyDescent="0.2">
      <c r="B8703" s="16"/>
    </row>
    <row r="8704" spans="2:2" x14ac:dyDescent="0.2">
      <c r="B8704" s="16"/>
    </row>
    <row r="8705" spans="2:2" x14ac:dyDescent="0.2">
      <c r="B8705" s="16"/>
    </row>
    <row r="8706" spans="2:2" x14ac:dyDescent="0.2">
      <c r="B8706" s="16"/>
    </row>
    <row r="8707" spans="2:2" x14ac:dyDescent="0.2">
      <c r="B8707" s="16"/>
    </row>
    <row r="8708" spans="2:2" x14ac:dyDescent="0.2">
      <c r="B8708" s="16"/>
    </row>
    <row r="8709" spans="2:2" x14ac:dyDescent="0.2">
      <c r="B8709" s="16"/>
    </row>
    <row r="8710" spans="2:2" x14ac:dyDescent="0.2">
      <c r="B8710" s="16"/>
    </row>
    <row r="8711" spans="2:2" x14ac:dyDescent="0.2">
      <c r="B8711" s="16"/>
    </row>
    <row r="8712" spans="2:2" x14ac:dyDescent="0.2">
      <c r="B8712" s="16"/>
    </row>
    <row r="8713" spans="2:2" x14ac:dyDescent="0.2">
      <c r="B8713" s="16"/>
    </row>
    <row r="8714" spans="2:2" x14ac:dyDescent="0.2">
      <c r="B8714" s="16"/>
    </row>
    <row r="8715" spans="2:2" x14ac:dyDescent="0.2">
      <c r="B8715" s="16"/>
    </row>
    <row r="8716" spans="2:2" x14ac:dyDescent="0.2">
      <c r="B8716" s="16"/>
    </row>
    <row r="8717" spans="2:2" x14ac:dyDescent="0.2">
      <c r="B8717" s="16"/>
    </row>
    <row r="8718" spans="2:2" x14ac:dyDescent="0.2">
      <c r="B8718" s="16"/>
    </row>
    <row r="8719" spans="2:2" x14ac:dyDescent="0.2">
      <c r="B8719" s="16"/>
    </row>
    <row r="8720" spans="2:2" x14ac:dyDescent="0.2">
      <c r="B8720" s="16"/>
    </row>
    <row r="8721" spans="2:2" x14ac:dyDescent="0.2">
      <c r="B8721" s="16"/>
    </row>
    <row r="8722" spans="2:2" x14ac:dyDescent="0.2">
      <c r="B8722" s="16"/>
    </row>
    <row r="8723" spans="2:2" x14ac:dyDescent="0.2">
      <c r="B8723" s="16"/>
    </row>
    <row r="8724" spans="2:2" x14ac:dyDescent="0.2">
      <c r="B8724" s="16"/>
    </row>
    <row r="8725" spans="2:2" x14ac:dyDescent="0.2">
      <c r="B8725" s="16"/>
    </row>
    <row r="8726" spans="2:2" x14ac:dyDescent="0.2">
      <c r="B8726" s="16"/>
    </row>
    <row r="8727" spans="2:2" x14ac:dyDescent="0.2">
      <c r="B8727" s="16"/>
    </row>
    <row r="8728" spans="2:2" x14ac:dyDescent="0.2">
      <c r="B8728" s="16"/>
    </row>
    <row r="8729" spans="2:2" x14ac:dyDescent="0.2">
      <c r="B8729" s="16"/>
    </row>
    <row r="8730" spans="2:2" x14ac:dyDescent="0.2">
      <c r="B8730" s="16"/>
    </row>
    <row r="8731" spans="2:2" x14ac:dyDescent="0.2">
      <c r="B8731" s="16"/>
    </row>
    <row r="8732" spans="2:2" x14ac:dyDescent="0.2">
      <c r="B8732" s="16"/>
    </row>
    <row r="8733" spans="2:2" x14ac:dyDescent="0.2">
      <c r="B8733" s="16"/>
    </row>
    <row r="8734" spans="2:2" x14ac:dyDescent="0.2">
      <c r="B8734" s="16"/>
    </row>
    <row r="8735" spans="2:2" x14ac:dyDescent="0.2">
      <c r="B8735" s="16"/>
    </row>
    <row r="8736" spans="2:2" x14ac:dyDescent="0.2">
      <c r="B8736" s="16"/>
    </row>
    <row r="8737" spans="2:2" x14ac:dyDescent="0.2">
      <c r="B8737" s="16"/>
    </row>
    <row r="8738" spans="2:2" x14ac:dyDescent="0.2">
      <c r="B8738" s="16"/>
    </row>
    <row r="8739" spans="2:2" x14ac:dyDescent="0.2">
      <c r="B8739" s="16"/>
    </row>
    <row r="8740" spans="2:2" x14ac:dyDescent="0.2">
      <c r="B8740" s="16"/>
    </row>
    <row r="8741" spans="2:2" x14ac:dyDescent="0.2">
      <c r="B8741" s="16"/>
    </row>
    <row r="8742" spans="2:2" x14ac:dyDescent="0.2">
      <c r="B8742" s="16"/>
    </row>
    <row r="8743" spans="2:2" x14ac:dyDescent="0.2">
      <c r="B8743" s="16"/>
    </row>
    <row r="8744" spans="2:2" x14ac:dyDescent="0.2">
      <c r="B8744" s="16"/>
    </row>
    <row r="8745" spans="2:2" x14ac:dyDescent="0.2">
      <c r="B8745" s="16"/>
    </row>
    <row r="8746" spans="2:2" x14ac:dyDescent="0.2">
      <c r="B8746" s="16"/>
    </row>
    <row r="8747" spans="2:2" x14ac:dyDescent="0.2">
      <c r="B8747" s="16"/>
    </row>
    <row r="8748" spans="2:2" x14ac:dyDescent="0.2">
      <c r="B8748" s="16"/>
    </row>
    <row r="8749" spans="2:2" x14ac:dyDescent="0.2">
      <c r="B8749" s="16"/>
    </row>
    <row r="8750" spans="2:2" x14ac:dyDescent="0.2">
      <c r="B8750" s="16"/>
    </row>
    <row r="8751" spans="2:2" x14ac:dyDescent="0.2">
      <c r="B8751" s="16"/>
    </row>
    <row r="8752" spans="2:2" x14ac:dyDescent="0.2">
      <c r="B8752" s="16"/>
    </row>
    <row r="8753" spans="2:2" x14ac:dyDescent="0.2">
      <c r="B8753" s="16"/>
    </row>
    <row r="8754" spans="2:2" x14ac:dyDescent="0.2">
      <c r="B8754" s="16"/>
    </row>
    <row r="8755" spans="2:2" x14ac:dyDescent="0.2">
      <c r="B8755" s="16"/>
    </row>
    <row r="8756" spans="2:2" x14ac:dyDescent="0.2">
      <c r="B8756" s="16"/>
    </row>
    <row r="8757" spans="2:2" x14ac:dyDescent="0.2">
      <c r="B8757" s="16"/>
    </row>
    <row r="8758" spans="2:2" x14ac:dyDescent="0.2">
      <c r="B8758" s="16"/>
    </row>
    <row r="8759" spans="2:2" x14ac:dyDescent="0.2">
      <c r="B8759" s="16"/>
    </row>
    <row r="8760" spans="2:2" x14ac:dyDescent="0.2">
      <c r="B8760" s="16"/>
    </row>
    <row r="8761" spans="2:2" x14ac:dyDescent="0.2">
      <c r="B8761" s="16"/>
    </row>
    <row r="8762" spans="2:2" x14ac:dyDescent="0.2">
      <c r="B8762" s="16"/>
    </row>
    <row r="8763" spans="2:2" x14ac:dyDescent="0.2">
      <c r="B8763" s="16"/>
    </row>
    <row r="8764" spans="2:2" x14ac:dyDescent="0.2">
      <c r="B8764" s="16"/>
    </row>
    <row r="8765" spans="2:2" x14ac:dyDescent="0.2">
      <c r="B8765" s="16"/>
    </row>
    <row r="8766" spans="2:2" x14ac:dyDescent="0.2">
      <c r="B8766" s="16"/>
    </row>
    <row r="8767" spans="2:2" x14ac:dyDescent="0.2">
      <c r="B8767" s="16"/>
    </row>
    <row r="8768" spans="2:2" x14ac:dyDescent="0.2">
      <c r="B8768" s="16"/>
    </row>
    <row r="8769" spans="2:2" x14ac:dyDescent="0.2">
      <c r="B8769" s="16"/>
    </row>
    <row r="8770" spans="2:2" x14ac:dyDescent="0.2">
      <c r="B8770" s="16"/>
    </row>
    <row r="8771" spans="2:2" x14ac:dyDescent="0.2">
      <c r="B8771" s="16"/>
    </row>
    <row r="8772" spans="2:2" x14ac:dyDescent="0.2">
      <c r="B8772" s="16"/>
    </row>
    <row r="8773" spans="2:2" x14ac:dyDescent="0.2">
      <c r="B8773" s="16"/>
    </row>
    <row r="8774" spans="2:2" x14ac:dyDescent="0.2">
      <c r="B8774" s="16"/>
    </row>
    <row r="8775" spans="2:2" x14ac:dyDescent="0.2">
      <c r="B8775" s="16"/>
    </row>
    <row r="8776" spans="2:2" x14ac:dyDescent="0.2">
      <c r="B8776" s="16"/>
    </row>
    <row r="8777" spans="2:2" x14ac:dyDescent="0.2">
      <c r="B8777" s="16"/>
    </row>
    <row r="8778" spans="2:2" x14ac:dyDescent="0.2">
      <c r="B8778" s="16"/>
    </row>
    <row r="8779" spans="2:2" x14ac:dyDescent="0.2">
      <c r="B8779" s="16"/>
    </row>
    <row r="8780" spans="2:2" x14ac:dyDescent="0.2">
      <c r="B8780" s="16"/>
    </row>
    <row r="8781" spans="2:2" x14ac:dyDescent="0.2">
      <c r="B8781" s="16"/>
    </row>
    <row r="8782" spans="2:2" x14ac:dyDescent="0.2">
      <c r="B8782" s="16"/>
    </row>
    <row r="8783" spans="2:2" x14ac:dyDescent="0.2">
      <c r="B8783" s="16"/>
    </row>
    <row r="8784" spans="2:2" x14ac:dyDescent="0.2">
      <c r="B8784" s="16"/>
    </row>
    <row r="8785" spans="2:2" x14ac:dyDescent="0.2">
      <c r="B8785" s="16"/>
    </row>
    <row r="8786" spans="2:2" x14ac:dyDescent="0.2">
      <c r="B8786" s="16"/>
    </row>
    <row r="8787" spans="2:2" x14ac:dyDescent="0.2">
      <c r="B8787" s="16"/>
    </row>
    <row r="8788" spans="2:2" x14ac:dyDescent="0.2">
      <c r="B8788" s="16"/>
    </row>
    <row r="8789" spans="2:2" x14ac:dyDescent="0.2">
      <c r="B8789" s="16"/>
    </row>
    <row r="8790" spans="2:2" x14ac:dyDescent="0.2">
      <c r="B8790" s="16"/>
    </row>
    <row r="8791" spans="2:2" x14ac:dyDescent="0.2">
      <c r="B8791" s="16"/>
    </row>
    <row r="8792" spans="2:2" x14ac:dyDescent="0.2">
      <c r="B8792" s="16"/>
    </row>
    <row r="8793" spans="2:2" x14ac:dyDescent="0.2">
      <c r="B8793" s="16"/>
    </row>
    <row r="8794" spans="2:2" x14ac:dyDescent="0.2">
      <c r="B8794" s="16"/>
    </row>
    <row r="8795" spans="2:2" x14ac:dyDescent="0.2">
      <c r="B8795" s="16"/>
    </row>
    <row r="8796" spans="2:2" x14ac:dyDescent="0.2">
      <c r="B8796" s="16"/>
    </row>
    <row r="8797" spans="2:2" x14ac:dyDescent="0.2">
      <c r="B8797" s="16"/>
    </row>
    <row r="8798" spans="2:2" x14ac:dyDescent="0.2">
      <c r="B8798" s="16"/>
    </row>
    <row r="8799" spans="2:2" x14ac:dyDescent="0.2">
      <c r="B8799" s="16"/>
    </row>
    <row r="8800" spans="2:2" x14ac:dyDescent="0.2">
      <c r="B8800" s="16"/>
    </row>
    <row r="8801" spans="2:2" x14ac:dyDescent="0.2">
      <c r="B8801" s="16"/>
    </row>
    <row r="8802" spans="2:2" x14ac:dyDescent="0.2">
      <c r="B8802" s="16"/>
    </row>
    <row r="8803" spans="2:2" x14ac:dyDescent="0.2">
      <c r="B8803" s="16"/>
    </row>
    <row r="8804" spans="2:2" x14ac:dyDescent="0.2">
      <c r="B8804" s="16"/>
    </row>
    <row r="8805" spans="2:2" x14ac:dyDescent="0.2">
      <c r="B8805" s="16"/>
    </row>
    <row r="8806" spans="2:2" x14ac:dyDescent="0.2">
      <c r="B8806" s="16"/>
    </row>
    <row r="8807" spans="2:2" x14ac:dyDescent="0.2">
      <c r="B8807" s="16"/>
    </row>
    <row r="8808" spans="2:2" x14ac:dyDescent="0.2">
      <c r="B8808" s="16"/>
    </row>
    <row r="8809" spans="2:2" x14ac:dyDescent="0.2">
      <c r="B8809" s="16"/>
    </row>
    <row r="8810" spans="2:2" x14ac:dyDescent="0.2">
      <c r="B8810" s="16"/>
    </row>
    <row r="8811" spans="2:2" x14ac:dyDescent="0.2">
      <c r="B8811" s="16"/>
    </row>
    <row r="8812" spans="2:2" x14ac:dyDescent="0.2">
      <c r="B8812" s="16"/>
    </row>
    <row r="8813" spans="2:2" x14ac:dyDescent="0.2">
      <c r="B8813" s="16"/>
    </row>
    <row r="8814" spans="2:2" x14ac:dyDescent="0.2">
      <c r="B8814" s="16"/>
    </row>
    <row r="8815" spans="2:2" x14ac:dyDescent="0.2">
      <c r="B8815" s="16"/>
    </row>
    <row r="8816" spans="2:2" x14ac:dyDescent="0.2">
      <c r="B8816" s="16"/>
    </row>
    <row r="8817" spans="2:2" x14ac:dyDescent="0.2">
      <c r="B8817" s="16"/>
    </row>
    <row r="8818" spans="2:2" x14ac:dyDescent="0.2">
      <c r="B8818" s="16"/>
    </row>
    <row r="8819" spans="2:2" x14ac:dyDescent="0.2">
      <c r="B8819" s="16"/>
    </row>
    <row r="8820" spans="2:2" x14ac:dyDescent="0.2">
      <c r="B8820" s="16"/>
    </row>
    <row r="8821" spans="2:2" x14ac:dyDescent="0.2">
      <c r="B8821" s="16"/>
    </row>
    <row r="8822" spans="2:2" x14ac:dyDescent="0.2">
      <c r="B8822" s="16"/>
    </row>
    <row r="8823" spans="2:2" x14ac:dyDescent="0.2">
      <c r="B8823" s="16"/>
    </row>
    <row r="8824" spans="2:2" x14ac:dyDescent="0.2">
      <c r="B8824" s="16"/>
    </row>
    <row r="8825" spans="2:2" x14ac:dyDescent="0.2">
      <c r="B8825" s="16"/>
    </row>
    <row r="8826" spans="2:2" x14ac:dyDescent="0.2">
      <c r="B8826" s="16"/>
    </row>
    <row r="8827" spans="2:2" x14ac:dyDescent="0.2">
      <c r="B8827" s="16"/>
    </row>
    <row r="8828" spans="2:2" x14ac:dyDescent="0.2">
      <c r="B8828" s="16"/>
    </row>
    <row r="8829" spans="2:2" x14ac:dyDescent="0.2">
      <c r="B8829" s="16"/>
    </row>
    <row r="8830" spans="2:2" x14ac:dyDescent="0.2">
      <c r="B8830" s="16"/>
    </row>
    <row r="8831" spans="2:2" x14ac:dyDescent="0.2">
      <c r="B8831" s="16"/>
    </row>
    <row r="8832" spans="2:2" x14ac:dyDescent="0.2">
      <c r="B8832" s="16"/>
    </row>
    <row r="8833" spans="2:2" x14ac:dyDescent="0.2">
      <c r="B8833" s="16"/>
    </row>
    <row r="8834" spans="2:2" x14ac:dyDescent="0.2">
      <c r="B8834" s="16"/>
    </row>
    <row r="8835" spans="2:2" x14ac:dyDescent="0.2">
      <c r="B8835" s="16"/>
    </row>
    <row r="8836" spans="2:2" x14ac:dyDescent="0.2">
      <c r="B8836" s="16"/>
    </row>
    <row r="8837" spans="2:2" x14ac:dyDescent="0.2">
      <c r="B8837" s="16"/>
    </row>
    <row r="8838" spans="2:2" x14ac:dyDescent="0.2">
      <c r="B8838" s="16"/>
    </row>
    <row r="8839" spans="2:2" x14ac:dyDescent="0.2">
      <c r="B8839" s="16"/>
    </row>
    <row r="8840" spans="2:2" x14ac:dyDescent="0.2">
      <c r="B8840" s="16"/>
    </row>
    <row r="8841" spans="2:2" x14ac:dyDescent="0.2">
      <c r="B8841" s="16"/>
    </row>
    <row r="8842" spans="2:2" x14ac:dyDescent="0.2">
      <c r="B8842" s="16"/>
    </row>
    <row r="8843" spans="2:2" x14ac:dyDescent="0.2">
      <c r="B8843" s="16"/>
    </row>
    <row r="8844" spans="2:2" x14ac:dyDescent="0.2">
      <c r="B8844" s="16"/>
    </row>
    <row r="8845" spans="2:2" x14ac:dyDescent="0.2">
      <c r="B8845" s="16"/>
    </row>
    <row r="8846" spans="2:2" x14ac:dyDescent="0.2">
      <c r="B8846" s="16"/>
    </row>
    <row r="8847" spans="2:2" x14ac:dyDescent="0.2">
      <c r="B8847" s="16"/>
    </row>
    <row r="8848" spans="2:2" x14ac:dyDescent="0.2">
      <c r="B8848" s="16"/>
    </row>
    <row r="8849" spans="2:2" x14ac:dyDescent="0.2">
      <c r="B8849" s="16"/>
    </row>
    <row r="8850" spans="2:2" x14ac:dyDescent="0.2">
      <c r="B8850" s="16"/>
    </row>
    <row r="8851" spans="2:2" x14ac:dyDescent="0.2">
      <c r="B8851" s="16"/>
    </row>
    <row r="8852" spans="2:2" x14ac:dyDescent="0.2">
      <c r="B8852" s="16"/>
    </row>
    <row r="8853" spans="2:2" x14ac:dyDescent="0.2">
      <c r="B8853" s="16"/>
    </row>
    <row r="8854" spans="2:2" x14ac:dyDescent="0.2">
      <c r="B8854" s="16"/>
    </row>
    <row r="8855" spans="2:2" x14ac:dyDescent="0.2">
      <c r="B8855" s="16"/>
    </row>
    <row r="8856" spans="2:2" x14ac:dyDescent="0.2">
      <c r="B8856" s="16"/>
    </row>
    <row r="8857" spans="2:2" x14ac:dyDescent="0.2">
      <c r="B8857" s="16"/>
    </row>
    <row r="8858" spans="2:2" x14ac:dyDescent="0.2">
      <c r="B8858" s="16"/>
    </row>
    <row r="8859" spans="2:2" x14ac:dyDescent="0.2">
      <c r="B8859" s="16"/>
    </row>
    <row r="8860" spans="2:2" x14ac:dyDescent="0.2">
      <c r="B8860" s="16"/>
    </row>
    <row r="8861" spans="2:2" x14ac:dyDescent="0.2">
      <c r="B8861" s="16"/>
    </row>
    <row r="8862" spans="2:2" x14ac:dyDescent="0.2">
      <c r="B8862" s="16"/>
    </row>
    <row r="8863" spans="2:2" x14ac:dyDescent="0.2">
      <c r="B8863" s="16"/>
    </row>
    <row r="8864" spans="2:2" x14ac:dyDescent="0.2">
      <c r="B8864" s="16"/>
    </row>
    <row r="8865" spans="2:2" x14ac:dyDescent="0.2">
      <c r="B8865" s="16"/>
    </row>
    <row r="8866" spans="2:2" x14ac:dyDescent="0.2">
      <c r="B8866" s="16"/>
    </row>
    <row r="8867" spans="2:2" x14ac:dyDescent="0.2">
      <c r="B8867" s="16"/>
    </row>
    <row r="8868" spans="2:2" x14ac:dyDescent="0.2">
      <c r="B8868" s="16"/>
    </row>
    <row r="8869" spans="2:2" x14ac:dyDescent="0.2">
      <c r="B8869" s="16"/>
    </row>
    <row r="8870" spans="2:2" x14ac:dyDescent="0.2">
      <c r="B8870" s="16"/>
    </row>
    <row r="8871" spans="2:2" x14ac:dyDescent="0.2">
      <c r="B8871" s="16"/>
    </row>
    <row r="8872" spans="2:2" x14ac:dyDescent="0.2">
      <c r="B8872" s="16"/>
    </row>
    <row r="8873" spans="2:2" x14ac:dyDescent="0.2">
      <c r="B8873" s="16"/>
    </row>
    <row r="8874" spans="2:2" x14ac:dyDescent="0.2">
      <c r="B8874" s="16"/>
    </row>
    <row r="8875" spans="2:2" x14ac:dyDescent="0.2">
      <c r="B8875" s="16"/>
    </row>
    <row r="8876" spans="2:2" x14ac:dyDescent="0.2">
      <c r="B8876" s="16"/>
    </row>
    <row r="8877" spans="2:2" x14ac:dyDescent="0.2">
      <c r="B8877" s="16"/>
    </row>
    <row r="8878" spans="2:2" x14ac:dyDescent="0.2">
      <c r="B8878" s="16"/>
    </row>
    <row r="8879" spans="2:2" x14ac:dyDescent="0.2">
      <c r="B8879" s="16"/>
    </row>
    <row r="8880" spans="2:2" x14ac:dyDescent="0.2">
      <c r="B8880" s="16"/>
    </row>
    <row r="8881" spans="2:2" x14ac:dyDescent="0.2">
      <c r="B8881" s="16"/>
    </row>
    <row r="8882" spans="2:2" x14ac:dyDescent="0.2">
      <c r="B8882" s="16"/>
    </row>
    <row r="8883" spans="2:2" x14ac:dyDescent="0.2">
      <c r="B8883" s="16"/>
    </row>
    <row r="8884" spans="2:2" x14ac:dyDescent="0.2">
      <c r="B8884" s="16"/>
    </row>
    <row r="8885" spans="2:2" x14ac:dyDescent="0.2">
      <c r="B8885" s="16"/>
    </row>
    <row r="8886" spans="2:2" x14ac:dyDescent="0.2">
      <c r="B8886" s="16"/>
    </row>
    <row r="8887" spans="2:2" x14ac:dyDescent="0.2">
      <c r="B8887" s="16"/>
    </row>
    <row r="8888" spans="2:2" x14ac:dyDescent="0.2">
      <c r="B8888" s="16"/>
    </row>
    <row r="8889" spans="2:2" x14ac:dyDescent="0.2">
      <c r="B8889" s="16"/>
    </row>
    <row r="8890" spans="2:2" x14ac:dyDescent="0.2">
      <c r="B8890" s="16"/>
    </row>
    <row r="8891" spans="2:2" x14ac:dyDescent="0.2">
      <c r="B8891" s="16"/>
    </row>
    <row r="8892" spans="2:2" x14ac:dyDescent="0.2">
      <c r="B8892" s="16"/>
    </row>
    <row r="8893" spans="2:2" x14ac:dyDescent="0.2">
      <c r="B8893" s="16"/>
    </row>
    <row r="8894" spans="2:2" x14ac:dyDescent="0.2">
      <c r="B8894" s="16"/>
    </row>
    <row r="8895" spans="2:2" x14ac:dyDescent="0.2">
      <c r="B8895" s="16"/>
    </row>
    <row r="8896" spans="2:2" x14ac:dyDescent="0.2">
      <c r="B8896" s="16"/>
    </row>
    <row r="8897" spans="2:2" x14ac:dyDescent="0.2">
      <c r="B8897" s="16"/>
    </row>
    <row r="8898" spans="2:2" x14ac:dyDescent="0.2">
      <c r="B8898" s="16"/>
    </row>
    <row r="8899" spans="2:2" x14ac:dyDescent="0.2">
      <c r="B8899" s="16"/>
    </row>
    <row r="8900" spans="2:2" x14ac:dyDescent="0.2">
      <c r="B8900" s="16"/>
    </row>
    <row r="8901" spans="2:2" x14ac:dyDescent="0.2">
      <c r="B8901" s="16"/>
    </row>
    <row r="8902" spans="2:2" x14ac:dyDescent="0.2">
      <c r="B8902" s="16"/>
    </row>
    <row r="8903" spans="2:2" x14ac:dyDescent="0.2">
      <c r="B8903" s="16"/>
    </row>
    <row r="8904" spans="2:2" x14ac:dyDescent="0.2">
      <c r="B8904" s="16"/>
    </row>
    <row r="8905" spans="2:2" x14ac:dyDescent="0.2">
      <c r="B8905" s="16"/>
    </row>
    <row r="8906" spans="2:2" x14ac:dyDescent="0.2">
      <c r="B8906" s="16"/>
    </row>
    <row r="8907" spans="2:2" x14ac:dyDescent="0.2">
      <c r="B8907" s="16"/>
    </row>
    <row r="8908" spans="2:2" x14ac:dyDescent="0.2">
      <c r="B8908" s="16"/>
    </row>
    <row r="8909" spans="2:2" x14ac:dyDescent="0.2">
      <c r="B8909" s="16"/>
    </row>
    <row r="8910" spans="2:2" x14ac:dyDescent="0.2">
      <c r="B8910" s="16"/>
    </row>
    <row r="8911" spans="2:2" x14ac:dyDescent="0.2">
      <c r="B8911" s="16"/>
    </row>
    <row r="8912" spans="2:2" x14ac:dyDescent="0.2">
      <c r="B8912" s="16"/>
    </row>
    <row r="8913" spans="2:2" x14ac:dyDescent="0.2">
      <c r="B8913" s="16"/>
    </row>
    <row r="8914" spans="2:2" x14ac:dyDescent="0.2">
      <c r="B8914" s="16"/>
    </row>
    <row r="8915" spans="2:2" x14ac:dyDescent="0.2">
      <c r="B8915" s="16"/>
    </row>
    <row r="8916" spans="2:2" x14ac:dyDescent="0.2">
      <c r="B8916" s="16"/>
    </row>
    <row r="8917" spans="2:2" x14ac:dyDescent="0.2">
      <c r="B8917" s="16"/>
    </row>
    <row r="8918" spans="2:2" x14ac:dyDescent="0.2">
      <c r="B8918" s="16"/>
    </row>
    <row r="8919" spans="2:2" x14ac:dyDescent="0.2">
      <c r="B8919" s="16"/>
    </row>
    <row r="8920" spans="2:2" x14ac:dyDescent="0.2">
      <c r="B8920" s="16"/>
    </row>
    <row r="8921" spans="2:2" x14ac:dyDescent="0.2">
      <c r="B8921" s="16"/>
    </row>
    <row r="8922" spans="2:2" x14ac:dyDescent="0.2">
      <c r="B8922" s="16"/>
    </row>
    <row r="8923" spans="2:2" x14ac:dyDescent="0.2">
      <c r="B8923" s="16"/>
    </row>
    <row r="8924" spans="2:2" x14ac:dyDescent="0.2">
      <c r="B8924" s="16"/>
    </row>
    <row r="8925" spans="2:2" x14ac:dyDescent="0.2">
      <c r="B8925" s="16"/>
    </row>
    <row r="8926" spans="2:2" x14ac:dyDescent="0.2">
      <c r="B8926" s="16"/>
    </row>
    <row r="8927" spans="2:2" x14ac:dyDescent="0.2">
      <c r="B8927" s="16"/>
    </row>
    <row r="8928" spans="2:2" x14ac:dyDescent="0.2">
      <c r="B8928" s="16"/>
    </row>
    <row r="8929" spans="2:2" x14ac:dyDescent="0.2">
      <c r="B8929" s="16"/>
    </row>
    <row r="8930" spans="2:2" x14ac:dyDescent="0.2">
      <c r="B8930" s="16"/>
    </row>
    <row r="8931" spans="2:2" x14ac:dyDescent="0.2">
      <c r="B8931" s="16"/>
    </row>
    <row r="8932" spans="2:2" x14ac:dyDescent="0.2">
      <c r="B8932" s="16"/>
    </row>
    <row r="8933" spans="2:2" x14ac:dyDescent="0.2">
      <c r="B8933" s="16"/>
    </row>
    <row r="8934" spans="2:2" x14ac:dyDescent="0.2">
      <c r="B8934" s="16"/>
    </row>
    <row r="8935" spans="2:2" x14ac:dyDescent="0.2">
      <c r="B8935" s="16"/>
    </row>
    <row r="8936" spans="2:2" x14ac:dyDescent="0.2">
      <c r="B8936" s="16"/>
    </row>
    <row r="8937" spans="2:2" x14ac:dyDescent="0.2">
      <c r="B8937" s="16"/>
    </row>
    <row r="8938" spans="2:2" x14ac:dyDescent="0.2">
      <c r="B8938" s="16"/>
    </row>
    <row r="8939" spans="2:2" x14ac:dyDescent="0.2">
      <c r="B8939" s="16"/>
    </row>
    <row r="8940" spans="2:2" x14ac:dyDescent="0.2">
      <c r="B8940" s="16"/>
    </row>
    <row r="8941" spans="2:2" x14ac:dyDescent="0.2">
      <c r="B8941" s="16"/>
    </row>
    <row r="8942" spans="2:2" x14ac:dyDescent="0.2">
      <c r="B8942" s="16"/>
    </row>
    <row r="8943" spans="2:2" x14ac:dyDescent="0.2">
      <c r="B8943" s="16"/>
    </row>
    <row r="8944" spans="2:2" x14ac:dyDescent="0.2">
      <c r="B8944" s="16"/>
    </row>
    <row r="8945" spans="2:2" x14ac:dyDescent="0.2">
      <c r="B8945" s="16"/>
    </row>
    <row r="8946" spans="2:2" x14ac:dyDescent="0.2">
      <c r="B8946" s="16"/>
    </row>
    <row r="8947" spans="2:2" x14ac:dyDescent="0.2">
      <c r="B8947" s="16"/>
    </row>
    <row r="8948" spans="2:2" x14ac:dyDescent="0.2">
      <c r="B8948" s="16"/>
    </row>
    <row r="8949" spans="2:2" x14ac:dyDescent="0.2">
      <c r="B8949" s="16"/>
    </row>
    <row r="8950" spans="2:2" x14ac:dyDescent="0.2">
      <c r="B8950" s="16"/>
    </row>
    <row r="8951" spans="2:2" x14ac:dyDescent="0.2">
      <c r="B8951" s="16"/>
    </row>
    <row r="8952" spans="2:2" x14ac:dyDescent="0.2">
      <c r="B8952" s="16"/>
    </row>
    <row r="8953" spans="2:2" x14ac:dyDescent="0.2">
      <c r="B8953" s="16"/>
    </row>
    <row r="8954" spans="2:2" x14ac:dyDescent="0.2">
      <c r="B8954" s="16"/>
    </row>
    <row r="8955" spans="2:2" x14ac:dyDescent="0.2">
      <c r="B8955" s="16"/>
    </row>
    <row r="8956" spans="2:2" x14ac:dyDescent="0.2">
      <c r="B8956" s="16"/>
    </row>
    <row r="8957" spans="2:2" x14ac:dyDescent="0.2">
      <c r="B8957" s="16"/>
    </row>
    <row r="8958" spans="2:2" x14ac:dyDescent="0.2">
      <c r="B8958" s="16"/>
    </row>
    <row r="8959" spans="2:2" x14ac:dyDescent="0.2">
      <c r="B8959" s="16"/>
    </row>
    <row r="8960" spans="2:2" x14ac:dyDescent="0.2">
      <c r="B8960" s="16"/>
    </row>
    <row r="8961" spans="2:2" x14ac:dyDescent="0.2">
      <c r="B8961" s="16"/>
    </row>
    <row r="8962" spans="2:2" x14ac:dyDescent="0.2">
      <c r="B8962" s="16"/>
    </row>
    <row r="8963" spans="2:2" x14ac:dyDescent="0.2">
      <c r="B8963" s="16"/>
    </row>
    <row r="8964" spans="2:2" x14ac:dyDescent="0.2">
      <c r="B8964" s="16"/>
    </row>
    <row r="8965" spans="2:2" x14ac:dyDescent="0.2">
      <c r="B8965" s="16"/>
    </row>
    <row r="8966" spans="2:2" x14ac:dyDescent="0.2">
      <c r="B8966" s="16"/>
    </row>
    <row r="8967" spans="2:2" x14ac:dyDescent="0.2">
      <c r="B8967" s="16"/>
    </row>
    <row r="8968" spans="2:2" x14ac:dyDescent="0.2">
      <c r="B8968" s="16"/>
    </row>
    <row r="8969" spans="2:2" x14ac:dyDescent="0.2">
      <c r="B8969" s="16"/>
    </row>
    <row r="8970" spans="2:2" x14ac:dyDescent="0.2">
      <c r="B8970" s="16"/>
    </row>
    <row r="8971" spans="2:2" x14ac:dyDescent="0.2">
      <c r="B8971" s="16"/>
    </row>
    <row r="8972" spans="2:2" x14ac:dyDescent="0.2">
      <c r="B8972" s="16"/>
    </row>
    <row r="8973" spans="2:2" x14ac:dyDescent="0.2">
      <c r="B8973" s="16"/>
    </row>
    <row r="8974" spans="2:2" x14ac:dyDescent="0.2">
      <c r="B8974" s="16"/>
    </row>
    <row r="8975" spans="2:2" x14ac:dyDescent="0.2">
      <c r="B8975" s="16"/>
    </row>
    <row r="8976" spans="2:2" x14ac:dyDescent="0.2">
      <c r="B8976" s="16"/>
    </row>
    <row r="8977" spans="2:2" x14ac:dyDescent="0.2">
      <c r="B8977" s="16"/>
    </row>
    <row r="8978" spans="2:2" x14ac:dyDescent="0.2">
      <c r="B8978" s="16"/>
    </row>
    <row r="8979" spans="2:2" x14ac:dyDescent="0.2">
      <c r="B8979" s="16"/>
    </row>
    <row r="8980" spans="2:2" x14ac:dyDescent="0.2">
      <c r="B8980" s="16"/>
    </row>
    <row r="8981" spans="2:2" x14ac:dyDescent="0.2">
      <c r="B8981" s="16"/>
    </row>
    <row r="8982" spans="2:2" x14ac:dyDescent="0.2">
      <c r="B8982" s="16"/>
    </row>
    <row r="8983" spans="2:2" x14ac:dyDescent="0.2">
      <c r="B8983" s="16"/>
    </row>
    <row r="8984" spans="2:2" x14ac:dyDescent="0.2">
      <c r="B8984" s="16"/>
    </row>
    <row r="8985" spans="2:2" x14ac:dyDescent="0.2">
      <c r="B8985" s="16"/>
    </row>
    <row r="8986" spans="2:2" x14ac:dyDescent="0.2">
      <c r="B8986" s="16"/>
    </row>
    <row r="8987" spans="2:2" x14ac:dyDescent="0.2">
      <c r="B8987" s="16"/>
    </row>
    <row r="8988" spans="2:2" x14ac:dyDescent="0.2">
      <c r="B8988" s="16"/>
    </row>
    <row r="8989" spans="2:2" x14ac:dyDescent="0.2">
      <c r="B8989" s="16"/>
    </row>
    <row r="8990" spans="2:2" x14ac:dyDescent="0.2">
      <c r="B8990" s="16"/>
    </row>
    <row r="8991" spans="2:2" x14ac:dyDescent="0.2">
      <c r="B8991" s="16"/>
    </row>
    <row r="8992" spans="2:2" x14ac:dyDescent="0.2">
      <c r="B8992" s="16"/>
    </row>
    <row r="8993" spans="2:2" x14ac:dyDescent="0.2">
      <c r="B8993" s="16"/>
    </row>
    <row r="8994" spans="2:2" x14ac:dyDescent="0.2">
      <c r="B8994" s="16"/>
    </row>
    <row r="8995" spans="2:2" x14ac:dyDescent="0.2">
      <c r="B8995" s="16"/>
    </row>
    <row r="8996" spans="2:2" x14ac:dyDescent="0.2">
      <c r="B8996" s="16"/>
    </row>
    <row r="8997" spans="2:2" x14ac:dyDescent="0.2">
      <c r="B8997" s="16"/>
    </row>
    <row r="8998" spans="2:2" x14ac:dyDescent="0.2">
      <c r="B8998" s="16"/>
    </row>
    <row r="8999" spans="2:2" x14ac:dyDescent="0.2">
      <c r="B8999" s="16"/>
    </row>
    <row r="9000" spans="2:2" x14ac:dyDescent="0.2">
      <c r="B9000" s="16"/>
    </row>
    <row r="9001" spans="2:2" x14ac:dyDescent="0.2">
      <c r="B9001" s="16"/>
    </row>
    <row r="9002" spans="2:2" x14ac:dyDescent="0.2">
      <c r="B9002" s="16"/>
    </row>
    <row r="9003" spans="2:2" x14ac:dyDescent="0.2">
      <c r="B9003" s="16"/>
    </row>
    <row r="9004" spans="2:2" x14ac:dyDescent="0.2">
      <c r="B9004" s="16"/>
    </row>
    <row r="9005" spans="2:2" x14ac:dyDescent="0.2">
      <c r="B9005" s="16"/>
    </row>
    <row r="9006" spans="2:2" x14ac:dyDescent="0.2">
      <c r="B9006" s="16"/>
    </row>
    <row r="9007" spans="2:2" x14ac:dyDescent="0.2">
      <c r="B9007" s="16"/>
    </row>
    <row r="9008" spans="2:2" x14ac:dyDescent="0.2">
      <c r="B9008" s="16"/>
    </row>
    <row r="9009" spans="2:2" x14ac:dyDescent="0.2">
      <c r="B9009" s="16"/>
    </row>
    <row r="9010" spans="2:2" x14ac:dyDescent="0.2">
      <c r="B9010" s="16"/>
    </row>
    <row r="9011" spans="2:2" x14ac:dyDescent="0.2">
      <c r="B9011" s="16"/>
    </row>
    <row r="9012" spans="2:2" x14ac:dyDescent="0.2">
      <c r="B9012" s="16"/>
    </row>
    <row r="9013" spans="2:2" x14ac:dyDescent="0.2">
      <c r="B9013" s="16"/>
    </row>
    <row r="9014" spans="2:2" x14ac:dyDescent="0.2">
      <c r="B9014" s="16"/>
    </row>
    <row r="9015" spans="2:2" x14ac:dyDescent="0.2">
      <c r="B9015" s="16"/>
    </row>
    <row r="9016" spans="2:2" x14ac:dyDescent="0.2">
      <c r="B9016" s="16"/>
    </row>
    <row r="9017" spans="2:2" x14ac:dyDescent="0.2">
      <c r="B9017" s="16"/>
    </row>
    <row r="9018" spans="2:2" x14ac:dyDescent="0.2">
      <c r="B9018" s="16"/>
    </row>
    <row r="9019" spans="2:2" x14ac:dyDescent="0.2">
      <c r="B9019" s="16"/>
    </row>
    <row r="9020" spans="2:2" x14ac:dyDescent="0.2">
      <c r="B9020" s="16"/>
    </row>
    <row r="9021" spans="2:2" x14ac:dyDescent="0.2">
      <c r="B9021" s="16"/>
    </row>
    <row r="9022" spans="2:2" x14ac:dyDescent="0.2">
      <c r="B9022" s="16"/>
    </row>
    <row r="9023" spans="2:2" x14ac:dyDescent="0.2">
      <c r="B9023" s="16"/>
    </row>
    <row r="9024" spans="2:2" x14ac:dyDescent="0.2">
      <c r="B9024" s="16"/>
    </row>
    <row r="9025" spans="2:2" x14ac:dyDescent="0.2">
      <c r="B9025" s="16"/>
    </row>
    <row r="9026" spans="2:2" x14ac:dyDescent="0.2">
      <c r="B9026" s="16"/>
    </row>
    <row r="9027" spans="2:2" x14ac:dyDescent="0.2">
      <c r="B9027" s="16"/>
    </row>
    <row r="9028" spans="2:2" x14ac:dyDescent="0.2">
      <c r="B9028" s="16"/>
    </row>
    <row r="9029" spans="2:2" x14ac:dyDescent="0.2">
      <c r="B9029" s="16"/>
    </row>
    <row r="9030" spans="2:2" x14ac:dyDescent="0.2">
      <c r="B9030" s="16"/>
    </row>
    <row r="9031" spans="2:2" x14ac:dyDescent="0.2">
      <c r="B9031" s="16"/>
    </row>
    <row r="9032" spans="2:2" x14ac:dyDescent="0.2">
      <c r="B9032" s="16"/>
    </row>
    <row r="9033" spans="2:2" x14ac:dyDescent="0.2">
      <c r="B9033" s="16"/>
    </row>
    <row r="9034" spans="2:2" x14ac:dyDescent="0.2">
      <c r="B9034" s="16"/>
    </row>
    <row r="9035" spans="2:2" x14ac:dyDescent="0.2">
      <c r="B9035" s="16"/>
    </row>
    <row r="9036" spans="2:2" x14ac:dyDescent="0.2">
      <c r="B9036" s="16"/>
    </row>
    <row r="9037" spans="2:2" x14ac:dyDescent="0.2">
      <c r="B9037" s="16"/>
    </row>
    <row r="9038" spans="2:2" x14ac:dyDescent="0.2">
      <c r="B9038" s="16"/>
    </row>
    <row r="9039" spans="2:2" x14ac:dyDescent="0.2">
      <c r="B9039" s="16"/>
    </row>
    <row r="9040" spans="2:2" x14ac:dyDescent="0.2">
      <c r="B9040" s="16"/>
    </row>
    <row r="9041" spans="2:2" x14ac:dyDescent="0.2">
      <c r="B9041" s="16"/>
    </row>
    <row r="9042" spans="2:2" x14ac:dyDescent="0.2">
      <c r="B9042" s="16"/>
    </row>
    <row r="9043" spans="2:2" x14ac:dyDescent="0.2">
      <c r="B9043" s="16"/>
    </row>
    <row r="9044" spans="2:2" x14ac:dyDescent="0.2">
      <c r="B9044" s="16"/>
    </row>
    <row r="9045" spans="2:2" x14ac:dyDescent="0.2">
      <c r="B9045" s="16"/>
    </row>
    <row r="9046" spans="2:2" x14ac:dyDescent="0.2">
      <c r="B9046" s="16"/>
    </row>
    <row r="9047" spans="2:2" x14ac:dyDescent="0.2">
      <c r="B9047" s="16"/>
    </row>
    <row r="9048" spans="2:2" x14ac:dyDescent="0.2">
      <c r="B9048" s="16"/>
    </row>
    <row r="9049" spans="2:2" x14ac:dyDescent="0.2">
      <c r="B9049" s="16"/>
    </row>
    <row r="9050" spans="2:2" x14ac:dyDescent="0.2">
      <c r="B9050" s="16"/>
    </row>
    <row r="9051" spans="2:2" x14ac:dyDescent="0.2">
      <c r="B9051" s="16"/>
    </row>
    <row r="9052" spans="2:2" x14ac:dyDescent="0.2">
      <c r="B9052" s="16"/>
    </row>
    <row r="9053" spans="2:2" x14ac:dyDescent="0.2">
      <c r="B9053" s="16"/>
    </row>
    <row r="9054" spans="2:2" x14ac:dyDescent="0.2">
      <c r="B9054" s="16"/>
    </row>
    <row r="9055" spans="2:2" x14ac:dyDescent="0.2">
      <c r="B9055" s="16"/>
    </row>
    <row r="9056" spans="2:2" x14ac:dyDescent="0.2">
      <c r="B9056" s="16"/>
    </row>
    <row r="9057" spans="2:2" x14ac:dyDescent="0.2">
      <c r="B9057" s="16"/>
    </row>
    <row r="9058" spans="2:2" x14ac:dyDescent="0.2">
      <c r="B9058" s="16"/>
    </row>
    <row r="9059" spans="2:2" x14ac:dyDescent="0.2">
      <c r="B9059" s="16"/>
    </row>
    <row r="9060" spans="2:2" x14ac:dyDescent="0.2">
      <c r="B9060" s="16"/>
    </row>
    <row r="9061" spans="2:2" x14ac:dyDescent="0.2">
      <c r="B9061" s="16"/>
    </row>
    <row r="9062" spans="2:2" x14ac:dyDescent="0.2">
      <c r="B9062" s="16"/>
    </row>
    <row r="9063" spans="2:2" x14ac:dyDescent="0.2">
      <c r="B9063" s="16"/>
    </row>
    <row r="9064" spans="2:2" x14ac:dyDescent="0.2">
      <c r="B9064" s="16"/>
    </row>
    <row r="9065" spans="2:2" x14ac:dyDescent="0.2">
      <c r="B9065" s="16"/>
    </row>
    <row r="9066" spans="2:2" x14ac:dyDescent="0.2">
      <c r="B9066" s="16"/>
    </row>
    <row r="9067" spans="2:2" x14ac:dyDescent="0.2">
      <c r="B9067" s="16"/>
    </row>
    <row r="9068" spans="2:2" x14ac:dyDescent="0.2">
      <c r="B9068" s="16"/>
    </row>
    <row r="9069" spans="2:2" x14ac:dyDescent="0.2">
      <c r="B9069" s="16"/>
    </row>
    <row r="9070" spans="2:2" x14ac:dyDescent="0.2">
      <c r="B9070" s="16"/>
    </row>
    <row r="9071" spans="2:2" x14ac:dyDescent="0.2">
      <c r="B9071" s="16"/>
    </row>
    <row r="9072" spans="2:2" x14ac:dyDescent="0.2">
      <c r="B9072" s="16"/>
    </row>
    <row r="9073" spans="2:2" x14ac:dyDescent="0.2">
      <c r="B9073" s="16"/>
    </row>
    <row r="9074" spans="2:2" x14ac:dyDescent="0.2">
      <c r="B9074" s="16"/>
    </row>
    <row r="9075" spans="2:2" x14ac:dyDescent="0.2">
      <c r="B9075" s="16"/>
    </row>
    <row r="9076" spans="2:2" x14ac:dyDescent="0.2">
      <c r="B9076" s="16"/>
    </row>
    <row r="9077" spans="2:2" x14ac:dyDescent="0.2">
      <c r="B9077" s="16"/>
    </row>
    <row r="9078" spans="2:2" x14ac:dyDescent="0.2">
      <c r="B9078" s="16"/>
    </row>
    <row r="9079" spans="2:2" x14ac:dyDescent="0.2">
      <c r="B9079" s="16"/>
    </row>
    <row r="9080" spans="2:2" x14ac:dyDescent="0.2">
      <c r="B9080" s="16"/>
    </row>
    <row r="9081" spans="2:2" x14ac:dyDescent="0.2">
      <c r="B9081" s="16"/>
    </row>
    <row r="9082" spans="2:2" x14ac:dyDescent="0.2">
      <c r="B9082" s="16"/>
    </row>
    <row r="9083" spans="2:2" x14ac:dyDescent="0.2">
      <c r="B9083" s="16"/>
    </row>
    <row r="9084" spans="2:2" x14ac:dyDescent="0.2">
      <c r="B9084" s="16"/>
    </row>
    <row r="9085" spans="2:2" x14ac:dyDescent="0.2">
      <c r="B9085" s="16"/>
    </row>
    <row r="9086" spans="2:2" x14ac:dyDescent="0.2">
      <c r="B9086" s="16"/>
    </row>
    <row r="9087" spans="2:2" x14ac:dyDescent="0.2">
      <c r="B9087" s="16"/>
    </row>
    <row r="9088" spans="2:2" x14ac:dyDescent="0.2">
      <c r="B9088" s="16"/>
    </row>
    <row r="9089" spans="2:2" x14ac:dyDescent="0.2">
      <c r="B9089" s="16"/>
    </row>
    <row r="9090" spans="2:2" x14ac:dyDescent="0.2">
      <c r="B9090" s="16"/>
    </row>
    <row r="9091" spans="2:2" x14ac:dyDescent="0.2">
      <c r="B9091" s="16"/>
    </row>
    <row r="9092" spans="2:2" x14ac:dyDescent="0.2">
      <c r="B9092" s="16"/>
    </row>
    <row r="9093" spans="2:2" x14ac:dyDescent="0.2">
      <c r="B9093" s="16"/>
    </row>
    <row r="9094" spans="2:2" x14ac:dyDescent="0.2">
      <c r="B9094" s="16"/>
    </row>
    <row r="9095" spans="2:2" x14ac:dyDescent="0.2">
      <c r="B9095" s="16"/>
    </row>
    <row r="9096" spans="2:2" x14ac:dyDescent="0.2">
      <c r="B9096" s="16"/>
    </row>
    <row r="9097" spans="2:2" x14ac:dyDescent="0.2">
      <c r="B9097" s="16"/>
    </row>
    <row r="9098" spans="2:2" x14ac:dyDescent="0.2">
      <c r="B9098" s="16"/>
    </row>
    <row r="9099" spans="2:2" x14ac:dyDescent="0.2">
      <c r="B9099" s="16"/>
    </row>
    <row r="9100" spans="2:2" x14ac:dyDescent="0.2">
      <c r="B9100" s="16"/>
    </row>
    <row r="9101" spans="2:2" x14ac:dyDescent="0.2">
      <c r="B9101" s="16"/>
    </row>
    <row r="9102" spans="2:2" x14ac:dyDescent="0.2">
      <c r="B9102" s="16"/>
    </row>
    <row r="9103" spans="2:2" x14ac:dyDescent="0.2">
      <c r="B9103" s="16"/>
    </row>
    <row r="9104" spans="2:2" x14ac:dyDescent="0.2">
      <c r="B9104" s="16"/>
    </row>
    <row r="9105" spans="2:2" x14ac:dyDescent="0.2">
      <c r="B9105" s="16"/>
    </row>
    <row r="9106" spans="2:2" x14ac:dyDescent="0.2">
      <c r="B9106" s="16"/>
    </row>
    <row r="9107" spans="2:2" x14ac:dyDescent="0.2">
      <c r="B9107" s="16"/>
    </row>
    <row r="9108" spans="2:2" x14ac:dyDescent="0.2">
      <c r="B9108" s="16"/>
    </row>
    <row r="9109" spans="2:2" x14ac:dyDescent="0.2">
      <c r="B9109" s="16"/>
    </row>
    <row r="9110" spans="2:2" x14ac:dyDescent="0.2">
      <c r="B9110" s="16"/>
    </row>
    <row r="9111" spans="2:2" x14ac:dyDescent="0.2">
      <c r="B9111" s="16"/>
    </row>
    <row r="9112" spans="2:2" x14ac:dyDescent="0.2">
      <c r="B9112" s="16"/>
    </row>
    <row r="9113" spans="2:2" x14ac:dyDescent="0.2">
      <c r="B9113" s="16"/>
    </row>
    <row r="9114" spans="2:2" x14ac:dyDescent="0.2">
      <c r="B9114" s="16"/>
    </row>
    <row r="9115" spans="2:2" x14ac:dyDescent="0.2">
      <c r="B9115" s="16"/>
    </row>
    <row r="9116" spans="2:2" x14ac:dyDescent="0.2">
      <c r="B9116" s="16"/>
    </row>
    <row r="9117" spans="2:2" x14ac:dyDescent="0.2">
      <c r="B9117" s="16"/>
    </row>
    <row r="9118" spans="2:2" x14ac:dyDescent="0.2">
      <c r="B9118" s="16"/>
    </row>
    <row r="9119" spans="2:2" x14ac:dyDescent="0.2">
      <c r="B9119" s="16"/>
    </row>
    <row r="9120" spans="2:2" x14ac:dyDescent="0.2">
      <c r="B9120" s="16"/>
    </row>
    <row r="9121" spans="2:2" x14ac:dyDescent="0.2">
      <c r="B9121" s="16"/>
    </row>
    <row r="9122" spans="2:2" x14ac:dyDescent="0.2">
      <c r="B9122" s="16"/>
    </row>
    <row r="9123" spans="2:2" x14ac:dyDescent="0.2">
      <c r="B9123" s="16"/>
    </row>
    <row r="9124" spans="2:2" x14ac:dyDescent="0.2">
      <c r="B9124" s="16"/>
    </row>
    <row r="9125" spans="2:2" x14ac:dyDescent="0.2">
      <c r="B9125" s="16"/>
    </row>
    <row r="9126" spans="2:2" x14ac:dyDescent="0.2">
      <c r="B9126" s="16"/>
    </row>
    <row r="9127" spans="2:2" x14ac:dyDescent="0.2">
      <c r="B9127" s="16"/>
    </row>
    <row r="9128" spans="2:2" x14ac:dyDescent="0.2">
      <c r="B9128" s="16"/>
    </row>
    <row r="9129" spans="2:2" x14ac:dyDescent="0.2">
      <c r="B9129" s="16"/>
    </row>
    <row r="9130" spans="2:2" x14ac:dyDescent="0.2">
      <c r="B9130" s="16"/>
    </row>
    <row r="9131" spans="2:2" x14ac:dyDescent="0.2">
      <c r="B9131" s="16"/>
    </row>
    <row r="9132" spans="2:2" x14ac:dyDescent="0.2">
      <c r="B9132" s="16"/>
    </row>
    <row r="9133" spans="2:2" x14ac:dyDescent="0.2">
      <c r="B9133" s="16"/>
    </row>
    <row r="9134" spans="2:2" x14ac:dyDescent="0.2">
      <c r="B9134" s="16"/>
    </row>
    <row r="9135" spans="2:2" x14ac:dyDescent="0.2">
      <c r="B9135" s="16"/>
    </row>
    <row r="9136" spans="2:2" x14ac:dyDescent="0.2">
      <c r="B9136" s="16"/>
    </row>
    <row r="9137" spans="2:2" x14ac:dyDescent="0.2">
      <c r="B9137" s="16"/>
    </row>
    <row r="9138" spans="2:2" x14ac:dyDescent="0.2">
      <c r="B9138" s="16"/>
    </row>
    <row r="9139" spans="2:2" x14ac:dyDescent="0.2">
      <c r="B9139" s="16"/>
    </row>
    <row r="9140" spans="2:2" x14ac:dyDescent="0.2">
      <c r="B9140" s="16"/>
    </row>
    <row r="9141" spans="2:2" x14ac:dyDescent="0.2">
      <c r="B9141" s="16"/>
    </row>
    <row r="9142" spans="2:2" x14ac:dyDescent="0.2">
      <c r="B9142" s="16"/>
    </row>
    <row r="9143" spans="2:2" x14ac:dyDescent="0.2">
      <c r="B9143" s="16"/>
    </row>
    <row r="9144" spans="2:2" x14ac:dyDescent="0.2">
      <c r="B9144" s="16"/>
    </row>
    <row r="9145" spans="2:2" x14ac:dyDescent="0.2">
      <c r="B9145" s="16"/>
    </row>
    <row r="9146" spans="2:2" x14ac:dyDescent="0.2">
      <c r="B9146" s="16"/>
    </row>
    <row r="9147" spans="2:2" x14ac:dyDescent="0.2">
      <c r="B9147" s="16"/>
    </row>
    <row r="9148" spans="2:2" x14ac:dyDescent="0.2">
      <c r="B9148" s="16"/>
    </row>
    <row r="9149" spans="2:2" x14ac:dyDescent="0.2">
      <c r="B9149" s="16"/>
    </row>
    <row r="9150" spans="2:2" x14ac:dyDescent="0.2">
      <c r="B9150" s="16"/>
    </row>
    <row r="9151" spans="2:2" x14ac:dyDescent="0.2">
      <c r="B9151" s="16"/>
    </row>
    <row r="9152" spans="2:2" x14ac:dyDescent="0.2">
      <c r="B9152" s="16"/>
    </row>
    <row r="9153" spans="2:2" x14ac:dyDescent="0.2">
      <c r="B9153" s="16"/>
    </row>
    <row r="9154" spans="2:2" x14ac:dyDescent="0.2">
      <c r="B9154" s="16"/>
    </row>
    <row r="9155" spans="2:2" x14ac:dyDescent="0.2">
      <c r="B9155" s="16"/>
    </row>
    <row r="9156" spans="2:2" x14ac:dyDescent="0.2">
      <c r="B9156" s="16"/>
    </row>
    <row r="9157" spans="2:2" x14ac:dyDescent="0.2">
      <c r="B9157" s="16"/>
    </row>
    <row r="9158" spans="2:2" x14ac:dyDescent="0.2">
      <c r="B9158" s="16"/>
    </row>
    <row r="9159" spans="2:2" x14ac:dyDescent="0.2">
      <c r="B9159" s="16"/>
    </row>
    <row r="9160" spans="2:2" x14ac:dyDescent="0.2">
      <c r="B9160" s="16"/>
    </row>
    <row r="9161" spans="2:2" x14ac:dyDescent="0.2">
      <c r="B9161" s="16"/>
    </row>
    <row r="9162" spans="2:2" x14ac:dyDescent="0.2">
      <c r="B9162" s="16"/>
    </row>
    <row r="9163" spans="2:2" x14ac:dyDescent="0.2">
      <c r="B9163" s="16"/>
    </row>
    <row r="9164" spans="2:2" x14ac:dyDescent="0.2">
      <c r="B9164" s="16"/>
    </row>
    <row r="9165" spans="2:2" x14ac:dyDescent="0.2">
      <c r="B9165" s="16"/>
    </row>
    <row r="9166" spans="2:2" x14ac:dyDescent="0.2">
      <c r="B9166" s="16"/>
    </row>
    <row r="9167" spans="2:2" x14ac:dyDescent="0.2">
      <c r="B9167" s="16"/>
    </row>
    <row r="9168" spans="2:2" x14ac:dyDescent="0.2">
      <c r="B9168" s="16"/>
    </row>
    <row r="9169" spans="2:2" x14ac:dyDescent="0.2">
      <c r="B9169" s="16"/>
    </row>
    <row r="9170" spans="2:2" x14ac:dyDescent="0.2">
      <c r="B9170" s="16"/>
    </row>
    <row r="9171" spans="2:2" x14ac:dyDescent="0.2">
      <c r="B9171" s="16"/>
    </row>
    <row r="9172" spans="2:2" x14ac:dyDescent="0.2">
      <c r="B9172" s="16"/>
    </row>
    <row r="9173" spans="2:2" x14ac:dyDescent="0.2">
      <c r="B9173" s="16"/>
    </row>
    <row r="9174" spans="2:2" x14ac:dyDescent="0.2">
      <c r="B9174" s="16"/>
    </row>
    <row r="9175" spans="2:2" x14ac:dyDescent="0.2">
      <c r="B9175" s="16"/>
    </row>
    <row r="9176" spans="2:2" x14ac:dyDescent="0.2">
      <c r="B9176" s="16"/>
    </row>
    <row r="9177" spans="2:2" x14ac:dyDescent="0.2">
      <c r="B9177" s="16"/>
    </row>
    <row r="9178" spans="2:2" x14ac:dyDescent="0.2">
      <c r="B9178" s="16"/>
    </row>
    <row r="9179" spans="2:2" x14ac:dyDescent="0.2">
      <c r="B9179" s="16"/>
    </row>
    <row r="9180" spans="2:2" x14ac:dyDescent="0.2">
      <c r="B9180" s="16"/>
    </row>
    <row r="9181" spans="2:2" x14ac:dyDescent="0.2">
      <c r="B9181" s="16"/>
    </row>
    <row r="9182" spans="2:2" x14ac:dyDescent="0.2">
      <c r="B9182" s="16"/>
    </row>
    <row r="9183" spans="2:2" x14ac:dyDescent="0.2">
      <c r="B9183" s="16"/>
    </row>
    <row r="9184" spans="2:2" x14ac:dyDescent="0.2">
      <c r="B9184" s="16"/>
    </row>
    <row r="9185" spans="2:2" x14ac:dyDescent="0.2">
      <c r="B9185" s="16"/>
    </row>
    <row r="9186" spans="2:2" x14ac:dyDescent="0.2">
      <c r="B9186" s="16"/>
    </row>
    <row r="9187" spans="2:2" x14ac:dyDescent="0.2">
      <c r="B9187" s="16"/>
    </row>
    <row r="9188" spans="2:2" x14ac:dyDescent="0.2">
      <c r="B9188" s="16"/>
    </row>
    <row r="9189" spans="2:2" x14ac:dyDescent="0.2">
      <c r="B9189" s="16"/>
    </row>
    <row r="9190" spans="2:2" x14ac:dyDescent="0.2">
      <c r="B9190" s="16"/>
    </row>
    <row r="9191" spans="2:2" x14ac:dyDescent="0.2">
      <c r="B9191" s="16"/>
    </row>
    <row r="9192" spans="2:2" x14ac:dyDescent="0.2">
      <c r="B9192" s="16"/>
    </row>
    <row r="9193" spans="2:2" x14ac:dyDescent="0.2">
      <c r="B9193" s="16"/>
    </row>
    <row r="9194" spans="2:2" x14ac:dyDescent="0.2">
      <c r="B9194" s="16"/>
    </row>
    <row r="9195" spans="2:2" x14ac:dyDescent="0.2">
      <c r="B9195" s="16"/>
    </row>
    <row r="9196" spans="2:2" x14ac:dyDescent="0.2">
      <c r="B9196" s="16"/>
    </row>
    <row r="9197" spans="2:2" x14ac:dyDescent="0.2">
      <c r="B9197" s="16"/>
    </row>
    <row r="9198" spans="2:2" x14ac:dyDescent="0.2">
      <c r="B9198" s="16"/>
    </row>
    <row r="9199" spans="2:2" x14ac:dyDescent="0.2">
      <c r="B9199" s="16"/>
    </row>
    <row r="9200" spans="2:2" x14ac:dyDescent="0.2">
      <c r="B9200" s="16"/>
    </row>
    <row r="9201" spans="2:2" x14ac:dyDescent="0.2">
      <c r="B9201" s="16"/>
    </row>
    <row r="9202" spans="2:2" x14ac:dyDescent="0.2">
      <c r="B9202" s="16"/>
    </row>
    <row r="9203" spans="2:2" x14ac:dyDescent="0.2">
      <c r="B9203" s="16"/>
    </row>
    <row r="9204" spans="2:2" x14ac:dyDescent="0.2">
      <c r="B9204" s="16"/>
    </row>
    <row r="9205" spans="2:2" x14ac:dyDescent="0.2">
      <c r="B9205" s="16"/>
    </row>
    <row r="9206" spans="2:2" x14ac:dyDescent="0.2">
      <c r="B9206" s="16"/>
    </row>
    <row r="9207" spans="2:2" x14ac:dyDescent="0.2">
      <c r="B9207" s="16"/>
    </row>
    <row r="9208" spans="2:2" x14ac:dyDescent="0.2">
      <c r="B9208" s="16"/>
    </row>
    <row r="9209" spans="2:2" x14ac:dyDescent="0.2">
      <c r="B9209" s="16"/>
    </row>
    <row r="9210" spans="2:2" x14ac:dyDescent="0.2">
      <c r="B9210" s="16"/>
    </row>
    <row r="9211" spans="2:2" x14ac:dyDescent="0.2">
      <c r="B9211" s="16"/>
    </row>
    <row r="9212" spans="2:2" x14ac:dyDescent="0.2">
      <c r="B9212" s="16"/>
    </row>
    <row r="9213" spans="2:2" x14ac:dyDescent="0.2">
      <c r="B9213" s="16"/>
    </row>
    <row r="9214" spans="2:2" x14ac:dyDescent="0.2">
      <c r="B9214" s="16"/>
    </row>
    <row r="9215" spans="2:2" x14ac:dyDescent="0.2">
      <c r="B9215" s="16"/>
    </row>
    <row r="9216" spans="2:2" x14ac:dyDescent="0.2">
      <c r="B9216" s="16"/>
    </row>
    <row r="9217" spans="2:2" x14ac:dyDescent="0.2">
      <c r="B9217" s="16"/>
    </row>
    <row r="9218" spans="2:2" x14ac:dyDescent="0.2">
      <c r="B9218" s="16"/>
    </row>
    <row r="9219" spans="2:2" x14ac:dyDescent="0.2">
      <c r="B9219" s="16"/>
    </row>
    <row r="9220" spans="2:2" x14ac:dyDescent="0.2">
      <c r="B9220" s="16"/>
    </row>
    <row r="9221" spans="2:2" x14ac:dyDescent="0.2">
      <c r="B9221" s="16"/>
    </row>
    <row r="9222" spans="2:2" x14ac:dyDescent="0.2">
      <c r="B9222" s="16"/>
    </row>
    <row r="9223" spans="2:2" x14ac:dyDescent="0.2">
      <c r="B9223" s="16"/>
    </row>
    <row r="9224" spans="2:2" x14ac:dyDescent="0.2">
      <c r="B9224" s="16"/>
    </row>
    <row r="9225" spans="2:2" x14ac:dyDescent="0.2">
      <c r="B9225" s="16"/>
    </row>
    <row r="9226" spans="2:2" x14ac:dyDescent="0.2">
      <c r="B9226" s="16"/>
    </row>
    <row r="9227" spans="2:2" x14ac:dyDescent="0.2">
      <c r="B9227" s="16"/>
    </row>
    <row r="9228" spans="2:2" x14ac:dyDescent="0.2">
      <c r="B9228" s="16"/>
    </row>
    <row r="9229" spans="2:2" x14ac:dyDescent="0.2">
      <c r="B9229" s="16"/>
    </row>
    <row r="9230" spans="2:2" x14ac:dyDescent="0.2">
      <c r="B9230" s="16"/>
    </row>
    <row r="9231" spans="2:2" x14ac:dyDescent="0.2">
      <c r="B9231" s="16"/>
    </row>
    <row r="9232" spans="2:2" x14ac:dyDescent="0.2">
      <c r="B9232" s="16"/>
    </row>
    <row r="9233" spans="2:2" x14ac:dyDescent="0.2">
      <c r="B9233" s="16"/>
    </row>
    <row r="9234" spans="2:2" x14ac:dyDescent="0.2">
      <c r="B9234" s="16"/>
    </row>
    <row r="9235" spans="2:2" x14ac:dyDescent="0.2">
      <c r="B9235" s="16"/>
    </row>
    <row r="9236" spans="2:2" x14ac:dyDescent="0.2">
      <c r="B9236" s="16"/>
    </row>
    <row r="9237" spans="2:2" x14ac:dyDescent="0.2">
      <c r="B9237" s="16"/>
    </row>
    <row r="9238" spans="2:2" x14ac:dyDescent="0.2">
      <c r="B9238" s="16"/>
    </row>
    <row r="9239" spans="2:2" x14ac:dyDescent="0.2">
      <c r="B9239" s="16"/>
    </row>
    <row r="9240" spans="2:2" x14ac:dyDescent="0.2">
      <c r="B9240" s="16"/>
    </row>
    <row r="9241" spans="2:2" x14ac:dyDescent="0.2">
      <c r="B9241" s="16"/>
    </row>
    <row r="9242" spans="2:2" x14ac:dyDescent="0.2">
      <c r="B9242" s="16"/>
    </row>
    <row r="9243" spans="2:2" x14ac:dyDescent="0.2">
      <c r="B9243" s="16"/>
    </row>
    <row r="9244" spans="2:2" x14ac:dyDescent="0.2">
      <c r="B9244" s="16"/>
    </row>
    <row r="9245" spans="2:2" x14ac:dyDescent="0.2">
      <c r="B9245" s="16"/>
    </row>
    <row r="9246" spans="2:2" x14ac:dyDescent="0.2">
      <c r="B9246" s="16"/>
    </row>
    <row r="9247" spans="2:2" x14ac:dyDescent="0.2">
      <c r="B9247" s="16"/>
    </row>
    <row r="9248" spans="2:2" x14ac:dyDescent="0.2">
      <c r="B9248" s="16"/>
    </row>
    <row r="9249" spans="2:2" x14ac:dyDescent="0.2">
      <c r="B9249" s="16"/>
    </row>
    <row r="9250" spans="2:2" x14ac:dyDescent="0.2">
      <c r="B9250" s="16"/>
    </row>
    <row r="9251" spans="2:2" x14ac:dyDescent="0.2">
      <c r="B9251" s="16"/>
    </row>
    <row r="9252" spans="2:2" x14ac:dyDescent="0.2">
      <c r="B9252" s="16"/>
    </row>
    <row r="9253" spans="2:2" x14ac:dyDescent="0.2">
      <c r="B9253" s="16"/>
    </row>
    <row r="9254" spans="2:2" x14ac:dyDescent="0.2">
      <c r="B9254" s="16"/>
    </row>
    <row r="9255" spans="2:2" x14ac:dyDescent="0.2">
      <c r="B9255" s="16"/>
    </row>
    <row r="9256" spans="2:2" x14ac:dyDescent="0.2">
      <c r="B9256" s="16"/>
    </row>
    <row r="9257" spans="2:2" x14ac:dyDescent="0.2">
      <c r="B9257" s="16"/>
    </row>
    <row r="9258" spans="2:2" x14ac:dyDescent="0.2">
      <c r="B9258" s="16"/>
    </row>
    <row r="9259" spans="2:2" x14ac:dyDescent="0.2">
      <c r="B9259" s="16"/>
    </row>
    <row r="9260" spans="2:2" x14ac:dyDescent="0.2">
      <c r="B9260" s="16"/>
    </row>
    <row r="9261" spans="2:2" x14ac:dyDescent="0.2">
      <c r="B9261" s="16"/>
    </row>
    <row r="9262" spans="2:2" x14ac:dyDescent="0.2">
      <c r="B9262" s="16"/>
    </row>
    <row r="9263" spans="2:2" x14ac:dyDescent="0.2">
      <c r="B9263" s="16"/>
    </row>
    <row r="9264" spans="2:2" x14ac:dyDescent="0.2">
      <c r="B9264" s="16"/>
    </row>
    <row r="9265" spans="2:2" x14ac:dyDescent="0.2">
      <c r="B9265" s="16"/>
    </row>
    <row r="9266" spans="2:2" x14ac:dyDescent="0.2">
      <c r="B9266" s="16"/>
    </row>
    <row r="9267" spans="2:2" x14ac:dyDescent="0.2">
      <c r="B9267" s="16"/>
    </row>
    <row r="9268" spans="2:2" x14ac:dyDescent="0.2">
      <c r="B9268" s="16"/>
    </row>
    <row r="9269" spans="2:2" x14ac:dyDescent="0.2">
      <c r="B9269" s="16"/>
    </row>
    <row r="9270" spans="2:2" x14ac:dyDescent="0.2">
      <c r="B9270" s="16"/>
    </row>
    <row r="9271" spans="2:2" x14ac:dyDescent="0.2">
      <c r="B9271" s="16"/>
    </row>
    <row r="9272" spans="2:2" x14ac:dyDescent="0.2">
      <c r="B9272" s="16"/>
    </row>
    <row r="9273" spans="2:2" x14ac:dyDescent="0.2">
      <c r="B9273" s="16"/>
    </row>
    <row r="9274" spans="2:2" x14ac:dyDescent="0.2">
      <c r="B9274" s="16"/>
    </row>
    <row r="9275" spans="2:2" x14ac:dyDescent="0.2">
      <c r="B9275" s="16"/>
    </row>
    <row r="9276" spans="2:2" x14ac:dyDescent="0.2">
      <c r="B9276" s="16"/>
    </row>
    <row r="9277" spans="2:2" x14ac:dyDescent="0.2">
      <c r="B9277" s="16"/>
    </row>
    <row r="9278" spans="2:2" x14ac:dyDescent="0.2">
      <c r="B9278" s="16"/>
    </row>
    <row r="9279" spans="2:2" x14ac:dyDescent="0.2">
      <c r="B9279" s="16"/>
    </row>
    <row r="9280" spans="2:2" x14ac:dyDescent="0.2">
      <c r="B9280" s="16"/>
    </row>
    <row r="9281" spans="2:2" x14ac:dyDescent="0.2">
      <c r="B9281" s="16"/>
    </row>
    <row r="9282" spans="2:2" x14ac:dyDescent="0.2">
      <c r="B9282" s="16"/>
    </row>
    <row r="9283" spans="2:2" x14ac:dyDescent="0.2">
      <c r="B9283" s="16"/>
    </row>
    <row r="9284" spans="2:2" x14ac:dyDescent="0.2">
      <c r="B9284" s="16"/>
    </row>
    <row r="9285" spans="2:2" x14ac:dyDescent="0.2">
      <c r="B9285" s="16"/>
    </row>
    <row r="9286" spans="2:2" x14ac:dyDescent="0.2">
      <c r="B9286" s="16"/>
    </row>
    <row r="9287" spans="2:2" x14ac:dyDescent="0.2">
      <c r="B9287" s="16"/>
    </row>
    <row r="9288" spans="2:2" x14ac:dyDescent="0.2">
      <c r="B9288" s="16"/>
    </row>
    <row r="9289" spans="2:2" x14ac:dyDescent="0.2">
      <c r="B9289" s="16"/>
    </row>
    <row r="9290" spans="2:2" x14ac:dyDescent="0.2">
      <c r="B9290" s="16"/>
    </row>
    <row r="9291" spans="2:2" x14ac:dyDescent="0.2">
      <c r="B9291" s="16"/>
    </row>
    <row r="9292" spans="2:2" x14ac:dyDescent="0.2">
      <c r="B9292" s="16"/>
    </row>
    <row r="9293" spans="2:2" x14ac:dyDescent="0.2">
      <c r="B9293" s="16"/>
    </row>
    <row r="9294" spans="2:2" x14ac:dyDescent="0.2">
      <c r="B9294" s="16"/>
    </row>
    <row r="9295" spans="2:2" x14ac:dyDescent="0.2">
      <c r="B9295" s="16"/>
    </row>
    <row r="9296" spans="2:2" x14ac:dyDescent="0.2">
      <c r="B9296" s="16"/>
    </row>
    <row r="9297" spans="2:2" x14ac:dyDescent="0.2">
      <c r="B9297" s="16"/>
    </row>
    <row r="9298" spans="2:2" x14ac:dyDescent="0.2">
      <c r="B9298" s="16"/>
    </row>
    <row r="9299" spans="2:2" x14ac:dyDescent="0.2">
      <c r="B9299" s="16"/>
    </row>
    <row r="9300" spans="2:2" x14ac:dyDescent="0.2">
      <c r="B9300" s="16"/>
    </row>
    <row r="9301" spans="2:2" x14ac:dyDescent="0.2">
      <c r="B9301" s="16"/>
    </row>
    <row r="9302" spans="2:2" x14ac:dyDescent="0.2">
      <c r="B9302" s="16"/>
    </row>
    <row r="9303" spans="2:2" x14ac:dyDescent="0.2">
      <c r="B9303" s="16"/>
    </row>
    <row r="9304" spans="2:2" x14ac:dyDescent="0.2">
      <c r="B9304" s="16"/>
    </row>
    <row r="9305" spans="2:2" x14ac:dyDescent="0.2">
      <c r="B9305" s="16"/>
    </row>
    <row r="9306" spans="2:2" x14ac:dyDescent="0.2">
      <c r="B9306" s="16"/>
    </row>
    <row r="9307" spans="2:2" x14ac:dyDescent="0.2">
      <c r="B9307" s="16"/>
    </row>
    <row r="9308" spans="2:2" x14ac:dyDescent="0.2">
      <c r="B9308" s="16"/>
    </row>
    <row r="9309" spans="2:2" x14ac:dyDescent="0.2">
      <c r="B9309" s="16"/>
    </row>
    <row r="9310" spans="2:2" x14ac:dyDescent="0.2">
      <c r="B9310" s="16"/>
    </row>
    <row r="9311" spans="2:2" x14ac:dyDescent="0.2">
      <c r="B9311" s="16"/>
    </row>
    <row r="9312" spans="2:2" x14ac:dyDescent="0.2">
      <c r="B9312" s="16"/>
    </row>
    <row r="9313" spans="2:2" x14ac:dyDescent="0.2">
      <c r="B9313" s="16"/>
    </row>
    <row r="9314" spans="2:2" x14ac:dyDescent="0.2">
      <c r="B9314" s="16"/>
    </row>
    <row r="9315" spans="2:2" x14ac:dyDescent="0.2">
      <c r="B9315" s="16"/>
    </row>
    <row r="9316" spans="2:2" x14ac:dyDescent="0.2">
      <c r="B9316" s="16"/>
    </row>
    <row r="9317" spans="2:2" x14ac:dyDescent="0.2">
      <c r="B9317" s="16"/>
    </row>
    <row r="9318" spans="2:2" x14ac:dyDescent="0.2">
      <c r="B9318" s="16"/>
    </row>
    <row r="9319" spans="2:2" x14ac:dyDescent="0.2">
      <c r="B9319" s="16"/>
    </row>
    <row r="9320" spans="2:2" x14ac:dyDescent="0.2">
      <c r="B9320" s="16"/>
    </row>
    <row r="9321" spans="2:2" x14ac:dyDescent="0.2">
      <c r="B9321" s="16"/>
    </row>
    <row r="9322" spans="2:2" x14ac:dyDescent="0.2">
      <c r="B9322" s="16"/>
    </row>
    <row r="9323" spans="2:2" x14ac:dyDescent="0.2">
      <c r="B9323" s="16"/>
    </row>
    <row r="9324" spans="2:2" x14ac:dyDescent="0.2">
      <c r="B9324" s="16"/>
    </row>
    <row r="9325" spans="2:2" x14ac:dyDescent="0.2">
      <c r="B9325" s="16"/>
    </row>
    <row r="9326" spans="2:2" x14ac:dyDescent="0.2">
      <c r="B9326" s="16"/>
    </row>
    <row r="9327" spans="2:2" x14ac:dyDescent="0.2">
      <c r="B9327" s="16"/>
    </row>
    <row r="9328" spans="2:2" x14ac:dyDescent="0.2">
      <c r="B9328" s="16"/>
    </row>
    <row r="9329" spans="2:2" x14ac:dyDescent="0.2">
      <c r="B9329" s="16"/>
    </row>
    <row r="9330" spans="2:2" x14ac:dyDescent="0.2">
      <c r="B9330" s="16"/>
    </row>
    <row r="9331" spans="2:2" x14ac:dyDescent="0.2">
      <c r="B9331" s="16"/>
    </row>
    <row r="9332" spans="2:2" x14ac:dyDescent="0.2">
      <c r="B9332" s="16"/>
    </row>
    <row r="9333" spans="2:2" x14ac:dyDescent="0.2">
      <c r="B9333" s="16"/>
    </row>
    <row r="9334" spans="2:2" x14ac:dyDescent="0.2">
      <c r="B9334" s="16"/>
    </row>
    <row r="9335" spans="2:2" x14ac:dyDescent="0.2">
      <c r="B9335" s="16"/>
    </row>
    <row r="9336" spans="2:2" x14ac:dyDescent="0.2">
      <c r="B9336" s="16"/>
    </row>
    <row r="9337" spans="2:2" x14ac:dyDescent="0.2">
      <c r="B9337" s="16"/>
    </row>
    <row r="9338" spans="2:2" x14ac:dyDescent="0.2">
      <c r="B9338" s="16"/>
    </row>
    <row r="9339" spans="2:2" x14ac:dyDescent="0.2">
      <c r="B9339" s="16"/>
    </row>
    <row r="9340" spans="2:2" x14ac:dyDescent="0.2">
      <c r="B9340" s="16"/>
    </row>
    <row r="9341" spans="2:2" x14ac:dyDescent="0.2">
      <c r="B9341" s="16"/>
    </row>
    <row r="9342" spans="2:2" x14ac:dyDescent="0.2">
      <c r="B9342" s="16"/>
    </row>
    <row r="9343" spans="2:2" x14ac:dyDescent="0.2">
      <c r="B9343" s="16"/>
    </row>
    <row r="9344" spans="2:2" x14ac:dyDescent="0.2">
      <c r="B9344" s="16"/>
    </row>
    <row r="9345" spans="2:2" x14ac:dyDescent="0.2">
      <c r="B9345" s="16"/>
    </row>
    <row r="9346" spans="2:2" x14ac:dyDescent="0.2">
      <c r="B9346" s="16"/>
    </row>
    <row r="9347" spans="2:2" x14ac:dyDescent="0.2">
      <c r="B9347" s="16"/>
    </row>
    <row r="9348" spans="2:2" x14ac:dyDescent="0.2">
      <c r="B9348" s="16"/>
    </row>
    <row r="9349" spans="2:2" x14ac:dyDescent="0.2">
      <c r="B9349" s="16"/>
    </row>
    <row r="9350" spans="2:2" x14ac:dyDescent="0.2">
      <c r="B9350" s="16"/>
    </row>
    <row r="9351" spans="2:2" x14ac:dyDescent="0.2">
      <c r="B9351" s="16"/>
    </row>
    <row r="9352" spans="2:2" x14ac:dyDescent="0.2">
      <c r="B9352" s="16"/>
    </row>
    <row r="9353" spans="2:2" x14ac:dyDescent="0.2">
      <c r="B9353" s="16"/>
    </row>
    <row r="9354" spans="2:2" x14ac:dyDescent="0.2">
      <c r="B9354" s="16"/>
    </row>
    <row r="9355" spans="2:2" x14ac:dyDescent="0.2">
      <c r="B9355" s="16"/>
    </row>
    <row r="9356" spans="2:2" x14ac:dyDescent="0.2">
      <c r="B9356" s="16"/>
    </row>
    <row r="9357" spans="2:2" x14ac:dyDescent="0.2">
      <c r="B9357" s="16"/>
    </row>
    <row r="9358" spans="2:2" x14ac:dyDescent="0.2">
      <c r="B9358" s="16"/>
    </row>
    <row r="9359" spans="2:2" x14ac:dyDescent="0.2">
      <c r="B9359" s="16"/>
    </row>
    <row r="9360" spans="2:2" x14ac:dyDescent="0.2">
      <c r="B9360" s="16"/>
    </row>
    <row r="9361" spans="2:2" x14ac:dyDescent="0.2">
      <c r="B9361" s="16"/>
    </row>
    <row r="9362" spans="2:2" x14ac:dyDescent="0.2">
      <c r="B9362" s="16"/>
    </row>
    <row r="9363" spans="2:2" x14ac:dyDescent="0.2">
      <c r="B9363" s="16"/>
    </row>
    <row r="9364" spans="2:2" x14ac:dyDescent="0.2">
      <c r="B9364" s="16"/>
    </row>
    <row r="9365" spans="2:2" x14ac:dyDescent="0.2">
      <c r="B9365" s="16"/>
    </row>
    <row r="9366" spans="2:2" x14ac:dyDescent="0.2">
      <c r="B9366" s="16"/>
    </row>
    <row r="9367" spans="2:2" x14ac:dyDescent="0.2">
      <c r="B9367" s="16"/>
    </row>
    <row r="9368" spans="2:2" x14ac:dyDescent="0.2">
      <c r="B9368" s="16"/>
    </row>
    <row r="9369" spans="2:2" x14ac:dyDescent="0.2">
      <c r="B9369" s="16"/>
    </row>
    <row r="9370" spans="2:2" x14ac:dyDescent="0.2">
      <c r="B9370" s="16"/>
    </row>
    <row r="9371" spans="2:2" x14ac:dyDescent="0.2">
      <c r="B9371" s="16"/>
    </row>
    <row r="9372" spans="2:2" x14ac:dyDescent="0.2">
      <c r="B9372" s="16"/>
    </row>
    <row r="9373" spans="2:2" x14ac:dyDescent="0.2">
      <c r="B9373" s="16"/>
    </row>
    <row r="9374" spans="2:2" x14ac:dyDescent="0.2">
      <c r="B9374" s="16"/>
    </row>
    <row r="9375" spans="2:2" x14ac:dyDescent="0.2">
      <c r="B9375" s="16"/>
    </row>
    <row r="9376" spans="2:2" x14ac:dyDescent="0.2">
      <c r="B9376" s="16"/>
    </row>
    <row r="9377" spans="2:2" x14ac:dyDescent="0.2">
      <c r="B9377" s="16"/>
    </row>
    <row r="9378" spans="2:2" x14ac:dyDescent="0.2">
      <c r="B9378" s="16"/>
    </row>
    <row r="9379" spans="2:2" x14ac:dyDescent="0.2">
      <c r="B9379" s="16"/>
    </row>
    <row r="9380" spans="2:2" x14ac:dyDescent="0.2">
      <c r="B9380" s="16"/>
    </row>
    <row r="9381" spans="2:2" x14ac:dyDescent="0.2">
      <c r="B9381" s="16"/>
    </row>
    <row r="9382" spans="2:2" x14ac:dyDescent="0.2">
      <c r="B9382" s="16"/>
    </row>
    <row r="9383" spans="2:2" x14ac:dyDescent="0.2">
      <c r="B9383" s="16"/>
    </row>
    <row r="9384" spans="2:2" x14ac:dyDescent="0.2">
      <c r="B9384" s="16"/>
    </row>
    <row r="9385" spans="2:2" x14ac:dyDescent="0.2">
      <c r="B9385" s="16"/>
    </row>
    <row r="9386" spans="2:2" x14ac:dyDescent="0.2">
      <c r="B9386" s="16"/>
    </row>
    <row r="9387" spans="2:2" x14ac:dyDescent="0.2">
      <c r="B9387" s="16"/>
    </row>
    <row r="9388" spans="2:2" x14ac:dyDescent="0.2">
      <c r="B9388" s="16"/>
    </row>
    <row r="9389" spans="2:2" x14ac:dyDescent="0.2">
      <c r="B9389" s="16"/>
    </row>
    <row r="9390" spans="2:2" x14ac:dyDescent="0.2">
      <c r="B9390" s="16"/>
    </row>
    <row r="9391" spans="2:2" x14ac:dyDescent="0.2">
      <c r="B9391" s="16"/>
    </row>
    <row r="9392" spans="2:2" x14ac:dyDescent="0.2">
      <c r="B9392" s="16"/>
    </row>
    <row r="9393" spans="2:2" x14ac:dyDescent="0.2">
      <c r="B9393" s="16"/>
    </row>
    <row r="9394" spans="2:2" x14ac:dyDescent="0.2">
      <c r="B9394" s="16"/>
    </row>
    <row r="9395" spans="2:2" x14ac:dyDescent="0.2">
      <c r="B9395" s="16"/>
    </row>
    <row r="9396" spans="2:2" x14ac:dyDescent="0.2">
      <c r="B9396" s="16"/>
    </row>
    <row r="9397" spans="2:2" x14ac:dyDescent="0.2">
      <c r="B9397" s="16"/>
    </row>
    <row r="9398" spans="2:2" x14ac:dyDescent="0.2">
      <c r="B9398" s="16"/>
    </row>
    <row r="9399" spans="2:2" x14ac:dyDescent="0.2">
      <c r="B9399" s="16"/>
    </row>
    <row r="9400" spans="2:2" x14ac:dyDescent="0.2">
      <c r="B9400" s="16"/>
    </row>
    <row r="9401" spans="2:2" x14ac:dyDescent="0.2">
      <c r="B9401" s="16"/>
    </row>
    <row r="9402" spans="2:2" x14ac:dyDescent="0.2">
      <c r="B9402" s="16"/>
    </row>
    <row r="9403" spans="2:2" x14ac:dyDescent="0.2">
      <c r="B9403" s="16"/>
    </row>
    <row r="9404" spans="2:2" x14ac:dyDescent="0.2">
      <c r="B9404" s="16"/>
    </row>
    <row r="9405" spans="2:2" x14ac:dyDescent="0.2">
      <c r="B9405" s="16"/>
    </row>
    <row r="9406" spans="2:2" x14ac:dyDescent="0.2">
      <c r="B9406" s="16"/>
    </row>
    <row r="9407" spans="2:2" x14ac:dyDescent="0.2">
      <c r="B9407" s="16"/>
    </row>
    <row r="9408" spans="2:2" x14ac:dyDescent="0.2">
      <c r="B9408" s="16"/>
    </row>
    <row r="9409" spans="2:2" x14ac:dyDescent="0.2">
      <c r="B9409" s="16"/>
    </row>
    <row r="9410" spans="2:2" x14ac:dyDescent="0.2">
      <c r="B9410" s="16"/>
    </row>
    <row r="9411" spans="2:2" x14ac:dyDescent="0.2">
      <c r="B9411" s="16"/>
    </row>
    <row r="9412" spans="2:2" x14ac:dyDescent="0.2">
      <c r="B9412" s="16"/>
    </row>
    <row r="9413" spans="2:2" x14ac:dyDescent="0.2">
      <c r="B9413" s="16"/>
    </row>
    <row r="9414" spans="2:2" x14ac:dyDescent="0.2">
      <c r="B9414" s="16"/>
    </row>
    <row r="9415" spans="2:2" x14ac:dyDescent="0.2">
      <c r="B9415" s="16"/>
    </row>
    <row r="9416" spans="2:2" x14ac:dyDescent="0.2">
      <c r="B9416" s="16"/>
    </row>
    <row r="9417" spans="2:2" x14ac:dyDescent="0.2">
      <c r="B9417" s="16"/>
    </row>
    <row r="9418" spans="2:2" x14ac:dyDescent="0.2">
      <c r="B9418" s="16"/>
    </row>
    <row r="9419" spans="2:2" x14ac:dyDescent="0.2">
      <c r="B9419" s="16"/>
    </row>
    <row r="9420" spans="2:2" x14ac:dyDescent="0.2">
      <c r="B9420" s="16"/>
    </row>
    <row r="9421" spans="2:2" x14ac:dyDescent="0.2">
      <c r="B9421" s="16"/>
    </row>
    <row r="9422" spans="2:2" x14ac:dyDescent="0.2">
      <c r="B9422" s="16"/>
    </row>
    <row r="9423" spans="2:2" x14ac:dyDescent="0.2">
      <c r="B9423" s="16"/>
    </row>
    <row r="9424" spans="2:2" x14ac:dyDescent="0.2">
      <c r="B9424" s="16"/>
    </row>
    <row r="9425" spans="2:2" x14ac:dyDescent="0.2">
      <c r="B9425" s="16"/>
    </row>
    <row r="9426" spans="2:2" x14ac:dyDescent="0.2">
      <c r="B9426" s="16"/>
    </row>
    <row r="9427" spans="2:2" x14ac:dyDescent="0.2">
      <c r="B9427" s="16"/>
    </row>
    <row r="9428" spans="2:2" x14ac:dyDescent="0.2">
      <c r="B9428" s="16"/>
    </row>
    <row r="9429" spans="2:2" x14ac:dyDescent="0.2">
      <c r="B9429" s="16"/>
    </row>
    <row r="9430" spans="2:2" x14ac:dyDescent="0.2">
      <c r="B9430" s="16"/>
    </row>
    <row r="9431" spans="2:2" x14ac:dyDescent="0.2">
      <c r="B9431" s="16"/>
    </row>
    <row r="9432" spans="2:2" x14ac:dyDescent="0.2">
      <c r="B9432" s="16"/>
    </row>
    <row r="9433" spans="2:2" x14ac:dyDescent="0.2">
      <c r="B9433" s="16"/>
    </row>
    <row r="9434" spans="2:2" x14ac:dyDescent="0.2">
      <c r="B9434" s="16"/>
    </row>
    <row r="9435" spans="2:2" x14ac:dyDescent="0.2">
      <c r="B9435" s="16"/>
    </row>
    <row r="9436" spans="2:2" x14ac:dyDescent="0.2">
      <c r="B9436" s="16"/>
    </row>
    <row r="9437" spans="2:2" x14ac:dyDescent="0.2">
      <c r="B9437" s="16"/>
    </row>
    <row r="9438" spans="2:2" x14ac:dyDescent="0.2">
      <c r="B9438" s="16"/>
    </row>
    <row r="9439" spans="2:2" x14ac:dyDescent="0.2">
      <c r="B9439" s="16"/>
    </row>
    <row r="9440" spans="2:2" x14ac:dyDescent="0.2">
      <c r="B9440" s="16"/>
    </row>
    <row r="9441" spans="2:2" x14ac:dyDescent="0.2">
      <c r="B9441" s="16"/>
    </row>
    <row r="9442" spans="2:2" x14ac:dyDescent="0.2">
      <c r="B9442" s="16"/>
    </row>
    <row r="9443" spans="2:2" x14ac:dyDescent="0.2">
      <c r="B9443" s="16"/>
    </row>
    <row r="9444" spans="2:2" x14ac:dyDescent="0.2">
      <c r="B9444" s="16"/>
    </row>
    <row r="9445" spans="2:2" x14ac:dyDescent="0.2">
      <c r="B9445" s="16"/>
    </row>
    <row r="9446" spans="2:2" x14ac:dyDescent="0.2">
      <c r="B9446" s="16"/>
    </row>
    <row r="9447" spans="2:2" x14ac:dyDescent="0.2">
      <c r="B9447" s="16"/>
    </row>
    <row r="9448" spans="2:2" x14ac:dyDescent="0.2">
      <c r="B9448" s="16"/>
    </row>
    <row r="9449" spans="2:2" x14ac:dyDescent="0.2">
      <c r="B9449" s="16"/>
    </row>
    <row r="9450" spans="2:2" x14ac:dyDescent="0.2">
      <c r="B9450" s="16"/>
    </row>
    <row r="9451" spans="2:2" x14ac:dyDescent="0.2">
      <c r="B9451" s="16"/>
    </row>
    <row r="9452" spans="2:2" x14ac:dyDescent="0.2">
      <c r="B9452" s="16"/>
    </row>
    <row r="9453" spans="2:2" x14ac:dyDescent="0.2">
      <c r="B9453" s="16"/>
    </row>
    <row r="9454" spans="2:2" x14ac:dyDescent="0.2">
      <c r="B9454" s="16"/>
    </row>
    <row r="9455" spans="2:2" x14ac:dyDescent="0.2">
      <c r="B9455" s="16"/>
    </row>
    <row r="9456" spans="2:2" x14ac:dyDescent="0.2">
      <c r="B9456" s="16"/>
    </row>
    <row r="9457" spans="2:2" x14ac:dyDescent="0.2">
      <c r="B9457" s="16"/>
    </row>
    <row r="9458" spans="2:2" x14ac:dyDescent="0.2">
      <c r="B9458" s="16"/>
    </row>
    <row r="9459" spans="2:2" x14ac:dyDescent="0.2">
      <c r="B9459" s="16"/>
    </row>
    <row r="9460" spans="2:2" x14ac:dyDescent="0.2">
      <c r="B9460" s="16"/>
    </row>
    <row r="9461" spans="2:2" x14ac:dyDescent="0.2">
      <c r="B9461" s="16"/>
    </row>
    <row r="9462" spans="2:2" x14ac:dyDescent="0.2">
      <c r="B9462" s="16"/>
    </row>
    <row r="9463" spans="2:2" x14ac:dyDescent="0.2">
      <c r="B9463" s="16"/>
    </row>
    <row r="9464" spans="2:2" x14ac:dyDescent="0.2">
      <c r="B9464" s="16"/>
    </row>
    <row r="9465" spans="2:2" x14ac:dyDescent="0.2">
      <c r="B9465" s="16"/>
    </row>
    <row r="9466" spans="2:2" x14ac:dyDescent="0.2">
      <c r="B9466" s="16"/>
    </row>
    <row r="9467" spans="2:2" x14ac:dyDescent="0.2">
      <c r="B9467" s="16"/>
    </row>
    <row r="9468" spans="2:2" x14ac:dyDescent="0.2">
      <c r="B9468" s="16"/>
    </row>
    <row r="9469" spans="2:2" x14ac:dyDescent="0.2">
      <c r="B9469" s="16"/>
    </row>
    <row r="9470" spans="2:2" x14ac:dyDescent="0.2">
      <c r="B9470" s="16"/>
    </row>
    <row r="9471" spans="2:2" x14ac:dyDescent="0.2">
      <c r="B9471" s="16"/>
    </row>
    <row r="9472" spans="2:2" x14ac:dyDescent="0.2">
      <c r="B9472" s="16"/>
    </row>
    <row r="9473" spans="2:2" x14ac:dyDescent="0.2">
      <c r="B9473" s="16"/>
    </row>
    <row r="9474" spans="2:2" x14ac:dyDescent="0.2">
      <c r="B9474" s="16"/>
    </row>
    <row r="9475" spans="2:2" x14ac:dyDescent="0.2">
      <c r="B9475" s="16"/>
    </row>
    <row r="9476" spans="2:2" x14ac:dyDescent="0.2">
      <c r="B9476" s="16"/>
    </row>
    <row r="9477" spans="2:2" x14ac:dyDescent="0.2">
      <c r="B9477" s="16"/>
    </row>
    <row r="9478" spans="2:2" x14ac:dyDescent="0.2">
      <c r="B9478" s="16"/>
    </row>
    <row r="9479" spans="2:2" x14ac:dyDescent="0.2">
      <c r="B9479" s="16"/>
    </row>
    <row r="9480" spans="2:2" x14ac:dyDescent="0.2">
      <c r="B9480" s="16"/>
    </row>
    <row r="9481" spans="2:2" x14ac:dyDescent="0.2">
      <c r="B9481" s="16"/>
    </row>
    <row r="9482" spans="2:2" x14ac:dyDescent="0.2">
      <c r="B9482" s="16"/>
    </row>
    <row r="9483" spans="2:2" x14ac:dyDescent="0.2">
      <c r="B9483" s="16"/>
    </row>
    <row r="9484" spans="2:2" x14ac:dyDescent="0.2">
      <c r="B9484" s="16"/>
    </row>
    <row r="9485" spans="2:2" x14ac:dyDescent="0.2">
      <c r="B9485" s="16"/>
    </row>
    <row r="9486" spans="2:2" x14ac:dyDescent="0.2">
      <c r="B9486" s="16"/>
    </row>
    <row r="9487" spans="2:2" x14ac:dyDescent="0.2">
      <c r="B9487" s="16"/>
    </row>
    <row r="9488" spans="2:2" x14ac:dyDescent="0.2">
      <c r="B9488" s="16"/>
    </row>
    <row r="9489" spans="2:2" x14ac:dyDescent="0.2">
      <c r="B9489" s="16"/>
    </row>
    <row r="9490" spans="2:2" x14ac:dyDescent="0.2">
      <c r="B9490" s="16"/>
    </row>
    <row r="9491" spans="2:2" x14ac:dyDescent="0.2">
      <c r="B9491" s="16"/>
    </row>
    <row r="9492" spans="2:2" x14ac:dyDescent="0.2">
      <c r="B9492" s="16"/>
    </row>
    <row r="9493" spans="2:2" x14ac:dyDescent="0.2">
      <c r="B9493" s="16"/>
    </row>
    <row r="9494" spans="2:2" x14ac:dyDescent="0.2">
      <c r="B9494" s="16"/>
    </row>
    <row r="9495" spans="2:2" x14ac:dyDescent="0.2">
      <c r="B9495" s="16"/>
    </row>
    <row r="9496" spans="2:2" x14ac:dyDescent="0.2">
      <c r="B9496" s="16"/>
    </row>
    <row r="9497" spans="2:2" x14ac:dyDescent="0.2">
      <c r="B9497" s="16"/>
    </row>
    <row r="9498" spans="2:2" x14ac:dyDescent="0.2">
      <c r="B9498" s="16"/>
    </row>
    <row r="9499" spans="2:2" x14ac:dyDescent="0.2">
      <c r="B9499" s="16"/>
    </row>
    <row r="9500" spans="2:2" x14ac:dyDescent="0.2">
      <c r="B9500" s="16"/>
    </row>
    <row r="9501" spans="2:2" x14ac:dyDescent="0.2">
      <c r="B9501" s="16"/>
    </row>
    <row r="9502" spans="2:2" x14ac:dyDescent="0.2">
      <c r="B9502" s="16"/>
    </row>
    <row r="9503" spans="2:2" x14ac:dyDescent="0.2">
      <c r="B9503" s="16"/>
    </row>
    <row r="9504" spans="2:2" x14ac:dyDescent="0.2">
      <c r="B9504" s="16"/>
    </row>
    <row r="9505" spans="2:2" x14ac:dyDescent="0.2">
      <c r="B9505" s="16"/>
    </row>
    <row r="9506" spans="2:2" x14ac:dyDescent="0.2">
      <c r="B9506" s="16"/>
    </row>
    <row r="9507" spans="2:2" x14ac:dyDescent="0.2">
      <c r="B9507" s="16"/>
    </row>
    <row r="9508" spans="2:2" x14ac:dyDescent="0.2">
      <c r="B9508" s="16"/>
    </row>
    <row r="9509" spans="2:2" x14ac:dyDescent="0.2">
      <c r="B9509" s="16"/>
    </row>
    <row r="9510" spans="2:2" x14ac:dyDescent="0.2">
      <c r="B9510" s="16"/>
    </row>
    <row r="9511" spans="2:2" x14ac:dyDescent="0.2">
      <c r="B9511" s="16"/>
    </row>
    <row r="9512" spans="2:2" x14ac:dyDescent="0.2">
      <c r="B9512" s="16"/>
    </row>
    <row r="9513" spans="2:2" x14ac:dyDescent="0.2">
      <c r="B9513" s="16"/>
    </row>
    <row r="9514" spans="2:2" x14ac:dyDescent="0.2">
      <c r="B9514" s="16"/>
    </row>
    <row r="9515" spans="2:2" x14ac:dyDescent="0.2">
      <c r="B9515" s="16"/>
    </row>
    <row r="9516" spans="2:2" x14ac:dyDescent="0.2">
      <c r="B9516" s="16"/>
    </row>
    <row r="9517" spans="2:2" x14ac:dyDescent="0.2">
      <c r="B9517" s="16"/>
    </row>
    <row r="9518" spans="2:2" x14ac:dyDescent="0.2">
      <c r="B9518" s="16"/>
    </row>
    <row r="9519" spans="2:2" x14ac:dyDescent="0.2">
      <c r="B9519" s="16"/>
    </row>
    <row r="9520" spans="2:2" x14ac:dyDescent="0.2">
      <c r="B9520" s="16"/>
    </row>
    <row r="9521" spans="2:2" x14ac:dyDescent="0.2">
      <c r="B9521" s="16"/>
    </row>
    <row r="9522" spans="2:2" x14ac:dyDescent="0.2">
      <c r="B9522" s="16"/>
    </row>
    <row r="9523" spans="2:2" x14ac:dyDescent="0.2">
      <c r="B9523" s="16"/>
    </row>
    <row r="9524" spans="2:2" x14ac:dyDescent="0.2">
      <c r="B9524" s="16"/>
    </row>
    <row r="9525" spans="2:2" x14ac:dyDescent="0.2">
      <c r="B9525" s="16"/>
    </row>
    <row r="9526" spans="2:2" x14ac:dyDescent="0.2">
      <c r="B9526" s="16"/>
    </row>
    <row r="9527" spans="2:2" x14ac:dyDescent="0.2">
      <c r="B9527" s="16"/>
    </row>
    <row r="9528" spans="2:2" x14ac:dyDescent="0.2">
      <c r="B9528" s="16"/>
    </row>
    <row r="9529" spans="2:2" x14ac:dyDescent="0.2">
      <c r="B9529" s="16"/>
    </row>
    <row r="9530" spans="2:2" x14ac:dyDescent="0.2">
      <c r="B9530" s="16"/>
    </row>
    <row r="9531" spans="2:2" x14ac:dyDescent="0.2">
      <c r="B9531" s="16"/>
    </row>
    <row r="9532" spans="2:2" x14ac:dyDescent="0.2">
      <c r="B9532" s="16"/>
    </row>
    <row r="9533" spans="2:2" x14ac:dyDescent="0.2">
      <c r="B9533" s="16"/>
    </row>
    <row r="9534" spans="2:2" x14ac:dyDescent="0.2">
      <c r="B9534" s="16"/>
    </row>
    <row r="9535" spans="2:2" x14ac:dyDescent="0.2">
      <c r="B9535" s="16"/>
    </row>
    <row r="9536" spans="2:2" x14ac:dyDescent="0.2">
      <c r="B9536" s="16"/>
    </row>
    <row r="9537" spans="2:2" x14ac:dyDescent="0.2">
      <c r="B9537" s="16"/>
    </row>
    <row r="9538" spans="2:2" x14ac:dyDescent="0.2">
      <c r="B9538" s="16"/>
    </row>
    <row r="9539" spans="2:2" x14ac:dyDescent="0.2">
      <c r="B9539" s="16"/>
    </row>
    <row r="9540" spans="2:2" x14ac:dyDescent="0.2">
      <c r="B9540" s="16"/>
    </row>
    <row r="9541" spans="2:2" x14ac:dyDescent="0.2">
      <c r="B9541" s="16"/>
    </row>
    <row r="9542" spans="2:2" x14ac:dyDescent="0.2">
      <c r="B9542" s="16"/>
    </row>
    <row r="9543" spans="2:2" x14ac:dyDescent="0.2">
      <c r="B9543" s="16"/>
    </row>
    <row r="9544" spans="2:2" x14ac:dyDescent="0.2">
      <c r="B9544" s="16"/>
    </row>
    <row r="9545" spans="2:2" x14ac:dyDescent="0.2">
      <c r="B9545" s="16"/>
    </row>
    <row r="9546" spans="2:2" x14ac:dyDescent="0.2">
      <c r="B9546" s="16"/>
    </row>
    <row r="9547" spans="2:2" x14ac:dyDescent="0.2">
      <c r="B9547" s="16"/>
    </row>
    <row r="9548" spans="2:2" x14ac:dyDescent="0.2">
      <c r="B9548" s="16"/>
    </row>
    <row r="9549" spans="2:2" x14ac:dyDescent="0.2">
      <c r="B9549" s="16"/>
    </row>
    <row r="9550" spans="2:2" x14ac:dyDescent="0.2">
      <c r="B9550" s="16"/>
    </row>
    <row r="9551" spans="2:2" x14ac:dyDescent="0.2">
      <c r="B9551" s="16"/>
    </row>
    <row r="9552" spans="2:2" x14ac:dyDescent="0.2">
      <c r="B9552" s="16"/>
    </row>
    <row r="9553" spans="2:2" x14ac:dyDescent="0.2">
      <c r="B9553" s="16"/>
    </row>
    <row r="9554" spans="2:2" x14ac:dyDescent="0.2">
      <c r="B9554" s="16"/>
    </row>
    <row r="9555" spans="2:2" x14ac:dyDescent="0.2">
      <c r="B9555" s="16"/>
    </row>
    <row r="9556" spans="2:2" x14ac:dyDescent="0.2">
      <c r="B9556" s="16"/>
    </row>
    <row r="9557" spans="2:2" x14ac:dyDescent="0.2">
      <c r="B9557" s="16"/>
    </row>
    <row r="9558" spans="2:2" x14ac:dyDescent="0.2">
      <c r="B9558" s="16"/>
    </row>
    <row r="9559" spans="2:2" x14ac:dyDescent="0.2">
      <c r="B9559" s="16"/>
    </row>
    <row r="9560" spans="2:2" x14ac:dyDescent="0.2">
      <c r="B9560" s="16"/>
    </row>
    <row r="9561" spans="2:2" x14ac:dyDescent="0.2">
      <c r="B9561" s="16"/>
    </row>
    <row r="9562" spans="2:2" x14ac:dyDescent="0.2">
      <c r="B9562" s="16"/>
    </row>
    <row r="9563" spans="2:2" x14ac:dyDescent="0.2">
      <c r="B9563" s="16"/>
    </row>
    <row r="9564" spans="2:2" x14ac:dyDescent="0.2">
      <c r="B9564" s="16"/>
    </row>
    <row r="9565" spans="2:2" x14ac:dyDescent="0.2">
      <c r="B9565" s="16"/>
    </row>
    <row r="9566" spans="2:2" x14ac:dyDescent="0.2">
      <c r="B9566" s="16"/>
    </row>
    <row r="9567" spans="2:2" x14ac:dyDescent="0.2">
      <c r="B9567" s="16"/>
    </row>
    <row r="9568" spans="2:2" x14ac:dyDescent="0.2">
      <c r="B9568" s="16"/>
    </row>
    <row r="9569" spans="2:2" x14ac:dyDescent="0.2">
      <c r="B9569" s="16"/>
    </row>
    <row r="9570" spans="2:2" x14ac:dyDescent="0.2">
      <c r="B9570" s="16"/>
    </row>
    <row r="9571" spans="2:2" x14ac:dyDescent="0.2">
      <c r="B9571" s="16"/>
    </row>
    <row r="9572" spans="2:2" x14ac:dyDescent="0.2">
      <c r="B9572" s="16"/>
    </row>
    <row r="9573" spans="2:2" x14ac:dyDescent="0.2">
      <c r="B9573" s="16"/>
    </row>
    <row r="9574" spans="2:2" x14ac:dyDescent="0.2">
      <c r="B9574" s="16"/>
    </row>
    <row r="9575" spans="2:2" x14ac:dyDescent="0.2">
      <c r="B9575" s="16"/>
    </row>
    <row r="9576" spans="2:2" x14ac:dyDescent="0.2">
      <c r="B9576" s="16"/>
    </row>
    <row r="9577" spans="2:2" x14ac:dyDescent="0.2">
      <c r="B9577" s="16"/>
    </row>
    <row r="9578" spans="2:2" x14ac:dyDescent="0.2">
      <c r="B9578" s="16"/>
    </row>
    <row r="9579" spans="2:2" x14ac:dyDescent="0.2">
      <c r="B9579" s="16"/>
    </row>
    <row r="9580" spans="2:2" x14ac:dyDescent="0.2">
      <c r="B9580" s="16"/>
    </row>
    <row r="9581" spans="2:2" x14ac:dyDescent="0.2">
      <c r="B9581" s="16"/>
    </row>
    <row r="9582" spans="2:2" x14ac:dyDescent="0.2">
      <c r="B9582" s="16"/>
    </row>
    <row r="9583" spans="2:2" x14ac:dyDescent="0.2">
      <c r="B9583" s="16"/>
    </row>
    <row r="9584" spans="2:2" x14ac:dyDescent="0.2">
      <c r="B9584" s="16"/>
    </row>
    <row r="9585" spans="2:2" x14ac:dyDescent="0.2">
      <c r="B9585" s="16"/>
    </row>
    <row r="9586" spans="2:2" x14ac:dyDescent="0.2">
      <c r="B9586" s="16"/>
    </row>
    <row r="9587" spans="2:2" x14ac:dyDescent="0.2">
      <c r="B9587" s="16"/>
    </row>
    <row r="9588" spans="2:2" x14ac:dyDescent="0.2">
      <c r="B9588" s="16"/>
    </row>
    <row r="9589" spans="2:2" x14ac:dyDescent="0.2">
      <c r="B9589" s="16"/>
    </row>
    <row r="9590" spans="2:2" x14ac:dyDescent="0.2">
      <c r="B9590" s="16"/>
    </row>
    <row r="9591" spans="2:2" x14ac:dyDescent="0.2">
      <c r="B9591" s="16"/>
    </row>
    <row r="9592" spans="2:2" x14ac:dyDescent="0.2">
      <c r="B9592" s="16"/>
    </row>
    <row r="9593" spans="2:2" x14ac:dyDescent="0.2">
      <c r="B9593" s="16"/>
    </row>
    <row r="9594" spans="2:2" x14ac:dyDescent="0.2">
      <c r="B9594" s="16"/>
    </row>
    <row r="9595" spans="2:2" x14ac:dyDescent="0.2">
      <c r="B9595" s="16"/>
    </row>
    <row r="9596" spans="2:2" x14ac:dyDescent="0.2">
      <c r="B9596" s="16"/>
    </row>
    <row r="9597" spans="2:2" x14ac:dyDescent="0.2">
      <c r="B9597" s="16"/>
    </row>
    <row r="9598" spans="2:2" x14ac:dyDescent="0.2">
      <c r="B9598" s="16"/>
    </row>
    <row r="9599" spans="2:2" x14ac:dyDescent="0.2">
      <c r="B9599" s="16"/>
    </row>
    <row r="9600" spans="2:2" x14ac:dyDescent="0.2">
      <c r="B9600" s="16"/>
    </row>
    <row r="9601" spans="2:2" x14ac:dyDescent="0.2">
      <c r="B9601" s="16"/>
    </row>
    <row r="9602" spans="2:2" x14ac:dyDescent="0.2">
      <c r="B9602" s="16"/>
    </row>
    <row r="9603" spans="2:2" x14ac:dyDescent="0.2">
      <c r="B9603" s="16"/>
    </row>
    <row r="9604" spans="2:2" x14ac:dyDescent="0.2">
      <c r="B9604" s="16"/>
    </row>
    <row r="9605" spans="2:2" x14ac:dyDescent="0.2">
      <c r="B9605" s="16"/>
    </row>
    <row r="9606" spans="2:2" x14ac:dyDescent="0.2">
      <c r="B9606" s="16"/>
    </row>
    <row r="9607" spans="2:2" x14ac:dyDescent="0.2">
      <c r="B9607" s="16"/>
    </row>
    <row r="9608" spans="2:2" x14ac:dyDescent="0.2">
      <c r="B9608" s="16"/>
    </row>
    <row r="9609" spans="2:2" x14ac:dyDescent="0.2">
      <c r="B9609" s="16"/>
    </row>
    <row r="9610" spans="2:2" x14ac:dyDescent="0.2">
      <c r="B9610" s="16"/>
    </row>
    <row r="9611" spans="2:2" x14ac:dyDescent="0.2">
      <c r="B9611" s="16"/>
    </row>
    <row r="9612" spans="2:2" x14ac:dyDescent="0.2">
      <c r="B9612" s="16"/>
    </row>
    <row r="9613" spans="2:2" x14ac:dyDescent="0.2">
      <c r="B9613" s="16"/>
    </row>
    <row r="9614" spans="2:2" x14ac:dyDescent="0.2">
      <c r="B9614" s="16"/>
    </row>
    <row r="9615" spans="2:2" x14ac:dyDescent="0.2">
      <c r="B9615" s="16"/>
    </row>
    <row r="9616" spans="2:2" x14ac:dyDescent="0.2">
      <c r="B9616" s="16"/>
    </row>
    <row r="9617" spans="2:2" x14ac:dyDescent="0.2">
      <c r="B9617" s="16"/>
    </row>
    <row r="9618" spans="2:2" x14ac:dyDescent="0.2">
      <c r="B9618" s="16"/>
    </row>
    <row r="9619" spans="2:2" x14ac:dyDescent="0.2">
      <c r="B9619" s="16"/>
    </row>
    <row r="9620" spans="2:2" x14ac:dyDescent="0.2">
      <c r="B9620" s="16"/>
    </row>
    <row r="9621" spans="2:2" x14ac:dyDescent="0.2">
      <c r="B9621" s="16"/>
    </row>
    <row r="9622" spans="2:2" x14ac:dyDescent="0.2">
      <c r="B9622" s="16"/>
    </row>
    <row r="9623" spans="2:2" x14ac:dyDescent="0.2">
      <c r="B9623" s="16"/>
    </row>
    <row r="9624" spans="2:2" x14ac:dyDescent="0.2">
      <c r="B9624" s="16"/>
    </row>
    <row r="9625" spans="2:2" x14ac:dyDescent="0.2">
      <c r="B9625" s="16"/>
    </row>
    <row r="9626" spans="2:2" x14ac:dyDescent="0.2">
      <c r="B9626" s="16"/>
    </row>
    <row r="9627" spans="2:2" x14ac:dyDescent="0.2">
      <c r="B9627" s="16"/>
    </row>
    <row r="9628" spans="2:2" x14ac:dyDescent="0.2">
      <c r="B9628" s="16"/>
    </row>
    <row r="9629" spans="2:2" x14ac:dyDescent="0.2">
      <c r="B9629" s="16"/>
    </row>
    <row r="9630" spans="2:2" x14ac:dyDescent="0.2">
      <c r="B9630" s="16"/>
    </row>
    <row r="9631" spans="2:2" x14ac:dyDescent="0.2">
      <c r="B9631" s="16"/>
    </row>
    <row r="9632" spans="2:2" x14ac:dyDescent="0.2">
      <c r="B9632" s="16"/>
    </row>
    <row r="9633" spans="2:2" x14ac:dyDescent="0.2">
      <c r="B9633" s="16"/>
    </row>
    <row r="9634" spans="2:2" x14ac:dyDescent="0.2">
      <c r="B9634" s="16"/>
    </row>
    <row r="9635" spans="2:2" x14ac:dyDescent="0.2">
      <c r="B9635" s="16"/>
    </row>
    <row r="9636" spans="2:2" x14ac:dyDescent="0.2">
      <c r="B9636" s="16"/>
    </row>
    <row r="9637" spans="2:2" x14ac:dyDescent="0.2">
      <c r="B9637" s="16"/>
    </row>
    <row r="9638" spans="2:2" x14ac:dyDescent="0.2">
      <c r="B9638" s="16"/>
    </row>
    <row r="9639" spans="2:2" x14ac:dyDescent="0.2">
      <c r="B9639" s="16"/>
    </row>
    <row r="9640" spans="2:2" x14ac:dyDescent="0.2">
      <c r="B9640" s="16"/>
    </row>
    <row r="9641" spans="2:2" x14ac:dyDescent="0.2">
      <c r="B9641" s="16"/>
    </row>
    <row r="9642" spans="2:2" x14ac:dyDescent="0.2">
      <c r="B9642" s="16"/>
    </row>
    <row r="9643" spans="2:2" x14ac:dyDescent="0.2">
      <c r="B9643" s="16"/>
    </row>
    <row r="9644" spans="2:2" x14ac:dyDescent="0.2">
      <c r="B9644" s="16"/>
    </row>
    <row r="9645" spans="2:2" x14ac:dyDescent="0.2">
      <c r="B9645" s="16"/>
    </row>
    <row r="9646" spans="2:2" x14ac:dyDescent="0.2">
      <c r="B9646" s="16"/>
    </row>
    <row r="9647" spans="2:2" x14ac:dyDescent="0.2">
      <c r="B9647" s="16"/>
    </row>
    <row r="9648" spans="2:2" x14ac:dyDescent="0.2">
      <c r="B9648" s="16"/>
    </row>
    <row r="9649" spans="2:2" x14ac:dyDescent="0.2">
      <c r="B9649" s="16"/>
    </row>
    <row r="9650" spans="2:2" x14ac:dyDescent="0.2">
      <c r="B9650" s="16"/>
    </row>
    <row r="9651" spans="2:2" x14ac:dyDescent="0.2">
      <c r="B9651" s="16"/>
    </row>
    <row r="9652" spans="2:2" x14ac:dyDescent="0.2">
      <c r="B9652" s="16"/>
    </row>
    <row r="9653" spans="2:2" x14ac:dyDescent="0.2">
      <c r="B9653" s="16"/>
    </row>
    <row r="9654" spans="2:2" x14ac:dyDescent="0.2">
      <c r="B9654" s="16"/>
    </row>
    <row r="9655" spans="2:2" x14ac:dyDescent="0.2">
      <c r="B9655" s="16"/>
    </row>
    <row r="9656" spans="2:2" x14ac:dyDescent="0.2">
      <c r="B9656" s="16"/>
    </row>
    <row r="9657" spans="2:2" x14ac:dyDescent="0.2">
      <c r="B9657" s="16"/>
    </row>
    <row r="9658" spans="2:2" x14ac:dyDescent="0.2">
      <c r="B9658" s="16"/>
    </row>
    <row r="9659" spans="2:2" x14ac:dyDescent="0.2">
      <c r="B9659" s="16"/>
    </row>
    <row r="9660" spans="2:2" x14ac:dyDescent="0.2">
      <c r="B9660" s="16"/>
    </row>
    <row r="9661" spans="2:2" x14ac:dyDescent="0.2">
      <c r="B9661" s="16"/>
    </row>
    <row r="9662" spans="2:2" x14ac:dyDescent="0.2">
      <c r="B9662" s="16"/>
    </row>
    <row r="9663" spans="2:2" x14ac:dyDescent="0.2">
      <c r="B9663" s="16"/>
    </row>
    <row r="9664" spans="2:2" x14ac:dyDescent="0.2">
      <c r="B9664" s="16"/>
    </row>
    <row r="9665" spans="2:2" x14ac:dyDescent="0.2">
      <c r="B9665" s="16"/>
    </row>
    <row r="9666" spans="2:2" x14ac:dyDescent="0.2">
      <c r="B9666" s="16"/>
    </row>
    <row r="9667" spans="2:2" x14ac:dyDescent="0.2">
      <c r="B9667" s="16"/>
    </row>
    <row r="9668" spans="2:2" x14ac:dyDescent="0.2">
      <c r="B9668" s="16"/>
    </row>
    <row r="9669" spans="2:2" x14ac:dyDescent="0.2">
      <c r="B9669" s="16"/>
    </row>
    <row r="9670" spans="2:2" x14ac:dyDescent="0.2">
      <c r="B9670" s="16"/>
    </row>
    <row r="9671" spans="2:2" x14ac:dyDescent="0.2">
      <c r="B9671" s="16"/>
    </row>
    <row r="9672" spans="2:2" x14ac:dyDescent="0.2">
      <c r="B9672" s="16"/>
    </row>
    <row r="9673" spans="2:2" x14ac:dyDescent="0.2">
      <c r="B9673" s="16"/>
    </row>
    <row r="9674" spans="2:2" x14ac:dyDescent="0.2">
      <c r="B9674" s="16"/>
    </row>
    <row r="9675" spans="2:2" x14ac:dyDescent="0.2">
      <c r="B9675" s="16"/>
    </row>
    <row r="9676" spans="2:2" x14ac:dyDescent="0.2">
      <c r="B9676" s="16"/>
    </row>
    <row r="9677" spans="2:2" x14ac:dyDescent="0.2">
      <c r="B9677" s="16"/>
    </row>
    <row r="9678" spans="2:2" x14ac:dyDescent="0.2">
      <c r="B9678" s="16"/>
    </row>
    <row r="9679" spans="2:2" x14ac:dyDescent="0.2">
      <c r="B9679" s="16"/>
    </row>
    <row r="9680" spans="2:2" x14ac:dyDescent="0.2">
      <c r="B9680" s="16"/>
    </row>
    <row r="9681" spans="2:2" x14ac:dyDescent="0.2">
      <c r="B9681" s="16"/>
    </row>
    <row r="9682" spans="2:2" x14ac:dyDescent="0.2">
      <c r="B9682" s="16"/>
    </row>
    <row r="9683" spans="2:2" x14ac:dyDescent="0.2">
      <c r="B9683" s="16"/>
    </row>
    <row r="9684" spans="2:2" x14ac:dyDescent="0.2">
      <c r="B9684" s="16"/>
    </row>
    <row r="9685" spans="2:2" x14ac:dyDescent="0.2">
      <c r="B9685" s="16"/>
    </row>
    <row r="9686" spans="2:2" x14ac:dyDescent="0.2">
      <c r="B9686" s="16"/>
    </row>
    <row r="9687" spans="2:2" x14ac:dyDescent="0.2">
      <c r="B9687" s="16"/>
    </row>
    <row r="9688" spans="2:2" x14ac:dyDescent="0.2">
      <c r="B9688" s="16"/>
    </row>
    <row r="9689" spans="2:2" x14ac:dyDescent="0.2">
      <c r="B9689" s="16"/>
    </row>
    <row r="9690" spans="2:2" x14ac:dyDescent="0.2">
      <c r="B9690" s="16"/>
    </row>
    <row r="9691" spans="2:2" x14ac:dyDescent="0.2">
      <c r="B9691" s="16"/>
    </row>
    <row r="9692" spans="2:2" x14ac:dyDescent="0.2">
      <c r="B9692" s="16"/>
    </row>
    <row r="9693" spans="2:2" x14ac:dyDescent="0.2">
      <c r="B9693" s="16"/>
    </row>
    <row r="9694" spans="2:2" x14ac:dyDescent="0.2">
      <c r="B9694" s="16"/>
    </row>
    <row r="9695" spans="2:2" x14ac:dyDescent="0.2">
      <c r="B9695" s="16"/>
    </row>
    <row r="9696" spans="2:2" x14ac:dyDescent="0.2">
      <c r="B9696" s="16"/>
    </row>
    <row r="9697" spans="2:2" x14ac:dyDescent="0.2">
      <c r="B9697" s="16"/>
    </row>
    <row r="9698" spans="2:2" x14ac:dyDescent="0.2">
      <c r="B9698" s="16"/>
    </row>
    <row r="9699" spans="2:2" x14ac:dyDescent="0.2">
      <c r="B9699" s="16"/>
    </row>
    <row r="9700" spans="2:2" x14ac:dyDescent="0.2">
      <c r="B9700" s="16"/>
    </row>
    <row r="9701" spans="2:2" x14ac:dyDescent="0.2">
      <c r="B9701" s="16"/>
    </row>
    <row r="9702" spans="2:2" x14ac:dyDescent="0.2">
      <c r="B9702" s="16"/>
    </row>
    <row r="9703" spans="2:2" x14ac:dyDescent="0.2">
      <c r="B9703" s="16"/>
    </row>
    <row r="9704" spans="2:2" x14ac:dyDescent="0.2">
      <c r="B9704" s="16"/>
    </row>
    <row r="9705" spans="2:2" x14ac:dyDescent="0.2">
      <c r="B9705" s="16"/>
    </row>
    <row r="9706" spans="2:2" x14ac:dyDescent="0.2">
      <c r="B9706" s="16"/>
    </row>
    <row r="9707" spans="2:2" x14ac:dyDescent="0.2">
      <c r="B9707" s="16"/>
    </row>
    <row r="9708" spans="2:2" x14ac:dyDescent="0.2">
      <c r="B9708" s="16"/>
    </row>
    <row r="9709" spans="2:2" x14ac:dyDescent="0.2">
      <c r="B9709" s="16"/>
    </row>
    <row r="9710" spans="2:2" x14ac:dyDescent="0.2">
      <c r="B9710" s="16"/>
    </row>
    <row r="9711" spans="2:2" x14ac:dyDescent="0.2">
      <c r="B9711" s="16"/>
    </row>
    <row r="9712" spans="2:2" x14ac:dyDescent="0.2">
      <c r="B9712" s="16"/>
    </row>
    <row r="9713" spans="2:2" x14ac:dyDescent="0.2">
      <c r="B9713" s="16"/>
    </row>
    <row r="9714" spans="2:2" x14ac:dyDescent="0.2">
      <c r="B9714" s="16"/>
    </row>
    <row r="9715" spans="2:2" x14ac:dyDescent="0.2">
      <c r="B9715" s="16"/>
    </row>
    <row r="9716" spans="2:2" x14ac:dyDescent="0.2">
      <c r="B9716" s="16"/>
    </row>
    <row r="9717" spans="2:2" x14ac:dyDescent="0.2">
      <c r="B9717" s="16"/>
    </row>
    <row r="9718" spans="2:2" x14ac:dyDescent="0.2">
      <c r="B9718" s="16"/>
    </row>
    <row r="9719" spans="2:2" x14ac:dyDescent="0.2">
      <c r="B9719" s="16"/>
    </row>
    <row r="9720" spans="2:2" x14ac:dyDescent="0.2">
      <c r="B9720" s="16"/>
    </row>
    <row r="9721" spans="2:2" x14ac:dyDescent="0.2">
      <c r="B9721" s="16"/>
    </row>
    <row r="9722" spans="2:2" x14ac:dyDescent="0.2">
      <c r="B9722" s="16"/>
    </row>
    <row r="9723" spans="2:2" x14ac:dyDescent="0.2">
      <c r="B9723" s="16"/>
    </row>
    <row r="9724" spans="2:2" x14ac:dyDescent="0.2">
      <c r="B9724" s="16"/>
    </row>
    <row r="9725" spans="2:2" x14ac:dyDescent="0.2">
      <c r="B9725" s="16"/>
    </row>
    <row r="9726" spans="2:2" x14ac:dyDescent="0.2">
      <c r="B9726" s="16"/>
    </row>
    <row r="9727" spans="2:2" x14ac:dyDescent="0.2">
      <c r="B9727" s="16"/>
    </row>
    <row r="9728" spans="2:2" x14ac:dyDescent="0.2">
      <c r="B9728" s="16"/>
    </row>
    <row r="9729" spans="2:2" x14ac:dyDescent="0.2">
      <c r="B9729" s="16"/>
    </row>
    <row r="9730" spans="2:2" x14ac:dyDescent="0.2">
      <c r="B9730" s="16"/>
    </row>
    <row r="9731" spans="2:2" x14ac:dyDescent="0.2">
      <c r="B9731" s="16"/>
    </row>
    <row r="9732" spans="2:2" x14ac:dyDescent="0.2">
      <c r="B9732" s="16"/>
    </row>
    <row r="9733" spans="2:2" x14ac:dyDescent="0.2">
      <c r="B9733" s="16"/>
    </row>
    <row r="9734" spans="2:2" x14ac:dyDescent="0.2">
      <c r="B9734" s="16"/>
    </row>
    <row r="9735" spans="2:2" x14ac:dyDescent="0.2">
      <c r="B9735" s="16"/>
    </row>
    <row r="9736" spans="2:2" x14ac:dyDescent="0.2">
      <c r="B9736" s="16"/>
    </row>
    <row r="9737" spans="2:2" x14ac:dyDescent="0.2">
      <c r="B9737" s="16"/>
    </row>
    <row r="9738" spans="2:2" x14ac:dyDescent="0.2">
      <c r="B9738" s="16"/>
    </row>
    <row r="9739" spans="2:2" x14ac:dyDescent="0.2">
      <c r="B9739" s="16"/>
    </row>
    <row r="9740" spans="2:2" x14ac:dyDescent="0.2">
      <c r="B9740" s="16"/>
    </row>
    <row r="9741" spans="2:2" x14ac:dyDescent="0.2">
      <c r="B9741" s="16"/>
    </row>
    <row r="9742" spans="2:2" x14ac:dyDescent="0.2">
      <c r="B9742" s="16"/>
    </row>
    <row r="9743" spans="2:2" x14ac:dyDescent="0.2">
      <c r="B9743" s="16"/>
    </row>
    <row r="9744" spans="2:2" x14ac:dyDescent="0.2">
      <c r="B9744" s="16"/>
    </row>
    <row r="9745" spans="2:2" x14ac:dyDescent="0.2">
      <c r="B9745" s="16"/>
    </row>
    <row r="9746" spans="2:2" x14ac:dyDescent="0.2">
      <c r="B9746" s="16"/>
    </row>
    <row r="9747" spans="2:2" x14ac:dyDescent="0.2">
      <c r="B9747" s="16"/>
    </row>
    <row r="9748" spans="2:2" x14ac:dyDescent="0.2">
      <c r="B9748" s="16"/>
    </row>
    <row r="9749" spans="2:2" x14ac:dyDescent="0.2">
      <c r="B9749" s="16"/>
    </row>
    <row r="9750" spans="2:2" x14ac:dyDescent="0.2">
      <c r="B9750" s="16"/>
    </row>
    <row r="9751" spans="2:2" x14ac:dyDescent="0.2">
      <c r="B9751" s="16"/>
    </row>
    <row r="9752" spans="2:2" x14ac:dyDescent="0.2">
      <c r="B9752" s="16"/>
    </row>
    <row r="9753" spans="2:2" x14ac:dyDescent="0.2">
      <c r="B9753" s="16"/>
    </row>
    <row r="9754" spans="2:2" x14ac:dyDescent="0.2">
      <c r="B9754" s="16"/>
    </row>
    <row r="9755" spans="2:2" x14ac:dyDescent="0.2">
      <c r="B9755" s="16"/>
    </row>
    <row r="9756" spans="2:2" x14ac:dyDescent="0.2">
      <c r="B9756" s="16"/>
    </row>
    <row r="9757" spans="2:2" x14ac:dyDescent="0.2">
      <c r="B9757" s="16"/>
    </row>
    <row r="9758" spans="2:2" x14ac:dyDescent="0.2">
      <c r="B9758" s="16"/>
    </row>
    <row r="9759" spans="2:2" x14ac:dyDescent="0.2">
      <c r="B9759" s="16"/>
    </row>
    <row r="9760" spans="2:2" x14ac:dyDescent="0.2">
      <c r="B9760" s="16"/>
    </row>
    <row r="9761" spans="2:2" x14ac:dyDescent="0.2">
      <c r="B9761" s="16"/>
    </row>
    <row r="9762" spans="2:2" x14ac:dyDescent="0.2">
      <c r="B9762" s="16"/>
    </row>
    <row r="9763" spans="2:2" x14ac:dyDescent="0.2">
      <c r="B9763" s="16"/>
    </row>
    <row r="9764" spans="2:2" x14ac:dyDescent="0.2">
      <c r="B9764" s="16"/>
    </row>
    <row r="9765" spans="2:2" x14ac:dyDescent="0.2">
      <c r="B9765" s="16"/>
    </row>
    <row r="9766" spans="2:2" x14ac:dyDescent="0.2">
      <c r="B9766" s="16"/>
    </row>
    <row r="9767" spans="2:2" x14ac:dyDescent="0.2">
      <c r="B9767" s="16"/>
    </row>
    <row r="9768" spans="2:2" x14ac:dyDescent="0.2">
      <c r="B9768" s="16"/>
    </row>
    <row r="9769" spans="2:2" x14ac:dyDescent="0.2">
      <c r="B9769" s="16"/>
    </row>
    <row r="9770" spans="2:2" x14ac:dyDescent="0.2">
      <c r="B9770" s="16"/>
    </row>
    <row r="9771" spans="2:2" x14ac:dyDescent="0.2">
      <c r="B9771" s="16"/>
    </row>
    <row r="9772" spans="2:2" x14ac:dyDescent="0.2">
      <c r="B9772" s="16"/>
    </row>
    <row r="9773" spans="2:2" x14ac:dyDescent="0.2">
      <c r="B9773" s="16"/>
    </row>
    <row r="9774" spans="2:2" x14ac:dyDescent="0.2">
      <c r="B9774" s="16"/>
    </row>
    <row r="9775" spans="2:2" x14ac:dyDescent="0.2">
      <c r="B9775" s="16"/>
    </row>
    <row r="9776" spans="2:2" x14ac:dyDescent="0.2">
      <c r="B9776" s="16"/>
    </row>
    <row r="9777" spans="2:2" x14ac:dyDescent="0.2">
      <c r="B9777" s="16"/>
    </row>
    <row r="9778" spans="2:2" x14ac:dyDescent="0.2">
      <c r="B9778" s="16"/>
    </row>
    <row r="9779" spans="2:2" x14ac:dyDescent="0.2">
      <c r="B9779" s="16"/>
    </row>
    <row r="9780" spans="2:2" x14ac:dyDescent="0.2">
      <c r="B9780" s="16"/>
    </row>
    <row r="9781" spans="2:2" x14ac:dyDescent="0.2">
      <c r="B9781" s="16"/>
    </row>
    <row r="9782" spans="2:2" x14ac:dyDescent="0.2">
      <c r="B9782" s="16"/>
    </row>
    <row r="9783" spans="2:2" x14ac:dyDescent="0.2">
      <c r="B9783" s="16"/>
    </row>
    <row r="9784" spans="2:2" x14ac:dyDescent="0.2">
      <c r="B9784" s="16"/>
    </row>
    <row r="9785" spans="2:2" x14ac:dyDescent="0.2">
      <c r="B9785" s="16"/>
    </row>
    <row r="9786" spans="2:2" x14ac:dyDescent="0.2">
      <c r="B9786" s="16"/>
    </row>
    <row r="9787" spans="2:2" x14ac:dyDescent="0.2">
      <c r="B9787" s="16"/>
    </row>
    <row r="9788" spans="2:2" x14ac:dyDescent="0.2">
      <c r="B9788" s="16"/>
    </row>
    <row r="9789" spans="2:2" x14ac:dyDescent="0.2">
      <c r="B9789" s="16"/>
    </row>
    <row r="9790" spans="2:2" x14ac:dyDescent="0.2">
      <c r="B9790" s="16"/>
    </row>
    <row r="9791" spans="2:2" x14ac:dyDescent="0.2">
      <c r="B9791" s="16"/>
    </row>
    <row r="9792" spans="2:2" x14ac:dyDescent="0.2">
      <c r="B9792" s="16"/>
    </row>
    <row r="9793" spans="2:2" x14ac:dyDescent="0.2">
      <c r="B9793" s="16"/>
    </row>
    <row r="9794" spans="2:2" x14ac:dyDescent="0.2">
      <c r="B9794" s="16"/>
    </row>
    <row r="9795" spans="2:2" x14ac:dyDescent="0.2">
      <c r="B9795" s="16"/>
    </row>
    <row r="9796" spans="2:2" x14ac:dyDescent="0.2">
      <c r="B9796" s="16"/>
    </row>
    <row r="9797" spans="2:2" x14ac:dyDescent="0.2">
      <c r="B9797" s="16"/>
    </row>
    <row r="9798" spans="2:2" x14ac:dyDescent="0.2">
      <c r="B9798" s="16"/>
    </row>
    <row r="9799" spans="2:2" x14ac:dyDescent="0.2">
      <c r="B9799" s="16"/>
    </row>
    <row r="9800" spans="2:2" x14ac:dyDescent="0.2">
      <c r="B9800" s="16"/>
    </row>
    <row r="9801" spans="2:2" x14ac:dyDescent="0.2">
      <c r="B9801" s="16"/>
    </row>
    <row r="9802" spans="2:2" x14ac:dyDescent="0.2">
      <c r="B9802" s="16"/>
    </row>
    <row r="9803" spans="2:2" x14ac:dyDescent="0.2">
      <c r="B9803" s="16"/>
    </row>
    <row r="9804" spans="2:2" x14ac:dyDescent="0.2">
      <c r="B9804" s="16"/>
    </row>
    <row r="9805" spans="2:2" x14ac:dyDescent="0.2">
      <c r="B9805" s="16"/>
    </row>
    <row r="9806" spans="2:2" x14ac:dyDescent="0.2">
      <c r="B9806" s="16"/>
    </row>
    <row r="9807" spans="2:2" x14ac:dyDescent="0.2">
      <c r="B9807" s="16"/>
    </row>
    <row r="9808" spans="2:2" x14ac:dyDescent="0.2">
      <c r="B9808" s="16"/>
    </row>
    <row r="9809" spans="2:2" x14ac:dyDescent="0.2">
      <c r="B9809" s="16"/>
    </row>
    <row r="9810" spans="2:2" x14ac:dyDescent="0.2">
      <c r="B9810" s="16"/>
    </row>
    <row r="9811" spans="2:2" x14ac:dyDescent="0.2">
      <c r="B9811" s="16"/>
    </row>
    <row r="9812" spans="2:2" x14ac:dyDescent="0.2">
      <c r="B9812" s="16"/>
    </row>
    <row r="9813" spans="2:2" x14ac:dyDescent="0.2">
      <c r="B9813" s="16"/>
    </row>
    <row r="9814" spans="2:2" x14ac:dyDescent="0.2">
      <c r="B9814" s="16"/>
    </row>
    <row r="9815" spans="2:2" x14ac:dyDescent="0.2">
      <c r="B9815" s="16"/>
    </row>
    <row r="9816" spans="2:2" x14ac:dyDescent="0.2">
      <c r="B9816" s="16"/>
    </row>
    <row r="9817" spans="2:2" x14ac:dyDescent="0.2">
      <c r="B9817" s="16"/>
    </row>
    <row r="9818" spans="2:2" x14ac:dyDescent="0.2">
      <c r="B9818" s="16"/>
    </row>
    <row r="9819" spans="2:2" x14ac:dyDescent="0.2">
      <c r="B9819" s="16"/>
    </row>
    <row r="9820" spans="2:2" x14ac:dyDescent="0.2">
      <c r="B9820" s="16"/>
    </row>
    <row r="9821" spans="2:2" x14ac:dyDescent="0.2">
      <c r="B9821" s="16"/>
    </row>
    <row r="9822" spans="2:2" x14ac:dyDescent="0.2">
      <c r="B9822" s="16"/>
    </row>
    <row r="9823" spans="2:2" x14ac:dyDescent="0.2">
      <c r="B9823" s="16"/>
    </row>
    <row r="9824" spans="2:2" x14ac:dyDescent="0.2">
      <c r="B9824" s="16"/>
    </row>
    <row r="9825" spans="2:2" x14ac:dyDescent="0.2">
      <c r="B9825" s="16"/>
    </row>
    <row r="9826" spans="2:2" x14ac:dyDescent="0.2">
      <c r="B9826" s="16"/>
    </row>
    <row r="9827" spans="2:2" x14ac:dyDescent="0.2">
      <c r="B9827" s="16"/>
    </row>
    <row r="9828" spans="2:2" x14ac:dyDescent="0.2">
      <c r="B9828" s="16"/>
    </row>
    <row r="9829" spans="2:2" x14ac:dyDescent="0.2">
      <c r="B9829" s="16"/>
    </row>
    <row r="9830" spans="2:2" x14ac:dyDescent="0.2">
      <c r="B9830" s="16"/>
    </row>
    <row r="9831" spans="2:2" x14ac:dyDescent="0.2">
      <c r="B9831" s="16"/>
    </row>
    <row r="9832" spans="2:2" x14ac:dyDescent="0.2">
      <c r="B9832" s="16"/>
    </row>
    <row r="9833" spans="2:2" x14ac:dyDescent="0.2">
      <c r="B9833" s="16"/>
    </row>
    <row r="9834" spans="2:2" x14ac:dyDescent="0.2">
      <c r="B9834" s="16"/>
    </row>
    <row r="9835" spans="2:2" x14ac:dyDescent="0.2">
      <c r="B9835" s="16"/>
    </row>
    <row r="9836" spans="2:2" x14ac:dyDescent="0.2">
      <c r="B9836" s="16"/>
    </row>
    <row r="9837" spans="2:2" x14ac:dyDescent="0.2">
      <c r="B9837" s="16"/>
    </row>
    <row r="9838" spans="2:2" x14ac:dyDescent="0.2">
      <c r="B9838" s="16"/>
    </row>
    <row r="9839" spans="2:2" x14ac:dyDescent="0.2">
      <c r="B9839" s="16"/>
    </row>
    <row r="9840" spans="2:2" x14ac:dyDescent="0.2">
      <c r="B9840" s="16"/>
    </row>
    <row r="9841" spans="2:2" x14ac:dyDescent="0.2">
      <c r="B9841" s="16"/>
    </row>
    <row r="9842" spans="2:2" x14ac:dyDescent="0.2">
      <c r="B9842" s="16"/>
    </row>
    <row r="9843" spans="2:2" x14ac:dyDescent="0.2">
      <c r="B9843" s="16"/>
    </row>
    <row r="9844" spans="2:2" x14ac:dyDescent="0.2">
      <c r="B9844" s="16"/>
    </row>
    <row r="9845" spans="2:2" x14ac:dyDescent="0.2">
      <c r="B9845" s="16"/>
    </row>
    <row r="9846" spans="2:2" x14ac:dyDescent="0.2">
      <c r="B9846" s="16"/>
    </row>
    <row r="9847" spans="2:2" x14ac:dyDescent="0.2">
      <c r="B9847" s="16"/>
    </row>
    <row r="9848" spans="2:2" x14ac:dyDescent="0.2">
      <c r="B9848" s="16"/>
    </row>
    <row r="9849" spans="2:2" x14ac:dyDescent="0.2">
      <c r="B9849" s="16"/>
    </row>
    <row r="9850" spans="2:2" x14ac:dyDescent="0.2">
      <c r="B9850" s="16"/>
    </row>
    <row r="9851" spans="2:2" x14ac:dyDescent="0.2">
      <c r="B9851" s="16"/>
    </row>
    <row r="9852" spans="2:2" x14ac:dyDescent="0.2">
      <c r="B9852" s="16"/>
    </row>
    <row r="9853" spans="2:2" x14ac:dyDescent="0.2">
      <c r="B9853" s="16"/>
    </row>
    <row r="9854" spans="2:2" x14ac:dyDescent="0.2">
      <c r="B9854" s="16"/>
    </row>
    <row r="9855" spans="2:2" x14ac:dyDescent="0.2">
      <c r="B9855" s="16"/>
    </row>
    <row r="9856" spans="2:2" x14ac:dyDescent="0.2">
      <c r="B9856" s="16"/>
    </row>
    <row r="9857" spans="2:2" x14ac:dyDescent="0.2">
      <c r="B9857" s="16"/>
    </row>
    <row r="9858" spans="2:2" x14ac:dyDescent="0.2">
      <c r="B9858" s="16"/>
    </row>
    <row r="9859" spans="2:2" x14ac:dyDescent="0.2">
      <c r="B9859" s="16"/>
    </row>
    <row r="9860" spans="2:2" x14ac:dyDescent="0.2">
      <c r="B9860" s="16"/>
    </row>
    <row r="9861" spans="2:2" x14ac:dyDescent="0.2">
      <c r="B9861" s="16"/>
    </row>
    <row r="9862" spans="2:2" x14ac:dyDescent="0.2">
      <c r="B9862" s="16"/>
    </row>
    <row r="9863" spans="2:2" x14ac:dyDescent="0.2">
      <c r="B9863" s="16"/>
    </row>
    <row r="9864" spans="2:2" x14ac:dyDescent="0.2">
      <c r="B9864" s="16"/>
    </row>
    <row r="9865" spans="2:2" x14ac:dyDescent="0.2">
      <c r="B9865" s="16"/>
    </row>
    <row r="9866" spans="2:2" x14ac:dyDescent="0.2">
      <c r="B9866" s="16"/>
    </row>
    <row r="9867" spans="2:2" x14ac:dyDescent="0.2">
      <c r="B9867" s="16"/>
    </row>
    <row r="9868" spans="2:2" x14ac:dyDescent="0.2">
      <c r="B9868" s="16"/>
    </row>
    <row r="9869" spans="2:2" x14ac:dyDescent="0.2">
      <c r="B9869" s="16"/>
    </row>
    <row r="9870" spans="2:2" x14ac:dyDescent="0.2">
      <c r="B9870" s="16"/>
    </row>
    <row r="9871" spans="2:2" x14ac:dyDescent="0.2">
      <c r="B9871" s="16"/>
    </row>
    <row r="9872" spans="2:2" x14ac:dyDescent="0.2">
      <c r="B9872" s="16"/>
    </row>
    <row r="9873" spans="2:2" x14ac:dyDescent="0.2">
      <c r="B9873" s="16"/>
    </row>
    <row r="9874" spans="2:2" x14ac:dyDescent="0.2">
      <c r="B9874" s="16"/>
    </row>
    <row r="9875" spans="2:2" x14ac:dyDescent="0.2">
      <c r="B9875" s="16"/>
    </row>
    <row r="9876" spans="2:2" x14ac:dyDescent="0.2">
      <c r="B9876" s="16"/>
    </row>
    <row r="9877" spans="2:2" x14ac:dyDescent="0.2">
      <c r="B9877" s="16"/>
    </row>
    <row r="9878" spans="2:2" x14ac:dyDescent="0.2">
      <c r="B9878" s="16"/>
    </row>
    <row r="9879" spans="2:2" x14ac:dyDescent="0.2">
      <c r="B9879" s="16"/>
    </row>
    <row r="9880" spans="2:2" x14ac:dyDescent="0.2">
      <c r="B9880" s="16"/>
    </row>
    <row r="9881" spans="2:2" x14ac:dyDescent="0.2">
      <c r="B9881" s="16"/>
    </row>
    <row r="9882" spans="2:2" x14ac:dyDescent="0.2">
      <c r="B9882" s="16"/>
    </row>
    <row r="9883" spans="2:2" x14ac:dyDescent="0.2">
      <c r="B9883" s="16"/>
    </row>
    <row r="9884" spans="2:2" x14ac:dyDescent="0.2">
      <c r="B9884" s="16"/>
    </row>
    <row r="9885" spans="2:2" x14ac:dyDescent="0.2">
      <c r="B9885" s="16"/>
    </row>
    <row r="9886" spans="2:2" x14ac:dyDescent="0.2">
      <c r="B9886" s="16"/>
    </row>
    <row r="9887" spans="2:2" x14ac:dyDescent="0.2">
      <c r="B9887" s="16"/>
    </row>
    <row r="9888" spans="2:2" x14ac:dyDescent="0.2">
      <c r="B9888" s="16"/>
    </row>
    <row r="9889" spans="2:2" x14ac:dyDescent="0.2">
      <c r="B9889" s="16"/>
    </row>
    <row r="9890" spans="2:2" x14ac:dyDescent="0.2">
      <c r="B9890" s="16"/>
    </row>
    <row r="9891" spans="2:2" x14ac:dyDescent="0.2">
      <c r="B9891" s="16"/>
    </row>
    <row r="9892" spans="2:2" x14ac:dyDescent="0.2">
      <c r="B9892" s="16"/>
    </row>
    <row r="9893" spans="2:2" x14ac:dyDescent="0.2">
      <c r="B9893" s="16"/>
    </row>
    <row r="9894" spans="2:2" x14ac:dyDescent="0.2">
      <c r="B9894" s="16"/>
    </row>
    <row r="9895" spans="2:2" x14ac:dyDescent="0.2">
      <c r="B9895" s="16"/>
    </row>
    <row r="9896" spans="2:2" x14ac:dyDescent="0.2">
      <c r="B9896" s="16"/>
    </row>
    <row r="9897" spans="2:2" x14ac:dyDescent="0.2">
      <c r="B9897" s="16"/>
    </row>
    <row r="9898" spans="2:2" x14ac:dyDescent="0.2">
      <c r="B9898" s="16"/>
    </row>
    <row r="9899" spans="2:2" x14ac:dyDescent="0.2">
      <c r="B9899" s="16"/>
    </row>
    <row r="9900" spans="2:2" x14ac:dyDescent="0.2">
      <c r="B9900" s="16"/>
    </row>
    <row r="9901" spans="2:2" x14ac:dyDescent="0.2">
      <c r="B9901" s="16"/>
    </row>
    <row r="9902" spans="2:2" x14ac:dyDescent="0.2">
      <c r="B9902" s="16"/>
    </row>
    <row r="9903" spans="2:2" x14ac:dyDescent="0.2">
      <c r="B9903" s="16"/>
    </row>
    <row r="9904" spans="2:2" x14ac:dyDescent="0.2">
      <c r="B9904" s="16"/>
    </row>
    <row r="9905" spans="2:2" x14ac:dyDescent="0.2">
      <c r="B9905" s="16"/>
    </row>
    <row r="9906" spans="2:2" x14ac:dyDescent="0.2">
      <c r="B9906" s="16"/>
    </row>
    <row r="9907" spans="2:2" x14ac:dyDescent="0.2">
      <c r="B9907" s="16"/>
    </row>
    <row r="9908" spans="2:2" x14ac:dyDescent="0.2">
      <c r="B9908" s="16"/>
    </row>
    <row r="9909" spans="2:2" x14ac:dyDescent="0.2">
      <c r="B9909" s="16"/>
    </row>
    <row r="9910" spans="2:2" x14ac:dyDescent="0.2">
      <c r="B9910" s="16"/>
    </row>
    <row r="9911" spans="2:2" x14ac:dyDescent="0.2">
      <c r="B9911" s="16"/>
    </row>
    <row r="9912" spans="2:2" x14ac:dyDescent="0.2">
      <c r="B9912" s="16"/>
    </row>
    <row r="9913" spans="2:2" x14ac:dyDescent="0.2">
      <c r="B9913" s="16"/>
    </row>
    <row r="9914" spans="2:2" x14ac:dyDescent="0.2">
      <c r="B9914" s="16"/>
    </row>
    <row r="9915" spans="2:2" x14ac:dyDescent="0.2">
      <c r="B9915" s="16"/>
    </row>
    <row r="9916" spans="2:2" x14ac:dyDescent="0.2">
      <c r="B9916" s="16"/>
    </row>
    <row r="9917" spans="2:2" x14ac:dyDescent="0.2">
      <c r="B9917" s="16"/>
    </row>
    <row r="9918" spans="2:2" x14ac:dyDescent="0.2">
      <c r="B9918" s="16"/>
    </row>
    <row r="9919" spans="2:2" x14ac:dyDescent="0.2">
      <c r="B9919" s="16"/>
    </row>
    <row r="9920" spans="2:2" x14ac:dyDescent="0.2">
      <c r="B9920" s="16"/>
    </row>
    <row r="9921" spans="2:2" x14ac:dyDescent="0.2">
      <c r="B9921" s="16"/>
    </row>
    <row r="9922" spans="2:2" x14ac:dyDescent="0.2">
      <c r="B9922" s="16"/>
    </row>
    <row r="9923" spans="2:2" x14ac:dyDescent="0.2">
      <c r="B9923" s="16"/>
    </row>
    <row r="9924" spans="2:2" x14ac:dyDescent="0.2">
      <c r="B9924" s="16"/>
    </row>
    <row r="9925" spans="2:2" x14ac:dyDescent="0.2">
      <c r="B9925" s="16"/>
    </row>
    <row r="9926" spans="2:2" x14ac:dyDescent="0.2">
      <c r="B9926" s="16"/>
    </row>
    <row r="9927" spans="2:2" x14ac:dyDescent="0.2">
      <c r="B9927" s="16"/>
    </row>
    <row r="9928" spans="2:2" x14ac:dyDescent="0.2">
      <c r="B9928" s="16"/>
    </row>
    <row r="9929" spans="2:2" x14ac:dyDescent="0.2">
      <c r="B9929" s="16"/>
    </row>
    <row r="9930" spans="2:2" x14ac:dyDescent="0.2">
      <c r="B9930" s="16"/>
    </row>
    <row r="9931" spans="2:2" x14ac:dyDescent="0.2">
      <c r="B9931" s="16"/>
    </row>
    <row r="9932" spans="2:2" x14ac:dyDescent="0.2">
      <c r="B9932" s="16"/>
    </row>
    <row r="9933" spans="2:2" x14ac:dyDescent="0.2">
      <c r="B9933" s="16"/>
    </row>
    <row r="9934" spans="2:2" x14ac:dyDescent="0.2">
      <c r="B9934" s="16"/>
    </row>
    <row r="9935" spans="2:2" x14ac:dyDescent="0.2">
      <c r="B9935" s="16"/>
    </row>
    <row r="9936" spans="2:2" x14ac:dyDescent="0.2">
      <c r="B9936" s="16"/>
    </row>
    <row r="9937" spans="2:2" x14ac:dyDescent="0.2">
      <c r="B9937" s="16"/>
    </row>
    <row r="9938" spans="2:2" x14ac:dyDescent="0.2">
      <c r="B9938" s="16"/>
    </row>
    <row r="9939" spans="2:2" x14ac:dyDescent="0.2">
      <c r="B9939" s="16"/>
    </row>
    <row r="9940" spans="2:2" x14ac:dyDescent="0.2">
      <c r="B9940" s="16"/>
    </row>
    <row r="9941" spans="2:2" x14ac:dyDescent="0.2">
      <c r="B9941" s="16"/>
    </row>
    <row r="9942" spans="2:2" x14ac:dyDescent="0.2">
      <c r="B9942" s="16"/>
    </row>
    <row r="9943" spans="2:2" x14ac:dyDescent="0.2">
      <c r="B9943" s="16"/>
    </row>
    <row r="9944" spans="2:2" x14ac:dyDescent="0.2">
      <c r="B9944" s="16"/>
    </row>
    <row r="9945" spans="2:2" x14ac:dyDescent="0.2">
      <c r="B9945" s="16"/>
    </row>
    <row r="9946" spans="2:2" x14ac:dyDescent="0.2">
      <c r="B9946" s="16"/>
    </row>
    <row r="9947" spans="2:2" x14ac:dyDescent="0.2">
      <c r="B9947" s="16"/>
    </row>
    <row r="9948" spans="2:2" x14ac:dyDescent="0.2">
      <c r="B9948" s="16"/>
    </row>
    <row r="9949" spans="2:2" x14ac:dyDescent="0.2">
      <c r="B9949" s="16"/>
    </row>
    <row r="9950" spans="2:2" x14ac:dyDescent="0.2">
      <c r="B9950" s="16"/>
    </row>
    <row r="9951" spans="2:2" x14ac:dyDescent="0.2">
      <c r="B9951" s="16"/>
    </row>
    <row r="9952" spans="2:2" x14ac:dyDescent="0.2">
      <c r="B9952" s="16"/>
    </row>
    <row r="9953" spans="2:2" x14ac:dyDescent="0.2">
      <c r="B9953" s="16"/>
    </row>
    <row r="9954" spans="2:2" x14ac:dyDescent="0.2">
      <c r="B9954" s="16"/>
    </row>
    <row r="9955" spans="2:2" x14ac:dyDescent="0.2">
      <c r="B9955" s="16"/>
    </row>
    <row r="9956" spans="2:2" x14ac:dyDescent="0.2">
      <c r="B9956" s="16"/>
    </row>
    <row r="9957" spans="2:2" x14ac:dyDescent="0.2">
      <c r="B9957" s="16"/>
    </row>
    <row r="9958" spans="2:2" x14ac:dyDescent="0.2">
      <c r="B9958" s="16"/>
    </row>
    <row r="9959" spans="2:2" x14ac:dyDescent="0.2">
      <c r="B9959" s="16"/>
    </row>
    <row r="9960" spans="2:2" x14ac:dyDescent="0.2">
      <c r="B9960" s="16"/>
    </row>
    <row r="9961" spans="2:2" x14ac:dyDescent="0.2">
      <c r="B9961" s="16"/>
    </row>
    <row r="9962" spans="2:2" x14ac:dyDescent="0.2">
      <c r="B9962" s="16"/>
    </row>
    <row r="9963" spans="2:2" x14ac:dyDescent="0.2">
      <c r="B9963" s="16"/>
    </row>
    <row r="9964" spans="2:2" x14ac:dyDescent="0.2">
      <c r="B9964" s="16"/>
    </row>
    <row r="9965" spans="2:2" x14ac:dyDescent="0.2">
      <c r="B9965" s="16"/>
    </row>
    <row r="9966" spans="2:2" x14ac:dyDescent="0.2">
      <c r="B9966" s="16"/>
    </row>
    <row r="9967" spans="2:2" x14ac:dyDescent="0.2">
      <c r="B9967" s="16"/>
    </row>
    <row r="9968" spans="2:2" x14ac:dyDescent="0.2">
      <c r="B9968" s="16"/>
    </row>
    <row r="9969" spans="2:2" x14ac:dyDescent="0.2">
      <c r="B9969" s="16"/>
    </row>
    <row r="9970" spans="2:2" x14ac:dyDescent="0.2">
      <c r="B9970" s="16"/>
    </row>
    <row r="9971" spans="2:2" x14ac:dyDescent="0.2">
      <c r="B9971" s="16"/>
    </row>
    <row r="9972" spans="2:2" x14ac:dyDescent="0.2">
      <c r="B9972" s="16"/>
    </row>
    <row r="9973" spans="2:2" x14ac:dyDescent="0.2">
      <c r="B9973" s="16"/>
    </row>
    <row r="9974" spans="2:2" x14ac:dyDescent="0.2">
      <c r="B9974" s="16"/>
    </row>
    <row r="9975" spans="2:2" x14ac:dyDescent="0.2">
      <c r="B9975" s="16"/>
    </row>
    <row r="9976" spans="2:2" x14ac:dyDescent="0.2">
      <c r="B9976" s="16"/>
    </row>
    <row r="9977" spans="2:2" x14ac:dyDescent="0.2">
      <c r="B9977" s="16"/>
    </row>
    <row r="9978" spans="2:2" x14ac:dyDescent="0.2">
      <c r="B9978" s="16"/>
    </row>
    <row r="9979" spans="2:2" x14ac:dyDescent="0.2">
      <c r="B9979" s="16"/>
    </row>
    <row r="9980" spans="2:2" x14ac:dyDescent="0.2">
      <c r="B9980" s="16"/>
    </row>
    <row r="9981" spans="2:2" x14ac:dyDescent="0.2">
      <c r="B9981" s="16"/>
    </row>
    <row r="9982" spans="2:2" x14ac:dyDescent="0.2">
      <c r="B9982" s="16"/>
    </row>
    <row r="9983" spans="2:2" x14ac:dyDescent="0.2">
      <c r="B9983" s="16"/>
    </row>
    <row r="9984" spans="2:2" x14ac:dyDescent="0.2">
      <c r="B9984" s="16"/>
    </row>
    <row r="9985" spans="2:2" x14ac:dyDescent="0.2">
      <c r="B9985" s="16"/>
    </row>
    <row r="9986" spans="2:2" x14ac:dyDescent="0.2">
      <c r="B9986" s="16"/>
    </row>
    <row r="9987" spans="2:2" x14ac:dyDescent="0.2">
      <c r="B9987" s="16"/>
    </row>
    <row r="9988" spans="2:2" x14ac:dyDescent="0.2">
      <c r="B9988" s="16"/>
    </row>
    <row r="9989" spans="2:2" x14ac:dyDescent="0.2">
      <c r="B9989" s="16"/>
    </row>
    <row r="9990" spans="2:2" x14ac:dyDescent="0.2">
      <c r="B9990" s="16"/>
    </row>
    <row r="9991" spans="2:2" x14ac:dyDescent="0.2">
      <c r="B9991" s="16"/>
    </row>
    <row r="9992" spans="2:2" x14ac:dyDescent="0.2">
      <c r="B9992" s="16"/>
    </row>
    <row r="9993" spans="2:2" x14ac:dyDescent="0.2">
      <c r="B9993" s="16"/>
    </row>
    <row r="9994" spans="2:2" x14ac:dyDescent="0.2">
      <c r="B9994" s="16"/>
    </row>
    <row r="9995" spans="2:2" x14ac:dyDescent="0.2">
      <c r="B9995" s="16"/>
    </row>
    <row r="9996" spans="2:2" x14ac:dyDescent="0.2">
      <c r="B9996" s="16"/>
    </row>
    <row r="9997" spans="2:2" x14ac:dyDescent="0.2">
      <c r="B9997" s="16"/>
    </row>
    <row r="9998" spans="2:2" x14ac:dyDescent="0.2">
      <c r="B9998" s="16"/>
    </row>
    <row r="9999" spans="2:2" x14ac:dyDescent="0.2">
      <c r="B9999" s="16"/>
    </row>
    <row r="10000" spans="2:2" x14ac:dyDescent="0.2">
      <c r="B10000" s="16"/>
    </row>
    <row r="10001" spans="2:2" x14ac:dyDescent="0.2">
      <c r="B10001" s="16"/>
    </row>
    <row r="10002" spans="2:2" x14ac:dyDescent="0.2">
      <c r="B10002" s="16"/>
    </row>
    <row r="10003" spans="2:2" x14ac:dyDescent="0.2">
      <c r="B10003" s="16"/>
    </row>
    <row r="10004" spans="2:2" x14ac:dyDescent="0.2">
      <c r="B10004" s="16"/>
    </row>
    <row r="10005" spans="2:2" x14ac:dyDescent="0.2">
      <c r="B10005" s="16"/>
    </row>
    <row r="10006" spans="2:2" x14ac:dyDescent="0.2">
      <c r="B10006" s="16"/>
    </row>
    <row r="10007" spans="2:2" x14ac:dyDescent="0.2">
      <c r="B10007" s="16"/>
    </row>
    <row r="10008" spans="2:2" x14ac:dyDescent="0.2">
      <c r="B10008" s="16"/>
    </row>
    <row r="10009" spans="2:2" x14ac:dyDescent="0.2">
      <c r="B10009" s="16"/>
    </row>
    <row r="10010" spans="2:2" x14ac:dyDescent="0.2">
      <c r="B10010" s="16"/>
    </row>
    <row r="10011" spans="2:2" x14ac:dyDescent="0.2">
      <c r="B10011" s="16"/>
    </row>
    <row r="10012" spans="2:2" x14ac:dyDescent="0.2">
      <c r="B10012" s="16"/>
    </row>
    <row r="10013" spans="2:2" x14ac:dyDescent="0.2">
      <c r="B10013" s="16"/>
    </row>
    <row r="10014" spans="2:2" x14ac:dyDescent="0.2">
      <c r="B10014" s="16"/>
    </row>
    <row r="10015" spans="2:2" x14ac:dyDescent="0.2">
      <c r="B10015" s="16"/>
    </row>
    <row r="10016" spans="2:2" x14ac:dyDescent="0.2">
      <c r="B10016" s="16"/>
    </row>
  </sheetData>
  <mergeCells count="8">
    <mergeCell ref="D11:E12"/>
    <mergeCell ref="G11:H12"/>
    <mergeCell ref="F11:F12"/>
    <mergeCell ref="D4:E4"/>
    <mergeCell ref="D5:E6"/>
    <mergeCell ref="G4:H4"/>
    <mergeCell ref="G5:H6"/>
    <mergeCell ref="E9:G9"/>
  </mergeCells>
  <phoneticPr fontId="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cion_Opciones">
                <anchor moveWithCells="1" sizeWithCells="1">
                  <from>
                    <xdr:col>8</xdr:col>
                    <xdr:colOff>590550</xdr:colOff>
                    <xdr:row>7</xdr:row>
                    <xdr:rowOff>0</xdr:rowOff>
                  </from>
                  <to>
                    <xdr:col>11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Simulación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Angel; Torres Ferrer Luis Noe</dc:creator>
  <cp:lastModifiedBy>Luis Noe Torres Ferrer</cp:lastModifiedBy>
  <dcterms:created xsi:type="dcterms:W3CDTF">2019-08-24T12:20:27Z</dcterms:created>
  <dcterms:modified xsi:type="dcterms:W3CDTF">2025-05-26T17:21:11Z</dcterms:modified>
</cp:coreProperties>
</file>
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Derivados\"/>
    </mc:Choice>
  </mc:AlternateContent>
  <xr:revisionPtr revIDLastSave="0" documentId="13_ncr:1_{6AC5A0F0-19ED-42B2-9693-444E8C3B072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Árboles Binomial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1" l="1"/>
  <c r="I3" i="1"/>
  <c r="B30" i="1"/>
  <c r="C30" i="1"/>
  <c r="C29" i="1"/>
  <c r="D29" i="1"/>
  <c r="D30" i="1"/>
  <c r="D28" i="1"/>
  <c r="E28" i="1"/>
  <c r="E29" i="1"/>
  <c r="E30" i="1"/>
  <c r="E27" i="1"/>
  <c r="F27" i="1"/>
  <c r="F28" i="1"/>
  <c r="F29" i="1"/>
  <c r="F30" i="1"/>
  <c r="F26" i="1"/>
  <c r="B22" i="1"/>
  <c r="C22" i="1"/>
  <c r="C21" i="1"/>
  <c r="D21" i="1"/>
  <c r="D22" i="1"/>
  <c r="D20" i="1"/>
  <c r="E22" i="1"/>
  <c r="E21" i="1"/>
  <c r="E20" i="1"/>
  <c r="E19" i="1"/>
  <c r="F19" i="1"/>
  <c r="F20" i="1"/>
  <c r="F21" i="1"/>
  <c r="F22" i="1"/>
  <c r="F18" i="1"/>
  <c r="F10" i="1"/>
  <c r="F11" i="1"/>
  <c r="E11" i="1"/>
  <c r="E12" i="1"/>
  <c r="F12" i="1"/>
  <c r="D12" i="1"/>
  <c r="D13" i="1"/>
  <c r="E13" i="1"/>
  <c r="F13" i="1"/>
  <c r="F14" i="1"/>
  <c r="D14" i="1"/>
  <c r="E14" i="1"/>
  <c r="C13" i="1"/>
  <c r="C14" i="1"/>
  <c r="B14" i="1"/>
  <c r="E4" i="1"/>
  <c r="E3" i="1"/>
  <c r="E2" i="1"/>
  <c r="E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Noe Torres Ferrer</author>
    <author>tc={08BBEF59-9C8E-422F-98E7-FF361656DC1A}</author>
    <author>tc={F23E9D7C-BD7A-4525-B869-5F35CF7A9AE6}</author>
  </authors>
  <commentList>
    <comment ref="B1" authorId="0" shapeId="0" xr:uid="{967FB7CD-3785-47AC-AB32-90F293AE6BBD}">
      <text>
        <r>
          <rPr>
            <b/>
            <sz val="9"/>
            <color indexed="81"/>
            <rFont val="Tahoma"/>
            <family val="2"/>
          </rPr>
          <t>Luis Noe Torres Ferrer:</t>
        </r>
        <r>
          <rPr>
            <sz val="9"/>
            <color indexed="81"/>
            <rFont val="Tahoma"/>
            <family val="2"/>
          </rPr>
          <t xml:space="preserve">
Tiempo a Vencimiento
</t>
        </r>
      </text>
    </comment>
    <comment ref="B2" authorId="1" shapeId="0" xr:uid="{08BBEF59-9C8E-422F-98E7-FF361656DC1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Anual</t>
      </text>
    </comment>
    <comment ref="B6" authorId="2" shapeId="0" xr:uid="{F23E9D7C-BD7A-4525-B869-5F35CF7A9AE6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Como voy a estar brincando (de 3 meses) 
</t>
      </text>
    </comment>
  </commentList>
</comments>
</file>

<file path=xl/sharedStrings.xml><?xml version="1.0" encoding="utf-8"?>
<sst xmlns="http://schemas.openxmlformats.org/spreadsheetml/2006/main" count="23" uniqueCount="22">
  <si>
    <t>SUBYACENTE</t>
  </si>
  <si>
    <t>U :=</t>
  </si>
  <si>
    <t>D :=</t>
  </si>
  <si>
    <r>
      <rPr>
        <b/>
        <sz val="11"/>
        <color theme="1"/>
        <rFont val="Calibri"/>
        <family val="2"/>
      </rPr>
      <t>σ</t>
    </r>
    <r>
      <rPr>
        <b/>
        <sz val="11"/>
        <color theme="1"/>
        <rFont val="Calibri"/>
        <family val="2"/>
        <scheme val="minor"/>
      </rPr>
      <t xml:space="preserve"> :=</t>
    </r>
  </si>
  <si>
    <t>R :=</t>
  </si>
  <si>
    <t>q :=</t>
  </si>
  <si>
    <t>1-q :=</t>
  </si>
  <si>
    <t>S :=</t>
  </si>
  <si>
    <t>K :=</t>
  </si>
  <si>
    <t>Precio CALL EUROPEA</t>
  </si>
  <si>
    <t>Precio PUT EUROPEA</t>
  </si>
  <si>
    <t>PARIDAD PUT - CALL</t>
  </si>
  <si>
    <t>Call+K*Exp(-T*R)</t>
  </si>
  <si>
    <t>=</t>
  </si>
  <si>
    <t>Put + Spot</t>
  </si>
  <si>
    <t>Time Step : =</t>
  </si>
  <si>
    <t>T :=</t>
  </si>
  <si>
    <t>Tiempo a Venc.</t>
  </si>
  <si>
    <t>max(S-K,0)</t>
  </si>
  <si>
    <t>No Compro</t>
  </si>
  <si>
    <t>Max(k-S,0)</t>
  </si>
  <si>
    <t>No ejerzo la compra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</si>
</sst>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%"/>
    <numFmt numFmtId="166" formatCode="0.000"/>
    <numFmt numFmtId="167" formatCode="_-* #,##0.0000_-;\-* #,##0.0000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2" fontId="0" fillId="0" borderId="0" xfId="0" applyNumberFormat="1"/>
    <xf numFmtId="2" fontId="0" fillId="0" borderId="0" xfId="1" applyNumberFormat="1" applyFont="1"/>
    <xf numFmtId="0" fontId="3" fillId="0" borderId="0" xfId="0" applyFont="1"/>
    <xf numFmtId="2" fontId="3" fillId="0" borderId="0" xfId="1" applyNumberFormat="1" applyFont="1" applyFill="1"/>
    <xf numFmtId="0" fontId="6" fillId="0" borderId="0" xfId="0" applyFont="1"/>
    <xf numFmtId="0" fontId="5" fillId="0" borderId="0" xfId="0" applyFont="1"/>
    <xf numFmtId="0" fontId="7" fillId="0" borderId="0" xfId="0" applyFont="1"/>
    <xf numFmtId="0" fontId="2" fillId="0" borderId="0" xfId="0" applyFont="1"/>
    <xf numFmtId="0" fontId="8" fillId="0" borderId="0" xfId="0" applyFont="1"/>
    <xf numFmtId="0" fontId="9" fillId="0" borderId="0" xfId="0" applyFont="1"/>
    <xf numFmtId="2" fontId="2" fillId="0" borderId="0" xfId="0" applyNumberFormat="1" applyFont="1" applyAlignment="1">
      <alignment horizontal="right"/>
    </xf>
    <xf numFmtId="164" fontId="0" fillId="0" borderId="0" xfId="0" applyNumberFormat="1"/>
    <xf numFmtId="164" fontId="4" fillId="0" borderId="0" xfId="0" applyNumberFormat="1" applyFont="1"/>
    <xf numFmtId="2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5" fontId="0" fillId="0" borderId="0" xfId="3" applyNumberFormat="1" applyFont="1" applyFill="1"/>
    <xf numFmtId="44" fontId="0" fillId="0" borderId="0" xfId="2" applyFont="1" applyFill="1"/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66" fontId="11" fillId="0" borderId="0" xfId="0" applyNumberFormat="1" applyFont="1"/>
    <xf numFmtId="166" fontId="7" fillId="0" borderId="0" xfId="0" applyNumberFormat="1" applyFont="1"/>
    <xf numFmtId="0" fontId="12" fillId="0" borderId="0" xfId="0" applyFont="1"/>
    <xf numFmtId="0" fontId="0" fillId="0" borderId="0" xfId="0" applyAlignment="1">
      <alignment horizontal="center"/>
    </xf>
    <xf numFmtId="167" fontId="0" fillId="0" borderId="0" xfId="1" applyNumberFormat="1" applyFont="1" applyFill="1"/>
    <xf numFmtId="44" fontId="0" fillId="0" borderId="0" xfId="0" applyNumberFormat="1"/>
    <xf numFmtId="10" fontId="0" fillId="0" borderId="0" xfId="3" applyNumberFormat="1" applyFont="1" applyFill="1"/>
    <xf numFmtId="0" fontId="0" fillId="0" borderId="0" xfId="0" applyAlignment="1">
      <alignment vertical="center" wrapText="1"/>
    </xf>
    <xf numFmtId="2" fontId="2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uis Noe Torres Ferrer" id="{0F471438-7F61-4F9D-9B9C-159779E80677}" userId="19fe4675b7793a8b" providerId="Windows Live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5-04-11T00:56:40.18" personId="{0F471438-7F61-4F9D-9B9C-159779E80677}" id="{08BBEF59-9C8E-422F-98E7-FF361656DC1A}">
    <text>Anual</text>
  </threadedComment>
  <threadedComment ref="B6" dT="2025-04-11T00:57:21.75" personId="{0F471438-7F61-4F9D-9B9C-159779E80677}" id="{F23E9D7C-BD7A-4525-B869-5F35CF7A9AE6}">
    <text xml:space="preserve">Como voy a estar brincando (de 3 meses) 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35"/>
  <sheetViews>
    <sheetView tabSelected="1" zoomScaleNormal="100" workbookViewId="0">
      <selection activeCell="I1" sqref="I1"/>
    </sheetView>
  </sheetViews>
  <sheetFormatPr baseColWidth="10" defaultColWidth="11.42578125" defaultRowHeight="15" x14ac:dyDescent="0.25"/>
  <cols>
    <col min="1" max="1" width="12.140625" bestFit="1" customWidth="1"/>
    <col min="2" max="2" width="8.140625" style="1" bestFit="1" customWidth="1"/>
    <col min="3" max="3" width="14.5703125" style="1" bestFit="1" customWidth="1"/>
    <col min="4" max="4" width="6.7109375" style="1" customWidth="1"/>
    <col min="5" max="5" width="10.28515625" style="1" customWidth="1"/>
    <col min="6" max="6" width="6.7109375" style="1" customWidth="1"/>
    <col min="8" max="8" width="2" bestFit="1" customWidth="1"/>
    <col min="9" max="9" width="16" bestFit="1" customWidth="1"/>
    <col min="10" max="10" width="6.7109375" customWidth="1"/>
    <col min="11" max="11" width="10" bestFit="1" customWidth="1"/>
    <col min="12" max="13" width="6.7109375" customWidth="1"/>
  </cols>
  <sheetData>
    <row r="1" spans="1:14" x14ac:dyDescent="0.25">
      <c r="A1" s="14" t="s">
        <v>16</v>
      </c>
      <c r="B1" s="1">
        <v>1</v>
      </c>
      <c r="C1" s="1" t="s">
        <v>17</v>
      </c>
      <c r="D1" s="14" t="s">
        <v>1</v>
      </c>
      <c r="E1" s="13">
        <f>EXP(B2*(SQRT(B6)))</f>
        <v>1.1241194296905368</v>
      </c>
      <c r="I1" s="22" t="s">
        <v>11</v>
      </c>
    </row>
    <row r="2" spans="1:14" x14ac:dyDescent="0.25">
      <c r="A2" s="15" t="s">
        <v>3</v>
      </c>
      <c r="B2" s="16">
        <v>0.23400000000000001</v>
      </c>
      <c r="D2" s="14" t="s">
        <v>2</v>
      </c>
      <c r="E2" s="13">
        <f>EXP(-B2*(SQRT(B6)))</f>
        <v>0.88958519316341134</v>
      </c>
      <c r="I2" t="s">
        <v>12</v>
      </c>
      <c r="J2" s="23" t="s">
        <v>13</v>
      </c>
      <c r="K2" t="s">
        <v>14</v>
      </c>
    </row>
    <row r="3" spans="1:14" x14ac:dyDescent="0.25">
      <c r="A3" s="14" t="s">
        <v>4</v>
      </c>
      <c r="B3" s="26">
        <v>0.09</v>
      </c>
      <c r="D3" s="14" t="s">
        <v>5</v>
      </c>
      <c r="E3" s="20">
        <f>(EXP(B3*B6)-E2)/(E1-E2)</f>
        <v>0.56780554930040117</v>
      </c>
      <c r="I3" s="24">
        <f>B22+B5*EXP(-B3*B1)</f>
        <v>22.539225787713335</v>
      </c>
      <c r="J3" s="23" t="s">
        <v>13</v>
      </c>
      <c r="K3" s="24">
        <f>B30+B4</f>
        <v>22.539225787713328</v>
      </c>
    </row>
    <row r="4" spans="1:14" x14ac:dyDescent="0.25">
      <c r="A4" s="14" t="s">
        <v>7</v>
      </c>
      <c r="B4" s="17">
        <v>19</v>
      </c>
      <c r="D4" s="14" t="s">
        <v>6</v>
      </c>
      <c r="E4" s="21">
        <f>1-E3</f>
        <v>0.43219445069959883</v>
      </c>
    </row>
    <row r="5" spans="1:14" x14ac:dyDescent="0.25">
      <c r="A5" s="14" t="s">
        <v>8</v>
      </c>
      <c r="B5" s="17">
        <v>24</v>
      </c>
      <c r="D5" s="11"/>
      <c r="E5" s="12"/>
      <c r="I5" s="1"/>
    </row>
    <row r="6" spans="1:14" x14ac:dyDescent="0.25">
      <c r="A6" s="14" t="s">
        <v>15</v>
      </c>
      <c r="B6" s="1">
        <v>0.25</v>
      </c>
      <c r="D6" s="11"/>
      <c r="E6" s="12"/>
      <c r="I6" s="25"/>
    </row>
    <row r="7" spans="1:14" x14ac:dyDescent="0.25">
      <c r="A7" s="14"/>
      <c r="D7" s="11"/>
      <c r="E7" s="12"/>
      <c r="I7" s="25"/>
    </row>
    <row r="8" spans="1:14" x14ac:dyDescent="0.25">
      <c r="B8" s="28" t="s">
        <v>0</v>
      </c>
      <c r="C8" s="28"/>
      <c r="D8" s="28"/>
      <c r="E8" s="28"/>
      <c r="F8" s="28"/>
      <c r="G8" s="3"/>
      <c r="N8" s="3"/>
    </row>
    <row r="9" spans="1:14" x14ac:dyDescent="0.25">
      <c r="B9" s="19">
        <v>0</v>
      </c>
      <c r="C9" s="19">
        <v>1</v>
      </c>
      <c r="D9" s="19">
        <v>2</v>
      </c>
      <c r="E9" s="19">
        <v>3</v>
      </c>
      <c r="F9" s="19">
        <v>4</v>
      </c>
      <c r="G9" s="4"/>
      <c r="N9" s="4"/>
    </row>
    <row r="10" spans="1:14" x14ac:dyDescent="0.25">
      <c r="A10" s="8">
        <v>4</v>
      </c>
      <c r="B10" s="2"/>
      <c r="C10" s="2"/>
      <c r="D10" s="2"/>
      <c r="E10" s="2"/>
      <c r="F10" s="2">
        <f>E11*E1</f>
        <v>30.339150651053995</v>
      </c>
      <c r="G10" s="4"/>
      <c r="N10" s="4"/>
    </row>
    <row r="11" spans="1:14" x14ac:dyDescent="0.25">
      <c r="A11" s="8">
        <v>3</v>
      </c>
      <c r="B11" s="2"/>
      <c r="C11" s="2"/>
      <c r="D11" s="2"/>
      <c r="E11" s="2">
        <f>D12*$E$1</f>
        <v>26.989259192331705</v>
      </c>
      <c r="F11" s="2">
        <f>E12*$E$1</f>
        <v>24.009245351947776</v>
      </c>
      <c r="G11" s="4"/>
      <c r="N11" s="4"/>
    </row>
    <row r="12" spans="1:14" x14ac:dyDescent="0.25">
      <c r="A12" s="8">
        <v>2</v>
      </c>
      <c r="B12" s="2"/>
      <c r="C12" s="2"/>
      <c r="D12" s="2">
        <f>C13*$E$1</f>
        <v>24.009245351947776</v>
      </c>
      <c r="E12" s="2">
        <f t="shared" ref="E12:F12" si="0">D13*$E$1</f>
        <v>21.358269164120198</v>
      </c>
      <c r="F12" s="2">
        <f t="shared" si="0"/>
        <v>19</v>
      </c>
      <c r="G12" s="4"/>
      <c r="N12" s="4"/>
    </row>
    <row r="13" spans="1:14" x14ac:dyDescent="0.25">
      <c r="A13" s="8">
        <v>1</v>
      </c>
      <c r="B13" s="2"/>
      <c r="C13" s="2">
        <f>B14*$E$1</f>
        <v>21.358269164120198</v>
      </c>
      <c r="D13" s="2">
        <f t="shared" ref="D13:F13" si="1">C14*$E$1</f>
        <v>19</v>
      </c>
      <c r="E13" s="2">
        <f t="shared" si="1"/>
        <v>16.902118670104816</v>
      </c>
      <c r="F13" s="2">
        <f t="shared" si="1"/>
        <v>15.035874502016094</v>
      </c>
      <c r="G13" s="4"/>
      <c r="N13" s="4"/>
    </row>
    <row r="14" spans="1:14" x14ac:dyDescent="0.25">
      <c r="A14" s="8">
        <v>0</v>
      </c>
      <c r="B14" s="2">
        <f>B4</f>
        <v>19</v>
      </c>
      <c r="C14" s="2">
        <f>B14*$E$2</f>
        <v>16.902118670104816</v>
      </c>
      <c r="D14" s="2">
        <f t="shared" ref="D14:F14" si="2">C14*$E$2</f>
        <v>15.035874502016094</v>
      </c>
      <c r="E14" s="2">
        <f t="shared" si="2"/>
        <v>13.375691323256799</v>
      </c>
      <c r="F14" s="2">
        <f t="shared" si="2"/>
        <v>11.898816949493565</v>
      </c>
      <c r="G14" s="4"/>
      <c r="N14" s="4"/>
    </row>
    <row r="15" spans="1:14" x14ac:dyDescent="0.25">
      <c r="A15" s="8"/>
      <c r="G15" s="3"/>
      <c r="H15" s="8"/>
      <c r="N15" s="3"/>
    </row>
    <row r="16" spans="1:14" x14ac:dyDescent="0.25">
      <c r="B16" s="29" t="s">
        <v>9</v>
      </c>
      <c r="C16" s="29"/>
      <c r="D16" s="29"/>
      <c r="E16" s="29"/>
      <c r="F16" s="29"/>
      <c r="G16" s="3"/>
      <c r="N16" s="3"/>
    </row>
    <row r="17" spans="1:21" x14ac:dyDescent="0.25">
      <c r="B17" s="18">
        <v>0</v>
      </c>
      <c r="C17" s="18">
        <v>1</v>
      </c>
      <c r="D17" s="18">
        <v>2</v>
      </c>
      <c r="E17" s="18">
        <v>3</v>
      </c>
      <c r="F17" s="18">
        <v>4</v>
      </c>
      <c r="G17" s="8"/>
    </row>
    <row r="18" spans="1:21" x14ac:dyDescent="0.25">
      <c r="A18" s="8">
        <v>4</v>
      </c>
      <c r="F18" s="1">
        <f>MAX(F10-$B$5,0)</f>
        <v>6.3391506510539948</v>
      </c>
      <c r="G18" t="s">
        <v>18</v>
      </c>
    </row>
    <row r="19" spans="1:21" x14ac:dyDescent="0.25">
      <c r="A19" s="8">
        <v>3</v>
      </c>
      <c r="E19" s="1">
        <f>(F18*$E$3+F19*$E$4)/(EXP($B$3*$B$6))</f>
        <v>3.5232294996916353</v>
      </c>
      <c r="F19" s="1">
        <f t="shared" ref="F19:F22" si="3">MAX(F11-$B$5,0)</f>
        <v>9.2453519477757595E-3</v>
      </c>
    </row>
    <row r="20" spans="1:21" x14ac:dyDescent="0.25">
      <c r="A20" s="8">
        <v>2</v>
      </c>
      <c r="D20" s="1">
        <f>(E19*$E$3+E20*$E$4)/(EXP($B$3*$B$6))</f>
        <v>1.9581694026559049</v>
      </c>
      <c r="E20" s="1">
        <f>(F19*$E$3+F20*$E$4)/(EXP($B$3*$B$6))</f>
        <v>5.1327658782643407E-3</v>
      </c>
      <c r="F20" s="1">
        <f t="shared" si="3"/>
        <v>0</v>
      </c>
      <c r="G20" s="31" t="s">
        <v>19</v>
      </c>
    </row>
    <row r="21" spans="1:21" x14ac:dyDescent="0.25">
      <c r="A21" s="8">
        <v>1</v>
      </c>
      <c r="C21" s="1">
        <f t="shared" ref="B21:D22" si="4">(D20*$E$3+D21*$E$4)/(EXP($B$3*$B$6))</f>
        <v>1.0883261238826492</v>
      </c>
      <c r="D21" s="1">
        <f t="shared" si="4"/>
        <v>2.8495708665166436E-3</v>
      </c>
      <c r="E21" s="1">
        <f>(F20*$E$3+F21*$E$4)/(EXP($B$3*$B$6))</f>
        <v>0</v>
      </c>
      <c r="F21" s="1">
        <f t="shared" si="3"/>
        <v>0</v>
      </c>
      <c r="G21" s="31"/>
    </row>
    <row r="22" spans="1:21" x14ac:dyDescent="0.25">
      <c r="A22" s="8">
        <v>0</v>
      </c>
      <c r="B22" s="1">
        <f t="shared" si="4"/>
        <v>0.60487734120386105</v>
      </c>
      <c r="C22" s="1">
        <f t="shared" si="4"/>
        <v>1.5820036050516752E-3</v>
      </c>
      <c r="D22" s="1">
        <f t="shared" si="4"/>
        <v>0</v>
      </c>
      <c r="E22" s="1">
        <f>(F21*$E$3+F22*$E$4)/(EXP($B$3*$B$6))</f>
        <v>0</v>
      </c>
      <c r="F22" s="1">
        <f t="shared" si="3"/>
        <v>0</v>
      </c>
      <c r="G22" s="31"/>
    </row>
    <row r="24" spans="1:21" x14ac:dyDescent="0.25">
      <c r="B24" s="30" t="s">
        <v>10</v>
      </c>
      <c r="C24" s="30"/>
      <c r="D24" s="30"/>
      <c r="E24" s="30"/>
      <c r="F24" s="30"/>
    </row>
    <row r="25" spans="1:21" x14ac:dyDescent="0.25">
      <c r="B25" s="18">
        <v>0</v>
      </c>
      <c r="C25" s="18">
        <v>1</v>
      </c>
      <c r="D25" s="18">
        <v>2</v>
      </c>
      <c r="E25" s="18">
        <v>3</v>
      </c>
      <c r="F25" s="18">
        <v>4</v>
      </c>
      <c r="O25" s="6"/>
      <c r="P25" s="6"/>
      <c r="Q25" s="6"/>
      <c r="R25" s="6"/>
      <c r="S25" s="6"/>
      <c r="T25" s="6"/>
      <c r="U25" s="6"/>
    </row>
    <row r="26" spans="1:21" x14ac:dyDescent="0.25">
      <c r="A26" s="8">
        <v>4</v>
      </c>
      <c r="F26" s="1">
        <f>MAX($B$5-F10,0)</f>
        <v>0</v>
      </c>
      <c r="G26" s="31" t="s">
        <v>21</v>
      </c>
      <c r="O26" s="6"/>
      <c r="P26" s="6"/>
      <c r="Q26" s="6"/>
      <c r="R26" s="6"/>
      <c r="S26" s="6"/>
      <c r="T26" s="6"/>
      <c r="U26" s="6"/>
    </row>
    <row r="27" spans="1:21" x14ac:dyDescent="0.25">
      <c r="A27" s="8">
        <v>3</v>
      </c>
      <c r="E27" s="1">
        <f>(F26*$E$3+F27*$E$4)/(EXP($B$3*$B$6))</f>
        <v>0</v>
      </c>
      <c r="F27" s="1">
        <f t="shared" ref="F27:F30" si="5">MAX($B$5-F11,0)</f>
        <v>0</v>
      </c>
      <c r="G27" s="31"/>
      <c r="O27" s="8"/>
      <c r="P27" s="8"/>
      <c r="Q27" s="6"/>
      <c r="R27" s="6"/>
      <c r="S27" s="6"/>
      <c r="T27" s="6"/>
      <c r="U27" s="6"/>
    </row>
    <row r="28" spans="1:21" x14ac:dyDescent="0.25">
      <c r="A28" s="8">
        <v>2</v>
      </c>
      <c r="D28" s="1">
        <f t="shared" ref="D28:E30" si="6">(E27*$E$3+E28*$E$4)/(EXP($B$3*$B$6))</f>
        <v>0.8928636147025214</v>
      </c>
      <c r="E28" s="1">
        <f t="shared" si="6"/>
        <v>2.1128932943981358</v>
      </c>
      <c r="F28" s="1">
        <f t="shared" si="5"/>
        <v>5</v>
      </c>
      <c r="G28" s="27"/>
      <c r="O28" s="6"/>
      <c r="P28" s="6"/>
      <c r="Q28" s="6"/>
      <c r="R28" s="6"/>
      <c r="S28" s="6"/>
      <c r="T28" s="6"/>
      <c r="U28" s="6"/>
    </row>
    <row r="29" spans="1:21" ht="18.75" x14ac:dyDescent="0.3">
      <c r="A29" s="8">
        <v>1</v>
      </c>
      <c r="C29" s="1">
        <f t="shared" ref="B29:D30" si="7">(D28*$E$3+D29*$E$4)/(EXP($B$3*$B$6))</f>
        <v>2.1635222545471038</v>
      </c>
      <c r="D29" s="1">
        <f t="shared" si="7"/>
        <v>3.946789134860909</v>
      </c>
      <c r="E29" s="1">
        <f t="shared" si="6"/>
        <v>6.5639110225352537</v>
      </c>
      <c r="F29" s="1">
        <f t="shared" si="5"/>
        <v>8.9641254979839058</v>
      </c>
      <c r="G29" s="27"/>
      <c r="O29" s="6"/>
      <c r="P29" s="9"/>
      <c r="Q29" s="6"/>
      <c r="R29" s="6"/>
      <c r="S29" s="6"/>
      <c r="T29" s="6"/>
      <c r="U29" s="6"/>
    </row>
    <row r="30" spans="1:21" ht="18.75" x14ac:dyDescent="0.3">
      <c r="A30" s="8">
        <v>0</v>
      </c>
      <c r="B30" s="1">
        <f t="shared" si="7"/>
        <v>3.5392257877133284</v>
      </c>
      <c r="C30" s="1">
        <f t="shared" si="7"/>
        <v>5.53292862828489</v>
      </c>
      <c r="D30" s="1">
        <f t="shared" ref="D30" si="8">(E29*$E$3+E30*$E$4)/(EXP($B$3*$B$6))</f>
        <v>7.9080650619782995</v>
      </c>
      <c r="E30" s="1">
        <f t="shared" si="6"/>
        <v>10.090338369383272</v>
      </c>
      <c r="F30" s="1">
        <f t="shared" si="5"/>
        <v>12.101183050506435</v>
      </c>
      <c r="G30" s="27" t="s">
        <v>20</v>
      </c>
      <c r="O30" s="7"/>
      <c r="P30" s="10"/>
      <c r="Q30" s="6"/>
      <c r="R30" s="6"/>
      <c r="S30" s="6"/>
      <c r="T30" s="6"/>
      <c r="U30" s="6"/>
    </row>
    <row r="31" spans="1:21" x14ac:dyDescent="0.25">
      <c r="O31" s="7"/>
      <c r="P31" s="7"/>
      <c r="Q31" s="6"/>
      <c r="R31" s="6"/>
      <c r="S31" s="6"/>
      <c r="T31" s="6"/>
      <c r="U31" s="6"/>
    </row>
    <row r="32" spans="1:21" x14ac:dyDescent="0.25">
      <c r="P32" s="8"/>
      <c r="Q32" s="6"/>
      <c r="R32" s="6"/>
      <c r="S32" s="6"/>
      <c r="T32" s="6"/>
      <c r="U32" s="6"/>
    </row>
    <row r="33" spans="15:21" x14ac:dyDescent="0.25">
      <c r="O33" s="6"/>
      <c r="P33" s="5"/>
      <c r="Q33" s="6"/>
      <c r="R33" s="6"/>
      <c r="S33" s="6"/>
      <c r="T33" s="6"/>
      <c r="U33" s="6"/>
    </row>
    <row r="34" spans="15:21" x14ac:dyDescent="0.25">
      <c r="O34" s="6"/>
      <c r="P34" s="6"/>
      <c r="Q34" s="6"/>
      <c r="R34" s="6"/>
      <c r="S34" s="6"/>
      <c r="T34" s="6"/>
      <c r="U34" s="6"/>
    </row>
    <row r="35" spans="15:21" x14ac:dyDescent="0.25">
      <c r="O35" s="6"/>
      <c r="P35" s="6"/>
      <c r="Q35" s="6"/>
      <c r="R35" s="6"/>
      <c r="S35" s="6"/>
      <c r="T35" s="6"/>
      <c r="U35" s="6"/>
    </row>
  </sheetData>
  <mergeCells count="5">
    <mergeCell ref="B8:F8"/>
    <mergeCell ref="B16:F16"/>
    <mergeCell ref="B24:F24"/>
    <mergeCell ref="G20:G22"/>
    <mergeCell ref="G26:G27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Árboles Binomiales</vt:lpstr>
    </vt:vector>
  </TitlesOfParts>
  <Company>RevolucionUnattended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Torres Ferrer Luis Noe</dc:creator>
  <cp:lastModifiedBy>Luis Noe Torres Ferrer</cp:lastModifiedBy>
  <dcterms:created xsi:type="dcterms:W3CDTF">2014-06-19T03:59:01Z</dcterms:created>
  <dcterms:modified xsi:type="dcterms:W3CDTF">2025-05-26T17:05:30Z</dcterms:modified>
</cp:coreProperties>
</file>
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t\OneDrive\Escritorio\Actuaria Acatlan\Derivados\"/>
    </mc:Choice>
  </mc:AlternateContent>
  <xr:revisionPtr revIDLastSave="0" documentId="13_ncr:1_{DB4B1957-57C7-4790-811B-EE12B4B5C55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Precios" sheetId="7" r:id="rId1"/>
    <sheet name="Histórica" sheetId="1" r:id="rId2"/>
    <sheet name="Dinámica" sheetId="2" r:id="rId3"/>
  </sheets>
  <functionGroups builtInGroupCount="19"/>
  <definedNames>
    <definedName name="_xlnm._FilterDatabase" localSheetId="0" hidden="1">Precios!$A$2:$H$255</definedName>
    <definedName name="solver_adj" localSheetId="2" hidden="1">Dinámica!$C$4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Dinámica!$C$4</definedName>
    <definedName name="solver_lhs2" localSheetId="2" hidden="1">Dinámica!$C$4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Dinámica!$K$4</definedName>
    <definedName name="solver_pre" localSheetId="2" hidden="1">0.000001</definedName>
    <definedName name="solver_rbv" localSheetId="2" hidden="1">2</definedName>
    <definedName name="solver_rel1" localSheetId="2" hidden="1">1</definedName>
    <definedName name="solver_rel2" localSheetId="2" hidden="1">3</definedName>
    <definedName name="solver_rhs1" localSheetId="2" hidden="1">1</definedName>
    <definedName name="solver_rhs2" localSheetId="2" hidden="1">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" l="1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8" i="2"/>
  <c r="C260" i="2"/>
  <c r="C138" i="2"/>
  <c r="C139" i="2"/>
  <c r="D139" i="2" s="1"/>
  <c r="E139" i="2" s="1"/>
  <c r="C140" i="2"/>
  <c r="C141" i="2"/>
  <c r="D141" i="2" s="1"/>
  <c r="E141" i="2" s="1"/>
  <c r="C142" i="2"/>
  <c r="D142" i="2" s="1"/>
  <c r="E142" i="2" s="1"/>
  <c r="G142" i="2" s="1"/>
  <c r="C143" i="2"/>
  <c r="C144" i="2"/>
  <c r="D144" i="2" s="1"/>
  <c r="E144" i="2" s="1"/>
  <c r="G144" i="2" s="1"/>
  <c r="C145" i="2"/>
  <c r="C146" i="2"/>
  <c r="C147" i="2"/>
  <c r="D147" i="2" s="1"/>
  <c r="E147" i="2" s="1"/>
  <c r="C148" i="2"/>
  <c r="C149" i="2"/>
  <c r="C150" i="2"/>
  <c r="C151" i="2"/>
  <c r="C152" i="2"/>
  <c r="C153" i="2"/>
  <c r="C154" i="2"/>
  <c r="D154" i="2" s="1"/>
  <c r="E154" i="2" s="1"/>
  <c r="G154" i="2" s="1"/>
  <c r="C155" i="2"/>
  <c r="C156" i="2"/>
  <c r="D156" i="2" s="1"/>
  <c r="E156" i="2" s="1"/>
  <c r="G156" i="2" s="1"/>
  <c r="C157" i="2"/>
  <c r="C158" i="2"/>
  <c r="C159" i="2"/>
  <c r="D159" i="2" s="1"/>
  <c r="E159" i="2" s="1"/>
  <c r="C160" i="2"/>
  <c r="C161" i="2"/>
  <c r="C162" i="2"/>
  <c r="C163" i="2"/>
  <c r="C164" i="2"/>
  <c r="C165" i="2"/>
  <c r="C166" i="2"/>
  <c r="D166" i="2" s="1"/>
  <c r="E166" i="2" s="1"/>
  <c r="G166" i="2" s="1"/>
  <c r="C167" i="2"/>
  <c r="C168" i="2"/>
  <c r="D168" i="2" s="1"/>
  <c r="E168" i="2" s="1"/>
  <c r="G168" i="2" s="1"/>
  <c r="C169" i="2"/>
  <c r="C170" i="2"/>
  <c r="C171" i="2"/>
  <c r="D171" i="2" s="1"/>
  <c r="E171" i="2" s="1"/>
  <c r="C172" i="2"/>
  <c r="C173" i="2"/>
  <c r="C174" i="2"/>
  <c r="C175" i="2"/>
  <c r="C176" i="2"/>
  <c r="C177" i="2"/>
  <c r="C178" i="2"/>
  <c r="D178" i="2" s="1"/>
  <c r="E178" i="2" s="1"/>
  <c r="G178" i="2" s="1"/>
  <c r="C179" i="2"/>
  <c r="C180" i="2"/>
  <c r="D180" i="2" s="1"/>
  <c r="E180" i="2" s="1"/>
  <c r="G180" i="2" s="1"/>
  <c r="C181" i="2"/>
  <c r="C182" i="2"/>
  <c r="C183" i="2"/>
  <c r="D183" i="2" s="1"/>
  <c r="E183" i="2" s="1"/>
  <c r="C184" i="2"/>
  <c r="C185" i="2"/>
  <c r="C186" i="2"/>
  <c r="C187" i="2"/>
  <c r="C188" i="2"/>
  <c r="C189" i="2"/>
  <c r="C190" i="2"/>
  <c r="D190" i="2" s="1"/>
  <c r="E190" i="2" s="1"/>
  <c r="G190" i="2" s="1"/>
  <c r="C191" i="2"/>
  <c r="C192" i="2"/>
  <c r="D192" i="2" s="1"/>
  <c r="E192" i="2" s="1"/>
  <c r="G192" i="2" s="1"/>
  <c r="C193" i="2"/>
  <c r="C194" i="2"/>
  <c r="C195" i="2"/>
  <c r="D195" i="2" s="1"/>
  <c r="E195" i="2" s="1"/>
  <c r="C196" i="2"/>
  <c r="C197" i="2"/>
  <c r="C198" i="2"/>
  <c r="C199" i="2"/>
  <c r="C200" i="2"/>
  <c r="C201" i="2"/>
  <c r="C202" i="2"/>
  <c r="D202" i="2" s="1"/>
  <c r="E202" i="2" s="1"/>
  <c r="G202" i="2" s="1"/>
  <c r="C203" i="2"/>
  <c r="C204" i="2"/>
  <c r="D204" i="2" s="1"/>
  <c r="E204" i="2" s="1"/>
  <c r="G204" i="2" s="1"/>
  <c r="C205" i="2"/>
  <c r="C206" i="2"/>
  <c r="C207" i="2"/>
  <c r="D207" i="2" s="1"/>
  <c r="E207" i="2" s="1"/>
  <c r="C208" i="2"/>
  <c r="C209" i="2"/>
  <c r="C210" i="2"/>
  <c r="C211" i="2"/>
  <c r="C212" i="2"/>
  <c r="C213" i="2"/>
  <c r="C214" i="2"/>
  <c r="D214" i="2" s="1"/>
  <c r="E214" i="2" s="1"/>
  <c r="G214" i="2" s="1"/>
  <c r="C215" i="2"/>
  <c r="C216" i="2"/>
  <c r="D216" i="2" s="1"/>
  <c r="E216" i="2" s="1"/>
  <c r="G216" i="2" s="1"/>
  <c r="C217" i="2"/>
  <c r="C218" i="2"/>
  <c r="C219" i="2"/>
  <c r="D219" i="2" s="1"/>
  <c r="E219" i="2" s="1"/>
  <c r="C220" i="2"/>
  <c r="C221" i="2"/>
  <c r="C222" i="2"/>
  <c r="C223" i="2"/>
  <c r="C224" i="2"/>
  <c r="C225" i="2"/>
  <c r="C226" i="2"/>
  <c r="D226" i="2" s="1"/>
  <c r="E226" i="2" s="1"/>
  <c r="G226" i="2" s="1"/>
  <c r="C227" i="2"/>
  <c r="C228" i="2"/>
  <c r="D228" i="2" s="1"/>
  <c r="E228" i="2" s="1"/>
  <c r="C229" i="2"/>
  <c r="C230" i="2"/>
  <c r="C231" i="2"/>
  <c r="D231" i="2" s="1"/>
  <c r="E231" i="2" s="1"/>
  <c r="C232" i="2"/>
  <c r="C233" i="2"/>
  <c r="C234" i="2"/>
  <c r="C235" i="2"/>
  <c r="C236" i="2"/>
  <c r="C237" i="2"/>
  <c r="C238" i="2"/>
  <c r="D238" i="2" s="1"/>
  <c r="E238" i="2" s="1"/>
  <c r="G238" i="2" s="1"/>
  <c r="C239" i="2"/>
  <c r="C240" i="2"/>
  <c r="D240" i="2" s="1"/>
  <c r="E240" i="2" s="1"/>
  <c r="G240" i="2" s="1"/>
  <c r="C241" i="2"/>
  <c r="C242" i="2"/>
  <c r="C243" i="2"/>
  <c r="D243" i="2" s="1"/>
  <c r="E243" i="2" s="1"/>
  <c r="C244" i="2"/>
  <c r="C245" i="2"/>
  <c r="C246" i="2"/>
  <c r="C247" i="2"/>
  <c r="C248" i="2"/>
  <c r="C249" i="2"/>
  <c r="C250" i="2"/>
  <c r="D250" i="2" s="1"/>
  <c r="E250" i="2" s="1"/>
  <c r="G250" i="2" s="1"/>
  <c r="C251" i="2"/>
  <c r="C252" i="2"/>
  <c r="D252" i="2" s="1"/>
  <c r="E252" i="2" s="1"/>
  <c r="G252" i="2" s="1"/>
  <c r="C253" i="2"/>
  <c r="C254" i="2"/>
  <c r="C255" i="2"/>
  <c r="C256" i="2"/>
  <c r="C257" i="2"/>
  <c r="C258" i="2"/>
  <c r="C259" i="2"/>
  <c r="D259" i="2" s="1"/>
  <c r="E259" i="2" s="1"/>
  <c r="G141" i="2" l="1"/>
  <c r="D193" i="2"/>
  <c r="E193" i="2" s="1"/>
  <c r="D145" i="2"/>
  <c r="E145" i="2" s="1"/>
  <c r="G145" i="2" s="1"/>
  <c r="D146" i="2"/>
  <c r="E146" i="2" s="1"/>
  <c r="G146" i="2" s="1"/>
  <c r="D237" i="2"/>
  <c r="E237" i="2" s="1"/>
  <c r="G237" i="2" s="1"/>
  <c r="D225" i="2"/>
  <c r="E225" i="2" s="1"/>
  <c r="G225" i="2" s="1"/>
  <c r="D213" i="2"/>
  <c r="E213" i="2" s="1"/>
  <c r="G213" i="2" s="1"/>
  <c r="D201" i="2"/>
  <c r="E201" i="2" s="1"/>
  <c r="G201" i="2" s="1"/>
  <c r="D189" i="2"/>
  <c r="E189" i="2" s="1"/>
  <c r="G189" i="2" s="1"/>
  <c r="D177" i="2"/>
  <c r="E177" i="2" s="1"/>
  <c r="G177" i="2" s="1"/>
  <c r="D153" i="2"/>
  <c r="E153" i="2" s="1"/>
  <c r="G153" i="2" s="1"/>
  <c r="D158" i="2"/>
  <c r="E158" i="2" s="1"/>
  <c r="G158" i="2" s="1"/>
  <c r="D249" i="2"/>
  <c r="E249" i="2" s="1"/>
  <c r="G249" i="2" s="1"/>
  <c r="D194" i="2"/>
  <c r="E194" i="2" s="1"/>
  <c r="D170" i="2"/>
  <c r="E170" i="2" s="1"/>
  <c r="G170" i="2" s="1"/>
  <c r="D256" i="2"/>
  <c r="E256" i="2" s="1"/>
  <c r="D244" i="2"/>
  <c r="E244" i="2" s="1"/>
  <c r="D220" i="2"/>
  <c r="E220" i="2" s="1"/>
  <c r="D160" i="2"/>
  <c r="E160" i="2" s="1"/>
  <c r="G160" i="2" s="1"/>
  <c r="G228" i="2"/>
  <c r="G139" i="2"/>
  <c r="G256" i="2"/>
  <c r="G231" i="2"/>
  <c r="G207" i="2"/>
  <c r="G195" i="2"/>
  <c r="G183" i="2"/>
  <c r="G171" i="2"/>
  <c r="G159" i="2"/>
  <c r="G147" i="2"/>
  <c r="G219" i="2"/>
  <c r="G194" i="2"/>
  <c r="G243" i="2"/>
  <c r="G193" i="2"/>
  <c r="G244" i="2"/>
  <c r="G220" i="2"/>
  <c r="D258" i="2"/>
  <c r="D246" i="2"/>
  <c r="E246" i="2" s="1"/>
  <c r="D234" i="2"/>
  <c r="E234" i="2" s="1"/>
  <c r="D222" i="2"/>
  <c r="E222" i="2" s="1"/>
  <c r="D210" i="2"/>
  <c r="E210" i="2" s="1"/>
  <c r="D198" i="2"/>
  <c r="E198" i="2" s="1"/>
  <c r="D186" i="2"/>
  <c r="E186" i="2" s="1"/>
  <c r="D174" i="2"/>
  <c r="E174" i="2" s="1"/>
  <c r="D162" i="2"/>
  <c r="E162" i="2" s="1"/>
  <c r="D150" i="2"/>
  <c r="E150" i="2" s="1"/>
  <c r="D138" i="2"/>
  <c r="E138" i="2" s="1"/>
  <c r="D232" i="2"/>
  <c r="E232" i="2" s="1"/>
  <c r="D208" i="2"/>
  <c r="E208" i="2" s="1"/>
  <c r="D196" i="2"/>
  <c r="E196" i="2" s="1"/>
  <c r="D184" i="2"/>
  <c r="E184" i="2" s="1"/>
  <c r="D172" i="2"/>
  <c r="E172" i="2" s="1"/>
  <c r="D148" i="2"/>
  <c r="E148" i="2" s="1"/>
  <c r="D254" i="2"/>
  <c r="E254" i="2" s="1"/>
  <c r="D242" i="2"/>
  <c r="E242" i="2" s="1"/>
  <c r="D230" i="2"/>
  <c r="E230" i="2" s="1"/>
  <c r="D218" i="2"/>
  <c r="E218" i="2" s="1"/>
  <c r="D206" i="2"/>
  <c r="E206" i="2" s="1"/>
  <c r="D182" i="2"/>
  <c r="E182" i="2" s="1"/>
  <c r="D255" i="2"/>
  <c r="E255" i="2" s="1"/>
  <c r="D253" i="2"/>
  <c r="E253" i="2" s="1"/>
  <c r="D241" i="2"/>
  <c r="E241" i="2" s="1"/>
  <c r="D229" i="2"/>
  <c r="E229" i="2" s="1"/>
  <c r="D217" i="2"/>
  <c r="E217" i="2" s="1"/>
  <c r="D205" i="2"/>
  <c r="E205" i="2" s="1"/>
  <c r="D181" i="2"/>
  <c r="E181" i="2" s="1"/>
  <c r="D169" i="2"/>
  <c r="E169" i="2" s="1"/>
  <c r="D157" i="2"/>
  <c r="E157" i="2" s="1"/>
  <c r="D248" i="2"/>
  <c r="E248" i="2" s="1"/>
  <c r="D236" i="2"/>
  <c r="E236" i="2" s="1"/>
  <c r="D224" i="2"/>
  <c r="E224" i="2" s="1"/>
  <c r="D212" i="2"/>
  <c r="E212" i="2" s="1"/>
  <c r="D200" i="2"/>
  <c r="E200" i="2" s="1"/>
  <c r="D188" i="2"/>
  <c r="E188" i="2" s="1"/>
  <c r="D176" i="2"/>
  <c r="E176" i="2" s="1"/>
  <c r="D164" i="2"/>
  <c r="E164" i="2" s="1"/>
  <c r="D152" i="2"/>
  <c r="E152" i="2" s="1"/>
  <c r="D140" i="2"/>
  <c r="E140" i="2" s="1"/>
  <c r="D165" i="2"/>
  <c r="E165" i="2" s="1"/>
  <c r="D247" i="2"/>
  <c r="E247" i="2" s="1"/>
  <c r="D235" i="2"/>
  <c r="E235" i="2" s="1"/>
  <c r="D223" i="2"/>
  <c r="E223" i="2" s="1"/>
  <c r="D211" i="2"/>
  <c r="E211" i="2" s="1"/>
  <c r="D199" i="2"/>
  <c r="E199" i="2" s="1"/>
  <c r="D187" i="2"/>
  <c r="E187" i="2" s="1"/>
  <c r="D175" i="2"/>
  <c r="E175" i="2" s="1"/>
  <c r="D163" i="2"/>
  <c r="E163" i="2" s="1"/>
  <c r="D151" i="2"/>
  <c r="E151" i="2" s="1"/>
  <c r="D257" i="2"/>
  <c r="E257" i="2" s="1"/>
  <c r="D233" i="2"/>
  <c r="E233" i="2" s="1"/>
  <c r="D221" i="2"/>
  <c r="E221" i="2" s="1"/>
  <c r="D209" i="2"/>
  <c r="E209" i="2" s="1"/>
  <c r="D197" i="2"/>
  <c r="E197" i="2" s="1"/>
  <c r="D185" i="2"/>
  <c r="E185" i="2" s="1"/>
  <c r="D173" i="2"/>
  <c r="E173" i="2" s="1"/>
  <c r="D161" i="2"/>
  <c r="E161" i="2" s="1"/>
  <c r="D149" i="2"/>
  <c r="E149" i="2" s="1"/>
  <c r="D245" i="2"/>
  <c r="E245" i="2" s="1"/>
  <c r="I258" i="2"/>
  <c r="G259" i="2"/>
  <c r="D251" i="2"/>
  <c r="E251" i="2" s="1"/>
  <c r="D239" i="2"/>
  <c r="E239" i="2" s="1"/>
  <c r="D227" i="2"/>
  <c r="E227" i="2" s="1"/>
  <c r="D215" i="2"/>
  <c r="E215" i="2" s="1"/>
  <c r="D203" i="2"/>
  <c r="E203" i="2" s="1"/>
  <c r="D191" i="2"/>
  <c r="E191" i="2" s="1"/>
  <c r="D179" i="2"/>
  <c r="E179" i="2" s="1"/>
  <c r="D167" i="2"/>
  <c r="E167" i="2" s="1"/>
  <c r="D155" i="2"/>
  <c r="E155" i="2" s="1"/>
  <c r="D143" i="2"/>
  <c r="E143" i="2" s="1"/>
  <c r="E258" i="2" l="1"/>
  <c r="G151" i="2"/>
  <c r="G174" i="2"/>
  <c r="G206" i="2"/>
  <c r="G163" i="2"/>
  <c r="G245" i="2"/>
  <c r="G149" i="2"/>
  <c r="G181" i="2"/>
  <c r="G148" i="2"/>
  <c r="G198" i="2"/>
  <c r="G162" i="2"/>
  <c r="G230" i="2"/>
  <c r="G167" i="2"/>
  <c r="G205" i="2"/>
  <c r="G254" i="2"/>
  <c r="G172" i="2"/>
  <c r="G210" i="2"/>
  <c r="G222" i="2"/>
  <c r="G186" i="2"/>
  <c r="G200" i="2"/>
  <c r="G199" i="2"/>
  <c r="G179" i="2"/>
  <c r="G211" i="2"/>
  <c r="G223" i="2"/>
  <c r="G229" i="2"/>
  <c r="G196" i="2"/>
  <c r="G234" i="2"/>
  <c r="G164" i="2"/>
  <c r="G218" i="2"/>
  <c r="G188" i="2"/>
  <c r="G187" i="2"/>
  <c r="G217" i="2"/>
  <c r="G197" i="2"/>
  <c r="G241" i="2"/>
  <c r="G208" i="2"/>
  <c r="G246" i="2"/>
  <c r="G175" i="2"/>
  <c r="G155" i="2"/>
  <c r="G224" i="2"/>
  <c r="G191" i="2"/>
  <c r="G215" i="2"/>
  <c r="G253" i="2"/>
  <c r="G232" i="2"/>
  <c r="G258" i="2"/>
  <c r="K258" i="2"/>
  <c r="G143" i="2"/>
  <c r="G169" i="2"/>
  <c r="G212" i="2"/>
  <c r="G236" i="2"/>
  <c r="G248" i="2"/>
  <c r="G221" i="2"/>
  <c r="G165" i="2"/>
  <c r="G255" i="2"/>
  <c r="G157" i="2"/>
  <c r="G242" i="2"/>
  <c r="G184" i="2"/>
  <c r="G235" i="2"/>
  <c r="G247" i="2"/>
  <c r="G233" i="2"/>
  <c r="G138" i="2"/>
  <c r="G176" i="2"/>
  <c r="G161" i="2"/>
  <c r="G173" i="2"/>
  <c r="G185" i="2"/>
  <c r="G203" i="2"/>
  <c r="G209" i="2"/>
  <c r="G227" i="2"/>
  <c r="G239" i="2"/>
  <c r="G140" i="2"/>
  <c r="G251" i="2"/>
  <c r="G257" i="2"/>
  <c r="K257" i="2"/>
  <c r="G152" i="2"/>
  <c r="G182" i="2"/>
  <c r="G150" i="2"/>
  <c r="I257" i="2"/>
  <c r="J258" i="2"/>
  <c r="N258" i="2" s="1"/>
  <c r="M258" i="2" l="1"/>
  <c r="I256" i="2"/>
  <c r="K256" i="2" s="1"/>
  <c r="J257" i="2"/>
  <c r="N257" i="2" s="1"/>
  <c r="I255" i="2" l="1"/>
  <c r="K255" i="2" s="1"/>
  <c r="J256" i="2"/>
  <c r="N256" i="2" s="1"/>
  <c r="M257" i="2"/>
  <c r="I254" i="2" l="1"/>
  <c r="K254" i="2" s="1"/>
  <c r="J255" i="2"/>
  <c r="M255" i="2" s="1"/>
  <c r="M256" i="2"/>
  <c r="I253" i="2" l="1"/>
  <c r="K253" i="2" s="1"/>
  <c r="J254" i="2"/>
  <c r="M254" i="2" s="1"/>
  <c r="N255" i="2"/>
  <c r="I252" i="2" l="1"/>
  <c r="K252" i="2" s="1"/>
  <c r="J253" i="2"/>
  <c r="N253" i="2" s="1"/>
  <c r="N254" i="2"/>
  <c r="I251" i="2" l="1"/>
  <c r="K251" i="2" s="1"/>
  <c r="J252" i="2"/>
  <c r="N252" i="2" s="1"/>
  <c r="M253" i="2"/>
  <c r="I250" i="2" l="1"/>
  <c r="K250" i="2" s="1"/>
  <c r="J251" i="2"/>
  <c r="M251" i="2" s="1"/>
  <c r="M252" i="2"/>
  <c r="I249" i="2" l="1"/>
  <c r="K249" i="2" s="1"/>
  <c r="J250" i="2"/>
  <c r="M250" i="2" s="1"/>
  <c r="N251" i="2"/>
  <c r="I248" i="2" l="1"/>
  <c r="K248" i="2" s="1"/>
  <c r="J249" i="2"/>
  <c r="M249" i="2" s="1"/>
  <c r="N250" i="2"/>
  <c r="I247" i="2" l="1"/>
  <c r="K247" i="2" s="1"/>
  <c r="J248" i="2"/>
  <c r="M248" i="2" s="1"/>
  <c r="N249" i="2"/>
  <c r="N248" i="2" l="1"/>
  <c r="I246" i="2"/>
  <c r="K246" i="2" s="1"/>
  <c r="J247" i="2"/>
  <c r="M247" i="2" s="1"/>
  <c r="I245" i="2" l="1"/>
  <c r="K245" i="2" s="1"/>
  <c r="J246" i="2"/>
  <c r="M246" i="2" s="1"/>
  <c r="N247" i="2"/>
  <c r="I244" i="2" l="1"/>
  <c r="K244" i="2" s="1"/>
  <c r="J245" i="2"/>
  <c r="M245" i="2" s="1"/>
  <c r="N246" i="2"/>
  <c r="N245" i="2" l="1"/>
  <c r="I243" i="2"/>
  <c r="K243" i="2" s="1"/>
  <c r="J244" i="2"/>
  <c r="M244" i="2" s="1"/>
  <c r="N244" i="2" l="1"/>
  <c r="I242" i="2"/>
  <c r="K242" i="2" s="1"/>
  <c r="J243" i="2"/>
  <c r="N243" i="2" s="1"/>
  <c r="M243" i="2" l="1"/>
  <c r="I241" i="2"/>
  <c r="K241" i="2" s="1"/>
  <c r="J242" i="2"/>
  <c r="N242" i="2" s="1"/>
  <c r="M242" i="2" l="1"/>
  <c r="I240" i="2"/>
  <c r="K240" i="2" s="1"/>
  <c r="J241" i="2"/>
  <c r="N241" i="2" s="1"/>
  <c r="M241" i="2" l="1"/>
  <c r="I239" i="2"/>
  <c r="K239" i="2" s="1"/>
  <c r="J240" i="2"/>
  <c r="M240" i="2" s="1"/>
  <c r="N240" i="2" l="1"/>
  <c r="I238" i="2"/>
  <c r="K238" i="2" s="1"/>
  <c r="J239" i="2"/>
  <c r="M239" i="2" s="1"/>
  <c r="N239" i="2" l="1"/>
  <c r="I237" i="2"/>
  <c r="K237" i="2" s="1"/>
  <c r="J238" i="2"/>
  <c r="N238" i="2" s="1"/>
  <c r="M238" i="2" l="1"/>
  <c r="I236" i="2"/>
  <c r="K236" i="2" s="1"/>
  <c r="J237" i="2"/>
  <c r="M237" i="2" s="1"/>
  <c r="N237" i="2" l="1"/>
  <c r="I235" i="2"/>
  <c r="K235" i="2" s="1"/>
  <c r="J236" i="2"/>
  <c r="N236" i="2" s="1"/>
  <c r="M236" i="2" l="1"/>
  <c r="I234" i="2"/>
  <c r="K234" i="2" s="1"/>
  <c r="J235" i="2"/>
  <c r="N235" i="2" s="1"/>
  <c r="M235" i="2" l="1"/>
  <c r="I233" i="2"/>
  <c r="K233" i="2" s="1"/>
  <c r="J234" i="2"/>
  <c r="M234" i="2" s="1"/>
  <c r="N234" i="2" l="1"/>
  <c r="I232" i="2"/>
  <c r="K232" i="2" s="1"/>
  <c r="J233" i="2"/>
  <c r="M233" i="2" s="1"/>
  <c r="N233" i="2" l="1"/>
  <c r="I231" i="2"/>
  <c r="K231" i="2" s="1"/>
  <c r="J232" i="2"/>
  <c r="N232" i="2" s="1"/>
  <c r="M232" i="2" l="1"/>
  <c r="I230" i="2"/>
  <c r="K230" i="2" s="1"/>
  <c r="J231" i="2"/>
  <c r="M231" i="2" s="1"/>
  <c r="N231" i="2" l="1"/>
  <c r="I229" i="2"/>
  <c r="K229" i="2" s="1"/>
  <c r="J230" i="2"/>
  <c r="M230" i="2" s="1"/>
  <c r="N230" i="2" l="1"/>
  <c r="I228" i="2"/>
  <c r="K228" i="2" s="1"/>
  <c r="J229" i="2"/>
  <c r="M229" i="2" s="1"/>
  <c r="N229" i="2" l="1"/>
  <c r="I227" i="2"/>
  <c r="K227" i="2" s="1"/>
  <c r="J228" i="2"/>
  <c r="N228" i="2" s="1"/>
  <c r="M228" i="2" l="1"/>
  <c r="I226" i="2"/>
  <c r="K226" i="2" s="1"/>
  <c r="J227" i="2"/>
  <c r="N227" i="2" s="1"/>
  <c r="M227" i="2" l="1"/>
  <c r="I225" i="2"/>
  <c r="K225" i="2" s="1"/>
  <c r="J226" i="2"/>
  <c r="M226" i="2" s="1"/>
  <c r="N226" i="2" l="1"/>
  <c r="I224" i="2"/>
  <c r="K224" i="2" s="1"/>
  <c r="J225" i="2"/>
  <c r="M225" i="2" s="1"/>
  <c r="N225" i="2" l="1"/>
  <c r="I223" i="2"/>
  <c r="K223" i="2" s="1"/>
  <c r="J224" i="2"/>
  <c r="M224" i="2" s="1"/>
  <c r="N224" i="2" l="1"/>
  <c r="I222" i="2"/>
  <c r="K222" i="2" s="1"/>
  <c r="J223" i="2"/>
  <c r="N223" i="2" s="1"/>
  <c r="M223" i="2" l="1"/>
  <c r="I221" i="2"/>
  <c r="K221" i="2" s="1"/>
  <c r="J222" i="2"/>
  <c r="M222" i="2" s="1"/>
  <c r="N222" i="2" l="1"/>
  <c r="I220" i="2"/>
  <c r="K220" i="2" s="1"/>
  <c r="J221" i="2"/>
  <c r="N221" i="2" s="1"/>
  <c r="M221" i="2" l="1"/>
  <c r="I219" i="2"/>
  <c r="K219" i="2" s="1"/>
  <c r="J220" i="2"/>
  <c r="N220" i="2" s="1"/>
  <c r="M220" i="2" l="1"/>
  <c r="I218" i="2"/>
  <c r="K218" i="2" s="1"/>
  <c r="J219" i="2"/>
  <c r="N219" i="2" s="1"/>
  <c r="M219" i="2" l="1"/>
  <c r="I217" i="2"/>
  <c r="K217" i="2" s="1"/>
  <c r="J218" i="2"/>
  <c r="N218" i="2" s="1"/>
  <c r="M218" i="2" l="1"/>
  <c r="I216" i="2"/>
  <c r="K216" i="2" s="1"/>
  <c r="J217" i="2"/>
  <c r="N217" i="2" s="1"/>
  <c r="M217" i="2" l="1"/>
  <c r="I215" i="2"/>
  <c r="K215" i="2" s="1"/>
  <c r="J216" i="2"/>
  <c r="N216" i="2" s="1"/>
  <c r="M216" i="2" l="1"/>
  <c r="I214" i="2"/>
  <c r="K214" i="2" s="1"/>
  <c r="J215" i="2"/>
  <c r="N215" i="2" s="1"/>
  <c r="M215" i="2" l="1"/>
  <c r="I213" i="2"/>
  <c r="K213" i="2" s="1"/>
  <c r="J214" i="2"/>
  <c r="N214" i="2" s="1"/>
  <c r="M214" i="2" l="1"/>
  <c r="I212" i="2"/>
  <c r="K212" i="2" s="1"/>
  <c r="J213" i="2"/>
  <c r="N213" i="2" s="1"/>
  <c r="M213" i="2" l="1"/>
  <c r="I211" i="2"/>
  <c r="K211" i="2" s="1"/>
  <c r="J212" i="2"/>
  <c r="N212" i="2" s="1"/>
  <c r="M212" i="2" l="1"/>
  <c r="I210" i="2"/>
  <c r="K210" i="2" s="1"/>
  <c r="J211" i="2"/>
  <c r="N211" i="2" s="1"/>
  <c r="M211" i="2" l="1"/>
  <c r="I209" i="2"/>
  <c r="K209" i="2" s="1"/>
  <c r="J210" i="2"/>
  <c r="M210" i="2" s="1"/>
  <c r="N210" i="2" l="1"/>
  <c r="I208" i="2"/>
  <c r="K208" i="2" s="1"/>
  <c r="J209" i="2"/>
  <c r="M209" i="2" s="1"/>
  <c r="N209" i="2" l="1"/>
  <c r="I207" i="2"/>
  <c r="K207" i="2" s="1"/>
  <c r="J208" i="2"/>
  <c r="M208" i="2" s="1"/>
  <c r="I206" i="2" l="1"/>
  <c r="K206" i="2" s="1"/>
  <c r="J207" i="2"/>
  <c r="N207" i="2" s="1"/>
  <c r="N208" i="2"/>
  <c r="M207" i="2" l="1"/>
  <c r="I205" i="2"/>
  <c r="K205" i="2" s="1"/>
  <c r="J206" i="2"/>
  <c r="N206" i="2" s="1"/>
  <c r="M206" i="2" l="1"/>
  <c r="I204" i="2"/>
  <c r="K204" i="2" s="1"/>
  <c r="J205" i="2"/>
  <c r="N205" i="2" s="1"/>
  <c r="M205" i="2" l="1"/>
  <c r="I203" i="2"/>
  <c r="K203" i="2" s="1"/>
  <c r="J204" i="2"/>
  <c r="N204" i="2" s="1"/>
  <c r="M204" i="2" l="1"/>
  <c r="I202" i="2"/>
  <c r="K202" i="2" s="1"/>
  <c r="J203" i="2"/>
  <c r="M203" i="2" s="1"/>
  <c r="N203" i="2" l="1"/>
  <c r="I201" i="2"/>
  <c r="K201" i="2" s="1"/>
  <c r="J202" i="2"/>
  <c r="N202" i="2" s="1"/>
  <c r="M202" i="2" l="1"/>
  <c r="I200" i="2"/>
  <c r="K200" i="2" s="1"/>
  <c r="J201" i="2"/>
  <c r="N201" i="2" s="1"/>
  <c r="M201" i="2" l="1"/>
  <c r="I199" i="2"/>
  <c r="K199" i="2" s="1"/>
  <c r="J200" i="2"/>
  <c r="M200" i="2" s="1"/>
  <c r="N200" i="2" l="1"/>
  <c r="I198" i="2"/>
  <c r="K198" i="2" s="1"/>
  <c r="J199" i="2"/>
  <c r="N199" i="2" s="1"/>
  <c r="M199" i="2" l="1"/>
  <c r="I197" i="2"/>
  <c r="K197" i="2" s="1"/>
  <c r="J198" i="2"/>
  <c r="M198" i="2" s="1"/>
  <c r="N198" i="2" l="1"/>
  <c r="I196" i="2"/>
  <c r="K196" i="2" s="1"/>
  <c r="J197" i="2"/>
  <c r="M197" i="2" s="1"/>
  <c r="N197" i="2" l="1"/>
  <c r="I195" i="2"/>
  <c r="K195" i="2" s="1"/>
  <c r="J196" i="2"/>
  <c r="M196" i="2" s="1"/>
  <c r="N196" i="2" l="1"/>
  <c r="I194" i="2"/>
  <c r="K194" i="2" s="1"/>
  <c r="J195" i="2"/>
  <c r="N195" i="2" s="1"/>
  <c r="M195" i="2" l="1"/>
  <c r="I193" i="2"/>
  <c r="K193" i="2" s="1"/>
  <c r="J194" i="2"/>
  <c r="N194" i="2" s="1"/>
  <c r="M194" i="2" l="1"/>
  <c r="I192" i="2"/>
  <c r="K192" i="2" s="1"/>
  <c r="J193" i="2"/>
  <c r="N193" i="2" s="1"/>
  <c r="M193" i="2" l="1"/>
  <c r="I191" i="2"/>
  <c r="K191" i="2" s="1"/>
  <c r="J192" i="2"/>
  <c r="M192" i="2" s="1"/>
  <c r="N192" i="2" l="1"/>
  <c r="I190" i="2"/>
  <c r="K190" i="2" s="1"/>
  <c r="J191" i="2"/>
  <c r="M191" i="2" s="1"/>
  <c r="N191" i="2" l="1"/>
  <c r="I189" i="2"/>
  <c r="K189" i="2" s="1"/>
  <c r="J190" i="2"/>
  <c r="N190" i="2" s="1"/>
  <c r="M190" i="2" l="1"/>
  <c r="I188" i="2"/>
  <c r="K188" i="2" s="1"/>
  <c r="J189" i="2"/>
  <c r="N189" i="2" s="1"/>
  <c r="M189" i="2" l="1"/>
  <c r="I187" i="2"/>
  <c r="K187" i="2" s="1"/>
  <c r="J188" i="2"/>
  <c r="M188" i="2" s="1"/>
  <c r="N188" i="2" l="1"/>
  <c r="I186" i="2"/>
  <c r="K186" i="2" s="1"/>
  <c r="J187" i="2"/>
  <c r="N187" i="2" s="1"/>
  <c r="M187" i="2" l="1"/>
  <c r="I185" i="2"/>
  <c r="K185" i="2" s="1"/>
  <c r="J186" i="2"/>
  <c r="M186" i="2" s="1"/>
  <c r="N186" i="2" l="1"/>
  <c r="I184" i="2"/>
  <c r="K184" i="2" s="1"/>
  <c r="J185" i="2"/>
  <c r="N185" i="2" s="1"/>
  <c r="M185" i="2" l="1"/>
  <c r="I183" i="2"/>
  <c r="K183" i="2" s="1"/>
  <c r="J184" i="2"/>
  <c r="M184" i="2" s="1"/>
  <c r="N184" i="2" l="1"/>
  <c r="I182" i="2"/>
  <c r="K182" i="2" s="1"/>
  <c r="J183" i="2"/>
  <c r="N183" i="2" s="1"/>
  <c r="M183" i="2" l="1"/>
  <c r="I181" i="2"/>
  <c r="K181" i="2" s="1"/>
  <c r="J182" i="2"/>
  <c r="N182" i="2" s="1"/>
  <c r="M182" i="2" l="1"/>
  <c r="I180" i="2"/>
  <c r="K180" i="2" s="1"/>
  <c r="J181" i="2"/>
  <c r="N181" i="2" s="1"/>
  <c r="M181" i="2" l="1"/>
  <c r="I179" i="2"/>
  <c r="K179" i="2" s="1"/>
  <c r="J180" i="2"/>
  <c r="M180" i="2" s="1"/>
  <c r="N180" i="2" l="1"/>
  <c r="I178" i="2"/>
  <c r="K178" i="2" s="1"/>
  <c r="J179" i="2"/>
  <c r="M179" i="2" s="1"/>
  <c r="N179" i="2" l="1"/>
  <c r="I177" i="2"/>
  <c r="K177" i="2" s="1"/>
  <c r="J178" i="2"/>
  <c r="N178" i="2" s="1"/>
  <c r="M178" i="2" l="1"/>
  <c r="I176" i="2"/>
  <c r="K176" i="2" s="1"/>
  <c r="J177" i="2"/>
  <c r="M177" i="2" s="1"/>
  <c r="N177" i="2" l="1"/>
  <c r="I175" i="2"/>
  <c r="K175" i="2" s="1"/>
  <c r="J176" i="2"/>
  <c r="N176" i="2" s="1"/>
  <c r="M176" i="2" l="1"/>
  <c r="I174" i="2"/>
  <c r="K174" i="2" s="1"/>
  <c r="J175" i="2"/>
  <c r="M175" i="2" s="1"/>
  <c r="N175" i="2" l="1"/>
  <c r="I173" i="2"/>
  <c r="K173" i="2" s="1"/>
  <c r="J174" i="2"/>
  <c r="M174" i="2" s="1"/>
  <c r="N174" i="2" l="1"/>
  <c r="I172" i="2"/>
  <c r="K172" i="2" s="1"/>
  <c r="J173" i="2"/>
  <c r="N173" i="2" s="1"/>
  <c r="M173" i="2" l="1"/>
  <c r="I171" i="2"/>
  <c r="K171" i="2" s="1"/>
  <c r="J172" i="2"/>
  <c r="N172" i="2" s="1"/>
  <c r="M172" i="2" l="1"/>
  <c r="I170" i="2"/>
  <c r="K170" i="2" s="1"/>
  <c r="J171" i="2"/>
  <c r="M171" i="2" s="1"/>
  <c r="N171" i="2" l="1"/>
  <c r="I169" i="2"/>
  <c r="K169" i="2" s="1"/>
  <c r="J170" i="2"/>
  <c r="N170" i="2" s="1"/>
  <c r="M170" i="2" l="1"/>
  <c r="I168" i="2"/>
  <c r="K168" i="2" s="1"/>
  <c r="J169" i="2"/>
  <c r="N169" i="2" s="1"/>
  <c r="M169" i="2" l="1"/>
  <c r="I167" i="2"/>
  <c r="K167" i="2" s="1"/>
  <c r="J168" i="2"/>
  <c r="N168" i="2" s="1"/>
  <c r="M168" i="2" l="1"/>
  <c r="I166" i="2"/>
  <c r="K166" i="2" s="1"/>
  <c r="J167" i="2"/>
  <c r="M167" i="2" s="1"/>
  <c r="N167" i="2" l="1"/>
  <c r="I165" i="2"/>
  <c r="K165" i="2" s="1"/>
  <c r="J166" i="2"/>
  <c r="N166" i="2" s="1"/>
  <c r="M166" i="2" l="1"/>
  <c r="I164" i="2"/>
  <c r="K164" i="2" s="1"/>
  <c r="J165" i="2"/>
  <c r="M165" i="2" s="1"/>
  <c r="N165" i="2" l="1"/>
  <c r="I163" i="2"/>
  <c r="K163" i="2" s="1"/>
  <c r="J164" i="2"/>
  <c r="M164" i="2" s="1"/>
  <c r="N164" i="2" l="1"/>
  <c r="I162" i="2"/>
  <c r="K162" i="2" s="1"/>
  <c r="J163" i="2"/>
  <c r="M163" i="2" s="1"/>
  <c r="N163" i="2" l="1"/>
  <c r="I161" i="2"/>
  <c r="K161" i="2" s="1"/>
  <c r="J162" i="2"/>
  <c r="M162" i="2" s="1"/>
  <c r="N162" i="2" l="1"/>
  <c r="I160" i="2"/>
  <c r="K160" i="2" s="1"/>
  <c r="J161" i="2"/>
  <c r="N161" i="2" s="1"/>
  <c r="M161" i="2" l="1"/>
  <c r="I159" i="2"/>
  <c r="K159" i="2" s="1"/>
  <c r="J160" i="2"/>
  <c r="N160" i="2" s="1"/>
  <c r="M160" i="2" l="1"/>
  <c r="I158" i="2"/>
  <c r="K158" i="2" s="1"/>
  <c r="J159" i="2"/>
  <c r="N159" i="2" s="1"/>
  <c r="M159" i="2" l="1"/>
  <c r="I157" i="2"/>
  <c r="K157" i="2" s="1"/>
  <c r="J158" i="2"/>
  <c r="N158" i="2" s="1"/>
  <c r="M158" i="2" l="1"/>
  <c r="I156" i="2"/>
  <c r="K156" i="2" s="1"/>
  <c r="J157" i="2"/>
  <c r="M157" i="2" s="1"/>
  <c r="N157" i="2" l="1"/>
  <c r="I155" i="2"/>
  <c r="K155" i="2" s="1"/>
  <c r="J156" i="2"/>
  <c r="N156" i="2" s="1"/>
  <c r="M156" i="2" l="1"/>
  <c r="I154" i="2"/>
  <c r="K154" i="2" s="1"/>
  <c r="J155" i="2"/>
  <c r="M155" i="2" s="1"/>
  <c r="N155" i="2" l="1"/>
  <c r="I153" i="2"/>
  <c r="K153" i="2" s="1"/>
  <c r="J154" i="2"/>
  <c r="N154" i="2" s="1"/>
  <c r="M154" i="2" l="1"/>
  <c r="I152" i="2"/>
  <c r="K152" i="2" s="1"/>
  <c r="J153" i="2"/>
  <c r="M153" i="2" s="1"/>
  <c r="N153" i="2" l="1"/>
  <c r="I151" i="2"/>
  <c r="K151" i="2" s="1"/>
  <c r="J152" i="2"/>
  <c r="M152" i="2" s="1"/>
  <c r="N152" i="2" l="1"/>
  <c r="I150" i="2"/>
  <c r="K150" i="2" s="1"/>
  <c r="J151" i="2"/>
  <c r="M151" i="2" s="1"/>
  <c r="N151" i="2" l="1"/>
  <c r="I149" i="2"/>
  <c r="K149" i="2" s="1"/>
  <c r="J150" i="2"/>
  <c r="N150" i="2" s="1"/>
  <c r="M150" i="2" l="1"/>
  <c r="I148" i="2"/>
  <c r="K148" i="2" s="1"/>
  <c r="J149" i="2"/>
  <c r="N149" i="2" s="1"/>
  <c r="C260" i="1"/>
  <c r="M149" i="2" l="1"/>
  <c r="I147" i="2"/>
  <c r="K147" i="2" s="1"/>
  <c r="J148" i="2"/>
  <c r="N148" i="2" s="1"/>
  <c r="M148" i="2" l="1"/>
  <c r="I146" i="2"/>
  <c r="K146" i="2" s="1"/>
  <c r="J147" i="2"/>
  <c r="M147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D41" i="2" s="1"/>
  <c r="E41" i="2" s="1"/>
  <c r="C42" i="2"/>
  <c r="C43" i="2"/>
  <c r="C44" i="2"/>
  <c r="C45" i="2"/>
  <c r="C46" i="2"/>
  <c r="C47" i="2"/>
  <c r="C48" i="2"/>
  <c r="C49" i="2"/>
  <c r="C50" i="2"/>
  <c r="C51" i="2"/>
  <c r="C52" i="2"/>
  <c r="C53" i="2"/>
  <c r="D53" i="2" s="1"/>
  <c r="E53" i="2" s="1"/>
  <c r="C54" i="2"/>
  <c r="C55" i="2"/>
  <c r="C56" i="2"/>
  <c r="C57" i="2"/>
  <c r="C58" i="2"/>
  <c r="C59" i="2"/>
  <c r="C60" i="2"/>
  <c r="C61" i="2"/>
  <c r="C62" i="2"/>
  <c r="C63" i="2"/>
  <c r="C64" i="2"/>
  <c r="C65" i="2"/>
  <c r="D65" i="2" s="1"/>
  <c r="E65" i="2" s="1"/>
  <c r="C66" i="2"/>
  <c r="C67" i="2"/>
  <c r="C68" i="2"/>
  <c r="C69" i="2"/>
  <c r="C70" i="2"/>
  <c r="C71" i="2"/>
  <c r="C72" i="2"/>
  <c r="C73" i="2"/>
  <c r="C74" i="2"/>
  <c r="C75" i="2"/>
  <c r="C76" i="2"/>
  <c r="C77" i="2"/>
  <c r="D77" i="2" s="1"/>
  <c r="E77" i="2" s="1"/>
  <c r="C78" i="2"/>
  <c r="C79" i="2"/>
  <c r="C80" i="2"/>
  <c r="C81" i="2"/>
  <c r="C82" i="2"/>
  <c r="C83" i="2"/>
  <c r="C84" i="2"/>
  <c r="C85" i="2"/>
  <c r="C86" i="2"/>
  <c r="C87" i="2"/>
  <c r="C88" i="2"/>
  <c r="C89" i="2"/>
  <c r="D89" i="2" s="1"/>
  <c r="E89" i="2" s="1"/>
  <c r="C90" i="2"/>
  <c r="C91" i="2"/>
  <c r="C92" i="2"/>
  <c r="C93" i="2"/>
  <c r="C94" i="2"/>
  <c r="C95" i="2"/>
  <c r="C96" i="2"/>
  <c r="C97" i="2"/>
  <c r="C98" i="2"/>
  <c r="C99" i="2"/>
  <c r="C100" i="2"/>
  <c r="C101" i="2"/>
  <c r="D101" i="2" s="1"/>
  <c r="E101" i="2" s="1"/>
  <c r="C102" i="2"/>
  <c r="C103" i="2"/>
  <c r="C104" i="2"/>
  <c r="C105" i="2"/>
  <c r="C106" i="2"/>
  <c r="C107" i="2"/>
  <c r="C108" i="2"/>
  <c r="C109" i="2"/>
  <c r="C110" i="2"/>
  <c r="C111" i="2"/>
  <c r="C112" i="2"/>
  <c r="C113" i="2"/>
  <c r="D113" i="2" s="1"/>
  <c r="E113" i="2" s="1"/>
  <c r="C114" i="2"/>
  <c r="C115" i="2"/>
  <c r="C116" i="2"/>
  <c r="C117" i="2"/>
  <c r="C118" i="2"/>
  <c r="C119" i="2"/>
  <c r="C120" i="2"/>
  <c r="C121" i="2"/>
  <c r="C122" i="2"/>
  <c r="C123" i="2"/>
  <c r="C124" i="2"/>
  <c r="C125" i="2"/>
  <c r="D125" i="2" s="1"/>
  <c r="E125" i="2" s="1"/>
  <c r="C126" i="2"/>
  <c r="C127" i="2"/>
  <c r="C128" i="2"/>
  <c r="C129" i="2"/>
  <c r="C130" i="2"/>
  <c r="C131" i="2"/>
  <c r="C132" i="2"/>
  <c r="C133" i="2"/>
  <c r="C134" i="2"/>
  <c r="C135" i="2"/>
  <c r="C136" i="2"/>
  <c r="C137" i="2"/>
  <c r="D137" i="2" s="1"/>
  <c r="C9" i="1"/>
  <c r="C10" i="1"/>
  <c r="C11" i="1"/>
  <c r="C12" i="1"/>
  <c r="C13" i="1"/>
  <c r="D13" i="1" s="1"/>
  <c r="C14" i="1"/>
  <c r="C15" i="1"/>
  <c r="C16" i="1"/>
  <c r="D16" i="1" s="1"/>
  <c r="C17" i="1"/>
  <c r="C18" i="1"/>
  <c r="C19" i="1"/>
  <c r="D19" i="1" s="1"/>
  <c r="C20" i="1"/>
  <c r="D20" i="1" s="1"/>
  <c r="C21" i="1"/>
  <c r="C22" i="1"/>
  <c r="C23" i="1"/>
  <c r="C24" i="1"/>
  <c r="C25" i="1"/>
  <c r="D25" i="1" s="1"/>
  <c r="C26" i="1"/>
  <c r="C27" i="1"/>
  <c r="C28" i="1"/>
  <c r="D28" i="1" s="1"/>
  <c r="C29" i="1"/>
  <c r="C30" i="1"/>
  <c r="C31" i="1"/>
  <c r="D31" i="1" s="1"/>
  <c r="C32" i="1"/>
  <c r="D32" i="1" s="1"/>
  <c r="C33" i="1"/>
  <c r="C34" i="1"/>
  <c r="C35" i="1"/>
  <c r="C36" i="1"/>
  <c r="C37" i="1"/>
  <c r="D37" i="1" s="1"/>
  <c r="C38" i="1"/>
  <c r="C39" i="1"/>
  <c r="C40" i="1"/>
  <c r="D40" i="1" s="1"/>
  <c r="C41" i="1"/>
  <c r="C42" i="1"/>
  <c r="C43" i="1"/>
  <c r="D43" i="1" s="1"/>
  <c r="C44" i="1"/>
  <c r="D44" i="1" s="1"/>
  <c r="C45" i="1"/>
  <c r="C46" i="1"/>
  <c r="C47" i="1"/>
  <c r="C48" i="1"/>
  <c r="C49" i="1"/>
  <c r="D49" i="1" s="1"/>
  <c r="C50" i="1"/>
  <c r="C51" i="1"/>
  <c r="C52" i="1"/>
  <c r="D52" i="1" s="1"/>
  <c r="C53" i="1"/>
  <c r="C54" i="1"/>
  <c r="C55" i="1"/>
  <c r="D55" i="1" s="1"/>
  <c r="C56" i="1"/>
  <c r="D56" i="1" s="1"/>
  <c r="C57" i="1"/>
  <c r="C58" i="1"/>
  <c r="C59" i="1"/>
  <c r="C60" i="1"/>
  <c r="C61" i="1"/>
  <c r="D61" i="1" s="1"/>
  <c r="C62" i="1"/>
  <c r="C63" i="1"/>
  <c r="C64" i="1"/>
  <c r="D64" i="1" s="1"/>
  <c r="C65" i="1"/>
  <c r="C66" i="1"/>
  <c r="C67" i="1"/>
  <c r="D67" i="1" s="1"/>
  <c r="C68" i="1"/>
  <c r="D68" i="1" s="1"/>
  <c r="C69" i="1"/>
  <c r="C70" i="1"/>
  <c r="C71" i="1"/>
  <c r="C72" i="1"/>
  <c r="C73" i="1"/>
  <c r="D73" i="1" s="1"/>
  <c r="C74" i="1"/>
  <c r="D74" i="1" s="1"/>
  <c r="C75" i="1"/>
  <c r="C76" i="1"/>
  <c r="D76" i="1" s="1"/>
  <c r="C77" i="1"/>
  <c r="C78" i="1"/>
  <c r="C79" i="1"/>
  <c r="D79" i="1" s="1"/>
  <c r="C80" i="1"/>
  <c r="D80" i="1" s="1"/>
  <c r="C81" i="1"/>
  <c r="C82" i="1"/>
  <c r="C83" i="1"/>
  <c r="C84" i="1"/>
  <c r="C85" i="1"/>
  <c r="D85" i="1" s="1"/>
  <c r="C86" i="1"/>
  <c r="D86" i="1" s="1"/>
  <c r="C87" i="1"/>
  <c r="C88" i="1"/>
  <c r="D88" i="1" s="1"/>
  <c r="C89" i="1"/>
  <c r="C90" i="1"/>
  <c r="C91" i="1"/>
  <c r="D91" i="1" s="1"/>
  <c r="C92" i="1"/>
  <c r="D92" i="1" s="1"/>
  <c r="C93" i="1"/>
  <c r="C94" i="1"/>
  <c r="C95" i="1"/>
  <c r="C96" i="1"/>
  <c r="C97" i="1"/>
  <c r="D97" i="1" s="1"/>
  <c r="C98" i="1"/>
  <c r="D98" i="1" s="1"/>
  <c r="C99" i="1"/>
  <c r="C100" i="1"/>
  <c r="D100" i="1" s="1"/>
  <c r="C101" i="1"/>
  <c r="C102" i="1"/>
  <c r="C103" i="1"/>
  <c r="D103" i="1" s="1"/>
  <c r="C104" i="1"/>
  <c r="D104" i="1" s="1"/>
  <c r="C105" i="1"/>
  <c r="C106" i="1"/>
  <c r="C107" i="1"/>
  <c r="C108" i="1"/>
  <c r="C109" i="1"/>
  <c r="D109" i="1" s="1"/>
  <c r="C110" i="1"/>
  <c r="D110" i="1" s="1"/>
  <c r="C111" i="1"/>
  <c r="C112" i="1"/>
  <c r="D112" i="1" s="1"/>
  <c r="C113" i="1"/>
  <c r="C114" i="1"/>
  <c r="C115" i="1"/>
  <c r="D115" i="1" s="1"/>
  <c r="C116" i="1"/>
  <c r="D116" i="1" s="1"/>
  <c r="C117" i="1"/>
  <c r="C118" i="1"/>
  <c r="C119" i="1"/>
  <c r="C120" i="1"/>
  <c r="C121" i="1"/>
  <c r="D121" i="1" s="1"/>
  <c r="C122" i="1"/>
  <c r="D122" i="1" s="1"/>
  <c r="C123" i="1"/>
  <c r="C124" i="1"/>
  <c r="D124" i="1" s="1"/>
  <c r="C125" i="1"/>
  <c r="C126" i="1"/>
  <c r="C127" i="1"/>
  <c r="D127" i="1" s="1"/>
  <c r="C128" i="1"/>
  <c r="D128" i="1" s="1"/>
  <c r="C129" i="1"/>
  <c r="C130" i="1"/>
  <c r="C131" i="1"/>
  <c r="C132" i="1"/>
  <c r="C133" i="1"/>
  <c r="D133" i="1" s="1"/>
  <c r="C134" i="1"/>
  <c r="D134" i="1" s="1"/>
  <c r="C135" i="1"/>
  <c r="C136" i="1"/>
  <c r="D136" i="1" s="1"/>
  <c r="C137" i="1"/>
  <c r="C138" i="1"/>
  <c r="C139" i="1"/>
  <c r="D139" i="1" s="1"/>
  <c r="C140" i="1"/>
  <c r="D140" i="1" s="1"/>
  <c r="C141" i="1"/>
  <c r="C142" i="1"/>
  <c r="C143" i="1"/>
  <c r="C144" i="1"/>
  <c r="C145" i="1"/>
  <c r="D145" i="1" s="1"/>
  <c r="C146" i="1"/>
  <c r="D146" i="1" s="1"/>
  <c r="C147" i="1"/>
  <c r="C148" i="1"/>
  <c r="D148" i="1" s="1"/>
  <c r="C149" i="1"/>
  <c r="C150" i="1"/>
  <c r="C151" i="1"/>
  <c r="D151" i="1" s="1"/>
  <c r="C152" i="1"/>
  <c r="D152" i="1" s="1"/>
  <c r="C153" i="1"/>
  <c r="C154" i="1"/>
  <c r="C155" i="1"/>
  <c r="C156" i="1"/>
  <c r="C157" i="1"/>
  <c r="D157" i="1" s="1"/>
  <c r="C158" i="1"/>
  <c r="D158" i="1" s="1"/>
  <c r="C159" i="1"/>
  <c r="C160" i="1"/>
  <c r="D160" i="1" s="1"/>
  <c r="C161" i="1"/>
  <c r="C162" i="1"/>
  <c r="C163" i="1"/>
  <c r="D163" i="1" s="1"/>
  <c r="C164" i="1"/>
  <c r="D164" i="1" s="1"/>
  <c r="C165" i="1"/>
  <c r="C166" i="1"/>
  <c r="C167" i="1"/>
  <c r="C168" i="1"/>
  <c r="C169" i="1"/>
  <c r="D169" i="1" s="1"/>
  <c r="C170" i="1"/>
  <c r="C171" i="1"/>
  <c r="C172" i="1"/>
  <c r="D172" i="1" s="1"/>
  <c r="C173" i="1"/>
  <c r="C174" i="1"/>
  <c r="C175" i="1"/>
  <c r="D175" i="1" s="1"/>
  <c r="C176" i="1"/>
  <c r="D176" i="1" s="1"/>
  <c r="C177" i="1"/>
  <c r="C178" i="1"/>
  <c r="C179" i="1"/>
  <c r="C180" i="1"/>
  <c r="C181" i="1"/>
  <c r="D181" i="1" s="1"/>
  <c r="C182" i="1"/>
  <c r="D182" i="1" s="1"/>
  <c r="C183" i="1"/>
  <c r="C184" i="1"/>
  <c r="D184" i="1" s="1"/>
  <c r="C185" i="1"/>
  <c r="C186" i="1"/>
  <c r="C187" i="1"/>
  <c r="D187" i="1" s="1"/>
  <c r="C188" i="1"/>
  <c r="D188" i="1" s="1"/>
  <c r="C189" i="1"/>
  <c r="C190" i="1"/>
  <c r="C191" i="1"/>
  <c r="D191" i="1" s="1"/>
  <c r="C192" i="1"/>
  <c r="C193" i="1"/>
  <c r="D193" i="1" s="1"/>
  <c r="C194" i="1"/>
  <c r="D194" i="1" s="1"/>
  <c r="C195" i="1"/>
  <c r="C196" i="1"/>
  <c r="D196" i="1" s="1"/>
  <c r="C197" i="1"/>
  <c r="C198" i="1"/>
  <c r="C199" i="1"/>
  <c r="D199" i="1" s="1"/>
  <c r="C200" i="1"/>
  <c r="D200" i="1" s="1"/>
  <c r="C201" i="1"/>
  <c r="C202" i="1"/>
  <c r="C203" i="1"/>
  <c r="D203" i="1" s="1"/>
  <c r="C204" i="1"/>
  <c r="C205" i="1"/>
  <c r="D205" i="1" s="1"/>
  <c r="C206" i="1"/>
  <c r="D206" i="1" s="1"/>
  <c r="C207" i="1"/>
  <c r="C208" i="1"/>
  <c r="D208" i="1" s="1"/>
  <c r="C209" i="1"/>
  <c r="C210" i="1"/>
  <c r="C211" i="1"/>
  <c r="D211" i="1" s="1"/>
  <c r="C212" i="1"/>
  <c r="D212" i="1" s="1"/>
  <c r="C213" i="1"/>
  <c r="C214" i="1"/>
  <c r="C215" i="1"/>
  <c r="D215" i="1" s="1"/>
  <c r="C216" i="1"/>
  <c r="C217" i="1"/>
  <c r="D217" i="1" s="1"/>
  <c r="C218" i="1"/>
  <c r="D218" i="1" s="1"/>
  <c r="C219" i="1"/>
  <c r="C220" i="1"/>
  <c r="D220" i="1" s="1"/>
  <c r="C221" i="1"/>
  <c r="C222" i="1"/>
  <c r="C223" i="1"/>
  <c r="D223" i="1" s="1"/>
  <c r="C224" i="1"/>
  <c r="D224" i="1" s="1"/>
  <c r="C225" i="1"/>
  <c r="C226" i="1"/>
  <c r="C227" i="1"/>
  <c r="D227" i="1" s="1"/>
  <c r="C228" i="1"/>
  <c r="C229" i="1"/>
  <c r="D229" i="1" s="1"/>
  <c r="C230" i="1"/>
  <c r="D230" i="1" s="1"/>
  <c r="C231" i="1"/>
  <c r="C232" i="1"/>
  <c r="D232" i="1" s="1"/>
  <c r="C233" i="1"/>
  <c r="C234" i="1"/>
  <c r="C235" i="1"/>
  <c r="C236" i="1"/>
  <c r="D236" i="1" s="1"/>
  <c r="C237" i="1"/>
  <c r="C238" i="1"/>
  <c r="C239" i="1"/>
  <c r="D239" i="1" s="1"/>
  <c r="C240" i="1"/>
  <c r="C241" i="1"/>
  <c r="D241" i="1" s="1"/>
  <c r="C242" i="1"/>
  <c r="D242" i="1" s="1"/>
  <c r="C243" i="1"/>
  <c r="C244" i="1"/>
  <c r="D244" i="1" s="1"/>
  <c r="C245" i="1"/>
  <c r="C246" i="1"/>
  <c r="C247" i="1"/>
  <c r="C248" i="1"/>
  <c r="D248" i="1" s="1"/>
  <c r="C249" i="1"/>
  <c r="C250" i="1"/>
  <c r="C251" i="1"/>
  <c r="C252" i="1"/>
  <c r="C253" i="1"/>
  <c r="C254" i="1"/>
  <c r="D254" i="1" s="1"/>
  <c r="C255" i="1"/>
  <c r="C256" i="1"/>
  <c r="D256" i="1" s="1"/>
  <c r="C257" i="1"/>
  <c r="C258" i="1"/>
  <c r="C259" i="1"/>
  <c r="D259" i="1" s="1"/>
  <c r="C8" i="1"/>
  <c r="D8" i="1" s="1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E137" i="2" l="1"/>
  <c r="D117" i="2"/>
  <c r="E117" i="2" s="1"/>
  <c r="D105" i="2"/>
  <c r="E105" i="2" s="1"/>
  <c r="D93" i="2"/>
  <c r="E93" i="2" s="1"/>
  <c r="D76" i="2"/>
  <c r="E76" i="2" s="1"/>
  <c r="D64" i="2"/>
  <c r="E64" i="2" s="1"/>
  <c r="D52" i="2"/>
  <c r="E52" i="2" s="1"/>
  <c r="D40" i="2"/>
  <c r="E40" i="2" s="1"/>
  <c r="D28" i="2"/>
  <c r="E28" i="2" s="1"/>
  <c r="D16" i="2"/>
  <c r="E16" i="2" s="1"/>
  <c r="D124" i="2"/>
  <c r="E124" i="2" s="1"/>
  <c r="G124" i="2" s="1"/>
  <c r="D88" i="2"/>
  <c r="E88" i="2" s="1"/>
  <c r="G88" i="2" s="1"/>
  <c r="D112" i="2"/>
  <c r="E112" i="2" s="1"/>
  <c r="D130" i="2"/>
  <c r="E130" i="2" s="1"/>
  <c r="G130" i="2" s="1"/>
  <c r="D118" i="2"/>
  <c r="E118" i="2" s="1"/>
  <c r="G118" i="2" s="1"/>
  <c r="D106" i="2"/>
  <c r="E106" i="2" s="1"/>
  <c r="G106" i="2" s="1"/>
  <c r="D81" i="2"/>
  <c r="E81" i="2" s="1"/>
  <c r="G81" i="2" s="1"/>
  <c r="D100" i="2"/>
  <c r="E100" i="2" s="1"/>
  <c r="D136" i="2"/>
  <c r="N147" i="2"/>
  <c r="G76" i="2"/>
  <c r="G100" i="2"/>
  <c r="G16" i="2"/>
  <c r="D94" i="2"/>
  <c r="E94" i="2" s="1"/>
  <c r="D82" i="2"/>
  <c r="E82" i="2" s="1"/>
  <c r="D70" i="2"/>
  <c r="E70" i="2" s="1"/>
  <c r="D58" i="2"/>
  <c r="E58" i="2" s="1"/>
  <c r="D46" i="2"/>
  <c r="E46" i="2" s="1"/>
  <c r="D34" i="2"/>
  <c r="E34" i="2" s="1"/>
  <c r="D22" i="2"/>
  <c r="E22" i="2" s="1"/>
  <c r="D10" i="2"/>
  <c r="E10" i="2" s="1"/>
  <c r="G64" i="2"/>
  <c r="G117" i="2"/>
  <c r="G105" i="2"/>
  <c r="G93" i="2"/>
  <c r="D69" i="2"/>
  <c r="E69" i="2" s="1"/>
  <c r="D57" i="2"/>
  <c r="E57" i="2" s="1"/>
  <c r="D45" i="2"/>
  <c r="E45" i="2" s="1"/>
  <c r="D33" i="2"/>
  <c r="E33" i="2" s="1"/>
  <c r="D21" i="2"/>
  <c r="E21" i="2" s="1"/>
  <c r="G52" i="2"/>
  <c r="G40" i="2"/>
  <c r="G112" i="2"/>
  <c r="G28" i="2"/>
  <c r="G137" i="2"/>
  <c r="G125" i="2"/>
  <c r="G113" i="2"/>
  <c r="G101" i="2"/>
  <c r="G89" i="2"/>
  <c r="G77" i="2"/>
  <c r="G65" i="2"/>
  <c r="G53" i="2"/>
  <c r="G41" i="2"/>
  <c r="D111" i="2"/>
  <c r="E111" i="2" s="1"/>
  <c r="D99" i="2"/>
  <c r="E99" i="2" s="1"/>
  <c r="D87" i="2"/>
  <c r="E87" i="2" s="1"/>
  <c r="D75" i="2"/>
  <c r="E75" i="2" s="1"/>
  <c r="D63" i="2"/>
  <c r="E63" i="2" s="1"/>
  <c r="D51" i="2"/>
  <c r="E51" i="2" s="1"/>
  <c r="D39" i="2"/>
  <c r="E39" i="2" s="1"/>
  <c r="D27" i="2"/>
  <c r="E27" i="2" s="1"/>
  <c r="D15" i="2"/>
  <c r="E15" i="2" s="1"/>
  <c r="D134" i="2"/>
  <c r="E134" i="2" s="1"/>
  <c r="D122" i="2"/>
  <c r="E122" i="2" s="1"/>
  <c r="D110" i="2"/>
  <c r="E110" i="2" s="1"/>
  <c r="D98" i="2"/>
  <c r="E98" i="2" s="1"/>
  <c r="D86" i="2"/>
  <c r="E86" i="2" s="1"/>
  <c r="D74" i="2"/>
  <c r="E74" i="2" s="1"/>
  <c r="D62" i="2"/>
  <c r="E62" i="2" s="1"/>
  <c r="D50" i="2"/>
  <c r="E50" i="2" s="1"/>
  <c r="D38" i="2"/>
  <c r="E38" i="2" s="1"/>
  <c r="D26" i="2"/>
  <c r="E26" i="2" s="1"/>
  <c r="D14" i="2"/>
  <c r="E14" i="2" s="1"/>
  <c r="D133" i="2"/>
  <c r="E133" i="2" s="1"/>
  <c r="D121" i="2"/>
  <c r="E121" i="2" s="1"/>
  <c r="D109" i="2"/>
  <c r="E109" i="2" s="1"/>
  <c r="D97" i="2"/>
  <c r="E97" i="2" s="1"/>
  <c r="D85" i="2"/>
  <c r="E85" i="2" s="1"/>
  <c r="D73" i="2"/>
  <c r="E73" i="2" s="1"/>
  <c r="D61" i="2"/>
  <c r="E61" i="2" s="1"/>
  <c r="D49" i="2"/>
  <c r="E49" i="2" s="1"/>
  <c r="D37" i="2"/>
  <c r="E37" i="2" s="1"/>
  <c r="D25" i="2"/>
  <c r="E25" i="2" s="1"/>
  <c r="D13" i="2"/>
  <c r="E13" i="2" s="1"/>
  <c r="D135" i="2"/>
  <c r="E135" i="2" s="1"/>
  <c r="D132" i="2"/>
  <c r="E132" i="2" s="1"/>
  <c r="D120" i="2"/>
  <c r="E120" i="2" s="1"/>
  <c r="D108" i="2"/>
  <c r="E108" i="2" s="1"/>
  <c r="D96" i="2"/>
  <c r="E96" i="2" s="1"/>
  <c r="D84" i="2"/>
  <c r="E84" i="2" s="1"/>
  <c r="D72" i="2"/>
  <c r="E72" i="2" s="1"/>
  <c r="D60" i="2"/>
  <c r="E60" i="2" s="1"/>
  <c r="D48" i="2"/>
  <c r="E48" i="2" s="1"/>
  <c r="D36" i="2"/>
  <c r="E36" i="2" s="1"/>
  <c r="D24" i="2"/>
  <c r="E24" i="2" s="1"/>
  <c r="D12" i="2"/>
  <c r="E12" i="2" s="1"/>
  <c r="D123" i="2"/>
  <c r="E123" i="2" s="1"/>
  <c r="D131" i="2"/>
  <c r="E131" i="2" s="1"/>
  <c r="D119" i="2"/>
  <c r="E119" i="2" s="1"/>
  <c r="D107" i="2"/>
  <c r="E107" i="2" s="1"/>
  <c r="D95" i="2"/>
  <c r="E95" i="2" s="1"/>
  <c r="D83" i="2"/>
  <c r="E83" i="2" s="1"/>
  <c r="D71" i="2"/>
  <c r="E71" i="2" s="1"/>
  <c r="D59" i="2"/>
  <c r="E59" i="2" s="1"/>
  <c r="D47" i="2"/>
  <c r="E47" i="2" s="1"/>
  <c r="D35" i="2"/>
  <c r="E35" i="2" s="1"/>
  <c r="D23" i="2"/>
  <c r="E23" i="2" s="1"/>
  <c r="D11" i="2"/>
  <c r="E11" i="2" s="1"/>
  <c r="D129" i="2"/>
  <c r="E129" i="2" s="1"/>
  <c r="D9" i="2"/>
  <c r="E9" i="2" s="1"/>
  <c r="D8" i="2"/>
  <c r="E8" i="2" s="1"/>
  <c r="D128" i="2"/>
  <c r="E128" i="2" s="1"/>
  <c r="D116" i="2"/>
  <c r="E116" i="2" s="1"/>
  <c r="D104" i="2"/>
  <c r="E104" i="2" s="1"/>
  <c r="D92" i="2"/>
  <c r="E92" i="2" s="1"/>
  <c r="D80" i="2"/>
  <c r="E80" i="2" s="1"/>
  <c r="D68" i="2"/>
  <c r="E68" i="2" s="1"/>
  <c r="D56" i="2"/>
  <c r="E56" i="2" s="1"/>
  <c r="D44" i="2"/>
  <c r="E44" i="2" s="1"/>
  <c r="D32" i="2"/>
  <c r="E32" i="2" s="1"/>
  <c r="D20" i="2"/>
  <c r="E20" i="2" s="1"/>
  <c r="D127" i="2"/>
  <c r="E127" i="2" s="1"/>
  <c r="D115" i="2"/>
  <c r="E115" i="2" s="1"/>
  <c r="D103" i="2"/>
  <c r="E103" i="2" s="1"/>
  <c r="D91" i="2"/>
  <c r="E91" i="2" s="1"/>
  <c r="D79" i="2"/>
  <c r="E79" i="2" s="1"/>
  <c r="D67" i="2"/>
  <c r="E67" i="2" s="1"/>
  <c r="D55" i="2"/>
  <c r="E55" i="2" s="1"/>
  <c r="D43" i="2"/>
  <c r="E43" i="2" s="1"/>
  <c r="D31" i="2"/>
  <c r="E31" i="2" s="1"/>
  <c r="D19" i="2"/>
  <c r="E19" i="2" s="1"/>
  <c r="D126" i="2"/>
  <c r="E126" i="2" s="1"/>
  <c r="D114" i="2"/>
  <c r="E114" i="2" s="1"/>
  <c r="D102" i="2"/>
  <c r="E102" i="2" s="1"/>
  <c r="D90" i="2"/>
  <c r="E90" i="2" s="1"/>
  <c r="D78" i="2"/>
  <c r="E78" i="2" s="1"/>
  <c r="D66" i="2"/>
  <c r="E66" i="2" s="1"/>
  <c r="D54" i="2"/>
  <c r="E54" i="2" s="1"/>
  <c r="D42" i="2"/>
  <c r="E42" i="2" s="1"/>
  <c r="D30" i="2"/>
  <c r="E30" i="2" s="1"/>
  <c r="D18" i="2"/>
  <c r="E18" i="2" s="1"/>
  <c r="D29" i="2"/>
  <c r="E29" i="2" s="1"/>
  <c r="D17" i="2"/>
  <c r="E17" i="2" s="1"/>
  <c r="I145" i="2"/>
  <c r="K145" i="2" s="1"/>
  <c r="J146" i="2"/>
  <c r="N146" i="2" s="1"/>
  <c r="D247" i="1"/>
  <c r="D258" i="1"/>
  <c r="D246" i="1"/>
  <c r="D234" i="1"/>
  <c r="D222" i="1"/>
  <c r="D210" i="1"/>
  <c r="D198" i="1"/>
  <c r="D186" i="1"/>
  <c r="D174" i="1"/>
  <c r="D162" i="1"/>
  <c r="D150" i="1"/>
  <c r="D138" i="1"/>
  <c r="D126" i="1"/>
  <c r="D114" i="1"/>
  <c r="D102" i="1"/>
  <c r="D90" i="1"/>
  <c r="D78" i="1"/>
  <c r="D66" i="1"/>
  <c r="D54" i="1"/>
  <c r="D42" i="1"/>
  <c r="D30" i="1"/>
  <c r="D18" i="1"/>
  <c r="D235" i="1"/>
  <c r="D257" i="1"/>
  <c r="D245" i="1"/>
  <c r="D233" i="1"/>
  <c r="D221" i="1"/>
  <c r="D209" i="1"/>
  <c r="D197" i="1"/>
  <c r="D185" i="1"/>
  <c r="D173" i="1"/>
  <c r="D161" i="1"/>
  <c r="D149" i="1"/>
  <c r="D137" i="1"/>
  <c r="D125" i="1"/>
  <c r="D113" i="1"/>
  <c r="D101" i="1"/>
  <c r="D89" i="1"/>
  <c r="D77" i="1"/>
  <c r="D65" i="1"/>
  <c r="D53" i="1"/>
  <c r="D41" i="1"/>
  <c r="D29" i="1"/>
  <c r="D17" i="1"/>
  <c r="D255" i="1"/>
  <c r="D243" i="1"/>
  <c r="D231" i="1"/>
  <c r="D219" i="1"/>
  <c r="D207" i="1"/>
  <c r="D195" i="1"/>
  <c r="D183" i="1"/>
  <c r="D171" i="1"/>
  <c r="D159" i="1"/>
  <c r="D147" i="1"/>
  <c r="D135" i="1"/>
  <c r="D123" i="1"/>
  <c r="D111" i="1"/>
  <c r="D99" i="1"/>
  <c r="D87" i="1"/>
  <c r="D75" i="1"/>
  <c r="D63" i="1"/>
  <c r="D51" i="1"/>
  <c r="D39" i="1"/>
  <c r="D27" i="1"/>
  <c r="D15" i="1"/>
  <c r="D170" i="1"/>
  <c r="D62" i="1"/>
  <c r="D50" i="1"/>
  <c r="D38" i="1"/>
  <c r="D26" i="1"/>
  <c r="D14" i="1"/>
  <c r="D252" i="1"/>
  <c r="D240" i="1"/>
  <c r="D228" i="1"/>
  <c r="D216" i="1"/>
  <c r="D204" i="1"/>
  <c r="D192" i="1"/>
  <c r="D180" i="1"/>
  <c r="D168" i="1"/>
  <c r="D156" i="1"/>
  <c r="D144" i="1"/>
  <c r="D132" i="1"/>
  <c r="D120" i="1"/>
  <c r="D108" i="1"/>
  <c r="D96" i="1"/>
  <c r="D84" i="1"/>
  <c r="D72" i="1"/>
  <c r="D60" i="1"/>
  <c r="D48" i="1"/>
  <c r="D36" i="1"/>
  <c r="D24" i="1"/>
  <c r="D12" i="1"/>
  <c r="D253" i="1"/>
  <c r="D251" i="1"/>
  <c r="D179" i="1"/>
  <c r="D167" i="1"/>
  <c r="D155" i="1"/>
  <c r="D143" i="1"/>
  <c r="D131" i="1"/>
  <c r="D119" i="1"/>
  <c r="D107" i="1"/>
  <c r="D95" i="1"/>
  <c r="D83" i="1"/>
  <c r="D71" i="1"/>
  <c r="D59" i="1"/>
  <c r="D47" i="1"/>
  <c r="D35" i="1"/>
  <c r="D23" i="1"/>
  <c r="D11" i="1"/>
  <c r="D250" i="1"/>
  <c r="D238" i="1"/>
  <c r="D226" i="1"/>
  <c r="D214" i="1"/>
  <c r="D202" i="1"/>
  <c r="D190" i="1"/>
  <c r="D178" i="1"/>
  <c r="D166" i="1"/>
  <c r="D154" i="1"/>
  <c r="D142" i="1"/>
  <c r="D130" i="1"/>
  <c r="D118" i="1"/>
  <c r="D106" i="1"/>
  <c r="D94" i="1"/>
  <c r="D82" i="1"/>
  <c r="D70" i="1"/>
  <c r="D58" i="1"/>
  <c r="D46" i="1"/>
  <c r="D34" i="1"/>
  <c r="D22" i="1"/>
  <c r="D10" i="1"/>
  <c r="D249" i="1"/>
  <c r="D237" i="1"/>
  <c r="D225" i="1"/>
  <c r="D213" i="1"/>
  <c r="D201" i="1"/>
  <c r="D189" i="1"/>
  <c r="D177" i="1"/>
  <c r="D165" i="1"/>
  <c r="D153" i="1"/>
  <c r="D141" i="1"/>
  <c r="D129" i="1"/>
  <c r="D117" i="1"/>
  <c r="D105" i="1"/>
  <c r="D93" i="1"/>
  <c r="D81" i="1"/>
  <c r="D69" i="1"/>
  <c r="D57" i="1"/>
  <c r="D45" i="1"/>
  <c r="D33" i="1"/>
  <c r="D21" i="1"/>
  <c r="D9" i="1"/>
  <c r="E264" i="1" s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9" i="2"/>
  <c r="J3" i="2" a="1"/>
  <c r="J3" i="2" l="1"/>
  <c r="E136" i="2"/>
  <c r="G136" i="2" s="1"/>
  <c r="G35" i="2"/>
  <c r="G33" i="2"/>
  <c r="G49" i="2"/>
  <c r="G80" i="2"/>
  <c r="G10" i="2"/>
  <c r="G73" i="2"/>
  <c r="G54" i="2"/>
  <c r="G84" i="2"/>
  <c r="G98" i="2"/>
  <c r="G111" i="2"/>
  <c r="G34" i="2"/>
  <c r="G56" i="2"/>
  <c r="G75" i="2"/>
  <c r="G92" i="2"/>
  <c r="G86" i="2"/>
  <c r="G91" i="2"/>
  <c r="G96" i="2"/>
  <c r="G97" i="2"/>
  <c r="G110" i="2"/>
  <c r="G46" i="2"/>
  <c r="G36" i="2"/>
  <c r="G48" i="2"/>
  <c r="G61" i="2"/>
  <c r="G42" i="2"/>
  <c r="G95" i="2"/>
  <c r="G78" i="2"/>
  <c r="G103" i="2"/>
  <c r="G128" i="2"/>
  <c r="G107" i="2"/>
  <c r="G108" i="2"/>
  <c r="G109" i="2"/>
  <c r="G122" i="2"/>
  <c r="G58" i="2"/>
  <c r="G31" i="2"/>
  <c r="G63" i="2"/>
  <c r="G68" i="2"/>
  <c r="G45" i="2"/>
  <c r="G59" i="2"/>
  <c r="G22" i="2"/>
  <c r="G116" i="2"/>
  <c r="G90" i="2"/>
  <c r="G115" i="2"/>
  <c r="G8" i="2"/>
  <c r="G119" i="2"/>
  <c r="G120" i="2"/>
  <c r="G121" i="2"/>
  <c r="G134" i="2"/>
  <c r="G70" i="2"/>
  <c r="G50" i="2"/>
  <c r="G43" i="2"/>
  <c r="G74" i="2"/>
  <c r="G67" i="2"/>
  <c r="G85" i="2"/>
  <c r="G102" i="2"/>
  <c r="G127" i="2"/>
  <c r="G9" i="2"/>
  <c r="G131" i="2"/>
  <c r="G132" i="2"/>
  <c r="G133" i="2"/>
  <c r="G15" i="2"/>
  <c r="G82" i="2"/>
  <c r="G18" i="2"/>
  <c r="G55" i="2"/>
  <c r="G87" i="2"/>
  <c r="G69" i="2"/>
  <c r="G79" i="2"/>
  <c r="G66" i="2"/>
  <c r="G114" i="2"/>
  <c r="G20" i="2"/>
  <c r="G129" i="2"/>
  <c r="G123" i="2"/>
  <c r="G135" i="2"/>
  <c r="G14" i="2"/>
  <c r="G27" i="2"/>
  <c r="G94" i="2"/>
  <c r="G29" i="2"/>
  <c r="G62" i="2"/>
  <c r="G30" i="2"/>
  <c r="G57" i="2"/>
  <c r="G72" i="2"/>
  <c r="G99" i="2"/>
  <c r="G104" i="2"/>
  <c r="G126" i="2"/>
  <c r="G32" i="2"/>
  <c r="G11" i="2"/>
  <c r="G12" i="2"/>
  <c r="G13" i="2"/>
  <c r="G26" i="2"/>
  <c r="G39" i="2"/>
  <c r="G37" i="2"/>
  <c r="G47" i="2"/>
  <c r="G60" i="2"/>
  <c r="G71" i="2"/>
  <c r="G83" i="2"/>
  <c r="G17" i="2"/>
  <c r="G19" i="2"/>
  <c r="G44" i="2"/>
  <c r="G23" i="2"/>
  <c r="G24" i="2"/>
  <c r="G25" i="2"/>
  <c r="G38" i="2"/>
  <c r="G51" i="2"/>
  <c r="G21" i="2"/>
  <c r="I144" i="2"/>
  <c r="K144" i="2" s="1"/>
  <c r="J145" i="2"/>
  <c r="M146" i="2"/>
  <c r="E184" i="1"/>
  <c r="E140" i="1"/>
  <c r="E254" i="1"/>
  <c r="E79" i="1"/>
  <c r="E28" i="1"/>
  <c r="E242" i="1"/>
  <c r="E98" i="1"/>
  <c r="E217" i="1"/>
  <c r="E145" i="1"/>
  <c r="E97" i="1"/>
  <c r="E76" i="1"/>
  <c r="E229" i="1"/>
  <c r="E100" i="1"/>
  <c r="E232" i="1"/>
  <c r="E64" i="1"/>
  <c r="E88" i="1"/>
  <c r="E128" i="1"/>
  <c r="E67" i="1"/>
  <c r="E230" i="1"/>
  <c r="E86" i="1"/>
  <c r="E169" i="1"/>
  <c r="E160" i="1"/>
  <c r="E73" i="1"/>
  <c r="E196" i="1"/>
  <c r="E239" i="1"/>
  <c r="E199" i="1"/>
  <c r="E148" i="1"/>
  <c r="E241" i="1"/>
  <c r="E152" i="1"/>
  <c r="E52" i="1"/>
  <c r="E8" i="1"/>
  <c r="E116" i="1"/>
  <c r="E211" i="1"/>
  <c r="E55" i="1"/>
  <c r="E218" i="1"/>
  <c r="E74" i="1"/>
  <c r="E121" i="1"/>
  <c r="E49" i="1"/>
  <c r="E205" i="1"/>
  <c r="E37" i="1"/>
  <c r="E104" i="1"/>
  <c r="E187" i="1"/>
  <c r="E43" i="1"/>
  <c r="E206" i="1"/>
  <c r="E164" i="1"/>
  <c r="E122" i="1"/>
  <c r="E91" i="1"/>
  <c r="E110" i="1"/>
  <c r="E193" i="1"/>
  <c r="E236" i="1"/>
  <c r="E92" i="1"/>
  <c r="E175" i="1"/>
  <c r="E31" i="1"/>
  <c r="E194" i="1"/>
  <c r="E157" i="1"/>
  <c r="E20" i="1"/>
  <c r="E224" i="1"/>
  <c r="E80" i="1"/>
  <c r="E163" i="1"/>
  <c r="E19" i="1"/>
  <c r="E182" i="1"/>
  <c r="E109" i="1"/>
  <c r="E172" i="1"/>
  <c r="E212" i="1"/>
  <c r="E68" i="1"/>
  <c r="E151" i="1"/>
  <c r="E220" i="1"/>
  <c r="E61" i="1"/>
  <c r="E181" i="1"/>
  <c r="E124" i="1"/>
  <c r="E103" i="1"/>
  <c r="E40" i="1"/>
  <c r="E200" i="1"/>
  <c r="E56" i="1"/>
  <c r="E139" i="1"/>
  <c r="E112" i="1"/>
  <c r="E136" i="1"/>
  <c r="E158" i="1"/>
  <c r="E133" i="1"/>
  <c r="E215" i="1"/>
  <c r="E25" i="1"/>
  <c r="E188" i="1"/>
  <c r="E44" i="1"/>
  <c r="E127" i="1"/>
  <c r="E259" i="1"/>
  <c r="E248" i="1"/>
  <c r="E16" i="1"/>
  <c r="E146" i="1"/>
  <c r="E13" i="1"/>
  <c r="E227" i="1"/>
  <c r="E85" i="1"/>
  <c r="E244" i="1"/>
  <c r="E203" i="1"/>
  <c r="E191" i="1"/>
  <c r="E176" i="1"/>
  <c r="E32" i="1"/>
  <c r="E115" i="1"/>
  <c r="E223" i="1"/>
  <c r="E208" i="1"/>
  <c r="E134" i="1"/>
  <c r="E256" i="1"/>
  <c r="E21" i="1"/>
  <c r="E135" i="1"/>
  <c r="E33" i="1"/>
  <c r="E147" i="1"/>
  <c r="E45" i="1"/>
  <c r="E192" i="1"/>
  <c r="E15" i="1"/>
  <c r="E159" i="1"/>
  <c r="E137" i="1"/>
  <c r="E235" i="1"/>
  <c r="E126" i="1"/>
  <c r="E246" i="1"/>
  <c r="E125" i="1"/>
  <c r="E189" i="1"/>
  <c r="E83" i="1"/>
  <c r="E60" i="1"/>
  <c r="E204" i="1"/>
  <c r="E27" i="1"/>
  <c r="E171" i="1"/>
  <c r="E149" i="1"/>
  <c r="E138" i="1"/>
  <c r="E47" i="1"/>
  <c r="E102" i="1"/>
  <c r="E114" i="1"/>
  <c r="E154" i="1"/>
  <c r="E95" i="1"/>
  <c r="E251" i="1"/>
  <c r="E72" i="1"/>
  <c r="E216" i="1"/>
  <c r="E14" i="1"/>
  <c r="E39" i="1"/>
  <c r="E183" i="1"/>
  <c r="E17" i="1"/>
  <c r="E161" i="1"/>
  <c r="E150" i="1"/>
  <c r="E24" i="1"/>
  <c r="E118" i="1"/>
  <c r="E201" i="1"/>
  <c r="E225" i="1"/>
  <c r="E22" i="1"/>
  <c r="E166" i="1"/>
  <c r="E107" i="1"/>
  <c r="E84" i="1"/>
  <c r="E228" i="1"/>
  <c r="E26" i="1"/>
  <c r="E170" i="1"/>
  <c r="E51" i="1"/>
  <c r="E195" i="1"/>
  <c r="E29" i="1"/>
  <c r="E173" i="1"/>
  <c r="E18" i="1"/>
  <c r="E162" i="1"/>
  <c r="E257" i="1"/>
  <c r="E59" i="1"/>
  <c r="E48" i="1"/>
  <c r="E178" i="1"/>
  <c r="E96" i="1"/>
  <c r="E240" i="1"/>
  <c r="E38" i="1"/>
  <c r="E63" i="1"/>
  <c r="E207" i="1"/>
  <c r="E41" i="1"/>
  <c r="E185" i="1"/>
  <c r="E30" i="1"/>
  <c r="E174" i="1"/>
  <c r="E168" i="1"/>
  <c r="E177" i="1"/>
  <c r="E142" i="1"/>
  <c r="E46" i="1"/>
  <c r="E252" i="1"/>
  <c r="E75" i="1"/>
  <c r="E219" i="1"/>
  <c r="E53" i="1"/>
  <c r="E197" i="1"/>
  <c r="E42" i="1"/>
  <c r="E186" i="1"/>
  <c r="E57" i="1"/>
  <c r="E81" i="1"/>
  <c r="E119" i="1"/>
  <c r="E190" i="1"/>
  <c r="E58" i="1"/>
  <c r="E120" i="1"/>
  <c r="E62" i="1"/>
  <c r="E87" i="1"/>
  <c r="E231" i="1"/>
  <c r="E65" i="1"/>
  <c r="E209" i="1"/>
  <c r="E54" i="1"/>
  <c r="E198" i="1"/>
  <c r="E250" i="1"/>
  <c r="E113" i="1"/>
  <c r="E36" i="1"/>
  <c r="E258" i="1"/>
  <c r="E213" i="1"/>
  <c r="E34" i="1"/>
  <c r="E202" i="1"/>
  <c r="E214" i="1"/>
  <c r="E11" i="1"/>
  <c r="E155" i="1"/>
  <c r="E253" i="1"/>
  <c r="E132" i="1"/>
  <c r="E99" i="1"/>
  <c r="E243" i="1"/>
  <c r="E77" i="1"/>
  <c r="E221" i="1"/>
  <c r="E66" i="1"/>
  <c r="E210" i="1"/>
  <c r="E165" i="1"/>
  <c r="E130" i="1"/>
  <c r="E10" i="1"/>
  <c r="E237" i="1"/>
  <c r="E105" i="1"/>
  <c r="E131" i="1"/>
  <c r="E50" i="1"/>
  <c r="E141" i="1"/>
  <c r="E82" i="1"/>
  <c r="E226" i="1"/>
  <c r="E23" i="1"/>
  <c r="E167" i="1"/>
  <c r="E144" i="1"/>
  <c r="E111" i="1"/>
  <c r="E255" i="1"/>
  <c r="E89" i="1"/>
  <c r="E233" i="1"/>
  <c r="E78" i="1"/>
  <c r="E222" i="1"/>
  <c r="E247" i="1"/>
  <c r="E106" i="1"/>
  <c r="E180" i="1"/>
  <c r="E71" i="1"/>
  <c r="E69" i="1"/>
  <c r="E93" i="1"/>
  <c r="E249" i="1"/>
  <c r="E108" i="1"/>
  <c r="E117" i="1"/>
  <c r="E143" i="1"/>
  <c r="E129" i="1"/>
  <c r="E70" i="1"/>
  <c r="E9" i="1"/>
  <c r="E153" i="1"/>
  <c r="E94" i="1"/>
  <c r="E238" i="1"/>
  <c r="E35" i="1"/>
  <c r="E179" i="1"/>
  <c r="E12" i="1"/>
  <c r="E156" i="1"/>
  <c r="E123" i="1"/>
  <c r="E101" i="1"/>
  <c r="E245" i="1"/>
  <c r="E90" i="1"/>
  <c r="E234" i="1"/>
  <c r="M145" i="2"/>
  <c r="N145" i="2"/>
  <c r="B10" i="2"/>
  <c r="G3" i="2" l="1"/>
  <c r="G4" i="2" s="1"/>
  <c r="I143" i="2"/>
  <c r="K143" i="2" s="1"/>
  <c r="J144" i="2"/>
  <c r="M144" i="2" s="1"/>
  <c r="E266" i="1"/>
  <c r="F266" i="1" s="1"/>
  <c r="B11" i="2"/>
  <c r="N144" i="2" l="1"/>
  <c r="I142" i="2"/>
  <c r="K142" i="2" s="1"/>
  <c r="J143" i="2"/>
  <c r="N143" i="2" s="1"/>
  <c r="B12" i="2"/>
  <c r="M143" i="2" l="1"/>
  <c r="I141" i="2"/>
  <c r="K141" i="2" s="1"/>
  <c r="J142" i="2"/>
  <c r="N142" i="2" s="1"/>
  <c r="I47" i="1"/>
  <c r="I56" i="1"/>
  <c r="I39" i="1"/>
  <c r="I146" i="1"/>
  <c r="H252" i="1"/>
  <c r="I72" i="1"/>
  <c r="I148" i="1"/>
  <c r="H251" i="1"/>
  <c r="I71" i="1"/>
  <c r="H83" i="1"/>
  <c r="H131" i="1"/>
  <c r="I116" i="1"/>
  <c r="I103" i="1"/>
  <c r="I88" i="1"/>
  <c r="H39" i="1"/>
  <c r="H215" i="1"/>
  <c r="I200" i="1"/>
  <c r="H60" i="1"/>
  <c r="H136" i="1"/>
  <c r="I238" i="1"/>
  <c r="H20" i="1"/>
  <c r="I70" i="1"/>
  <c r="I54" i="1"/>
  <c r="H104" i="1"/>
  <c r="H52" i="1"/>
  <c r="H256" i="1"/>
  <c r="I171" i="1"/>
  <c r="I35" i="1"/>
  <c r="I123" i="1"/>
  <c r="I40" i="1"/>
  <c r="I251" i="1"/>
  <c r="H211" i="1"/>
  <c r="H27" i="1"/>
  <c r="H239" i="1"/>
  <c r="H220" i="1"/>
  <c r="H160" i="1"/>
  <c r="I207" i="1"/>
  <c r="I166" i="1"/>
  <c r="I140" i="1"/>
  <c r="H196" i="1"/>
  <c r="H34" i="1"/>
  <c r="I223" i="1"/>
  <c r="I250" i="1"/>
  <c r="I175" i="1"/>
  <c r="I174" i="1"/>
  <c r="H28" i="1"/>
  <c r="H24" i="1"/>
  <c r="H163" i="1"/>
  <c r="H148" i="1"/>
  <c r="H244" i="1"/>
  <c r="H38" i="1"/>
  <c r="I226" i="1"/>
  <c r="I135" i="1"/>
  <c r="I258" i="1"/>
  <c r="I212" i="1"/>
  <c r="H172" i="1"/>
  <c r="H168" i="1"/>
  <c r="I167" i="1"/>
  <c r="I152" i="1"/>
  <c r="I76" i="1"/>
  <c r="H75" i="1"/>
  <c r="I85" i="1"/>
  <c r="H188" i="1"/>
  <c r="H187" i="1"/>
  <c r="H79" i="1"/>
  <c r="H214" i="1"/>
  <c r="H111" i="1"/>
  <c r="H19" i="1"/>
  <c r="I66" i="1"/>
  <c r="I179" i="1"/>
  <c r="H118" i="1"/>
  <c r="I98" i="1"/>
  <c r="I198" i="1"/>
  <c r="I15" i="1"/>
  <c r="H179" i="1"/>
  <c r="I215" i="1"/>
  <c r="I150" i="1"/>
  <c r="I84" i="1"/>
  <c r="I184" i="1"/>
  <c r="I206" i="1"/>
  <c r="I111" i="1"/>
  <c r="I34" i="1"/>
  <c r="H123" i="1"/>
  <c r="I168" i="1"/>
  <c r="H99" i="1"/>
  <c r="I187" i="1"/>
  <c r="I20" i="1"/>
  <c r="H84" i="1"/>
  <c r="H108" i="1"/>
  <c r="I143" i="1"/>
  <c r="I155" i="1"/>
  <c r="H155" i="1"/>
  <c r="H115" i="1"/>
  <c r="I44" i="1"/>
  <c r="I62" i="1"/>
  <c r="I81" i="1"/>
  <c r="I46" i="1"/>
  <c r="I95" i="1"/>
  <c r="H156" i="1"/>
  <c r="H207" i="1"/>
  <c r="I231" i="1"/>
  <c r="I14" i="1"/>
  <c r="I243" i="1"/>
  <c r="H152" i="1"/>
  <c r="I60" i="1"/>
  <c r="H249" i="1"/>
  <c r="H231" i="1"/>
  <c r="H135" i="1"/>
  <c r="H248" i="1"/>
  <c r="H120" i="1"/>
  <c r="I190" i="1"/>
  <c r="I195" i="1"/>
  <c r="H210" i="1"/>
  <c r="H30" i="1"/>
  <c r="H245" i="1"/>
  <c r="I204" i="1"/>
  <c r="H128" i="1"/>
  <c r="I242" i="1"/>
  <c r="I82" i="1"/>
  <c r="H164" i="1"/>
  <c r="I188" i="1"/>
  <c r="H206" i="1"/>
  <c r="I189" i="1"/>
  <c r="H225" i="1"/>
  <c r="I8" i="1"/>
  <c r="I104" i="1"/>
  <c r="I194" i="1"/>
  <c r="I52" i="1"/>
  <c r="I142" i="1"/>
  <c r="I255" i="1"/>
  <c r="H76" i="1"/>
  <c r="H199" i="1"/>
  <c r="I108" i="1"/>
  <c r="I235" i="1"/>
  <c r="I43" i="1"/>
  <c r="I144" i="1"/>
  <c r="H176" i="1"/>
  <c r="H198" i="1"/>
  <c r="I185" i="1"/>
  <c r="H133" i="1"/>
  <c r="I224" i="1"/>
  <c r="H59" i="1"/>
  <c r="I159" i="1"/>
  <c r="I232" i="1"/>
  <c r="H67" i="1"/>
  <c r="I180" i="1"/>
  <c r="H15" i="1"/>
  <c r="I128" i="1"/>
  <c r="I216" i="1"/>
  <c r="H51" i="1"/>
  <c r="H192" i="1"/>
  <c r="H103" i="1"/>
  <c r="I228" i="1"/>
  <c r="I36" i="1"/>
  <c r="I87" i="1"/>
  <c r="I74" i="1"/>
  <c r="H134" i="1"/>
  <c r="I181" i="1"/>
  <c r="H117" i="1"/>
  <c r="I256" i="1"/>
  <c r="H116" i="1"/>
  <c r="H204" i="1"/>
  <c r="H12" i="1"/>
  <c r="I186" i="1"/>
  <c r="H96" i="1"/>
  <c r="I178" i="1"/>
  <c r="H31" i="1"/>
  <c r="I80" i="1"/>
  <c r="I67" i="1"/>
  <c r="H122" i="1"/>
  <c r="I97" i="1"/>
  <c r="H113" i="1"/>
  <c r="H110" i="1"/>
  <c r="H10" i="1"/>
  <c r="I169" i="1"/>
  <c r="I69" i="1"/>
  <c r="H217" i="1"/>
  <c r="H101" i="1"/>
  <c r="I23" i="1"/>
  <c r="I138" i="1"/>
  <c r="I10" i="1"/>
  <c r="H174" i="1"/>
  <c r="H86" i="1"/>
  <c r="I245" i="1"/>
  <c r="I145" i="1"/>
  <c r="I41" i="1"/>
  <c r="H185" i="1"/>
  <c r="H69" i="1"/>
  <c r="I100" i="1"/>
  <c r="I18" i="1"/>
  <c r="H139" i="1"/>
  <c r="I16" i="1"/>
  <c r="I131" i="1"/>
  <c r="H250" i="1"/>
  <c r="H170" i="1"/>
  <c r="H78" i="1"/>
  <c r="I229" i="1"/>
  <c r="I137" i="1"/>
  <c r="I37" i="1"/>
  <c r="H181" i="1"/>
  <c r="H65" i="1"/>
  <c r="I102" i="1"/>
  <c r="I236" i="1"/>
  <c r="I154" i="1"/>
  <c r="I58" i="1"/>
  <c r="H223" i="1"/>
  <c r="H95" i="1"/>
  <c r="H228" i="1"/>
  <c r="H132" i="1"/>
  <c r="H11" i="1"/>
  <c r="I124" i="1"/>
  <c r="H246" i="1"/>
  <c r="H166" i="1"/>
  <c r="H74" i="1"/>
  <c r="I225" i="1"/>
  <c r="I133" i="1"/>
  <c r="I33" i="1"/>
  <c r="H177" i="1"/>
  <c r="H61" i="1"/>
  <c r="I51" i="1"/>
  <c r="H184" i="1"/>
  <c r="H88" i="1"/>
  <c r="I222" i="1"/>
  <c r="I126" i="1"/>
  <c r="H240" i="1"/>
  <c r="H112" i="1"/>
  <c r="H238" i="1"/>
  <c r="H150" i="1"/>
  <c r="H66" i="1"/>
  <c r="I217" i="1"/>
  <c r="I117" i="1"/>
  <c r="I25" i="1"/>
  <c r="H153" i="1"/>
  <c r="H37" i="1"/>
  <c r="H68" i="1"/>
  <c r="H247" i="1"/>
  <c r="H183" i="1"/>
  <c r="H119" i="1"/>
  <c r="I42" i="1"/>
  <c r="H242" i="1"/>
  <c r="H202" i="1"/>
  <c r="H154" i="1"/>
  <c r="H114" i="1"/>
  <c r="H70" i="1"/>
  <c r="H14" i="1"/>
  <c r="I221" i="1"/>
  <c r="I177" i="1"/>
  <c r="I121" i="1"/>
  <c r="I73" i="1"/>
  <c r="I29" i="1"/>
  <c r="H221" i="1"/>
  <c r="H173" i="1"/>
  <c r="H109" i="1"/>
  <c r="H45" i="1"/>
  <c r="H32" i="1"/>
  <c r="I203" i="1"/>
  <c r="I139" i="1"/>
  <c r="I75" i="1"/>
  <c r="I247" i="1"/>
  <c r="I183" i="1"/>
  <c r="I119" i="1"/>
  <c r="H43" i="1"/>
  <c r="I234" i="1"/>
  <c r="I170" i="1"/>
  <c r="I92" i="1"/>
  <c r="I28" i="1"/>
  <c r="H234" i="1"/>
  <c r="H186" i="1"/>
  <c r="H146" i="1"/>
  <c r="H106" i="1"/>
  <c r="H54" i="1"/>
  <c r="I257" i="1"/>
  <c r="I213" i="1"/>
  <c r="I157" i="1"/>
  <c r="I113" i="1"/>
  <c r="I65" i="1"/>
  <c r="I9" i="1"/>
  <c r="H213" i="1"/>
  <c r="H149" i="1"/>
  <c r="H97" i="1"/>
  <c r="H33" i="1"/>
  <c r="I90" i="1"/>
  <c r="I196" i="1"/>
  <c r="I132" i="1"/>
  <c r="I68" i="1"/>
  <c r="I240" i="1"/>
  <c r="I176" i="1"/>
  <c r="I112" i="1"/>
  <c r="H36" i="1"/>
  <c r="I227" i="1"/>
  <c r="I163" i="1"/>
  <c r="H87" i="1"/>
  <c r="H23" i="1"/>
  <c r="H230" i="1"/>
  <c r="H182" i="1"/>
  <c r="H142" i="1"/>
  <c r="H102" i="1"/>
  <c r="H46" i="1"/>
  <c r="I253" i="1"/>
  <c r="I209" i="1"/>
  <c r="I153" i="1"/>
  <c r="I105" i="1"/>
  <c r="I61" i="1"/>
  <c r="H257" i="1"/>
  <c r="H209" i="1"/>
  <c r="H145" i="1"/>
  <c r="H81" i="1"/>
  <c r="H29" i="1"/>
  <c r="I26" i="1"/>
  <c r="I214" i="1"/>
  <c r="I86" i="1"/>
  <c r="H200" i="1"/>
  <c r="H47" i="1"/>
  <c r="I160" i="1"/>
  <c r="I32" i="1"/>
  <c r="I120" i="1"/>
  <c r="I246" i="1"/>
  <c r="I118" i="1"/>
  <c r="I219" i="1"/>
  <c r="I91" i="1"/>
  <c r="H219" i="1"/>
  <c r="I64" i="1"/>
  <c r="I191" i="1"/>
  <c r="I63" i="1"/>
  <c r="I211" i="1"/>
  <c r="I147" i="1"/>
  <c r="I83" i="1"/>
  <c r="H255" i="1"/>
  <c r="H191" i="1"/>
  <c r="H127" i="1"/>
  <c r="I50" i="1"/>
  <c r="H235" i="1"/>
  <c r="H171" i="1"/>
  <c r="I94" i="1"/>
  <c r="I30" i="1"/>
  <c r="I220" i="1"/>
  <c r="H144" i="1"/>
  <c r="H80" i="1"/>
  <c r="H16" i="1"/>
  <c r="H218" i="1"/>
  <c r="H178" i="1"/>
  <c r="H138" i="1"/>
  <c r="H90" i="1"/>
  <c r="H42" i="1"/>
  <c r="I249" i="1"/>
  <c r="I193" i="1"/>
  <c r="I149" i="1"/>
  <c r="I101" i="1"/>
  <c r="I49" i="1"/>
  <c r="H253" i="1"/>
  <c r="H189" i="1"/>
  <c r="H141" i="1"/>
  <c r="H77" i="1"/>
  <c r="H25" i="1"/>
  <c r="H205" i="1"/>
  <c r="H129" i="1"/>
  <c r="H57" i="1"/>
  <c r="I239" i="1"/>
  <c r="H35" i="1"/>
  <c r="H72" i="1"/>
  <c r="I110" i="1"/>
  <c r="H147" i="1"/>
  <c r="H195" i="1"/>
  <c r="I244" i="1"/>
  <c r="H40" i="1"/>
  <c r="H91" i="1"/>
  <c r="H140" i="1"/>
  <c r="H224" i="1"/>
  <c r="I122" i="1"/>
  <c r="I19" i="1"/>
  <c r="I164" i="1"/>
  <c r="H63" i="1"/>
  <c r="I208" i="1"/>
  <c r="H107" i="1"/>
  <c r="I55" i="1"/>
  <c r="H208" i="1"/>
  <c r="I156" i="1"/>
  <c r="I106" i="1"/>
  <c r="H55" i="1"/>
  <c r="H226" i="1"/>
  <c r="H194" i="1"/>
  <c r="H162" i="1"/>
  <c r="H130" i="1"/>
  <c r="H98" i="1"/>
  <c r="H62" i="1"/>
  <c r="H26" i="1"/>
  <c r="I241" i="1"/>
  <c r="I201" i="1"/>
  <c r="I165" i="1"/>
  <c r="I129" i="1"/>
  <c r="I93" i="1"/>
  <c r="I57" i="1"/>
  <c r="I21" i="1"/>
  <c r="H237" i="1"/>
  <c r="H197" i="1"/>
  <c r="H161" i="1"/>
  <c r="H125" i="1"/>
  <c r="H89" i="1"/>
  <c r="H53" i="1"/>
  <c r="H17" i="1"/>
  <c r="H241" i="1"/>
  <c r="H165" i="1"/>
  <c r="H93" i="1"/>
  <c r="H21" i="1"/>
  <c r="I136" i="1"/>
  <c r="H175" i="1"/>
  <c r="H212" i="1"/>
  <c r="I248" i="1"/>
  <c r="H44" i="1"/>
  <c r="H92" i="1"/>
  <c r="H143" i="1"/>
  <c r="I192" i="1"/>
  <c r="H243" i="1"/>
  <c r="I38" i="1"/>
  <c r="I172" i="1"/>
  <c r="H71" i="1"/>
  <c r="H216" i="1"/>
  <c r="I114" i="1"/>
  <c r="I11" i="1"/>
  <c r="I158" i="1"/>
  <c r="H8" i="1"/>
  <c r="H258" i="1"/>
  <c r="H227" i="1"/>
  <c r="H124" i="1"/>
  <c r="I22" i="1"/>
  <c r="I162" i="1"/>
  <c r="I59" i="1"/>
  <c r="I199" i="1"/>
  <c r="I96" i="1"/>
  <c r="H236" i="1"/>
  <c r="I134" i="1"/>
  <c r="I31" i="1"/>
  <c r="I182" i="1"/>
  <c r="I79" i="1"/>
  <c r="H232" i="1"/>
  <c r="I130" i="1"/>
  <c r="I27" i="1"/>
  <c r="H180" i="1"/>
  <c r="I78" i="1"/>
  <c r="I230" i="1"/>
  <c r="I127" i="1"/>
  <c r="I24" i="1"/>
  <c r="I218" i="1"/>
  <c r="H167" i="1"/>
  <c r="I115" i="1"/>
  <c r="H64" i="1"/>
  <c r="I12" i="1"/>
  <c r="I210" i="1"/>
  <c r="H159" i="1"/>
  <c r="I107" i="1"/>
  <c r="H56" i="1"/>
  <c r="I254" i="1"/>
  <c r="H203" i="1"/>
  <c r="I151" i="1"/>
  <c r="H100" i="1"/>
  <c r="I48" i="1"/>
  <c r="I252" i="1"/>
  <c r="I202" i="1"/>
  <c r="H151" i="1"/>
  <c r="I99" i="1"/>
  <c r="H48" i="1"/>
  <c r="H254" i="1"/>
  <c r="H222" i="1"/>
  <c r="H190" i="1"/>
  <c r="H158" i="1"/>
  <c r="H126" i="1"/>
  <c r="H94" i="1"/>
  <c r="H58" i="1"/>
  <c r="H22" i="1"/>
  <c r="I233" i="1"/>
  <c r="I197" i="1"/>
  <c r="I161" i="1"/>
  <c r="I125" i="1"/>
  <c r="I89" i="1"/>
  <c r="I53" i="1"/>
  <c r="I17" i="1"/>
  <c r="H229" i="1"/>
  <c r="H193" i="1"/>
  <c r="H157" i="1"/>
  <c r="H121" i="1"/>
  <c r="H85" i="1"/>
  <c r="H49" i="1"/>
  <c r="H13" i="1"/>
  <c r="H82" i="1"/>
  <c r="H50" i="1"/>
  <c r="H18" i="1"/>
  <c r="I237" i="1"/>
  <c r="I205" i="1"/>
  <c r="I173" i="1"/>
  <c r="I141" i="1"/>
  <c r="I109" i="1"/>
  <c r="I77" i="1"/>
  <c r="I45" i="1"/>
  <c r="I13" i="1"/>
  <c r="H233" i="1"/>
  <c r="H201" i="1"/>
  <c r="H169" i="1"/>
  <c r="H137" i="1"/>
  <c r="H105" i="1"/>
  <c r="H73" i="1"/>
  <c r="H41" i="1"/>
  <c r="H9" i="1"/>
  <c r="B13" i="2"/>
  <c r="M142" i="2" l="1"/>
  <c r="I140" i="2"/>
  <c r="K140" i="2" s="1"/>
  <c r="J141" i="2"/>
  <c r="M141" i="2" s="1"/>
  <c r="B14" i="2"/>
  <c r="N141" i="2" l="1"/>
  <c r="I139" i="2"/>
  <c r="K139" i="2" s="1"/>
  <c r="J140" i="2"/>
  <c r="N140" i="2" s="1"/>
  <c r="B15" i="2"/>
  <c r="M140" i="2" l="1"/>
  <c r="I138" i="2"/>
  <c r="K138" i="2" s="1"/>
  <c r="J139" i="2"/>
  <c r="M139" i="2" s="1"/>
  <c r="B16" i="2"/>
  <c r="N139" i="2" l="1"/>
  <c r="I137" i="2"/>
  <c r="K137" i="2" s="1"/>
  <c r="J138" i="2"/>
  <c r="M138" i="2" s="1"/>
  <c r="B17" i="2"/>
  <c r="N138" i="2" l="1"/>
  <c r="I136" i="2"/>
  <c r="K136" i="2" s="1"/>
  <c r="J137" i="2"/>
  <c r="N137" i="2" s="1"/>
  <c r="B18" i="2"/>
  <c r="M137" i="2" l="1"/>
  <c r="I135" i="2"/>
  <c r="K135" i="2" s="1"/>
  <c r="J136" i="2"/>
  <c r="N136" i="2" s="1"/>
  <c r="B19" i="2"/>
  <c r="M136" i="2" l="1"/>
  <c r="I134" i="2"/>
  <c r="K134" i="2" s="1"/>
  <c r="J135" i="2"/>
  <c r="N135" i="2" s="1"/>
  <c r="B20" i="2"/>
  <c r="M135" i="2" l="1"/>
  <c r="I133" i="2"/>
  <c r="K133" i="2" s="1"/>
  <c r="J134" i="2"/>
  <c r="N134" i="2" s="1"/>
  <c r="B21" i="2"/>
  <c r="M134" i="2" l="1"/>
  <c r="I132" i="2"/>
  <c r="K132" i="2" s="1"/>
  <c r="J133" i="2"/>
  <c r="N133" i="2" s="1"/>
  <c r="B22" i="2"/>
  <c r="M133" i="2" l="1"/>
  <c r="I131" i="2"/>
  <c r="K131" i="2" s="1"/>
  <c r="J132" i="2"/>
  <c r="N132" i="2" s="1"/>
  <c r="B23" i="2"/>
  <c r="M132" i="2" l="1"/>
  <c r="I130" i="2"/>
  <c r="K130" i="2" s="1"/>
  <c r="J131" i="2"/>
  <c r="M131" i="2" s="1"/>
  <c r="B24" i="2"/>
  <c r="N131" i="2" l="1"/>
  <c r="I129" i="2"/>
  <c r="K129" i="2" s="1"/>
  <c r="J130" i="2"/>
  <c r="M130" i="2" s="1"/>
  <c r="B25" i="2"/>
  <c r="N130" i="2" l="1"/>
  <c r="I128" i="2"/>
  <c r="K128" i="2" s="1"/>
  <c r="J129" i="2"/>
  <c r="M129" i="2" s="1"/>
  <c r="B26" i="2"/>
  <c r="N129" i="2" l="1"/>
  <c r="I127" i="2"/>
  <c r="K127" i="2" s="1"/>
  <c r="J128" i="2"/>
  <c r="N128" i="2" s="1"/>
  <c r="B27" i="2"/>
  <c r="M128" i="2" l="1"/>
  <c r="I126" i="2"/>
  <c r="K126" i="2" s="1"/>
  <c r="J127" i="2"/>
  <c r="M127" i="2" s="1"/>
  <c r="B28" i="2"/>
  <c r="N127" i="2" l="1"/>
  <c r="I125" i="2"/>
  <c r="K125" i="2" s="1"/>
  <c r="J126" i="2"/>
  <c r="N126" i="2" s="1"/>
  <c r="B29" i="2"/>
  <c r="M126" i="2" l="1"/>
  <c r="I124" i="2"/>
  <c r="K124" i="2" s="1"/>
  <c r="J125" i="2"/>
  <c r="N125" i="2" s="1"/>
  <c r="B30" i="2"/>
  <c r="M125" i="2" l="1"/>
  <c r="I123" i="2"/>
  <c r="K123" i="2" s="1"/>
  <c r="J124" i="2"/>
  <c r="M124" i="2" s="1"/>
  <c r="B31" i="2"/>
  <c r="N124" i="2" l="1"/>
  <c r="I122" i="2"/>
  <c r="K122" i="2" s="1"/>
  <c r="J123" i="2"/>
  <c r="M123" i="2" s="1"/>
  <c r="B32" i="2"/>
  <c r="N123" i="2" l="1"/>
  <c r="I121" i="2"/>
  <c r="K121" i="2" s="1"/>
  <c r="J122" i="2"/>
  <c r="N122" i="2" s="1"/>
  <c r="B33" i="2"/>
  <c r="M122" i="2" l="1"/>
  <c r="I120" i="2"/>
  <c r="K120" i="2" s="1"/>
  <c r="J121" i="2"/>
  <c r="N121" i="2" s="1"/>
  <c r="B34" i="2"/>
  <c r="M121" i="2" l="1"/>
  <c r="I119" i="2"/>
  <c r="K119" i="2" s="1"/>
  <c r="J120" i="2"/>
  <c r="M120" i="2" s="1"/>
  <c r="B35" i="2"/>
  <c r="N120" i="2" l="1"/>
  <c r="I118" i="2"/>
  <c r="K118" i="2" s="1"/>
  <c r="J119" i="2"/>
  <c r="M119" i="2" s="1"/>
  <c r="B36" i="2"/>
  <c r="N119" i="2" l="1"/>
  <c r="I117" i="2"/>
  <c r="K117" i="2" s="1"/>
  <c r="J118" i="2"/>
  <c r="N118" i="2" s="1"/>
  <c r="B37" i="2"/>
  <c r="M118" i="2" l="1"/>
  <c r="I116" i="2"/>
  <c r="K116" i="2" s="1"/>
  <c r="J117" i="2"/>
  <c r="N117" i="2" s="1"/>
  <c r="B38" i="2"/>
  <c r="M117" i="2" l="1"/>
  <c r="I115" i="2"/>
  <c r="K115" i="2" s="1"/>
  <c r="J116" i="2"/>
  <c r="M116" i="2" s="1"/>
  <c r="B39" i="2"/>
  <c r="N116" i="2" l="1"/>
  <c r="I114" i="2"/>
  <c r="K114" i="2" s="1"/>
  <c r="J115" i="2"/>
  <c r="N115" i="2" s="1"/>
  <c r="B40" i="2"/>
  <c r="M115" i="2" l="1"/>
  <c r="I113" i="2"/>
  <c r="K113" i="2" s="1"/>
  <c r="J114" i="2"/>
  <c r="M114" i="2" s="1"/>
  <c r="B41" i="2"/>
  <c r="N114" i="2" l="1"/>
  <c r="I112" i="2"/>
  <c r="K112" i="2" s="1"/>
  <c r="J113" i="2"/>
  <c r="N113" i="2" s="1"/>
  <c r="B42" i="2"/>
  <c r="M113" i="2" l="1"/>
  <c r="I111" i="2"/>
  <c r="K111" i="2" s="1"/>
  <c r="J112" i="2"/>
  <c r="M112" i="2" s="1"/>
  <c r="B43" i="2"/>
  <c r="N112" i="2" l="1"/>
  <c r="I110" i="2"/>
  <c r="K110" i="2" s="1"/>
  <c r="J111" i="2"/>
  <c r="M111" i="2" s="1"/>
  <c r="B44" i="2"/>
  <c r="N111" i="2" l="1"/>
  <c r="I109" i="2"/>
  <c r="K109" i="2" s="1"/>
  <c r="J110" i="2"/>
  <c r="N110" i="2" s="1"/>
  <c r="B45" i="2"/>
  <c r="M110" i="2" l="1"/>
  <c r="I108" i="2"/>
  <c r="K108" i="2" s="1"/>
  <c r="J109" i="2"/>
  <c r="N109" i="2" s="1"/>
  <c r="B46" i="2"/>
  <c r="M109" i="2" l="1"/>
  <c r="I107" i="2"/>
  <c r="K107" i="2" s="1"/>
  <c r="J108" i="2"/>
  <c r="N108" i="2" s="1"/>
  <c r="B47" i="2"/>
  <c r="M108" i="2" l="1"/>
  <c r="I106" i="2"/>
  <c r="K106" i="2" s="1"/>
  <c r="J107" i="2"/>
  <c r="N107" i="2" s="1"/>
  <c r="B48" i="2"/>
  <c r="M107" i="2" l="1"/>
  <c r="I105" i="2"/>
  <c r="K105" i="2" s="1"/>
  <c r="J106" i="2"/>
  <c r="M106" i="2" s="1"/>
  <c r="B49" i="2"/>
  <c r="N106" i="2" l="1"/>
  <c r="I104" i="2"/>
  <c r="K104" i="2" s="1"/>
  <c r="J105" i="2"/>
  <c r="M105" i="2" s="1"/>
  <c r="B50" i="2"/>
  <c r="N105" i="2" l="1"/>
  <c r="I103" i="2"/>
  <c r="K103" i="2" s="1"/>
  <c r="J104" i="2"/>
  <c r="N104" i="2" s="1"/>
  <c r="B51" i="2"/>
  <c r="M104" i="2" l="1"/>
  <c r="I102" i="2"/>
  <c r="K102" i="2" s="1"/>
  <c r="J103" i="2"/>
  <c r="N103" i="2" s="1"/>
  <c r="B52" i="2"/>
  <c r="M103" i="2" l="1"/>
  <c r="I101" i="2"/>
  <c r="K101" i="2" s="1"/>
  <c r="J102" i="2"/>
  <c r="M102" i="2" s="1"/>
  <c r="B53" i="2"/>
  <c r="N102" i="2" l="1"/>
  <c r="I100" i="2"/>
  <c r="K100" i="2" s="1"/>
  <c r="J101" i="2"/>
  <c r="N101" i="2" s="1"/>
  <c r="B54" i="2"/>
  <c r="M101" i="2" l="1"/>
  <c r="I99" i="2"/>
  <c r="K99" i="2" s="1"/>
  <c r="J100" i="2"/>
  <c r="M100" i="2" s="1"/>
  <c r="B55" i="2"/>
  <c r="N100" i="2" l="1"/>
  <c r="I98" i="2"/>
  <c r="K98" i="2" s="1"/>
  <c r="J99" i="2"/>
  <c r="N99" i="2" s="1"/>
  <c r="B56" i="2"/>
  <c r="M99" i="2" l="1"/>
  <c r="I97" i="2"/>
  <c r="K97" i="2" s="1"/>
  <c r="J98" i="2"/>
  <c r="M98" i="2" s="1"/>
  <c r="B57" i="2"/>
  <c r="N98" i="2" l="1"/>
  <c r="I96" i="2"/>
  <c r="K96" i="2" s="1"/>
  <c r="J97" i="2"/>
  <c r="N97" i="2" s="1"/>
  <c r="B58" i="2"/>
  <c r="M97" i="2" l="1"/>
  <c r="I95" i="2"/>
  <c r="K95" i="2" s="1"/>
  <c r="J96" i="2"/>
  <c r="N96" i="2" s="1"/>
  <c r="B59" i="2"/>
  <c r="M96" i="2" l="1"/>
  <c r="I94" i="2"/>
  <c r="K94" i="2" s="1"/>
  <c r="J95" i="2"/>
  <c r="M95" i="2" s="1"/>
  <c r="B60" i="2"/>
  <c r="N95" i="2" l="1"/>
  <c r="I93" i="2"/>
  <c r="K93" i="2" s="1"/>
  <c r="J94" i="2"/>
  <c r="N94" i="2" s="1"/>
  <c r="B61" i="2"/>
  <c r="M94" i="2" l="1"/>
  <c r="I92" i="2"/>
  <c r="K92" i="2" s="1"/>
  <c r="J93" i="2"/>
  <c r="N93" i="2" s="1"/>
  <c r="B62" i="2"/>
  <c r="M93" i="2" l="1"/>
  <c r="I91" i="2"/>
  <c r="K91" i="2" s="1"/>
  <c r="J92" i="2"/>
  <c r="M92" i="2" s="1"/>
  <c r="B63" i="2"/>
  <c r="N92" i="2" l="1"/>
  <c r="I90" i="2"/>
  <c r="K90" i="2" s="1"/>
  <c r="J91" i="2"/>
  <c r="M91" i="2" s="1"/>
  <c r="B64" i="2"/>
  <c r="N91" i="2" l="1"/>
  <c r="I89" i="2"/>
  <c r="K89" i="2" s="1"/>
  <c r="J90" i="2"/>
  <c r="N90" i="2" s="1"/>
  <c r="B65" i="2"/>
  <c r="M90" i="2" l="1"/>
  <c r="I88" i="2"/>
  <c r="K88" i="2" s="1"/>
  <c r="J89" i="2"/>
  <c r="M89" i="2" s="1"/>
  <c r="B66" i="2"/>
  <c r="N89" i="2" l="1"/>
  <c r="I87" i="2"/>
  <c r="K87" i="2" s="1"/>
  <c r="J88" i="2"/>
  <c r="M88" i="2" s="1"/>
  <c r="B67" i="2"/>
  <c r="N88" i="2" l="1"/>
  <c r="I86" i="2"/>
  <c r="K86" i="2" s="1"/>
  <c r="J87" i="2"/>
  <c r="M87" i="2" s="1"/>
  <c r="B68" i="2"/>
  <c r="N87" i="2" l="1"/>
  <c r="I85" i="2"/>
  <c r="K85" i="2" s="1"/>
  <c r="J86" i="2"/>
  <c r="M86" i="2" s="1"/>
  <c r="B69" i="2"/>
  <c r="N86" i="2" l="1"/>
  <c r="I84" i="2"/>
  <c r="K84" i="2" s="1"/>
  <c r="J85" i="2"/>
  <c r="M85" i="2" s="1"/>
  <c r="B70" i="2"/>
  <c r="N85" i="2" l="1"/>
  <c r="I83" i="2"/>
  <c r="K83" i="2" s="1"/>
  <c r="J84" i="2"/>
  <c r="N84" i="2" s="1"/>
  <c r="B71" i="2"/>
  <c r="M84" i="2" l="1"/>
  <c r="I82" i="2"/>
  <c r="K82" i="2" s="1"/>
  <c r="J83" i="2"/>
  <c r="N83" i="2" s="1"/>
  <c r="B72" i="2"/>
  <c r="M83" i="2" l="1"/>
  <c r="I81" i="2"/>
  <c r="K81" i="2" s="1"/>
  <c r="J82" i="2"/>
  <c r="N82" i="2" s="1"/>
  <c r="B73" i="2"/>
  <c r="M82" i="2" l="1"/>
  <c r="I80" i="2"/>
  <c r="K80" i="2" s="1"/>
  <c r="J81" i="2"/>
  <c r="M81" i="2" s="1"/>
  <c r="B74" i="2"/>
  <c r="N81" i="2" l="1"/>
  <c r="I79" i="2"/>
  <c r="K79" i="2" s="1"/>
  <c r="J80" i="2"/>
  <c r="M80" i="2" s="1"/>
  <c r="B75" i="2"/>
  <c r="N80" i="2" l="1"/>
  <c r="I78" i="2"/>
  <c r="K78" i="2" s="1"/>
  <c r="J79" i="2"/>
  <c r="M79" i="2" s="1"/>
  <c r="B76" i="2"/>
  <c r="N79" i="2" l="1"/>
  <c r="I77" i="2"/>
  <c r="K77" i="2" s="1"/>
  <c r="J78" i="2"/>
  <c r="M78" i="2" s="1"/>
  <c r="B77" i="2"/>
  <c r="N78" i="2" l="1"/>
  <c r="I76" i="2"/>
  <c r="K76" i="2" s="1"/>
  <c r="J77" i="2"/>
  <c r="M77" i="2" s="1"/>
  <c r="B78" i="2"/>
  <c r="N77" i="2" l="1"/>
  <c r="I75" i="2"/>
  <c r="K75" i="2" s="1"/>
  <c r="J76" i="2"/>
  <c r="M76" i="2" s="1"/>
  <c r="B79" i="2"/>
  <c r="N76" i="2" l="1"/>
  <c r="I74" i="2"/>
  <c r="K74" i="2" s="1"/>
  <c r="J75" i="2"/>
  <c r="N75" i="2" s="1"/>
  <c r="B80" i="2"/>
  <c r="M75" i="2" l="1"/>
  <c r="I73" i="2"/>
  <c r="K73" i="2" s="1"/>
  <c r="J74" i="2"/>
  <c r="M74" i="2" s="1"/>
  <c r="B81" i="2"/>
  <c r="N74" i="2" l="1"/>
  <c r="I72" i="2"/>
  <c r="K72" i="2" s="1"/>
  <c r="J73" i="2"/>
  <c r="N73" i="2" s="1"/>
  <c r="B82" i="2"/>
  <c r="M73" i="2" l="1"/>
  <c r="I71" i="2"/>
  <c r="K71" i="2" s="1"/>
  <c r="J72" i="2"/>
  <c r="M72" i="2" s="1"/>
  <c r="B83" i="2"/>
  <c r="N72" i="2" l="1"/>
  <c r="I70" i="2"/>
  <c r="K70" i="2" s="1"/>
  <c r="J71" i="2"/>
  <c r="N71" i="2" s="1"/>
  <c r="B84" i="2"/>
  <c r="M71" i="2" l="1"/>
  <c r="I69" i="2"/>
  <c r="K69" i="2" s="1"/>
  <c r="J70" i="2"/>
  <c r="N70" i="2" s="1"/>
  <c r="B85" i="2"/>
  <c r="M70" i="2" l="1"/>
  <c r="I68" i="2"/>
  <c r="K68" i="2" s="1"/>
  <c r="J69" i="2"/>
  <c r="M69" i="2" s="1"/>
  <c r="B86" i="2"/>
  <c r="N69" i="2" l="1"/>
  <c r="I67" i="2"/>
  <c r="K67" i="2" s="1"/>
  <c r="J68" i="2"/>
  <c r="M68" i="2" s="1"/>
  <c r="B87" i="2"/>
  <c r="N68" i="2" l="1"/>
  <c r="I66" i="2"/>
  <c r="K66" i="2" s="1"/>
  <c r="J67" i="2"/>
  <c r="N67" i="2" s="1"/>
  <c r="B88" i="2"/>
  <c r="M67" i="2" l="1"/>
  <c r="I65" i="2"/>
  <c r="K65" i="2" s="1"/>
  <c r="J66" i="2"/>
  <c r="M66" i="2" s="1"/>
  <c r="B89" i="2"/>
  <c r="N66" i="2" l="1"/>
  <c r="I64" i="2"/>
  <c r="K64" i="2" s="1"/>
  <c r="J65" i="2"/>
  <c r="N65" i="2" s="1"/>
  <c r="B90" i="2"/>
  <c r="M65" i="2" l="1"/>
  <c r="I63" i="2"/>
  <c r="K63" i="2" s="1"/>
  <c r="J64" i="2"/>
  <c r="M64" i="2" s="1"/>
  <c r="B91" i="2"/>
  <c r="N64" i="2" l="1"/>
  <c r="I62" i="2"/>
  <c r="K62" i="2" s="1"/>
  <c r="J63" i="2"/>
  <c r="N63" i="2" s="1"/>
  <c r="B92" i="2"/>
  <c r="M63" i="2" l="1"/>
  <c r="I61" i="2"/>
  <c r="K61" i="2" s="1"/>
  <c r="J62" i="2"/>
  <c r="N62" i="2" s="1"/>
  <c r="B93" i="2"/>
  <c r="M62" i="2" l="1"/>
  <c r="I60" i="2"/>
  <c r="K60" i="2" s="1"/>
  <c r="J61" i="2"/>
  <c r="N61" i="2" s="1"/>
  <c r="B94" i="2"/>
  <c r="M61" i="2" l="1"/>
  <c r="I59" i="2"/>
  <c r="K59" i="2" s="1"/>
  <c r="J60" i="2"/>
  <c r="N60" i="2" s="1"/>
  <c r="B95" i="2"/>
  <c r="M60" i="2" l="1"/>
  <c r="I58" i="2"/>
  <c r="K58" i="2" s="1"/>
  <c r="J59" i="2"/>
  <c r="N59" i="2" s="1"/>
  <c r="B96" i="2"/>
  <c r="M59" i="2" l="1"/>
  <c r="I57" i="2"/>
  <c r="K57" i="2" s="1"/>
  <c r="J58" i="2"/>
  <c r="N58" i="2" s="1"/>
  <c r="B97" i="2"/>
  <c r="M58" i="2" l="1"/>
  <c r="I56" i="2"/>
  <c r="K56" i="2" s="1"/>
  <c r="J57" i="2"/>
  <c r="N57" i="2" s="1"/>
  <c r="B98" i="2"/>
  <c r="M57" i="2" l="1"/>
  <c r="I55" i="2"/>
  <c r="K55" i="2" s="1"/>
  <c r="J56" i="2"/>
  <c r="N56" i="2" s="1"/>
  <c r="B99" i="2"/>
  <c r="M56" i="2" l="1"/>
  <c r="I54" i="2"/>
  <c r="K54" i="2" s="1"/>
  <c r="J55" i="2"/>
  <c r="N55" i="2" s="1"/>
  <c r="B100" i="2"/>
  <c r="M55" i="2" l="1"/>
  <c r="I53" i="2"/>
  <c r="K53" i="2" s="1"/>
  <c r="J54" i="2"/>
  <c r="N54" i="2" s="1"/>
  <c r="B101" i="2"/>
  <c r="M54" i="2" l="1"/>
  <c r="I52" i="2"/>
  <c r="K52" i="2" s="1"/>
  <c r="J53" i="2"/>
  <c r="N53" i="2" s="1"/>
  <c r="B102" i="2"/>
  <c r="M53" i="2" l="1"/>
  <c r="I51" i="2"/>
  <c r="K51" i="2" s="1"/>
  <c r="J52" i="2"/>
  <c r="N52" i="2" s="1"/>
  <c r="B103" i="2"/>
  <c r="M52" i="2" l="1"/>
  <c r="I50" i="2"/>
  <c r="K50" i="2" s="1"/>
  <c r="J51" i="2"/>
  <c r="N51" i="2" s="1"/>
  <c r="B104" i="2"/>
  <c r="M51" i="2" l="1"/>
  <c r="I49" i="2"/>
  <c r="K49" i="2" s="1"/>
  <c r="J50" i="2"/>
  <c r="N50" i="2" s="1"/>
  <c r="B105" i="2"/>
  <c r="M50" i="2" l="1"/>
  <c r="I48" i="2"/>
  <c r="K48" i="2" s="1"/>
  <c r="J49" i="2"/>
  <c r="M49" i="2" s="1"/>
  <c r="B106" i="2"/>
  <c r="N49" i="2" l="1"/>
  <c r="I47" i="2"/>
  <c r="K47" i="2" s="1"/>
  <c r="J48" i="2"/>
  <c r="M48" i="2" s="1"/>
  <c r="B107" i="2"/>
  <c r="N48" i="2" l="1"/>
  <c r="I46" i="2"/>
  <c r="K46" i="2" s="1"/>
  <c r="J47" i="2"/>
  <c r="M47" i="2" s="1"/>
  <c r="B108" i="2"/>
  <c r="N47" i="2" l="1"/>
  <c r="I45" i="2"/>
  <c r="K45" i="2" s="1"/>
  <c r="J46" i="2"/>
  <c r="N46" i="2" s="1"/>
  <c r="B109" i="2"/>
  <c r="M46" i="2" l="1"/>
  <c r="I44" i="2"/>
  <c r="K44" i="2" s="1"/>
  <c r="J45" i="2"/>
  <c r="N45" i="2" s="1"/>
  <c r="B110" i="2"/>
  <c r="M45" i="2" l="1"/>
  <c r="I43" i="2"/>
  <c r="K43" i="2" s="1"/>
  <c r="J44" i="2"/>
  <c r="N44" i="2" s="1"/>
  <c r="B111" i="2"/>
  <c r="M44" i="2" l="1"/>
  <c r="I42" i="2"/>
  <c r="K42" i="2" s="1"/>
  <c r="J43" i="2"/>
  <c r="N43" i="2" s="1"/>
  <c r="B112" i="2"/>
  <c r="M43" i="2" l="1"/>
  <c r="I41" i="2"/>
  <c r="K41" i="2" s="1"/>
  <c r="J42" i="2"/>
  <c r="M42" i="2" s="1"/>
  <c r="B113" i="2"/>
  <c r="N42" i="2" l="1"/>
  <c r="I40" i="2"/>
  <c r="K40" i="2" s="1"/>
  <c r="J41" i="2"/>
  <c r="M41" i="2" s="1"/>
  <c r="B114" i="2"/>
  <c r="N41" i="2" l="1"/>
  <c r="I39" i="2"/>
  <c r="K39" i="2" s="1"/>
  <c r="J40" i="2"/>
  <c r="N40" i="2" s="1"/>
  <c r="B115" i="2"/>
  <c r="M40" i="2" l="1"/>
  <c r="I38" i="2"/>
  <c r="K38" i="2" s="1"/>
  <c r="J39" i="2"/>
  <c r="N39" i="2" s="1"/>
  <c r="B116" i="2"/>
  <c r="M39" i="2" l="1"/>
  <c r="I37" i="2"/>
  <c r="K37" i="2" s="1"/>
  <c r="J38" i="2"/>
  <c r="M38" i="2" s="1"/>
  <c r="B117" i="2"/>
  <c r="N38" i="2" l="1"/>
  <c r="I36" i="2"/>
  <c r="K36" i="2" s="1"/>
  <c r="J37" i="2"/>
  <c r="M37" i="2" s="1"/>
  <c r="B118" i="2"/>
  <c r="N37" i="2" l="1"/>
  <c r="I35" i="2"/>
  <c r="K35" i="2" s="1"/>
  <c r="J36" i="2"/>
  <c r="N36" i="2" s="1"/>
  <c r="B119" i="2"/>
  <c r="M36" i="2" l="1"/>
  <c r="I34" i="2"/>
  <c r="K34" i="2" s="1"/>
  <c r="J35" i="2"/>
  <c r="M35" i="2" s="1"/>
  <c r="B120" i="2"/>
  <c r="N35" i="2" l="1"/>
  <c r="I33" i="2"/>
  <c r="K33" i="2" s="1"/>
  <c r="J34" i="2"/>
  <c r="M34" i="2" s="1"/>
  <c r="B121" i="2"/>
  <c r="N34" i="2" l="1"/>
  <c r="I32" i="2"/>
  <c r="K32" i="2" s="1"/>
  <c r="J33" i="2"/>
  <c r="N33" i="2" s="1"/>
  <c r="B122" i="2"/>
  <c r="M33" i="2" l="1"/>
  <c r="I31" i="2"/>
  <c r="K31" i="2" s="1"/>
  <c r="J32" i="2"/>
  <c r="M32" i="2" s="1"/>
  <c r="B123" i="2"/>
  <c r="N32" i="2" l="1"/>
  <c r="I30" i="2"/>
  <c r="K30" i="2" s="1"/>
  <c r="J31" i="2"/>
  <c r="M31" i="2" s="1"/>
  <c r="B124" i="2"/>
  <c r="N31" i="2" l="1"/>
  <c r="I29" i="2"/>
  <c r="K29" i="2" s="1"/>
  <c r="J30" i="2"/>
  <c r="M30" i="2" s="1"/>
  <c r="B125" i="2"/>
  <c r="N30" i="2" l="1"/>
  <c r="I28" i="2"/>
  <c r="K28" i="2" s="1"/>
  <c r="J29" i="2"/>
  <c r="N29" i="2" s="1"/>
  <c r="B126" i="2"/>
  <c r="M29" i="2" l="1"/>
  <c r="I27" i="2"/>
  <c r="K27" i="2" s="1"/>
  <c r="J28" i="2"/>
  <c r="N28" i="2" s="1"/>
  <c r="B127" i="2"/>
  <c r="M28" i="2" l="1"/>
  <c r="I26" i="2"/>
  <c r="K26" i="2" s="1"/>
  <c r="J27" i="2"/>
  <c r="N27" i="2" s="1"/>
  <c r="B128" i="2"/>
  <c r="M27" i="2" l="1"/>
  <c r="I25" i="2"/>
  <c r="K25" i="2" s="1"/>
  <c r="J26" i="2"/>
  <c r="M26" i="2" s="1"/>
  <c r="B129" i="2"/>
  <c r="N26" i="2" l="1"/>
  <c r="I24" i="2"/>
  <c r="K24" i="2" s="1"/>
  <c r="J25" i="2"/>
  <c r="N25" i="2" s="1"/>
  <c r="B130" i="2"/>
  <c r="M25" i="2" l="1"/>
  <c r="I23" i="2"/>
  <c r="K23" i="2" s="1"/>
  <c r="J24" i="2"/>
  <c r="M24" i="2" s="1"/>
  <c r="B131" i="2"/>
  <c r="N24" i="2" l="1"/>
  <c r="I22" i="2"/>
  <c r="K22" i="2" s="1"/>
  <c r="J23" i="2"/>
  <c r="M23" i="2" s="1"/>
  <c r="B132" i="2"/>
  <c r="N23" i="2" l="1"/>
  <c r="I21" i="2"/>
  <c r="K21" i="2" s="1"/>
  <c r="J22" i="2"/>
  <c r="N22" i="2" s="1"/>
  <c r="B133" i="2"/>
  <c r="M22" i="2" l="1"/>
  <c r="I20" i="2"/>
  <c r="K20" i="2" s="1"/>
  <c r="J21" i="2"/>
  <c r="N21" i="2" s="1"/>
  <c r="B134" i="2"/>
  <c r="M21" i="2" l="1"/>
  <c r="I19" i="2"/>
  <c r="K19" i="2" s="1"/>
  <c r="J20" i="2"/>
  <c r="N20" i="2" s="1"/>
  <c r="B135" i="2"/>
  <c r="M20" i="2" l="1"/>
  <c r="I18" i="2"/>
  <c r="K18" i="2" s="1"/>
  <c r="J19" i="2"/>
  <c r="N19" i="2" s="1"/>
  <c r="B136" i="2"/>
  <c r="M19" i="2" l="1"/>
  <c r="I17" i="2"/>
  <c r="K17" i="2" s="1"/>
  <c r="J18" i="2"/>
  <c r="N18" i="2" s="1"/>
  <c r="B137" i="2"/>
  <c r="M18" i="2" l="1"/>
  <c r="I16" i="2"/>
  <c r="K16" i="2" s="1"/>
  <c r="J17" i="2"/>
  <c r="N17" i="2" s="1"/>
  <c r="B138" i="2"/>
  <c r="M17" i="2" l="1"/>
  <c r="I15" i="2"/>
  <c r="K15" i="2" s="1"/>
  <c r="J16" i="2"/>
  <c r="N16" i="2" s="1"/>
  <c r="B139" i="2"/>
  <c r="M16" i="2" l="1"/>
  <c r="I14" i="2"/>
  <c r="K14" i="2" s="1"/>
  <c r="J15" i="2"/>
  <c r="M15" i="2" s="1"/>
  <c r="B140" i="2"/>
  <c r="N15" i="2" l="1"/>
  <c r="I13" i="2"/>
  <c r="K13" i="2" s="1"/>
  <c r="J14" i="2"/>
  <c r="M14" i="2" s="1"/>
  <c r="B141" i="2"/>
  <c r="N14" i="2" l="1"/>
  <c r="I12" i="2"/>
  <c r="K12" i="2" s="1"/>
  <c r="J13" i="2"/>
  <c r="N13" i="2" s="1"/>
  <c r="B142" i="2"/>
  <c r="M13" i="2" l="1"/>
  <c r="I11" i="2"/>
  <c r="K11" i="2" s="1"/>
  <c r="J12" i="2"/>
  <c r="N12" i="2" s="1"/>
  <c r="B143" i="2"/>
  <c r="M12" i="2" l="1"/>
  <c r="I10" i="2"/>
  <c r="K10" i="2" s="1"/>
  <c r="J11" i="2"/>
  <c r="N11" i="2" s="1"/>
  <c r="B144" i="2"/>
  <c r="M11" i="2" l="1"/>
  <c r="I9" i="2"/>
  <c r="K9" i="2" s="1"/>
  <c r="J10" i="2"/>
  <c r="N10" i="2" s="1"/>
  <c r="B145" i="2"/>
  <c r="M10" i="2" l="1"/>
  <c r="I8" i="2"/>
  <c r="K8" i="2" s="1"/>
  <c r="K4" i="2" s="1"/>
  <c r="J9" i="2"/>
  <c r="N9" i="2" s="1"/>
  <c r="M9" i="2"/>
  <c r="B146" i="2"/>
  <c r="I7" i="2" l="1"/>
  <c r="J7" i="2" s="1"/>
  <c r="J4" i="2" s="1"/>
  <c r="J8" i="2"/>
  <c r="M8" i="2" s="1"/>
  <c r="N8" i="2"/>
  <c r="B147" i="2"/>
  <c r="B148" i="2" l="1"/>
  <c r="B149" i="2" l="1"/>
  <c r="B150" i="2" l="1"/>
  <c r="B151" i="2" l="1"/>
  <c r="B152" i="2" l="1"/>
  <c r="B153" i="2" l="1"/>
  <c r="B154" i="2" l="1"/>
  <c r="B155" i="2" l="1"/>
  <c r="B156" i="2" l="1"/>
  <c r="B157" i="2" l="1"/>
  <c r="B158" i="2" l="1"/>
  <c r="B159" i="2" l="1"/>
  <c r="B160" i="2" l="1"/>
  <c r="B161" i="2" l="1"/>
  <c r="B162" i="2" l="1"/>
  <c r="B163" i="2" l="1"/>
  <c r="B164" i="2" l="1"/>
  <c r="B165" i="2" l="1"/>
  <c r="B166" i="2" l="1"/>
  <c r="B167" i="2" l="1"/>
  <c r="B168" i="2" l="1"/>
  <c r="B169" i="2" l="1"/>
  <c r="B170" i="2" l="1"/>
  <c r="B171" i="2" l="1"/>
  <c r="B172" i="2" l="1"/>
  <c r="B173" i="2" l="1"/>
  <c r="B174" i="2" l="1"/>
  <c r="B175" i="2" l="1"/>
  <c r="B176" i="2" l="1"/>
  <c r="B177" i="2" l="1"/>
  <c r="B178" i="2" l="1"/>
  <c r="B179" i="2" l="1"/>
  <c r="B180" i="2" l="1"/>
  <c r="B181" i="2" l="1"/>
  <c r="B182" i="2" l="1"/>
  <c r="B183" i="2" l="1"/>
  <c r="B184" i="2" l="1"/>
  <c r="B185" i="2" l="1"/>
  <c r="B186" i="2" l="1"/>
  <c r="B187" i="2" l="1"/>
  <c r="B188" i="2" l="1"/>
  <c r="B189" i="2" l="1"/>
  <c r="B190" i="2" l="1"/>
  <c r="B191" i="2" l="1"/>
  <c r="B192" i="2" l="1"/>
  <c r="B193" i="2" l="1"/>
  <c r="B194" i="2" l="1"/>
  <c r="B195" i="2" l="1"/>
  <c r="B196" i="2" l="1"/>
  <c r="B197" i="2" l="1"/>
  <c r="B198" i="2" l="1"/>
  <c r="B199" i="2" l="1"/>
  <c r="B200" i="2" l="1"/>
  <c r="B201" i="2" l="1"/>
  <c r="B202" i="2" l="1"/>
  <c r="B203" i="2" l="1"/>
  <c r="B204" i="2" l="1"/>
  <c r="B205" i="2" l="1"/>
  <c r="B206" i="2" l="1"/>
  <c r="B207" i="2" l="1"/>
  <c r="B208" i="2" l="1"/>
  <c r="B209" i="2" l="1"/>
  <c r="B210" i="2" l="1"/>
  <c r="B211" i="2" l="1"/>
  <c r="B212" i="2" l="1"/>
  <c r="B213" i="2" l="1"/>
  <c r="B214" i="2" l="1"/>
  <c r="B215" i="2" l="1"/>
  <c r="B216" i="2" l="1"/>
  <c r="B217" i="2" l="1"/>
  <c r="B218" i="2" l="1"/>
  <c r="B219" i="2" l="1"/>
  <c r="B220" i="2" l="1"/>
  <c r="B221" i="2" l="1"/>
  <c r="B222" i="2" l="1"/>
  <c r="B223" i="2" l="1"/>
  <c r="B224" i="2" l="1"/>
  <c r="B225" i="2" l="1"/>
  <c r="B226" i="2" l="1"/>
  <c r="B227" i="2" l="1"/>
  <c r="B228" i="2" l="1"/>
  <c r="B229" i="2" l="1"/>
  <c r="B230" i="2" l="1"/>
  <c r="B231" i="2" l="1"/>
  <c r="B232" i="2" l="1"/>
  <c r="B233" i="2" l="1"/>
  <c r="B234" i="2" l="1"/>
  <c r="B235" i="2" l="1"/>
  <c r="B236" i="2" l="1"/>
  <c r="B237" i="2" l="1"/>
  <c r="B238" i="2" l="1"/>
  <c r="B239" i="2" l="1"/>
  <c r="B240" i="2" l="1"/>
  <c r="B241" i="2" l="1"/>
  <c r="B242" i="2" l="1"/>
  <c r="B243" i="2" l="1"/>
  <c r="B244" i="2" l="1"/>
  <c r="B245" i="2" l="1"/>
  <c r="B246" i="2" l="1"/>
  <c r="B247" i="2" l="1"/>
  <c r="B248" i="2" l="1"/>
  <c r="B249" i="2" l="1"/>
  <c r="B250" i="2" l="1"/>
  <c r="B251" i="2" l="1"/>
  <c r="B252" i="2" l="1"/>
  <c r="B253" i="2" l="1"/>
  <c r="B254" i="2" l="1"/>
  <c r="B255" i="2" l="1"/>
  <c r="B256" i="2" l="1"/>
  <c r="B257" i="2" l="1"/>
  <c r="B258" i="2" l="1"/>
  <c r="B259" i="2" l="1"/>
  <c r="B26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<sst xmlns="http://schemas.openxmlformats.org/spreadsheetml/2006/main" count="59" uniqueCount="41">
  <si>
    <t>Fecha</t>
  </si>
  <si>
    <r>
      <t>Rendimiento (R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</t>
    </r>
  </si>
  <si>
    <r>
      <t>Lamda (</t>
    </r>
    <r>
      <rPr>
        <b/>
        <sz val="11"/>
        <color theme="1"/>
        <rFont val="Calibri"/>
        <family val="2"/>
      </rPr>
      <t>λ) :=</t>
    </r>
  </si>
  <si>
    <r>
      <t>(R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</si>
  <si>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(R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 xml:space="preserve"> -µ)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</si>
  <si>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(</t>
    </r>
    <r>
      <rPr>
        <b/>
        <sz val="11"/>
        <color theme="1"/>
        <rFont val="Calibri"/>
        <family val="2"/>
      </rPr>
      <t>λ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i-1</t>
    </r>
  </si>
  <si>
    <t>Periodo</t>
  </si>
  <si>
    <r>
      <t>(R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*(</t>
    </r>
    <r>
      <rPr>
        <b/>
        <sz val="11"/>
        <color theme="1"/>
        <rFont val="Calibri"/>
        <family val="2"/>
      </rPr>
      <t>λ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i-1</t>
    </r>
  </si>
  <si>
    <r>
      <t>Media 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alibri"/>
        <family val="2"/>
        <scheme val="minor"/>
      </rPr>
      <t>) :=</t>
    </r>
  </si>
  <si>
    <r>
      <t>Vol. Hist. (</t>
    </r>
    <r>
      <rPr>
        <b/>
        <sz val="11"/>
        <color rgb="FFFF0000"/>
        <rFont val="Calibri"/>
        <family val="2"/>
      </rPr>
      <t>σ</t>
    </r>
    <r>
      <rPr>
        <b/>
        <sz val="11"/>
        <color rgb="FFFF0000"/>
        <rFont val="Calibri"/>
        <family val="2"/>
        <scheme val="minor"/>
      </rPr>
      <t>) :=</t>
    </r>
  </si>
  <si>
    <r>
      <t>(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  <scheme val="minor"/>
      </rPr>
      <t>t+1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</si>
  <si>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  <scheme val="minor"/>
      </rPr>
      <t>t+1</t>
    </r>
  </si>
  <si>
    <t>Volatilidad Histórica</t>
  </si>
  <si>
    <t>Volatilidad Dinámica</t>
  </si>
  <si>
    <t>K :=</t>
  </si>
  <si>
    <t>Vol. Dinámica (anual) :=</t>
  </si>
  <si>
    <t>Vol. Dinámica (diaria) :=</t>
  </si>
  <si>
    <t>Diaria</t>
  </si>
  <si>
    <t>Anual</t>
  </si>
  <si>
    <r>
      <rPr>
        <b/>
        <sz val="11"/>
        <color theme="1"/>
        <rFont val="Calibri"/>
        <family val="2"/>
      </rPr>
      <t>-K*σ</t>
    </r>
    <r>
      <rPr>
        <b/>
        <vertAlign val="subscript"/>
        <sz val="11"/>
        <color theme="1"/>
        <rFont val="Calibri"/>
        <family val="2"/>
        <scheme val="minor"/>
      </rPr>
      <t>t+1</t>
    </r>
  </si>
  <si>
    <r>
      <rPr>
        <b/>
        <sz val="11"/>
        <color theme="1"/>
        <rFont val="Calibri"/>
        <family val="2"/>
      </rPr>
      <t>+K*σ</t>
    </r>
    <r>
      <rPr>
        <b/>
        <vertAlign val="subscript"/>
        <sz val="11"/>
        <color theme="1"/>
        <rFont val="Calibri"/>
        <family val="2"/>
        <scheme val="minor"/>
      </rPr>
      <t>t+1</t>
    </r>
  </si>
  <si>
    <t>Modelo Original</t>
  </si>
  <si>
    <t>Modelo Recursivo</t>
  </si>
  <si>
    <r>
      <rPr>
        <b/>
        <sz val="11"/>
        <color theme="1"/>
        <rFont val="Calibri"/>
        <family val="2"/>
      </rPr>
      <t>-K*σ</t>
    </r>
  </si>
  <si>
    <r>
      <rPr>
        <b/>
        <sz val="11"/>
        <color theme="1"/>
        <rFont val="Calibri"/>
        <family val="2"/>
      </rPr>
      <t>+K*σ</t>
    </r>
  </si>
  <si>
    <t>No.</t>
  </si>
  <si>
    <t>Date</t>
  </si>
  <si>
    <t>CEMEX</t>
  </si>
  <si>
    <t>Instrumento: =</t>
  </si>
  <si>
    <t>PRECIOS</t>
  </si>
  <si>
    <t>Instrumento</t>
  </si>
  <si>
    <t>NAFTRAC</t>
  </si>
  <si>
    <t>LACOMER</t>
  </si>
  <si>
    <t>PEÑOLES</t>
  </si>
  <si>
    <t>VOLAR</t>
  </si>
  <si>
    <t>GAP</t>
  </si>
  <si>
    <t>Error cuadrático</t>
  </si>
  <si>
    <t>Vol. Dinámica 
Visual Basic =</t>
  </si>
  <si>
    <t>Veces la volatilidad historica</t>
  </si>
  <si>
    <t>drift</t>
  </si>
  <si>
    <r>
      <t xml:space="preserve">Supuesto </t>
    </r>
    <r>
      <rPr>
        <sz val="11"/>
        <color theme="1"/>
        <rFont val="Aptos Narrow"/>
        <family val="2"/>
      </rPr>
      <t>µ</t>
    </r>
    <r>
      <rPr>
        <sz val="11"/>
        <color theme="1"/>
        <rFont val="Calibri"/>
        <family val="2"/>
      </rPr>
      <t>=0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</si>
</sst>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* #,##0.00000_-;\-* #,##0.00000_-;_-* &quot;-&quot;??_-;_-@_-"/>
    <numFmt numFmtId="165" formatCode="0.0000%"/>
    <numFmt numFmtId="166" formatCode="#,##0.000_ ;\-#,##0.000\ "/>
    <numFmt numFmtId="167" formatCode="#,##0.0000_ ;\-#,##0.0000\ "/>
    <numFmt numFmtId="168" formatCode="0.0000"/>
    <numFmt numFmtId="169" formatCode="0.0%"/>
    <numFmt numFmtId="170" formatCode="0.000000%"/>
    <numFmt numFmtId="171" formatCode="0.000%"/>
    <numFmt numFmtId="172" formatCode="_-* #,##0.0000000000_-;\-* #,##0.0000000000_-;_-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Aptos Narrow"/>
      <family val="2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5">
    <xf numFmtId="0" fontId="0" fillId="0" borderId="0" xfId="0"/>
    <xf numFmtId="14" fontId="0" fillId="0" borderId="0" xfId="0" applyNumberFormat="1"/>
    <xf numFmtId="1" fontId="0" fillId="0" borderId="0" xfId="0" applyNumberFormat="1" applyAlignment="1">
      <alignment horizontal="center"/>
    </xf>
    <xf numFmtId="4" fontId="0" fillId="0" borderId="0" xfId="0" applyNumberFormat="1"/>
    <xf numFmtId="14" fontId="3" fillId="0" borderId="0" xfId="0" applyNumberFormat="1" applyFont="1"/>
    <xf numFmtId="1" fontId="3" fillId="0" borderId="0" xfId="0" applyNumberFormat="1" applyFont="1" applyAlignment="1">
      <alignment horizontal="center"/>
    </xf>
    <xf numFmtId="4" fontId="3" fillId="0" borderId="0" xfId="0" applyNumberFormat="1" applyFont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0" xfId="2" applyNumberFormat="1" applyFont="1" applyAlignment="1">
      <alignment horizontal="center"/>
    </xf>
    <xf numFmtId="10" fontId="0" fillId="0" borderId="0" xfId="0" applyNumberFormat="1"/>
    <xf numFmtId="0" fontId="2" fillId="0" borderId="0" xfId="0" applyFont="1"/>
    <xf numFmtId="164" fontId="0" fillId="0" borderId="0" xfId="1" applyNumberFormat="1" applyFont="1"/>
    <xf numFmtId="165" fontId="3" fillId="0" borderId="0" xfId="0" applyNumberFormat="1" applyFon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164" fontId="2" fillId="0" borderId="0" xfId="0" applyNumberFormat="1" applyFont="1"/>
    <xf numFmtId="4" fontId="2" fillId="0" borderId="0" xfId="0" applyNumberFormat="1" applyFont="1" applyAlignment="1">
      <alignment horizontal="right"/>
    </xf>
    <xf numFmtId="0" fontId="8" fillId="0" borderId="0" xfId="0" applyFont="1"/>
    <xf numFmtId="10" fontId="0" fillId="3" borderId="0" xfId="2" applyNumberFormat="1" applyFont="1" applyFill="1" applyAlignment="1">
      <alignment horizontal="center"/>
    </xf>
    <xf numFmtId="167" fontId="0" fillId="0" borderId="0" xfId="1" applyNumberFormat="1" applyFont="1" applyAlignment="1">
      <alignment horizontal="center"/>
    </xf>
    <xf numFmtId="166" fontId="0" fillId="0" borderId="0" xfId="0" applyNumberFormat="1"/>
    <xf numFmtId="0" fontId="2" fillId="0" borderId="1" xfId="0" quotePrefix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165" fontId="3" fillId="0" borderId="0" xfId="2" applyNumberFormat="1" applyFont="1" applyAlignment="1">
      <alignment horizontal="center"/>
    </xf>
    <xf numFmtId="168" fontId="0" fillId="4" borderId="0" xfId="0" applyNumberFormat="1" applyFill="1" applyAlignment="1">
      <alignment horizontal="center"/>
    </xf>
    <xf numFmtId="10" fontId="0" fillId="4" borderId="0" xfId="2" applyNumberFormat="1" applyFont="1" applyFill="1" applyAlignment="1">
      <alignment horizontal="center"/>
    </xf>
    <xf numFmtId="0" fontId="0" fillId="0" borderId="0" xfId="0" applyAlignment="1">
      <alignment horizontal="center"/>
    </xf>
    <xf numFmtId="2" fontId="2" fillId="2" borderId="0" xfId="0" applyNumberFormat="1" applyFont="1" applyFill="1" applyAlignment="1">
      <alignment horizontal="center"/>
    </xf>
    <xf numFmtId="10" fontId="0" fillId="3" borderId="0" xfId="0" applyNumberFormat="1" applyFill="1" applyAlignment="1">
      <alignment horizontal="center"/>
    </xf>
    <xf numFmtId="10" fontId="2" fillId="0" borderId="0" xfId="0" applyNumberFormat="1" applyFont="1" applyAlignment="1">
      <alignment horizontal="center"/>
    </xf>
    <xf numFmtId="43" fontId="0" fillId="0" borderId="0" xfId="1" applyFont="1"/>
    <xf numFmtId="169" fontId="0" fillId="0" borderId="0" xfId="0" applyNumberFormat="1"/>
    <xf numFmtId="0" fontId="0" fillId="0" borderId="0" xfId="0" applyAlignment="1">
      <alignment vertical="center"/>
    </xf>
    <xf numFmtId="170" fontId="3" fillId="0" borderId="0" xfId="0" applyNumberFormat="1" applyFont="1" applyAlignment="1">
      <alignment horizontal="center"/>
    </xf>
    <xf numFmtId="0" fontId="10" fillId="0" borderId="0" xfId="0" applyFont="1"/>
    <xf numFmtId="171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10" fontId="2" fillId="0" borderId="0" xfId="2" applyNumberFormat="1" applyFont="1" applyAlignment="1">
      <alignment horizontal="center"/>
    </xf>
    <xf numFmtId="170" fontId="3" fillId="3" borderId="0" xfId="2" applyNumberFormat="1" applyFont="1" applyFill="1" applyAlignment="1">
      <alignment horizontal="center"/>
    </xf>
    <xf numFmtId="10" fontId="0" fillId="0" borderId="0" xfId="2" applyNumberFormat="1" applyFont="1"/>
    <xf numFmtId="168" fontId="3" fillId="2" borderId="0" xfId="0" applyNumberFormat="1" applyFont="1" applyFill="1" applyAlignment="1">
      <alignment horizontal="center" vertical="center"/>
    </xf>
    <xf numFmtId="172" fontId="0" fillId="0" borderId="0" xfId="1" applyNumberFormat="1" applyFont="1"/>
    <xf numFmtId="165" fontId="3" fillId="5" borderId="0" xfId="0" applyNumberFormat="1" applyFont="1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10" fontId="13" fillId="3" borderId="0" xfId="2" applyNumberFormat="1" applyFont="1" applyFill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MX" b="1">
                <a:solidFill>
                  <a:schemeClr val="tx1"/>
                </a:solidFill>
              </a:rPr>
              <a:t>Volatilidad </a:t>
            </a:r>
          </a:p>
        </c:rich>
      </c:tx>
      <c:layout>
        <c:manualLayout>
          <c:xMode val="edge"/>
          <c:yMode val="edge"/>
          <c:x val="0.45981645521742487"/>
          <c:y val="3.16656111462951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Rendimientos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Histórica!$A$8:$A$259</c:f>
              <c:numCache>
                <c:formatCode>m/d/yyyy</c:formatCode>
                <c:ptCount val="252"/>
                <c:pt idx="0">
                  <c:v>45657</c:v>
                </c:pt>
                <c:pt idx="1">
                  <c:v>45656</c:v>
                </c:pt>
                <c:pt idx="2">
                  <c:v>45653</c:v>
                </c:pt>
                <c:pt idx="3">
                  <c:v>45652</c:v>
                </c:pt>
                <c:pt idx="4">
                  <c:v>45650</c:v>
                </c:pt>
                <c:pt idx="5">
                  <c:v>45649</c:v>
                </c:pt>
                <c:pt idx="6">
                  <c:v>45646</c:v>
                </c:pt>
                <c:pt idx="7">
                  <c:v>45645</c:v>
                </c:pt>
                <c:pt idx="8">
                  <c:v>45644</c:v>
                </c:pt>
                <c:pt idx="9">
                  <c:v>45643</c:v>
                </c:pt>
                <c:pt idx="10">
                  <c:v>45642</c:v>
                </c:pt>
                <c:pt idx="11">
                  <c:v>45639</c:v>
                </c:pt>
                <c:pt idx="12">
                  <c:v>45637</c:v>
                </c:pt>
                <c:pt idx="13">
                  <c:v>45636</c:v>
                </c:pt>
                <c:pt idx="14">
                  <c:v>45635</c:v>
                </c:pt>
                <c:pt idx="15">
                  <c:v>45632</c:v>
                </c:pt>
                <c:pt idx="16">
                  <c:v>45631</c:v>
                </c:pt>
                <c:pt idx="17">
                  <c:v>45630</c:v>
                </c:pt>
                <c:pt idx="18">
                  <c:v>45629</c:v>
                </c:pt>
                <c:pt idx="19">
                  <c:v>45628</c:v>
                </c:pt>
                <c:pt idx="20">
                  <c:v>45625</c:v>
                </c:pt>
                <c:pt idx="21">
                  <c:v>45624</c:v>
                </c:pt>
                <c:pt idx="22">
                  <c:v>45623</c:v>
                </c:pt>
                <c:pt idx="23">
                  <c:v>45622</c:v>
                </c:pt>
                <c:pt idx="24">
                  <c:v>45621</c:v>
                </c:pt>
                <c:pt idx="25">
                  <c:v>45618</c:v>
                </c:pt>
                <c:pt idx="26">
                  <c:v>45617</c:v>
                </c:pt>
                <c:pt idx="27">
                  <c:v>45616</c:v>
                </c:pt>
                <c:pt idx="28">
                  <c:v>45615</c:v>
                </c:pt>
                <c:pt idx="29">
                  <c:v>45611</c:v>
                </c:pt>
                <c:pt idx="30">
                  <c:v>45610</c:v>
                </c:pt>
                <c:pt idx="31">
                  <c:v>45609</c:v>
                </c:pt>
                <c:pt idx="32">
                  <c:v>45608</c:v>
                </c:pt>
                <c:pt idx="33">
                  <c:v>45607</c:v>
                </c:pt>
                <c:pt idx="34">
                  <c:v>45604</c:v>
                </c:pt>
                <c:pt idx="35">
                  <c:v>45603</c:v>
                </c:pt>
                <c:pt idx="36">
                  <c:v>45602</c:v>
                </c:pt>
                <c:pt idx="37">
                  <c:v>45601</c:v>
                </c:pt>
                <c:pt idx="38">
                  <c:v>45600</c:v>
                </c:pt>
                <c:pt idx="39">
                  <c:v>45597</c:v>
                </c:pt>
                <c:pt idx="40">
                  <c:v>45596</c:v>
                </c:pt>
                <c:pt idx="41">
                  <c:v>45595</c:v>
                </c:pt>
                <c:pt idx="42">
                  <c:v>45594</c:v>
                </c:pt>
                <c:pt idx="43">
                  <c:v>45593</c:v>
                </c:pt>
                <c:pt idx="44">
                  <c:v>45590</c:v>
                </c:pt>
                <c:pt idx="45">
                  <c:v>45589</c:v>
                </c:pt>
                <c:pt idx="46">
                  <c:v>45588</c:v>
                </c:pt>
                <c:pt idx="47">
                  <c:v>45587</c:v>
                </c:pt>
                <c:pt idx="48">
                  <c:v>45586</c:v>
                </c:pt>
                <c:pt idx="49">
                  <c:v>45583</c:v>
                </c:pt>
                <c:pt idx="50">
                  <c:v>45582</c:v>
                </c:pt>
                <c:pt idx="51">
                  <c:v>45581</c:v>
                </c:pt>
                <c:pt idx="52">
                  <c:v>45580</c:v>
                </c:pt>
                <c:pt idx="53">
                  <c:v>45579</c:v>
                </c:pt>
                <c:pt idx="54">
                  <c:v>45576</c:v>
                </c:pt>
                <c:pt idx="55">
                  <c:v>45575</c:v>
                </c:pt>
                <c:pt idx="56">
                  <c:v>45574</c:v>
                </c:pt>
                <c:pt idx="57">
                  <c:v>45573</c:v>
                </c:pt>
                <c:pt idx="58">
                  <c:v>45572</c:v>
                </c:pt>
                <c:pt idx="59">
                  <c:v>45569</c:v>
                </c:pt>
                <c:pt idx="60">
                  <c:v>45568</c:v>
                </c:pt>
                <c:pt idx="61">
                  <c:v>45567</c:v>
                </c:pt>
                <c:pt idx="62">
                  <c:v>45565</c:v>
                </c:pt>
                <c:pt idx="63">
                  <c:v>45562</c:v>
                </c:pt>
                <c:pt idx="64">
                  <c:v>45561</c:v>
                </c:pt>
                <c:pt idx="65">
                  <c:v>45560</c:v>
                </c:pt>
                <c:pt idx="66">
                  <c:v>45559</c:v>
                </c:pt>
                <c:pt idx="67">
                  <c:v>45558</c:v>
                </c:pt>
                <c:pt idx="68">
                  <c:v>45555</c:v>
                </c:pt>
                <c:pt idx="69">
                  <c:v>45554</c:v>
                </c:pt>
                <c:pt idx="70">
                  <c:v>45553</c:v>
                </c:pt>
                <c:pt idx="71">
                  <c:v>45552</c:v>
                </c:pt>
                <c:pt idx="72">
                  <c:v>45548</c:v>
                </c:pt>
                <c:pt idx="73">
                  <c:v>45547</c:v>
                </c:pt>
                <c:pt idx="74">
                  <c:v>45546</c:v>
                </c:pt>
                <c:pt idx="75">
                  <c:v>45545</c:v>
                </c:pt>
                <c:pt idx="76">
                  <c:v>45544</c:v>
                </c:pt>
                <c:pt idx="77">
                  <c:v>45541</c:v>
                </c:pt>
                <c:pt idx="78">
                  <c:v>45540</c:v>
                </c:pt>
                <c:pt idx="79">
                  <c:v>45539</c:v>
                </c:pt>
                <c:pt idx="80">
                  <c:v>45538</c:v>
                </c:pt>
                <c:pt idx="81">
                  <c:v>45537</c:v>
                </c:pt>
                <c:pt idx="82">
                  <c:v>45534</c:v>
                </c:pt>
                <c:pt idx="83">
                  <c:v>45533</c:v>
                </c:pt>
                <c:pt idx="84">
                  <c:v>45532</c:v>
                </c:pt>
                <c:pt idx="85">
                  <c:v>45531</c:v>
                </c:pt>
                <c:pt idx="86">
                  <c:v>45530</c:v>
                </c:pt>
                <c:pt idx="87">
                  <c:v>45527</c:v>
                </c:pt>
                <c:pt idx="88">
                  <c:v>45526</c:v>
                </c:pt>
                <c:pt idx="89">
                  <c:v>45525</c:v>
                </c:pt>
                <c:pt idx="90">
                  <c:v>45524</c:v>
                </c:pt>
                <c:pt idx="91">
                  <c:v>45523</c:v>
                </c:pt>
                <c:pt idx="92">
                  <c:v>45520</c:v>
                </c:pt>
                <c:pt idx="93">
                  <c:v>45519</c:v>
                </c:pt>
                <c:pt idx="94">
                  <c:v>45518</c:v>
                </c:pt>
                <c:pt idx="95">
                  <c:v>45517</c:v>
                </c:pt>
                <c:pt idx="96">
                  <c:v>45516</c:v>
                </c:pt>
                <c:pt idx="97">
                  <c:v>45513</c:v>
                </c:pt>
                <c:pt idx="98">
                  <c:v>45512</c:v>
                </c:pt>
                <c:pt idx="99">
                  <c:v>45511</c:v>
                </c:pt>
                <c:pt idx="100">
                  <c:v>45510</c:v>
                </c:pt>
                <c:pt idx="101">
                  <c:v>45509</c:v>
                </c:pt>
                <c:pt idx="102">
                  <c:v>45506</c:v>
                </c:pt>
                <c:pt idx="103">
                  <c:v>45505</c:v>
                </c:pt>
                <c:pt idx="104">
                  <c:v>45504</c:v>
                </c:pt>
                <c:pt idx="105">
                  <c:v>45503</c:v>
                </c:pt>
                <c:pt idx="106">
                  <c:v>45502</c:v>
                </c:pt>
                <c:pt idx="107">
                  <c:v>45499</c:v>
                </c:pt>
                <c:pt idx="108">
                  <c:v>45498</c:v>
                </c:pt>
                <c:pt idx="109">
                  <c:v>45497</c:v>
                </c:pt>
                <c:pt idx="110">
                  <c:v>45496</c:v>
                </c:pt>
                <c:pt idx="111">
                  <c:v>45495</c:v>
                </c:pt>
                <c:pt idx="112">
                  <c:v>45492</c:v>
                </c:pt>
                <c:pt idx="113">
                  <c:v>45491</c:v>
                </c:pt>
                <c:pt idx="114">
                  <c:v>45490</c:v>
                </c:pt>
                <c:pt idx="115">
                  <c:v>45489</c:v>
                </c:pt>
                <c:pt idx="116">
                  <c:v>45488</c:v>
                </c:pt>
                <c:pt idx="117">
                  <c:v>45485</c:v>
                </c:pt>
                <c:pt idx="118">
                  <c:v>45484</c:v>
                </c:pt>
                <c:pt idx="119">
                  <c:v>45483</c:v>
                </c:pt>
                <c:pt idx="120">
                  <c:v>45482</c:v>
                </c:pt>
                <c:pt idx="121">
                  <c:v>45481</c:v>
                </c:pt>
                <c:pt idx="122">
                  <c:v>45478</c:v>
                </c:pt>
                <c:pt idx="123">
                  <c:v>45477</c:v>
                </c:pt>
                <c:pt idx="124">
                  <c:v>45476</c:v>
                </c:pt>
                <c:pt idx="125">
                  <c:v>45475</c:v>
                </c:pt>
                <c:pt idx="126">
                  <c:v>45474</c:v>
                </c:pt>
                <c:pt idx="127">
                  <c:v>45471</c:v>
                </c:pt>
                <c:pt idx="128">
                  <c:v>45470</c:v>
                </c:pt>
                <c:pt idx="129">
                  <c:v>45469</c:v>
                </c:pt>
                <c:pt idx="130">
                  <c:v>45468</c:v>
                </c:pt>
                <c:pt idx="131">
                  <c:v>45467</c:v>
                </c:pt>
                <c:pt idx="132">
                  <c:v>45464</c:v>
                </c:pt>
                <c:pt idx="133">
                  <c:v>45463</c:v>
                </c:pt>
                <c:pt idx="134">
                  <c:v>45462</c:v>
                </c:pt>
                <c:pt idx="135">
                  <c:v>45461</c:v>
                </c:pt>
                <c:pt idx="136">
                  <c:v>45460</c:v>
                </c:pt>
                <c:pt idx="137">
                  <c:v>45457</c:v>
                </c:pt>
                <c:pt idx="138">
                  <c:v>45456</c:v>
                </c:pt>
                <c:pt idx="139">
                  <c:v>45455</c:v>
                </c:pt>
                <c:pt idx="140">
                  <c:v>45454</c:v>
                </c:pt>
                <c:pt idx="141">
                  <c:v>45453</c:v>
                </c:pt>
                <c:pt idx="142">
                  <c:v>45450</c:v>
                </c:pt>
                <c:pt idx="143">
                  <c:v>45449</c:v>
                </c:pt>
                <c:pt idx="144">
                  <c:v>45448</c:v>
                </c:pt>
                <c:pt idx="145">
                  <c:v>45447</c:v>
                </c:pt>
                <c:pt idx="146">
                  <c:v>45446</c:v>
                </c:pt>
                <c:pt idx="147">
                  <c:v>45443</c:v>
                </c:pt>
                <c:pt idx="148">
                  <c:v>45442</c:v>
                </c:pt>
                <c:pt idx="149">
                  <c:v>45441</c:v>
                </c:pt>
                <c:pt idx="150">
                  <c:v>45440</c:v>
                </c:pt>
                <c:pt idx="151">
                  <c:v>45439</c:v>
                </c:pt>
                <c:pt idx="152">
                  <c:v>45436</c:v>
                </c:pt>
                <c:pt idx="153">
                  <c:v>45435</c:v>
                </c:pt>
                <c:pt idx="154">
                  <c:v>45434</c:v>
                </c:pt>
                <c:pt idx="155">
                  <c:v>45433</c:v>
                </c:pt>
                <c:pt idx="156">
                  <c:v>45432</c:v>
                </c:pt>
                <c:pt idx="157">
                  <c:v>45429</c:v>
                </c:pt>
                <c:pt idx="158">
                  <c:v>45428</c:v>
                </c:pt>
                <c:pt idx="159">
                  <c:v>45427</c:v>
                </c:pt>
                <c:pt idx="160">
                  <c:v>45426</c:v>
                </c:pt>
                <c:pt idx="161">
                  <c:v>45425</c:v>
                </c:pt>
                <c:pt idx="162">
                  <c:v>45422</c:v>
                </c:pt>
                <c:pt idx="163">
                  <c:v>45421</c:v>
                </c:pt>
                <c:pt idx="164">
                  <c:v>45420</c:v>
                </c:pt>
                <c:pt idx="165">
                  <c:v>45419</c:v>
                </c:pt>
                <c:pt idx="166">
                  <c:v>45418</c:v>
                </c:pt>
                <c:pt idx="167">
                  <c:v>45415</c:v>
                </c:pt>
                <c:pt idx="168">
                  <c:v>45414</c:v>
                </c:pt>
                <c:pt idx="169">
                  <c:v>45412</c:v>
                </c:pt>
                <c:pt idx="170">
                  <c:v>45411</c:v>
                </c:pt>
                <c:pt idx="171">
                  <c:v>45408</c:v>
                </c:pt>
                <c:pt idx="172">
                  <c:v>45407</c:v>
                </c:pt>
                <c:pt idx="173">
                  <c:v>45406</c:v>
                </c:pt>
                <c:pt idx="174">
                  <c:v>45405</c:v>
                </c:pt>
                <c:pt idx="175">
                  <c:v>45404</c:v>
                </c:pt>
                <c:pt idx="176">
                  <c:v>45401</c:v>
                </c:pt>
                <c:pt idx="177">
                  <c:v>45400</c:v>
                </c:pt>
                <c:pt idx="178">
                  <c:v>45399</c:v>
                </c:pt>
                <c:pt idx="179">
                  <c:v>45398</c:v>
                </c:pt>
                <c:pt idx="180">
                  <c:v>45397</c:v>
                </c:pt>
                <c:pt idx="181">
                  <c:v>45394</c:v>
                </c:pt>
                <c:pt idx="182">
                  <c:v>45393</c:v>
                </c:pt>
                <c:pt idx="183">
                  <c:v>45392</c:v>
                </c:pt>
                <c:pt idx="184">
                  <c:v>45391</c:v>
                </c:pt>
                <c:pt idx="185">
                  <c:v>45390</c:v>
                </c:pt>
                <c:pt idx="186">
                  <c:v>45387</c:v>
                </c:pt>
                <c:pt idx="187">
                  <c:v>45386</c:v>
                </c:pt>
                <c:pt idx="188">
                  <c:v>45385</c:v>
                </c:pt>
                <c:pt idx="189">
                  <c:v>45384</c:v>
                </c:pt>
                <c:pt idx="190">
                  <c:v>45383</c:v>
                </c:pt>
                <c:pt idx="191">
                  <c:v>45378</c:v>
                </c:pt>
                <c:pt idx="192">
                  <c:v>45377</c:v>
                </c:pt>
                <c:pt idx="193">
                  <c:v>45376</c:v>
                </c:pt>
                <c:pt idx="194">
                  <c:v>45373</c:v>
                </c:pt>
                <c:pt idx="195">
                  <c:v>45372</c:v>
                </c:pt>
                <c:pt idx="196">
                  <c:v>45371</c:v>
                </c:pt>
                <c:pt idx="197">
                  <c:v>45370</c:v>
                </c:pt>
                <c:pt idx="198">
                  <c:v>45366</c:v>
                </c:pt>
                <c:pt idx="199">
                  <c:v>45365</c:v>
                </c:pt>
                <c:pt idx="200">
                  <c:v>45364</c:v>
                </c:pt>
                <c:pt idx="201">
                  <c:v>45363</c:v>
                </c:pt>
                <c:pt idx="202">
                  <c:v>45362</c:v>
                </c:pt>
                <c:pt idx="203">
                  <c:v>45359</c:v>
                </c:pt>
                <c:pt idx="204">
                  <c:v>45358</c:v>
                </c:pt>
                <c:pt idx="205">
                  <c:v>45357</c:v>
                </c:pt>
                <c:pt idx="206">
                  <c:v>45356</c:v>
                </c:pt>
                <c:pt idx="207">
                  <c:v>45355</c:v>
                </c:pt>
                <c:pt idx="208">
                  <c:v>45352</c:v>
                </c:pt>
                <c:pt idx="209">
                  <c:v>45351</c:v>
                </c:pt>
                <c:pt idx="210">
                  <c:v>45350</c:v>
                </c:pt>
                <c:pt idx="211">
                  <c:v>45349</c:v>
                </c:pt>
                <c:pt idx="212">
                  <c:v>45348</c:v>
                </c:pt>
                <c:pt idx="213">
                  <c:v>45345</c:v>
                </c:pt>
                <c:pt idx="214">
                  <c:v>45344</c:v>
                </c:pt>
                <c:pt idx="215">
                  <c:v>45343</c:v>
                </c:pt>
                <c:pt idx="216">
                  <c:v>45342</c:v>
                </c:pt>
                <c:pt idx="217">
                  <c:v>45341</c:v>
                </c:pt>
                <c:pt idx="218">
                  <c:v>45338</c:v>
                </c:pt>
                <c:pt idx="219">
                  <c:v>45337</c:v>
                </c:pt>
                <c:pt idx="220">
                  <c:v>45336</c:v>
                </c:pt>
                <c:pt idx="221">
                  <c:v>45335</c:v>
                </c:pt>
                <c:pt idx="222">
                  <c:v>45334</c:v>
                </c:pt>
                <c:pt idx="223">
                  <c:v>45331</c:v>
                </c:pt>
                <c:pt idx="224">
                  <c:v>45330</c:v>
                </c:pt>
                <c:pt idx="225">
                  <c:v>45329</c:v>
                </c:pt>
                <c:pt idx="226">
                  <c:v>45328</c:v>
                </c:pt>
                <c:pt idx="227">
                  <c:v>45324</c:v>
                </c:pt>
                <c:pt idx="228">
                  <c:v>45323</c:v>
                </c:pt>
                <c:pt idx="229">
                  <c:v>45322</c:v>
                </c:pt>
                <c:pt idx="230">
                  <c:v>45321</c:v>
                </c:pt>
                <c:pt idx="231">
                  <c:v>45320</c:v>
                </c:pt>
                <c:pt idx="232">
                  <c:v>45317</c:v>
                </c:pt>
                <c:pt idx="233">
                  <c:v>45316</c:v>
                </c:pt>
                <c:pt idx="234">
                  <c:v>45315</c:v>
                </c:pt>
                <c:pt idx="235">
                  <c:v>45314</c:v>
                </c:pt>
                <c:pt idx="236">
                  <c:v>45313</c:v>
                </c:pt>
                <c:pt idx="237">
                  <c:v>45310</c:v>
                </c:pt>
                <c:pt idx="238">
                  <c:v>45309</c:v>
                </c:pt>
                <c:pt idx="239">
                  <c:v>45308</c:v>
                </c:pt>
                <c:pt idx="240">
                  <c:v>45307</c:v>
                </c:pt>
                <c:pt idx="241">
                  <c:v>45306</c:v>
                </c:pt>
                <c:pt idx="242">
                  <c:v>45303</c:v>
                </c:pt>
                <c:pt idx="243">
                  <c:v>45302</c:v>
                </c:pt>
                <c:pt idx="244">
                  <c:v>45301</c:v>
                </c:pt>
                <c:pt idx="245">
                  <c:v>45300</c:v>
                </c:pt>
                <c:pt idx="246">
                  <c:v>45299</c:v>
                </c:pt>
                <c:pt idx="247">
                  <c:v>45296</c:v>
                </c:pt>
                <c:pt idx="248">
                  <c:v>45295</c:v>
                </c:pt>
                <c:pt idx="249">
                  <c:v>45294</c:v>
                </c:pt>
                <c:pt idx="250">
                  <c:v>45293</c:v>
                </c:pt>
                <c:pt idx="251">
                  <c:v>45289</c:v>
                </c:pt>
              </c:numCache>
            </c:numRef>
          </c:cat>
          <c:val>
            <c:numRef>
              <c:f>Histórica!$D$8:$D$259</c:f>
              <c:numCache>
                <c:formatCode>0.00%</c:formatCode>
                <c:ptCount val="252"/>
                <c:pt idx="0">
                  <c:v>1.2345679012345734E-2</c:v>
                </c:pt>
                <c:pt idx="1">
                  <c:v>-3.9963110974485794E-3</c:v>
                </c:pt>
                <c:pt idx="2">
                  <c:v>-9.7412480974125026E-3</c:v>
                </c:pt>
                <c:pt idx="3">
                  <c:v>1.5243902439026069E-3</c:v>
                </c:pt>
                <c:pt idx="4">
                  <c:v>-1.2180267965896663E-3</c:v>
                </c:pt>
                <c:pt idx="5">
                  <c:v>-2.6962962962962855E-2</c:v>
                </c:pt>
                <c:pt idx="6">
                  <c:v>2.0783847980998527E-3</c:v>
                </c:pt>
                <c:pt idx="7">
                  <c:v>8.0814127506736444E-3</c:v>
                </c:pt>
                <c:pt idx="8">
                  <c:v>-1.7930629041740365E-2</c:v>
                </c:pt>
                <c:pt idx="9">
                  <c:v>5.0221565731167761E-3</c:v>
                </c:pt>
                <c:pt idx="10">
                  <c:v>4.7491837340458698E-3</c:v>
                </c:pt>
                <c:pt idx="11">
                  <c:v>-1.8356643356643443E-2</c:v>
                </c:pt>
                <c:pt idx="12">
                  <c:v>3.215434083601254E-3</c:v>
                </c:pt>
                <c:pt idx="13">
                  <c:v>7.9552150854449444E-3</c:v>
                </c:pt>
                <c:pt idx="14">
                  <c:v>1.4042426053181956E-2</c:v>
                </c:pt>
                <c:pt idx="15">
                  <c:v>-1.1518015357353861E-2</c:v>
                </c:pt>
                <c:pt idx="16">
                  <c:v>3.420891875381793E-2</c:v>
                </c:pt>
                <c:pt idx="17">
                  <c:v>2.4494794856093627E-3</c:v>
                </c:pt>
                <c:pt idx="18">
                  <c:v>-5.4811205846531097E-3</c:v>
                </c:pt>
                <c:pt idx="19">
                  <c:v>3.0459945172123248E-4</c:v>
                </c:pt>
                <c:pt idx="20">
                  <c:v>0</c:v>
                </c:pt>
                <c:pt idx="21">
                  <c:v>6.7463968107941419E-3</c:v>
                </c:pt>
                <c:pt idx="22">
                  <c:v>7.1031500926497237E-3</c:v>
                </c:pt>
                <c:pt idx="23">
                  <c:v>-1.819284414796829E-2</c:v>
                </c:pt>
                <c:pt idx="24">
                  <c:v>-4.8196248196248237E-2</c:v>
                </c:pt>
                <c:pt idx="25">
                  <c:v>-3.1645569620253333E-3</c:v>
                </c:pt>
                <c:pt idx="26">
                  <c:v>-9.9686698946169772E-3</c:v>
                </c:pt>
                <c:pt idx="27">
                  <c:v>-5.9456398640996833E-3</c:v>
                </c:pt>
                <c:pt idx="28">
                  <c:v>-1.9161344071091269E-2</c:v>
                </c:pt>
                <c:pt idx="29">
                  <c:v>2.4758110415480816E-2</c:v>
                </c:pt>
                <c:pt idx="30">
                  <c:v>-1.1370096645820782E-3</c:v>
                </c:pt>
                <c:pt idx="31">
                  <c:v>-5.090497737556543E-3</c:v>
                </c:pt>
                <c:pt idx="32">
                  <c:v>-1.7504862461795057E-2</c:v>
                </c:pt>
                <c:pt idx="33">
                  <c:v>-1.1806699615595773E-2</c:v>
                </c:pt>
                <c:pt idx="34">
                  <c:v>-3.778071334214006E-2</c:v>
                </c:pt>
                <c:pt idx="35">
                  <c:v>3.3306033306033322E-2</c:v>
                </c:pt>
                <c:pt idx="36">
                  <c:v>1.4962593516209433E-2</c:v>
                </c:pt>
                <c:pt idx="37">
                  <c:v>-1.9559902200488977E-2</c:v>
                </c:pt>
                <c:pt idx="38">
                  <c:v>1.8257261410788539E-2</c:v>
                </c:pt>
                <c:pt idx="39">
                  <c:v>-1.1052777010223114E-3</c:v>
                </c:pt>
                <c:pt idx="40">
                  <c:v>-1.104057410985293E-3</c:v>
                </c:pt>
                <c:pt idx="41">
                  <c:v>2.2130013831258566E-3</c:v>
                </c:pt>
                <c:pt idx="42">
                  <c:v>-1.2295081967213184E-2</c:v>
                </c:pt>
                <c:pt idx="43">
                  <c:v>0</c:v>
                </c:pt>
                <c:pt idx="44">
                  <c:v>-7.8612089997288637E-3</c:v>
                </c:pt>
                <c:pt idx="45">
                  <c:v>-5.4185857491184652E-4</c:v>
                </c:pt>
                <c:pt idx="46">
                  <c:v>-9.9248927038627643E-3</c:v>
                </c:pt>
                <c:pt idx="47">
                  <c:v>-9.3010895562052331E-3</c:v>
                </c:pt>
                <c:pt idx="48">
                  <c:v>-6.5997888067581556E-3</c:v>
                </c:pt>
                <c:pt idx="49">
                  <c:v>2.1164021164021829E-3</c:v>
                </c:pt>
                <c:pt idx="50">
                  <c:v>-2.4012393493415995E-2</c:v>
                </c:pt>
                <c:pt idx="51">
                  <c:v>2.7320954907161576E-2</c:v>
                </c:pt>
                <c:pt idx="52">
                  <c:v>-1.0238907849829393E-2</c:v>
                </c:pt>
                <c:pt idx="53">
                  <c:v>-2.0958868221115923E-3</c:v>
                </c:pt>
                <c:pt idx="54">
                  <c:v>5.0026329647183676E-3</c:v>
                </c:pt>
                <c:pt idx="55">
                  <c:v>1.0542962572481773E-3</c:v>
                </c:pt>
                <c:pt idx="56">
                  <c:v>-1.3161358252172795E-3</c:v>
                </c:pt>
                <c:pt idx="57">
                  <c:v>-4.7157453497510549E-3</c:v>
                </c:pt>
                <c:pt idx="58">
                  <c:v>-1.062726801451519E-2</c:v>
                </c:pt>
                <c:pt idx="59">
                  <c:v>4.9492055222712938E-3</c:v>
                </c:pt>
                <c:pt idx="60">
                  <c:v>-9.5459236326108643E-3</c:v>
                </c:pt>
                <c:pt idx="61">
                  <c:v>-1.4242115971515812E-2</c:v>
                </c:pt>
                <c:pt idx="62">
                  <c:v>-4.5569620253164134E-3</c:v>
                </c:pt>
                <c:pt idx="63">
                  <c:v>-1.2499999999999956E-2</c:v>
                </c:pt>
                <c:pt idx="64">
                  <c:v>2.0668537892319483E-2</c:v>
                </c:pt>
                <c:pt idx="65">
                  <c:v>-2.6818971939409075E-2</c:v>
                </c:pt>
                <c:pt idx="66">
                  <c:v>1.5124779430299995E-2</c:v>
                </c:pt>
                <c:pt idx="67">
                  <c:v>-3.0784265819692069E-2</c:v>
                </c:pt>
                <c:pt idx="68">
                  <c:v>3.8305428716387535E-2</c:v>
                </c:pt>
                <c:pt idx="69">
                  <c:v>-8.8006034699522617E-3</c:v>
                </c:pt>
                <c:pt idx="70">
                  <c:v>-6.7432567432565982E-3</c:v>
                </c:pt>
                <c:pt idx="71">
                  <c:v>3.6500129433082895E-2</c:v>
                </c:pt>
                <c:pt idx="72">
                  <c:v>-1.4540816326530592E-2</c:v>
                </c:pt>
                <c:pt idx="73">
                  <c:v>1.7653167185877505E-2</c:v>
                </c:pt>
                <c:pt idx="74">
                  <c:v>-5.1652892561981911E-3</c:v>
                </c:pt>
                <c:pt idx="75">
                  <c:v>8.4897730456710674E-2</c:v>
                </c:pt>
                <c:pt idx="76">
                  <c:v>4.9397236107027398E-2</c:v>
                </c:pt>
                <c:pt idx="77">
                  <c:v>-1.1747430249632318E-3</c:v>
                </c:pt>
                <c:pt idx="78">
                  <c:v>1.76329946204421E-2</c:v>
                </c:pt>
                <c:pt idx="79">
                  <c:v>-1.2688108586603741E-2</c:v>
                </c:pt>
                <c:pt idx="80">
                  <c:v>1.5278609946075328E-2</c:v>
                </c:pt>
                <c:pt idx="81">
                  <c:v>-9.4955489614243493E-3</c:v>
                </c:pt>
                <c:pt idx="82">
                  <c:v>-9.9882491186837896E-3</c:v>
                </c:pt>
                <c:pt idx="83">
                  <c:v>-1.3619240799768173E-2</c:v>
                </c:pt>
                <c:pt idx="84">
                  <c:v>-5.7620282339384543E-3</c:v>
                </c:pt>
                <c:pt idx="85">
                  <c:v>2.7531083481349805E-2</c:v>
                </c:pt>
                <c:pt idx="86">
                  <c:v>1.8083182640144635E-2</c:v>
                </c:pt>
                <c:pt idx="87">
                  <c:v>-5.0974512743628964E-3</c:v>
                </c:pt>
                <c:pt idx="88">
                  <c:v>6.0006000600076881E-4</c:v>
                </c:pt>
                <c:pt idx="89">
                  <c:v>-6.2611806797853164E-3</c:v>
                </c:pt>
                <c:pt idx="90">
                  <c:v>-7.9858030168590277E-3</c:v>
                </c:pt>
                <c:pt idx="91">
                  <c:v>-4.1237113402061709E-3</c:v>
                </c:pt>
                <c:pt idx="92">
                  <c:v>2.0661157024792765E-3</c:v>
                </c:pt>
                <c:pt idx="93">
                  <c:v>3.5545023696683664E-3</c:v>
                </c:pt>
                <c:pt idx="94">
                  <c:v>1.13840623127619E-2</c:v>
                </c:pt>
                <c:pt idx="95">
                  <c:v>9.0689238210399647E-3</c:v>
                </c:pt>
                <c:pt idx="96">
                  <c:v>-7.2028811524610381E-3</c:v>
                </c:pt>
                <c:pt idx="97">
                  <c:v>-2.9922202274087484E-3</c:v>
                </c:pt>
                <c:pt idx="98">
                  <c:v>5.7177249473367997E-3</c:v>
                </c:pt>
                <c:pt idx="99">
                  <c:v>-3.2993401319737492E-3</c:v>
                </c:pt>
                <c:pt idx="100">
                  <c:v>5.1251130539644585E-3</c:v>
                </c:pt>
                <c:pt idx="101">
                  <c:v>-1.6602431070263712E-2</c:v>
                </c:pt>
                <c:pt idx="102">
                  <c:v>-2.1183981427742471E-2</c:v>
                </c:pt>
                <c:pt idx="103">
                  <c:v>-6.0571098932795664E-3</c:v>
                </c:pt>
                <c:pt idx="104">
                  <c:v>-6.8748209682037986E-3</c:v>
                </c:pt>
                <c:pt idx="105">
                  <c:v>1.3646922183507604E-2</c:v>
                </c:pt>
                <c:pt idx="106">
                  <c:v>-1.2614678899082743E-2</c:v>
                </c:pt>
                <c:pt idx="107">
                  <c:v>1.7502917152858899E-2</c:v>
                </c:pt>
                <c:pt idx="108">
                  <c:v>-2.2247575584711909E-2</c:v>
                </c:pt>
                <c:pt idx="109">
                  <c:v>-8.7644896805201267E-3</c:v>
                </c:pt>
                <c:pt idx="110">
                  <c:v>-6.4606741573034476E-3</c:v>
                </c:pt>
                <c:pt idx="111">
                  <c:v>3.9481105470953182E-3</c:v>
                </c:pt>
                <c:pt idx="112">
                  <c:v>1.6337059329320835E-2</c:v>
                </c:pt>
                <c:pt idx="113">
                  <c:v>-2.2962755530663737E-2</c:v>
                </c:pt>
                <c:pt idx="114">
                  <c:v>-1.8686452322066449E-2</c:v>
                </c:pt>
                <c:pt idx="115">
                  <c:v>1.1004126547455861E-3</c:v>
                </c:pt>
                <c:pt idx="116">
                  <c:v>-1.2764801738185727E-2</c:v>
                </c:pt>
                <c:pt idx="117">
                  <c:v>1.6322089227420733E-3</c:v>
                </c:pt>
                <c:pt idx="118">
                  <c:v>3.5490035490033378E-3</c:v>
                </c:pt>
                <c:pt idx="119">
                  <c:v>-9.1966459291316083E-3</c:v>
                </c:pt>
                <c:pt idx="120">
                  <c:v>-6.4498790647675719E-3</c:v>
                </c:pt>
                <c:pt idx="121">
                  <c:v>3.0462475768485264E-2</c:v>
                </c:pt>
                <c:pt idx="122">
                  <c:v>-1.2848551120831053E-2</c:v>
                </c:pt>
                <c:pt idx="123">
                  <c:v>-2.7262813522356266E-3</c:v>
                </c:pt>
                <c:pt idx="124">
                  <c:v>2.3152022315202192E-2</c:v>
                </c:pt>
                <c:pt idx="125">
                  <c:v>-1.2396694214875881E-2</c:v>
                </c:pt>
                <c:pt idx="126">
                  <c:v>1.794727986539546E-2</c:v>
                </c:pt>
                <c:pt idx="127">
                  <c:v>-3.2030401737242364E-2</c:v>
                </c:pt>
                <c:pt idx="128">
                  <c:v>-1.8385291766586653E-2</c:v>
                </c:pt>
                <c:pt idx="129">
                  <c:v>-2.8978007761966351E-2</c:v>
                </c:pt>
                <c:pt idx="130">
                  <c:v>2.7379053694843281E-2</c:v>
                </c:pt>
                <c:pt idx="131">
                  <c:v>-3.0412371134020622E-2</c:v>
                </c:pt>
                <c:pt idx="132">
                  <c:v>5.6932715881231166E-2</c:v>
                </c:pt>
                <c:pt idx="133">
                  <c:v>3.2795845859523443E-3</c:v>
                </c:pt>
                <c:pt idx="134">
                  <c:v>1.6953863257365365E-2</c:v>
                </c:pt>
                <c:pt idx="135">
                  <c:v>2.5655644241733055E-2</c:v>
                </c:pt>
                <c:pt idx="136">
                  <c:v>-1.7091622303166187E-2</c:v>
                </c:pt>
                <c:pt idx="137">
                  <c:v>-7.5083426028922373E-3</c:v>
                </c:pt>
                <c:pt idx="138">
                  <c:v>4.1887740854509303E-3</c:v>
                </c:pt>
                <c:pt idx="139">
                  <c:v>2.793296089387276E-4</c:v>
                </c:pt>
                <c:pt idx="140">
                  <c:v>-5.0027793218454519E-3</c:v>
                </c:pt>
                <c:pt idx="141">
                  <c:v>2.4487471526195792E-2</c:v>
                </c:pt>
                <c:pt idx="142">
                  <c:v>-1.2928611579539062E-2</c:v>
                </c:pt>
                <c:pt idx="143">
                  <c:v>-1.6835016835017313E-3</c:v>
                </c:pt>
                <c:pt idx="144">
                  <c:v>2.2497187851517886E-3</c:v>
                </c:pt>
                <c:pt idx="145">
                  <c:v>1.3683010262257822E-2</c:v>
                </c:pt>
                <c:pt idx="146">
                  <c:v>-7.5869336143308819E-2</c:v>
                </c:pt>
                <c:pt idx="147">
                  <c:v>3.8009297238173367E-2</c:v>
                </c:pt>
                <c:pt idx="148">
                  <c:v>4.0990606319385003E-2</c:v>
                </c:pt>
                <c:pt idx="149">
                  <c:v>1.9147084421236027E-2</c:v>
                </c:pt>
                <c:pt idx="150">
                  <c:v>1.0850439882697849E-2</c:v>
                </c:pt>
                <c:pt idx="151">
                  <c:v>-9.2969203951190904E-3</c:v>
                </c:pt>
                <c:pt idx="152">
                  <c:v>-1.0635240011497515E-2</c:v>
                </c:pt>
                <c:pt idx="153">
                  <c:v>-1.4168319637291038E-2</c:v>
                </c:pt>
                <c:pt idx="154">
                  <c:v>-3.1073446327682941E-3</c:v>
                </c:pt>
                <c:pt idx="155">
                  <c:v>-2.3178807947019986E-2</c:v>
                </c:pt>
                <c:pt idx="156">
                  <c:v>-5.2154817458138769E-3</c:v>
                </c:pt>
                <c:pt idx="157">
                  <c:v>-7.6273494960501509E-3</c:v>
                </c:pt>
                <c:pt idx="158">
                  <c:v>-1.370231058570659E-2</c:v>
                </c:pt>
                <c:pt idx="159">
                  <c:v>-2.6795284030011191E-3</c:v>
                </c:pt>
                <c:pt idx="160">
                  <c:v>-1.4783526927138357E-2</c:v>
                </c:pt>
                <c:pt idx="161">
                  <c:v>2.9123643102990648E-3</c:v>
                </c:pt>
                <c:pt idx="162">
                  <c:v>-4.7430830039525418E-3</c:v>
                </c:pt>
                <c:pt idx="163">
                  <c:v>1.0383386581469756E-2</c:v>
                </c:pt>
                <c:pt idx="164">
                  <c:v>1.6508795669823995E-2</c:v>
                </c:pt>
                <c:pt idx="165">
                  <c:v>3.2582134129786056E-3</c:v>
                </c:pt>
                <c:pt idx="166">
                  <c:v>4.6372067648663418E-3</c:v>
                </c:pt>
                <c:pt idx="167">
                  <c:v>4.9342105263157077E-3</c:v>
                </c:pt>
                <c:pt idx="168">
                  <c:v>-5.7236304170074082E-3</c:v>
                </c:pt>
                <c:pt idx="169">
                  <c:v>-1.0250876719719471E-2</c:v>
                </c:pt>
                <c:pt idx="170">
                  <c:v>-9.6179535132246974E-3</c:v>
                </c:pt>
                <c:pt idx="171">
                  <c:v>8.3512931034483984E-3</c:v>
                </c:pt>
                <c:pt idx="172">
                  <c:v>3.6292573981016041E-2</c:v>
                </c:pt>
                <c:pt idx="173">
                  <c:v>-1.6474464579901205E-2</c:v>
                </c:pt>
                <c:pt idx="174">
                  <c:v>2.9686174724342873E-2</c:v>
                </c:pt>
                <c:pt idx="175">
                  <c:v>3.1196823596142398E-3</c:v>
                </c:pt>
                <c:pt idx="176">
                  <c:v>-2.8352707683598766E-4</c:v>
                </c:pt>
                <c:pt idx="177">
                  <c:v>3.1588183679438497E-2</c:v>
                </c:pt>
                <c:pt idx="178">
                  <c:v>-3.7443693693693825E-2</c:v>
                </c:pt>
                <c:pt idx="179">
                  <c:v>-8.6519676248951738E-3</c:v>
                </c:pt>
                <c:pt idx="180">
                  <c:v>-1.2947658402203799E-2</c:v>
                </c:pt>
                <c:pt idx="181">
                  <c:v>-1.9184004323155923E-2</c:v>
                </c:pt>
                <c:pt idx="182">
                  <c:v>1.0098253275109048E-2</c:v>
                </c:pt>
                <c:pt idx="183">
                  <c:v>-3.8067734313468216E-2</c:v>
                </c:pt>
                <c:pt idx="184">
                  <c:v>-7.8145350351653819E-3</c:v>
                </c:pt>
                <c:pt idx="185">
                  <c:v>-1.8660531697341387E-2</c:v>
                </c:pt>
                <c:pt idx="186">
                  <c:v>1.0069713400464808E-2</c:v>
                </c:pt>
                <c:pt idx="187">
                  <c:v>2.4332187252049664E-2</c:v>
                </c:pt>
                <c:pt idx="188">
                  <c:v>-6.5685759327377413E-3</c:v>
                </c:pt>
                <c:pt idx="189">
                  <c:v>0</c:v>
                </c:pt>
                <c:pt idx="190">
                  <c:v>-2.3601847101077378E-2</c:v>
                </c:pt>
                <c:pt idx="191">
                  <c:v>-1.025115325474224E-3</c:v>
                </c:pt>
                <c:pt idx="192">
                  <c:v>4.1173443129183251E-3</c:v>
                </c:pt>
                <c:pt idx="193">
                  <c:v>-9.1789903110657267E-3</c:v>
                </c:pt>
                <c:pt idx="194">
                  <c:v>9.264024704065843E-3</c:v>
                </c:pt>
                <c:pt idx="195">
                  <c:v>-6.1381074168798122E-3</c:v>
                </c:pt>
                <c:pt idx="196">
                  <c:v>1.584827227851382E-2</c:v>
                </c:pt>
                <c:pt idx="197">
                  <c:v>-1.8153526970954292E-3</c:v>
                </c:pt>
                <c:pt idx="198">
                  <c:v>-2.3285899094436235E-3</c:v>
                </c:pt>
                <c:pt idx="199">
                  <c:v>-1.5788133435192364E-2</c:v>
                </c:pt>
                <c:pt idx="200">
                  <c:v>1.7857142857142794E-3</c:v>
                </c:pt>
                <c:pt idx="201">
                  <c:v>-6.8406384595894876E-3</c:v>
                </c:pt>
                <c:pt idx="202">
                  <c:v>-2.7791814047498642E-3</c:v>
                </c:pt>
                <c:pt idx="203">
                  <c:v>-4.2767295597484489E-3</c:v>
                </c:pt>
                <c:pt idx="204">
                  <c:v>9.395632300660095E-3</c:v>
                </c:pt>
                <c:pt idx="205">
                  <c:v>-4.2983565107457267E-3</c:v>
                </c:pt>
                <c:pt idx="206">
                  <c:v>1.7730496453900457E-3</c:v>
                </c:pt>
                <c:pt idx="207">
                  <c:v>-7.790902236742947E-3</c:v>
                </c:pt>
                <c:pt idx="208">
                  <c:v>-1.5056461731494108E-3</c:v>
                </c:pt>
                <c:pt idx="209">
                  <c:v>-2.5087807325629985E-4</c:v>
                </c:pt>
                <c:pt idx="210">
                  <c:v>-3.8359469240048294E-2</c:v>
                </c:pt>
                <c:pt idx="211">
                  <c:v>-1.0031048483400862E-2</c:v>
                </c:pt>
                <c:pt idx="212">
                  <c:v>-9.9314258689997548E-3</c:v>
                </c:pt>
                <c:pt idx="213">
                  <c:v>3.3214709371294227E-3</c:v>
                </c:pt>
                <c:pt idx="214">
                  <c:v>1.3708513708513781E-2</c:v>
                </c:pt>
                <c:pt idx="215">
                  <c:v>-2.0955968919237122E-2</c:v>
                </c:pt>
                <c:pt idx="216">
                  <c:v>-5.8520599250936334E-3</c:v>
                </c:pt>
                <c:pt idx="217">
                  <c:v>7.0721357850069833E-3</c:v>
                </c:pt>
                <c:pt idx="218">
                  <c:v>-5.6258790436004569E-3</c:v>
                </c:pt>
                <c:pt idx="219">
                  <c:v>5.1837888784165287E-3</c:v>
                </c:pt>
                <c:pt idx="220">
                  <c:v>3.546937810356976E-3</c:v>
                </c:pt>
                <c:pt idx="221">
                  <c:v>-1.6053978594695151E-2</c:v>
                </c:pt>
                <c:pt idx="222">
                  <c:v>8.6834076507862346E-3</c:v>
                </c:pt>
                <c:pt idx="223">
                  <c:v>-6.7599067599067864E-3</c:v>
                </c:pt>
                <c:pt idx="224">
                  <c:v>7.0422535211267512E-3</c:v>
                </c:pt>
                <c:pt idx="225">
                  <c:v>3.8011695906432719E-2</c:v>
                </c:pt>
                <c:pt idx="226">
                  <c:v>1.2333497779970504E-2</c:v>
                </c:pt>
                <c:pt idx="227">
                  <c:v>-1.231830500123321E-3</c:v>
                </c:pt>
                <c:pt idx="228">
                  <c:v>4.4543429844099425E-3</c:v>
                </c:pt>
                <c:pt idx="229">
                  <c:v>-5.4147181885307871E-3</c:v>
                </c:pt>
                <c:pt idx="230">
                  <c:v>-1.4745637748831975E-3</c:v>
                </c:pt>
                <c:pt idx="231">
                  <c:v>1.969958138389627E-3</c:v>
                </c:pt>
                <c:pt idx="232">
                  <c:v>-1.3602137478746723E-2</c:v>
                </c:pt>
                <c:pt idx="233">
                  <c:v>3.0280280280280403E-2</c:v>
                </c:pt>
                <c:pt idx="234">
                  <c:v>3.7678975131876236E-3</c:v>
                </c:pt>
                <c:pt idx="235">
                  <c:v>3.2762096774194838E-3</c:v>
                </c:pt>
                <c:pt idx="236">
                  <c:v>-9.4857713429855606E-3</c:v>
                </c:pt>
                <c:pt idx="237">
                  <c:v>3.0045067601403019E-3</c:v>
                </c:pt>
                <c:pt idx="238">
                  <c:v>7.8002699055330638E-2</c:v>
                </c:pt>
                <c:pt idx="239">
                  <c:v>-6.3447927199191234E-2</c:v>
                </c:pt>
                <c:pt idx="240">
                  <c:v>-2.8009828009827986E-2</c:v>
                </c:pt>
                <c:pt idx="241">
                  <c:v>2.1329987452948673E-2</c:v>
                </c:pt>
                <c:pt idx="242">
                  <c:v>-3.6508704061895547E-2</c:v>
                </c:pt>
                <c:pt idx="243">
                  <c:v>1.447142506745136E-2</c:v>
                </c:pt>
                <c:pt idx="244">
                  <c:v>-6.5789473684209065E-3</c:v>
                </c:pt>
                <c:pt idx="245">
                  <c:v>-1.6299137104506256E-2</c:v>
                </c:pt>
                <c:pt idx="246">
                  <c:v>-2.2950819672131195E-2</c:v>
                </c:pt>
                <c:pt idx="247">
                  <c:v>3.6659383345472252E-2</c:v>
                </c:pt>
                <c:pt idx="248">
                  <c:v>-1.1044417767106851E-2</c:v>
                </c:pt>
                <c:pt idx="249">
                  <c:v>-3.5656401944894611E-2</c:v>
                </c:pt>
                <c:pt idx="250">
                  <c:v>-1.1670480549199169E-2</c:v>
                </c:pt>
                <c:pt idx="251">
                  <c:v>5.9852670349909154E-3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2-4C62-9D15-F4BEA1EFC576}"/>
            </c:ext>
          </c:extLst>
        </c:ser>
        <c:ser>
          <c:idx val="1"/>
          <c:order val="1"/>
          <c:tx>
            <c:v>-volatilidad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Histórica!$A$8:$A$259</c:f>
              <c:numCache>
                <c:formatCode>m/d/yyyy</c:formatCode>
                <c:ptCount val="252"/>
                <c:pt idx="0">
                  <c:v>45657</c:v>
                </c:pt>
                <c:pt idx="1">
                  <c:v>45656</c:v>
                </c:pt>
                <c:pt idx="2">
                  <c:v>45653</c:v>
                </c:pt>
                <c:pt idx="3">
                  <c:v>45652</c:v>
                </c:pt>
                <c:pt idx="4">
                  <c:v>45650</c:v>
                </c:pt>
                <c:pt idx="5">
                  <c:v>45649</c:v>
                </c:pt>
                <c:pt idx="6">
                  <c:v>45646</c:v>
                </c:pt>
                <c:pt idx="7">
                  <c:v>45645</c:v>
                </c:pt>
                <c:pt idx="8">
                  <c:v>45644</c:v>
                </c:pt>
                <c:pt idx="9">
                  <c:v>45643</c:v>
                </c:pt>
                <c:pt idx="10">
                  <c:v>45642</c:v>
                </c:pt>
                <c:pt idx="11">
                  <c:v>45639</c:v>
                </c:pt>
                <c:pt idx="12">
                  <c:v>45637</c:v>
                </c:pt>
                <c:pt idx="13">
                  <c:v>45636</c:v>
                </c:pt>
                <c:pt idx="14">
                  <c:v>45635</c:v>
                </c:pt>
                <c:pt idx="15">
                  <c:v>45632</c:v>
                </c:pt>
                <c:pt idx="16">
                  <c:v>45631</c:v>
                </c:pt>
                <c:pt idx="17">
                  <c:v>45630</c:v>
                </c:pt>
                <c:pt idx="18">
                  <c:v>45629</c:v>
                </c:pt>
                <c:pt idx="19">
                  <c:v>45628</c:v>
                </c:pt>
                <c:pt idx="20">
                  <c:v>45625</c:v>
                </c:pt>
                <c:pt idx="21">
                  <c:v>45624</c:v>
                </c:pt>
                <c:pt idx="22">
                  <c:v>45623</c:v>
                </c:pt>
                <c:pt idx="23">
                  <c:v>45622</c:v>
                </c:pt>
                <c:pt idx="24">
                  <c:v>45621</c:v>
                </c:pt>
                <c:pt idx="25">
                  <c:v>45618</c:v>
                </c:pt>
                <c:pt idx="26">
                  <c:v>45617</c:v>
                </c:pt>
                <c:pt idx="27">
                  <c:v>45616</c:v>
                </c:pt>
                <c:pt idx="28">
                  <c:v>45615</c:v>
                </c:pt>
                <c:pt idx="29">
                  <c:v>45611</c:v>
                </c:pt>
                <c:pt idx="30">
                  <c:v>45610</c:v>
                </c:pt>
                <c:pt idx="31">
                  <c:v>45609</c:v>
                </c:pt>
                <c:pt idx="32">
                  <c:v>45608</c:v>
                </c:pt>
                <c:pt idx="33">
                  <c:v>45607</c:v>
                </c:pt>
                <c:pt idx="34">
                  <c:v>45604</c:v>
                </c:pt>
                <c:pt idx="35">
                  <c:v>45603</c:v>
                </c:pt>
                <c:pt idx="36">
                  <c:v>45602</c:v>
                </c:pt>
                <c:pt idx="37">
                  <c:v>45601</c:v>
                </c:pt>
                <c:pt idx="38">
                  <c:v>45600</c:v>
                </c:pt>
                <c:pt idx="39">
                  <c:v>45597</c:v>
                </c:pt>
                <c:pt idx="40">
                  <c:v>45596</c:v>
                </c:pt>
                <c:pt idx="41">
                  <c:v>45595</c:v>
                </c:pt>
                <c:pt idx="42">
                  <c:v>45594</c:v>
                </c:pt>
                <c:pt idx="43">
                  <c:v>45593</c:v>
                </c:pt>
                <c:pt idx="44">
                  <c:v>45590</c:v>
                </c:pt>
                <c:pt idx="45">
                  <c:v>45589</c:v>
                </c:pt>
                <c:pt idx="46">
                  <c:v>45588</c:v>
                </c:pt>
                <c:pt idx="47">
                  <c:v>45587</c:v>
                </c:pt>
                <c:pt idx="48">
                  <c:v>45586</c:v>
                </c:pt>
                <c:pt idx="49">
                  <c:v>45583</c:v>
                </c:pt>
                <c:pt idx="50">
                  <c:v>45582</c:v>
                </c:pt>
                <c:pt idx="51">
                  <c:v>45581</c:v>
                </c:pt>
                <c:pt idx="52">
                  <c:v>45580</c:v>
                </c:pt>
                <c:pt idx="53">
                  <c:v>45579</c:v>
                </c:pt>
                <c:pt idx="54">
                  <c:v>45576</c:v>
                </c:pt>
                <c:pt idx="55">
                  <c:v>45575</c:v>
                </c:pt>
                <c:pt idx="56">
                  <c:v>45574</c:v>
                </c:pt>
                <c:pt idx="57">
                  <c:v>45573</c:v>
                </c:pt>
                <c:pt idx="58">
                  <c:v>45572</c:v>
                </c:pt>
                <c:pt idx="59">
                  <c:v>45569</c:v>
                </c:pt>
                <c:pt idx="60">
                  <c:v>45568</c:v>
                </c:pt>
                <c:pt idx="61">
                  <c:v>45567</c:v>
                </c:pt>
                <c:pt idx="62">
                  <c:v>45565</c:v>
                </c:pt>
                <c:pt idx="63">
                  <c:v>45562</c:v>
                </c:pt>
                <c:pt idx="64">
                  <c:v>45561</c:v>
                </c:pt>
                <c:pt idx="65">
                  <c:v>45560</c:v>
                </c:pt>
                <c:pt idx="66">
                  <c:v>45559</c:v>
                </c:pt>
                <c:pt idx="67">
                  <c:v>45558</c:v>
                </c:pt>
                <c:pt idx="68">
                  <c:v>45555</c:v>
                </c:pt>
                <c:pt idx="69">
                  <c:v>45554</c:v>
                </c:pt>
                <c:pt idx="70">
                  <c:v>45553</c:v>
                </c:pt>
                <c:pt idx="71">
                  <c:v>45552</c:v>
                </c:pt>
                <c:pt idx="72">
                  <c:v>45548</c:v>
                </c:pt>
                <c:pt idx="73">
                  <c:v>45547</c:v>
                </c:pt>
                <c:pt idx="74">
                  <c:v>45546</c:v>
                </c:pt>
                <c:pt idx="75">
                  <c:v>45545</c:v>
                </c:pt>
                <c:pt idx="76">
                  <c:v>45544</c:v>
                </c:pt>
                <c:pt idx="77">
                  <c:v>45541</c:v>
                </c:pt>
                <c:pt idx="78">
                  <c:v>45540</c:v>
                </c:pt>
                <c:pt idx="79">
                  <c:v>45539</c:v>
                </c:pt>
                <c:pt idx="80">
                  <c:v>45538</c:v>
                </c:pt>
                <c:pt idx="81">
                  <c:v>45537</c:v>
                </c:pt>
                <c:pt idx="82">
                  <c:v>45534</c:v>
                </c:pt>
                <c:pt idx="83">
                  <c:v>45533</c:v>
                </c:pt>
                <c:pt idx="84">
                  <c:v>45532</c:v>
                </c:pt>
                <c:pt idx="85">
                  <c:v>45531</c:v>
                </c:pt>
                <c:pt idx="86">
                  <c:v>45530</c:v>
                </c:pt>
                <c:pt idx="87">
                  <c:v>45527</c:v>
                </c:pt>
                <c:pt idx="88">
                  <c:v>45526</c:v>
                </c:pt>
                <c:pt idx="89">
                  <c:v>45525</c:v>
                </c:pt>
                <c:pt idx="90">
                  <c:v>45524</c:v>
                </c:pt>
                <c:pt idx="91">
                  <c:v>45523</c:v>
                </c:pt>
                <c:pt idx="92">
                  <c:v>45520</c:v>
                </c:pt>
                <c:pt idx="93">
                  <c:v>45519</c:v>
                </c:pt>
                <c:pt idx="94">
                  <c:v>45518</c:v>
                </c:pt>
                <c:pt idx="95">
                  <c:v>45517</c:v>
                </c:pt>
                <c:pt idx="96">
                  <c:v>45516</c:v>
                </c:pt>
                <c:pt idx="97">
                  <c:v>45513</c:v>
                </c:pt>
                <c:pt idx="98">
                  <c:v>45512</c:v>
                </c:pt>
                <c:pt idx="99">
                  <c:v>45511</c:v>
                </c:pt>
                <c:pt idx="100">
                  <c:v>45510</c:v>
                </c:pt>
                <c:pt idx="101">
                  <c:v>45509</c:v>
                </c:pt>
                <c:pt idx="102">
                  <c:v>45506</c:v>
                </c:pt>
                <c:pt idx="103">
                  <c:v>45505</c:v>
                </c:pt>
                <c:pt idx="104">
                  <c:v>45504</c:v>
                </c:pt>
                <c:pt idx="105">
                  <c:v>45503</c:v>
                </c:pt>
                <c:pt idx="106">
                  <c:v>45502</c:v>
                </c:pt>
                <c:pt idx="107">
                  <c:v>45499</c:v>
                </c:pt>
                <c:pt idx="108">
                  <c:v>45498</c:v>
                </c:pt>
                <c:pt idx="109">
                  <c:v>45497</c:v>
                </c:pt>
                <c:pt idx="110">
                  <c:v>45496</c:v>
                </c:pt>
                <c:pt idx="111">
                  <c:v>45495</c:v>
                </c:pt>
                <c:pt idx="112">
                  <c:v>45492</c:v>
                </c:pt>
                <c:pt idx="113">
                  <c:v>45491</c:v>
                </c:pt>
                <c:pt idx="114">
                  <c:v>45490</c:v>
                </c:pt>
                <c:pt idx="115">
                  <c:v>45489</c:v>
                </c:pt>
                <c:pt idx="116">
                  <c:v>45488</c:v>
                </c:pt>
                <c:pt idx="117">
                  <c:v>45485</c:v>
                </c:pt>
                <c:pt idx="118">
                  <c:v>45484</c:v>
                </c:pt>
                <c:pt idx="119">
                  <c:v>45483</c:v>
                </c:pt>
                <c:pt idx="120">
                  <c:v>45482</c:v>
                </c:pt>
                <c:pt idx="121">
                  <c:v>45481</c:v>
                </c:pt>
                <c:pt idx="122">
                  <c:v>45478</c:v>
                </c:pt>
                <c:pt idx="123">
                  <c:v>45477</c:v>
                </c:pt>
                <c:pt idx="124">
                  <c:v>45476</c:v>
                </c:pt>
                <c:pt idx="125">
                  <c:v>45475</c:v>
                </c:pt>
                <c:pt idx="126">
                  <c:v>45474</c:v>
                </c:pt>
                <c:pt idx="127">
                  <c:v>45471</c:v>
                </c:pt>
                <c:pt idx="128">
                  <c:v>45470</c:v>
                </c:pt>
                <c:pt idx="129">
                  <c:v>45469</c:v>
                </c:pt>
                <c:pt idx="130">
                  <c:v>45468</c:v>
                </c:pt>
                <c:pt idx="131">
                  <c:v>45467</c:v>
                </c:pt>
                <c:pt idx="132">
                  <c:v>45464</c:v>
                </c:pt>
                <c:pt idx="133">
                  <c:v>45463</c:v>
                </c:pt>
                <c:pt idx="134">
                  <c:v>45462</c:v>
                </c:pt>
                <c:pt idx="135">
                  <c:v>45461</c:v>
                </c:pt>
                <c:pt idx="136">
                  <c:v>45460</c:v>
                </c:pt>
                <c:pt idx="137">
                  <c:v>45457</c:v>
                </c:pt>
                <c:pt idx="138">
                  <c:v>45456</c:v>
                </c:pt>
                <c:pt idx="139">
                  <c:v>45455</c:v>
                </c:pt>
                <c:pt idx="140">
                  <c:v>45454</c:v>
                </c:pt>
                <c:pt idx="141">
                  <c:v>45453</c:v>
                </c:pt>
                <c:pt idx="142">
                  <c:v>45450</c:v>
                </c:pt>
                <c:pt idx="143">
                  <c:v>45449</c:v>
                </c:pt>
                <c:pt idx="144">
                  <c:v>45448</c:v>
                </c:pt>
                <c:pt idx="145">
                  <c:v>45447</c:v>
                </c:pt>
                <c:pt idx="146">
                  <c:v>45446</c:v>
                </c:pt>
                <c:pt idx="147">
                  <c:v>45443</c:v>
                </c:pt>
                <c:pt idx="148">
                  <c:v>45442</c:v>
                </c:pt>
                <c:pt idx="149">
                  <c:v>45441</c:v>
                </c:pt>
                <c:pt idx="150">
                  <c:v>45440</c:v>
                </c:pt>
                <c:pt idx="151">
                  <c:v>45439</c:v>
                </c:pt>
                <c:pt idx="152">
                  <c:v>45436</c:v>
                </c:pt>
                <c:pt idx="153">
                  <c:v>45435</c:v>
                </c:pt>
                <c:pt idx="154">
                  <c:v>45434</c:v>
                </c:pt>
                <c:pt idx="155">
                  <c:v>45433</c:v>
                </c:pt>
                <c:pt idx="156">
                  <c:v>45432</c:v>
                </c:pt>
                <c:pt idx="157">
                  <c:v>45429</c:v>
                </c:pt>
                <c:pt idx="158">
                  <c:v>45428</c:v>
                </c:pt>
                <c:pt idx="159">
                  <c:v>45427</c:v>
                </c:pt>
                <c:pt idx="160">
                  <c:v>45426</c:v>
                </c:pt>
                <c:pt idx="161">
                  <c:v>45425</c:v>
                </c:pt>
                <c:pt idx="162">
                  <c:v>45422</c:v>
                </c:pt>
                <c:pt idx="163">
                  <c:v>45421</c:v>
                </c:pt>
                <c:pt idx="164">
                  <c:v>45420</c:v>
                </c:pt>
                <c:pt idx="165">
                  <c:v>45419</c:v>
                </c:pt>
                <c:pt idx="166">
                  <c:v>45418</c:v>
                </c:pt>
                <c:pt idx="167">
                  <c:v>45415</c:v>
                </c:pt>
                <c:pt idx="168">
                  <c:v>45414</c:v>
                </c:pt>
                <c:pt idx="169">
                  <c:v>45412</c:v>
                </c:pt>
                <c:pt idx="170">
                  <c:v>45411</c:v>
                </c:pt>
                <c:pt idx="171">
                  <c:v>45408</c:v>
                </c:pt>
                <c:pt idx="172">
                  <c:v>45407</c:v>
                </c:pt>
                <c:pt idx="173">
                  <c:v>45406</c:v>
                </c:pt>
                <c:pt idx="174">
                  <c:v>45405</c:v>
                </c:pt>
                <c:pt idx="175">
                  <c:v>45404</c:v>
                </c:pt>
                <c:pt idx="176">
                  <c:v>45401</c:v>
                </c:pt>
                <c:pt idx="177">
                  <c:v>45400</c:v>
                </c:pt>
                <c:pt idx="178">
                  <c:v>45399</c:v>
                </c:pt>
                <c:pt idx="179">
                  <c:v>45398</c:v>
                </c:pt>
                <c:pt idx="180">
                  <c:v>45397</c:v>
                </c:pt>
                <c:pt idx="181">
                  <c:v>45394</c:v>
                </c:pt>
                <c:pt idx="182">
                  <c:v>45393</c:v>
                </c:pt>
                <c:pt idx="183">
                  <c:v>45392</c:v>
                </c:pt>
                <c:pt idx="184">
                  <c:v>45391</c:v>
                </c:pt>
                <c:pt idx="185">
                  <c:v>45390</c:v>
                </c:pt>
                <c:pt idx="186">
                  <c:v>45387</c:v>
                </c:pt>
                <c:pt idx="187">
                  <c:v>45386</c:v>
                </c:pt>
                <c:pt idx="188">
                  <c:v>45385</c:v>
                </c:pt>
                <c:pt idx="189">
                  <c:v>45384</c:v>
                </c:pt>
                <c:pt idx="190">
                  <c:v>45383</c:v>
                </c:pt>
                <c:pt idx="191">
                  <c:v>45378</c:v>
                </c:pt>
                <c:pt idx="192">
                  <c:v>45377</c:v>
                </c:pt>
                <c:pt idx="193">
                  <c:v>45376</c:v>
                </c:pt>
                <c:pt idx="194">
                  <c:v>45373</c:v>
                </c:pt>
                <c:pt idx="195">
                  <c:v>45372</c:v>
                </c:pt>
                <c:pt idx="196">
                  <c:v>45371</c:v>
                </c:pt>
                <c:pt idx="197">
                  <c:v>45370</c:v>
                </c:pt>
                <c:pt idx="198">
                  <c:v>45366</c:v>
                </c:pt>
                <c:pt idx="199">
                  <c:v>45365</c:v>
                </c:pt>
                <c:pt idx="200">
                  <c:v>45364</c:v>
                </c:pt>
                <c:pt idx="201">
                  <c:v>45363</c:v>
                </c:pt>
                <c:pt idx="202">
                  <c:v>45362</c:v>
                </c:pt>
                <c:pt idx="203">
                  <c:v>45359</c:v>
                </c:pt>
                <c:pt idx="204">
                  <c:v>45358</c:v>
                </c:pt>
                <c:pt idx="205">
                  <c:v>45357</c:v>
                </c:pt>
                <c:pt idx="206">
                  <c:v>45356</c:v>
                </c:pt>
                <c:pt idx="207">
                  <c:v>45355</c:v>
                </c:pt>
                <c:pt idx="208">
                  <c:v>45352</c:v>
                </c:pt>
                <c:pt idx="209">
                  <c:v>45351</c:v>
                </c:pt>
                <c:pt idx="210">
                  <c:v>45350</c:v>
                </c:pt>
                <c:pt idx="211">
                  <c:v>45349</c:v>
                </c:pt>
                <c:pt idx="212">
                  <c:v>45348</c:v>
                </c:pt>
                <c:pt idx="213">
                  <c:v>45345</c:v>
                </c:pt>
                <c:pt idx="214">
                  <c:v>45344</c:v>
                </c:pt>
                <c:pt idx="215">
                  <c:v>45343</c:v>
                </c:pt>
                <c:pt idx="216">
                  <c:v>45342</c:v>
                </c:pt>
                <c:pt idx="217">
                  <c:v>45341</c:v>
                </c:pt>
                <c:pt idx="218">
                  <c:v>45338</c:v>
                </c:pt>
                <c:pt idx="219">
                  <c:v>45337</c:v>
                </c:pt>
                <c:pt idx="220">
                  <c:v>45336</c:v>
                </c:pt>
                <c:pt idx="221">
                  <c:v>45335</c:v>
                </c:pt>
                <c:pt idx="222">
                  <c:v>45334</c:v>
                </c:pt>
                <c:pt idx="223">
                  <c:v>45331</c:v>
                </c:pt>
                <c:pt idx="224">
                  <c:v>45330</c:v>
                </c:pt>
                <c:pt idx="225">
                  <c:v>45329</c:v>
                </c:pt>
                <c:pt idx="226">
                  <c:v>45328</c:v>
                </c:pt>
                <c:pt idx="227">
                  <c:v>45324</c:v>
                </c:pt>
                <c:pt idx="228">
                  <c:v>45323</c:v>
                </c:pt>
                <c:pt idx="229">
                  <c:v>45322</c:v>
                </c:pt>
                <c:pt idx="230">
                  <c:v>45321</c:v>
                </c:pt>
                <c:pt idx="231">
                  <c:v>45320</c:v>
                </c:pt>
                <c:pt idx="232">
                  <c:v>45317</c:v>
                </c:pt>
                <c:pt idx="233">
                  <c:v>45316</c:v>
                </c:pt>
                <c:pt idx="234">
                  <c:v>45315</c:v>
                </c:pt>
                <c:pt idx="235">
                  <c:v>45314</c:v>
                </c:pt>
                <c:pt idx="236">
                  <c:v>45313</c:v>
                </c:pt>
                <c:pt idx="237">
                  <c:v>45310</c:v>
                </c:pt>
                <c:pt idx="238">
                  <c:v>45309</c:v>
                </c:pt>
                <c:pt idx="239">
                  <c:v>45308</c:v>
                </c:pt>
                <c:pt idx="240">
                  <c:v>45307</c:v>
                </c:pt>
                <c:pt idx="241">
                  <c:v>45306</c:v>
                </c:pt>
                <c:pt idx="242">
                  <c:v>45303</c:v>
                </c:pt>
                <c:pt idx="243">
                  <c:v>45302</c:v>
                </c:pt>
                <c:pt idx="244">
                  <c:v>45301</c:v>
                </c:pt>
                <c:pt idx="245">
                  <c:v>45300</c:v>
                </c:pt>
                <c:pt idx="246">
                  <c:v>45299</c:v>
                </c:pt>
                <c:pt idx="247">
                  <c:v>45296</c:v>
                </c:pt>
                <c:pt idx="248">
                  <c:v>45295</c:v>
                </c:pt>
                <c:pt idx="249">
                  <c:v>45294</c:v>
                </c:pt>
                <c:pt idx="250">
                  <c:v>45293</c:v>
                </c:pt>
                <c:pt idx="251">
                  <c:v>45289</c:v>
                </c:pt>
              </c:numCache>
            </c:numRef>
          </c:cat>
          <c:val>
            <c:numRef>
              <c:f>Histórica!$H$8:$H$259</c:f>
              <c:numCache>
                <c:formatCode>0.00%</c:formatCode>
                <c:ptCount val="252"/>
                <c:pt idx="0">
                  <c:v>-3.7970940396181083E-2</c:v>
                </c:pt>
                <c:pt idx="1">
                  <c:v>-3.7970940396181083E-2</c:v>
                </c:pt>
                <c:pt idx="2">
                  <c:v>-3.7970940396181083E-2</c:v>
                </c:pt>
                <c:pt idx="3">
                  <c:v>-3.7970940396181083E-2</c:v>
                </c:pt>
                <c:pt idx="4">
                  <c:v>-3.7970940396181083E-2</c:v>
                </c:pt>
                <c:pt idx="5">
                  <c:v>-3.7970940396181083E-2</c:v>
                </c:pt>
                <c:pt idx="6">
                  <c:v>-3.7970940396181083E-2</c:v>
                </c:pt>
                <c:pt idx="7">
                  <c:v>-3.7970940396181083E-2</c:v>
                </c:pt>
                <c:pt idx="8">
                  <c:v>-3.7970940396181083E-2</c:v>
                </c:pt>
                <c:pt idx="9">
                  <c:v>-3.7970940396181083E-2</c:v>
                </c:pt>
                <c:pt idx="10">
                  <c:v>-3.7970940396181083E-2</c:v>
                </c:pt>
                <c:pt idx="11">
                  <c:v>-3.7970940396181083E-2</c:v>
                </c:pt>
                <c:pt idx="12">
                  <c:v>-3.7970940396181083E-2</c:v>
                </c:pt>
                <c:pt idx="13">
                  <c:v>-3.7970940396181083E-2</c:v>
                </c:pt>
                <c:pt idx="14">
                  <c:v>-3.7970940396181083E-2</c:v>
                </c:pt>
                <c:pt idx="15">
                  <c:v>-3.7970940396181083E-2</c:v>
                </c:pt>
                <c:pt idx="16">
                  <c:v>-3.7970940396181083E-2</c:v>
                </c:pt>
                <c:pt idx="17">
                  <c:v>-3.7970940396181083E-2</c:v>
                </c:pt>
                <c:pt idx="18">
                  <c:v>-3.7970940396181083E-2</c:v>
                </c:pt>
                <c:pt idx="19">
                  <c:v>-3.7970940396181083E-2</c:v>
                </c:pt>
                <c:pt idx="20">
                  <c:v>-3.7970940396181083E-2</c:v>
                </c:pt>
                <c:pt idx="21">
                  <c:v>-3.7970940396181083E-2</c:v>
                </c:pt>
                <c:pt idx="22">
                  <c:v>-3.7970940396181083E-2</c:v>
                </c:pt>
                <c:pt idx="23">
                  <c:v>-3.7970940396181083E-2</c:v>
                </c:pt>
                <c:pt idx="24">
                  <c:v>-3.7970940396181083E-2</c:v>
                </c:pt>
                <c:pt idx="25">
                  <c:v>-3.7970940396181083E-2</c:v>
                </c:pt>
                <c:pt idx="26">
                  <c:v>-3.7970940396181083E-2</c:v>
                </c:pt>
                <c:pt idx="27">
                  <c:v>-3.7970940396181083E-2</c:v>
                </c:pt>
                <c:pt idx="28">
                  <c:v>-3.7970940396181083E-2</c:v>
                </c:pt>
                <c:pt idx="29">
                  <c:v>-3.7970940396181083E-2</c:v>
                </c:pt>
                <c:pt idx="30">
                  <c:v>-3.7970940396181083E-2</c:v>
                </c:pt>
                <c:pt idx="31">
                  <c:v>-3.7970940396181083E-2</c:v>
                </c:pt>
                <c:pt idx="32">
                  <c:v>-3.7970940396181083E-2</c:v>
                </c:pt>
                <c:pt idx="33">
                  <c:v>-3.7970940396181083E-2</c:v>
                </c:pt>
                <c:pt idx="34">
                  <c:v>-3.7970940396181083E-2</c:v>
                </c:pt>
                <c:pt idx="35">
                  <c:v>-3.7970940396181083E-2</c:v>
                </c:pt>
                <c:pt idx="36">
                  <c:v>-3.7970940396181083E-2</c:v>
                </c:pt>
                <c:pt idx="37">
                  <c:v>-3.7970940396181083E-2</c:v>
                </c:pt>
                <c:pt idx="38">
                  <c:v>-3.7970940396181083E-2</c:v>
                </c:pt>
                <c:pt idx="39">
                  <c:v>-3.7970940396181083E-2</c:v>
                </c:pt>
                <c:pt idx="40">
                  <c:v>-3.7970940396181083E-2</c:v>
                </c:pt>
                <c:pt idx="41">
                  <c:v>-3.7970940396181083E-2</c:v>
                </c:pt>
                <c:pt idx="42">
                  <c:v>-3.7970940396181083E-2</c:v>
                </c:pt>
                <c:pt idx="43">
                  <c:v>-3.7970940396181083E-2</c:v>
                </c:pt>
                <c:pt idx="44">
                  <c:v>-3.7970940396181083E-2</c:v>
                </c:pt>
                <c:pt idx="45">
                  <c:v>-3.7970940396181083E-2</c:v>
                </c:pt>
                <c:pt idx="46">
                  <c:v>-3.7970940396181083E-2</c:v>
                </c:pt>
                <c:pt idx="47">
                  <c:v>-3.7970940396181083E-2</c:v>
                </c:pt>
                <c:pt idx="48">
                  <c:v>-3.7970940396181083E-2</c:v>
                </c:pt>
                <c:pt idx="49">
                  <c:v>-3.7970940396181083E-2</c:v>
                </c:pt>
                <c:pt idx="50">
                  <c:v>-3.7970940396181083E-2</c:v>
                </c:pt>
                <c:pt idx="51">
                  <c:v>-3.7970940396181083E-2</c:v>
                </c:pt>
                <c:pt idx="52">
                  <c:v>-3.7970940396181083E-2</c:v>
                </c:pt>
                <c:pt idx="53">
                  <c:v>-3.7970940396181083E-2</c:v>
                </c:pt>
                <c:pt idx="54">
                  <c:v>-3.7970940396181083E-2</c:v>
                </c:pt>
                <c:pt idx="55">
                  <c:v>-3.7970940396181083E-2</c:v>
                </c:pt>
                <c:pt idx="56">
                  <c:v>-3.7970940396181083E-2</c:v>
                </c:pt>
                <c:pt idx="57">
                  <c:v>-3.7970940396181083E-2</c:v>
                </c:pt>
                <c:pt idx="58">
                  <c:v>-3.7970940396181083E-2</c:v>
                </c:pt>
                <c:pt idx="59">
                  <c:v>-3.7970940396181083E-2</c:v>
                </c:pt>
                <c:pt idx="60">
                  <c:v>-3.7970940396181083E-2</c:v>
                </c:pt>
                <c:pt idx="61">
                  <c:v>-3.7970940396181083E-2</c:v>
                </c:pt>
                <c:pt idx="62">
                  <c:v>-3.7970940396181083E-2</c:v>
                </c:pt>
                <c:pt idx="63">
                  <c:v>-3.7970940396181083E-2</c:v>
                </c:pt>
                <c:pt idx="64">
                  <c:v>-3.7970940396181083E-2</c:v>
                </c:pt>
                <c:pt idx="65">
                  <c:v>-3.7970940396181083E-2</c:v>
                </c:pt>
                <c:pt idx="66">
                  <c:v>-3.7970940396181083E-2</c:v>
                </c:pt>
                <c:pt idx="67">
                  <c:v>-3.7970940396181083E-2</c:v>
                </c:pt>
                <c:pt idx="68">
                  <c:v>-3.7970940396181083E-2</c:v>
                </c:pt>
                <c:pt idx="69">
                  <c:v>-3.7970940396181083E-2</c:v>
                </c:pt>
                <c:pt idx="70">
                  <c:v>-3.7970940396181083E-2</c:v>
                </c:pt>
                <c:pt idx="71">
                  <c:v>-3.7970940396181083E-2</c:v>
                </c:pt>
                <c:pt idx="72">
                  <c:v>-3.7970940396181083E-2</c:v>
                </c:pt>
                <c:pt idx="73">
                  <c:v>-3.7970940396181083E-2</c:v>
                </c:pt>
                <c:pt idx="74">
                  <c:v>-3.7970940396181083E-2</c:v>
                </c:pt>
                <c:pt idx="75">
                  <c:v>-3.7970940396181083E-2</c:v>
                </c:pt>
                <c:pt idx="76">
                  <c:v>-3.7970940396181083E-2</c:v>
                </c:pt>
                <c:pt idx="77">
                  <c:v>-3.7970940396181083E-2</c:v>
                </c:pt>
                <c:pt idx="78">
                  <c:v>-3.7970940396181083E-2</c:v>
                </c:pt>
                <c:pt idx="79">
                  <c:v>-3.7970940396181083E-2</c:v>
                </c:pt>
                <c:pt idx="80">
                  <c:v>-3.7970940396181083E-2</c:v>
                </c:pt>
                <c:pt idx="81">
                  <c:v>-3.7970940396181083E-2</c:v>
                </c:pt>
                <c:pt idx="82">
                  <c:v>-3.7970940396181083E-2</c:v>
                </c:pt>
                <c:pt idx="83">
                  <c:v>-3.7970940396181083E-2</c:v>
                </c:pt>
                <c:pt idx="84">
                  <c:v>-3.7970940396181083E-2</c:v>
                </c:pt>
                <c:pt idx="85">
                  <c:v>-3.7970940396181083E-2</c:v>
                </c:pt>
                <c:pt idx="86">
                  <c:v>-3.7970940396181083E-2</c:v>
                </c:pt>
                <c:pt idx="87">
                  <c:v>-3.7970940396181083E-2</c:v>
                </c:pt>
                <c:pt idx="88">
                  <c:v>-3.7970940396181083E-2</c:v>
                </c:pt>
                <c:pt idx="89">
                  <c:v>-3.7970940396181083E-2</c:v>
                </c:pt>
                <c:pt idx="90">
                  <c:v>-3.7970940396181083E-2</c:v>
                </c:pt>
                <c:pt idx="91">
                  <c:v>-3.7970940396181083E-2</c:v>
                </c:pt>
                <c:pt idx="92">
                  <c:v>-3.7970940396181083E-2</c:v>
                </c:pt>
                <c:pt idx="93">
                  <c:v>-3.7970940396181083E-2</c:v>
                </c:pt>
                <c:pt idx="94">
                  <c:v>-3.7970940396181083E-2</c:v>
                </c:pt>
                <c:pt idx="95">
                  <c:v>-3.7970940396181083E-2</c:v>
                </c:pt>
                <c:pt idx="96">
                  <c:v>-3.7970940396181083E-2</c:v>
                </c:pt>
                <c:pt idx="97">
                  <c:v>-3.7970940396181083E-2</c:v>
                </c:pt>
                <c:pt idx="98">
                  <c:v>-3.7970940396181083E-2</c:v>
                </c:pt>
                <c:pt idx="99">
                  <c:v>-3.7970940396181083E-2</c:v>
                </c:pt>
                <c:pt idx="100">
                  <c:v>-3.7970940396181083E-2</c:v>
                </c:pt>
                <c:pt idx="101">
                  <c:v>-3.7970940396181083E-2</c:v>
                </c:pt>
                <c:pt idx="102">
                  <c:v>-3.7970940396181083E-2</c:v>
                </c:pt>
                <c:pt idx="103">
                  <c:v>-3.7970940396181083E-2</c:v>
                </c:pt>
                <c:pt idx="104">
                  <c:v>-3.7970940396181083E-2</c:v>
                </c:pt>
                <c:pt idx="105">
                  <c:v>-3.7970940396181083E-2</c:v>
                </c:pt>
                <c:pt idx="106">
                  <c:v>-3.7970940396181083E-2</c:v>
                </c:pt>
                <c:pt idx="107">
                  <c:v>-3.7970940396181083E-2</c:v>
                </c:pt>
                <c:pt idx="108">
                  <c:v>-3.7970940396181083E-2</c:v>
                </c:pt>
                <c:pt idx="109">
                  <c:v>-3.7970940396181083E-2</c:v>
                </c:pt>
                <c:pt idx="110">
                  <c:v>-3.7970940396181083E-2</c:v>
                </c:pt>
                <c:pt idx="111">
                  <c:v>-3.7970940396181083E-2</c:v>
                </c:pt>
                <c:pt idx="112">
                  <c:v>-3.7970940396181083E-2</c:v>
                </c:pt>
                <c:pt idx="113">
                  <c:v>-3.7970940396181083E-2</c:v>
                </c:pt>
                <c:pt idx="114">
                  <c:v>-3.7970940396181083E-2</c:v>
                </c:pt>
                <c:pt idx="115">
                  <c:v>-3.7970940396181083E-2</c:v>
                </c:pt>
                <c:pt idx="116">
                  <c:v>-3.7970940396181083E-2</c:v>
                </c:pt>
                <c:pt idx="117">
                  <c:v>-3.7970940396181083E-2</c:v>
                </c:pt>
                <c:pt idx="118">
                  <c:v>-3.7970940396181083E-2</c:v>
                </c:pt>
                <c:pt idx="119">
                  <c:v>-3.7970940396181083E-2</c:v>
                </c:pt>
                <c:pt idx="120">
                  <c:v>-3.7970940396181083E-2</c:v>
                </c:pt>
                <c:pt idx="121">
                  <c:v>-3.7970940396181083E-2</c:v>
                </c:pt>
                <c:pt idx="122">
                  <c:v>-3.7970940396181083E-2</c:v>
                </c:pt>
                <c:pt idx="123">
                  <c:v>-3.7970940396181083E-2</c:v>
                </c:pt>
                <c:pt idx="124">
                  <c:v>-3.7970940396181083E-2</c:v>
                </c:pt>
                <c:pt idx="125">
                  <c:v>-3.7970940396181083E-2</c:v>
                </c:pt>
                <c:pt idx="126">
                  <c:v>-3.7970940396181083E-2</c:v>
                </c:pt>
                <c:pt idx="127">
                  <c:v>-3.7970940396181083E-2</c:v>
                </c:pt>
                <c:pt idx="128">
                  <c:v>-3.7970940396181083E-2</c:v>
                </c:pt>
                <c:pt idx="129">
                  <c:v>-3.7970940396181083E-2</c:v>
                </c:pt>
                <c:pt idx="130">
                  <c:v>-3.7970940396181083E-2</c:v>
                </c:pt>
                <c:pt idx="131">
                  <c:v>-3.7970940396181083E-2</c:v>
                </c:pt>
                <c:pt idx="132">
                  <c:v>-3.7970940396181083E-2</c:v>
                </c:pt>
                <c:pt idx="133">
                  <c:v>-3.7970940396181083E-2</c:v>
                </c:pt>
                <c:pt idx="134">
                  <c:v>-3.7970940396181083E-2</c:v>
                </c:pt>
                <c:pt idx="135">
                  <c:v>-3.7970940396181083E-2</c:v>
                </c:pt>
                <c:pt idx="136">
                  <c:v>-3.7970940396181083E-2</c:v>
                </c:pt>
                <c:pt idx="137">
                  <c:v>-3.7970940396181083E-2</c:v>
                </c:pt>
                <c:pt idx="138">
                  <c:v>-3.7970940396181083E-2</c:v>
                </c:pt>
                <c:pt idx="139">
                  <c:v>-3.7970940396181083E-2</c:v>
                </c:pt>
                <c:pt idx="140">
                  <c:v>-3.7970940396181083E-2</c:v>
                </c:pt>
                <c:pt idx="141">
                  <c:v>-3.7970940396181083E-2</c:v>
                </c:pt>
                <c:pt idx="142">
                  <c:v>-3.7970940396181083E-2</c:v>
                </c:pt>
                <c:pt idx="143">
                  <c:v>-3.7970940396181083E-2</c:v>
                </c:pt>
                <c:pt idx="144">
                  <c:v>-3.7970940396181083E-2</c:v>
                </c:pt>
                <c:pt idx="145">
                  <c:v>-3.7970940396181083E-2</c:v>
                </c:pt>
                <c:pt idx="146">
                  <c:v>-3.7970940396181083E-2</c:v>
                </c:pt>
                <c:pt idx="147">
                  <c:v>-3.7970940396181083E-2</c:v>
                </c:pt>
                <c:pt idx="148">
                  <c:v>-3.7970940396181083E-2</c:v>
                </c:pt>
                <c:pt idx="149">
                  <c:v>-3.7970940396181083E-2</c:v>
                </c:pt>
                <c:pt idx="150">
                  <c:v>-3.7970940396181083E-2</c:v>
                </c:pt>
                <c:pt idx="151">
                  <c:v>-3.7970940396181083E-2</c:v>
                </c:pt>
                <c:pt idx="152">
                  <c:v>-3.7970940396181083E-2</c:v>
                </c:pt>
                <c:pt idx="153">
                  <c:v>-3.7970940396181083E-2</c:v>
                </c:pt>
                <c:pt idx="154">
                  <c:v>-3.7970940396181083E-2</c:v>
                </c:pt>
                <c:pt idx="155">
                  <c:v>-3.7970940396181083E-2</c:v>
                </c:pt>
                <c:pt idx="156">
                  <c:v>-3.7970940396181083E-2</c:v>
                </c:pt>
                <c:pt idx="157">
                  <c:v>-3.7970940396181083E-2</c:v>
                </c:pt>
                <c:pt idx="158">
                  <c:v>-3.7970940396181083E-2</c:v>
                </c:pt>
                <c:pt idx="159">
                  <c:v>-3.7970940396181083E-2</c:v>
                </c:pt>
                <c:pt idx="160">
                  <c:v>-3.7970940396181083E-2</c:v>
                </c:pt>
                <c:pt idx="161">
                  <c:v>-3.7970940396181083E-2</c:v>
                </c:pt>
                <c:pt idx="162">
                  <c:v>-3.7970940396181083E-2</c:v>
                </c:pt>
                <c:pt idx="163">
                  <c:v>-3.7970940396181083E-2</c:v>
                </c:pt>
                <c:pt idx="164">
                  <c:v>-3.7970940396181083E-2</c:v>
                </c:pt>
                <c:pt idx="165">
                  <c:v>-3.7970940396181083E-2</c:v>
                </c:pt>
                <c:pt idx="166">
                  <c:v>-3.7970940396181083E-2</c:v>
                </c:pt>
                <c:pt idx="167">
                  <c:v>-3.7970940396181083E-2</c:v>
                </c:pt>
                <c:pt idx="168">
                  <c:v>-3.7970940396181083E-2</c:v>
                </c:pt>
                <c:pt idx="169">
                  <c:v>-3.7970940396181083E-2</c:v>
                </c:pt>
                <c:pt idx="170">
                  <c:v>-3.7970940396181083E-2</c:v>
                </c:pt>
                <c:pt idx="171">
                  <c:v>-3.7970940396181083E-2</c:v>
                </c:pt>
                <c:pt idx="172">
                  <c:v>-3.7970940396181083E-2</c:v>
                </c:pt>
                <c:pt idx="173">
                  <c:v>-3.7970940396181083E-2</c:v>
                </c:pt>
                <c:pt idx="174">
                  <c:v>-3.7970940396181083E-2</c:v>
                </c:pt>
                <c:pt idx="175">
                  <c:v>-3.7970940396181083E-2</c:v>
                </c:pt>
                <c:pt idx="176">
                  <c:v>-3.7970940396181083E-2</c:v>
                </c:pt>
                <c:pt idx="177">
                  <c:v>-3.7970940396181083E-2</c:v>
                </c:pt>
                <c:pt idx="178">
                  <c:v>-3.7970940396181083E-2</c:v>
                </c:pt>
                <c:pt idx="179">
                  <c:v>-3.7970940396181083E-2</c:v>
                </c:pt>
                <c:pt idx="180">
                  <c:v>-3.7970940396181083E-2</c:v>
                </c:pt>
                <c:pt idx="181">
                  <c:v>-3.7970940396181083E-2</c:v>
                </c:pt>
                <c:pt idx="182">
                  <c:v>-3.7970940396181083E-2</c:v>
                </c:pt>
                <c:pt idx="183">
                  <c:v>-3.7970940396181083E-2</c:v>
                </c:pt>
                <c:pt idx="184">
                  <c:v>-3.7970940396181083E-2</c:v>
                </c:pt>
                <c:pt idx="185">
                  <c:v>-3.7970940396181083E-2</c:v>
                </c:pt>
                <c:pt idx="186">
                  <c:v>-3.7970940396181083E-2</c:v>
                </c:pt>
                <c:pt idx="187">
                  <c:v>-3.7970940396181083E-2</c:v>
                </c:pt>
                <c:pt idx="188">
                  <c:v>-3.7970940396181083E-2</c:v>
                </c:pt>
                <c:pt idx="189">
                  <c:v>-3.7970940396181083E-2</c:v>
                </c:pt>
                <c:pt idx="190">
                  <c:v>-3.7970940396181083E-2</c:v>
                </c:pt>
                <c:pt idx="191">
                  <c:v>-3.7970940396181083E-2</c:v>
                </c:pt>
                <c:pt idx="192">
                  <c:v>-3.7970940396181083E-2</c:v>
                </c:pt>
                <c:pt idx="193">
                  <c:v>-3.7970940396181083E-2</c:v>
                </c:pt>
                <c:pt idx="194">
                  <c:v>-3.7970940396181083E-2</c:v>
                </c:pt>
                <c:pt idx="195">
                  <c:v>-3.7970940396181083E-2</c:v>
                </c:pt>
                <c:pt idx="196">
                  <c:v>-3.7970940396181083E-2</c:v>
                </c:pt>
                <c:pt idx="197">
                  <c:v>-3.7970940396181083E-2</c:v>
                </c:pt>
                <c:pt idx="198">
                  <c:v>-3.7970940396181083E-2</c:v>
                </c:pt>
                <c:pt idx="199">
                  <c:v>-3.7970940396181083E-2</c:v>
                </c:pt>
                <c:pt idx="200">
                  <c:v>-3.7970940396181083E-2</c:v>
                </c:pt>
                <c:pt idx="201">
                  <c:v>-3.7970940396181083E-2</c:v>
                </c:pt>
                <c:pt idx="202">
                  <c:v>-3.7970940396181083E-2</c:v>
                </c:pt>
                <c:pt idx="203">
                  <c:v>-3.7970940396181083E-2</c:v>
                </c:pt>
                <c:pt idx="204">
                  <c:v>-3.7970940396181083E-2</c:v>
                </c:pt>
                <c:pt idx="205">
                  <c:v>-3.7970940396181083E-2</c:v>
                </c:pt>
                <c:pt idx="206">
                  <c:v>-3.7970940396181083E-2</c:v>
                </c:pt>
                <c:pt idx="207">
                  <c:v>-3.7970940396181083E-2</c:v>
                </c:pt>
                <c:pt idx="208">
                  <c:v>-3.7970940396181083E-2</c:v>
                </c:pt>
                <c:pt idx="209">
                  <c:v>-3.7970940396181083E-2</c:v>
                </c:pt>
                <c:pt idx="210">
                  <c:v>-3.7970940396181083E-2</c:v>
                </c:pt>
                <c:pt idx="211">
                  <c:v>-3.7970940396181083E-2</c:v>
                </c:pt>
                <c:pt idx="212">
                  <c:v>-3.7970940396181083E-2</c:v>
                </c:pt>
                <c:pt idx="213">
                  <c:v>-3.7970940396181083E-2</c:v>
                </c:pt>
                <c:pt idx="214">
                  <c:v>-3.7970940396181083E-2</c:v>
                </c:pt>
                <c:pt idx="215">
                  <c:v>-3.7970940396181083E-2</c:v>
                </c:pt>
                <c:pt idx="216">
                  <c:v>-3.7970940396181083E-2</c:v>
                </c:pt>
                <c:pt idx="217">
                  <c:v>-3.7970940396181083E-2</c:v>
                </c:pt>
                <c:pt idx="218">
                  <c:v>-3.7970940396181083E-2</c:v>
                </c:pt>
                <c:pt idx="219">
                  <c:v>-3.7970940396181083E-2</c:v>
                </c:pt>
                <c:pt idx="220">
                  <c:v>-3.7970940396181083E-2</c:v>
                </c:pt>
                <c:pt idx="221">
                  <c:v>-3.7970940396181083E-2</c:v>
                </c:pt>
                <c:pt idx="222">
                  <c:v>-3.7970940396181083E-2</c:v>
                </c:pt>
                <c:pt idx="223">
                  <c:v>-3.7970940396181083E-2</c:v>
                </c:pt>
                <c:pt idx="224">
                  <c:v>-3.7970940396181083E-2</c:v>
                </c:pt>
                <c:pt idx="225">
                  <c:v>-3.7970940396181083E-2</c:v>
                </c:pt>
                <c:pt idx="226">
                  <c:v>-3.7970940396181083E-2</c:v>
                </c:pt>
                <c:pt idx="227">
                  <c:v>-3.7970940396181083E-2</c:v>
                </c:pt>
                <c:pt idx="228">
                  <c:v>-3.7970940396181083E-2</c:v>
                </c:pt>
                <c:pt idx="229">
                  <c:v>-3.7970940396181083E-2</c:v>
                </c:pt>
                <c:pt idx="230">
                  <c:v>-3.7970940396181083E-2</c:v>
                </c:pt>
                <c:pt idx="231">
                  <c:v>-3.7970940396181083E-2</c:v>
                </c:pt>
                <c:pt idx="232">
                  <c:v>-3.7970940396181083E-2</c:v>
                </c:pt>
                <c:pt idx="233">
                  <c:v>-3.7970940396181083E-2</c:v>
                </c:pt>
                <c:pt idx="234">
                  <c:v>-3.7970940396181083E-2</c:v>
                </c:pt>
                <c:pt idx="235">
                  <c:v>-3.7970940396181083E-2</c:v>
                </c:pt>
                <c:pt idx="236">
                  <c:v>-3.7970940396181083E-2</c:v>
                </c:pt>
                <c:pt idx="237">
                  <c:v>-3.7970940396181083E-2</c:v>
                </c:pt>
                <c:pt idx="238">
                  <c:v>-3.7970940396181083E-2</c:v>
                </c:pt>
                <c:pt idx="239">
                  <c:v>-3.7970940396181083E-2</c:v>
                </c:pt>
                <c:pt idx="240">
                  <c:v>-3.7970940396181083E-2</c:v>
                </c:pt>
                <c:pt idx="241">
                  <c:v>-3.7970940396181083E-2</c:v>
                </c:pt>
                <c:pt idx="242">
                  <c:v>-3.7970940396181083E-2</c:v>
                </c:pt>
                <c:pt idx="243">
                  <c:v>-3.7970940396181083E-2</c:v>
                </c:pt>
                <c:pt idx="244">
                  <c:v>-3.7970940396181083E-2</c:v>
                </c:pt>
                <c:pt idx="245">
                  <c:v>-3.7970940396181083E-2</c:v>
                </c:pt>
                <c:pt idx="246">
                  <c:v>-3.7970940396181083E-2</c:v>
                </c:pt>
                <c:pt idx="247">
                  <c:v>-3.7970940396181083E-2</c:v>
                </c:pt>
                <c:pt idx="248">
                  <c:v>-3.7970940396181083E-2</c:v>
                </c:pt>
                <c:pt idx="249">
                  <c:v>-3.7970940396181083E-2</c:v>
                </c:pt>
                <c:pt idx="250">
                  <c:v>-3.7970940396181083E-2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12-4C62-9D15-F4BEA1EFC576}"/>
            </c:ext>
          </c:extLst>
        </c:ser>
        <c:ser>
          <c:idx val="2"/>
          <c:order val="2"/>
          <c:tx>
            <c:v>"+volatilidad"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Histórica!$A$8:$A$259</c:f>
              <c:numCache>
                <c:formatCode>m/d/yyyy</c:formatCode>
                <c:ptCount val="252"/>
                <c:pt idx="0">
                  <c:v>45657</c:v>
                </c:pt>
                <c:pt idx="1">
                  <c:v>45656</c:v>
                </c:pt>
                <c:pt idx="2">
                  <c:v>45653</c:v>
                </c:pt>
                <c:pt idx="3">
                  <c:v>45652</c:v>
                </c:pt>
                <c:pt idx="4">
                  <c:v>45650</c:v>
                </c:pt>
                <c:pt idx="5">
                  <c:v>45649</c:v>
                </c:pt>
                <c:pt idx="6">
                  <c:v>45646</c:v>
                </c:pt>
                <c:pt idx="7">
                  <c:v>45645</c:v>
                </c:pt>
                <c:pt idx="8">
                  <c:v>45644</c:v>
                </c:pt>
                <c:pt idx="9">
                  <c:v>45643</c:v>
                </c:pt>
                <c:pt idx="10">
                  <c:v>45642</c:v>
                </c:pt>
                <c:pt idx="11">
                  <c:v>45639</c:v>
                </c:pt>
                <c:pt idx="12">
                  <c:v>45637</c:v>
                </c:pt>
                <c:pt idx="13">
                  <c:v>45636</c:v>
                </c:pt>
                <c:pt idx="14">
                  <c:v>45635</c:v>
                </c:pt>
                <c:pt idx="15">
                  <c:v>45632</c:v>
                </c:pt>
                <c:pt idx="16">
                  <c:v>45631</c:v>
                </c:pt>
                <c:pt idx="17">
                  <c:v>45630</c:v>
                </c:pt>
                <c:pt idx="18">
                  <c:v>45629</c:v>
                </c:pt>
                <c:pt idx="19">
                  <c:v>45628</c:v>
                </c:pt>
                <c:pt idx="20">
                  <c:v>45625</c:v>
                </c:pt>
                <c:pt idx="21">
                  <c:v>45624</c:v>
                </c:pt>
                <c:pt idx="22">
                  <c:v>45623</c:v>
                </c:pt>
                <c:pt idx="23">
                  <c:v>45622</c:v>
                </c:pt>
                <c:pt idx="24">
                  <c:v>45621</c:v>
                </c:pt>
                <c:pt idx="25">
                  <c:v>45618</c:v>
                </c:pt>
                <c:pt idx="26">
                  <c:v>45617</c:v>
                </c:pt>
                <c:pt idx="27">
                  <c:v>45616</c:v>
                </c:pt>
                <c:pt idx="28">
                  <c:v>45615</c:v>
                </c:pt>
                <c:pt idx="29">
                  <c:v>45611</c:v>
                </c:pt>
                <c:pt idx="30">
                  <c:v>45610</c:v>
                </c:pt>
                <c:pt idx="31">
                  <c:v>45609</c:v>
                </c:pt>
                <c:pt idx="32">
                  <c:v>45608</c:v>
                </c:pt>
                <c:pt idx="33">
                  <c:v>45607</c:v>
                </c:pt>
                <c:pt idx="34">
                  <c:v>45604</c:v>
                </c:pt>
                <c:pt idx="35">
                  <c:v>45603</c:v>
                </c:pt>
                <c:pt idx="36">
                  <c:v>45602</c:v>
                </c:pt>
                <c:pt idx="37">
                  <c:v>45601</c:v>
                </c:pt>
                <c:pt idx="38">
                  <c:v>45600</c:v>
                </c:pt>
                <c:pt idx="39">
                  <c:v>45597</c:v>
                </c:pt>
                <c:pt idx="40">
                  <c:v>45596</c:v>
                </c:pt>
                <c:pt idx="41">
                  <c:v>45595</c:v>
                </c:pt>
                <c:pt idx="42">
                  <c:v>45594</c:v>
                </c:pt>
                <c:pt idx="43">
                  <c:v>45593</c:v>
                </c:pt>
                <c:pt idx="44">
                  <c:v>45590</c:v>
                </c:pt>
                <c:pt idx="45">
                  <c:v>45589</c:v>
                </c:pt>
                <c:pt idx="46">
                  <c:v>45588</c:v>
                </c:pt>
                <c:pt idx="47">
                  <c:v>45587</c:v>
                </c:pt>
                <c:pt idx="48">
                  <c:v>45586</c:v>
                </c:pt>
                <c:pt idx="49">
                  <c:v>45583</c:v>
                </c:pt>
                <c:pt idx="50">
                  <c:v>45582</c:v>
                </c:pt>
                <c:pt idx="51">
                  <c:v>45581</c:v>
                </c:pt>
                <c:pt idx="52">
                  <c:v>45580</c:v>
                </c:pt>
                <c:pt idx="53">
                  <c:v>45579</c:v>
                </c:pt>
                <c:pt idx="54">
                  <c:v>45576</c:v>
                </c:pt>
                <c:pt idx="55">
                  <c:v>45575</c:v>
                </c:pt>
                <c:pt idx="56">
                  <c:v>45574</c:v>
                </c:pt>
                <c:pt idx="57">
                  <c:v>45573</c:v>
                </c:pt>
                <c:pt idx="58">
                  <c:v>45572</c:v>
                </c:pt>
                <c:pt idx="59">
                  <c:v>45569</c:v>
                </c:pt>
                <c:pt idx="60">
                  <c:v>45568</c:v>
                </c:pt>
                <c:pt idx="61">
                  <c:v>45567</c:v>
                </c:pt>
                <c:pt idx="62">
                  <c:v>45565</c:v>
                </c:pt>
                <c:pt idx="63">
                  <c:v>45562</c:v>
                </c:pt>
                <c:pt idx="64">
                  <c:v>45561</c:v>
                </c:pt>
                <c:pt idx="65">
                  <c:v>45560</c:v>
                </c:pt>
                <c:pt idx="66">
                  <c:v>45559</c:v>
                </c:pt>
                <c:pt idx="67">
                  <c:v>45558</c:v>
                </c:pt>
                <c:pt idx="68">
                  <c:v>45555</c:v>
                </c:pt>
                <c:pt idx="69">
                  <c:v>45554</c:v>
                </c:pt>
                <c:pt idx="70">
                  <c:v>45553</c:v>
                </c:pt>
                <c:pt idx="71">
                  <c:v>45552</c:v>
                </c:pt>
                <c:pt idx="72">
                  <c:v>45548</c:v>
                </c:pt>
                <c:pt idx="73">
                  <c:v>45547</c:v>
                </c:pt>
                <c:pt idx="74">
                  <c:v>45546</c:v>
                </c:pt>
                <c:pt idx="75">
                  <c:v>45545</c:v>
                </c:pt>
                <c:pt idx="76">
                  <c:v>45544</c:v>
                </c:pt>
                <c:pt idx="77">
                  <c:v>45541</c:v>
                </c:pt>
                <c:pt idx="78">
                  <c:v>45540</c:v>
                </c:pt>
                <c:pt idx="79">
                  <c:v>45539</c:v>
                </c:pt>
                <c:pt idx="80">
                  <c:v>45538</c:v>
                </c:pt>
                <c:pt idx="81">
                  <c:v>45537</c:v>
                </c:pt>
                <c:pt idx="82">
                  <c:v>45534</c:v>
                </c:pt>
                <c:pt idx="83">
                  <c:v>45533</c:v>
                </c:pt>
                <c:pt idx="84">
                  <c:v>45532</c:v>
                </c:pt>
                <c:pt idx="85">
                  <c:v>45531</c:v>
                </c:pt>
                <c:pt idx="86">
                  <c:v>45530</c:v>
                </c:pt>
                <c:pt idx="87">
                  <c:v>45527</c:v>
                </c:pt>
                <c:pt idx="88">
                  <c:v>45526</c:v>
                </c:pt>
                <c:pt idx="89">
                  <c:v>45525</c:v>
                </c:pt>
                <c:pt idx="90">
                  <c:v>45524</c:v>
                </c:pt>
                <c:pt idx="91">
                  <c:v>45523</c:v>
                </c:pt>
                <c:pt idx="92">
                  <c:v>45520</c:v>
                </c:pt>
                <c:pt idx="93">
                  <c:v>45519</c:v>
                </c:pt>
                <c:pt idx="94">
                  <c:v>45518</c:v>
                </c:pt>
                <c:pt idx="95">
                  <c:v>45517</c:v>
                </c:pt>
                <c:pt idx="96">
                  <c:v>45516</c:v>
                </c:pt>
                <c:pt idx="97">
                  <c:v>45513</c:v>
                </c:pt>
                <c:pt idx="98">
                  <c:v>45512</c:v>
                </c:pt>
                <c:pt idx="99">
                  <c:v>45511</c:v>
                </c:pt>
                <c:pt idx="100">
                  <c:v>45510</c:v>
                </c:pt>
                <c:pt idx="101">
                  <c:v>45509</c:v>
                </c:pt>
                <c:pt idx="102">
                  <c:v>45506</c:v>
                </c:pt>
                <c:pt idx="103">
                  <c:v>45505</c:v>
                </c:pt>
                <c:pt idx="104">
                  <c:v>45504</c:v>
                </c:pt>
                <c:pt idx="105">
                  <c:v>45503</c:v>
                </c:pt>
                <c:pt idx="106">
                  <c:v>45502</c:v>
                </c:pt>
                <c:pt idx="107">
                  <c:v>45499</c:v>
                </c:pt>
                <c:pt idx="108">
                  <c:v>45498</c:v>
                </c:pt>
                <c:pt idx="109">
                  <c:v>45497</c:v>
                </c:pt>
                <c:pt idx="110">
                  <c:v>45496</c:v>
                </c:pt>
                <c:pt idx="111">
                  <c:v>45495</c:v>
                </c:pt>
                <c:pt idx="112">
                  <c:v>45492</c:v>
                </c:pt>
                <c:pt idx="113">
                  <c:v>45491</c:v>
                </c:pt>
                <c:pt idx="114">
                  <c:v>45490</c:v>
                </c:pt>
                <c:pt idx="115">
                  <c:v>45489</c:v>
                </c:pt>
                <c:pt idx="116">
                  <c:v>45488</c:v>
                </c:pt>
                <c:pt idx="117">
                  <c:v>45485</c:v>
                </c:pt>
                <c:pt idx="118">
                  <c:v>45484</c:v>
                </c:pt>
                <c:pt idx="119">
                  <c:v>45483</c:v>
                </c:pt>
                <c:pt idx="120">
                  <c:v>45482</c:v>
                </c:pt>
                <c:pt idx="121">
                  <c:v>45481</c:v>
                </c:pt>
                <c:pt idx="122">
                  <c:v>45478</c:v>
                </c:pt>
                <c:pt idx="123">
                  <c:v>45477</c:v>
                </c:pt>
                <c:pt idx="124">
                  <c:v>45476</c:v>
                </c:pt>
                <c:pt idx="125">
                  <c:v>45475</c:v>
                </c:pt>
                <c:pt idx="126">
                  <c:v>45474</c:v>
                </c:pt>
                <c:pt idx="127">
                  <c:v>45471</c:v>
                </c:pt>
                <c:pt idx="128">
                  <c:v>45470</c:v>
                </c:pt>
                <c:pt idx="129">
                  <c:v>45469</c:v>
                </c:pt>
                <c:pt idx="130">
                  <c:v>45468</c:v>
                </c:pt>
                <c:pt idx="131">
                  <c:v>45467</c:v>
                </c:pt>
                <c:pt idx="132">
                  <c:v>45464</c:v>
                </c:pt>
                <c:pt idx="133">
                  <c:v>45463</c:v>
                </c:pt>
                <c:pt idx="134">
                  <c:v>45462</c:v>
                </c:pt>
                <c:pt idx="135">
                  <c:v>45461</c:v>
                </c:pt>
                <c:pt idx="136">
                  <c:v>45460</c:v>
                </c:pt>
                <c:pt idx="137">
                  <c:v>45457</c:v>
                </c:pt>
                <c:pt idx="138">
                  <c:v>45456</c:v>
                </c:pt>
                <c:pt idx="139">
                  <c:v>45455</c:v>
                </c:pt>
                <c:pt idx="140">
                  <c:v>45454</c:v>
                </c:pt>
                <c:pt idx="141">
                  <c:v>45453</c:v>
                </c:pt>
                <c:pt idx="142">
                  <c:v>45450</c:v>
                </c:pt>
                <c:pt idx="143">
                  <c:v>45449</c:v>
                </c:pt>
                <c:pt idx="144">
                  <c:v>45448</c:v>
                </c:pt>
                <c:pt idx="145">
                  <c:v>45447</c:v>
                </c:pt>
                <c:pt idx="146">
                  <c:v>45446</c:v>
                </c:pt>
                <c:pt idx="147">
                  <c:v>45443</c:v>
                </c:pt>
                <c:pt idx="148">
                  <c:v>45442</c:v>
                </c:pt>
                <c:pt idx="149">
                  <c:v>45441</c:v>
                </c:pt>
                <c:pt idx="150">
                  <c:v>45440</c:v>
                </c:pt>
                <c:pt idx="151">
                  <c:v>45439</c:v>
                </c:pt>
                <c:pt idx="152">
                  <c:v>45436</c:v>
                </c:pt>
                <c:pt idx="153">
                  <c:v>45435</c:v>
                </c:pt>
                <c:pt idx="154">
                  <c:v>45434</c:v>
                </c:pt>
                <c:pt idx="155">
                  <c:v>45433</c:v>
                </c:pt>
                <c:pt idx="156">
                  <c:v>45432</c:v>
                </c:pt>
                <c:pt idx="157">
                  <c:v>45429</c:v>
                </c:pt>
                <c:pt idx="158">
                  <c:v>45428</c:v>
                </c:pt>
                <c:pt idx="159">
                  <c:v>45427</c:v>
                </c:pt>
                <c:pt idx="160">
                  <c:v>45426</c:v>
                </c:pt>
                <c:pt idx="161">
                  <c:v>45425</c:v>
                </c:pt>
                <c:pt idx="162">
                  <c:v>45422</c:v>
                </c:pt>
                <c:pt idx="163">
                  <c:v>45421</c:v>
                </c:pt>
                <c:pt idx="164">
                  <c:v>45420</c:v>
                </c:pt>
                <c:pt idx="165">
                  <c:v>45419</c:v>
                </c:pt>
                <c:pt idx="166">
                  <c:v>45418</c:v>
                </c:pt>
                <c:pt idx="167">
                  <c:v>45415</c:v>
                </c:pt>
                <c:pt idx="168">
                  <c:v>45414</c:v>
                </c:pt>
                <c:pt idx="169">
                  <c:v>45412</c:v>
                </c:pt>
                <c:pt idx="170">
                  <c:v>45411</c:v>
                </c:pt>
                <c:pt idx="171">
                  <c:v>45408</c:v>
                </c:pt>
                <c:pt idx="172">
                  <c:v>45407</c:v>
                </c:pt>
                <c:pt idx="173">
                  <c:v>45406</c:v>
                </c:pt>
                <c:pt idx="174">
                  <c:v>45405</c:v>
                </c:pt>
                <c:pt idx="175">
                  <c:v>45404</c:v>
                </c:pt>
                <c:pt idx="176">
                  <c:v>45401</c:v>
                </c:pt>
                <c:pt idx="177">
                  <c:v>45400</c:v>
                </c:pt>
                <c:pt idx="178">
                  <c:v>45399</c:v>
                </c:pt>
                <c:pt idx="179">
                  <c:v>45398</c:v>
                </c:pt>
                <c:pt idx="180">
                  <c:v>45397</c:v>
                </c:pt>
                <c:pt idx="181">
                  <c:v>45394</c:v>
                </c:pt>
                <c:pt idx="182">
                  <c:v>45393</c:v>
                </c:pt>
                <c:pt idx="183">
                  <c:v>45392</c:v>
                </c:pt>
                <c:pt idx="184">
                  <c:v>45391</c:v>
                </c:pt>
                <c:pt idx="185">
                  <c:v>45390</c:v>
                </c:pt>
                <c:pt idx="186">
                  <c:v>45387</c:v>
                </c:pt>
                <c:pt idx="187">
                  <c:v>45386</c:v>
                </c:pt>
                <c:pt idx="188">
                  <c:v>45385</c:v>
                </c:pt>
                <c:pt idx="189">
                  <c:v>45384</c:v>
                </c:pt>
                <c:pt idx="190">
                  <c:v>45383</c:v>
                </c:pt>
                <c:pt idx="191">
                  <c:v>45378</c:v>
                </c:pt>
                <c:pt idx="192">
                  <c:v>45377</c:v>
                </c:pt>
                <c:pt idx="193">
                  <c:v>45376</c:v>
                </c:pt>
                <c:pt idx="194">
                  <c:v>45373</c:v>
                </c:pt>
                <c:pt idx="195">
                  <c:v>45372</c:v>
                </c:pt>
                <c:pt idx="196">
                  <c:v>45371</c:v>
                </c:pt>
                <c:pt idx="197">
                  <c:v>45370</c:v>
                </c:pt>
                <c:pt idx="198">
                  <c:v>45366</c:v>
                </c:pt>
                <c:pt idx="199">
                  <c:v>45365</c:v>
                </c:pt>
                <c:pt idx="200">
                  <c:v>45364</c:v>
                </c:pt>
                <c:pt idx="201">
                  <c:v>45363</c:v>
                </c:pt>
                <c:pt idx="202">
                  <c:v>45362</c:v>
                </c:pt>
                <c:pt idx="203">
                  <c:v>45359</c:v>
                </c:pt>
                <c:pt idx="204">
                  <c:v>45358</c:v>
                </c:pt>
                <c:pt idx="205">
                  <c:v>45357</c:v>
                </c:pt>
                <c:pt idx="206">
                  <c:v>45356</c:v>
                </c:pt>
                <c:pt idx="207">
                  <c:v>45355</c:v>
                </c:pt>
                <c:pt idx="208">
                  <c:v>45352</c:v>
                </c:pt>
                <c:pt idx="209">
                  <c:v>45351</c:v>
                </c:pt>
                <c:pt idx="210">
                  <c:v>45350</c:v>
                </c:pt>
                <c:pt idx="211">
                  <c:v>45349</c:v>
                </c:pt>
                <c:pt idx="212">
                  <c:v>45348</c:v>
                </c:pt>
                <c:pt idx="213">
                  <c:v>45345</c:v>
                </c:pt>
                <c:pt idx="214">
                  <c:v>45344</c:v>
                </c:pt>
                <c:pt idx="215">
                  <c:v>45343</c:v>
                </c:pt>
                <c:pt idx="216">
                  <c:v>45342</c:v>
                </c:pt>
                <c:pt idx="217">
                  <c:v>45341</c:v>
                </c:pt>
                <c:pt idx="218">
                  <c:v>45338</c:v>
                </c:pt>
                <c:pt idx="219">
                  <c:v>45337</c:v>
                </c:pt>
                <c:pt idx="220">
                  <c:v>45336</c:v>
                </c:pt>
                <c:pt idx="221">
                  <c:v>45335</c:v>
                </c:pt>
                <c:pt idx="222">
                  <c:v>45334</c:v>
                </c:pt>
                <c:pt idx="223">
                  <c:v>45331</c:v>
                </c:pt>
                <c:pt idx="224">
                  <c:v>45330</c:v>
                </c:pt>
                <c:pt idx="225">
                  <c:v>45329</c:v>
                </c:pt>
                <c:pt idx="226">
                  <c:v>45328</c:v>
                </c:pt>
                <c:pt idx="227">
                  <c:v>45324</c:v>
                </c:pt>
                <c:pt idx="228">
                  <c:v>45323</c:v>
                </c:pt>
                <c:pt idx="229">
                  <c:v>45322</c:v>
                </c:pt>
                <c:pt idx="230">
                  <c:v>45321</c:v>
                </c:pt>
                <c:pt idx="231">
                  <c:v>45320</c:v>
                </c:pt>
                <c:pt idx="232">
                  <c:v>45317</c:v>
                </c:pt>
                <c:pt idx="233">
                  <c:v>45316</c:v>
                </c:pt>
                <c:pt idx="234">
                  <c:v>45315</c:v>
                </c:pt>
                <c:pt idx="235">
                  <c:v>45314</c:v>
                </c:pt>
                <c:pt idx="236">
                  <c:v>45313</c:v>
                </c:pt>
                <c:pt idx="237">
                  <c:v>45310</c:v>
                </c:pt>
                <c:pt idx="238">
                  <c:v>45309</c:v>
                </c:pt>
                <c:pt idx="239">
                  <c:v>45308</c:v>
                </c:pt>
                <c:pt idx="240">
                  <c:v>45307</c:v>
                </c:pt>
                <c:pt idx="241">
                  <c:v>45306</c:v>
                </c:pt>
                <c:pt idx="242">
                  <c:v>45303</c:v>
                </c:pt>
                <c:pt idx="243">
                  <c:v>45302</c:v>
                </c:pt>
                <c:pt idx="244">
                  <c:v>45301</c:v>
                </c:pt>
                <c:pt idx="245">
                  <c:v>45300</c:v>
                </c:pt>
                <c:pt idx="246">
                  <c:v>45299</c:v>
                </c:pt>
                <c:pt idx="247">
                  <c:v>45296</c:v>
                </c:pt>
                <c:pt idx="248">
                  <c:v>45295</c:v>
                </c:pt>
                <c:pt idx="249">
                  <c:v>45294</c:v>
                </c:pt>
                <c:pt idx="250">
                  <c:v>45293</c:v>
                </c:pt>
                <c:pt idx="251">
                  <c:v>45289</c:v>
                </c:pt>
              </c:numCache>
            </c:numRef>
          </c:cat>
          <c:val>
            <c:numRef>
              <c:f>Histórica!$I$8:$I$259</c:f>
              <c:numCache>
                <c:formatCode>0.00%</c:formatCode>
                <c:ptCount val="252"/>
                <c:pt idx="0">
                  <c:v>3.7970940396181083E-2</c:v>
                </c:pt>
                <c:pt idx="1">
                  <c:v>3.7970940396181083E-2</c:v>
                </c:pt>
                <c:pt idx="2">
                  <c:v>3.7970940396181083E-2</c:v>
                </c:pt>
                <c:pt idx="3">
                  <c:v>3.7970940396181083E-2</c:v>
                </c:pt>
                <c:pt idx="4">
                  <c:v>3.7970940396181083E-2</c:v>
                </c:pt>
                <c:pt idx="5">
                  <c:v>3.7970940396181083E-2</c:v>
                </c:pt>
                <c:pt idx="6">
                  <c:v>3.7970940396181083E-2</c:v>
                </c:pt>
                <c:pt idx="7">
                  <c:v>3.7970940396181083E-2</c:v>
                </c:pt>
                <c:pt idx="8">
                  <c:v>3.7970940396181083E-2</c:v>
                </c:pt>
                <c:pt idx="9">
                  <c:v>3.7970940396181083E-2</c:v>
                </c:pt>
                <c:pt idx="10">
                  <c:v>3.7970940396181083E-2</c:v>
                </c:pt>
                <c:pt idx="11">
                  <c:v>3.7970940396181083E-2</c:v>
                </c:pt>
                <c:pt idx="12">
                  <c:v>3.7970940396181083E-2</c:v>
                </c:pt>
                <c:pt idx="13">
                  <c:v>3.7970940396181083E-2</c:v>
                </c:pt>
                <c:pt idx="14">
                  <c:v>3.7970940396181083E-2</c:v>
                </c:pt>
                <c:pt idx="15">
                  <c:v>3.7970940396181083E-2</c:v>
                </c:pt>
                <c:pt idx="16">
                  <c:v>3.7970940396181083E-2</c:v>
                </c:pt>
                <c:pt idx="17">
                  <c:v>3.7970940396181083E-2</c:v>
                </c:pt>
                <c:pt idx="18">
                  <c:v>3.7970940396181083E-2</c:v>
                </c:pt>
                <c:pt idx="19">
                  <c:v>3.7970940396181083E-2</c:v>
                </c:pt>
                <c:pt idx="20">
                  <c:v>3.7970940396181083E-2</c:v>
                </c:pt>
                <c:pt idx="21">
                  <c:v>3.7970940396181083E-2</c:v>
                </c:pt>
                <c:pt idx="22">
                  <c:v>3.7970940396181083E-2</c:v>
                </c:pt>
                <c:pt idx="23">
                  <c:v>3.7970940396181083E-2</c:v>
                </c:pt>
                <c:pt idx="24">
                  <c:v>3.7970940396181083E-2</c:v>
                </c:pt>
                <c:pt idx="25">
                  <c:v>3.7970940396181083E-2</c:v>
                </c:pt>
                <c:pt idx="26">
                  <c:v>3.7970940396181083E-2</c:v>
                </c:pt>
                <c:pt idx="27">
                  <c:v>3.7970940396181083E-2</c:v>
                </c:pt>
                <c:pt idx="28">
                  <c:v>3.7970940396181083E-2</c:v>
                </c:pt>
                <c:pt idx="29">
                  <c:v>3.7970940396181083E-2</c:v>
                </c:pt>
                <c:pt idx="30">
                  <c:v>3.7970940396181083E-2</c:v>
                </c:pt>
                <c:pt idx="31">
                  <c:v>3.7970940396181083E-2</c:v>
                </c:pt>
                <c:pt idx="32">
                  <c:v>3.7970940396181083E-2</c:v>
                </c:pt>
                <c:pt idx="33">
                  <c:v>3.7970940396181083E-2</c:v>
                </c:pt>
                <c:pt idx="34">
                  <c:v>3.7970940396181083E-2</c:v>
                </c:pt>
                <c:pt idx="35">
                  <c:v>3.7970940396181083E-2</c:v>
                </c:pt>
                <c:pt idx="36">
                  <c:v>3.7970940396181083E-2</c:v>
                </c:pt>
                <c:pt idx="37">
                  <c:v>3.7970940396181083E-2</c:v>
                </c:pt>
                <c:pt idx="38">
                  <c:v>3.7970940396181083E-2</c:v>
                </c:pt>
                <c:pt idx="39">
                  <c:v>3.7970940396181083E-2</c:v>
                </c:pt>
                <c:pt idx="40">
                  <c:v>3.7970940396181083E-2</c:v>
                </c:pt>
                <c:pt idx="41">
                  <c:v>3.7970940396181083E-2</c:v>
                </c:pt>
                <c:pt idx="42">
                  <c:v>3.7970940396181083E-2</c:v>
                </c:pt>
                <c:pt idx="43">
                  <c:v>3.7970940396181083E-2</c:v>
                </c:pt>
                <c:pt idx="44">
                  <c:v>3.7970940396181083E-2</c:v>
                </c:pt>
                <c:pt idx="45">
                  <c:v>3.7970940396181083E-2</c:v>
                </c:pt>
                <c:pt idx="46">
                  <c:v>3.7970940396181083E-2</c:v>
                </c:pt>
                <c:pt idx="47">
                  <c:v>3.7970940396181083E-2</c:v>
                </c:pt>
                <c:pt idx="48">
                  <c:v>3.7970940396181083E-2</c:v>
                </c:pt>
                <c:pt idx="49">
                  <c:v>3.7970940396181083E-2</c:v>
                </c:pt>
                <c:pt idx="50">
                  <c:v>3.7970940396181083E-2</c:v>
                </c:pt>
                <c:pt idx="51">
                  <c:v>3.7970940396181083E-2</c:v>
                </c:pt>
                <c:pt idx="52">
                  <c:v>3.7970940396181083E-2</c:v>
                </c:pt>
                <c:pt idx="53">
                  <c:v>3.7970940396181083E-2</c:v>
                </c:pt>
                <c:pt idx="54">
                  <c:v>3.7970940396181083E-2</c:v>
                </c:pt>
                <c:pt idx="55">
                  <c:v>3.7970940396181083E-2</c:v>
                </c:pt>
                <c:pt idx="56">
                  <c:v>3.7970940396181083E-2</c:v>
                </c:pt>
                <c:pt idx="57">
                  <c:v>3.7970940396181083E-2</c:v>
                </c:pt>
                <c:pt idx="58">
                  <c:v>3.7970940396181083E-2</c:v>
                </c:pt>
                <c:pt idx="59">
                  <c:v>3.7970940396181083E-2</c:v>
                </c:pt>
                <c:pt idx="60">
                  <c:v>3.7970940396181083E-2</c:v>
                </c:pt>
                <c:pt idx="61">
                  <c:v>3.7970940396181083E-2</c:v>
                </c:pt>
                <c:pt idx="62">
                  <c:v>3.7970940396181083E-2</c:v>
                </c:pt>
                <c:pt idx="63">
                  <c:v>3.7970940396181083E-2</c:v>
                </c:pt>
                <c:pt idx="64">
                  <c:v>3.7970940396181083E-2</c:v>
                </c:pt>
                <c:pt idx="65">
                  <c:v>3.7970940396181083E-2</c:v>
                </c:pt>
                <c:pt idx="66">
                  <c:v>3.7970940396181083E-2</c:v>
                </c:pt>
                <c:pt idx="67">
                  <c:v>3.7970940396181083E-2</c:v>
                </c:pt>
                <c:pt idx="68">
                  <c:v>3.7970940396181083E-2</c:v>
                </c:pt>
                <c:pt idx="69">
                  <c:v>3.7970940396181083E-2</c:v>
                </c:pt>
                <c:pt idx="70">
                  <c:v>3.7970940396181083E-2</c:v>
                </c:pt>
                <c:pt idx="71">
                  <c:v>3.7970940396181083E-2</c:v>
                </c:pt>
                <c:pt idx="72">
                  <c:v>3.7970940396181083E-2</c:v>
                </c:pt>
                <c:pt idx="73">
                  <c:v>3.7970940396181083E-2</c:v>
                </c:pt>
                <c:pt idx="74">
                  <c:v>3.7970940396181083E-2</c:v>
                </c:pt>
                <c:pt idx="75">
                  <c:v>3.7970940396181083E-2</c:v>
                </c:pt>
                <c:pt idx="76">
                  <c:v>3.7970940396181083E-2</c:v>
                </c:pt>
                <c:pt idx="77">
                  <c:v>3.7970940396181083E-2</c:v>
                </c:pt>
                <c:pt idx="78">
                  <c:v>3.7970940396181083E-2</c:v>
                </c:pt>
                <c:pt idx="79">
                  <c:v>3.7970940396181083E-2</c:v>
                </c:pt>
                <c:pt idx="80">
                  <c:v>3.7970940396181083E-2</c:v>
                </c:pt>
                <c:pt idx="81">
                  <c:v>3.7970940396181083E-2</c:v>
                </c:pt>
                <c:pt idx="82">
                  <c:v>3.7970940396181083E-2</c:v>
                </c:pt>
                <c:pt idx="83">
                  <c:v>3.7970940396181083E-2</c:v>
                </c:pt>
                <c:pt idx="84">
                  <c:v>3.7970940396181083E-2</c:v>
                </c:pt>
                <c:pt idx="85">
                  <c:v>3.7970940396181083E-2</c:v>
                </c:pt>
                <c:pt idx="86">
                  <c:v>3.7970940396181083E-2</c:v>
                </c:pt>
                <c:pt idx="87">
                  <c:v>3.7970940396181083E-2</c:v>
                </c:pt>
                <c:pt idx="88">
                  <c:v>3.7970940396181083E-2</c:v>
                </c:pt>
                <c:pt idx="89">
                  <c:v>3.7970940396181083E-2</c:v>
                </c:pt>
                <c:pt idx="90">
                  <c:v>3.7970940396181083E-2</c:v>
                </c:pt>
                <c:pt idx="91">
                  <c:v>3.7970940396181083E-2</c:v>
                </c:pt>
                <c:pt idx="92">
                  <c:v>3.7970940396181083E-2</c:v>
                </c:pt>
                <c:pt idx="93">
                  <c:v>3.7970940396181083E-2</c:v>
                </c:pt>
                <c:pt idx="94">
                  <c:v>3.7970940396181083E-2</c:v>
                </c:pt>
                <c:pt idx="95">
                  <c:v>3.7970940396181083E-2</c:v>
                </c:pt>
                <c:pt idx="96">
                  <c:v>3.7970940396181083E-2</c:v>
                </c:pt>
                <c:pt idx="97">
                  <c:v>3.7970940396181083E-2</c:v>
                </c:pt>
                <c:pt idx="98">
                  <c:v>3.7970940396181083E-2</c:v>
                </c:pt>
                <c:pt idx="99">
                  <c:v>3.7970940396181083E-2</c:v>
                </c:pt>
                <c:pt idx="100">
                  <c:v>3.7970940396181083E-2</c:v>
                </c:pt>
                <c:pt idx="101">
                  <c:v>3.7970940396181083E-2</c:v>
                </c:pt>
                <c:pt idx="102">
                  <c:v>3.7970940396181083E-2</c:v>
                </c:pt>
                <c:pt idx="103">
                  <c:v>3.7970940396181083E-2</c:v>
                </c:pt>
                <c:pt idx="104">
                  <c:v>3.7970940396181083E-2</c:v>
                </c:pt>
                <c:pt idx="105">
                  <c:v>3.7970940396181083E-2</c:v>
                </c:pt>
                <c:pt idx="106">
                  <c:v>3.7970940396181083E-2</c:v>
                </c:pt>
                <c:pt idx="107">
                  <c:v>3.7970940396181083E-2</c:v>
                </c:pt>
                <c:pt idx="108">
                  <c:v>3.7970940396181083E-2</c:v>
                </c:pt>
                <c:pt idx="109">
                  <c:v>3.7970940396181083E-2</c:v>
                </c:pt>
                <c:pt idx="110">
                  <c:v>3.7970940396181083E-2</c:v>
                </c:pt>
                <c:pt idx="111">
                  <c:v>3.7970940396181083E-2</c:v>
                </c:pt>
                <c:pt idx="112">
                  <c:v>3.7970940396181083E-2</c:v>
                </c:pt>
                <c:pt idx="113">
                  <c:v>3.7970940396181083E-2</c:v>
                </c:pt>
                <c:pt idx="114">
                  <c:v>3.7970940396181083E-2</c:v>
                </c:pt>
                <c:pt idx="115">
                  <c:v>3.7970940396181083E-2</c:v>
                </c:pt>
                <c:pt idx="116">
                  <c:v>3.7970940396181083E-2</c:v>
                </c:pt>
                <c:pt idx="117">
                  <c:v>3.7970940396181083E-2</c:v>
                </c:pt>
                <c:pt idx="118">
                  <c:v>3.7970940396181083E-2</c:v>
                </c:pt>
                <c:pt idx="119">
                  <c:v>3.7970940396181083E-2</c:v>
                </c:pt>
                <c:pt idx="120">
                  <c:v>3.7970940396181083E-2</c:v>
                </c:pt>
                <c:pt idx="121">
                  <c:v>3.7970940396181083E-2</c:v>
                </c:pt>
                <c:pt idx="122">
                  <c:v>3.7970940396181083E-2</c:v>
                </c:pt>
                <c:pt idx="123">
                  <c:v>3.7970940396181083E-2</c:v>
                </c:pt>
                <c:pt idx="124">
                  <c:v>3.7970940396181083E-2</c:v>
                </c:pt>
                <c:pt idx="125">
                  <c:v>3.7970940396181083E-2</c:v>
                </c:pt>
                <c:pt idx="126">
                  <c:v>3.7970940396181083E-2</c:v>
                </c:pt>
                <c:pt idx="127">
                  <c:v>3.7970940396181083E-2</c:v>
                </c:pt>
                <c:pt idx="128">
                  <c:v>3.7970940396181083E-2</c:v>
                </c:pt>
                <c:pt idx="129">
                  <c:v>3.7970940396181083E-2</c:v>
                </c:pt>
                <c:pt idx="130">
                  <c:v>3.7970940396181083E-2</c:v>
                </c:pt>
                <c:pt idx="131">
                  <c:v>3.7970940396181083E-2</c:v>
                </c:pt>
                <c:pt idx="132">
                  <c:v>3.7970940396181083E-2</c:v>
                </c:pt>
                <c:pt idx="133">
                  <c:v>3.7970940396181083E-2</c:v>
                </c:pt>
                <c:pt idx="134">
                  <c:v>3.7970940396181083E-2</c:v>
                </c:pt>
                <c:pt idx="135">
                  <c:v>3.7970940396181083E-2</c:v>
                </c:pt>
                <c:pt idx="136">
                  <c:v>3.7970940396181083E-2</c:v>
                </c:pt>
                <c:pt idx="137">
                  <c:v>3.7970940396181083E-2</c:v>
                </c:pt>
                <c:pt idx="138">
                  <c:v>3.7970940396181083E-2</c:v>
                </c:pt>
                <c:pt idx="139">
                  <c:v>3.7970940396181083E-2</c:v>
                </c:pt>
                <c:pt idx="140">
                  <c:v>3.7970940396181083E-2</c:v>
                </c:pt>
                <c:pt idx="141">
                  <c:v>3.7970940396181083E-2</c:v>
                </c:pt>
                <c:pt idx="142">
                  <c:v>3.7970940396181083E-2</c:v>
                </c:pt>
                <c:pt idx="143">
                  <c:v>3.7970940396181083E-2</c:v>
                </c:pt>
                <c:pt idx="144">
                  <c:v>3.7970940396181083E-2</c:v>
                </c:pt>
                <c:pt idx="145">
                  <c:v>3.7970940396181083E-2</c:v>
                </c:pt>
                <c:pt idx="146">
                  <c:v>3.7970940396181083E-2</c:v>
                </c:pt>
                <c:pt idx="147">
                  <c:v>3.7970940396181083E-2</c:v>
                </c:pt>
                <c:pt idx="148">
                  <c:v>3.7970940396181083E-2</c:v>
                </c:pt>
                <c:pt idx="149">
                  <c:v>3.7970940396181083E-2</c:v>
                </c:pt>
                <c:pt idx="150">
                  <c:v>3.7970940396181083E-2</c:v>
                </c:pt>
                <c:pt idx="151">
                  <c:v>3.7970940396181083E-2</c:v>
                </c:pt>
                <c:pt idx="152">
                  <c:v>3.7970940396181083E-2</c:v>
                </c:pt>
                <c:pt idx="153">
                  <c:v>3.7970940396181083E-2</c:v>
                </c:pt>
                <c:pt idx="154">
                  <c:v>3.7970940396181083E-2</c:v>
                </c:pt>
                <c:pt idx="155">
                  <c:v>3.7970940396181083E-2</c:v>
                </c:pt>
                <c:pt idx="156">
                  <c:v>3.7970940396181083E-2</c:v>
                </c:pt>
                <c:pt idx="157">
                  <c:v>3.7970940396181083E-2</c:v>
                </c:pt>
                <c:pt idx="158">
                  <c:v>3.7970940396181083E-2</c:v>
                </c:pt>
                <c:pt idx="159">
                  <c:v>3.7970940396181083E-2</c:v>
                </c:pt>
                <c:pt idx="160">
                  <c:v>3.7970940396181083E-2</c:v>
                </c:pt>
                <c:pt idx="161">
                  <c:v>3.7970940396181083E-2</c:v>
                </c:pt>
                <c:pt idx="162">
                  <c:v>3.7970940396181083E-2</c:v>
                </c:pt>
                <c:pt idx="163">
                  <c:v>3.7970940396181083E-2</c:v>
                </c:pt>
                <c:pt idx="164">
                  <c:v>3.7970940396181083E-2</c:v>
                </c:pt>
                <c:pt idx="165">
                  <c:v>3.7970940396181083E-2</c:v>
                </c:pt>
                <c:pt idx="166">
                  <c:v>3.7970940396181083E-2</c:v>
                </c:pt>
                <c:pt idx="167">
                  <c:v>3.7970940396181083E-2</c:v>
                </c:pt>
                <c:pt idx="168">
                  <c:v>3.7970940396181083E-2</c:v>
                </c:pt>
                <c:pt idx="169">
                  <c:v>3.7970940396181083E-2</c:v>
                </c:pt>
                <c:pt idx="170">
                  <c:v>3.7970940396181083E-2</c:v>
                </c:pt>
                <c:pt idx="171">
                  <c:v>3.7970940396181083E-2</c:v>
                </c:pt>
                <c:pt idx="172">
                  <c:v>3.7970940396181083E-2</c:v>
                </c:pt>
                <c:pt idx="173">
                  <c:v>3.7970940396181083E-2</c:v>
                </c:pt>
                <c:pt idx="174">
                  <c:v>3.7970940396181083E-2</c:v>
                </c:pt>
                <c:pt idx="175">
                  <c:v>3.7970940396181083E-2</c:v>
                </c:pt>
                <c:pt idx="176">
                  <c:v>3.7970940396181083E-2</c:v>
                </c:pt>
                <c:pt idx="177">
                  <c:v>3.7970940396181083E-2</c:v>
                </c:pt>
                <c:pt idx="178">
                  <c:v>3.7970940396181083E-2</c:v>
                </c:pt>
                <c:pt idx="179">
                  <c:v>3.7970940396181083E-2</c:v>
                </c:pt>
                <c:pt idx="180">
                  <c:v>3.7970940396181083E-2</c:v>
                </c:pt>
                <c:pt idx="181">
                  <c:v>3.7970940396181083E-2</c:v>
                </c:pt>
                <c:pt idx="182">
                  <c:v>3.7970940396181083E-2</c:v>
                </c:pt>
                <c:pt idx="183">
                  <c:v>3.7970940396181083E-2</c:v>
                </c:pt>
                <c:pt idx="184">
                  <c:v>3.7970940396181083E-2</c:v>
                </c:pt>
                <c:pt idx="185">
                  <c:v>3.7970940396181083E-2</c:v>
                </c:pt>
                <c:pt idx="186">
                  <c:v>3.7970940396181083E-2</c:v>
                </c:pt>
                <c:pt idx="187">
                  <c:v>3.7970940396181083E-2</c:v>
                </c:pt>
                <c:pt idx="188">
                  <c:v>3.7970940396181083E-2</c:v>
                </c:pt>
                <c:pt idx="189">
                  <c:v>3.7970940396181083E-2</c:v>
                </c:pt>
                <c:pt idx="190">
                  <c:v>3.7970940396181083E-2</c:v>
                </c:pt>
                <c:pt idx="191">
                  <c:v>3.7970940396181083E-2</c:v>
                </c:pt>
                <c:pt idx="192">
                  <c:v>3.7970940396181083E-2</c:v>
                </c:pt>
                <c:pt idx="193">
                  <c:v>3.7970940396181083E-2</c:v>
                </c:pt>
                <c:pt idx="194">
                  <c:v>3.7970940396181083E-2</c:v>
                </c:pt>
                <c:pt idx="195">
                  <c:v>3.7970940396181083E-2</c:v>
                </c:pt>
                <c:pt idx="196">
                  <c:v>3.7970940396181083E-2</c:v>
                </c:pt>
                <c:pt idx="197">
                  <c:v>3.7970940396181083E-2</c:v>
                </c:pt>
                <c:pt idx="198">
                  <c:v>3.7970940396181083E-2</c:v>
                </c:pt>
                <c:pt idx="199">
                  <c:v>3.7970940396181083E-2</c:v>
                </c:pt>
                <c:pt idx="200">
                  <c:v>3.7970940396181083E-2</c:v>
                </c:pt>
                <c:pt idx="201">
                  <c:v>3.7970940396181083E-2</c:v>
                </c:pt>
                <c:pt idx="202">
                  <c:v>3.7970940396181083E-2</c:v>
                </c:pt>
                <c:pt idx="203">
                  <c:v>3.7970940396181083E-2</c:v>
                </c:pt>
                <c:pt idx="204">
                  <c:v>3.7970940396181083E-2</c:v>
                </c:pt>
                <c:pt idx="205">
                  <c:v>3.7970940396181083E-2</c:v>
                </c:pt>
                <c:pt idx="206">
                  <c:v>3.7970940396181083E-2</c:v>
                </c:pt>
                <c:pt idx="207">
                  <c:v>3.7970940396181083E-2</c:v>
                </c:pt>
                <c:pt idx="208">
                  <c:v>3.7970940396181083E-2</c:v>
                </c:pt>
                <c:pt idx="209">
                  <c:v>3.7970940396181083E-2</c:v>
                </c:pt>
                <c:pt idx="210">
                  <c:v>3.7970940396181083E-2</c:v>
                </c:pt>
                <c:pt idx="211">
                  <c:v>3.7970940396181083E-2</c:v>
                </c:pt>
                <c:pt idx="212">
                  <c:v>3.7970940396181083E-2</c:v>
                </c:pt>
                <c:pt idx="213">
                  <c:v>3.7970940396181083E-2</c:v>
                </c:pt>
                <c:pt idx="214">
                  <c:v>3.7970940396181083E-2</c:v>
                </c:pt>
                <c:pt idx="215">
                  <c:v>3.7970940396181083E-2</c:v>
                </c:pt>
                <c:pt idx="216">
                  <c:v>3.7970940396181083E-2</c:v>
                </c:pt>
                <c:pt idx="217">
                  <c:v>3.7970940396181083E-2</c:v>
                </c:pt>
                <c:pt idx="218">
                  <c:v>3.7970940396181083E-2</c:v>
                </c:pt>
                <c:pt idx="219">
                  <c:v>3.7970940396181083E-2</c:v>
                </c:pt>
                <c:pt idx="220">
                  <c:v>3.7970940396181083E-2</c:v>
                </c:pt>
                <c:pt idx="221">
                  <c:v>3.7970940396181083E-2</c:v>
                </c:pt>
                <c:pt idx="222">
                  <c:v>3.7970940396181083E-2</c:v>
                </c:pt>
                <c:pt idx="223">
                  <c:v>3.7970940396181083E-2</c:v>
                </c:pt>
                <c:pt idx="224">
                  <c:v>3.7970940396181083E-2</c:v>
                </c:pt>
                <c:pt idx="225">
                  <c:v>3.7970940396181083E-2</c:v>
                </c:pt>
                <c:pt idx="226">
                  <c:v>3.7970940396181083E-2</c:v>
                </c:pt>
                <c:pt idx="227">
                  <c:v>3.7970940396181083E-2</c:v>
                </c:pt>
                <c:pt idx="228">
                  <c:v>3.7970940396181083E-2</c:v>
                </c:pt>
                <c:pt idx="229">
                  <c:v>3.7970940396181083E-2</c:v>
                </c:pt>
                <c:pt idx="230">
                  <c:v>3.7970940396181083E-2</c:v>
                </c:pt>
                <c:pt idx="231">
                  <c:v>3.7970940396181083E-2</c:v>
                </c:pt>
                <c:pt idx="232">
                  <c:v>3.7970940396181083E-2</c:v>
                </c:pt>
                <c:pt idx="233">
                  <c:v>3.7970940396181083E-2</c:v>
                </c:pt>
                <c:pt idx="234">
                  <c:v>3.7970940396181083E-2</c:v>
                </c:pt>
                <c:pt idx="235">
                  <c:v>3.7970940396181083E-2</c:v>
                </c:pt>
                <c:pt idx="236">
                  <c:v>3.7970940396181083E-2</c:v>
                </c:pt>
                <c:pt idx="237">
                  <c:v>3.7970940396181083E-2</c:v>
                </c:pt>
                <c:pt idx="238">
                  <c:v>3.7970940396181083E-2</c:v>
                </c:pt>
                <c:pt idx="239">
                  <c:v>3.7970940396181083E-2</c:v>
                </c:pt>
                <c:pt idx="240">
                  <c:v>3.7970940396181083E-2</c:v>
                </c:pt>
                <c:pt idx="241">
                  <c:v>3.7970940396181083E-2</c:v>
                </c:pt>
                <c:pt idx="242">
                  <c:v>3.7970940396181083E-2</c:v>
                </c:pt>
                <c:pt idx="243">
                  <c:v>3.7970940396181083E-2</c:v>
                </c:pt>
                <c:pt idx="244">
                  <c:v>3.7970940396181083E-2</c:v>
                </c:pt>
                <c:pt idx="245">
                  <c:v>3.7970940396181083E-2</c:v>
                </c:pt>
                <c:pt idx="246">
                  <c:v>3.7970940396181083E-2</c:v>
                </c:pt>
                <c:pt idx="247">
                  <c:v>3.7970940396181083E-2</c:v>
                </c:pt>
                <c:pt idx="248">
                  <c:v>3.7970940396181083E-2</c:v>
                </c:pt>
                <c:pt idx="249">
                  <c:v>3.7970940396181083E-2</c:v>
                </c:pt>
                <c:pt idx="250">
                  <c:v>3.7970940396181083E-2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12-4C62-9D15-F4BEA1EFC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551480"/>
        <c:axId val="442549128"/>
      </c:lineChart>
      <c:dateAx>
        <c:axId val="4425514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2549128"/>
        <c:crosses val="autoZero"/>
        <c:auto val="1"/>
        <c:lblOffset val="100"/>
        <c:baseTimeUnit val="days"/>
      </c:dateAx>
      <c:valAx>
        <c:axId val="442549128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2551480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Volatilidad Dinámica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Rendimientos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Dinámica!$A$8:$A$259</c:f>
              <c:numCache>
                <c:formatCode>m/d/yyyy</c:formatCode>
                <c:ptCount val="252"/>
                <c:pt idx="0">
                  <c:v>45657</c:v>
                </c:pt>
                <c:pt idx="1">
                  <c:v>45656</c:v>
                </c:pt>
                <c:pt idx="2">
                  <c:v>45653</c:v>
                </c:pt>
                <c:pt idx="3">
                  <c:v>45652</c:v>
                </c:pt>
                <c:pt idx="4">
                  <c:v>45650</c:v>
                </c:pt>
                <c:pt idx="5">
                  <c:v>45649</c:v>
                </c:pt>
                <c:pt idx="6">
                  <c:v>45646</c:v>
                </c:pt>
                <c:pt idx="7">
                  <c:v>45645</c:v>
                </c:pt>
                <c:pt idx="8">
                  <c:v>45644</c:v>
                </c:pt>
                <c:pt idx="9">
                  <c:v>45643</c:v>
                </c:pt>
                <c:pt idx="10">
                  <c:v>45642</c:v>
                </c:pt>
                <c:pt idx="11">
                  <c:v>45639</c:v>
                </c:pt>
                <c:pt idx="12">
                  <c:v>45637</c:v>
                </c:pt>
                <c:pt idx="13">
                  <c:v>45636</c:v>
                </c:pt>
                <c:pt idx="14">
                  <c:v>45635</c:v>
                </c:pt>
                <c:pt idx="15">
                  <c:v>45632</c:v>
                </c:pt>
                <c:pt idx="16">
                  <c:v>45631</c:v>
                </c:pt>
                <c:pt idx="17">
                  <c:v>45630</c:v>
                </c:pt>
                <c:pt idx="18">
                  <c:v>45629</c:v>
                </c:pt>
                <c:pt idx="19">
                  <c:v>45628</c:v>
                </c:pt>
                <c:pt idx="20">
                  <c:v>45625</c:v>
                </c:pt>
                <c:pt idx="21">
                  <c:v>45624</c:v>
                </c:pt>
                <c:pt idx="22">
                  <c:v>45623</c:v>
                </c:pt>
                <c:pt idx="23">
                  <c:v>45622</c:v>
                </c:pt>
                <c:pt idx="24">
                  <c:v>45621</c:v>
                </c:pt>
                <c:pt idx="25">
                  <c:v>45618</c:v>
                </c:pt>
                <c:pt idx="26">
                  <c:v>45617</c:v>
                </c:pt>
                <c:pt idx="27">
                  <c:v>45616</c:v>
                </c:pt>
                <c:pt idx="28">
                  <c:v>45615</c:v>
                </c:pt>
                <c:pt idx="29">
                  <c:v>45611</c:v>
                </c:pt>
                <c:pt idx="30">
                  <c:v>45610</c:v>
                </c:pt>
                <c:pt idx="31">
                  <c:v>45609</c:v>
                </c:pt>
                <c:pt idx="32">
                  <c:v>45608</c:v>
                </c:pt>
                <c:pt idx="33">
                  <c:v>45607</c:v>
                </c:pt>
                <c:pt idx="34">
                  <c:v>45604</c:v>
                </c:pt>
                <c:pt idx="35">
                  <c:v>45603</c:v>
                </c:pt>
                <c:pt idx="36">
                  <c:v>45602</c:v>
                </c:pt>
                <c:pt idx="37">
                  <c:v>45601</c:v>
                </c:pt>
                <c:pt idx="38">
                  <c:v>45600</c:v>
                </c:pt>
                <c:pt idx="39">
                  <c:v>45597</c:v>
                </c:pt>
                <c:pt idx="40">
                  <c:v>45596</c:v>
                </c:pt>
                <c:pt idx="41">
                  <c:v>45595</c:v>
                </c:pt>
                <c:pt idx="42">
                  <c:v>45594</c:v>
                </c:pt>
                <c:pt idx="43">
                  <c:v>45593</c:v>
                </c:pt>
                <c:pt idx="44">
                  <c:v>45590</c:v>
                </c:pt>
                <c:pt idx="45">
                  <c:v>45589</c:v>
                </c:pt>
                <c:pt idx="46">
                  <c:v>45588</c:v>
                </c:pt>
                <c:pt idx="47">
                  <c:v>45587</c:v>
                </c:pt>
                <c:pt idx="48">
                  <c:v>45586</c:v>
                </c:pt>
                <c:pt idx="49">
                  <c:v>45583</c:v>
                </c:pt>
                <c:pt idx="50">
                  <c:v>45582</c:v>
                </c:pt>
                <c:pt idx="51">
                  <c:v>45581</c:v>
                </c:pt>
                <c:pt idx="52">
                  <c:v>45580</c:v>
                </c:pt>
                <c:pt idx="53">
                  <c:v>45579</c:v>
                </c:pt>
                <c:pt idx="54">
                  <c:v>45576</c:v>
                </c:pt>
                <c:pt idx="55">
                  <c:v>45575</c:v>
                </c:pt>
                <c:pt idx="56">
                  <c:v>45574</c:v>
                </c:pt>
                <c:pt idx="57">
                  <c:v>45573</c:v>
                </c:pt>
                <c:pt idx="58">
                  <c:v>45572</c:v>
                </c:pt>
                <c:pt idx="59">
                  <c:v>45569</c:v>
                </c:pt>
                <c:pt idx="60">
                  <c:v>45568</c:v>
                </c:pt>
                <c:pt idx="61">
                  <c:v>45567</c:v>
                </c:pt>
                <c:pt idx="62">
                  <c:v>45565</c:v>
                </c:pt>
                <c:pt idx="63">
                  <c:v>45562</c:v>
                </c:pt>
                <c:pt idx="64">
                  <c:v>45561</c:v>
                </c:pt>
                <c:pt idx="65">
                  <c:v>45560</c:v>
                </c:pt>
                <c:pt idx="66">
                  <c:v>45559</c:v>
                </c:pt>
                <c:pt idx="67">
                  <c:v>45558</c:v>
                </c:pt>
                <c:pt idx="68">
                  <c:v>45555</c:v>
                </c:pt>
                <c:pt idx="69">
                  <c:v>45554</c:v>
                </c:pt>
                <c:pt idx="70">
                  <c:v>45553</c:v>
                </c:pt>
                <c:pt idx="71">
                  <c:v>45552</c:v>
                </c:pt>
                <c:pt idx="72">
                  <c:v>45548</c:v>
                </c:pt>
                <c:pt idx="73">
                  <c:v>45547</c:v>
                </c:pt>
                <c:pt idx="74">
                  <c:v>45546</c:v>
                </c:pt>
                <c:pt idx="75">
                  <c:v>45545</c:v>
                </c:pt>
                <c:pt idx="76">
                  <c:v>45544</c:v>
                </c:pt>
                <c:pt idx="77">
                  <c:v>45541</c:v>
                </c:pt>
                <c:pt idx="78">
                  <c:v>45540</c:v>
                </c:pt>
                <c:pt idx="79">
                  <c:v>45539</c:v>
                </c:pt>
                <c:pt idx="80">
                  <c:v>45538</c:v>
                </c:pt>
                <c:pt idx="81">
                  <c:v>45537</c:v>
                </c:pt>
                <c:pt idx="82">
                  <c:v>45534</c:v>
                </c:pt>
                <c:pt idx="83">
                  <c:v>45533</c:v>
                </c:pt>
                <c:pt idx="84">
                  <c:v>45532</c:v>
                </c:pt>
                <c:pt idx="85">
                  <c:v>45531</c:v>
                </c:pt>
                <c:pt idx="86">
                  <c:v>45530</c:v>
                </c:pt>
                <c:pt idx="87">
                  <c:v>45527</c:v>
                </c:pt>
                <c:pt idx="88">
                  <c:v>45526</c:v>
                </c:pt>
                <c:pt idx="89">
                  <c:v>45525</c:v>
                </c:pt>
                <c:pt idx="90">
                  <c:v>45524</c:v>
                </c:pt>
                <c:pt idx="91">
                  <c:v>45523</c:v>
                </c:pt>
                <c:pt idx="92">
                  <c:v>45520</c:v>
                </c:pt>
                <c:pt idx="93">
                  <c:v>45519</c:v>
                </c:pt>
                <c:pt idx="94">
                  <c:v>45518</c:v>
                </c:pt>
                <c:pt idx="95">
                  <c:v>45517</c:v>
                </c:pt>
                <c:pt idx="96">
                  <c:v>45516</c:v>
                </c:pt>
                <c:pt idx="97">
                  <c:v>45513</c:v>
                </c:pt>
                <c:pt idx="98">
                  <c:v>45512</c:v>
                </c:pt>
                <c:pt idx="99">
                  <c:v>45511</c:v>
                </c:pt>
                <c:pt idx="100">
                  <c:v>45510</c:v>
                </c:pt>
                <c:pt idx="101">
                  <c:v>45509</c:v>
                </c:pt>
                <c:pt idx="102">
                  <c:v>45506</c:v>
                </c:pt>
                <c:pt idx="103">
                  <c:v>45505</c:v>
                </c:pt>
                <c:pt idx="104">
                  <c:v>45504</c:v>
                </c:pt>
                <c:pt idx="105">
                  <c:v>45503</c:v>
                </c:pt>
                <c:pt idx="106">
                  <c:v>45502</c:v>
                </c:pt>
                <c:pt idx="107">
                  <c:v>45499</c:v>
                </c:pt>
                <c:pt idx="108">
                  <c:v>45498</c:v>
                </c:pt>
                <c:pt idx="109">
                  <c:v>45497</c:v>
                </c:pt>
                <c:pt idx="110">
                  <c:v>45496</c:v>
                </c:pt>
                <c:pt idx="111">
                  <c:v>45495</c:v>
                </c:pt>
                <c:pt idx="112">
                  <c:v>45492</c:v>
                </c:pt>
                <c:pt idx="113">
                  <c:v>45491</c:v>
                </c:pt>
                <c:pt idx="114">
                  <c:v>45490</c:v>
                </c:pt>
                <c:pt idx="115">
                  <c:v>45489</c:v>
                </c:pt>
                <c:pt idx="116">
                  <c:v>45488</c:v>
                </c:pt>
                <c:pt idx="117">
                  <c:v>45485</c:v>
                </c:pt>
                <c:pt idx="118">
                  <c:v>45484</c:v>
                </c:pt>
                <c:pt idx="119">
                  <c:v>45483</c:v>
                </c:pt>
                <c:pt idx="120">
                  <c:v>45482</c:v>
                </c:pt>
                <c:pt idx="121">
                  <c:v>45481</c:v>
                </c:pt>
                <c:pt idx="122">
                  <c:v>45478</c:v>
                </c:pt>
                <c:pt idx="123">
                  <c:v>45477</c:v>
                </c:pt>
                <c:pt idx="124">
                  <c:v>45476</c:v>
                </c:pt>
                <c:pt idx="125">
                  <c:v>45475</c:v>
                </c:pt>
                <c:pt idx="126">
                  <c:v>45474</c:v>
                </c:pt>
                <c:pt idx="127">
                  <c:v>45471</c:v>
                </c:pt>
                <c:pt idx="128">
                  <c:v>45470</c:v>
                </c:pt>
                <c:pt idx="129">
                  <c:v>45469</c:v>
                </c:pt>
                <c:pt idx="130">
                  <c:v>45468</c:v>
                </c:pt>
                <c:pt idx="131">
                  <c:v>45467</c:v>
                </c:pt>
                <c:pt idx="132">
                  <c:v>45464</c:v>
                </c:pt>
                <c:pt idx="133">
                  <c:v>45463</c:v>
                </c:pt>
                <c:pt idx="134">
                  <c:v>45462</c:v>
                </c:pt>
                <c:pt idx="135">
                  <c:v>45461</c:v>
                </c:pt>
                <c:pt idx="136">
                  <c:v>45460</c:v>
                </c:pt>
                <c:pt idx="137">
                  <c:v>45457</c:v>
                </c:pt>
                <c:pt idx="138">
                  <c:v>45456</c:v>
                </c:pt>
                <c:pt idx="139">
                  <c:v>45455</c:v>
                </c:pt>
                <c:pt idx="140">
                  <c:v>45454</c:v>
                </c:pt>
                <c:pt idx="141">
                  <c:v>45453</c:v>
                </c:pt>
                <c:pt idx="142">
                  <c:v>45450</c:v>
                </c:pt>
                <c:pt idx="143">
                  <c:v>45449</c:v>
                </c:pt>
                <c:pt idx="144">
                  <c:v>45448</c:v>
                </c:pt>
                <c:pt idx="145">
                  <c:v>45447</c:v>
                </c:pt>
                <c:pt idx="146">
                  <c:v>45446</c:v>
                </c:pt>
                <c:pt idx="147">
                  <c:v>45443</c:v>
                </c:pt>
                <c:pt idx="148">
                  <c:v>45442</c:v>
                </c:pt>
                <c:pt idx="149">
                  <c:v>45441</c:v>
                </c:pt>
                <c:pt idx="150">
                  <c:v>45440</c:v>
                </c:pt>
                <c:pt idx="151">
                  <c:v>45439</c:v>
                </c:pt>
                <c:pt idx="152">
                  <c:v>45436</c:v>
                </c:pt>
                <c:pt idx="153">
                  <c:v>45435</c:v>
                </c:pt>
                <c:pt idx="154">
                  <c:v>45434</c:v>
                </c:pt>
                <c:pt idx="155">
                  <c:v>45433</c:v>
                </c:pt>
                <c:pt idx="156">
                  <c:v>45432</c:v>
                </c:pt>
                <c:pt idx="157">
                  <c:v>45429</c:v>
                </c:pt>
                <c:pt idx="158">
                  <c:v>45428</c:v>
                </c:pt>
                <c:pt idx="159">
                  <c:v>45427</c:v>
                </c:pt>
                <c:pt idx="160">
                  <c:v>45426</c:v>
                </c:pt>
                <c:pt idx="161">
                  <c:v>45425</c:v>
                </c:pt>
                <c:pt idx="162">
                  <c:v>45422</c:v>
                </c:pt>
                <c:pt idx="163">
                  <c:v>45421</c:v>
                </c:pt>
                <c:pt idx="164">
                  <c:v>45420</c:v>
                </c:pt>
                <c:pt idx="165">
                  <c:v>45419</c:v>
                </c:pt>
                <c:pt idx="166">
                  <c:v>45418</c:v>
                </c:pt>
                <c:pt idx="167">
                  <c:v>45415</c:v>
                </c:pt>
                <c:pt idx="168">
                  <c:v>45414</c:v>
                </c:pt>
                <c:pt idx="169">
                  <c:v>45412</c:v>
                </c:pt>
                <c:pt idx="170">
                  <c:v>45411</c:v>
                </c:pt>
                <c:pt idx="171">
                  <c:v>45408</c:v>
                </c:pt>
                <c:pt idx="172">
                  <c:v>45407</c:v>
                </c:pt>
                <c:pt idx="173">
                  <c:v>45406</c:v>
                </c:pt>
                <c:pt idx="174">
                  <c:v>45405</c:v>
                </c:pt>
                <c:pt idx="175">
                  <c:v>45404</c:v>
                </c:pt>
                <c:pt idx="176">
                  <c:v>45401</c:v>
                </c:pt>
                <c:pt idx="177">
                  <c:v>45400</c:v>
                </c:pt>
                <c:pt idx="178">
                  <c:v>45399</c:v>
                </c:pt>
                <c:pt idx="179">
                  <c:v>45398</c:v>
                </c:pt>
                <c:pt idx="180">
                  <c:v>45397</c:v>
                </c:pt>
                <c:pt idx="181">
                  <c:v>45394</c:v>
                </c:pt>
                <c:pt idx="182">
                  <c:v>45393</c:v>
                </c:pt>
                <c:pt idx="183">
                  <c:v>45392</c:v>
                </c:pt>
                <c:pt idx="184">
                  <c:v>45391</c:v>
                </c:pt>
                <c:pt idx="185">
                  <c:v>45390</c:v>
                </c:pt>
                <c:pt idx="186">
                  <c:v>45387</c:v>
                </c:pt>
                <c:pt idx="187">
                  <c:v>45386</c:v>
                </c:pt>
                <c:pt idx="188">
                  <c:v>45385</c:v>
                </c:pt>
                <c:pt idx="189">
                  <c:v>45384</c:v>
                </c:pt>
                <c:pt idx="190">
                  <c:v>45383</c:v>
                </c:pt>
                <c:pt idx="191">
                  <c:v>45378</c:v>
                </c:pt>
                <c:pt idx="192">
                  <c:v>45377</c:v>
                </c:pt>
                <c:pt idx="193">
                  <c:v>45376</c:v>
                </c:pt>
                <c:pt idx="194">
                  <c:v>45373</c:v>
                </c:pt>
                <c:pt idx="195">
                  <c:v>45372</c:v>
                </c:pt>
                <c:pt idx="196">
                  <c:v>45371</c:v>
                </c:pt>
                <c:pt idx="197">
                  <c:v>45370</c:v>
                </c:pt>
                <c:pt idx="198">
                  <c:v>45366</c:v>
                </c:pt>
                <c:pt idx="199">
                  <c:v>45365</c:v>
                </c:pt>
                <c:pt idx="200">
                  <c:v>45364</c:v>
                </c:pt>
                <c:pt idx="201">
                  <c:v>45363</c:v>
                </c:pt>
                <c:pt idx="202">
                  <c:v>45362</c:v>
                </c:pt>
                <c:pt idx="203">
                  <c:v>45359</c:v>
                </c:pt>
                <c:pt idx="204">
                  <c:v>45358</c:v>
                </c:pt>
                <c:pt idx="205">
                  <c:v>45357</c:v>
                </c:pt>
                <c:pt idx="206">
                  <c:v>45356</c:v>
                </c:pt>
                <c:pt idx="207">
                  <c:v>45355</c:v>
                </c:pt>
                <c:pt idx="208">
                  <c:v>45352</c:v>
                </c:pt>
                <c:pt idx="209">
                  <c:v>45351</c:v>
                </c:pt>
                <c:pt idx="210">
                  <c:v>45350</c:v>
                </c:pt>
                <c:pt idx="211">
                  <c:v>45349</c:v>
                </c:pt>
                <c:pt idx="212">
                  <c:v>45348</c:v>
                </c:pt>
                <c:pt idx="213">
                  <c:v>45345</c:v>
                </c:pt>
                <c:pt idx="214">
                  <c:v>45344</c:v>
                </c:pt>
                <c:pt idx="215">
                  <c:v>45343</c:v>
                </c:pt>
                <c:pt idx="216">
                  <c:v>45342</c:v>
                </c:pt>
                <c:pt idx="217">
                  <c:v>45341</c:v>
                </c:pt>
                <c:pt idx="218">
                  <c:v>45338</c:v>
                </c:pt>
                <c:pt idx="219">
                  <c:v>45337</c:v>
                </c:pt>
                <c:pt idx="220">
                  <c:v>45336</c:v>
                </c:pt>
                <c:pt idx="221">
                  <c:v>45335</c:v>
                </c:pt>
                <c:pt idx="222">
                  <c:v>45334</c:v>
                </c:pt>
                <c:pt idx="223">
                  <c:v>45331</c:v>
                </c:pt>
                <c:pt idx="224">
                  <c:v>45330</c:v>
                </c:pt>
                <c:pt idx="225">
                  <c:v>45329</c:v>
                </c:pt>
                <c:pt idx="226">
                  <c:v>45328</c:v>
                </c:pt>
                <c:pt idx="227">
                  <c:v>45324</c:v>
                </c:pt>
                <c:pt idx="228">
                  <c:v>45323</c:v>
                </c:pt>
                <c:pt idx="229">
                  <c:v>45322</c:v>
                </c:pt>
                <c:pt idx="230">
                  <c:v>45321</c:v>
                </c:pt>
                <c:pt idx="231">
                  <c:v>45320</c:v>
                </c:pt>
                <c:pt idx="232">
                  <c:v>45317</c:v>
                </c:pt>
                <c:pt idx="233">
                  <c:v>45316</c:v>
                </c:pt>
                <c:pt idx="234">
                  <c:v>45315</c:v>
                </c:pt>
                <c:pt idx="235">
                  <c:v>45314</c:v>
                </c:pt>
                <c:pt idx="236">
                  <c:v>45313</c:v>
                </c:pt>
                <c:pt idx="237">
                  <c:v>45310</c:v>
                </c:pt>
                <c:pt idx="238">
                  <c:v>45309</c:v>
                </c:pt>
                <c:pt idx="239">
                  <c:v>45308</c:v>
                </c:pt>
                <c:pt idx="240">
                  <c:v>45307</c:v>
                </c:pt>
                <c:pt idx="241">
                  <c:v>45306</c:v>
                </c:pt>
                <c:pt idx="242">
                  <c:v>45303</c:v>
                </c:pt>
                <c:pt idx="243">
                  <c:v>45302</c:v>
                </c:pt>
                <c:pt idx="244">
                  <c:v>45301</c:v>
                </c:pt>
                <c:pt idx="245">
                  <c:v>45300</c:v>
                </c:pt>
                <c:pt idx="246">
                  <c:v>45299</c:v>
                </c:pt>
                <c:pt idx="247">
                  <c:v>45296</c:v>
                </c:pt>
                <c:pt idx="248">
                  <c:v>45295</c:v>
                </c:pt>
                <c:pt idx="249">
                  <c:v>45294</c:v>
                </c:pt>
                <c:pt idx="250">
                  <c:v>45293</c:v>
                </c:pt>
                <c:pt idx="251">
                  <c:v>45289</c:v>
                </c:pt>
              </c:numCache>
            </c:numRef>
          </c:cat>
          <c:val>
            <c:numRef>
              <c:f>Dinámica!$D$8:$D$259</c:f>
              <c:numCache>
                <c:formatCode>0.00%</c:formatCode>
                <c:ptCount val="252"/>
                <c:pt idx="0">
                  <c:v>2.9349213100807958E-2</c:v>
                </c:pt>
                <c:pt idx="1">
                  <c:v>-4.9786890064667855E-2</c:v>
                </c:pt>
                <c:pt idx="2">
                  <c:v>-2.1997360316761139E-3</c:v>
                </c:pt>
                <c:pt idx="3">
                  <c:v>-8.9022927945932029E-3</c:v>
                </c:pt>
                <c:pt idx="4">
                  <c:v>-6.2468404708602154E-3</c:v>
                </c:pt>
                <c:pt idx="5">
                  <c:v>-1.5919266576647106E-2</c:v>
                </c:pt>
                <c:pt idx="6">
                  <c:v>1.8862459722674974E-2</c:v>
                </c:pt>
                <c:pt idx="7">
                  <c:v>-5.9134107708553429E-2</c:v>
                </c:pt>
                <c:pt idx="8">
                  <c:v>-2.7334172685706704E-2</c:v>
                </c:pt>
                <c:pt idx="9">
                  <c:v>-3.6672943729852303E-2</c:v>
                </c:pt>
                <c:pt idx="10">
                  <c:v>-5.2126822774853365E-2</c:v>
                </c:pt>
                <c:pt idx="11">
                  <c:v>-1.3460677510819252E-2</c:v>
                </c:pt>
                <c:pt idx="12">
                  <c:v>7.6085648983521548E-3</c:v>
                </c:pt>
                <c:pt idx="13">
                  <c:v>-1.0150924299705322E-2</c:v>
                </c:pt>
                <c:pt idx="14">
                  <c:v>8.5115317526972101E-2</c:v>
                </c:pt>
                <c:pt idx="15">
                  <c:v>-9.5975430289846342E-3</c:v>
                </c:pt>
                <c:pt idx="16">
                  <c:v>3.4177005789908899E-2</c:v>
                </c:pt>
                <c:pt idx="17">
                  <c:v>5.8571000698857123E-3</c:v>
                </c:pt>
                <c:pt idx="18">
                  <c:v>4.9160591264798548E-3</c:v>
                </c:pt>
                <c:pt idx="19">
                  <c:v>2.0128275109170257E-2</c:v>
                </c:pt>
                <c:pt idx="20">
                  <c:v>2.0009047569335747E-2</c:v>
                </c:pt>
                <c:pt idx="21">
                  <c:v>1.6447368421052655E-2</c:v>
                </c:pt>
                <c:pt idx="22">
                  <c:v>2.0539291773454371E-2</c:v>
                </c:pt>
                <c:pt idx="23">
                  <c:v>-5.7400476352500895E-2</c:v>
                </c:pt>
                <c:pt idx="24">
                  <c:v>-3.8222396753714305E-2</c:v>
                </c:pt>
                <c:pt idx="25">
                  <c:v>1.6803646890493518E-2</c:v>
                </c:pt>
                <c:pt idx="26">
                  <c:v>-1.5107819361604546E-2</c:v>
                </c:pt>
                <c:pt idx="27">
                  <c:v>9.841228185278883E-4</c:v>
                </c:pt>
                <c:pt idx="28">
                  <c:v>-3.2793336394054684E-4</c:v>
                </c:pt>
                <c:pt idx="29">
                  <c:v>8.1961396537042486E-2</c:v>
                </c:pt>
                <c:pt idx="30">
                  <c:v>-1.8970378363326379E-2</c:v>
                </c:pt>
                <c:pt idx="31">
                  <c:v>1.4227211748923274E-2</c:v>
                </c:pt>
                <c:pt idx="32">
                  <c:v>-5.4760236259885908E-2</c:v>
                </c:pt>
                <c:pt idx="33">
                  <c:v>-6.3662588282104027E-3</c:v>
                </c:pt>
                <c:pt idx="34">
                  <c:v>-1.5152009927179022E-2</c:v>
                </c:pt>
                <c:pt idx="35">
                  <c:v>-6.5208928107967079E-3</c:v>
                </c:pt>
                <c:pt idx="36">
                  <c:v>-7.598197037991028E-3</c:v>
                </c:pt>
                <c:pt idx="37">
                  <c:v>-1.96016539881948E-2</c:v>
                </c:pt>
                <c:pt idx="38">
                  <c:v>6.8007754155146038E-3</c:v>
                </c:pt>
                <c:pt idx="39">
                  <c:v>1.1453660398970111E-3</c:v>
                </c:pt>
                <c:pt idx="40">
                  <c:v>-1.4022209674383501E-2</c:v>
                </c:pt>
                <c:pt idx="41">
                  <c:v>5.6785917092558869E-3</c:v>
                </c:pt>
                <c:pt idx="42">
                  <c:v>3.8869952805453689E-2</c:v>
                </c:pt>
                <c:pt idx="43">
                  <c:v>1.8628563797823183E-2</c:v>
                </c:pt>
                <c:pt idx="44">
                  <c:v>-1.7095980311730874E-2</c:v>
                </c:pt>
                <c:pt idx="45">
                  <c:v>1.8073094140442336E-2</c:v>
                </c:pt>
                <c:pt idx="46">
                  <c:v>-3.1304116158251682E-3</c:v>
                </c:pt>
                <c:pt idx="47">
                  <c:v>1.0000666711111883E-3</c:v>
                </c:pt>
                <c:pt idx="48">
                  <c:v>2.1660649819494671E-2</c:v>
                </c:pt>
                <c:pt idx="49">
                  <c:v>4.3388650012437191E-2</c:v>
                </c:pt>
                <c:pt idx="50">
                  <c:v>1.5004508566275998E-2</c:v>
                </c:pt>
                <c:pt idx="51">
                  <c:v>1.4787160060027116E-2</c:v>
                </c:pt>
                <c:pt idx="52">
                  <c:v>1.3766233766233649E-2</c:v>
                </c:pt>
                <c:pt idx="53">
                  <c:v>-1.6746324200080154E-2</c:v>
                </c:pt>
                <c:pt idx="54">
                  <c:v>1.2859835187169599E-2</c:v>
                </c:pt>
                <c:pt idx="55">
                  <c:v>1.6566491359879976E-2</c:v>
                </c:pt>
                <c:pt idx="56">
                  <c:v>1.7428527748050815E-2</c:v>
                </c:pt>
                <c:pt idx="57">
                  <c:v>-3.6178072279979823E-3</c:v>
                </c:pt>
                <c:pt idx="58">
                  <c:v>-2.113621113844788E-2</c:v>
                </c:pt>
                <c:pt idx="59">
                  <c:v>3.252376736846152E-2</c:v>
                </c:pt>
                <c:pt idx="60">
                  <c:v>-1.3854095498367802E-2</c:v>
                </c:pt>
                <c:pt idx="61">
                  <c:v>8.1120379582153568E-3</c:v>
                </c:pt>
                <c:pt idx="62">
                  <c:v>-3.8378040254627099E-2</c:v>
                </c:pt>
                <c:pt idx="63">
                  <c:v>-7.0395074397126889E-2</c:v>
                </c:pt>
                <c:pt idx="64">
                  <c:v>4.2283147349281736E-2</c:v>
                </c:pt>
                <c:pt idx="65">
                  <c:v>-6.0460909760836068E-2</c:v>
                </c:pt>
                <c:pt idx="66">
                  <c:v>7.8306725420790313E-2</c:v>
                </c:pt>
                <c:pt idx="67">
                  <c:v>-1.4066726780883609E-3</c:v>
                </c:pt>
                <c:pt idx="68">
                  <c:v>5.3942066448718906E-2</c:v>
                </c:pt>
                <c:pt idx="69">
                  <c:v>1.7207377904953303E-2</c:v>
                </c:pt>
                <c:pt idx="70">
                  <c:v>2.9474500678687843E-3</c:v>
                </c:pt>
                <c:pt idx="71">
                  <c:v>3.4752598418877234E-2</c:v>
                </c:pt>
                <c:pt idx="72">
                  <c:v>3.1757204372308667E-2</c:v>
                </c:pt>
                <c:pt idx="73">
                  <c:v>2.0147835269271441E-2</c:v>
                </c:pt>
                <c:pt idx="74">
                  <c:v>-3.3677120606188105E-3</c:v>
                </c:pt>
                <c:pt idx="75">
                  <c:v>2.2688135009471422E-2</c:v>
                </c:pt>
                <c:pt idx="76">
                  <c:v>1.0132637529897792E-2</c:v>
                </c:pt>
                <c:pt idx="77">
                  <c:v>-1.4697060587882449E-2</c:v>
                </c:pt>
                <c:pt idx="78">
                  <c:v>1.350588439657785E-2</c:v>
                </c:pt>
                <c:pt idx="79">
                  <c:v>-2.1002508396751773E-2</c:v>
                </c:pt>
                <c:pt idx="80">
                  <c:v>-1.5528210279591392E-2</c:v>
                </c:pt>
                <c:pt idx="81">
                  <c:v>1.0916476263010955E-2</c:v>
                </c:pt>
                <c:pt idx="82">
                  <c:v>-2.405976953273381E-3</c:v>
                </c:pt>
                <c:pt idx="83">
                  <c:v>-5.7912627470728673E-3</c:v>
                </c:pt>
                <c:pt idx="84">
                  <c:v>-3.5731628358692147E-2</c:v>
                </c:pt>
                <c:pt idx="85">
                  <c:v>-1.8897887883118858E-2</c:v>
                </c:pt>
                <c:pt idx="86">
                  <c:v>4.025989556343923E-3</c:v>
                </c:pt>
                <c:pt idx="87">
                  <c:v>2.9183657151996556E-3</c:v>
                </c:pt>
                <c:pt idx="88">
                  <c:v>-3.3163265306122569E-2</c:v>
                </c:pt>
                <c:pt idx="89">
                  <c:v>2.7359726799825346E-2</c:v>
                </c:pt>
                <c:pt idx="90">
                  <c:v>-7.7229205248432464E-3</c:v>
                </c:pt>
                <c:pt idx="91">
                  <c:v>1.4672956980649188E-2</c:v>
                </c:pt>
                <c:pt idx="92">
                  <c:v>-2.2930583225907242E-2</c:v>
                </c:pt>
                <c:pt idx="93">
                  <c:v>1.5631819083515186E-2</c:v>
                </c:pt>
                <c:pt idx="94">
                  <c:v>6.9916100679185966E-3</c:v>
                </c:pt>
                <c:pt idx="95">
                  <c:v>3.5709852277899801E-2</c:v>
                </c:pt>
                <c:pt idx="96">
                  <c:v>-2.6412446865585748E-3</c:v>
                </c:pt>
                <c:pt idx="97">
                  <c:v>-1.307429130009774E-2</c:v>
                </c:pt>
                <c:pt idx="98">
                  <c:v>-1.8700707374582626E-3</c:v>
                </c:pt>
                <c:pt idx="99">
                  <c:v>-3.0162047076449983E-2</c:v>
                </c:pt>
                <c:pt idx="100">
                  <c:v>-1.0571896699695604E-2</c:v>
                </c:pt>
                <c:pt idx="101">
                  <c:v>-4.8266132026435038E-2</c:v>
                </c:pt>
                <c:pt idx="102">
                  <c:v>1.4577918408859469E-2</c:v>
                </c:pt>
                <c:pt idx="103">
                  <c:v>-2.4652803291939085E-2</c:v>
                </c:pt>
                <c:pt idx="104">
                  <c:v>7.05632473253619E-2</c:v>
                </c:pt>
                <c:pt idx="105">
                  <c:v>6.0543706224525096E-3</c:v>
                </c:pt>
                <c:pt idx="106">
                  <c:v>1.9526364626618831E-2</c:v>
                </c:pt>
                <c:pt idx="107">
                  <c:v>1.4322543683758182E-2</c:v>
                </c:pt>
                <c:pt idx="108">
                  <c:v>-2.1188816790835507E-2</c:v>
                </c:pt>
                <c:pt idx="109">
                  <c:v>1.1957358842365373E-2</c:v>
                </c:pt>
                <c:pt idx="110">
                  <c:v>-3.5309298506295494E-2</c:v>
                </c:pt>
                <c:pt idx="111">
                  <c:v>-1.0562154215189468E-2</c:v>
                </c:pt>
                <c:pt idx="112">
                  <c:v>3.2599576525109031E-2</c:v>
                </c:pt>
                <c:pt idx="113">
                  <c:v>-4.6510742038701758E-2</c:v>
                </c:pt>
                <c:pt idx="114">
                  <c:v>-1.3231093068711619E-2</c:v>
                </c:pt>
                <c:pt idx="115">
                  <c:v>1.3678795961135526E-2</c:v>
                </c:pt>
                <c:pt idx="116">
                  <c:v>-4.2493455249079659E-3</c:v>
                </c:pt>
                <c:pt idx="117">
                  <c:v>8.4943562272812301E-3</c:v>
                </c:pt>
                <c:pt idx="118">
                  <c:v>1.2160644436699064E-2</c:v>
                </c:pt>
                <c:pt idx="119">
                  <c:v>4.0078949488439486E-2</c:v>
                </c:pt>
                <c:pt idx="120">
                  <c:v>-1.0876927367624245E-2</c:v>
                </c:pt>
                <c:pt idx="121">
                  <c:v>9.6138374899437107E-3</c:v>
                </c:pt>
                <c:pt idx="122">
                  <c:v>8.519269776876337E-3</c:v>
                </c:pt>
                <c:pt idx="123">
                  <c:v>1.1240564489662042E-2</c:v>
                </c:pt>
                <c:pt idx="124">
                  <c:v>4.0198002901766561E-2</c:v>
                </c:pt>
                <c:pt idx="125">
                  <c:v>-1.7483543666932166E-2</c:v>
                </c:pt>
                <c:pt idx="126">
                  <c:v>3.196635120925384E-3</c:v>
                </c:pt>
                <c:pt idx="127">
                  <c:v>-2.1405187610172849E-3</c:v>
                </c:pt>
                <c:pt idx="128">
                  <c:v>-4.5540004177981874E-3</c:v>
                </c:pt>
                <c:pt idx="129">
                  <c:v>-2.9160591543428982E-3</c:v>
                </c:pt>
                <c:pt idx="130">
                  <c:v>-1.4143683181495614E-3</c:v>
                </c:pt>
                <c:pt idx="131">
                  <c:v>2.7530972343887683E-3</c:v>
                </c:pt>
                <c:pt idx="132">
                  <c:v>-7.0669871297875608E-2</c:v>
                </c:pt>
                <c:pt idx="133">
                  <c:v>4.7553299492385737E-2</c:v>
                </c:pt>
                <c:pt idx="134">
                  <c:v>-8.6553945249597808E-3</c:v>
                </c:pt>
                <c:pt idx="135">
                  <c:v>3.8027580442958619E-2</c:v>
                </c:pt>
                <c:pt idx="136">
                  <c:v>-3.912753912753919E-3</c:v>
                </c:pt>
                <c:pt idx="137">
                  <c:v>1.7513134851139256E-3</c:v>
                </c:pt>
                <c:pt idx="138">
                  <c:v>-1.2110726643598579E-2</c:v>
                </c:pt>
                <c:pt idx="139">
                  <c:v>6.0505594695399179E-3</c:v>
                </c:pt>
                <c:pt idx="140">
                  <c:v>2.0037199864727739E-2</c:v>
                </c:pt>
                <c:pt idx="141">
                  <c:v>-2.0941975002069402E-2</c:v>
                </c:pt>
                <c:pt idx="142">
                  <c:v>-6.4213787761425167E-2</c:v>
                </c:pt>
                <c:pt idx="143">
                  <c:v>2.3587710604558998E-2</c:v>
                </c:pt>
                <c:pt idx="144">
                  <c:v>-8.3181494098083508E-4</c:v>
                </c:pt>
                <c:pt idx="145">
                  <c:v>2.1691622824767443E-2</c:v>
                </c:pt>
                <c:pt idx="146">
                  <c:v>-7.9770594369134473E-2</c:v>
                </c:pt>
                <c:pt idx="147">
                  <c:v>9.663470577176092E-3</c:v>
                </c:pt>
                <c:pt idx="148">
                  <c:v>1.6745039568757836E-2</c:v>
                </c:pt>
                <c:pt idx="149">
                  <c:v>-2.2862266054017755E-2</c:v>
                </c:pt>
                <c:pt idx="150">
                  <c:v>1.8839917789449601E-2</c:v>
                </c:pt>
                <c:pt idx="151">
                  <c:v>9.1411891227530795E-3</c:v>
                </c:pt>
                <c:pt idx="152">
                  <c:v>-5.6427354763889381E-2</c:v>
                </c:pt>
                <c:pt idx="153">
                  <c:v>9.5492463046977782E-3</c:v>
                </c:pt>
                <c:pt idx="154">
                  <c:v>3.8805062521378719E-2</c:v>
                </c:pt>
                <c:pt idx="155">
                  <c:v>-1.7989773448288671E-2</c:v>
                </c:pt>
                <c:pt idx="156">
                  <c:v>-1.8894869823135152E-2</c:v>
                </c:pt>
                <c:pt idx="157">
                  <c:v>9.2097896504838683E-2</c:v>
                </c:pt>
                <c:pt idx="158">
                  <c:v>-1.7291519295763558E-2</c:v>
                </c:pt>
                <c:pt idx="159">
                  <c:v>1.6579441492549307E-2</c:v>
                </c:pt>
                <c:pt idx="160">
                  <c:v>-5.0085463290534538E-3</c:v>
                </c:pt>
                <c:pt idx="161">
                  <c:v>-8.3406148224640653E-4</c:v>
                </c:pt>
                <c:pt idx="162">
                  <c:v>-6.157732691244977E-3</c:v>
                </c:pt>
                <c:pt idx="163">
                  <c:v>-5.7299843014129159E-3</c:v>
                </c:pt>
                <c:pt idx="164">
                  <c:v>1.5584519111961459E-2</c:v>
                </c:pt>
                <c:pt idx="165">
                  <c:v>2.7978736160516604E-3</c:v>
                </c:pt>
                <c:pt idx="166">
                  <c:v>-1.4689666036546867E-2</c:v>
                </c:pt>
                <c:pt idx="167">
                  <c:v>1.7266936420816448E-2</c:v>
                </c:pt>
                <c:pt idx="168">
                  <c:v>4.0223643457624192E-3</c:v>
                </c:pt>
                <c:pt idx="169">
                  <c:v>-0.12387228643924431</c:v>
                </c:pt>
                <c:pt idx="170">
                  <c:v>-1.6974987875008729E-2</c:v>
                </c:pt>
                <c:pt idx="171">
                  <c:v>1.3090934615519689E-2</c:v>
                </c:pt>
                <c:pt idx="172">
                  <c:v>9.3520847355554881E-3</c:v>
                </c:pt>
                <c:pt idx="173">
                  <c:v>3.9972001178897765E-2</c:v>
                </c:pt>
                <c:pt idx="174">
                  <c:v>-1.0101746836366221E-2</c:v>
                </c:pt>
                <c:pt idx="175">
                  <c:v>-7.323915100716516E-2</c:v>
                </c:pt>
                <c:pt idx="176">
                  <c:v>-3.656670248445193E-2</c:v>
                </c:pt>
                <c:pt idx="177">
                  <c:v>6.2911628821391563E-3</c:v>
                </c:pt>
                <c:pt idx="178">
                  <c:v>2.104382736701238E-2</c:v>
                </c:pt>
                <c:pt idx="179">
                  <c:v>-2.8630853725910788E-2</c:v>
                </c:pt>
                <c:pt idx="180">
                  <c:v>-5.697211155378501E-2</c:v>
                </c:pt>
                <c:pt idx="181">
                  <c:v>2.8688524590164022E-2</c:v>
                </c:pt>
                <c:pt idx="182">
                  <c:v>1.29423277249896E-3</c:v>
                </c:pt>
                <c:pt idx="183">
                  <c:v>-2.6280199176246244E-2</c:v>
                </c:pt>
                <c:pt idx="184">
                  <c:v>1.767337107823197E-2</c:v>
                </c:pt>
                <c:pt idx="185">
                  <c:v>3.0992002063983559E-2</c:v>
                </c:pt>
                <c:pt idx="186">
                  <c:v>6.1699650756693813E-2</c:v>
                </c:pt>
                <c:pt idx="187">
                  <c:v>4.1100773535807322E-2</c:v>
                </c:pt>
                <c:pt idx="188">
                  <c:v>6.5519598906107479E-2</c:v>
                </c:pt>
                <c:pt idx="189">
                  <c:v>2.0860798759208876E-2</c:v>
                </c:pt>
                <c:pt idx="190">
                  <c:v>9.7586925990551965E-2</c:v>
                </c:pt>
                <c:pt idx="191">
                  <c:v>1.9746549778665079E-2</c:v>
                </c:pt>
                <c:pt idx="192">
                  <c:v>1.3726352837659439E-2</c:v>
                </c:pt>
                <c:pt idx="193">
                  <c:v>2.120585856770596E-2</c:v>
                </c:pt>
                <c:pt idx="194">
                  <c:v>-2.6717390353753978E-2</c:v>
                </c:pt>
                <c:pt idx="195">
                  <c:v>9.758036029671624E-3</c:v>
                </c:pt>
                <c:pt idx="196">
                  <c:v>2.3499638467100459E-2</c:v>
                </c:pt>
                <c:pt idx="197">
                  <c:v>-3.6320877972302101E-2</c:v>
                </c:pt>
                <c:pt idx="198">
                  <c:v>2.894784011471585E-2</c:v>
                </c:pt>
                <c:pt idx="199">
                  <c:v>7.1306074555463894E-3</c:v>
                </c:pt>
                <c:pt idx="200">
                  <c:v>2.1718079955733938E-2</c:v>
                </c:pt>
                <c:pt idx="201">
                  <c:v>8.6507604297474394E-3</c:v>
                </c:pt>
                <c:pt idx="202">
                  <c:v>6.6953834628709075E-3</c:v>
                </c:pt>
                <c:pt idx="203">
                  <c:v>-1.1224394350387579E-3</c:v>
                </c:pt>
                <c:pt idx="204">
                  <c:v>-7.7958236658932645E-3</c:v>
                </c:pt>
                <c:pt idx="205">
                  <c:v>-6.7751302023321136E-3</c:v>
                </c:pt>
                <c:pt idx="206">
                  <c:v>1.6872100107794052E-2</c:v>
                </c:pt>
                <c:pt idx="207">
                  <c:v>-1.9033607650222883E-2</c:v>
                </c:pt>
                <c:pt idx="208">
                  <c:v>1.8400599307051069E-2</c:v>
                </c:pt>
                <c:pt idx="209">
                  <c:v>-1.5427048758822615E-3</c:v>
                </c:pt>
                <c:pt idx="210">
                  <c:v>-1.1597819055540137E-2</c:v>
                </c:pt>
                <c:pt idx="211">
                  <c:v>8.5278903956380603E-3</c:v>
                </c:pt>
                <c:pt idx="212">
                  <c:v>4.0707467714766743E-3</c:v>
                </c:pt>
                <c:pt idx="213">
                  <c:v>3.6158722704859869E-3</c:v>
                </c:pt>
                <c:pt idx="214">
                  <c:v>-1.0409405641526148E-2</c:v>
                </c:pt>
                <c:pt idx="215">
                  <c:v>-3.0576789437108953E-3</c:v>
                </c:pt>
                <c:pt idx="216">
                  <c:v>-1.0044028618602097E-2</c:v>
                </c:pt>
                <c:pt idx="217">
                  <c:v>6.462333825701716E-3</c:v>
                </c:pt>
                <c:pt idx="218">
                  <c:v>-1.3845940831680448E-4</c:v>
                </c:pt>
                <c:pt idx="219">
                  <c:v>-6.4572667312401411E-4</c:v>
                </c:pt>
                <c:pt idx="220">
                  <c:v>8.3248069946981751E-3</c:v>
                </c:pt>
                <c:pt idx="221">
                  <c:v>-1.4438282073612196E-2</c:v>
                </c:pt>
                <c:pt idx="222">
                  <c:v>1.2061047455582896E-2</c:v>
                </c:pt>
                <c:pt idx="223">
                  <c:v>-7.6873503958756473E-3</c:v>
                </c:pt>
                <c:pt idx="224">
                  <c:v>-1.3755845099196473E-2</c:v>
                </c:pt>
                <c:pt idx="225">
                  <c:v>-7.4798359843193385E-3</c:v>
                </c:pt>
                <c:pt idx="226">
                  <c:v>2.3237585873023381E-2</c:v>
                </c:pt>
                <c:pt idx="227">
                  <c:v>-3.5572946773978376E-2</c:v>
                </c:pt>
                <c:pt idx="228">
                  <c:v>-6.4062914199877197E-3</c:v>
                </c:pt>
                <c:pt idx="229">
                  <c:v>-2.5320816467143237E-2</c:v>
                </c:pt>
                <c:pt idx="230">
                  <c:v>-2.6983993966311903E-2</c:v>
                </c:pt>
                <c:pt idx="231">
                  <c:v>7.2147349505840008E-2</c:v>
                </c:pt>
                <c:pt idx="232">
                  <c:v>1.0853276417964519E-2</c:v>
                </c:pt>
                <c:pt idx="233">
                  <c:v>-7.4371225096908633E-3</c:v>
                </c:pt>
                <c:pt idx="234">
                  <c:v>4.9082655570266809E-2</c:v>
                </c:pt>
                <c:pt idx="235">
                  <c:v>1.8003273322422242E-2</c:v>
                </c:pt>
                <c:pt idx="236">
                  <c:v>-1.9261637239165297E-2</c:v>
                </c:pt>
                <c:pt idx="237">
                  <c:v>1.5484922575387028E-2</c:v>
                </c:pt>
                <c:pt idx="238">
                  <c:v>2.3546371936569166E-3</c:v>
                </c:pt>
                <c:pt idx="239">
                  <c:v>-3.888786255311294E-2</c:v>
                </c:pt>
                <c:pt idx="240">
                  <c:v>-3.031931568811852E-2</c:v>
                </c:pt>
                <c:pt idx="241">
                  <c:v>-8.1730555678941608E-3</c:v>
                </c:pt>
                <c:pt idx="242">
                  <c:v>-4.5102807870882611E-3</c:v>
                </c:pt>
                <c:pt idx="243">
                  <c:v>-9.3306465743823175E-3</c:v>
                </c:pt>
                <c:pt idx="244">
                  <c:v>-6.181976491075214E-3</c:v>
                </c:pt>
                <c:pt idx="245">
                  <c:v>-2.858834475175509E-2</c:v>
                </c:pt>
                <c:pt idx="246">
                  <c:v>2.9250457038391131E-2</c:v>
                </c:pt>
                <c:pt idx="247">
                  <c:v>-1.6946943032198902E-3</c:v>
                </c:pt>
                <c:pt idx="248">
                  <c:v>-2.0223092643051777E-2</c:v>
                </c:pt>
                <c:pt idx="249">
                  <c:v>-5.3552000644719322E-2</c:v>
                </c:pt>
                <c:pt idx="250">
                  <c:v>-2.8198517563660097E-4</c:v>
                </c:pt>
                <c:pt idx="251">
                  <c:v>-1.4333928925947981E-2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5-4377-8128-307132A2EE3A}"/>
            </c:ext>
          </c:extLst>
        </c:ser>
        <c:ser>
          <c:idx val="1"/>
          <c:order val="1"/>
          <c:tx>
            <c:v>-volatilidad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Dinámica!$A$8:$A$259</c:f>
              <c:numCache>
                <c:formatCode>m/d/yyyy</c:formatCode>
                <c:ptCount val="252"/>
                <c:pt idx="0">
                  <c:v>45657</c:v>
                </c:pt>
                <c:pt idx="1">
                  <c:v>45656</c:v>
                </c:pt>
                <c:pt idx="2">
                  <c:v>45653</c:v>
                </c:pt>
                <c:pt idx="3">
                  <c:v>45652</c:v>
                </c:pt>
                <c:pt idx="4">
                  <c:v>45650</c:v>
                </c:pt>
                <c:pt idx="5">
                  <c:v>45649</c:v>
                </c:pt>
                <c:pt idx="6">
                  <c:v>45646</c:v>
                </c:pt>
                <c:pt idx="7">
                  <c:v>45645</c:v>
                </c:pt>
                <c:pt idx="8">
                  <c:v>45644</c:v>
                </c:pt>
                <c:pt idx="9">
                  <c:v>45643</c:v>
                </c:pt>
                <c:pt idx="10">
                  <c:v>45642</c:v>
                </c:pt>
                <c:pt idx="11">
                  <c:v>45639</c:v>
                </c:pt>
                <c:pt idx="12">
                  <c:v>45637</c:v>
                </c:pt>
                <c:pt idx="13">
                  <c:v>45636</c:v>
                </c:pt>
                <c:pt idx="14">
                  <c:v>45635</c:v>
                </c:pt>
                <c:pt idx="15">
                  <c:v>45632</c:v>
                </c:pt>
                <c:pt idx="16">
                  <c:v>45631</c:v>
                </c:pt>
                <c:pt idx="17">
                  <c:v>45630</c:v>
                </c:pt>
                <c:pt idx="18">
                  <c:v>45629</c:v>
                </c:pt>
                <c:pt idx="19">
                  <c:v>45628</c:v>
                </c:pt>
                <c:pt idx="20">
                  <c:v>45625</c:v>
                </c:pt>
                <c:pt idx="21">
                  <c:v>45624</c:v>
                </c:pt>
                <c:pt idx="22">
                  <c:v>45623</c:v>
                </c:pt>
                <c:pt idx="23">
                  <c:v>45622</c:v>
                </c:pt>
                <c:pt idx="24">
                  <c:v>45621</c:v>
                </c:pt>
                <c:pt idx="25">
                  <c:v>45618</c:v>
                </c:pt>
                <c:pt idx="26">
                  <c:v>45617</c:v>
                </c:pt>
                <c:pt idx="27">
                  <c:v>45616</c:v>
                </c:pt>
                <c:pt idx="28">
                  <c:v>45615</c:v>
                </c:pt>
                <c:pt idx="29">
                  <c:v>45611</c:v>
                </c:pt>
                <c:pt idx="30">
                  <c:v>45610</c:v>
                </c:pt>
                <c:pt idx="31">
                  <c:v>45609</c:v>
                </c:pt>
                <c:pt idx="32">
                  <c:v>45608</c:v>
                </c:pt>
                <c:pt idx="33">
                  <c:v>45607</c:v>
                </c:pt>
                <c:pt idx="34">
                  <c:v>45604</c:v>
                </c:pt>
                <c:pt idx="35">
                  <c:v>45603</c:v>
                </c:pt>
                <c:pt idx="36">
                  <c:v>45602</c:v>
                </c:pt>
                <c:pt idx="37">
                  <c:v>45601</c:v>
                </c:pt>
                <c:pt idx="38">
                  <c:v>45600</c:v>
                </c:pt>
                <c:pt idx="39">
                  <c:v>45597</c:v>
                </c:pt>
                <c:pt idx="40">
                  <c:v>45596</c:v>
                </c:pt>
                <c:pt idx="41">
                  <c:v>45595</c:v>
                </c:pt>
                <c:pt idx="42">
                  <c:v>45594</c:v>
                </c:pt>
                <c:pt idx="43">
                  <c:v>45593</c:v>
                </c:pt>
                <c:pt idx="44">
                  <c:v>45590</c:v>
                </c:pt>
                <c:pt idx="45">
                  <c:v>45589</c:v>
                </c:pt>
                <c:pt idx="46">
                  <c:v>45588</c:v>
                </c:pt>
                <c:pt idx="47">
                  <c:v>45587</c:v>
                </c:pt>
                <c:pt idx="48">
                  <c:v>45586</c:v>
                </c:pt>
                <c:pt idx="49">
                  <c:v>45583</c:v>
                </c:pt>
                <c:pt idx="50">
                  <c:v>45582</c:v>
                </c:pt>
                <c:pt idx="51">
                  <c:v>45581</c:v>
                </c:pt>
                <c:pt idx="52">
                  <c:v>45580</c:v>
                </c:pt>
                <c:pt idx="53">
                  <c:v>45579</c:v>
                </c:pt>
                <c:pt idx="54">
                  <c:v>45576</c:v>
                </c:pt>
                <c:pt idx="55">
                  <c:v>45575</c:v>
                </c:pt>
                <c:pt idx="56">
                  <c:v>45574</c:v>
                </c:pt>
                <c:pt idx="57">
                  <c:v>45573</c:v>
                </c:pt>
                <c:pt idx="58">
                  <c:v>45572</c:v>
                </c:pt>
                <c:pt idx="59">
                  <c:v>45569</c:v>
                </c:pt>
                <c:pt idx="60">
                  <c:v>45568</c:v>
                </c:pt>
                <c:pt idx="61">
                  <c:v>45567</c:v>
                </c:pt>
                <c:pt idx="62">
                  <c:v>45565</c:v>
                </c:pt>
                <c:pt idx="63">
                  <c:v>45562</c:v>
                </c:pt>
                <c:pt idx="64">
                  <c:v>45561</c:v>
                </c:pt>
                <c:pt idx="65">
                  <c:v>45560</c:v>
                </c:pt>
                <c:pt idx="66">
                  <c:v>45559</c:v>
                </c:pt>
                <c:pt idx="67">
                  <c:v>45558</c:v>
                </c:pt>
                <c:pt idx="68">
                  <c:v>45555</c:v>
                </c:pt>
                <c:pt idx="69">
                  <c:v>45554</c:v>
                </c:pt>
                <c:pt idx="70">
                  <c:v>45553</c:v>
                </c:pt>
                <c:pt idx="71">
                  <c:v>45552</c:v>
                </c:pt>
                <c:pt idx="72">
                  <c:v>45548</c:v>
                </c:pt>
                <c:pt idx="73">
                  <c:v>45547</c:v>
                </c:pt>
                <c:pt idx="74">
                  <c:v>45546</c:v>
                </c:pt>
                <c:pt idx="75">
                  <c:v>45545</c:v>
                </c:pt>
                <c:pt idx="76">
                  <c:v>45544</c:v>
                </c:pt>
                <c:pt idx="77">
                  <c:v>45541</c:v>
                </c:pt>
                <c:pt idx="78">
                  <c:v>45540</c:v>
                </c:pt>
                <c:pt idx="79">
                  <c:v>45539</c:v>
                </c:pt>
                <c:pt idx="80">
                  <c:v>45538</c:v>
                </c:pt>
                <c:pt idx="81">
                  <c:v>45537</c:v>
                </c:pt>
                <c:pt idx="82">
                  <c:v>45534</c:v>
                </c:pt>
                <c:pt idx="83">
                  <c:v>45533</c:v>
                </c:pt>
                <c:pt idx="84">
                  <c:v>45532</c:v>
                </c:pt>
                <c:pt idx="85">
                  <c:v>45531</c:v>
                </c:pt>
                <c:pt idx="86">
                  <c:v>45530</c:v>
                </c:pt>
                <c:pt idx="87">
                  <c:v>45527</c:v>
                </c:pt>
                <c:pt idx="88">
                  <c:v>45526</c:v>
                </c:pt>
                <c:pt idx="89">
                  <c:v>45525</c:v>
                </c:pt>
                <c:pt idx="90">
                  <c:v>45524</c:v>
                </c:pt>
                <c:pt idx="91">
                  <c:v>45523</c:v>
                </c:pt>
                <c:pt idx="92">
                  <c:v>45520</c:v>
                </c:pt>
                <c:pt idx="93">
                  <c:v>45519</c:v>
                </c:pt>
                <c:pt idx="94">
                  <c:v>45518</c:v>
                </c:pt>
                <c:pt idx="95">
                  <c:v>45517</c:v>
                </c:pt>
                <c:pt idx="96">
                  <c:v>45516</c:v>
                </c:pt>
                <c:pt idx="97">
                  <c:v>45513</c:v>
                </c:pt>
                <c:pt idx="98">
                  <c:v>45512</c:v>
                </c:pt>
                <c:pt idx="99">
                  <c:v>45511</c:v>
                </c:pt>
                <c:pt idx="100">
                  <c:v>45510</c:v>
                </c:pt>
                <c:pt idx="101">
                  <c:v>45509</c:v>
                </c:pt>
                <c:pt idx="102">
                  <c:v>45506</c:v>
                </c:pt>
                <c:pt idx="103">
                  <c:v>45505</c:v>
                </c:pt>
                <c:pt idx="104">
                  <c:v>45504</c:v>
                </c:pt>
                <c:pt idx="105">
                  <c:v>45503</c:v>
                </c:pt>
                <c:pt idx="106">
                  <c:v>45502</c:v>
                </c:pt>
                <c:pt idx="107">
                  <c:v>45499</c:v>
                </c:pt>
                <c:pt idx="108">
                  <c:v>45498</c:v>
                </c:pt>
                <c:pt idx="109">
                  <c:v>45497</c:v>
                </c:pt>
                <c:pt idx="110">
                  <c:v>45496</c:v>
                </c:pt>
                <c:pt idx="111">
                  <c:v>45495</c:v>
                </c:pt>
                <c:pt idx="112">
                  <c:v>45492</c:v>
                </c:pt>
                <c:pt idx="113">
                  <c:v>45491</c:v>
                </c:pt>
                <c:pt idx="114">
                  <c:v>45490</c:v>
                </c:pt>
                <c:pt idx="115">
                  <c:v>45489</c:v>
                </c:pt>
                <c:pt idx="116">
                  <c:v>45488</c:v>
                </c:pt>
                <c:pt idx="117">
                  <c:v>45485</c:v>
                </c:pt>
                <c:pt idx="118">
                  <c:v>45484</c:v>
                </c:pt>
                <c:pt idx="119">
                  <c:v>45483</c:v>
                </c:pt>
                <c:pt idx="120">
                  <c:v>45482</c:v>
                </c:pt>
                <c:pt idx="121">
                  <c:v>45481</c:v>
                </c:pt>
                <c:pt idx="122">
                  <c:v>45478</c:v>
                </c:pt>
                <c:pt idx="123">
                  <c:v>45477</c:v>
                </c:pt>
                <c:pt idx="124">
                  <c:v>45476</c:v>
                </c:pt>
                <c:pt idx="125">
                  <c:v>45475</c:v>
                </c:pt>
                <c:pt idx="126">
                  <c:v>45474</c:v>
                </c:pt>
                <c:pt idx="127">
                  <c:v>45471</c:v>
                </c:pt>
                <c:pt idx="128">
                  <c:v>45470</c:v>
                </c:pt>
                <c:pt idx="129">
                  <c:v>45469</c:v>
                </c:pt>
                <c:pt idx="130">
                  <c:v>45468</c:v>
                </c:pt>
                <c:pt idx="131">
                  <c:v>45467</c:v>
                </c:pt>
                <c:pt idx="132">
                  <c:v>45464</c:v>
                </c:pt>
                <c:pt idx="133">
                  <c:v>45463</c:v>
                </c:pt>
                <c:pt idx="134">
                  <c:v>45462</c:v>
                </c:pt>
                <c:pt idx="135">
                  <c:v>45461</c:v>
                </c:pt>
                <c:pt idx="136">
                  <c:v>45460</c:v>
                </c:pt>
                <c:pt idx="137">
                  <c:v>45457</c:v>
                </c:pt>
                <c:pt idx="138">
                  <c:v>45456</c:v>
                </c:pt>
                <c:pt idx="139">
                  <c:v>45455</c:v>
                </c:pt>
                <c:pt idx="140">
                  <c:v>45454</c:v>
                </c:pt>
                <c:pt idx="141">
                  <c:v>45453</c:v>
                </c:pt>
                <c:pt idx="142">
                  <c:v>45450</c:v>
                </c:pt>
                <c:pt idx="143">
                  <c:v>45449</c:v>
                </c:pt>
                <c:pt idx="144">
                  <c:v>45448</c:v>
                </c:pt>
                <c:pt idx="145">
                  <c:v>45447</c:v>
                </c:pt>
                <c:pt idx="146">
                  <c:v>45446</c:v>
                </c:pt>
                <c:pt idx="147">
                  <c:v>45443</c:v>
                </c:pt>
                <c:pt idx="148">
                  <c:v>45442</c:v>
                </c:pt>
                <c:pt idx="149">
                  <c:v>45441</c:v>
                </c:pt>
                <c:pt idx="150">
                  <c:v>45440</c:v>
                </c:pt>
                <c:pt idx="151">
                  <c:v>45439</c:v>
                </c:pt>
                <c:pt idx="152">
                  <c:v>45436</c:v>
                </c:pt>
                <c:pt idx="153">
                  <c:v>45435</c:v>
                </c:pt>
                <c:pt idx="154">
                  <c:v>45434</c:v>
                </c:pt>
                <c:pt idx="155">
                  <c:v>45433</c:v>
                </c:pt>
                <c:pt idx="156">
                  <c:v>45432</c:v>
                </c:pt>
                <c:pt idx="157">
                  <c:v>45429</c:v>
                </c:pt>
                <c:pt idx="158">
                  <c:v>45428</c:v>
                </c:pt>
                <c:pt idx="159">
                  <c:v>45427</c:v>
                </c:pt>
                <c:pt idx="160">
                  <c:v>45426</c:v>
                </c:pt>
                <c:pt idx="161">
                  <c:v>45425</c:v>
                </c:pt>
                <c:pt idx="162">
                  <c:v>45422</c:v>
                </c:pt>
                <c:pt idx="163">
                  <c:v>45421</c:v>
                </c:pt>
                <c:pt idx="164">
                  <c:v>45420</c:v>
                </c:pt>
                <c:pt idx="165">
                  <c:v>45419</c:v>
                </c:pt>
                <c:pt idx="166">
                  <c:v>45418</c:v>
                </c:pt>
                <c:pt idx="167">
                  <c:v>45415</c:v>
                </c:pt>
                <c:pt idx="168">
                  <c:v>45414</c:v>
                </c:pt>
                <c:pt idx="169">
                  <c:v>45412</c:v>
                </c:pt>
                <c:pt idx="170">
                  <c:v>45411</c:v>
                </c:pt>
                <c:pt idx="171">
                  <c:v>45408</c:v>
                </c:pt>
                <c:pt idx="172">
                  <c:v>45407</c:v>
                </c:pt>
                <c:pt idx="173">
                  <c:v>45406</c:v>
                </c:pt>
                <c:pt idx="174">
                  <c:v>45405</c:v>
                </c:pt>
                <c:pt idx="175">
                  <c:v>45404</c:v>
                </c:pt>
                <c:pt idx="176">
                  <c:v>45401</c:v>
                </c:pt>
                <c:pt idx="177">
                  <c:v>45400</c:v>
                </c:pt>
                <c:pt idx="178">
                  <c:v>45399</c:v>
                </c:pt>
                <c:pt idx="179">
                  <c:v>45398</c:v>
                </c:pt>
                <c:pt idx="180">
                  <c:v>45397</c:v>
                </c:pt>
                <c:pt idx="181">
                  <c:v>45394</c:v>
                </c:pt>
                <c:pt idx="182">
                  <c:v>45393</c:v>
                </c:pt>
                <c:pt idx="183">
                  <c:v>45392</c:v>
                </c:pt>
                <c:pt idx="184">
                  <c:v>45391</c:v>
                </c:pt>
                <c:pt idx="185">
                  <c:v>45390</c:v>
                </c:pt>
                <c:pt idx="186">
                  <c:v>45387</c:v>
                </c:pt>
                <c:pt idx="187">
                  <c:v>45386</c:v>
                </c:pt>
                <c:pt idx="188">
                  <c:v>45385</c:v>
                </c:pt>
                <c:pt idx="189">
                  <c:v>45384</c:v>
                </c:pt>
                <c:pt idx="190">
                  <c:v>45383</c:v>
                </c:pt>
                <c:pt idx="191">
                  <c:v>45378</c:v>
                </c:pt>
                <c:pt idx="192">
                  <c:v>45377</c:v>
                </c:pt>
                <c:pt idx="193">
                  <c:v>45376</c:v>
                </c:pt>
                <c:pt idx="194">
                  <c:v>45373</c:v>
                </c:pt>
                <c:pt idx="195">
                  <c:v>45372</c:v>
                </c:pt>
                <c:pt idx="196">
                  <c:v>45371</c:v>
                </c:pt>
                <c:pt idx="197">
                  <c:v>45370</c:v>
                </c:pt>
                <c:pt idx="198">
                  <c:v>45366</c:v>
                </c:pt>
                <c:pt idx="199">
                  <c:v>45365</c:v>
                </c:pt>
                <c:pt idx="200">
                  <c:v>45364</c:v>
                </c:pt>
                <c:pt idx="201">
                  <c:v>45363</c:v>
                </c:pt>
                <c:pt idx="202">
                  <c:v>45362</c:v>
                </c:pt>
                <c:pt idx="203">
                  <c:v>45359</c:v>
                </c:pt>
                <c:pt idx="204">
                  <c:v>45358</c:v>
                </c:pt>
                <c:pt idx="205">
                  <c:v>45357</c:v>
                </c:pt>
                <c:pt idx="206">
                  <c:v>45356</c:v>
                </c:pt>
                <c:pt idx="207">
                  <c:v>45355</c:v>
                </c:pt>
                <c:pt idx="208">
                  <c:v>45352</c:v>
                </c:pt>
                <c:pt idx="209">
                  <c:v>45351</c:v>
                </c:pt>
                <c:pt idx="210">
                  <c:v>45350</c:v>
                </c:pt>
                <c:pt idx="211">
                  <c:v>45349</c:v>
                </c:pt>
                <c:pt idx="212">
                  <c:v>45348</c:v>
                </c:pt>
                <c:pt idx="213">
                  <c:v>45345</c:v>
                </c:pt>
                <c:pt idx="214">
                  <c:v>45344</c:v>
                </c:pt>
                <c:pt idx="215">
                  <c:v>45343</c:v>
                </c:pt>
                <c:pt idx="216">
                  <c:v>45342</c:v>
                </c:pt>
                <c:pt idx="217">
                  <c:v>45341</c:v>
                </c:pt>
                <c:pt idx="218">
                  <c:v>45338</c:v>
                </c:pt>
                <c:pt idx="219">
                  <c:v>45337</c:v>
                </c:pt>
                <c:pt idx="220">
                  <c:v>45336</c:v>
                </c:pt>
                <c:pt idx="221">
                  <c:v>45335</c:v>
                </c:pt>
                <c:pt idx="222">
                  <c:v>45334</c:v>
                </c:pt>
                <c:pt idx="223">
                  <c:v>45331</c:v>
                </c:pt>
                <c:pt idx="224">
                  <c:v>45330</c:v>
                </c:pt>
                <c:pt idx="225">
                  <c:v>45329</c:v>
                </c:pt>
                <c:pt idx="226">
                  <c:v>45328</c:v>
                </c:pt>
                <c:pt idx="227">
                  <c:v>45324</c:v>
                </c:pt>
                <c:pt idx="228">
                  <c:v>45323</c:v>
                </c:pt>
                <c:pt idx="229">
                  <c:v>45322</c:v>
                </c:pt>
                <c:pt idx="230">
                  <c:v>45321</c:v>
                </c:pt>
                <c:pt idx="231">
                  <c:v>45320</c:v>
                </c:pt>
                <c:pt idx="232">
                  <c:v>45317</c:v>
                </c:pt>
                <c:pt idx="233">
                  <c:v>45316</c:v>
                </c:pt>
                <c:pt idx="234">
                  <c:v>45315</c:v>
                </c:pt>
                <c:pt idx="235">
                  <c:v>45314</c:v>
                </c:pt>
                <c:pt idx="236">
                  <c:v>45313</c:v>
                </c:pt>
                <c:pt idx="237">
                  <c:v>45310</c:v>
                </c:pt>
                <c:pt idx="238">
                  <c:v>45309</c:v>
                </c:pt>
                <c:pt idx="239">
                  <c:v>45308</c:v>
                </c:pt>
                <c:pt idx="240">
                  <c:v>45307</c:v>
                </c:pt>
                <c:pt idx="241">
                  <c:v>45306</c:v>
                </c:pt>
                <c:pt idx="242">
                  <c:v>45303</c:v>
                </c:pt>
                <c:pt idx="243">
                  <c:v>45302</c:v>
                </c:pt>
                <c:pt idx="244">
                  <c:v>45301</c:v>
                </c:pt>
                <c:pt idx="245">
                  <c:v>45300</c:v>
                </c:pt>
                <c:pt idx="246">
                  <c:v>45299</c:v>
                </c:pt>
                <c:pt idx="247">
                  <c:v>45296</c:v>
                </c:pt>
                <c:pt idx="248">
                  <c:v>45295</c:v>
                </c:pt>
                <c:pt idx="249">
                  <c:v>45294</c:v>
                </c:pt>
                <c:pt idx="250">
                  <c:v>45293</c:v>
                </c:pt>
                <c:pt idx="251">
                  <c:v>45289</c:v>
                </c:pt>
              </c:numCache>
            </c:numRef>
          </c:cat>
          <c:val>
            <c:numRef>
              <c:f>Dinámica!$M$8:$M$259</c:f>
              <c:numCache>
                <c:formatCode>0.00%</c:formatCode>
                <c:ptCount val="252"/>
                <c:pt idx="0">
                  <c:v>-6.4207114796500625E-2</c:v>
                </c:pt>
                <c:pt idx="1">
                  <c:v>-5.8644871470767974E-2</c:v>
                </c:pt>
                <c:pt idx="2">
                  <c:v>-6.1989236956268914E-2</c:v>
                </c:pt>
                <c:pt idx="3">
                  <c:v>-6.5257880512576236E-2</c:v>
                </c:pt>
                <c:pt idx="4">
                  <c:v>-6.8866293416101898E-2</c:v>
                </c:pt>
                <c:pt idx="5">
                  <c:v>-7.1989339010221975E-2</c:v>
                </c:pt>
                <c:pt idx="6">
                  <c:v>-7.5006348465115613E-2</c:v>
                </c:pt>
                <c:pt idx="7">
                  <c:v>-6.8114230730529482E-2</c:v>
                </c:pt>
                <c:pt idx="8">
                  <c:v>-6.9529195040002573E-2</c:v>
                </c:pt>
                <c:pt idx="9">
                  <c:v>-6.9065029025820915E-2</c:v>
                </c:pt>
                <c:pt idx="10">
                  <c:v>-6.3643477321193603E-2</c:v>
                </c:pt>
                <c:pt idx="11">
                  <c:v>-6.665457097142205E-2</c:v>
                </c:pt>
                <c:pt idx="12">
                  <c:v>-7.0282566446324121E-2</c:v>
                </c:pt>
                <c:pt idx="13">
                  <c:v>-7.3984790612513437E-2</c:v>
                </c:pt>
                <c:pt idx="14">
                  <c:v>-5.1969960462150327E-2</c:v>
                </c:pt>
                <c:pt idx="15">
                  <c:v>-5.4553048229746777E-2</c:v>
                </c:pt>
                <c:pt idx="16">
                  <c:v>-5.2687082291751702E-2</c:v>
                </c:pt>
                <c:pt idx="17">
                  <c:v>-5.5562749424892373E-2</c:v>
                </c:pt>
                <c:pt idx="18">
                  <c:v>-5.8651656124317456E-2</c:v>
                </c:pt>
                <c:pt idx="19">
                  <c:v>-6.0453752236543049E-2</c:v>
                </c:pt>
                <c:pt idx="20">
                  <c:v>-6.2424954441480225E-2</c:v>
                </c:pt>
                <c:pt idx="21">
                  <c:v>-6.5030305935187147E-2</c:v>
                </c:pt>
                <c:pt idx="22">
                  <c:v>-6.7296081433477192E-2</c:v>
                </c:pt>
                <c:pt idx="23">
                  <c:v>-5.9230532196513468E-2</c:v>
                </c:pt>
                <c:pt idx="24">
                  <c:v>-5.6857092775238274E-2</c:v>
                </c:pt>
                <c:pt idx="25">
                  <c:v>-5.8998768182172916E-2</c:v>
                </c:pt>
                <c:pt idx="26">
                  <c:v>-6.151250690665621E-2</c:v>
                </c:pt>
                <c:pt idx="27">
                  <c:v>-6.5036207929818915E-2</c:v>
                </c:pt>
                <c:pt idx="28">
                  <c:v>-6.8765107461849093E-2</c:v>
                </c:pt>
                <c:pt idx="29">
                  <c:v>-4.600569364724974E-2</c:v>
                </c:pt>
                <c:pt idx="30">
                  <c:v>-4.6865689215233756E-2</c:v>
                </c:pt>
                <c:pt idx="31">
                  <c:v>-4.8579703555684979E-2</c:v>
                </c:pt>
                <c:pt idx="32">
                  <c:v>-3.4976679547102388E-2</c:v>
                </c:pt>
                <c:pt idx="33">
                  <c:v>-3.6722810859782247E-2</c:v>
                </c:pt>
                <c:pt idx="34">
                  <c:v>-3.7407480431012781E-2</c:v>
                </c:pt>
                <c:pt idx="35">
                  <c:v>-3.9298003800171698E-2</c:v>
                </c:pt>
                <c:pt idx="36">
                  <c:v>-4.1222280069853935E-2</c:v>
                </c:pt>
                <c:pt idx="37">
                  <c:v>-4.1453976089168065E-2</c:v>
                </c:pt>
                <c:pt idx="38">
                  <c:v>-4.3581328705491112E-2</c:v>
                </c:pt>
                <c:pt idx="39">
                  <c:v>-4.607362645375173E-2</c:v>
                </c:pt>
                <c:pt idx="40">
                  <c:v>-4.7753767520361395E-2</c:v>
                </c:pt>
                <c:pt idx="41">
                  <c:v>-5.034112821110099E-2</c:v>
                </c:pt>
                <c:pt idx="42">
                  <c:v>-4.604604504106833E-2</c:v>
                </c:pt>
                <c:pt idx="43">
                  <c:v>-4.6974567781066262E-2</c:v>
                </c:pt>
                <c:pt idx="44">
                  <c:v>-4.8259788085010233E-2</c:v>
                </c:pt>
                <c:pt idx="45">
                  <c:v>-4.9493713502195856E-2</c:v>
                </c:pt>
                <c:pt idx="46">
                  <c:v>-5.2287552950810168E-2</c:v>
                </c:pt>
                <c:pt idx="47">
                  <c:v>-5.5281527078380868E-2</c:v>
                </c:pt>
                <c:pt idx="48">
                  <c:v>-5.652585016025323E-2</c:v>
                </c:pt>
                <c:pt idx="49">
                  <c:v>-5.1804950249557398E-2</c:v>
                </c:pt>
                <c:pt idx="50">
                  <c:v>-5.379702527412953E-2</c:v>
                </c:pt>
                <c:pt idx="51">
                  <c:v>-5.5967487893829375E-2</c:v>
                </c:pt>
                <c:pt idx="52">
                  <c:v>-5.8416270535975777E-2</c:v>
                </c:pt>
                <c:pt idx="53">
                  <c:v>-6.0685228253965919E-2</c:v>
                </c:pt>
                <c:pt idx="54">
                  <c:v>-6.3553992900327233E-2</c:v>
                </c:pt>
                <c:pt idx="55">
                  <c:v>-6.6227634590409895E-2</c:v>
                </c:pt>
                <c:pt idx="56">
                  <c:v>-6.8994168579532639E-2</c:v>
                </c:pt>
                <c:pt idx="57">
                  <c:v>-7.2908047964090852E-2</c:v>
                </c:pt>
                <c:pt idx="58">
                  <c:v>-7.5709038695541894E-2</c:v>
                </c:pt>
                <c:pt idx="59">
                  <c:v>-7.6869335215537571E-2</c:v>
                </c:pt>
                <c:pt idx="60">
                  <c:v>-8.071803254833855E-2</c:v>
                </c:pt>
                <c:pt idx="61">
                  <c:v>-8.5164405486983438E-2</c:v>
                </c:pt>
                <c:pt idx="62">
                  <c:v>-8.6102212291416569E-2</c:v>
                </c:pt>
                <c:pt idx="63">
                  <c:v>-7.7134790172520215E-2</c:v>
                </c:pt>
                <c:pt idx="64">
                  <c:v>-7.621031644839045E-2</c:v>
                </c:pt>
                <c:pt idx="65">
                  <c:v>-6.9052214071279205E-2</c:v>
                </c:pt>
                <c:pt idx="66">
                  <c:v>-4.9367550678784136E-2</c:v>
                </c:pt>
                <c:pt idx="67">
                  <c:v>-5.2189411323860228E-2</c:v>
                </c:pt>
                <c:pt idx="68">
                  <c:v>-4.0890030639338847E-2</c:v>
                </c:pt>
                <c:pt idx="69">
                  <c:v>-4.1587491745584744E-2</c:v>
                </c:pt>
                <c:pt idx="70">
                  <c:v>-4.3925538480933217E-2</c:v>
                </c:pt>
                <c:pt idx="71">
                  <c:v>-3.983915324895812E-2</c:v>
                </c:pt>
                <c:pt idx="72">
                  <c:v>-3.6034602748549818E-2</c:v>
                </c:pt>
                <c:pt idx="73">
                  <c:v>-3.5498207668025979E-2</c:v>
                </c:pt>
                <c:pt idx="74">
                  <c:v>-3.7462363454722494E-2</c:v>
                </c:pt>
                <c:pt idx="75">
                  <c:v>-3.6415513957620146E-2</c:v>
                </c:pt>
                <c:pt idx="76">
                  <c:v>-3.7869264267777092E-2</c:v>
                </c:pt>
                <c:pt idx="77">
                  <c:v>-3.8747031619472579E-2</c:v>
                </c:pt>
                <c:pt idx="78">
                  <c:v>-3.9904513647564421E-2</c:v>
                </c:pt>
                <c:pt idx="79">
                  <c:v>-3.9649377991696766E-2</c:v>
                </c:pt>
                <c:pt idx="80">
                  <c:v>-4.0543174122687674E-2</c:v>
                </c:pt>
                <c:pt idx="81">
                  <c:v>-4.2206982562064892E-2</c:v>
                </c:pt>
                <c:pt idx="82">
                  <c:v>-4.4596575671467346E-2</c:v>
                </c:pt>
                <c:pt idx="83">
                  <c:v>-4.6985690485593423E-2</c:v>
                </c:pt>
                <c:pt idx="84">
                  <c:v>-4.31927909899463E-2</c:v>
                </c:pt>
                <c:pt idx="85">
                  <c:v>-4.3785635257026313E-2</c:v>
                </c:pt>
                <c:pt idx="86">
                  <c:v>-4.6213687530799123E-2</c:v>
                </c:pt>
                <c:pt idx="87">
                  <c:v>-4.8822504392320679E-2</c:v>
                </c:pt>
                <c:pt idx="88">
                  <c:v>-4.6323408421020194E-2</c:v>
                </c:pt>
                <c:pt idx="89">
                  <c:v>-4.5230259141508966E-2</c:v>
                </c:pt>
                <c:pt idx="90">
                  <c:v>-4.7528660713547451E-2</c:v>
                </c:pt>
                <c:pt idx="91">
                  <c:v>-4.9232836728669974E-2</c:v>
                </c:pt>
                <c:pt idx="92">
                  <c:v>-4.9615488497892005E-2</c:v>
                </c:pt>
                <c:pt idx="93">
                  <c:v>-5.1349768318828065E-2</c:v>
                </c:pt>
                <c:pt idx="94">
                  <c:v>-5.4081394839400394E-2</c:v>
                </c:pt>
                <c:pt idx="95">
                  <c:v>-5.1653609338058307E-2</c:v>
                </c:pt>
                <c:pt idx="96">
                  <c:v>-5.4585354900532256E-2</c:v>
                </c:pt>
                <c:pt idx="97">
                  <c:v>-5.7012279366826915E-2</c:v>
                </c:pt>
                <c:pt idx="98">
                  <c:v>-6.0267754957104118E-2</c:v>
                </c:pt>
                <c:pt idx="99">
                  <c:v>-6.0261105099245274E-2</c:v>
                </c:pt>
                <c:pt idx="100">
                  <c:v>-6.3301344914636598E-2</c:v>
                </c:pt>
                <c:pt idx="101">
                  <c:v>-5.8141789203365525E-2</c:v>
                </c:pt>
                <c:pt idx="102">
                  <c:v>-6.0654610151561671E-2</c:v>
                </c:pt>
                <c:pt idx="103">
                  <c:v>-6.1856302670221838E-2</c:v>
                </c:pt>
                <c:pt idx="104">
                  <c:v>-4.3908922697290187E-2</c:v>
                </c:pt>
                <c:pt idx="105">
                  <c:v>-4.6240063773591203E-2</c:v>
                </c:pt>
                <c:pt idx="106">
                  <c:v>-4.7015560510280913E-2</c:v>
                </c:pt>
                <c:pt idx="107">
                  <c:v>-4.8728156518022925E-2</c:v>
                </c:pt>
                <c:pt idx="108">
                  <c:v>-4.9423552878854554E-2</c:v>
                </c:pt>
                <c:pt idx="109">
                  <c:v>-5.1607987894878943E-2</c:v>
                </c:pt>
                <c:pt idx="110">
                  <c:v>-4.8880129556701887E-2</c:v>
                </c:pt>
                <c:pt idx="111">
                  <c:v>-5.1171164724180741E-2</c:v>
                </c:pt>
                <c:pt idx="112">
                  <c:v>-4.925350288257066E-2</c:v>
                </c:pt>
                <c:pt idx="113">
                  <c:v>-4.1125325432238083E-2</c:v>
                </c:pt>
                <c:pt idx="114">
                  <c:v>-4.2523015563225589E-2</c:v>
                </c:pt>
                <c:pt idx="115">
                  <c:v>-4.3968497068888029E-2</c:v>
                </c:pt>
                <c:pt idx="116">
                  <c:v>-4.6397981158195059E-2</c:v>
                </c:pt>
                <c:pt idx="117">
                  <c:v>-4.8710253668597707E-2</c:v>
                </c:pt>
                <c:pt idx="118">
                  <c:v>-5.0821395703359355E-2</c:v>
                </c:pt>
                <c:pt idx="119">
                  <c:v>-4.6146659338054126E-2</c:v>
                </c:pt>
                <c:pt idx="120">
                  <c:v>-4.8217294027042737E-2</c:v>
                </c:pt>
                <c:pt idx="121">
                  <c:v>-5.0552592137859675E-2</c:v>
                </c:pt>
                <c:pt idx="122">
                  <c:v>-5.3130014377897009E-2</c:v>
                </c:pt>
                <c:pt idx="123">
                  <c:v>-5.5643362760175695E-2</c:v>
                </c:pt>
                <c:pt idx="124">
                  <c:v>-5.1951289468007311E-2</c:v>
                </c:pt>
                <c:pt idx="125">
                  <c:v>-5.3601210081486841E-2</c:v>
                </c:pt>
                <c:pt idx="126">
                  <c:v>-5.6632223250495391E-2</c:v>
                </c:pt>
                <c:pt idx="127">
                  <c:v>-5.9861539019236437E-2</c:v>
                </c:pt>
                <c:pt idx="128">
                  <c:v>-6.3216728798645608E-2</c:v>
                </c:pt>
                <c:pt idx="129">
                  <c:v>-6.6811643235035648E-2</c:v>
                </c:pt>
                <c:pt idx="130">
                  <c:v>-7.0636036093225718E-2</c:v>
                </c:pt>
                <c:pt idx="131">
                  <c:v>-7.4662458336262991E-2</c:v>
                </c:pt>
                <c:pt idx="132">
                  <c:v>-6.2252824576003708E-2</c:v>
                </c:pt>
                <c:pt idx="133">
                  <c:v>-5.7144748693512902E-2</c:v>
                </c:pt>
                <c:pt idx="134">
                  <c:v>-6.0128256930189736E-2</c:v>
                </c:pt>
                <c:pt idx="135">
                  <c:v>-5.7961459436149873E-2</c:v>
                </c:pt>
                <c:pt idx="136">
                  <c:v>-6.1226082752090065E-2</c:v>
                </c:pt>
                <c:pt idx="137">
                  <c:v>-6.4725693882427202E-2</c:v>
                </c:pt>
                <c:pt idx="138">
                  <c:v>-6.792962134466568E-2</c:v>
                </c:pt>
                <c:pt idx="139">
                  <c:v>-7.1704441380150669E-2</c:v>
                </c:pt>
                <c:pt idx="140">
                  <c:v>-7.4556160990942213E-2</c:v>
                </c:pt>
                <c:pt idx="141">
                  <c:v>-7.7507576056888156E-2</c:v>
                </c:pt>
                <c:pt idx="142">
                  <c:v>-6.9067763966533247E-2</c:v>
                </c:pt>
                <c:pt idx="143">
                  <c:v>-7.1207952624248741E-2</c:v>
                </c:pt>
                <c:pt idx="144">
                  <c:v>-7.5288949437464406E-2</c:v>
                </c:pt>
                <c:pt idx="145">
                  <c:v>-7.819911375932477E-2</c:v>
                </c:pt>
                <c:pt idx="146">
                  <c:v>-6.1917254385586852E-2</c:v>
                </c:pt>
                <c:pt idx="147">
                  <c:v>-6.5130262403997982E-2</c:v>
                </c:pt>
                <c:pt idx="148">
                  <c:v>-6.7897447384322698E-2</c:v>
                </c:pt>
                <c:pt idx="149">
                  <c:v>-7.0051916437163311E-2</c:v>
                </c:pt>
                <c:pt idx="150">
                  <c:v>-7.2929380579529024E-2</c:v>
                </c:pt>
                <c:pt idx="151">
                  <c:v>-7.6855152086951956E-2</c:v>
                </c:pt>
                <c:pt idx="152">
                  <c:v>-7.1421535279772713E-2</c:v>
                </c:pt>
                <c:pt idx="153">
                  <c:v>-7.5231504047417422E-2</c:v>
                </c:pt>
                <c:pt idx="154">
                  <c:v>-7.4945917941509829E-2</c:v>
                </c:pt>
                <c:pt idx="155">
                  <c:v>-7.827390085626533E-2</c:v>
                </c:pt>
                <c:pt idx="156">
                  <c:v>-8.1738105792392171E-2</c:v>
                </c:pt>
                <c:pt idx="157">
                  <c:v>-5.8879272151931228E-2</c:v>
                </c:pt>
                <c:pt idx="158">
                  <c:v>-6.1111822522157876E-2</c:v>
                </c:pt>
                <c:pt idx="159">
                  <c:v>-6.3604441870813169E-2</c:v>
                </c:pt>
                <c:pt idx="160">
                  <c:v>-6.7163544545312898E-2</c:v>
                </c:pt>
                <c:pt idx="161">
                  <c:v>-7.101248624795875E-2</c:v>
                </c:pt>
                <c:pt idx="162">
                  <c:v>-7.4965197682970303E-2</c:v>
                </c:pt>
                <c:pt idx="163">
                  <c:v>-7.9166016255137917E-2</c:v>
                </c:pt>
                <c:pt idx="164">
                  <c:v>-8.3018084255301397E-2</c:v>
                </c:pt>
                <c:pt idx="165">
                  <c:v>-8.7757415248294598E-2</c:v>
                </c:pt>
                <c:pt idx="166">
                  <c:v>-9.2239224886125751E-2</c:v>
                </c:pt>
                <c:pt idx="167">
                  <c:v>-9.6804384948206937E-2</c:v>
                </c:pt>
                <c:pt idx="168">
                  <c:v>-0.10231798346958015</c:v>
                </c:pt>
                <c:pt idx="169">
                  <c:v>-6.6807639086773868E-2</c:v>
                </c:pt>
                <c:pt idx="170">
                  <c:v>-6.966937694414703E-2</c:v>
                </c:pt>
                <c:pt idx="171">
                  <c:v>-7.311336299834241E-2</c:v>
                </c:pt>
                <c:pt idx="172">
                  <c:v>-7.7038387038406791E-2</c:v>
                </c:pt>
                <c:pt idx="173">
                  <c:v>-7.6688349632118208E-2</c:v>
                </c:pt>
                <c:pt idx="174">
                  <c:v>-8.0788293480171039E-2</c:v>
                </c:pt>
                <c:pt idx="175">
                  <c:v>-6.903292011927438E-2</c:v>
                </c:pt>
                <c:pt idx="176">
                  <c:v>-6.8533005441691719E-2</c:v>
                </c:pt>
                <c:pt idx="177">
                  <c:v>-7.2333800549081839E-2</c:v>
                </c:pt>
                <c:pt idx="178">
                  <c:v>-7.5102951102955159E-2</c:v>
                </c:pt>
                <c:pt idx="179">
                  <c:v>-7.6935345629318377E-2</c:v>
                </c:pt>
                <c:pt idx="180">
                  <c:v>-7.1313904512795137E-2</c:v>
                </c:pt>
                <c:pt idx="181">
                  <c:v>-7.2782273364816089E-2</c:v>
                </c:pt>
                <c:pt idx="182">
                  <c:v>-7.6950576529453182E-2</c:v>
                </c:pt>
                <c:pt idx="183">
                  <c:v>-7.933496794093009E-2</c:v>
                </c:pt>
                <c:pt idx="184">
                  <c:v>-8.3000953822455911E-2</c:v>
                </c:pt>
                <c:pt idx="185">
                  <c:v>-8.5138900057820488E-2</c:v>
                </c:pt>
                <c:pt idx="186">
                  <c:v>-7.9418962029140949E-2</c:v>
                </c:pt>
                <c:pt idx="187">
                  <c:v>-7.9084242012395806E-2</c:v>
                </c:pt>
                <c:pt idx="188">
                  <c:v>-7.0472935780428361E-2</c:v>
                </c:pt>
                <c:pt idx="189">
                  <c:v>-7.3123036113151671E-2</c:v>
                </c:pt>
                <c:pt idx="190">
                  <c:v>-3.8521698261675438E-2</c:v>
                </c:pt>
                <c:pt idx="191">
                  <c:v>-3.8405480991238507E-2</c:v>
                </c:pt>
                <c:pt idx="192">
                  <c:v>-3.9497808732388832E-2</c:v>
                </c:pt>
                <c:pt idx="193">
                  <c:v>-3.9139749313417099E-2</c:v>
                </c:pt>
                <c:pt idx="194">
                  <c:v>-3.7091812149213595E-2</c:v>
                </c:pt>
                <c:pt idx="195">
                  <c:v>-3.8641619518922685E-2</c:v>
                </c:pt>
                <c:pt idx="196">
                  <c:v>-3.7533135290445968E-2</c:v>
                </c:pt>
                <c:pt idx="197">
                  <c:v>-3.0861212724106392E-2</c:v>
                </c:pt>
                <c:pt idx="198">
                  <c:v>-2.5871681000687406E-2</c:v>
                </c:pt>
                <c:pt idx="199">
                  <c:v>-2.6913078238790512E-2</c:v>
                </c:pt>
                <c:pt idx="200">
                  <c:v>-2.4231922297634084E-2</c:v>
                </c:pt>
                <c:pt idx="201">
                  <c:v>-2.4922744652957702E-2</c:v>
                </c:pt>
                <c:pt idx="202">
                  <c:v>-2.5947376372174067E-2</c:v>
                </c:pt>
                <c:pt idx="203">
                  <c:v>-2.7424398812710072E-2</c:v>
                </c:pt>
                <c:pt idx="204">
                  <c:v>-2.8498151047403556E-2</c:v>
                </c:pt>
                <c:pt idx="205">
                  <c:v>-2.9770680977220635E-2</c:v>
                </c:pt>
                <c:pt idx="206">
                  <c:v>-2.9266367017252364E-2</c:v>
                </c:pt>
                <c:pt idx="207">
                  <c:v>-2.8046596295916167E-2</c:v>
                </c:pt>
                <c:pt idx="208">
                  <c:v>-2.6826060672173944E-2</c:v>
                </c:pt>
                <c:pt idx="209">
                  <c:v>-2.834450121751915E-2</c:v>
                </c:pt>
                <c:pt idx="210">
                  <c:v>-2.8891470187345884E-2</c:v>
                </c:pt>
                <c:pt idx="211">
                  <c:v>-2.9981188518159424E-2</c:v>
                </c:pt>
                <c:pt idx="212">
                  <c:v>-3.1576775848612709E-2</c:v>
                </c:pt>
                <c:pt idx="213">
                  <c:v>-3.3294909928146862E-2</c:v>
                </c:pt>
                <c:pt idx="214">
                  <c:v>-3.4470226065254565E-2</c:v>
                </c:pt>
                <c:pt idx="215">
                  <c:v>-3.6386223219344066E-2</c:v>
                </c:pt>
                <c:pt idx="216">
                  <c:v>-3.7848921320628295E-2</c:v>
                </c:pt>
                <c:pt idx="217">
                  <c:v>-3.9772254924348084E-2</c:v>
                </c:pt>
                <c:pt idx="218">
                  <c:v>-4.2052744938061687E-2</c:v>
                </c:pt>
                <c:pt idx="219">
                  <c:v>-4.4461896445627543E-2</c:v>
                </c:pt>
                <c:pt idx="220">
                  <c:v>-4.6662292150220504E-2</c:v>
                </c:pt>
                <c:pt idx="221">
                  <c:v>-4.8330787110021339E-2</c:v>
                </c:pt>
                <c:pt idx="222">
                  <c:v>-5.0426031642196119E-2</c:v>
                </c:pt>
                <c:pt idx="223">
                  <c:v>-5.3055377520785721E-2</c:v>
                </c:pt>
                <c:pt idx="224">
                  <c:v>-5.529606487596616E-2</c:v>
                </c:pt>
                <c:pt idx="225">
                  <c:v>-5.8240605242587014E-2</c:v>
                </c:pt>
                <c:pt idx="226">
                  <c:v>-5.9475300325017778E-2</c:v>
                </c:pt>
                <c:pt idx="227">
                  <c:v>-5.7943708697382447E-2</c:v>
                </c:pt>
                <c:pt idx="228">
                  <c:v>-6.1108028058435751E-2</c:v>
                </c:pt>
                <c:pt idx="229">
                  <c:v>-6.2226776654584731E-2</c:v>
                </c:pt>
                <c:pt idx="230">
                  <c:v>-6.3129865296362067E-2</c:v>
                </c:pt>
                <c:pt idx="231">
                  <c:v>-4.4713216144357165E-2</c:v>
                </c:pt>
                <c:pt idx="232">
                  <c:v>-4.6685572443520701E-2</c:v>
                </c:pt>
                <c:pt idx="233">
                  <c:v>-4.9097504904576129E-2</c:v>
                </c:pt>
                <c:pt idx="234">
                  <c:v>-3.9473073654759258E-2</c:v>
                </c:pt>
                <c:pt idx="235">
                  <c:v>-3.9862148422520186E-2</c:v>
                </c:pt>
                <c:pt idx="236">
                  <c:v>-4.0017142679696846E-2</c:v>
                </c:pt>
                <c:pt idx="237">
                  <c:v>-4.0952867694295264E-2</c:v>
                </c:pt>
                <c:pt idx="238">
                  <c:v>-4.3270942560647035E-2</c:v>
                </c:pt>
                <c:pt idx="239">
                  <c:v>-3.7143597106248871E-2</c:v>
                </c:pt>
                <c:pt idx="240">
                  <c:v>-3.3295959006705102E-2</c:v>
                </c:pt>
                <c:pt idx="241">
                  <c:v>-3.4754634165068396E-2</c:v>
                </c:pt>
                <c:pt idx="242">
                  <c:v>-3.661666901569504E-2</c:v>
                </c:pt>
                <c:pt idx="243">
                  <c:v>-3.8182075153157267E-2</c:v>
                </c:pt>
                <c:pt idx="244">
                  <c:v>-4.014751892489065E-2</c:v>
                </c:pt>
                <c:pt idx="245">
                  <c:v>-3.7633816918584917E-2</c:v>
                </c:pt>
                <c:pt idx="246">
                  <c:v>-3.434600949253197E-2</c:v>
                </c:pt>
                <c:pt idx="247">
                  <c:v>-3.6296794323874448E-2</c:v>
                </c:pt>
                <c:pt idx="248">
                  <c:v>-3.5775564701019141E-2</c:v>
                </c:pt>
                <c:pt idx="249">
                  <c:v>-8.8093951314307736E-3</c:v>
                </c:pt>
                <c:pt idx="250">
                  <c:v>-9.312523970395184E-3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5-4377-8128-307132A2EE3A}"/>
            </c:ext>
          </c:extLst>
        </c:ser>
        <c:ser>
          <c:idx val="2"/>
          <c:order val="2"/>
          <c:tx>
            <c:v>"+volatilidad"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Dinámica!$N$8:$N$259</c:f>
              <c:numCache>
                <c:formatCode>0.00%</c:formatCode>
                <c:ptCount val="252"/>
                <c:pt idx="0">
                  <c:v>6.4207114796500625E-2</c:v>
                </c:pt>
                <c:pt idx="1">
                  <c:v>5.8644871470767974E-2</c:v>
                </c:pt>
                <c:pt idx="2">
                  <c:v>6.1989236956268914E-2</c:v>
                </c:pt>
                <c:pt idx="3">
                  <c:v>6.5257880512576236E-2</c:v>
                </c:pt>
                <c:pt idx="4">
                  <c:v>6.8866293416101898E-2</c:v>
                </c:pt>
                <c:pt idx="5">
                  <c:v>7.1989339010221975E-2</c:v>
                </c:pt>
                <c:pt idx="6">
                  <c:v>7.5006348465115613E-2</c:v>
                </c:pt>
                <c:pt idx="7">
                  <c:v>6.8114230730529482E-2</c:v>
                </c:pt>
                <c:pt idx="8">
                  <c:v>6.9529195040002573E-2</c:v>
                </c:pt>
                <c:pt idx="9">
                  <c:v>6.9065029025820915E-2</c:v>
                </c:pt>
                <c:pt idx="10">
                  <c:v>6.3643477321193603E-2</c:v>
                </c:pt>
                <c:pt idx="11">
                  <c:v>6.665457097142205E-2</c:v>
                </c:pt>
                <c:pt idx="12">
                  <c:v>7.0282566446324121E-2</c:v>
                </c:pt>
                <c:pt idx="13">
                  <c:v>7.3984790612513437E-2</c:v>
                </c:pt>
                <c:pt idx="14">
                  <c:v>5.1969960462150327E-2</c:v>
                </c:pt>
                <c:pt idx="15">
                  <c:v>5.4553048229746777E-2</c:v>
                </c:pt>
                <c:pt idx="16">
                  <c:v>5.2687082291751702E-2</c:v>
                </c:pt>
                <c:pt idx="17">
                  <c:v>5.5562749424892373E-2</c:v>
                </c:pt>
                <c:pt idx="18">
                  <c:v>5.8651656124317456E-2</c:v>
                </c:pt>
                <c:pt idx="19">
                  <c:v>6.0453752236543049E-2</c:v>
                </c:pt>
                <c:pt idx="20">
                  <c:v>6.2424954441480225E-2</c:v>
                </c:pt>
                <c:pt idx="21">
                  <c:v>6.5030305935187147E-2</c:v>
                </c:pt>
                <c:pt idx="22">
                  <c:v>6.7296081433477192E-2</c:v>
                </c:pt>
                <c:pt idx="23">
                  <c:v>5.9230532196513468E-2</c:v>
                </c:pt>
                <c:pt idx="24">
                  <c:v>5.6857092775238274E-2</c:v>
                </c:pt>
                <c:pt idx="25">
                  <c:v>5.8998768182172916E-2</c:v>
                </c:pt>
                <c:pt idx="26">
                  <c:v>6.151250690665621E-2</c:v>
                </c:pt>
                <c:pt idx="27">
                  <c:v>6.5036207929818915E-2</c:v>
                </c:pt>
                <c:pt idx="28">
                  <c:v>6.8765107461849093E-2</c:v>
                </c:pt>
                <c:pt idx="29">
                  <c:v>4.600569364724974E-2</c:v>
                </c:pt>
                <c:pt idx="30">
                  <c:v>4.6865689215233756E-2</c:v>
                </c:pt>
                <c:pt idx="31">
                  <c:v>4.8579703555684979E-2</c:v>
                </c:pt>
                <c:pt idx="32">
                  <c:v>3.4976679547102388E-2</c:v>
                </c:pt>
                <c:pt idx="33">
                  <c:v>3.6722810859782247E-2</c:v>
                </c:pt>
                <c:pt idx="34">
                  <c:v>3.7407480431012781E-2</c:v>
                </c:pt>
                <c:pt idx="35">
                  <c:v>3.9298003800171698E-2</c:v>
                </c:pt>
                <c:pt idx="36">
                  <c:v>4.1222280069853935E-2</c:v>
                </c:pt>
                <c:pt idx="37">
                  <c:v>4.1453976089168065E-2</c:v>
                </c:pt>
                <c:pt idx="38">
                  <c:v>4.3581328705491112E-2</c:v>
                </c:pt>
                <c:pt idx="39">
                  <c:v>4.607362645375173E-2</c:v>
                </c:pt>
                <c:pt idx="40">
                  <c:v>4.7753767520361395E-2</c:v>
                </c:pt>
                <c:pt idx="41">
                  <c:v>5.034112821110099E-2</c:v>
                </c:pt>
                <c:pt idx="42">
                  <c:v>4.604604504106833E-2</c:v>
                </c:pt>
                <c:pt idx="43">
                  <c:v>4.6974567781066262E-2</c:v>
                </c:pt>
                <c:pt idx="44">
                  <c:v>4.8259788085010233E-2</c:v>
                </c:pt>
                <c:pt idx="45">
                  <c:v>4.9493713502195856E-2</c:v>
                </c:pt>
                <c:pt idx="46">
                  <c:v>5.2287552950810168E-2</c:v>
                </c:pt>
                <c:pt idx="47">
                  <c:v>5.5281527078380868E-2</c:v>
                </c:pt>
                <c:pt idx="48">
                  <c:v>5.652585016025323E-2</c:v>
                </c:pt>
                <c:pt idx="49">
                  <c:v>5.1804950249557398E-2</c:v>
                </c:pt>
                <c:pt idx="50">
                  <c:v>5.379702527412953E-2</c:v>
                </c:pt>
                <c:pt idx="51">
                  <c:v>5.5967487893829375E-2</c:v>
                </c:pt>
                <c:pt idx="52">
                  <c:v>5.8416270535975777E-2</c:v>
                </c:pt>
                <c:pt idx="53">
                  <c:v>6.0685228253965919E-2</c:v>
                </c:pt>
                <c:pt idx="54">
                  <c:v>6.3553992900327233E-2</c:v>
                </c:pt>
                <c:pt idx="55">
                  <c:v>6.6227634590409895E-2</c:v>
                </c:pt>
                <c:pt idx="56">
                  <c:v>6.8994168579532639E-2</c:v>
                </c:pt>
                <c:pt idx="57">
                  <c:v>7.2908047964090852E-2</c:v>
                </c:pt>
                <c:pt idx="58">
                  <c:v>7.5709038695541894E-2</c:v>
                </c:pt>
                <c:pt idx="59">
                  <c:v>7.6869335215537571E-2</c:v>
                </c:pt>
                <c:pt idx="60">
                  <c:v>8.071803254833855E-2</c:v>
                </c:pt>
                <c:pt idx="61">
                  <c:v>8.5164405486983438E-2</c:v>
                </c:pt>
                <c:pt idx="62">
                  <c:v>8.6102212291416569E-2</c:v>
                </c:pt>
                <c:pt idx="63">
                  <c:v>7.7134790172520215E-2</c:v>
                </c:pt>
                <c:pt idx="64">
                  <c:v>7.621031644839045E-2</c:v>
                </c:pt>
                <c:pt idx="65">
                  <c:v>6.9052214071279205E-2</c:v>
                </c:pt>
                <c:pt idx="66">
                  <c:v>4.9367550678784136E-2</c:v>
                </c:pt>
                <c:pt idx="67">
                  <c:v>5.2189411323860228E-2</c:v>
                </c:pt>
                <c:pt idx="68">
                  <c:v>4.0890030639338847E-2</c:v>
                </c:pt>
                <c:pt idx="69">
                  <c:v>4.1587491745584744E-2</c:v>
                </c:pt>
                <c:pt idx="70">
                  <c:v>4.3925538480933217E-2</c:v>
                </c:pt>
                <c:pt idx="71">
                  <c:v>3.983915324895812E-2</c:v>
                </c:pt>
                <c:pt idx="72">
                  <c:v>3.6034602748549818E-2</c:v>
                </c:pt>
                <c:pt idx="73">
                  <c:v>3.5498207668025979E-2</c:v>
                </c:pt>
                <c:pt idx="74">
                  <c:v>3.7462363454722494E-2</c:v>
                </c:pt>
                <c:pt idx="75">
                  <c:v>3.6415513957620146E-2</c:v>
                </c:pt>
                <c:pt idx="76">
                  <c:v>3.7869264267777092E-2</c:v>
                </c:pt>
                <c:pt idx="77">
                  <c:v>3.8747031619472579E-2</c:v>
                </c:pt>
                <c:pt idx="78">
                  <c:v>3.9904513647564421E-2</c:v>
                </c:pt>
                <c:pt idx="79">
                  <c:v>3.9649377991696766E-2</c:v>
                </c:pt>
                <c:pt idx="80">
                  <c:v>4.0543174122687674E-2</c:v>
                </c:pt>
                <c:pt idx="81">
                  <c:v>4.2206982562064892E-2</c:v>
                </c:pt>
                <c:pt idx="82">
                  <c:v>4.4596575671467346E-2</c:v>
                </c:pt>
                <c:pt idx="83">
                  <c:v>4.6985690485593423E-2</c:v>
                </c:pt>
                <c:pt idx="84">
                  <c:v>4.31927909899463E-2</c:v>
                </c:pt>
                <c:pt idx="85">
                  <c:v>4.3785635257026313E-2</c:v>
                </c:pt>
                <c:pt idx="86">
                  <c:v>4.6213687530799123E-2</c:v>
                </c:pt>
                <c:pt idx="87">
                  <c:v>4.8822504392320679E-2</c:v>
                </c:pt>
                <c:pt idx="88">
                  <c:v>4.6323408421020194E-2</c:v>
                </c:pt>
                <c:pt idx="89">
                  <c:v>4.5230259141508966E-2</c:v>
                </c:pt>
                <c:pt idx="90">
                  <c:v>4.7528660713547451E-2</c:v>
                </c:pt>
                <c:pt idx="91">
                  <c:v>4.9232836728669974E-2</c:v>
                </c:pt>
                <c:pt idx="92">
                  <c:v>4.9615488497892005E-2</c:v>
                </c:pt>
                <c:pt idx="93">
                  <c:v>5.1349768318828065E-2</c:v>
                </c:pt>
                <c:pt idx="94">
                  <c:v>5.4081394839400394E-2</c:v>
                </c:pt>
                <c:pt idx="95">
                  <c:v>5.1653609338058307E-2</c:v>
                </c:pt>
                <c:pt idx="96">
                  <c:v>5.4585354900532256E-2</c:v>
                </c:pt>
                <c:pt idx="97">
                  <c:v>5.7012279366826915E-2</c:v>
                </c:pt>
                <c:pt idx="98">
                  <c:v>6.0267754957104118E-2</c:v>
                </c:pt>
                <c:pt idx="99">
                  <c:v>6.0261105099245274E-2</c:v>
                </c:pt>
                <c:pt idx="100">
                  <c:v>6.3301344914636598E-2</c:v>
                </c:pt>
                <c:pt idx="101">
                  <c:v>5.8141789203365525E-2</c:v>
                </c:pt>
                <c:pt idx="102">
                  <c:v>6.0654610151561671E-2</c:v>
                </c:pt>
                <c:pt idx="103">
                  <c:v>6.1856302670221838E-2</c:v>
                </c:pt>
                <c:pt idx="104">
                  <c:v>4.3908922697290187E-2</c:v>
                </c:pt>
                <c:pt idx="105">
                  <c:v>4.6240063773591203E-2</c:v>
                </c:pt>
                <c:pt idx="106">
                  <c:v>4.7015560510280913E-2</c:v>
                </c:pt>
                <c:pt idx="107">
                  <c:v>4.8728156518022925E-2</c:v>
                </c:pt>
                <c:pt idx="108">
                  <c:v>4.9423552878854554E-2</c:v>
                </c:pt>
                <c:pt idx="109">
                  <c:v>5.1607987894878943E-2</c:v>
                </c:pt>
                <c:pt idx="110">
                  <c:v>4.8880129556701887E-2</c:v>
                </c:pt>
                <c:pt idx="111">
                  <c:v>5.1171164724180741E-2</c:v>
                </c:pt>
                <c:pt idx="112">
                  <c:v>4.925350288257066E-2</c:v>
                </c:pt>
                <c:pt idx="113">
                  <c:v>4.1125325432238083E-2</c:v>
                </c:pt>
                <c:pt idx="114">
                  <c:v>4.2523015563225589E-2</c:v>
                </c:pt>
                <c:pt idx="115">
                  <c:v>4.3968497068888029E-2</c:v>
                </c:pt>
                <c:pt idx="116">
                  <c:v>4.6397981158195059E-2</c:v>
                </c:pt>
                <c:pt idx="117">
                  <c:v>4.8710253668597707E-2</c:v>
                </c:pt>
                <c:pt idx="118">
                  <c:v>5.0821395703359355E-2</c:v>
                </c:pt>
                <c:pt idx="119">
                  <c:v>4.6146659338054126E-2</c:v>
                </c:pt>
                <c:pt idx="120">
                  <c:v>4.8217294027042737E-2</c:v>
                </c:pt>
                <c:pt idx="121">
                  <c:v>5.0552592137859675E-2</c:v>
                </c:pt>
                <c:pt idx="122">
                  <c:v>5.3130014377897009E-2</c:v>
                </c:pt>
                <c:pt idx="123">
                  <c:v>5.5643362760175695E-2</c:v>
                </c:pt>
                <c:pt idx="124">
                  <c:v>5.1951289468007311E-2</c:v>
                </c:pt>
                <c:pt idx="125">
                  <c:v>5.3601210081486841E-2</c:v>
                </c:pt>
                <c:pt idx="126">
                  <c:v>5.6632223250495391E-2</c:v>
                </c:pt>
                <c:pt idx="127">
                  <c:v>5.9861539019236437E-2</c:v>
                </c:pt>
                <c:pt idx="128">
                  <c:v>6.3216728798645608E-2</c:v>
                </c:pt>
                <c:pt idx="129">
                  <c:v>6.6811643235035648E-2</c:v>
                </c:pt>
                <c:pt idx="130">
                  <c:v>7.0636036093225718E-2</c:v>
                </c:pt>
                <c:pt idx="131">
                  <c:v>7.4662458336262991E-2</c:v>
                </c:pt>
                <c:pt idx="132">
                  <c:v>6.2252824576003708E-2</c:v>
                </c:pt>
                <c:pt idx="133">
                  <c:v>5.7144748693512902E-2</c:v>
                </c:pt>
                <c:pt idx="134">
                  <c:v>6.0128256930189736E-2</c:v>
                </c:pt>
                <c:pt idx="135">
                  <c:v>5.7961459436149873E-2</c:v>
                </c:pt>
                <c:pt idx="136">
                  <c:v>6.1226082752090065E-2</c:v>
                </c:pt>
                <c:pt idx="137">
                  <c:v>6.4725693882427202E-2</c:v>
                </c:pt>
                <c:pt idx="138">
                  <c:v>6.792962134466568E-2</c:v>
                </c:pt>
                <c:pt idx="139">
                  <c:v>7.1704441380150669E-2</c:v>
                </c:pt>
                <c:pt idx="140">
                  <c:v>7.4556160990942213E-2</c:v>
                </c:pt>
                <c:pt idx="141">
                  <c:v>7.7507576056888156E-2</c:v>
                </c:pt>
                <c:pt idx="142">
                  <c:v>6.9067763966533247E-2</c:v>
                </c:pt>
                <c:pt idx="143">
                  <c:v>7.1207952624248741E-2</c:v>
                </c:pt>
                <c:pt idx="144">
                  <c:v>7.5288949437464406E-2</c:v>
                </c:pt>
                <c:pt idx="145">
                  <c:v>7.819911375932477E-2</c:v>
                </c:pt>
                <c:pt idx="146">
                  <c:v>6.1917254385586852E-2</c:v>
                </c:pt>
                <c:pt idx="147">
                  <c:v>6.5130262403997982E-2</c:v>
                </c:pt>
                <c:pt idx="148">
                  <c:v>6.7897447384322698E-2</c:v>
                </c:pt>
                <c:pt idx="149">
                  <c:v>7.0051916437163311E-2</c:v>
                </c:pt>
                <c:pt idx="150">
                  <c:v>7.2929380579529024E-2</c:v>
                </c:pt>
                <c:pt idx="151">
                  <c:v>7.6855152086951956E-2</c:v>
                </c:pt>
                <c:pt idx="152">
                  <c:v>7.1421535279772713E-2</c:v>
                </c:pt>
                <c:pt idx="153">
                  <c:v>7.5231504047417422E-2</c:v>
                </c:pt>
                <c:pt idx="154">
                  <c:v>7.4945917941509829E-2</c:v>
                </c:pt>
                <c:pt idx="155">
                  <c:v>7.827390085626533E-2</c:v>
                </c:pt>
                <c:pt idx="156">
                  <c:v>8.1738105792392171E-2</c:v>
                </c:pt>
                <c:pt idx="157">
                  <c:v>5.8879272151931228E-2</c:v>
                </c:pt>
                <c:pt idx="158">
                  <c:v>6.1111822522157876E-2</c:v>
                </c:pt>
                <c:pt idx="159">
                  <c:v>6.3604441870813169E-2</c:v>
                </c:pt>
                <c:pt idx="160">
                  <c:v>6.7163544545312898E-2</c:v>
                </c:pt>
                <c:pt idx="161">
                  <c:v>7.101248624795875E-2</c:v>
                </c:pt>
                <c:pt idx="162">
                  <c:v>7.4965197682970303E-2</c:v>
                </c:pt>
                <c:pt idx="163">
                  <c:v>7.9166016255137917E-2</c:v>
                </c:pt>
                <c:pt idx="164">
                  <c:v>8.3018084255301397E-2</c:v>
                </c:pt>
                <c:pt idx="165">
                  <c:v>8.7757415248294598E-2</c:v>
                </c:pt>
                <c:pt idx="166">
                  <c:v>9.2239224886125751E-2</c:v>
                </c:pt>
                <c:pt idx="167">
                  <c:v>9.6804384948206937E-2</c:v>
                </c:pt>
                <c:pt idx="168">
                  <c:v>0.10231798346958015</c:v>
                </c:pt>
                <c:pt idx="169">
                  <c:v>6.6807639086773868E-2</c:v>
                </c:pt>
                <c:pt idx="170">
                  <c:v>6.966937694414703E-2</c:v>
                </c:pt>
                <c:pt idx="171">
                  <c:v>7.311336299834241E-2</c:v>
                </c:pt>
                <c:pt idx="172">
                  <c:v>7.7038387038406791E-2</c:v>
                </c:pt>
                <c:pt idx="173">
                  <c:v>7.6688349632118208E-2</c:v>
                </c:pt>
                <c:pt idx="174">
                  <c:v>8.0788293480171039E-2</c:v>
                </c:pt>
                <c:pt idx="175">
                  <c:v>6.903292011927438E-2</c:v>
                </c:pt>
                <c:pt idx="176">
                  <c:v>6.8533005441691719E-2</c:v>
                </c:pt>
                <c:pt idx="177">
                  <c:v>7.2333800549081839E-2</c:v>
                </c:pt>
                <c:pt idx="178">
                  <c:v>7.5102951102955159E-2</c:v>
                </c:pt>
                <c:pt idx="179">
                  <c:v>7.6935345629318377E-2</c:v>
                </c:pt>
                <c:pt idx="180">
                  <c:v>7.1313904512795137E-2</c:v>
                </c:pt>
                <c:pt idx="181">
                  <c:v>7.2782273364816089E-2</c:v>
                </c:pt>
                <c:pt idx="182">
                  <c:v>7.6950576529453182E-2</c:v>
                </c:pt>
                <c:pt idx="183">
                  <c:v>7.933496794093009E-2</c:v>
                </c:pt>
                <c:pt idx="184">
                  <c:v>8.3000953822455911E-2</c:v>
                </c:pt>
                <c:pt idx="185">
                  <c:v>8.5138900057820488E-2</c:v>
                </c:pt>
                <c:pt idx="186">
                  <c:v>7.9418962029140949E-2</c:v>
                </c:pt>
                <c:pt idx="187">
                  <c:v>7.9084242012395806E-2</c:v>
                </c:pt>
                <c:pt idx="188">
                  <c:v>7.0472935780428361E-2</c:v>
                </c:pt>
                <c:pt idx="189">
                  <c:v>7.3123036113151671E-2</c:v>
                </c:pt>
                <c:pt idx="190">
                  <c:v>3.8521698261675438E-2</c:v>
                </c:pt>
                <c:pt idx="191">
                  <c:v>3.8405480991238507E-2</c:v>
                </c:pt>
                <c:pt idx="192">
                  <c:v>3.9497808732388832E-2</c:v>
                </c:pt>
                <c:pt idx="193">
                  <c:v>3.9139749313417099E-2</c:v>
                </c:pt>
                <c:pt idx="194">
                  <c:v>3.7091812149213595E-2</c:v>
                </c:pt>
                <c:pt idx="195">
                  <c:v>3.8641619518922685E-2</c:v>
                </c:pt>
                <c:pt idx="196">
                  <c:v>3.7533135290445968E-2</c:v>
                </c:pt>
                <c:pt idx="197">
                  <c:v>3.0861212724106392E-2</c:v>
                </c:pt>
                <c:pt idx="198">
                  <c:v>2.5871681000687406E-2</c:v>
                </c:pt>
                <c:pt idx="199">
                  <c:v>2.6913078238790512E-2</c:v>
                </c:pt>
                <c:pt idx="200">
                  <c:v>2.4231922297634084E-2</c:v>
                </c:pt>
                <c:pt idx="201">
                  <c:v>2.4922744652957702E-2</c:v>
                </c:pt>
                <c:pt idx="202">
                  <c:v>2.5947376372174067E-2</c:v>
                </c:pt>
                <c:pt idx="203">
                  <c:v>2.7424398812710072E-2</c:v>
                </c:pt>
                <c:pt idx="204">
                  <c:v>2.8498151047403556E-2</c:v>
                </c:pt>
                <c:pt idx="205">
                  <c:v>2.9770680977220635E-2</c:v>
                </c:pt>
                <c:pt idx="206">
                  <c:v>2.9266367017252364E-2</c:v>
                </c:pt>
                <c:pt idx="207">
                  <c:v>2.8046596295916167E-2</c:v>
                </c:pt>
                <c:pt idx="208">
                  <c:v>2.6826060672173944E-2</c:v>
                </c:pt>
                <c:pt idx="209">
                  <c:v>2.834450121751915E-2</c:v>
                </c:pt>
                <c:pt idx="210">
                  <c:v>2.8891470187345884E-2</c:v>
                </c:pt>
                <c:pt idx="211">
                  <c:v>2.9981188518159424E-2</c:v>
                </c:pt>
                <c:pt idx="212">
                  <c:v>3.1576775848612709E-2</c:v>
                </c:pt>
                <c:pt idx="213">
                  <c:v>3.3294909928146862E-2</c:v>
                </c:pt>
                <c:pt idx="214">
                  <c:v>3.4470226065254565E-2</c:v>
                </c:pt>
                <c:pt idx="215">
                  <c:v>3.6386223219344066E-2</c:v>
                </c:pt>
                <c:pt idx="216">
                  <c:v>3.7848921320628295E-2</c:v>
                </c:pt>
                <c:pt idx="217">
                  <c:v>3.9772254924348084E-2</c:v>
                </c:pt>
                <c:pt idx="218">
                  <c:v>4.2052744938061687E-2</c:v>
                </c:pt>
                <c:pt idx="219">
                  <c:v>4.4461896445627543E-2</c:v>
                </c:pt>
                <c:pt idx="220">
                  <c:v>4.6662292150220504E-2</c:v>
                </c:pt>
                <c:pt idx="221">
                  <c:v>4.8330787110021339E-2</c:v>
                </c:pt>
                <c:pt idx="222">
                  <c:v>5.0426031642196119E-2</c:v>
                </c:pt>
                <c:pt idx="223">
                  <c:v>5.3055377520785721E-2</c:v>
                </c:pt>
                <c:pt idx="224">
                  <c:v>5.529606487596616E-2</c:v>
                </c:pt>
                <c:pt idx="225">
                  <c:v>5.8240605242587014E-2</c:v>
                </c:pt>
                <c:pt idx="226">
                  <c:v>5.9475300325017778E-2</c:v>
                </c:pt>
                <c:pt idx="227">
                  <c:v>5.7943708697382447E-2</c:v>
                </c:pt>
                <c:pt idx="228">
                  <c:v>6.1108028058435751E-2</c:v>
                </c:pt>
                <c:pt idx="229">
                  <c:v>6.2226776654584731E-2</c:v>
                </c:pt>
                <c:pt idx="230">
                  <c:v>6.3129865296362067E-2</c:v>
                </c:pt>
                <c:pt idx="231">
                  <c:v>4.4713216144357165E-2</c:v>
                </c:pt>
                <c:pt idx="232">
                  <c:v>4.6685572443520701E-2</c:v>
                </c:pt>
                <c:pt idx="233">
                  <c:v>4.9097504904576129E-2</c:v>
                </c:pt>
                <c:pt idx="234">
                  <c:v>3.9473073654759258E-2</c:v>
                </c:pt>
                <c:pt idx="235">
                  <c:v>3.9862148422520186E-2</c:v>
                </c:pt>
                <c:pt idx="236">
                  <c:v>4.0017142679696846E-2</c:v>
                </c:pt>
                <c:pt idx="237">
                  <c:v>4.0952867694295264E-2</c:v>
                </c:pt>
                <c:pt idx="238">
                  <c:v>4.3270942560647035E-2</c:v>
                </c:pt>
                <c:pt idx="239">
                  <c:v>3.7143597106248871E-2</c:v>
                </c:pt>
                <c:pt idx="240">
                  <c:v>3.3295959006705102E-2</c:v>
                </c:pt>
                <c:pt idx="241">
                  <c:v>3.4754634165068396E-2</c:v>
                </c:pt>
                <c:pt idx="242">
                  <c:v>3.661666901569504E-2</c:v>
                </c:pt>
                <c:pt idx="243">
                  <c:v>3.8182075153157267E-2</c:v>
                </c:pt>
                <c:pt idx="244">
                  <c:v>4.014751892489065E-2</c:v>
                </c:pt>
                <c:pt idx="245">
                  <c:v>3.7633816918584917E-2</c:v>
                </c:pt>
                <c:pt idx="246">
                  <c:v>3.434600949253197E-2</c:v>
                </c:pt>
                <c:pt idx="247">
                  <c:v>3.6296794323874448E-2</c:v>
                </c:pt>
                <c:pt idx="248">
                  <c:v>3.5775564701019141E-2</c:v>
                </c:pt>
                <c:pt idx="249">
                  <c:v>8.8093951314307736E-3</c:v>
                </c:pt>
                <c:pt idx="250">
                  <c:v>9.312523970395184E-3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35-4377-8128-307132A2E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549912"/>
        <c:axId val="442545208"/>
      </c:lineChart>
      <c:dateAx>
        <c:axId val="4425499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2545208"/>
        <c:crosses val="autoZero"/>
        <c:auto val="1"/>
        <c:lblOffset val="100"/>
        <c:baseTimeUnit val="days"/>
      </c:dateAx>
      <c:valAx>
        <c:axId val="442545208"/>
        <c:scaling>
          <c:orientation val="minMax"/>
          <c:max val="0.15000000000000002"/>
          <c:min val="-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2549912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C3" fmlaRange="$XEZ$8:$XEZ$13" noThreeD="1" sel="2" val="0"/>
</file>

<file path=xl/ctrlProps/ctrlProp2.xml><?xml version="1.0" encoding="utf-8"?>
<formControlPr xmlns="http://schemas.microsoft.com/office/spreadsheetml/2009/9/main" objectType="Drop" dropStyle="combo" dx="16" fmlaLink="C3" fmlaRange="$XEZ$8:$XEZ$13" noThreeD="1" sel="4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208936</xdr:colOff>
      <xdr:row>10</xdr:row>
      <xdr:rowOff>21815</xdr:rowOff>
    </xdr:from>
    <xdr:to>
      <xdr:col>18</xdr:col>
      <xdr:colOff>21160</xdr:colOff>
      <xdr:row>31</xdr:row>
      <xdr:rowOff>31975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914400</xdr:colOff>
          <xdr:row>1</xdr:row>
          <xdr:rowOff>161925</xdr:rowOff>
        </xdr:from>
        <xdr:to>
          <xdr:col>3</xdr:col>
          <xdr:colOff>361950</xdr:colOff>
          <xdr:row>3</xdr:row>
          <xdr:rowOff>28575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1116745</xdr:colOff>
      <xdr:row>11</xdr:row>
      <xdr:rowOff>54952</xdr:rowOff>
    </xdr:from>
    <xdr:to>
      <xdr:col>20</xdr:col>
      <xdr:colOff>516019</xdr:colOff>
      <xdr:row>32</xdr:row>
      <xdr:rowOff>38963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1</xdr:row>
          <xdr:rowOff>85725</xdr:rowOff>
        </xdr:from>
        <xdr:to>
          <xdr:col>3</xdr:col>
          <xdr:colOff>676275</xdr:colOff>
          <xdr:row>2</xdr:row>
          <xdr:rowOff>352425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304801</xdr:colOff>
      <xdr:row>0</xdr:row>
      <xdr:rowOff>0</xdr:rowOff>
    </xdr:from>
    <xdr:to>
      <xdr:col>6</xdr:col>
      <xdr:colOff>314326</xdr:colOff>
      <xdr:row>2</xdr:row>
      <xdr:rowOff>61415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B7B8665-116E-5C32-E566-EDFEA5334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90951" y="0"/>
          <a:ext cx="1695450" cy="528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XER257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" sqref="B1"/>
    </sheetView>
  </sheetViews>
  <sheetFormatPr baseColWidth="10" defaultColWidth="11.42578125" defaultRowHeight="15" x14ac:dyDescent="0.25"/>
  <cols>
    <col min="1" max="1" width="4.42578125" bestFit="1" customWidth="1"/>
    <col min="2" max="2" width="11.85546875" bestFit="1" customWidth="1"/>
  </cols>
  <sheetData>
    <row r="1" spans="1:15 16372:16372" ht="25.9" customHeight="1" x14ac:dyDescent="0.3">
      <c r="C1" s="48" t="s">
        <v>29</v>
      </c>
      <c r="D1" s="49"/>
      <c r="E1" s="49"/>
      <c r="F1" s="49"/>
      <c r="G1" s="49"/>
      <c r="H1" s="50"/>
    </row>
    <row r="2" spans="1:15 16372:16372" s="35" customFormat="1" ht="25.9" customHeight="1" x14ac:dyDescent="0.25">
      <c r="A2" s="16" t="s">
        <v>25</v>
      </c>
      <c r="B2" s="16" t="s">
        <v>26</v>
      </c>
      <c r="C2" s="16" t="s">
        <v>31</v>
      </c>
      <c r="D2" s="16" t="s">
        <v>32</v>
      </c>
      <c r="E2" s="16" t="s">
        <v>27</v>
      </c>
      <c r="F2" s="16" t="s">
        <v>33</v>
      </c>
      <c r="G2" s="16" t="s">
        <v>34</v>
      </c>
      <c r="H2" s="16" t="s">
        <v>35</v>
      </c>
    </row>
    <row r="3" spans="1:15 16372:16372" x14ac:dyDescent="0.25">
      <c r="A3" s="29">
        <v>0</v>
      </c>
      <c r="B3" s="4">
        <v>45657</v>
      </c>
      <c r="C3" s="6">
        <v>49.58</v>
      </c>
      <c r="D3" s="6">
        <v>32.799999999999997</v>
      </c>
      <c r="E3" s="6">
        <v>11.68</v>
      </c>
      <c r="F3" s="6">
        <v>266.2</v>
      </c>
      <c r="G3" s="6">
        <v>15.63</v>
      </c>
      <c r="H3" s="6">
        <v>366.54</v>
      </c>
      <c r="I3" s="34"/>
    </row>
    <row r="4" spans="1:15 16372:16372" x14ac:dyDescent="0.25">
      <c r="A4" s="29">
        <f>+A3+1</f>
        <v>1</v>
      </c>
      <c r="B4" s="1">
        <v>45656</v>
      </c>
      <c r="C4" s="3">
        <v>48.94</v>
      </c>
      <c r="D4" s="3">
        <v>32.4</v>
      </c>
      <c r="E4" s="3">
        <v>11.37</v>
      </c>
      <c r="F4" s="3">
        <v>258.61</v>
      </c>
      <c r="G4" s="3">
        <v>15.5</v>
      </c>
      <c r="H4" s="3">
        <v>359.83</v>
      </c>
      <c r="J4" s="34"/>
      <c r="K4" s="33"/>
      <c r="L4" s="34"/>
      <c r="M4" s="34"/>
      <c r="N4" s="34"/>
      <c r="O4" s="34"/>
      <c r="XER4" s="17"/>
    </row>
    <row r="5" spans="1:15 16372:16372" x14ac:dyDescent="0.25">
      <c r="A5" s="29">
        <f t="shared" ref="A5:A68" si="0">+A4+1</f>
        <v>2</v>
      </c>
      <c r="B5" s="1">
        <v>45653</v>
      </c>
      <c r="C5" s="3">
        <v>49.6</v>
      </c>
      <c r="D5" s="3">
        <v>32.53</v>
      </c>
      <c r="E5" s="3">
        <v>11.48</v>
      </c>
      <c r="F5" s="3">
        <v>272.16000000000003</v>
      </c>
      <c r="G5" s="3">
        <v>15.48</v>
      </c>
      <c r="H5" s="3">
        <v>361.32</v>
      </c>
      <c r="J5" s="34"/>
      <c r="K5" s="33"/>
      <c r="L5" s="34"/>
      <c r="M5" s="34"/>
      <c r="N5" s="34"/>
      <c r="O5" s="34"/>
      <c r="XER5" s="17"/>
    </row>
    <row r="6" spans="1:15 16372:16372" x14ac:dyDescent="0.25">
      <c r="A6" s="29">
        <f t="shared" si="0"/>
        <v>3</v>
      </c>
      <c r="B6" s="1">
        <v>45652</v>
      </c>
      <c r="C6" s="3">
        <v>49.82</v>
      </c>
      <c r="D6" s="3">
        <v>32.85</v>
      </c>
      <c r="E6" s="3">
        <v>11.46</v>
      </c>
      <c r="F6" s="3">
        <v>272.76</v>
      </c>
      <c r="G6" s="3">
        <v>15.66</v>
      </c>
      <c r="H6" s="3">
        <v>363.84</v>
      </c>
      <c r="J6" s="34"/>
      <c r="K6" s="33"/>
      <c r="XER6" s="17"/>
    </row>
    <row r="7" spans="1:15 16372:16372" x14ac:dyDescent="0.25">
      <c r="A7" s="29">
        <f t="shared" si="0"/>
        <v>4</v>
      </c>
      <c r="B7" s="1">
        <v>45650</v>
      </c>
      <c r="C7" s="3">
        <v>49.63</v>
      </c>
      <c r="D7" s="3">
        <v>32.799999999999997</v>
      </c>
      <c r="E7" s="3">
        <v>11.33</v>
      </c>
      <c r="F7" s="3">
        <v>275.20999999999998</v>
      </c>
      <c r="G7" s="3">
        <v>15.6</v>
      </c>
      <c r="H7" s="3">
        <v>364.15</v>
      </c>
      <c r="J7" s="34"/>
      <c r="K7" s="33"/>
      <c r="XER7" s="17"/>
    </row>
    <row r="8" spans="1:15 16372:16372" x14ac:dyDescent="0.25">
      <c r="A8" s="29">
        <f t="shared" si="0"/>
        <v>5</v>
      </c>
      <c r="B8" s="1">
        <v>45649</v>
      </c>
      <c r="C8" s="3">
        <v>49.78</v>
      </c>
      <c r="D8" s="3">
        <v>32.840000000000003</v>
      </c>
      <c r="E8" s="3">
        <v>11.2</v>
      </c>
      <c r="F8" s="3">
        <v>276.94</v>
      </c>
      <c r="G8" s="3">
        <v>15.74</v>
      </c>
      <c r="H8" s="3">
        <v>367.2</v>
      </c>
      <c r="J8" s="34"/>
      <c r="K8" s="33"/>
      <c r="XER8" s="17"/>
    </row>
    <row r="9" spans="1:15 16372:16372" x14ac:dyDescent="0.25">
      <c r="A9" s="29">
        <f t="shared" si="0"/>
        <v>6</v>
      </c>
      <c r="B9" s="1">
        <v>45646</v>
      </c>
      <c r="C9" s="3">
        <v>49.95</v>
      </c>
      <c r="D9" s="3">
        <v>33.75</v>
      </c>
      <c r="E9" s="3">
        <v>11.3</v>
      </c>
      <c r="F9" s="3">
        <v>281.42</v>
      </c>
      <c r="G9" s="3">
        <v>15.93</v>
      </c>
      <c r="H9" s="3">
        <v>363.37</v>
      </c>
      <c r="J9" s="34"/>
      <c r="K9" s="33"/>
      <c r="XER9" s="17"/>
    </row>
    <row r="10" spans="1:15 16372:16372" x14ac:dyDescent="0.25">
      <c r="A10" s="29">
        <f t="shared" si="0"/>
        <v>7</v>
      </c>
      <c r="B10" s="1">
        <v>45645</v>
      </c>
      <c r="C10" s="3">
        <v>49.8</v>
      </c>
      <c r="D10" s="3">
        <v>33.68</v>
      </c>
      <c r="E10" s="3">
        <v>11.34</v>
      </c>
      <c r="F10" s="3">
        <v>276.20999999999998</v>
      </c>
      <c r="G10" s="3">
        <v>16.39</v>
      </c>
      <c r="H10" s="3">
        <v>366.36</v>
      </c>
      <c r="J10" s="34"/>
      <c r="K10" s="33"/>
    </row>
    <row r="11" spans="1:15 16372:16372" x14ac:dyDescent="0.25">
      <c r="A11" s="29">
        <f t="shared" si="0"/>
        <v>8</v>
      </c>
      <c r="B11" s="1">
        <v>45644</v>
      </c>
      <c r="C11" s="3">
        <v>50.34</v>
      </c>
      <c r="D11" s="3">
        <v>33.409999999999997</v>
      </c>
      <c r="E11" s="3">
        <v>11.33</v>
      </c>
      <c r="F11" s="3">
        <v>293.57</v>
      </c>
      <c r="G11" s="3">
        <v>16.39</v>
      </c>
      <c r="H11" s="3">
        <v>373.92</v>
      </c>
      <c r="J11" s="34"/>
      <c r="K11" s="33"/>
    </row>
    <row r="12" spans="1:15 16372:16372" x14ac:dyDescent="0.25">
      <c r="A12" s="29">
        <f t="shared" si="0"/>
        <v>9</v>
      </c>
      <c r="B12" s="1">
        <v>45643</v>
      </c>
      <c r="C12" s="3">
        <v>50.82</v>
      </c>
      <c r="D12" s="3">
        <v>34.020000000000003</v>
      </c>
      <c r="E12" s="3">
        <v>11.29</v>
      </c>
      <c r="F12" s="3">
        <v>301.82</v>
      </c>
      <c r="G12" s="3">
        <v>16.809999999999999</v>
      </c>
      <c r="H12" s="3">
        <v>377.78</v>
      </c>
      <c r="J12" s="34"/>
      <c r="K12" s="33"/>
    </row>
    <row r="13" spans="1:15 16372:16372" x14ac:dyDescent="0.25">
      <c r="A13" s="29">
        <f t="shared" si="0"/>
        <v>10</v>
      </c>
      <c r="B13" s="1">
        <v>45642</v>
      </c>
      <c r="C13" s="3">
        <v>51.03</v>
      </c>
      <c r="D13" s="3">
        <v>33.85</v>
      </c>
      <c r="E13" s="3">
        <v>11.19</v>
      </c>
      <c r="F13" s="3">
        <v>313.31</v>
      </c>
      <c r="G13" s="3">
        <v>16.89</v>
      </c>
      <c r="H13" s="3">
        <v>378.51</v>
      </c>
      <c r="J13" s="34"/>
      <c r="K13" s="33"/>
    </row>
    <row r="14" spans="1:15 16372:16372" x14ac:dyDescent="0.25">
      <c r="A14" s="29">
        <f t="shared" si="0"/>
        <v>11</v>
      </c>
      <c r="B14" s="1">
        <v>45639</v>
      </c>
      <c r="C14" s="3">
        <v>51.87</v>
      </c>
      <c r="D14" s="3">
        <v>33.69</v>
      </c>
      <c r="E14" s="3">
        <v>11.25</v>
      </c>
      <c r="F14" s="3">
        <v>330.54</v>
      </c>
      <c r="G14" s="3">
        <v>16.89</v>
      </c>
      <c r="H14" s="3">
        <v>378.92</v>
      </c>
      <c r="J14" s="34"/>
      <c r="K14" s="33"/>
    </row>
    <row r="15" spans="1:15 16372:16372" x14ac:dyDescent="0.25">
      <c r="A15" s="29">
        <f t="shared" si="0"/>
        <v>12</v>
      </c>
      <c r="B15" s="1">
        <v>45637</v>
      </c>
      <c r="C15" s="3">
        <v>51.48</v>
      </c>
      <c r="D15" s="3">
        <v>34.32</v>
      </c>
      <c r="E15" s="3">
        <v>11.12</v>
      </c>
      <c r="F15" s="3">
        <v>335.05</v>
      </c>
      <c r="G15" s="3">
        <v>17.149999999999999</v>
      </c>
      <c r="H15" s="3">
        <v>382.85</v>
      </c>
      <c r="J15" s="34"/>
      <c r="K15" s="33"/>
    </row>
    <row r="16" spans="1:15 16372:16372" x14ac:dyDescent="0.25">
      <c r="A16" s="29">
        <f t="shared" si="0"/>
        <v>13</v>
      </c>
      <c r="B16" s="1">
        <v>45636</v>
      </c>
      <c r="C16" s="3">
        <v>51.61</v>
      </c>
      <c r="D16" s="3">
        <v>34.21</v>
      </c>
      <c r="E16" s="3">
        <v>11.52</v>
      </c>
      <c r="F16" s="3">
        <v>332.52</v>
      </c>
      <c r="G16" s="3">
        <v>16.899999999999999</v>
      </c>
      <c r="H16" s="3">
        <v>394.16</v>
      </c>
      <c r="J16" s="34"/>
      <c r="K16" s="33"/>
    </row>
    <row r="17" spans="1:11" x14ac:dyDescent="0.25">
      <c r="A17" s="29">
        <f t="shared" si="0"/>
        <v>14</v>
      </c>
      <c r="B17" s="1">
        <v>45635</v>
      </c>
      <c r="C17" s="3">
        <v>52.39</v>
      </c>
      <c r="D17" s="3">
        <v>33.94</v>
      </c>
      <c r="E17" s="3">
        <v>11.87</v>
      </c>
      <c r="F17" s="3">
        <v>335.93</v>
      </c>
      <c r="G17" s="3">
        <v>16.87</v>
      </c>
      <c r="H17" s="3">
        <v>398.2</v>
      </c>
      <c r="J17" s="34"/>
      <c r="K17" s="33"/>
    </row>
    <row r="18" spans="1:11" x14ac:dyDescent="0.25">
      <c r="A18" s="29">
        <f t="shared" si="0"/>
        <v>15</v>
      </c>
      <c r="B18" s="1">
        <v>45632</v>
      </c>
      <c r="C18" s="3">
        <v>51.39</v>
      </c>
      <c r="D18" s="3">
        <v>33.47</v>
      </c>
      <c r="E18" s="3">
        <v>11.72</v>
      </c>
      <c r="F18" s="3">
        <v>309.58</v>
      </c>
      <c r="G18" s="3">
        <v>17.03</v>
      </c>
      <c r="H18" s="3">
        <v>388.17</v>
      </c>
      <c r="J18" s="34"/>
      <c r="K18" s="33"/>
    </row>
    <row r="19" spans="1:11" x14ac:dyDescent="0.25">
      <c r="A19" s="29">
        <f t="shared" si="0"/>
        <v>16</v>
      </c>
      <c r="B19" s="1">
        <v>45631</v>
      </c>
      <c r="C19" s="3">
        <v>51.83</v>
      </c>
      <c r="D19" s="3">
        <v>33.86</v>
      </c>
      <c r="E19" s="3">
        <v>11.79</v>
      </c>
      <c r="F19" s="3">
        <v>312.58</v>
      </c>
      <c r="G19" s="3">
        <v>17.04</v>
      </c>
      <c r="H19" s="3">
        <v>398.85</v>
      </c>
      <c r="J19" s="34"/>
      <c r="K19" s="33"/>
    </row>
    <row r="20" spans="1:11" x14ac:dyDescent="0.25">
      <c r="A20" s="29">
        <f t="shared" si="0"/>
        <v>17</v>
      </c>
      <c r="B20" s="1">
        <v>45630</v>
      </c>
      <c r="C20" s="3">
        <v>51.29</v>
      </c>
      <c r="D20" s="3">
        <v>32.74</v>
      </c>
      <c r="E20" s="3">
        <v>11.71</v>
      </c>
      <c r="F20" s="3">
        <v>302.25</v>
      </c>
      <c r="G20" s="3">
        <v>16.46</v>
      </c>
      <c r="H20" s="3">
        <v>374.9</v>
      </c>
      <c r="J20" s="34"/>
      <c r="K20" s="33"/>
    </row>
    <row r="21" spans="1:11" x14ac:dyDescent="0.25">
      <c r="A21" s="29">
        <f t="shared" si="0"/>
        <v>18</v>
      </c>
      <c r="B21" s="1">
        <v>45629</v>
      </c>
      <c r="C21" s="3">
        <v>50.93</v>
      </c>
      <c r="D21" s="3">
        <v>32.659999999999997</v>
      </c>
      <c r="E21" s="3">
        <v>11.62</v>
      </c>
      <c r="F21" s="3">
        <v>300.49</v>
      </c>
      <c r="G21" s="3">
        <v>15.94</v>
      </c>
      <c r="H21" s="3">
        <v>372.82</v>
      </c>
      <c r="J21" s="34"/>
      <c r="K21" s="33"/>
    </row>
    <row r="22" spans="1:11" x14ac:dyDescent="0.25">
      <c r="A22" s="29">
        <f t="shared" si="0"/>
        <v>19</v>
      </c>
      <c r="B22" s="1">
        <v>45628</v>
      </c>
      <c r="C22" s="3">
        <v>50.49</v>
      </c>
      <c r="D22" s="3">
        <v>32.840000000000003</v>
      </c>
      <c r="E22" s="3">
        <v>11.62</v>
      </c>
      <c r="F22" s="3">
        <v>299.02</v>
      </c>
      <c r="G22" s="3">
        <v>15.65</v>
      </c>
      <c r="H22" s="3">
        <v>371.2</v>
      </c>
      <c r="J22" s="34"/>
      <c r="K22" s="33"/>
    </row>
    <row r="23" spans="1:11" x14ac:dyDescent="0.25">
      <c r="A23" s="29">
        <f t="shared" si="0"/>
        <v>20</v>
      </c>
      <c r="B23" s="1">
        <v>45625</v>
      </c>
      <c r="C23" s="3">
        <v>50.14</v>
      </c>
      <c r="D23" s="3">
        <v>32.83</v>
      </c>
      <c r="E23" s="3">
        <v>11.14</v>
      </c>
      <c r="F23" s="3">
        <v>293.12</v>
      </c>
      <c r="G23" s="3">
        <v>15.55</v>
      </c>
      <c r="H23" s="3">
        <v>375.31</v>
      </c>
      <c r="J23" s="34"/>
      <c r="K23" s="33"/>
    </row>
    <row r="24" spans="1:11" x14ac:dyDescent="0.25">
      <c r="A24" s="29">
        <f t="shared" si="0"/>
        <v>21</v>
      </c>
      <c r="B24" s="1">
        <v>45624</v>
      </c>
      <c r="C24" s="3">
        <v>50.4</v>
      </c>
      <c r="D24" s="3">
        <v>32.83</v>
      </c>
      <c r="E24" s="3">
        <v>11.23</v>
      </c>
      <c r="F24" s="3">
        <v>287.37</v>
      </c>
      <c r="G24" s="3">
        <v>15.89</v>
      </c>
      <c r="H24" s="3">
        <v>377.1</v>
      </c>
      <c r="J24" s="34"/>
      <c r="K24" s="33"/>
    </row>
    <row r="25" spans="1:11" x14ac:dyDescent="0.25">
      <c r="A25" s="29">
        <f t="shared" si="0"/>
        <v>22</v>
      </c>
      <c r="B25" s="1">
        <v>45623</v>
      </c>
      <c r="C25" s="3">
        <v>50.2</v>
      </c>
      <c r="D25" s="3">
        <v>32.61</v>
      </c>
      <c r="E25" s="3">
        <v>11.18</v>
      </c>
      <c r="F25" s="3">
        <v>282.72000000000003</v>
      </c>
      <c r="G25" s="3">
        <v>15.84</v>
      </c>
      <c r="H25" s="3">
        <v>384.68</v>
      </c>
      <c r="J25" s="34"/>
    </row>
    <row r="26" spans="1:11" x14ac:dyDescent="0.25">
      <c r="A26" s="29">
        <f t="shared" si="0"/>
        <v>23</v>
      </c>
      <c r="B26" s="1">
        <v>45622</v>
      </c>
      <c r="C26" s="3">
        <v>50.04</v>
      </c>
      <c r="D26" s="3">
        <v>32.380000000000003</v>
      </c>
      <c r="E26" s="3">
        <v>11.22</v>
      </c>
      <c r="F26" s="3">
        <v>277.02999999999997</v>
      </c>
      <c r="G26" s="3">
        <v>15.77</v>
      </c>
      <c r="H26" s="3">
        <v>376.44</v>
      </c>
      <c r="J26" s="34"/>
    </row>
    <row r="27" spans="1:11" x14ac:dyDescent="0.25">
      <c r="A27" s="29">
        <f t="shared" si="0"/>
        <v>24</v>
      </c>
      <c r="B27" s="1">
        <v>45621</v>
      </c>
      <c r="C27" s="3">
        <v>50.28</v>
      </c>
      <c r="D27" s="3">
        <v>32.979999999999997</v>
      </c>
      <c r="E27" s="3">
        <v>11.73</v>
      </c>
      <c r="F27" s="3">
        <v>293.89999999999998</v>
      </c>
      <c r="G27" s="3">
        <v>15.91</v>
      </c>
      <c r="H27" s="3">
        <v>375.93</v>
      </c>
      <c r="J27" s="34"/>
    </row>
    <row r="28" spans="1:11" x14ac:dyDescent="0.25">
      <c r="A28" s="29">
        <f t="shared" si="0"/>
        <v>25</v>
      </c>
      <c r="B28" s="1">
        <v>45618</v>
      </c>
      <c r="C28" s="3">
        <v>50.63</v>
      </c>
      <c r="D28" s="3">
        <v>34.65</v>
      </c>
      <c r="E28" s="3">
        <v>11.33</v>
      </c>
      <c r="F28" s="3">
        <v>305.58</v>
      </c>
      <c r="G28" s="3">
        <v>15.97</v>
      </c>
      <c r="H28" s="3">
        <v>376.93</v>
      </c>
      <c r="J28" s="34"/>
    </row>
    <row r="29" spans="1:11" x14ac:dyDescent="0.25">
      <c r="A29" s="29">
        <f t="shared" si="0"/>
        <v>26</v>
      </c>
      <c r="B29" s="1">
        <v>45617</v>
      </c>
      <c r="C29" s="3">
        <v>50.5</v>
      </c>
      <c r="D29" s="3">
        <v>34.76</v>
      </c>
      <c r="E29" s="3">
        <v>11.12</v>
      </c>
      <c r="F29" s="3">
        <v>300.52999999999997</v>
      </c>
      <c r="G29" s="3">
        <v>16.399999999999999</v>
      </c>
      <c r="H29" s="3">
        <v>369.6</v>
      </c>
      <c r="J29" s="34"/>
    </row>
    <row r="30" spans="1:11" x14ac:dyDescent="0.25">
      <c r="A30" s="29">
        <f t="shared" si="0"/>
        <v>27</v>
      </c>
      <c r="B30" s="1">
        <v>45616</v>
      </c>
      <c r="C30" s="3">
        <v>50.41</v>
      </c>
      <c r="D30" s="3">
        <v>35.11</v>
      </c>
      <c r="E30" s="3">
        <v>11.02</v>
      </c>
      <c r="F30" s="3">
        <v>305.14</v>
      </c>
      <c r="G30" s="3">
        <v>16.37</v>
      </c>
      <c r="H30" s="3">
        <v>367.85</v>
      </c>
      <c r="J30" s="34"/>
    </row>
    <row r="31" spans="1:11" x14ac:dyDescent="0.25">
      <c r="A31" s="29">
        <f t="shared" si="0"/>
        <v>28</v>
      </c>
      <c r="B31" s="1">
        <v>45615</v>
      </c>
      <c r="C31" s="3">
        <v>50.5</v>
      </c>
      <c r="D31" s="3">
        <v>35.32</v>
      </c>
      <c r="E31" s="3">
        <v>10.93</v>
      </c>
      <c r="F31" s="3">
        <v>304.83999999999997</v>
      </c>
      <c r="G31" s="3">
        <v>16.64</v>
      </c>
      <c r="H31" s="3">
        <v>368.46</v>
      </c>
    </row>
    <row r="32" spans="1:11" x14ac:dyDescent="0.25">
      <c r="A32" s="29">
        <f t="shared" si="0"/>
        <v>29</v>
      </c>
      <c r="B32" s="1">
        <v>45611</v>
      </c>
      <c r="C32" s="3">
        <v>50.6</v>
      </c>
      <c r="D32" s="3">
        <v>36.01</v>
      </c>
      <c r="E32" s="3">
        <v>11.2</v>
      </c>
      <c r="F32" s="3">
        <v>304.94</v>
      </c>
      <c r="G32" s="3">
        <v>16.489999999999998</v>
      </c>
      <c r="H32" s="3">
        <v>363.64</v>
      </c>
    </row>
    <row r="33" spans="1:8" x14ac:dyDescent="0.25">
      <c r="A33" s="29">
        <f t="shared" si="0"/>
        <v>30</v>
      </c>
      <c r="B33" s="1">
        <v>45610</v>
      </c>
      <c r="C33" s="3">
        <v>50.76</v>
      </c>
      <c r="D33" s="3">
        <v>35.14</v>
      </c>
      <c r="E33" s="3">
        <v>10.96</v>
      </c>
      <c r="F33" s="3">
        <v>281.83999999999997</v>
      </c>
      <c r="G33" s="3">
        <v>16.690000000000001</v>
      </c>
      <c r="H33" s="3">
        <v>364.48</v>
      </c>
    </row>
    <row r="34" spans="1:8" x14ac:dyDescent="0.25">
      <c r="A34" s="29">
        <f t="shared" si="0"/>
        <v>31</v>
      </c>
      <c r="B34" s="1">
        <v>45609</v>
      </c>
      <c r="C34" s="3">
        <v>50.88</v>
      </c>
      <c r="D34" s="3">
        <v>35.18</v>
      </c>
      <c r="E34" s="3">
        <v>10.94</v>
      </c>
      <c r="F34" s="3">
        <v>287.29000000000002</v>
      </c>
      <c r="G34" s="3">
        <v>15.88</v>
      </c>
      <c r="H34" s="3">
        <v>356.49</v>
      </c>
    </row>
    <row r="35" spans="1:8" x14ac:dyDescent="0.25">
      <c r="A35" s="29">
        <f t="shared" si="0"/>
        <v>32</v>
      </c>
      <c r="B35" s="1">
        <v>45608</v>
      </c>
      <c r="C35" s="3">
        <v>51.14</v>
      </c>
      <c r="D35" s="3">
        <v>35.36</v>
      </c>
      <c r="E35" s="3">
        <v>11.28</v>
      </c>
      <c r="F35" s="3">
        <v>283.26</v>
      </c>
      <c r="G35" s="3">
        <v>15.89</v>
      </c>
      <c r="H35" s="3">
        <v>356.1</v>
      </c>
    </row>
    <row r="36" spans="1:8" x14ac:dyDescent="0.25">
      <c r="A36" s="29">
        <f t="shared" si="0"/>
        <v>33</v>
      </c>
      <c r="B36" s="1">
        <v>45607</v>
      </c>
      <c r="C36" s="3">
        <v>51.6</v>
      </c>
      <c r="D36" s="3">
        <v>35.99</v>
      </c>
      <c r="E36" s="3">
        <v>11.55</v>
      </c>
      <c r="F36" s="3">
        <v>299.67</v>
      </c>
      <c r="G36" s="3">
        <v>15.39</v>
      </c>
      <c r="H36" s="3">
        <v>355.52</v>
      </c>
    </row>
    <row r="37" spans="1:8" x14ac:dyDescent="0.25">
      <c r="A37" s="29">
        <f t="shared" si="0"/>
        <v>34</v>
      </c>
      <c r="B37" s="1">
        <v>45604</v>
      </c>
      <c r="C37" s="3">
        <v>51.9</v>
      </c>
      <c r="D37" s="3">
        <v>36.42</v>
      </c>
      <c r="E37" s="3">
        <v>11.93</v>
      </c>
      <c r="F37" s="3">
        <v>301.58999999999997</v>
      </c>
      <c r="G37" s="3">
        <v>15.2</v>
      </c>
      <c r="H37" s="3">
        <v>354.99</v>
      </c>
    </row>
    <row r="38" spans="1:8" x14ac:dyDescent="0.25">
      <c r="A38" s="29">
        <f t="shared" si="0"/>
        <v>35</v>
      </c>
      <c r="B38" s="1">
        <v>45603</v>
      </c>
      <c r="C38" s="3">
        <v>52.19</v>
      </c>
      <c r="D38" s="3">
        <v>37.85</v>
      </c>
      <c r="E38" s="3">
        <v>12.09</v>
      </c>
      <c r="F38" s="3">
        <v>306.23</v>
      </c>
      <c r="G38" s="3">
        <v>15.08</v>
      </c>
      <c r="H38" s="3">
        <v>355.07</v>
      </c>
    </row>
    <row r="39" spans="1:8" x14ac:dyDescent="0.25">
      <c r="A39" s="29">
        <f t="shared" si="0"/>
        <v>36</v>
      </c>
      <c r="B39" s="1">
        <v>45602</v>
      </c>
      <c r="C39" s="3">
        <v>51.73</v>
      </c>
      <c r="D39" s="3">
        <v>36.630000000000003</v>
      </c>
      <c r="E39" s="3">
        <v>11.58</v>
      </c>
      <c r="F39" s="3">
        <v>308.24</v>
      </c>
      <c r="G39" s="3">
        <v>14.75</v>
      </c>
      <c r="H39" s="3">
        <v>346.35</v>
      </c>
    </row>
    <row r="40" spans="1:8" x14ac:dyDescent="0.25">
      <c r="A40" s="29">
        <f t="shared" si="0"/>
        <v>37</v>
      </c>
      <c r="B40" s="1">
        <v>45601</v>
      </c>
      <c r="C40" s="3">
        <v>50.89</v>
      </c>
      <c r="D40" s="3">
        <v>36.090000000000003</v>
      </c>
      <c r="E40" s="3">
        <v>10.66</v>
      </c>
      <c r="F40" s="3">
        <v>310.60000000000002</v>
      </c>
      <c r="G40" s="3">
        <v>15.02</v>
      </c>
      <c r="H40" s="3">
        <v>339.14</v>
      </c>
    </row>
    <row r="41" spans="1:8" x14ac:dyDescent="0.25">
      <c r="A41" s="29">
        <f t="shared" si="0"/>
        <v>38</v>
      </c>
      <c r="B41" s="1">
        <v>45600</v>
      </c>
      <c r="C41" s="3">
        <v>50.92</v>
      </c>
      <c r="D41" s="3">
        <v>36.81</v>
      </c>
      <c r="E41" s="3">
        <v>10.47</v>
      </c>
      <c r="F41" s="3">
        <v>316.81</v>
      </c>
      <c r="G41" s="3">
        <v>15.05</v>
      </c>
      <c r="H41" s="3">
        <v>334.11</v>
      </c>
    </row>
    <row r="42" spans="1:8" x14ac:dyDescent="0.25">
      <c r="A42" s="29">
        <f t="shared" si="0"/>
        <v>39</v>
      </c>
      <c r="B42" s="1">
        <v>45597</v>
      </c>
      <c r="C42" s="3">
        <v>50.61</v>
      </c>
      <c r="D42" s="3">
        <v>36.15</v>
      </c>
      <c r="E42" s="3">
        <v>10.57</v>
      </c>
      <c r="F42" s="3">
        <v>314.67</v>
      </c>
      <c r="G42" s="3">
        <v>14.85</v>
      </c>
      <c r="H42" s="3">
        <v>332.09</v>
      </c>
    </row>
    <row r="43" spans="1:8" x14ac:dyDescent="0.25">
      <c r="A43" s="29">
        <f t="shared" si="0"/>
        <v>40</v>
      </c>
      <c r="B43" s="1">
        <v>45596</v>
      </c>
      <c r="C43" s="3">
        <v>50.61</v>
      </c>
      <c r="D43" s="3">
        <v>36.19</v>
      </c>
      <c r="E43" s="3">
        <v>10.54</v>
      </c>
      <c r="F43" s="3">
        <v>314.31</v>
      </c>
      <c r="G43" s="3">
        <v>14.89</v>
      </c>
      <c r="H43" s="3">
        <v>340.7</v>
      </c>
    </row>
    <row r="44" spans="1:8" x14ac:dyDescent="0.25">
      <c r="A44" s="29">
        <f t="shared" si="0"/>
        <v>41</v>
      </c>
      <c r="B44" s="1">
        <v>45595</v>
      </c>
      <c r="C44" s="3">
        <v>50.89</v>
      </c>
      <c r="D44" s="3">
        <v>36.229999999999997</v>
      </c>
      <c r="E44" s="3">
        <v>10.62</v>
      </c>
      <c r="F44" s="3">
        <v>318.77999999999997</v>
      </c>
      <c r="G44" s="3">
        <v>14.93</v>
      </c>
      <c r="H44" s="3">
        <v>343.94</v>
      </c>
    </row>
    <row r="45" spans="1:8" x14ac:dyDescent="0.25">
      <c r="A45" s="29">
        <f t="shared" si="0"/>
        <v>42</v>
      </c>
      <c r="B45" s="1">
        <v>45594</v>
      </c>
      <c r="C45" s="3">
        <v>51.19</v>
      </c>
      <c r="D45" s="3">
        <v>36.15</v>
      </c>
      <c r="E45" s="3">
        <v>10.59</v>
      </c>
      <c r="F45" s="3">
        <v>316.98</v>
      </c>
      <c r="G45" s="3">
        <v>14.74</v>
      </c>
      <c r="H45" s="3">
        <v>350.98</v>
      </c>
    </row>
    <row r="46" spans="1:8" x14ac:dyDescent="0.25">
      <c r="A46" s="29">
        <f t="shared" si="0"/>
        <v>43</v>
      </c>
      <c r="B46" s="1">
        <v>45593</v>
      </c>
      <c r="C46" s="3">
        <v>51.77</v>
      </c>
      <c r="D46" s="3">
        <v>36.6</v>
      </c>
      <c r="E46" s="3">
        <v>11.01</v>
      </c>
      <c r="F46" s="3">
        <v>305.12</v>
      </c>
      <c r="G46" s="3">
        <v>14.38</v>
      </c>
      <c r="H46" s="3">
        <v>351.81</v>
      </c>
    </row>
    <row r="47" spans="1:8" x14ac:dyDescent="0.25">
      <c r="A47" s="29">
        <f t="shared" si="0"/>
        <v>44</v>
      </c>
      <c r="B47" s="1">
        <v>45590</v>
      </c>
      <c r="C47" s="3">
        <v>51.7</v>
      </c>
      <c r="D47" s="3">
        <v>36.6</v>
      </c>
      <c r="E47" s="3">
        <v>11.94</v>
      </c>
      <c r="F47" s="3">
        <v>299.54000000000002</v>
      </c>
      <c r="G47" s="3">
        <v>14.16</v>
      </c>
      <c r="H47" s="3">
        <v>337.62</v>
      </c>
    </row>
    <row r="48" spans="1:8" x14ac:dyDescent="0.25">
      <c r="A48" s="29">
        <f t="shared" si="0"/>
        <v>45</v>
      </c>
      <c r="B48" s="1">
        <v>45589</v>
      </c>
      <c r="C48" s="3">
        <v>51.69</v>
      </c>
      <c r="D48" s="3">
        <v>36.89</v>
      </c>
      <c r="E48" s="3">
        <v>11.95</v>
      </c>
      <c r="F48" s="3">
        <v>304.75</v>
      </c>
      <c r="G48" s="3">
        <v>14.02</v>
      </c>
      <c r="H48" s="3">
        <v>333.53</v>
      </c>
    </row>
    <row r="49" spans="1:8" x14ac:dyDescent="0.25">
      <c r="A49" s="29">
        <f t="shared" si="0"/>
        <v>46</v>
      </c>
      <c r="B49" s="1">
        <v>45588</v>
      </c>
      <c r="C49" s="3">
        <v>51.91</v>
      </c>
      <c r="D49" s="3">
        <v>36.909999999999997</v>
      </c>
      <c r="E49" s="3">
        <v>11.7</v>
      </c>
      <c r="F49" s="3">
        <v>299.33999999999997</v>
      </c>
      <c r="G49" s="3">
        <v>13.92</v>
      </c>
      <c r="H49" s="3">
        <v>334.15</v>
      </c>
    </row>
    <row r="50" spans="1:8" x14ac:dyDescent="0.25">
      <c r="A50" s="29">
        <f t="shared" si="0"/>
        <v>47</v>
      </c>
      <c r="B50" s="1">
        <v>45587</v>
      </c>
      <c r="C50" s="3">
        <v>52.07</v>
      </c>
      <c r="D50" s="3">
        <v>37.28</v>
      </c>
      <c r="E50" s="3">
        <v>11.67</v>
      </c>
      <c r="F50" s="3">
        <v>300.27999999999997</v>
      </c>
      <c r="G50" s="3">
        <v>14.16</v>
      </c>
      <c r="H50" s="3">
        <v>340.26</v>
      </c>
    </row>
    <row r="51" spans="1:8" x14ac:dyDescent="0.25">
      <c r="A51" s="29">
        <f t="shared" si="0"/>
        <v>48</v>
      </c>
      <c r="B51" s="1">
        <v>45586</v>
      </c>
      <c r="C51" s="3">
        <v>52.69</v>
      </c>
      <c r="D51" s="3">
        <v>37.630000000000003</v>
      </c>
      <c r="E51" s="3">
        <v>11.78</v>
      </c>
      <c r="F51" s="3">
        <v>299.98</v>
      </c>
      <c r="G51" s="3">
        <v>13.99</v>
      </c>
      <c r="H51" s="3">
        <v>339.83</v>
      </c>
    </row>
    <row r="52" spans="1:8" x14ac:dyDescent="0.25">
      <c r="A52" s="29">
        <f t="shared" si="0"/>
        <v>49</v>
      </c>
      <c r="B52" s="1">
        <v>45583</v>
      </c>
      <c r="C52" s="3">
        <v>52.84</v>
      </c>
      <c r="D52" s="3">
        <v>37.880000000000003</v>
      </c>
      <c r="E52" s="3">
        <v>11.95</v>
      </c>
      <c r="F52" s="3">
        <v>293.62</v>
      </c>
      <c r="G52" s="3">
        <v>14.17</v>
      </c>
      <c r="H52" s="3">
        <v>338.18</v>
      </c>
    </row>
    <row r="53" spans="1:8" x14ac:dyDescent="0.25">
      <c r="A53" s="29">
        <f t="shared" si="0"/>
        <v>50</v>
      </c>
      <c r="B53" s="1">
        <v>45582</v>
      </c>
      <c r="C53" s="3">
        <v>52.33</v>
      </c>
      <c r="D53" s="3">
        <v>37.799999999999997</v>
      </c>
      <c r="E53" s="3">
        <v>11.78</v>
      </c>
      <c r="F53" s="3">
        <v>281.41000000000003</v>
      </c>
      <c r="G53" s="3">
        <v>13.65</v>
      </c>
      <c r="H53" s="3">
        <v>336.31</v>
      </c>
    </row>
    <row r="54" spans="1:8" x14ac:dyDescent="0.25">
      <c r="A54" s="29">
        <f t="shared" si="0"/>
        <v>51</v>
      </c>
      <c r="B54" s="1">
        <v>45581</v>
      </c>
      <c r="C54" s="3">
        <v>52.29</v>
      </c>
      <c r="D54" s="3">
        <v>38.729999999999997</v>
      </c>
      <c r="E54" s="3">
        <v>11.81</v>
      </c>
      <c r="F54" s="3">
        <v>277.25</v>
      </c>
      <c r="G54" s="3">
        <v>13.84</v>
      </c>
      <c r="H54" s="3">
        <v>338.1</v>
      </c>
    </row>
    <row r="55" spans="1:8" x14ac:dyDescent="0.25">
      <c r="A55" s="29">
        <f t="shared" si="0"/>
        <v>52</v>
      </c>
      <c r="B55" s="1">
        <v>45580</v>
      </c>
      <c r="C55" s="3">
        <v>52.22</v>
      </c>
      <c r="D55" s="3">
        <v>37.700000000000003</v>
      </c>
      <c r="E55" s="3">
        <v>11.72</v>
      </c>
      <c r="F55" s="3">
        <v>273.20999999999998</v>
      </c>
      <c r="G55" s="3">
        <v>13.06</v>
      </c>
      <c r="H55" s="3">
        <v>340.41</v>
      </c>
    </row>
    <row r="56" spans="1:8" x14ac:dyDescent="0.25">
      <c r="A56" s="29">
        <f t="shared" si="0"/>
        <v>53</v>
      </c>
      <c r="B56" s="1">
        <v>45579</v>
      </c>
      <c r="C56" s="3">
        <v>52</v>
      </c>
      <c r="D56" s="3">
        <v>38.090000000000003</v>
      </c>
      <c r="E56" s="3">
        <v>11.68</v>
      </c>
      <c r="F56" s="3">
        <v>269.5</v>
      </c>
      <c r="G56" s="3">
        <v>12.31</v>
      </c>
      <c r="H56" s="3">
        <v>333.78</v>
      </c>
    </row>
    <row r="57" spans="1:8" x14ac:dyDescent="0.25">
      <c r="A57" s="29">
        <f t="shared" si="0"/>
        <v>54</v>
      </c>
      <c r="B57" s="1">
        <v>45576</v>
      </c>
      <c r="C57" s="3">
        <v>52.16</v>
      </c>
      <c r="D57" s="3">
        <v>38.17</v>
      </c>
      <c r="E57" s="3">
        <v>11.97</v>
      </c>
      <c r="F57" s="3">
        <v>274.08999999999997</v>
      </c>
      <c r="G57" s="3">
        <v>12.16</v>
      </c>
      <c r="H57" s="3">
        <v>327.69</v>
      </c>
    </row>
    <row r="58" spans="1:8" x14ac:dyDescent="0.25">
      <c r="A58" s="29">
        <f t="shared" si="0"/>
        <v>55</v>
      </c>
      <c r="B58" s="1">
        <v>45575</v>
      </c>
      <c r="C58" s="3">
        <v>52.19</v>
      </c>
      <c r="D58" s="3">
        <v>37.979999999999997</v>
      </c>
      <c r="E58" s="3">
        <v>12.01</v>
      </c>
      <c r="F58" s="3">
        <v>270.61</v>
      </c>
      <c r="G58" s="3">
        <v>12.14</v>
      </c>
      <c r="H58" s="3">
        <v>336.48</v>
      </c>
    </row>
    <row r="59" spans="1:8" x14ac:dyDescent="0.25">
      <c r="A59" s="29">
        <f t="shared" si="0"/>
        <v>56</v>
      </c>
      <c r="B59" s="1">
        <v>45574</v>
      </c>
      <c r="C59" s="3">
        <v>51.87</v>
      </c>
      <c r="D59" s="3">
        <v>37.94</v>
      </c>
      <c r="E59" s="3">
        <v>11.82</v>
      </c>
      <c r="F59" s="3">
        <v>266.2</v>
      </c>
      <c r="G59" s="3">
        <v>12.09</v>
      </c>
      <c r="H59" s="3">
        <v>330.87</v>
      </c>
    </row>
    <row r="60" spans="1:8" x14ac:dyDescent="0.25">
      <c r="A60" s="29">
        <f t="shared" si="0"/>
        <v>57</v>
      </c>
      <c r="B60" s="1">
        <v>45573</v>
      </c>
      <c r="C60" s="3">
        <v>51.74</v>
      </c>
      <c r="D60" s="3">
        <v>37.99</v>
      </c>
      <c r="E60" s="3">
        <v>11.8</v>
      </c>
      <c r="F60" s="3">
        <v>261.64</v>
      </c>
      <c r="G60" s="3">
        <v>11.95</v>
      </c>
      <c r="H60" s="3">
        <v>327.85</v>
      </c>
    </row>
    <row r="61" spans="1:8" x14ac:dyDescent="0.25">
      <c r="A61" s="29">
        <f t="shared" si="0"/>
        <v>58</v>
      </c>
      <c r="B61" s="1">
        <v>45572</v>
      </c>
      <c r="C61" s="3">
        <v>52</v>
      </c>
      <c r="D61" s="3">
        <v>38.17</v>
      </c>
      <c r="E61" s="3">
        <v>11.43</v>
      </c>
      <c r="F61" s="3">
        <v>262.58999999999997</v>
      </c>
      <c r="G61" s="3">
        <v>12.02</v>
      </c>
      <c r="H61" s="3">
        <v>326.05</v>
      </c>
    </row>
    <row r="62" spans="1:8" x14ac:dyDescent="0.25">
      <c r="A62" s="29">
        <f t="shared" si="0"/>
        <v>59</v>
      </c>
      <c r="B62" s="1">
        <v>45569</v>
      </c>
      <c r="C62" s="3">
        <v>52.5</v>
      </c>
      <c r="D62" s="3">
        <v>38.58</v>
      </c>
      <c r="E62" s="3">
        <v>11.42</v>
      </c>
      <c r="F62" s="3">
        <v>268.26</v>
      </c>
      <c r="G62" s="3">
        <v>11.9</v>
      </c>
      <c r="H62" s="3">
        <v>325.91000000000003</v>
      </c>
    </row>
    <row r="63" spans="1:8" x14ac:dyDescent="0.25">
      <c r="A63" s="29">
        <f t="shared" si="0"/>
        <v>60</v>
      </c>
      <c r="B63" s="1">
        <v>45568</v>
      </c>
      <c r="C63" s="3">
        <v>51.56</v>
      </c>
      <c r="D63" s="3">
        <v>38.39</v>
      </c>
      <c r="E63" s="3">
        <v>11.63</v>
      </c>
      <c r="F63" s="3">
        <v>259.81</v>
      </c>
      <c r="G63" s="3">
        <v>11.77</v>
      </c>
      <c r="H63" s="3">
        <v>319.52999999999997</v>
      </c>
    </row>
    <row r="64" spans="1:8" x14ac:dyDescent="0.25">
      <c r="A64" s="29">
        <f t="shared" si="0"/>
        <v>61</v>
      </c>
      <c r="B64" s="1">
        <v>45567</v>
      </c>
      <c r="C64" s="3">
        <v>52.16</v>
      </c>
      <c r="D64" s="3">
        <v>38.76</v>
      </c>
      <c r="E64" s="3">
        <v>11.51</v>
      </c>
      <c r="F64" s="3">
        <v>263.45999999999998</v>
      </c>
      <c r="G64" s="3">
        <v>12.39</v>
      </c>
      <c r="H64" s="3">
        <v>328.87</v>
      </c>
    </row>
    <row r="65" spans="1:8" x14ac:dyDescent="0.25">
      <c r="A65" s="29">
        <f t="shared" si="0"/>
        <v>62</v>
      </c>
      <c r="B65" s="1">
        <v>45565</v>
      </c>
      <c r="C65" s="3">
        <v>52.52</v>
      </c>
      <c r="D65" s="3">
        <v>39.32</v>
      </c>
      <c r="E65" s="3">
        <v>12.06</v>
      </c>
      <c r="F65" s="3">
        <v>261.33999999999997</v>
      </c>
      <c r="G65" s="3">
        <v>12.43</v>
      </c>
      <c r="H65" s="3">
        <v>335.73</v>
      </c>
    </row>
    <row r="66" spans="1:8" x14ac:dyDescent="0.25">
      <c r="A66" s="29">
        <f t="shared" si="0"/>
        <v>63</v>
      </c>
      <c r="B66" s="1">
        <v>45562</v>
      </c>
      <c r="C66" s="3">
        <v>52.68</v>
      </c>
      <c r="D66" s="3">
        <v>39.5</v>
      </c>
      <c r="E66" s="3">
        <v>12.26</v>
      </c>
      <c r="F66" s="3">
        <v>271.77</v>
      </c>
      <c r="G66" s="3">
        <v>12.82</v>
      </c>
      <c r="H66" s="3">
        <v>343.73</v>
      </c>
    </row>
    <row r="67" spans="1:8" x14ac:dyDescent="0.25">
      <c r="A67" s="29">
        <f t="shared" si="0"/>
        <v>64</v>
      </c>
      <c r="B67" s="1">
        <v>45561</v>
      </c>
      <c r="C67" s="3">
        <v>53.67</v>
      </c>
      <c r="D67" s="3">
        <v>40</v>
      </c>
      <c r="E67" s="3">
        <v>12.6</v>
      </c>
      <c r="F67" s="3">
        <v>292.35000000000002</v>
      </c>
      <c r="G67" s="3">
        <v>12.77</v>
      </c>
      <c r="H67" s="3">
        <v>347.85</v>
      </c>
    </row>
    <row r="68" spans="1:8" x14ac:dyDescent="0.25">
      <c r="A68" s="29">
        <f t="shared" si="0"/>
        <v>65</v>
      </c>
      <c r="B68" s="1">
        <v>45560</v>
      </c>
      <c r="C68" s="3">
        <v>53</v>
      </c>
      <c r="D68" s="3">
        <v>39.19</v>
      </c>
      <c r="E68" s="3">
        <v>12.54</v>
      </c>
      <c r="F68" s="3">
        <v>280.49</v>
      </c>
      <c r="G68" s="3">
        <v>12.32</v>
      </c>
      <c r="H68" s="3">
        <v>346.49</v>
      </c>
    </row>
    <row r="69" spans="1:8" x14ac:dyDescent="0.25">
      <c r="A69" s="29">
        <f t="shared" ref="A69:A132" si="1">+A68+1</f>
        <v>66</v>
      </c>
      <c r="B69" s="1">
        <v>45559</v>
      </c>
      <c r="C69" s="3">
        <v>53.47</v>
      </c>
      <c r="D69" s="3">
        <v>40.270000000000003</v>
      </c>
      <c r="E69" s="3">
        <v>12.62</v>
      </c>
      <c r="F69" s="3">
        <v>298.54000000000002</v>
      </c>
      <c r="G69" s="3">
        <v>12.07</v>
      </c>
      <c r="H69" s="3">
        <v>349.71</v>
      </c>
    </row>
    <row r="70" spans="1:8" x14ac:dyDescent="0.25">
      <c r="A70" s="29">
        <f t="shared" si="1"/>
        <v>67</v>
      </c>
      <c r="B70" s="1">
        <v>45558</v>
      </c>
      <c r="C70" s="3">
        <v>52.23</v>
      </c>
      <c r="D70" s="3">
        <v>39.67</v>
      </c>
      <c r="E70" s="3">
        <v>12.49</v>
      </c>
      <c r="F70" s="3">
        <v>276.86</v>
      </c>
      <c r="G70" s="3">
        <v>12.32</v>
      </c>
      <c r="H70" s="3">
        <v>347.25</v>
      </c>
    </row>
    <row r="71" spans="1:8" x14ac:dyDescent="0.25">
      <c r="A71" s="29">
        <f t="shared" si="1"/>
        <v>68</v>
      </c>
      <c r="B71" s="1">
        <v>45555</v>
      </c>
      <c r="C71" s="3">
        <v>52.16</v>
      </c>
      <c r="D71" s="3">
        <v>40.93</v>
      </c>
      <c r="E71" s="3">
        <v>12.48</v>
      </c>
      <c r="F71" s="3">
        <v>277.25</v>
      </c>
      <c r="G71" s="3">
        <v>12.41</v>
      </c>
      <c r="H71" s="3">
        <v>350.16</v>
      </c>
    </row>
    <row r="72" spans="1:8" x14ac:dyDescent="0.25">
      <c r="A72" s="29">
        <f t="shared" si="1"/>
        <v>69</v>
      </c>
      <c r="B72" s="1">
        <v>45554</v>
      </c>
      <c r="C72" s="3">
        <v>52.74</v>
      </c>
      <c r="D72" s="3">
        <v>39.42</v>
      </c>
      <c r="E72" s="3">
        <v>12.33</v>
      </c>
      <c r="F72" s="3">
        <v>263.06</v>
      </c>
      <c r="G72" s="3">
        <v>12.69</v>
      </c>
      <c r="H72" s="3">
        <v>346.96</v>
      </c>
    </row>
    <row r="73" spans="1:8" x14ac:dyDescent="0.25">
      <c r="A73" s="29">
        <f t="shared" si="1"/>
        <v>70</v>
      </c>
      <c r="B73" s="1">
        <v>45553</v>
      </c>
      <c r="C73" s="3">
        <v>52.51</v>
      </c>
      <c r="D73" s="3">
        <v>39.770000000000003</v>
      </c>
      <c r="E73" s="3">
        <v>11.94</v>
      </c>
      <c r="F73" s="3">
        <v>258.61</v>
      </c>
      <c r="G73" s="3">
        <v>12.94</v>
      </c>
      <c r="H73" s="3">
        <v>346.59</v>
      </c>
    </row>
    <row r="74" spans="1:8" x14ac:dyDescent="0.25">
      <c r="A74" s="29">
        <f t="shared" si="1"/>
        <v>71</v>
      </c>
      <c r="B74" s="1">
        <v>45552</v>
      </c>
      <c r="C74" s="3">
        <v>52.17</v>
      </c>
      <c r="D74" s="3">
        <v>40.04</v>
      </c>
      <c r="E74" s="3">
        <v>11.74</v>
      </c>
      <c r="F74" s="3">
        <v>257.85000000000002</v>
      </c>
      <c r="G74" s="3">
        <v>12.9</v>
      </c>
      <c r="H74" s="3">
        <v>340.55</v>
      </c>
    </row>
    <row r="75" spans="1:8" x14ac:dyDescent="0.25">
      <c r="A75" s="29">
        <f t="shared" si="1"/>
        <v>72</v>
      </c>
      <c r="B75" s="1">
        <v>45548</v>
      </c>
      <c r="C75" s="3">
        <v>51.89</v>
      </c>
      <c r="D75" s="3">
        <v>38.630000000000003</v>
      </c>
      <c r="E75" s="3">
        <v>11.59</v>
      </c>
      <c r="F75" s="3">
        <v>249.19</v>
      </c>
      <c r="G75" s="3">
        <v>12.46</v>
      </c>
      <c r="H75" s="3">
        <v>329.39</v>
      </c>
    </row>
    <row r="76" spans="1:8" x14ac:dyDescent="0.25">
      <c r="A76" s="29">
        <f t="shared" si="1"/>
        <v>73</v>
      </c>
      <c r="B76" s="1">
        <v>45547</v>
      </c>
      <c r="C76" s="3">
        <v>51.97</v>
      </c>
      <c r="D76" s="3">
        <v>39.200000000000003</v>
      </c>
      <c r="E76" s="3">
        <v>11.65</v>
      </c>
      <c r="F76" s="3">
        <v>241.52</v>
      </c>
      <c r="G76" s="3">
        <v>12.79</v>
      </c>
      <c r="H76" s="3">
        <v>329.43</v>
      </c>
    </row>
    <row r="77" spans="1:8" x14ac:dyDescent="0.25">
      <c r="A77" s="29">
        <f t="shared" si="1"/>
        <v>74</v>
      </c>
      <c r="B77" s="1">
        <v>45546</v>
      </c>
      <c r="C77" s="3">
        <v>51.2</v>
      </c>
      <c r="D77" s="3">
        <v>38.520000000000003</v>
      </c>
      <c r="E77" s="3">
        <v>11.32</v>
      </c>
      <c r="F77" s="3">
        <v>236.75</v>
      </c>
      <c r="G77" s="3">
        <v>12.6</v>
      </c>
      <c r="H77" s="3">
        <v>329.35</v>
      </c>
    </row>
    <row r="78" spans="1:8" x14ac:dyDescent="0.25">
      <c r="A78" s="29">
        <f t="shared" si="1"/>
        <v>75</v>
      </c>
      <c r="B78" s="1">
        <v>45545</v>
      </c>
      <c r="C78" s="3">
        <v>50.89</v>
      </c>
      <c r="D78" s="3">
        <v>38.72</v>
      </c>
      <c r="E78" s="3">
        <v>11.28</v>
      </c>
      <c r="F78" s="3">
        <v>237.55</v>
      </c>
      <c r="G78" s="3">
        <v>12.38</v>
      </c>
      <c r="H78" s="3">
        <v>330.54</v>
      </c>
    </row>
    <row r="79" spans="1:8" x14ac:dyDescent="0.25">
      <c r="A79" s="29">
        <f t="shared" si="1"/>
        <v>76</v>
      </c>
      <c r="B79" s="1">
        <v>45544</v>
      </c>
      <c r="C79" s="3">
        <v>51.11</v>
      </c>
      <c r="D79" s="3">
        <v>35.69</v>
      </c>
      <c r="E79" s="3">
        <v>11.29</v>
      </c>
      <c r="F79" s="3">
        <v>232.28</v>
      </c>
      <c r="G79" s="3">
        <v>12.15</v>
      </c>
      <c r="H79" s="3">
        <v>330.68</v>
      </c>
    </row>
    <row r="80" spans="1:8" x14ac:dyDescent="0.25">
      <c r="A80" s="29">
        <f t="shared" si="1"/>
        <v>77</v>
      </c>
      <c r="B80" s="1">
        <v>45541</v>
      </c>
      <c r="C80" s="3">
        <v>51.09</v>
      </c>
      <c r="D80" s="3">
        <v>34.01</v>
      </c>
      <c r="E80" s="3">
        <v>11.36</v>
      </c>
      <c r="F80" s="3">
        <v>229.95</v>
      </c>
      <c r="G80" s="3">
        <v>11.83</v>
      </c>
      <c r="H80" s="3">
        <v>328.16</v>
      </c>
    </row>
    <row r="81" spans="1:8" x14ac:dyDescent="0.25">
      <c r="A81" s="29">
        <f t="shared" si="1"/>
        <v>78</v>
      </c>
      <c r="B81" s="1">
        <v>45540</v>
      </c>
      <c r="C81" s="3">
        <v>51.66</v>
      </c>
      <c r="D81" s="3">
        <v>34.049999999999997</v>
      </c>
      <c r="E81" s="3">
        <v>11.64</v>
      </c>
      <c r="F81" s="3">
        <v>233.38</v>
      </c>
      <c r="G81" s="3">
        <v>11.63</v>
      </c>
      <c r="H81" s="3">
        <v>338.72</v>
      </c>
    </row>
    <row r="82" spans="1:8" x14ac:dyDescent="0.25">
      <c r="A82" s="29">
        <f t="shared" si="1"/>
        <v>79</v>
      </c>
      <c r="B82" s="1">
        <v>45539</v>
      </c>
      <c r="C82" s="3">
        <v>51.68</v>
      </c>
      <c r="D82" s="3">
        <v>33.46</v>
      </c>
      <c r="E82" s="3">
        <v>11.54</v>
      </c>
      <c r="F82" s="3">
        <v>230.27</v>
      </c>
      <c r="G82" s="3">
        <v>11.18</v>
      </c>
      <c r="H82" s="3">
        <v>343.65</v>
      </c>
    </row>
    <row r="83" spans="1:8" x14ac:dyDescent="0.25">
      <c r="A83" s="29">
        <f t="shared" si="1"/>
        <v>80</v>
      </c>
      <c r="B83" s="1">
        <v>45538</v>
      </c>
      <c r="C83" s="3">
        <v>51.51</v>
      </c>
      <c r="D83" s="3">
        <v>33.89</v>
      </c>
      <c r="E83" s="3">
        <v>11.84</v>
      </c>
      <c r="F83" s="3">
        <v>235.21</v>
      </c>
      <c r="G83" s="3">
        <v>11.17</v>
      </c>
      <c r="H83" s="3">
        <v>337.76</v>
      </c>
    </row>
    <row r="84" spans="1:8" x14ac:dyDescent="0.25">
      <c r="A84" s="29">
        <f t="shared" si="1"/>
        <v>81</v>
      </c>
      <c r="B84" s="1">
        <v>45537</v>
      </c>
      <c r="C84" s="3">
        <v>52.45</v>
      </c>
      <c r="D84" s="3">
        <v>33.380000000000003</v>
      </c>
      <c r="E84" s="3">
        <v>11.97</v>
      </c>
      <c r="F84" s="3">
        <v>238.92</v>
      </c>
      <c r="G84" s="3">
        <v>11.15</v>
      </c>
      <c r="H84" s="3">
        <v>343.55</v>
      </c>
    </row>
    <row r="85" spans="1:8" x14ac:dyDescent="0.25">
      <c r="A85" s="29">
        <f t="shared" si="1"/>
        <v>82</v>
      </c>
      <c r="B85" s="1">
        <v>45534</v>
      </c>
      <c r="C85" s="3">
        <v>51.84</v>
      </c>
      <c r="D85" s="3">
        <v>33.700000000000003</v>
      </c>
      <c r="E85" s="3">
        <v>11.97</v>
      </c>
      <c r="F85" s="3">
        <v>236.34</v>
      </c>
      <c r="G85" s="3">
        <v>11.2</v>
      </c>
      <c r="H85" s="3">
        <v>342.47</v>
      </c>
    </row>
    <row r="86" spans="1:8" x14ac:dyDescent="0.25">
      <c r="A86" s="29">
        <f t="shared" si="1"/>
        <v>83</v>
      </c>
      <c r="B86" s="1">
        <v>45533</v>
      </c>
      <c r="C86" s="3">
        <v>52.12</v>
      </c>
      <c r="D86" s="3">
        <v>34.04</v>
      </c>
      <c r="E86" s="3">
        <v>11.95</v>
      </c>
      <c r="F86" s="3">
        <v>236.91</v>
      </c>
      <c r="G86" s="3">
        <v>11.37</v>
      </c>
      <c r="H86" s="3">
        <v>346.39</v>
      </c>
    </row>
    <row r="87" spans="1:8" x14ac:dyDescent="0.25">
      <c r="A87" s="29">
        <f t="shared" si="1"/>
        <v>84</v>
      </c>
      <c r="B87" s="1">
        <v>45532</v>
      </c>
      <c r="C87" s="3">
        <v>51.41</v>
      </c>
      <c r="D87" s="3">
        <v>34.51</v>
      </c>
      <c r="E87" s="3">
        <v>11.66</v>
      </c>
      <c r="F87" s="3">
        <v>238.29</v>
      </c>
      <c r="G87" s="3">
        <v>11.32</v>
      </c>
      <c r="H87" s="3">
        <v>328.86</v>
      </c>
    </row>
    <row r="88" spans="1:8" x14ac:dyDescent="0.25">
      <c r="A88" s="29">
        <f t="shared" si="1"/>
        <v>85</v>
      </c>
      <c r="B88" s="1">
        <v>45531</v>
      </c>
      <c r="C88" s="3">
        <v>51.51</v>
      </c>
      <c r="D88" s="3">
        <v>34.71</v>
      </c>
      <c r="E88" s="3">
        <v>11.81</v>
      </c>
      <c r="F88" s="3">
        <v>247.12</v>
      </c>
      <c r="G88" s="3">
        <v>11.25</v>
      </c>
      <c r="H88" s="3">
        <v>303.31</v>
      </c>
    </row>
    <row r="89" spans="1:8" x14ac:dyDescent="0.25">
      <c r="A89" s="29">
        <f t="shared" si="1"/>
        <v>86</v>
      </c>
      <c r="B89" s="1">
        <v>45530</v>
      </c>
      <c r="C89" s="3">
        <v>52.14</v>
      </c>
      <c r="D89" s="3">
        <v>33.78</v>
      </c>
      <c r="E89" s="3">
        <v>12.16</v>
      </c>
      <c r="F89" s="3">
        <v>251.88</v>
      </c>
      <c r="G89" s="3">
        <v>11.16</v>
      </c>
      <c r="H89" s="3">
        <v>309.63</v>
      </c>
    </row>
    <row r="90" spans="1:8" x14ac:dyDescent="0.25">
      <c r="A90" s="29">
        <f t="shared" si="1"/>
        <v>87</v>
      </c>
      <c r="B90" s="1">
        <v>45527</v>
      </c>
      <c r="C90" s="3">
        <v>52.33</v>
      </c>
      <c r="D90" s="3">
        <v>33.18</v>
      </c>
      <c r="E90" s="3">
        <v>12.51</v>
      </c>
      <c r="F90" s="3">
        <v>250.87</v>
      </c>
      <c r="G90" s="3">
        <v>11.22</v>
      </c>
      <c r="H90" s="3">
        <v>311.38</v>
      </c>
    </row>
    <row r="91" spans="1:8" x14ac:dyDescent="0.25">
      <c r="A91" s="29">
        <f t="shared" si="1"/>
        <v>88</v>
      </c>
      <c r="B91" s="1">
        <v>45526</v>
      </c>
      <c r="C91" s="3">
        <v>52.22</v>
      </c>
      <c r="D91" s="3">
        <v>33.35</v>
      </c>
      <c r="E91" s="3">
        <v>12.41</v>
      </c>
      <c r="F91" s="3">
        <v>250.14</v>
      </c>
      <c r="G91" s="3">
        <v>10.71</v>
      </c>
      <c r="H91" s="3">
        <v>303.39999999999998</v>
      </c>
    </row>
    <row r="92" spans="1:8" x14ac:dyDescent="0.25">
      <c r="A92" s="29">
        <f t="shared" si="1"/>
        <v>89</v>
      </c>
      <c r="B92" s="1">
        <v>45525</v>
      </c>
      <c r="C92" s="3">
        <v>52.78</v>
      </c>
      <c r="D92" s="3">
        <v>33.33</v>
      </c>
      <c r="E92" s="3">
        <v>12.41</v>
      </c>
      <c r="F92" s="3">
        <v>258.72000000000003</v>
      </c>
      <c r="G92" s="3">
        <v>10.71</v>
      </c>
      <c r="H92" s="3">
        <v>303.05</v>
      </c>
    </row>
    <row r="93" spans="1:8" x14ac:dyDescent="0.25">
      <c r="A93" s="29">
        <f t="shared" si="1"/>
        <v>90</v>
      </c>
      <c r="B93" s="1">
        <v>45524</v>
      </c>
      <c r="C93" s="3">
        <v>52.75</v>
      </c>
      <c r="D93" s="3">
        <v>33.54</v>
      </c>
      <c r="E93" s="3">
        <v>12.48</v>
      </c>
      <c r="F93" s="3">
        <v>251.83</v>
      </c>
      <c r="G93" s="3">
        <v>10.56</v>
      </c>
      <c r="H93" s="3">
        <v>307.36</v>
      </c>
    </row>
    <row r="94" spans="1:8" x14ac:dyDescent="0.25">
      <c r="A94" s="29">
        <f t="shared" si="1"/>
        <v>91</v>
      </c>
      <c r="B94" s="1">
        <v>45523</v>
      </c>
      <c r="C94" s="3">
        <v>52.89</v>
      </c>
      <c r="D94" s="3">
        <v>33.81</v>
      </c>
      <c r="E94" s="3">
        <v>12.4</v>
      </c>
      <c r="F94" s="3">
        <v>253.79</v>
      </c>
      <c r="G94" s="3">
        <v>10.55</v>
      </c>
      <c r="H94" s="3">
        <v>306.82</v>
      </c>
    </row>
    <row r="95" spans="1:8" x14ac:dyDescent="0.25">
      <c r="A95" s="29">
        <f t="shared" si="1"/>
        <v>92</v>
      </c>
      <c r="B95" s="1">
        <v>45520</v>
      </c>
      <c r="C95" s="3">
        <v>52.9</v>
      </c>
      <c r="D95" s="3">
        <v>33.950000000000003</v>
      </c>
      <c r="E95" s="3">
        <v>12.41</v>
      </c>
      <c r="F95" s="3">
        <v>250.12</v>
      </c>
      <c r="G95" s="3">
        <v>10.51</v>
      </c>
      <c r="H95" s="3">
        <v>305.79000000000002</v>
      </c>
    </row>
    <row r="96" spans="1:8" x14ac:dyDescent="0.25">
      <c r="A96" s="29">
        <f t="shared" si="1"/>
        <v>93</v>
      </c>
      <c r="B96" s="1">
        <v>45519</v>
      </c>
      <c r="C96" s="3">
        <v>53.08</v>
      </c>
      <c r="D96" s="3">
        <v>33.880000000000003</v>
      </c>
      <c r="E96" s="3">
        <v>12.75</v>
      </c>
      <c r="F96" s="3">
        <v>255.99</v>
      </c>
      <c r="G96" s="3">
        <v>10.58</v>
      </c>
      <c r="H96" s="3">
        <v>299.37</v>
      </c>
    </row>
    <row r="97" spans="1:8" x14ac:dyDescent="0.25">
      <c r="A97" s="29">
        <f t="shared" si="1"/>
        <v>94</v>
      </c>
      <c r="B97" s="1">
        <v>45518</v>
      </c>
      <c r="C97" s="3">
        <v>52.52</v>
      </c>
      <c r="D97" s="3">
        <v>33.76</v>
      </c>
      <c r="E97" s="3">
        <v>12</v>
      </c>
      <c r="F97" s="3">
        <v>252.05</v>
      </c>
      <c r="G97" s="3">
        <v>10.55</v>
      </c>
      <c r="H97" s="3">
        <v>298.41000000000003</v>
      </c>
    </row>
    <row r="98" spans="1:8" x14ac:dyDescent="0.25">
      <c r="A98" s="29">
        <f t="shared" si="1"/>
        <v>95</v>
      </c>
      <c r="B98" s="1">
        <v>45517</v>
      </c>
      <c r="C98" s="3">
        <v>52.55</v>
      </c>
      <c r="D98" s="3">
        <v>33.380000000000003</v>
      </c>
      <c r="E98" s="3">
        <v>12.04</v>
      </c>
      <c r="F98" s="3">
        <v>250.3</v>
      </c>
      <c r="G98" s="3">
        <v>10.62</v>
      </c>
      <c r="H98" s="3">
        <v>297.47000000000003</v>
      </c>
    </row>
    <row r="99" spans="1:8" x14ac:dyDescent="0.25">
      <c r="A99" s="29">
        <f t="shared" si="1"/>
        <v>96</v>
      </c>
      <c r="B99" s="1">
        <v>45516</v>
      </c>
      <c r="C99" s="3">
        <v>51.95</v>
      </c>
      <c r="D99" s="3">
        <v>33.08</v>
      </c>
      <c r="E99" s="3">
        <v>11.9</v>
      </c>
      <c r="F99" s="3">
        <v>241.67</v>
      </c>
      <c r="G99" s="3">
        <v>10.19</v>
      </c>
      <c r="H99" s="3">
        <v>286.7</v>
      </c>
    </row>
    <row r="100" spans="1:8" x14ac:dyDescent="0.25">
      <c r="A100" s="29">
        <f t="shared" si="1"/>
        <v>97</v>
      </c>
      <c r="B100" s="1">
        <v>45513</v>
      </c>
      <c r="C100" s="3">
        <v>52.03</v>
      </c>
      <c r="D100" s="3">
        <v>33.32</v>
      </c>
      <c r="E100" s="3">
        <v>11.99</v>
      </c>
      <c r="F100" s="3">
        <v>242.31</v>
      </c>
      <c r="G100" s="3">
        <v>10.41</v>
      </c>
      <c r="H100" s="3">
        <v>284.64999999999998</v>
      </c>
    </row>
    <row r="101" spans="1:8" x14ac:dyDescent="0.25">
      <c r="A101" s="29">
        <f t="shared" si="1"/>
        <v>98</v>
      </c>
      <c r="B101" s="1">
        <v>45512</v>
      </c>
      <c r="C101" s="3">
        <v>51.84</v>
      </c>
      <c r="D101" s="3">
        <v>33.42</v>
      </c>
      <c r="E101" s="3">
        <v>12.03</v>
      </c>
      <c r="F101" s="3">
        <v>245.52</v>
      </c>
      <c r="G101" s="3">
        <v>10.4</v>
      </c>
      <c r="H101" s="3">
        <v>286.36</v>
      </c>
    </row>
    <row r="102" spans="1:8" x14ac:dyDescent="0.25">
      <c r="A102" s="29">
        <f t="shared" si="1"/>
        <v>99</v>
      </c>
      <c r="B102" s="1">
        <v>45511</v>
      </c>
      <c r="C102" s="3">
        <v>51.59</v>
      </c>
      <c r="D102" s="3">
        <v>33.229999999999997</v>
      </c>
      <c r="E102" s="3">
        <v>11.97</v>
      </c>
      <c r="F102" s="3">
        <v>245.98</v>
      </c>
      <c r="G102" s="3">
        <v>10.42</v>
      </c>
      <c r="H102" s="3">
        <v>284.2</v>
      </c>
    </row>
    <row r="103" spans="1:8" x14ac:dyDescent="0.25">
      <c r="A103" s="29">
        <f t="shared" si="1"/>
        <v>100</v>
      </c>
      <c r="B103" s="1">
        <v>45510</v>
      </c>
      <c r="C103" s="3">
        <v>51.69</v>
      </c>
      <c r="D103" s="3">
        <v>33.340000000000003</v>
      </c>
      <c r="E103" s="3">
        <v>11.97</v>
      </c>
      <c r="F103" s="3">
        <v>253.63</v>
      </c>
      <c r="G103" s="3">
        <v>10.62</v>
      </c>
      <c r="H103" s="3">
        <v>287.35000000000002</v>
      </c>
    </row>
    <row r="104" spans="1:8" x14ac:dyDescent="0.25">
      <c r="A104" s="29">
        <f t="shared" si="1"/>
        <v>101</v>
      </c>
      <c r="B104" s="1">
        <v>45509</v>
      </c>
      <c r="C104" s="3">
        <v>51.36</v>
      </c>
      <c r="D104" s="3">
        <v>33.17</v>
      </c>
      <c r="E104" s="3">
        <v>11.62</v>
      </c>
      <c r="F104" s="3">
        <v>256.33999999999997</v>
      </c>
      <c r="G104" s="3">
        <v>10.48</v>
      </c>
      <c r="H104" s="3">
        <v>289.58</v>
      </c>
    </row>
    <row r="105" spans="1:8" x14ac:dyDescent="0.25">
      <c r="A105" s="29">
        <f t="shared" si="1"/>
        <v>102</v>
      </c>
      <c r="B105" s="1">
        <v>45506</v>
      </c>
      <c r="C105" s="3">
        <v>51.6</v>
      </c>
      <c r="D105" s="3">
        <v>33.729999999999997</v>
      </c>
      <c r="E105" s="3">
        <v>11.6</v>
      </c>
      <c r="F105" s="3">
        <v>269.33999999999997</v>
      </c>
      <c r="G105" s="3">
        <v>10.65</v>
      </c>
      <c r="H105" s="3">
        <v>288.02999999999997</v>
      </c>
    </row>
    <row r="106" spans="1:8" x14ac:dyDescent="0.25">
      <c r="A106" s="29">
        <f t="shared" si="1"/>
        <v>103</v>
      </c>
      <c r="B106" s="1">
        <v>45505</v>
      </c>
      <c r="C106" s="3">
        <v>52.21</v>
      </c>
      <c r="D106" s="3">
        <v>34.46</v>
      </c>
      <c r="E106" s="3">
        <v>11.77</v>
      </c>
      <c r="F106" s="3">
        <v>265.47000000000003</v>
      </c>
      <c r="G106" s="3">
        <v>11.02</v>
      </c>
      <c r="H106" s="3">
        <v>291.07</v>
      </c>
    </row>
    <row r="107" spans="1:8" x14ac:dyDescent="0.25">
      <c r="A107" s="29">
        <f t="shared" si="1"/>
        <v>104</v>
      </c>
      <c r="B107" s="1">
        <v>45504</v>
      </c>
      <c r="C107" s="3">
        <v>52.81</v>
      </c>
      <c r="D107" s="3">
        <v>34.67</v>
      </c>
      <c r="E107" s="3">
        <v>12.04</v>
      </c>
      <c r="F107" s="3">
        <v>272.18</v>
      </c>
      <c r="G107" s="3">
        <v>11.47</v>
      </c>
      <c r="H107" s="3">
        <v>291.88</v>
      </c>
    </row>
    <row r="108" spans="1:8" x14ac:dyDescent="0.25">
      <c r="A108" s="29">
        <f t="shared" si="1"/>
        <v>105</v>
      </c>
      <c r="B108" s="1">
        <v>45503</v>
      </c>
      <c r="C108" s="3">
        <v>51.96</v>
      </c>
      <c r="D108" s="3">
        <v>34.909999999999997</v>
      </c>
      <c r="E108" s="3">
        <v>11.79</v>
      </c>
      <c r="F108" s="3">
        <v>254.24</v>
      </c>
      <c r="G108" s="3">
        <v>11.54</v>
      </c>
      <c r="H108" s="3">
        <v>284.82</v>
      </c>
    </row>
    <row r="109" spans="1:8" x14ac:dyDescent="0.25">
      <c r="A109" s="29">
        <f t="shared" si="1"/>
        <v>106</v>
      </c>
      <c r="B109" s="1">
        <v>45502</v>
      </c>
      <c r="C109" s="3">
        <v>52.72</v>
      </c>
      <c r="D109" s="3">
        <v>34.44</v>
      </c>
      <c r="E109" s="3">
        <v>11.92</v>
      </c>
      <c r="F109" s="3">
        <v>252.71</v>
      </c>
      <c r="G109" s="3">
        <v>11.74</v>
      </c>
      <c r="H109" s="3">
        <v>282.54000000000002</v>
      </c>
    </row>
    <row r="110" spans="1:8" x14ac:dyDescent="0.25">
      <c r="A110" s="29">
        <f t="shared" si="1"/>
        <v>107</v>
      </c>
      <c r="B110" s="1">
        <v>45499</v>
      </c>
      <c r="C110" s="3">
        <v>53.12</v>
      </c>
      <c r="D110" s="3">
        <v>34.880000000000003</v>
      </c>
      <c r="E110" s="3">
        <v>11.88</v>
      </c>
      <c r="F110" s="3">
        <v>247.87</v>
      </c>
      <c r="G110" s="3">
        <v>11.84</v>
      </c>
      <c r="H110" s="3">
        <v>289.31</v>
      </c>
    </row>
    <row r="111" spans="1:8" x14ac:dyDescent="0.25">
      <c r="A111" s="29">
        <f t="shared" si="1"/>
        <v>108</v>
      </c>
      <c r="B111" s="1">
        <v>45498</v>
      </c>
      <c r="C111" s="3">
        <v>53.1</v>
      </c>
      <c r="D111" s="3">
        <v>34.28</v>
      </c>
      <c r="E111" s="3">
        <v>11.7</v>
      </c>
      <c r="F111" s="3">
        <v>244.37</v>
      </c>
      <c r="G111" s="3">
        <v>11.68</v>
      </c>
      <c r="H111" s="3">
        <v>287.83</v>
      </c>
    </row>
    <row r="112" spans="1:8" x14ac:dyDescent="0.25">
      <c r="A112" s="29">
        <f t="shared" si="1"/>
        <v>109</v>
      </c>
      <c r="B112" s="1">
        <v>45497</v>
      </c>
      <c r="C112" s="3">
        <v>53.34</v>
      </c>
      <c r="D112" s="3">
        <v>35.06</v>
      </c>
      <c r="E112" s="3">
        <v>11.38</v>
      </c>
      <c r="F112" s="3">
        <v>249.66</v>
      </c>
      <c r="G112" s="3">
        <v>11.1</v>
      </c>
      <c r="H112" s="3">
        <v>294.14999999999998</v>
      </c>
    </row>
    <row r="113" spans="1:8" x14ac:dyDescent="0.25">
      <c r="A113" s="29">
        <f t="shared" si="1"/>
        <v>110</v>
      </c>
      <c r="B113" s="1">
        <v>45496</v>
      </c>
      <c r="C113" s="3">
        <v>53.88</v>
      </c>
      <c r="D113" s="3">
        <v>35.369999999999997</v>
      </c>
      <c r="E113" s="3">
        <v>11.79</v>
      </c>
      <c r="F113" s="3">
        <v>246.71</v>
      </c>
      <c r="G113" s="3">
        <v>11.61</v>
      </c>
      <c r="H113" s="3">
        <v>290.66000000000003</v>
      </c>
    </row>
    <row r="114" spans="1:8" x14ac:dyDescent="0.25">
      <c r="A114" s="29">
        <f t="shared" si="1"/>
        <v>111</v>
      </c>
      <c r="B114" s="1">
        <v>45495</v>
      </c>
      <c r="C114" s="3">
        <v>54.16</v>
      </c>
      <c r="D114" s="3">
        <v>35.6</v>
      </c>
      <c r="E114" s="3">
        <v>11.55</v>
      </c>
      <c r="F114" s="3">
        <v>255.74</v>
      </c>
      <c r="G114" s="3">
        <v>11.36</v>
      </c>
      <c r="H114" s="3">
        <v>286.37</v>
      </c>
    </row>
    <row r="115" spans="1:8" x14ac:dyDescent="0.25">
      <c r="A115" s="29">
        <f t="shared" si="1"/>
        <v>112</v>
      </c>
      <c r="B115" s="1">
        <v>45492</v>
      </c>
      <c r="C115" s="3">
        <v>53.83</v>
      </c>
      <c r="D115" s="3">
        <v>35.46</v>
      </c>
      <c r="E115" s="3">
        <v>11.21</v>
      </c>
      <c r="F115" s="3">
        <v>258.47000000000003</v>
      </c>
      <c r="G115" s="3">
        <v>11.21</v>
      </c>
      <c r="H115" s="3">
        <v>281.48</v>
      </c>
    </row>
    <row r="116" spans="1:8" x14ac:dyDescent="0.25">
      <c r="A116" s="29">
        <f t="shared" si="1"/>
        <v>113</v>
      </c>
      <c r="B116" s="1">
        <v>45491</v>
      </c>
      <c r="C116" s="3">
        <v>53.21</v>
      </c>
      <c r="D116" s="3">
        <v>34.89</v>
      </c>
      <c r="E116" s="3">
        <v>11.37</v>
      </c>
      <c r="F116" s="3">
        <v>250.31</v>
      </c>
      <c r="G116" s="3">
        <v>11.46</v>
      </c>
      <c r="H116" s="3">
        <v>279.11</v>
      </c>
    </row>
    <row r="117" spans="1:8" x14ac:dyDescent="0.25">
      <c r="A117" s="29">
        <f t="shared" si="1"/>
        <v>114</v>
      </c>
      <c r="B117" s="1">
        <v>45490</v>
      </c>
      <c r="C117" s="3">
        <v>53.87</v>
      </c>
      <c r="D117" s="3">
        <v>35.71</v>
      </c>
      <c r="E117" s="3">
        <v>11.52</v>
      </c>
      <c r="F117" s="3">
        <v>262.52</v>
      </c>
      <c r="G117" s="3">
        <v>11.72</v>
      </c>
      <c r="H117" s="3">
        <v>280.43</v>
      </c>
    </row>
    <row r="118" spans="1:8" x14ac:dyDescent="0.25">
      <c r="A118" s="29">
        <f t="shared" si="1"/>
        <v>115</v>
      </c>
      <c r="B118" s="1">
        <v>45489</v>
      </c>
      <c r="C118" s="3">
        <v>54.49</v>
      </c>
      <c r="D118" s="3">
        <v>36.39</v>
      </c>
      <c r="E118" s="3">
        <v>12.1</v>
      </c>
      <c r="F118" s="3">
        <v>266.04000000000002</v>
      </c>
      <c r="G118" s="3">
        <v>11.96</v>
      </c>
      <c r="H118" s="3">
        <v>284.05</v>
      </c>
    </row>
    <row r="119" spans="1:8" x14ac:dyDescent="0.25">
      <c r="A119" s="29">
        <f t="shared" si="1"/>
        <v>116</v>
      </c>
      <c r="B119" s="1">
        <v>45488</v>
      </c>
      <c r="C119" s="3">
        <v>54.44</v>
      </c>
      <c r="D119" s="3">
        <v>36.35</v>
      </c>
      <c r="E119" s="3">
        <v>11.93</v>
      </c>
      <c r="F119" s="3">
        <v>262.45</v>
      </c>
      <c r="G119" s="3">
        <v>11.76</v>
      </c>
      <c r="H119" s="3">
        <v>281.16000000000003</v>
      </c>
    </row>
    <row r="120" spans="1:8" x14ac:dyDescent="0.25">
      <c r="A120" s="29">
        <f t="shared" si="1"/>
        <v>117</v>
      </c>
      <c r="B120" s="1">
        <v>45485</v>
      </c>
      <c r="C120" s="3">
        <v>55.05</v>
      </c>
      <c r="D120" s="3">
        <v>36.82</v>
      </c>
      <c r="E120" s="3">
        <v>12.16</v>
      </c>
      <c r="F120" s="3">
        <v>263.57</v>
      </c>
      <c r="G120" s="3">
        <v>11.63</v>
      </c>
      <c r="H120" s="3">
        <v>283.05</v>
      </c>
    </row>
    <row r="121" spans="1:8" x14ac:dyDescent="0.25">
      <c r="A121" s="29">
        <f t="shared" si="1"/>
        <v>118</v>
      </c>
      <c r="B121" s="1">
        <v>45484</v>
      </c>
      <c r="C121" s="3">
        <v>54.43</v>
      </c>
      <c r="D121" s="3">
        <v>36.76</v>
      </c>
      <c r="E121" s="3">
        <v>12.18</v>
      </c>
      <c r="F121" s="3">
        <v>261.35000000000002</v>
      </c>
      <c r="G121" s="3">
        <v>11.4</v>
      </c>
      <c r="H121" s="3">
        <v>275.67</v>
      </c>
    </row>
    <row r="122" spans="1:8" x14ac:dyDescent="0.25">
      <c r="A122" s="29">
        <f t="shared" si="1"/>
        <v>119</v>
      </c>
      <c r="B122" s="1">
        <v>45483</v>
      </c>
      <c r="C122" s="3">
        <v>54.29</v>
      </c>
      <c r="D122" s="3">
        <v>36.630000000000003</v>
      </c>
      <c r="E122" s="3">
        <v>11.92</v>
      </c>
      <c r="F122" s="3">
        <v>258.20999999999998</v>
      </c>
      <c r="G122" s="3">
        <v>11.29</v>
      </c>
      <c r="H122" s="3">
        <v>278.06</v>
      </c>
    </row>
    <row r="123" spans="1:8" x14ac:dyDescent="0.25">
      <c r="A123" s="29">
        <f t="shared" si="1"/>
        <v>120</v>
      </c>
      <c r="B123" s="1">
        <v>45482</v>
      </c>
      <c r="C123" s="3">
        <v>53.39</v>
      </c>
      <c r="D123" s="3">
        <v>36.97</v>
      </c>
      <c r="E123" s="3">
        <v>11.19</v>
      </c>
      <c r="F123" s="3">
        <v>248.26</v>
      </c>
      <c r="G123" s="3">
        <v>11.21</v>
      </c>
      <c r="H123" s="3">
        <v>274.79000000000002</v>
      </c>
    </row>
    <row r="124" spans="1:8" x14ac:dyDescent="0.25">
      <c r="A124" s="29">
        <f t="shared" si="1"/>
        <v>121</v>
      </c>
      <c r="B124" s="1">
        <v>45481</v>
      </c>
      <c r="C124" s="3">
        <v>52.96</v>
      </c>
      <c r="D124" s="3">
        <v>37.21</v>
      </c>
      <c r="E124" s="3">
        <v>11.32</v>
      </c>
      <c r="F124" s="3">
        <v>250.99</v>
      </c>
      <c r="G124" s="3">
        <v>11.26</v>
      </c>
      <c r="H124" s="3">
        <v>267.57</v>
      </c>
    </row>
    <row r="125" spans="1:8" x14ac:dyDescent="0.25">
      <c r="A125" s="29">
        <f t="shared" si="1"/>
        <v>122</v>
      </c>
      <c r="B125" s="1">
        <v>45478</v>
      </c>
      <c r="C125" s="3">
        <v>52.35</v>
      </c>
      <c r="D125" s="3">
        <v>36.11</v>
      </c>
      <c r="E125" s="3">
        <v>11.11</v>
      </c>
      <c r="F125" s="3">
        <v>248.6</v>
      </c>
      <c r="G125" s="3">
        <v>11.2</v>
      </c>
      <c r="H125" s="3">
        <v>265.67</v>
      </c>
    </row>
    <row r="126" spans="1:8" x14ac:dyDescent="0.25">
      <c r="A126" s="29">
        <f t="shared" si="1"/>
        <v>123</v>
      </c>
      <c r="B126" s="1">
        <v>45477</v>
      </c>
      <c r="C126" s="3">
        <v>52.85</v>
      </c>
      <c r="D126" s="3">
        <v>36.58</v>
      </c>
      <c r="E126" s="3">
        <v>11.13</v>
      </c>
      <c r="F126" s="3">
        <v>246.5</v>
      </c>
      <c r="G126" s="3">
        <v>11.6</v>
      </c>
      <c r="H126" s="3">
        <v>271.45</v>
      </c>
    </row>
    <row r="127" spans="1:8" x14ac:dyDescent="0.25">
      <c r="A127" s="29">
        <f t="shared" si="1"/>
        <v>124</v>
      </c>
      <c r="B127" s="1">
        <v>45476</v>
      </c>
      <c r="C127" s="3">
        <v>52.85</v>
      </c>
      <c r="D127" s="3">
        <v>36.68</v>
      </c>
      <c r="E127" s="3">
        <v>11.14</v>
      </c>
      <c r="F127" s="3">
        <v>243.76</v>
      </c>
      <c r="G127" s="3">
        <v>11.61</v>
      </c>
      <c r="H127" s="3">
        <v>272.35000000000002</v>
      </c>
    </row>
    <row r="128" spans="1:8" x14ac:dyDescent="0.25">
      <c r="A128" s="29">
        <f t="shared" si="1"/>
        <v>125</v>
      </c>
      <c r="B128" s="1">
        <v>45475</v>
      </c>
      <c r="C128" s="3">
        <v>51.97</v>
      </c>
      <c r="D128" s="3">
        <v>35.85</v>
      </c>
      <c r="E128" s="3">
        <v>11.19</v>
      </c>
      <c r="F128" s="3">
        <v>234.34</v>
      </c>
      <c r="G128" s="3">
        <v>11.41</v>
      </c>
      <c r="H128" s="3">
        <v>267.63</v>
      </c>
    </row>
    <row r="129" spans="1:8" x14ac:dyDescent="0.25">
      <c r="A129" s="29">
        <f t="shared" si="1"/>
        <v>126</v>
      </c>
      <c r="B129" s="1">
        <v>45474</v>
      </c>
      <c r="C129" s="3">
        <v>52.88</v>
      </c>
      <c r="D129" s="3">
        <v>36.299999999999997</v>
      </c>
      <c r="E129" s="3">
        <v>11.58</v>
      </c>
      <c r="F129" s="3">
        <v>238.51</v>
      </c>
      <c r="G129" s="3">
        <v>11.52</v>
      </c>
      <c r="H129" s="3">
        <v>273.92</v>
      </c>
    </row>
    <row r="130" spans="1:8" x14ac:dyDescent="0.25">
      <c r="A130" s="29">
        <f t="shared" si="1"/>
        <v>127</v>
      </c>
      <c r="B130" s="1">
        <v>45471</v>
      </c>
      <c r="C130" s="3">
        <v>52.42</v>
      </c>
      <c r="D130" s="3">
        <v>35.659999999999997</v>
      </c>
      <c r="E130" s="3">
        <v>11.71</v>
      </c>
      <c r="F130" s="3">
        <v>237.75</v>
      </c>
      <c r="G130" s="3">
        <v>11.58</v>
      </c>
      <c r="H130" s="3">
        <v>274.38</v>
      </c>
    </row>
    <row r="131" spans="1:8" x14ac:dyDescent="0.25">
      <c r="A131" s="29">
        <f t="shared" si="1"/>
        <v>128</v>
      </c>
      <c r="B131" s="1">
        <v>45470</v>
      </c>
      <c r="C131" s="3">
        <v>52.34</v>
      </c>
      <c r="D131" s="3">
        <v>36.840000000000003</v>
      </c>
      <c r="E131" s="3">
        <v>11.73</v>
      </c>
      <c r="F131" s="3">
        <v>238.26</v>
      </c>
      <c r="G131" s="3">
        <v>11.69</v>
      </c>
      <c r="H131" s="3">
        <v>273.38</v>
      </c>
    </row>
    <row r="132" spans="1:8" x14ac:dyDescent="0.25">
      <c r="A132" s="29">
        <f t="shared" si="1"/>
        <v>129</v>
      </c>
      <c r="B132" s="1">
        <v>45469</v>
      </c>
      <c r="C132" s="3">
        <v>52.27</v>
      </c>
      <c r="D132" s="3">
        <v>37.53</v>
      </c>
      <c r="E132" s="3">
        <v>11.62</v>
      </c>
      <c r="F132" s="3">
        <v>239.35</v>
      </c>
      <c r="G132" s="3">
        <v>11.83</v>
      </c>
      <c r="H132" s="3">
        <v>269.29000000000002</v>
      </c>
    </row>
    <row r="133" spans="1:8" x14ac:dyDescent="0.25">
      <c r="A133" s="29">
        <f t="shared" ref="A133:A196" si="2">+A132+1</f>
        <v>130</v>
      </c>
      <c r="B133" s="1">
        <v>45468</v>
      </c>
      <c r="C133" s="3">
        <v>52.4</v>
      </c>
      <c r="D133" s="3">
        <v>38.65</v>
      </c>
      <c r="E133" s="3">
        <v>11.55</v>
      </c>
      <c r="F133" s="3">
        <v>240.05</v>
      </c>
      <c r="G133" s="3">
        <v>12.06</v>
      </c>
      <c r="H133" s="3">
        <v>276.77</v>
      </c>
    </row>
    <row r="134" spans="1:8" x14ac:dyDescent="0.25">
      <c r="A134" s="29">
        <f t="shared" si="2"/>
        <v>131</v>
      </c>
      <c r="B134" s="1">
        <v>45467</v>
      </c>
      <c r="C134" s="3">
        <v>52.3</v>
      </c>
      <c r="D134" s="3">
        <v>37.619999999999997</v>
      </c>
      <c r="E134" s="3">
        <v>11.48</v>
      </c>
      <c r="F134" s="3">
        <v>240.39</v>
      </c>
      <c r="G134" s="3">
        <v>11.96</v>
      </c>
      <c r="H134" s="3">
        <v>281.64999999999998</v>
      </c>
    </row>
    <row r="135" spans="1:8" x14ac:dyDescent="0.25">
      <c r="A135" s="29">
        <f t="shared" si="2"/>
        <v>132</v>
      </c>
      <c r="B135" s="1">
        <v>45464</v>
      </c>
      <c r="C135" s="3">
        <v>52.6</v>
      </c>
      <c r="D135" s="3">
        <v>38.799999999999997</v>
      </c>
      <c r="E135" s="3">
        <v>11.44</v>
      </c>
      <c r="F135" s="3">
        <v>239.73</v>
      </c>
      <c r="G135" s="3">
        <v>11.59</v>
      </c>
      <c r="H135" s="3">
        <v>283.10000000000002</v>
      </c>
    </row>
    <row r="136" spans="1:8" x14ac:dyDescent="0.25">
      <c r="A136" s="29">
        <f t="shared" si="2"/>
        <v>133</v>
      </c>
      <c r="B136" s="1">
        <v>45463</v>
      </c>
      <c r="C136" s="3">
        <v>53.18</v>
      </c>
      <c r="D136" s="3">
        <v>36.71</v>
      </c>
      <c r="E136" s="3">
        <v>11.76</v>
      </c>
      <c r="F136" s="3">
        <v>257.95999999999998</v>
      </c>
      <c r="G136" s="3">
        <v>12.09</v>
      </c>
      <c r="H136" s="3">
        <v>288.99</v>
      </c>
    </row>
    <row r="137" spans="1:8" x14ac:dyDescent="0.25">
      <c r="A137" s="29">
        <f t="shared" si="2"/>
        <v>134</v>
      </c>
      <c r="B137" s="1">
        <v>45462</v>
      </c>
      <c r="C137" s="3">
        <v>53.08</v>
      </c>
      <c r="D137" s="3">
        <v>36.590000000000003</v>
      </c>
      <c r="E137" s="3">
        <v>11.99</v>
      </c>
      <c r="F137" s="3">
        <v>246.25</v>
      </c>
      <c r="G137" s="3">
        <v>12.4</v>
      </c>
      <c r="H137" s="3">
        <v>288.88</v>
      </c>
    </row>
    <row r="138" spans="1:8" x14ac:dyDescent="0.25">
      <c r="A138" s="29">
        <f t="shared" si="2"/>
        <v>135</v>
      </c>
      <c r="B138" s="1">
        <v>45461</v>
      </c>
      <c r="C138" s="3">
        <v>53.06</v>
      </c>
      <c r="D138" s="3">
        <v>35.979999999999997</v>
      </c>
      <c r="E138" s="3">
        <v>11.95</v>
      </c>
      <c r="F138" s="3">
        <v>248.4</v>
      </c>
      <c r="G138" s="3">
        <v>12.26</v>
      </c>
      <c r="H138" s="3">
        <v>293.16000000000003</v>
      </c>
    </row>
    <row r="139" spans="1:8" x14ac:dyDescent="0.25">
      <c r="A139" s="29">
        <f t="shared" si="2"/>
        <v>136</v>
      </c>
      <c r="B139" s="1">
        <v>45460</v>
      </c>
      <c r="C139" s="3">
        <v>52.2</v>
      </c>
      <c r="D139" s="3">
        <v>35.08</v>
      </c>
      <c r="E139" s="3">
        <v>12.05</v>
      </c>
      <c r="F139" s="3">
        <v>239.3</v>
      </c>
      <c r="G139" s="3">
        <v>12.33</v>
      </c>
      <c r="H139" s="3">
        <v>289.70999999999998</v>
      </c>
    </row>
    <row r="140" spans="1:8" x14ac:dyDescent="0.25">
      <c r="A140" s="29">
        <f t="shared" si="2"/>
        <v>137</v>
      </c>
      <c r="B140" s="1">
        <v>45457</v>
      </c>
      <c r="C140" s="3">
        <v>52.08</v>
      </c>
      <c r="D140" s="3">
        <v>35.69</v>
      </c>
      <c r="E140" s="3">
        <v>11.89</v>
      </c>
      <c r="F140" s="3">
        <v>240.24</v>
      </c>
      <c r="G140" s="3">
        <v>12.47</v>
      </c>
      <c r="H140" s="3">
        <v>295.94</v>
      </c>
    </row>
    <row r="141" spans="1:8" x14ac:dyDescent="0.25">
      <c r="A141" s="29">
        <f t="shared" si="2"/>
        <v>138</v>
      </c>
      <c r="B141" s="1">
        <v>45456</v>
      </c>
      <c r="C141" s="3">
        <v>52.09</v>
      </c>
      <c r="D141" s="3">
        <v>35.96</v>
      </c>
      <c r="E141" s="3">
        <v>12.19</v>
      </c>
      <c r="F141" s="3">
        <v>239.82</v>
      </c>
      <c r="G141" s="3">
        <v>12.68</v>
      </c>
      <c r="H141" s="3">
        <v>295.55</v>
      </c>
    </row>
    <row r="142" spans="1:8" x14ac:dyDescent="0.25">
      <c r="A142" s="29">
        <f t="shared" si="2"/>
        <v>139</v>
      </c>
      <c r="B142" s="1">
        <v>45455</v>
      </c>
      <c r="C142" s="3">
        <v>52.8</v>
      </c>
      <c r="D142" s="3">
        <v>35.81</v>
      </c>
      <c r="E142" s="3">
        <v>12.4</v>
      </c>
      <c r="F142" s="3">
        <v>242.76</v>
      </c>
      <c r="G142" s="3">
        <v>13.07</v>
      </c>
      <c r="H142" s="3">
        <v>290.39999999999998</v>
      </c>
    </row>
    <row r="143" spans="1:8" x14ac:dyDescent="0.25">
      <c r="A143" s="29">
        <f t="shared" si="2"/>
        <v>140</v>
      </c>
      <c r="B143" s="1">
        <v>45454</v>
      </c>
      <c r="C143" s="3">
        <v>52.96</v>
      </c>
      <c r="D143" s="3">
        <v>35.799999999999997</v>
      </c>
      <c r="E143" s="3">
        <v>11.94</v>
      </c>
      <c r="F143" s="3">
        <v>241.3</v>
      </c>
      <c r="G143" s="3">
        <v>13.01</v>
      </c>
      <c r="H143" s="3">
        <v>289.62</v>
      </c>
    </row>
    <row r="144" spans="1:8" x14ac:dyDescent="0.25">
      <c r="A144" s="29">
        <f t="shared" si="2"/>
        <v>141</v>
      </c>
      <c r="B144" s="1">
        <v>45453</v>
      </c>
      <c r="C144" s="3">
        <v>52.97</v>
      </c>
      <c r="D144" s="3">
        <v>35.979999999999997</v>
      </c>
      <c r="E144" s="3">
        <v>12.18</v>
      </c>
      <c r="F144" s="3">
        <v>236.56</v>
      </c>
      <c r="G144" s="3">
        <v>13</v>
      </c>
      <c r="H144" s="3">
        <v>288.95999999999998</v>
      </c>
    </row>
    <row r="145" spans="1:8" x14ac:dyDescent="0.25">
      <c r="A145" s="29">
        <f t="shared" si="2"/>
        <v>142</v>
      </c>
      <c r="B145" s="1">
        <v>45450</v>
      </c>
      <c r="C145" s="3">
        <v>52.78</v>
      </c>
      <c r="D145" s="3">
        <v>35.119999999999997</v>
      </c>
      <c r="E145" s="3">
        <v>12.1</v>
      </c>
      <c r="F145" s="3">
        <v>241.62</v>
      </c>
      <c r="G145" s="3">
        <v>12.78</v>
      </c>
      <c r="H145" s="3">
        <v>283.47000000000003</v>
      </c>
    </row>
    <row r="146" spans="1:8" x14ac:dyDescent="0.25">
      <c r="A146" s="29">
        <f t="shared" si="2"/>
        <v>143</v>
      </c>
      <c r="B146" s="1">
        <v>45449</v>
      </c>
      <c r="C146" s="3">
        <v>54.29</v>
      </c>
      <c r="D146" s="3">
        <v>35.58</v>
      </c>
      <c r="E146" s="3">
        <v>12.41</v>
      </c>
      <c r="F146" s="3">
        <v>258.2</v>
      </c>
      <c r="G146" s="3">
        <v>12.76</v>
      </c>
      <c r="H146" s="3">
        <v>285.58</v>
      </c>
    </row>
    <row r="147" spans="1:8" x14ac:dyDescent="0.25">
      <c r="A147" s="29">
        <f t="shared" si="2"/>
        <v>144</v>
      </c>
      <c r="B147" s="1">
        <v>45448</v>
      </c>
      <c r="C147" s="3">
        <v>54.21</v>
      </c>
      <c r="D147" s="3">
        <v>35.64</v>
      </c>
      <c r="E147" s="3">
        <v>12.43</v>
      </c>
      <c r="F147" s="3">
        <v>252.25</v>
      </c>
      <c r="G147" s="3">
        <v>12.56</v>
      </c>
      <c r="H147" s="3">
        <v>278.10000000000002</v>
      </c>
    </row>
    <row r="148" spans="1:8" x14ac:dyDescent="0.25">
      <c r="A148" s="29">
        <f t="shared" si="2"/>
        <v>145</v>
      </c>
      <c r="B148" s="1">
        <v>45447</v>
      </c>
      <c r="C148" s="3">
        <v>53.25</v>
      </c>
      <c r="D148" s="3">
        <v>35.56</v>
      </c>
      <c r="E148" s="3">
        <v>12.34</v>
      </c>
      <c r="F148" s="3">
        <v>252.46</v>
      </c>
      <c r="G148" s="3">
        <v>12.3</v>
      </c>
      <c r="H148" s="3">
        <v>275.95999999999998</v>
      </c>
    </row>
    <row r="149" spans="1:8" x14ac:dyDescent="0.25">
      <c r="A149" s="29">
        <f t="shared" si="2"/>
        <v>146</v>
      </c>
      <c r="B149" s="1">
        <v>45446</v>
      </c>
      <c r="C149" s="3">
        <v>51.62</v>
      </c>
      <c r="D149" s="3">
        <v>35.08</v>
      </c>
      <c r="E149" s="3">
        <v>12.11</v>
      </c>
      <c r="F149" s="3">
        <v>247.1</v>
      </c>
      <c r="G149" s="3">
        <v>12.88</v>
      </c>
      <c r="H149" s="3">
        <v>277.97000000000003</v>
      </c>
    </row>
    <row r="150" spans="1:8" x14ac:dyDescent="0.25">
      <c r="A150" s="29">
        <f t="shared" si="2"/>
        <v>147</v>
      </c>
      <c r="B150" s="1">
        <v>45443</v>
      </c>
      <c r="C150" s="3">
        <v>54.95</v>
      </c>
      <c r="D150" s="3">
        <v>37.96</v>
      </c>
      <c r="E150" s="3">
        <v>12.77</v>
      </c>
      <c r="F150" s="3">
        <v>268.52</v>
      </c>
      <c r="G150" s="3">
        <v>13.56</v>
      </c>
      <c r="H150" s="3">
        <v>306.07</v>
      </c>
    </row>
    <row r="151" spans="1:8" x14ac:dyDescent="0.25">
      <c r="A151" s="29">
        <f t="shared" si="2"/>
        <v>148</v>
      </c>
      <c r="B151" s="1">
        <v>45442</v>
      </c>
      <c r="C151" s="3">
        <v>55.17</v>
      </c>
      <c r="D151" s="3">
        <v>36.57</v>
      </c>
      <c r="E151" s="3">
        <v>13.01</v>
      </c>
      <c r="F151" s="3">
        <v>265.95</v>
      </c>
      <c r="G151" s="3">
        <v>13.55</v>
      </c>
      <c r="H151" s="3">
        <v>303.92</v>
      </c>
    </row>
    <row r="152" spans="1:8" x14ac:dyDescent="0.25">
      <c r="A152" s="29">
        <f t="shared" si="2"/>
        <v>149</v>
      </c>
      <c r="B152" s="1">
        <v>45441</v>
      </c>
      <c r="C152" s="3">
        <v>55.21</v>
      </c>
      <c r="D152" s="3">
        <v>35.130000000000003</v>
      </c>
      <c r="E152" s="3">
        <v>12.75</v>
      </c>
      <c r="F152" s="3">
        <v>261.57</v>
      </c>
      <c r="G152" s="3">
        <v>13.55</v>
      </c>
      <c r="H152" s="3">
        <v>301.2</v>
      </c>
    </row>
    <row r="153" spans="1:8" x14ac:dyDescent="0.25">
      <c r="A153" s="29">
        <f t="shared" si="2"/>
        <v>150</v>
      </c>
      <c r="B153" s="1">
        <v>45440</v>
      </c>
      <c r="C153" s="3">
        <v>55.19</v>
      </c>
      <c r="D153" s="3">
        <v>34.47</v>
      </c>
      <c r="E153" s="3">
        <v>12.74</v>
      </c>
      <c r="F153" s="3">
        <v>267.69</v>
      </c>
      <c r="G153" s="3">
        <v>13.46</v>
      </c>
      <c r="H153" s="3">
        <v>294.02999999999997</v>
      </c>
    </row>
    <row r="154" spans="1:8" x14ac:dyDescent="0.25">
      <c r="A154" s="29">
        <f t="shared" si="2"/>
        <v>151</v>
      </c>
      <c r="B154" s="1">
        <v>45439</v>
      </c>
      <c r="C154" s="3">
        <v>55.39</v>
      </c>
      <c r="D154" s="3">
        <v>34.1</v>
      </c>
      <c r="E154" s="3">
        <v>12.72</v>
      </c>
      <c r="F154" s="3">
        <v>262.74</v>
      </c>
      <c r="G154" s="3">
        <v>13.35</v>
      </c>
      <c r="H154" s="3">
        <v>302.2</v>
      </c>
    </row>
    <row r="155" spans="1:8" x14ac:dyDescent="0.25">
      <c r="A155" s="29">
        <f t="shared" si="2"/>
        <v>152</v>
      </c>
      <c r="B155" s="1">
        <v>45436</v>
      </c>
      <c r="C155" s="3">
        <v>55.38</v>
      </c>
      <c r="D155" s="3">
        <v>34.42</v>
      </c>
      <c r="E155" s="3">
        <v>12.72</v>
      </c>
      <c r="F155" s="3">
        <v>260.36</v>
      </c>
      <c r="G155" s="3">
        <v>13.12</v>
      </c>
      <c r="H155" s="3">
        <v>309.07</v>
      </c>
    </row>
    <row r="156" spans="1:8" x14ac:dyDescent="0.25">
      <c r="A156" s="29">
        <f t="shared" si="2"/>
        <v>153</v>
      </c>
      <c r="B156" s="1">
        <v>45435</v>
      </c>
      <c r="C156" s="3">
        <v>55.85</v>
      </c>
      <c r="D156" s="3">
        <v>34.79</v>
      </c>
      <c r="E156" s="3">
        <v>12.73</v>
      </c>
      <c r="F156" s="3">
        <v>275.93</v>
      </c>
      <c r="G156" s="3">
        <v>13.46</v>
      </c>
      <c r="H156" s="3">
        <v>312.95</v>
      </c>
    </row>
    <row r="157" spans="1:8" x14ac:dyDescent="0.25">
      <c r="A157" s="29">
        <f t="shared" si="2"/>
        <v>154</v>
      </c>
      <c r="B157" s="1">
        <v>45434</v>
      </c>
      <c r="C157" s="3">
        <v>56.35</v>
      </c>
      <c r="D157" s="3">
        <v>35.29</v>
      </c>
      <c r="E157" s="3">
        <v>12.66</v>
      </c>
      <c r="F157" s="3">
        <v>273.32</v>
      </c>
      <c r="G157" s="3">
        <v>14.05</v>
      </c>
      <c r="H157" s="3">
        <v>312.08</v>
      </c>
    </row>
    <row r="158" spans="1:8" x14ac:dyDescent="0.25">
      <c r="A158" s="29">
        <f t="shared" si="2"/>
        <v>155</v>
      </c>
      <c r="B158" s="1">
        <v>45433</v>
      </c>
      <c r="C158" s="3">
        <v>56.64</v>
      </c>
      <c r="D158" s="3">
        <v>35.4</v>
      </c>
      <c r="E158" s="3">
        <v>12.9</v>
      </c>
      <c r="F158" s="3">
        <v>263.11</v>
      </c>
      <c r="G158" s="3">
        <v>13.75</v>
      </c>
      <c r="H158" s="3">
        <v>310.87</v>
      </c>
    </row>
    <row r="159" spans="1:8" x14ac:dyDescent="0.25">
      <c r="A159" s="29">
        <f t="shared" si="2"/>
        <v>156</v>
      </c>
      <c r="B159" s="1">
        <v>45432</v>
      </c>
      <c r="C159" s="3">
        <v>57.19</v>
      </c>
      <c r="D159" s="3">
        <v>36.24</v>
      </c>
      <c r="E159" s="3">
        <v>13</v>
      </c>
      <c r="F159" s="3">
        <v>267.93</v>
      </c>
      <c r="G159" s="3">
        <v>14.14</v>
      </c>
      <c r="H159" s="3">
        <v>312.54000000000002</v>
      </c>
    </row>
    <row r="160" spans="1:8" x14ac:dyDescent="0.25">
      <c r="A160" s="29">
        <f t="shared" si="2"/>
        <v>157</v>
      </c>
      <c r="B160" s="1">
        <v>45429</v>
      </c>
      <c r="C160" s="3">
        <v>57.38</v>
      </c>
      <c r="D160" s="3">
        <v>36.43</v>
      </c>
      <c r="E160" s="3">
        <v>12.91</v>
      </c>
      <c r="F160" s="3">
        <v>273.08999999999997</v>
      </c>
      <c r="G160" s="3">
        <v>14.57</v>
      </c>
      <c r="H160" s="3">
        <v>308.51</v>
      </c>
    </row>
    <row r="161" spans="1:8" x14ac:dyDescent="0.25">
      <c r="A161" s="29">
        <f t="shared" si="2"/>
        <v>158</v>
      </c>
      <c r="B161" s="1">
        <v>45428</v>
      </c>
      <c r="C161" s="3">
        <v>57.28</v>
      </c>
      <c r="D161" s="3">
        <v>36.71</v>
      </c>
      <c r="E161" s="3">
        <v>13.05</v>
      </c>
      <c r="F161" s="3">
        <v>250.06</v>
      </c>
      <c r="G161" s="3">
        <v>14.24</v>
      </c>
      <c r="H161" s="3">
        <v>310.8</v>
      </c>
    </row>
    <row r="162" spans="1:8" x14ac:dyDescent="0.25">
      <c r="A162" s="29">
        <f t="shared" si="2"/>
        <v>159</v>
      </c>
      <c r="B162" s="1">
        <v>45427</v>
      </c>
      <c r="C162" s="3">
        <v>57.28</v>
      </c>
      <c r="D162" s="3">
        <v>37.22</v>
      </c>
      <c r="E162" s="3">
        <v>13.18</v>
      </c>
      <c r="F162" s="3">
        <v>254.46</v>
      </c>
      <c r="G162" s="3">
        <v>14.57</v>
      </c>
      <c r="H162" s="3">
        <v>305.55</v>
      </c>
    </row>
    <row r="163" spans="1:8" x14ac:dyDescent="0.25">
      <c r="A163" s="29">
        <f t="shared" si="2"/>
        <v>160</v>
      </c>
      <c r="B163" s="1">
        <v>45426</v>
      </c>
      <c r="C163" s="3">
        <v>57.04</v>
      </c>
      <c r="D163" s="3">
        <v>37.32</v>
      </c>
      <c r="E163" s="3">
        <v>13.24</v>
      </c>
      <c r="F163" s="3">
        <v>250.31</v>
      </c>
      <c r="G163" s="3">
        <v>14.75</v>
      </c>
      <c r="H163" s="3">
        <v>302.98</v>
      </c>
    </row>
    <row r="164" spans="1:8" x14ac:dyDescent="0.25">
      <c r="A164" s="29">
        <f t="shared" si="2"/>
        <v>161</v>
      </c>
      <c r="B164" s="1">
        <v>45425</v>
      </c>
      <c r="C164" s="3">
        <v>57.54</v>
      </c>
      <c r="D164" s="3">
        <v>37.880000000000003</v>
      </c>
      <c r="E164" s="3">
        <v>13.36</v>
      </c>
      <c r="F164" s="3">
        <v>251.57</v>
      </c>
      <c r="G164" s="3">
        <v>14.34</v>
      </c>
      <c r="H164" s="3">
        <v>303.12</v>
      </c>
    </row>
    <row r="165" spans="1:8" x14ac:dyDescent="0.25">
      <c r="A165" s="29">
        <f t="shared" si="2"/>
        <v>162</v>
      </c>
      <c r="B165" s="1">
        <v>45422</v>
      </c>
      <c r="C165" s="3">
        <v>57.53</v>
      </c>
      <c r="D165" s="3">
        <v>37.770000000000003</v>
      </c>
      <c r="E165" s="3">
        <v>13.29</v>
      </c>
      <c r="F165" s="3">
        <v>251.78</v>
      </c>
      <c r="G165" s="3">
        <v>14.48</v>
      </c>
      <c r="H165" s="3">
        <v>301.55</v>
      </c>
    </row>
    <row r="166" spans="1:8" x14ac:dyDescent="0.25">
      <c r="A166" s="29">
        <f t="shared" si="2"/>
        <v>163</v>
      </c>
      <c r="B166" s="1">
        <v>45421</v>
      </c>
      <c r="C166" s="3">
        <v>57.64</v>
      </c>
      <c r="D166" s="3">
        <v>37.950000000000003</v>
      </c>
      <c r="E166" s="3">
        <v>13.23</v>
      </c>
      <c r="F166" s="3">
        <v>253.34</v>
      </c>
      <c r="G166" s="3">
        <v>14.2</v>
      </c>
      <c r="H166" s="3">
        <v>306.86</v>
      </c>
    </row>
    <row r="167" spans="1:8" x14ac:dyDescent="0.25">
      <c r="A167" s="29">
        <f t="shared" si="2"/>
        <v>164</v>
      </c>
      <c r="B167" s="1">
        <v>45420</v>
      </c>
      <c r="C167" s="3">
        <v>56.83</v>
      </c>
      <c r="D167" s="3">
        <v>37.56</v>
      </c>
      <c r="E167" s="3">
        <v>13.11</v>
      </c>
      <c r="F167" s="3">
        <v>254.8</v>
      </c>
      <c r="G167" s="3">
        <v>14.15</v>
      </c>
      <c r="H167" s="3">
        <v>301.16000000000003</v>
      </c>
    </row>
    <row r="168" spans="1:8" x14ac:dyDescent="0.25">
      <c r="A168" s="29">
        <f t="shared" si="2"/>
        <v>165</v>
      </c>
      <c r="B168" s="1">
        <v>45419</v>
      </c>
      <c r="C168" s="3">
        <v>56.83</v>
      </c>
      <c r="D168" s="3">
        <v>36.950000000000003</v>
      </c>
      <c r="E168" s="3">
        <v>13.19</v>
      </c>
      <c r="F168" s="3">
        <v>250.89</v>
      </c>
      <c r="G168" s="3">
        <v>14.16</v>
      </c>
      <c r="H168" s="3">
        <v>300.37</v>
      </c>
    </row>
    <row r="169" spans="1:8" x14ac:dyDescent="0.25">
      <c r="A169" s="29">
        <f t="shared" si="2"/>
        <v>166</v>
      </c>
      <c r="B169" s="1">
        <v>45418</v>
      </c>
      <c r="C169" s="3">
        <v>56.93</v>
      </c>
      <c r="D169" s="3">
        <v>36.83</v>
      </c>
      <c r="E169" s="3">
        <v>13.4</v>
      </c>
      <c r="F169" s="3">
        <v>250.19</v>
      </c>
      <c r="G169" s="3">
        <v>14.18</v>
      </c>
      <c r="H169" s="3">
        <v>299.31</v>
      </c>
    </row>
    <row r="170" spans="1:8" x14ac:dyDescent="0.25">
      <c r="A170" s="29">
        <f t="shared" si="2"/>
        <v>167</v>
      </c>
      <c r="B170" s="1">
        <v>45415</v>
      </c>
      <c r="C170" s="3">
        <v>56.84</v>
      </c>
      <c r="D170" s="3">
        <v>36.659999999999997</v>
      </c>
      <c r="E170" s="3">
        <v>13.63</v>
      </c>
      <c r="F170" s="3">
        <v>253.92</v>
      </c>
      <c r="G170" s="3">
        <v>14.39</v>
      </c>
      <c r="H170" s="3">
        <v>299.75</v>
      </c>
    </row>
    <row r="171" spans="1:8" x14ac:dyDescent="0.25">
      <c r="A171" s="29">
        <f t="shared" si="2"/>
        <v>168</v>
      </c>
      <c r="B171" s="1">
        <v>45414</v>
      </c>
      <c r="C171" s="3">
        <v>56.43</v>
      </c>
      <c r="D171" s="3">
        <v>36.479999999999997</v>
      </c>
      <c r="E171" s="3">
        <v>13.31</v>
      </c>
      <c r="F171" s="3">
        <v>249.61</v>
      </c>
      <c r="G171" s="3">
        <v>14.3</v>
      </c>
      <c r="H171" s="3">
        <v>299.10000000000002</v>
      </c>
    </row>
    <row r="172" spans="1:8" x14ac:dyDescent="0.25">
      <c r="A172" s="29">
        <f t="shared" si="2"/>
        <v>169</v>
      </c>
      <c r="B172" s="1">
        <v>45412</v>
      </c>
      <c r="C172" s="3">
        <v>56.37</v>
      </c>
      <c r="D172" s="3">
        <v>36.69</v>
      </c>
      <c r="E172" s="3">
        <v>13.57</v>
      </c>
      <c r="F172" s="3">
        <v>248.61</v>
      </c>
      <c r="G172" s="3">
        <v>14.09</v>
      </c>
      <c r="H172" s="3">
        <v>299.14999999999998</v>
      </c>
    </row>
    <row r="173" spans="1:8" x14ac:dyDescent="0.25">
      <c r="A173" s="29">
        <f t="shared" si="2"/>
        <v>170</v>
      </c>
      <c r="B173" s="1">
        <v>45411</v>
      </c>
      <c r="C173" s="3">
        <v>57.41</v>
      </c>
      <c r="D173" s="3">
        <v>37.07</v>
      </c>
      <c r="E173" s="3">
        <v>13.82</v>
      </c>
      <c r="F173" s="3">
        <v>283.76</v>
      </c>
      <c r="G173" s="3">
        <v>14.38</v>
      </c>
      <c r="H173" s="3">
        <v>302.13</v>
      </c>
    </row>
    <row r="174" spans="1:8" x14ac:dyDescent="0.25">
      <c r="A174" s="29">
        <f t="shared" si="2"/>
        <v>171</v>
      </c>
      <c r="B174" s="1">
        <v>45408</v>
      </c>
      <c r="C174" s="3">
        <v>57.51</v>
      </c>
      <c r="D174" s="3">
        <v>37.43</v>
      </c>
      <c r="E174" s="3">
        <v>14.14</v>
      </c>
      <c r="F174" s="3">
        <v>288.66000000000003</v>
      </c>
      <c r="G174" s="3">
        <v>14.68</v>
      </c>
      <c r="H174" s="3">
        <v>301.52999999999997</v>
      </c>
    </row>
    <row r="175" spans="1:8" x14ac:dyDescent="0.25">
      <c r="A175" s="29">
        <f t="shared" si="2"/>
        <v>172</v>
      </c>
      <c r="B175" s="1">
        <v>45407</v>
      </c>
      <c r="C175" s="3">
        <v>56.9</v>
      </c>
      <c r="D175" s="3">
        <v>37.119999999999997</v>
      </c>
      <c r="E175" s="3">
        <v>14.1</v>
      </c>
      <c r="F175" s="3">
        <v>284.93</v>
      </c>
      <c r="G175" s="3">
        <v>15</v>
      </c>
      <c r="H175" s="3">
        <v>297.23</v>
      </c>
    </row>
    <row r="176" spans="1:8" x14ac:dyDescent="0.25">
      <c r="A176" s="29">
        <f t="shared" si="2"/>
        <v>173</v>
      </c>
      <c r="B176" s="1">
        <v>45406</v>
      </c>
      <c r="C176" s="3">
        <v>56.26</v>
      </c>
      <c r="D176" s="3">
        <v>35.82</v>
      </c>
      <c r="E176" s="3">
        <v>13.79</v>
      </c>
      <c r="F176" s="3">
        <v>282.29000000000002</v>
      </c>
      <c r="G176" s="3">
        <v>14.73</v>
      </c>
      <c r="H176" s="3">
        <v>287.95999999999998</v>
      </c>
    </row>
    <row r="177" spans="1:8" x14ac:dyDescent="0.25">
      <c r="A177" s="29">
        <f t="shared" si="2"/>
        <v>174</v>
      </c>
      <c r="B177" s="1">
        <v>45405</v>
      </c>
      <c r="C177" s="3">
        <v>56.42</v>
      </c>
      <c r="D177" s="3">
        <v>36.42</v>
      </c>
      <c r="E177" s="3">
        <v>14.04</v>
      </c>
      <c r="F177" s="3">
        <v>271.44</v>
      </c>
      <c r="G177" s="3">
        <v>14.31</v>
      </c>
      <c r="H177" s="3">
        <v>290.67</v>
      </c>
    </row>
    <row r="178" spans="1:8" x14ac:dyDescent="0.25">
      <c r="A178" s="29">
        <f t="shared" si="2"/>
        <v>175</v>
      </c>
      <c r="B178" s="1">
        <v>45404</v>
      </c>
      <c r="C178" s="3">
        <v>56.45</v>
      </c>
      <c r="D178" s="3">
        <v>35.369999999999997</v>
      </c>
      <c r="E178" s="3">
        <v>14.04</v>
      </c>
      <c r="F178" s="3">
        <v>274.20999999999998</v>
      </c>
      <c r="G178" s="3">
        <v>13.66</v>
      </c>
      <c r="H178" s="3">
        <v>262.83999999999997</v>
      </c>
    </row>
    <row r="179" spans="1:8" x14ac:dyDescent="0.25">
      <c r="A179" s="29">
        <f t="shared" si="2"/>
        <v>176</v>
      </c>
      <c r="B179" s="1">
        <v>45401</v>
      </c>
      <c r="C179" s="3">
        <v>55.63</v>
      </c>
      <c r="D179" s="3">
        <v>35.26</v>
      </c>
      <c r="E179" s="3">
        <v>13.68</v>
      </c>
      <c r="F179" s="3">
        <v>295.88</v>
      </c>
      <c r="G179" s="3">
        <v>13.27</v>
      </c>
      <c r="H179" s="3">
        <v>255.18</v>
      </c>
    </row>
    <row r="180" spans="1:8" x14ac:dyDescent="0.25">
      <c r="A180" s="29">
        <f t="shared" si="2"/>
        <v>177</v>
      </c>
      <c r="B180" s="1">
        <v>45400</v>
      </c>
      <c r="C180" s="3">
        <v>55.53</v>
      </c>
      <c r="D180" s="3">
        <v>35.270000000000003</v>
      </c>
      <c r="E180" s="3">
        <v>13.75</v>
      </c>
      <c r="F180" s="3">
        <v>307.11</v>
      </c>
      <c r="G180" s="3">
        <v>13.29</v>
      </c>
      <c r="H180" s="3">
        <v>255.35</v>
      </c>
    </row>
    <row r="181" spans="1:8" x14ac:dyDescent="0.25">
      <c r="A181" s="29">
        <f t="shared" si="2"/>
        <v>178</v>
      </c>
      <c r="B181" s="1">
        <v>45399</v>
      </c>
      <c r="C181" s="3">
        <v>55.24</v>
      </c>
      <c r="D181" s="3">
        <v>34.19</v>
      </c>
      <c r="E181" s="3">
        <v>13.92</v>
      </c>
      <c r="F181" s="3">
        <v>305.19</v>
      </c>
      <c r="G181" s="3">
        <v>12.77</v>
      </c>
      <c r="H181" s="3">
        <v>251.35</v>
      </c>
    </row>
    <row r="182" spans="1:8" x14ac:dyDescent="0.25">
      <c r="A182" s="29">
        <f t="shared" si="2"/>
        <v>179</v>
      </c>
      <c r="B182" s="1">
        <v>45398</v>
      </c>
      <c r="C182" s="3">
        <v>55.64</v>
      </c>
      <c r="D182" s="3">
        <v>35.520000000000003</v>
      </c>
      <c r="E182" s="3">
        <v>14.34</v>
      </c>
      <c r="F182" s="3">
        <v>298.89999999999998</v>
      </c>
      <c r="G182" s="3">
        <v>12.01</v>
      </c>
      <c r="H182" s="3">
        <v>258.22000000000003</v>
      </c>
    </row>
    <row r="183" spans="1:8" x14ac:dyDescent="0.25">
      <c r="A183" s="29">
        <f t="shared" si="2"/>
        <v>180</v>
      </c>
      <c r="B183" s="1">
        <v>45397</v>
      </c>
      <c r="C183" s="3">
        <v>55.77</v>
      </c>
      <c r="D183" s="3">
        <v>35.83</v>
      </c>
      <c r="E183" s="3">
        <v>14.02</v>
      </c>
      <c r="F183" s="3">
        <v>307.70999999999998</v>
      </c>
      <c r="G183" s="3">
        <v>12.03</v>
      </c>
      <c r="H183" s="3">
        <v>257.36</v>
      </c>
    </row>
    <row r="184" spans="1:8" x14ac:dyDescent="0.25">
      <c r="A184" s="29">
        <f t="shared" si="2"/>
        <v>181</v>
      </c>
      <c r="B184" s="1">
        <v>45394</v>
      </c>
      <c r="C184" s="3">
        <v>56.35</v>
      </c>
      <c r="D184" s="3">
        <v>36.299999999999997</v>
      </c>
      <c r="E184" s="3">
        <v>14.22</v>
      </c>
      <c r="F184" s="3">
        <v>326.3</v>
      </c>
      <c r="G184" s="3">
        <v>11.72</v>
      </c>
      <c r="H184" s="3">
        <v>260.33999999999997</v>
      </c>
    </row>
    <row r="185" spans="1:8" x14ac:dyDescent="0.25">
      <c r="A185" s="29">
        <f t="shared" si="2"/>
        <v>182</v>
      </c>
      <c r="B185" s="1">
        <v>45393</v>
      </c>
      <c r="C185" s="3">
        <v>56.59</v>
      </c>
      <c r="D185" s="3">
        <v>37.01</v>
      </c>
      <c r="E185" s="3">
        <v>14.35</v>
      </c>
      <c r="F185" s="3">
        <v>317.2</v>
      </c>
      <c r="G185" s="3">
        <v>12.33</v>
      </c>
      <c r="H185" s="3">
        <v>258.89999999999998</v>
      </c>
    </row>
    <row r="186" spans="1:8" x14ac:dyDescent="0.25">
      <c r="A186" s="29">
        <f t="shared" si="2"/>
        <v>183</v>
      </c>
      <c r="B186" s="1">
        <v>45392</v>
      </c>
      <c r="C186" s="3">
        <v>56.37</v>
      </c>
      <c r="D186" s="3">
        <v>36.64</v>
      </c>
      <c r="E186" s="3">
        <v>14.15</v>
      </c>
      <c r="F186" s="3">
        <v>316.79000000000002</v>
      </c>
      <c r="G186" s="3">
        <v>12.63</v>
      </c>
      <c r="H186" s="3">
        <v>257.91000000000003</v>
      </c>
    </row>
    <row r="187" spans="1:8" x14ac:dyDescent="0.25">
      <c r="A187" s="29">
        <f t="shared" si="2"/>
        <v>184</v>
      </c>
      <c r="B187" s="1">
        <v>45391</v>
      </c>
      <c r="C187" s="3">
        <v>57.31</v>
      </c>
      <c r="D187" s="3">
        <v>38.090000000000003</v>
      </c>
      <c r="E187" s="3">
        <v>14.38</v>
      </c>
      <c r="F187" s="3">
        <v>325.33999999999997</v>
      </c>
      <c r="G187" s="3">
        <v>12.55</v>
      </c>
      <c r="H187" s="3">
        <v>260.77999999999997</v>
      </c>
    </row>
    <row r="188" spans="1:8" x14ac:dyDescent="0.25">
      <c r="A188" s="29">
        <f t="shared" si="2"/>
        <v>185</v>
      </c>
      <c r="B188" s="1">
        <v>45390</v>
      </c>
      <c r="C188" s="3">
        <v>57.7</v>
      </c>
      <c r="D188" s="3">
        <v>38.39</v>
      </c>
      <c r="E188" s="3">
        <v>14.54</v>
      </c>
      <c r="F188" s="3">
        <v>319.69</v>
      </c>
      <c r="G188" s="3">
        <v>12.84</v>
      </c>
      <c r="H188" s="3">
        <v>270.94</v>
      </c>
    </row>
    <row r="189" spans="1:8" x14ac:dyDescent="0.25">
      <c r="A189" s="29">
        <f t="shared" si="2"/>
        <v>186</v>
      </c>
      <c r="B189" s="1">
        <v>45387</v>
      </c>
      <c r="C189" s="3">
        <v>57.76</v>
      </c>
      <c r="D189" s="3">
        <v>39.119999999999997</v>
      </c>
      <c r="E189" s="3">
        <v>14.56</v>
      </c>
      <c r="F189" s="3">
        <v>310.08</v>
      </c>
      <c r="G189" s="3">
        <v>13</v>
      </c>
      <c r="H189" s="3">
        <v>271.12</v>
      </c>
    </row>
    <row r="190" spans="1:8" x14ac:dyDescent="0.25">
      <c r="A190" s="29">
        <f t="shared" si="2"/>
        <v>187</v>
      </c>
      <c r="B190" s="1">
        <v>45386</v>
      </c>
      <c r="C190" s="3">
        <v>57.59</v>
      </c>
      <c r="D190" s="3">
        <v>38.729999999999997</v>
      </c>
      <c r="E190" s="3">
        <v>14.76</v>
      </c>
      <c r="F190" s="3">
        <v>292.06</v>
      </c>
      <c r="G190" s="3">
        <v>12.99</v>
      </c>
      <c r="H190" s="3">
        <v>269.5</v>
      </c>
    </row>
    <row r="191" spans="1:8" x14ac:dyDescent="0.25">
      <c r="A191" s="29">
        <f t="shared" si="2"/>
        <v>188</v>
      </c>
      <c r="B191" s="1">
        <v>45385</v>
      </c>
      <c r="C191" s="3">
        <v>57.22</v>
      </c>
      <c r="D191" s="3">
        <v>37.81</v>
      </c>
      <c r="E191" s="3">
        <v>15.15</v>
      </c>
      <c r="F191" s="3">
        <v>280.52999999999997</v>
      </c>
      <c r="G191" s="3">
        <v>13.08</v>
      </c>
      <c r="H191" s="3">
        <v>262.01</v>
      </c>
    </row>
    <row r="192" spans="1:8" x14ac:dyDescent="0.25">
      <c r="A192" s="29">
        <f t="shared" si="2"/>
        <v>189</v>
      </c>
      <c r="B192" s="1">
        <v>45384</v>
      </c>
      <c r="C192" s="3">
        <v>57.24</v>
      </c>
      <c r="D192" s="3">
        <v>38.06</v>
      </c>
      <c r="E192" s="3">
        <v>14.99</v>
      </c>
      <c r="F192" s="3">
        <v>263.27999999999997</v>
      </c>
      <c r="G192" s="3">
        <v>12.82</v>
      </c>
      <c r="H192" s="3">
        <v>261.08</v>
      </c>
    </row>
    <row r="193" spans="1:8" x14ac:dyDescent="0.25">
      <c r="A193" s="29">
        <f t="shared" si="2"/>
        <v>190</v>
      </c>
      <c r="B193" s="1">
        <v>45383</v>
      </c>
      <c r="C193" s="3">
        <v>57.34</v>
      </c>
      <c r="D193" s="3">
        <v>38.06</v>
      </c>
      <c r="E193" s="3">
        <v>15.04</v>
      </c>
      <c r="F193" s="3">
        <v>257.89999999999998</v>
      </c>
      <c r="G193" s="3">
        <v>12.5</v>
      </c>
      <c r="H193" s="3">
        <v>257.36</v>
      </c>
    </row>
    <row r="194" spans="1:8" x14ac:dyDescent="0.25">
      <c r="A194" s="29">
        <f t="shared" si="2"/>
        <v>191</v>
      </c>
      <c r="B194" s="1">
        <v>45378</v>
      </c>
      <c r="C194" s="3">
        <v>57.05</v>
      </c>
      <c r="D194" s="3">
        <v>38.979999999999997</v>
      </c>
      <c r="E194" s="3">
        <v>14.67</v>
      </c>
      <c r="F194" s="3">
        <v>234.97</v>
      </c>
      <c r="G194" s="3">
        <v>12.14</v>
      </c>
      <c r="H194" s="3">
        <v>256</v>
      </c>
    </row>
    <row r="195" spans="1:8" x14ac:dyDescent="0.25">
      <c r="A195" s="29">
        <f t="shared" si="2"/>
        <v>192</v>
      </c>
      <c r="B195" s="1">
        <v>45377</v>
      </c>
      <c r="C195" s="3">
        <v>56.93</v>
      </c>
      <c r="D195" s="3">
        <v>39.020000000000003</v>
      </c>
      <c r="E195" s="3">
        <v>14.66</v>
      </c>
      <c r="F195" s="3">
        <v>230.42</v>
      </c>
      <c r="G195" s="3">
        <v>12.02</v>
      </c>
      <c r="H195" s="3">
        <v>253.97</v>
      </c>
    </row>
    <row r="196" spans="1:8" x14ac:dyDescent="0.25">
      <c r="A196" s="29">
        <f t="shared" si="2"/>
        <v>193</v>
      </c>
      <c r="B196" s="1">
        <v>45376</v>
      </c>
      <c r="C196" s="3">
        <v>56.3</v>
      </c>
      <c r="D196" s="3">
        <v>38.86</v>
      </c>
      <c r="E196" s="3">
        <v>14.45</v>
      </c>
      <c r="F196" s="3">
        <v>227.3</v>
      </c>
      <c r="G196" s="3">
        <v>11.99</v>
      </c>
      <c r="H196" s="3">
        <v>247.34</v>
      </c>
    </row>
    <row r="197" spans="1:8" x14ac:dyDescent="0.25">
      <c r="A197" s="29">
        <f t="shared" ref="A197:A255" si="3">+A196+1</f>
        <v>194</v>
      </c>
      <c r="B197" s="1">
        <v>45373</v>
      </c>
      <c r="C197" s="3">
        <v>56.31</v>
      </c>
      <c r="D197" s="3">
        <v>39.22</v>
      </c>
      <c r="E197" s="3">
        <v>14.4</v>
      </c>
      <c r="F197" s="3">
        <v>222.58</v>
      </c>
      <c r="G197" s="3">
        <v>12.2</v>
      </c>
      <c r="H197" s="3">
        <v>248.21</v>
      </c>
    </row>
    <row r="198" spans="1:8" x14ac:dyDescent="0.25">
      <c r="A198" s="29">
        <f t="shared" si="3"/>
        <v>195</v>
      </c>
      <c r="B198" s="1">
        <v>45372</v>
      </c>
      <c r="C198" s="3">
        <v>56.36</v>
      </c>
      <c r="D198" s="3">
        <v>38.86</v>
      </c>
      <c r="E198" s="3">
        <v>14.23</v>
      </c>
      <c r="F198" s="3">
        <v>228.69</v>
      </c>
      <c r="G198" s="3">
        <v>12.15</v>
      </c>
      <c r="H198" s="3">
        <v>240.59</v>
      </c>
    </row>
    <row r="199" spans="1:8" x14ac:dyDescent="0.25">
      <c r="A199" s="29">
        <f t="shared" si="3"/>
        <v>196</v>
      </c>
      <c r="B199" s="1">
        <v>45371</v>
      </c>
      <c r="C199" s="3">
        <v>56.33</v>
      </c>
      <c r="D199" s="3">
        <v>39.1</v>
      </c>
      <c r="E199" s="3">
        <v>14.08</v>
      </c>
      <c r="F199" s="3">
        <v>226.48</v>
      </c>
      <c r="G199" s="3">
        <v>11.87</v>
      </c>
      <c r="H199" s="3">
        <v>240.34</v>
      </c>
    </row>
    <row r="200" spans="1:8" x14ac:dyDescent="0.25">
      <c r="A200" s="29">
        <f t="shared" si="3"/>
        <v>197</v>
      </c>
      <c r="B200" s="1">
        <v>45370</v>
      </c>
      <c r="C200" s="3">
        <v>55.29</v>
      </c>
      <c r="D200" s="3">
        <v>38.49</v>
      </c>
      <c r="E200" s="3">
        <v>13.94</v>
      </c>
      <c r="F200" s="3">
        <v>221.28</v>
      </c>
      <c r="G200" s="3">
        <v>11.51</v>
      </c>
      <c r="H200" s="3">
        <v>235.29</v>
      </c>
    </row>
    <row r="201" spans="1:8" x14ac:dyDescent="0.25">
      <c r="A201" s="29">
        <f t="shared" si="3"/>
        <v>198</v>
      </c>
      <c r="B201" s="1">
        <v>45366</v>
      </c>
      <c r="C201" s="3">
        <v>55.99</v>
      </c>
      <c r="D201" s="3">
        <v>38.56</v>
      </c>
      <c r="E201" s="3">
        <v>14.19</v>
      </c>
      <c r="F201" s="3">
        <v>229.62</v>
      </c>
      <c r="G201" s="3">
        <v>11.71</v>
      </c>
      <c r="H201" s="3">
        <v>240.51</v>
      </c>
    </row>
    <row r="202" spans="1:8" x14ac:dyDescent="0.25">
      <c r="A202" s="29">
        <f t="shared" si="3"/>
        <v>199</v>
      </c>
      <c r="B202" s="1">
        <v>45365</v>
      </c>
      <c r="C202" s="3">
        <v>55.76</v>
      </c>
      <c r="D202" s="3">
        <v>38.65</v>
      </c>
      <c r="E202" s="3">
        <v>14.04</v>
      </c>
      <c r="F202" s="3">
        <v>223.16</v>
      </c>
      <c r="G202" s="3">
        <v>11.9</v>
      </c>
      <c r="H202" s="3">
        <v>237.99</v>
      </c>
    </row>
    <row r="203" spans="1:8" x14ac:dyDescent="0.25">
      <c r="A203" s="29">
        <f t="shared" si="3"/>
        <v>200</v>
      </c>
      <c r="B203" s="1">
        <v>45364</v>
      </c>
      <c r="C203" s="3">
        <v>55.58</v>
      </c>
      <c r="D203" s="3">
        <v>39.270000000000003</v>
      </c>
      <c r="E203" s="3">
        <v>13.55</v>
      </c>
      <c r="F203" s="3">
        <v>221.58</v>
      </c>
      <c r="G203" s="3">
        <v>12.32</v>
      </c>
      <c r="H203" s="3">
        <v>232.63</v>
      </c>
    </row>
    <row r="204" spans="1:8" x14ac:dyDescent="0.25">
      <c r="A204" s="29">
        <f t="shared" si="3"/>
        <v>201</v>
      </c>
      <c r="B204" s="1">
        <v>45363</v>
      </c>
      <c r="C204" s="3">
        <v>54.66</v>
      </c>
      <c r="D204" s="3">
        <v>39.200000000000003</v>
      </c>
      <c r="E204" s="3">
        <v>13.53</v>
      </c>
      <c r="F204" s="3">
        <v>216.87</v>
      </c>
      <c r="G204" s="3">
        <v>12.04</v>
      </c>
      <c r="H204" s="3">
        <v>229.16</v>
      </c>
    </row>
    <row r="205" spans="1:8" x14ac:dyDescent="0.25">
      <c r="A205" s="29">
        <f t="shared" si="3"/>
        <v>202</v>
      </c>
      <c r="B205" s="1">
        <v>45362</v>
      </c>
      <c r="C205" s="3">
        <v>54.79</v>
      </c>
      <c r="D205" s="3">
        <v>39.47</v>
      </c>
      <c r="E205" s="3">
        <v>13.63</v>
      </c>
      <c r="F205" s="3">
        <v>215.01</v>
      </c>
      <c r="G205" s="3">
        <v>12.29</v>
      </c>
      <c r="H205" s="3">
        <v>228.28</v>
      </c>
    </row>
    <row r="206" spans="1:8" x14ac:dyDescent="0.25">
      <c r="A206" s="29">
        <f t="shared" si="3"/>
        <v>203</v>
      </c>
      <c r="B206" s="1">
        <v>45359</v>
      </c>
      <c r="C206" s="3">
        <v>54.69</v>
      </c>
      <c r="D206" s="3">
        <v>39.58</v>
      </c>
      <c r="E206" s="3">
        <v>13.32</v>
      </c>
      <c r="F206" s="3">
        <v>213.58</v>
      </c>
      <c r="G206" s="3">
        <v>12.39</v>
      </c>
      <c r="H206" s="3">
        <v>228.61</v>
      </c>
    </row>
    <row r="207" spans="1:8" x14ac:dyDescent="0.25">
      <c r="A207" s="29">
        <f t="shared" si="3"/>
        <v>204</v>
      </c>
      <c r="B207" s="1">
        <v>45358</v>
      </c>
      <c r="C207" s="3">
        <v>54.81</v>
      </c>
      <c r="D207" s="3">
        <v>39.75</v>
      </c>
      <c r="E207" s="3">
        <v>13.38</v>
      </c>
      <c r="F207" s="3">
        <v>213.82</v>
      </c>
      <c r="G207" s="3">
        <v>12.42</v>
      </c>
      <c r="H207" s="3">
        <v>228.46</v>
      </c>
    </row>
    <row r="208" spans="1:8" x14ac:dyDescent="0.25">
      <c r="A208" s="29">
        <f t="shared" si="3"/>
        <v>205</v>
      </c>
      <c r="B208" s="1">
        <v>45357</v>
      </c>
      <c r="C208" s="3">
        <v>54.99</v>
      </c>
      <c r="D208" s="3">
        <v>39.380000000000003</v>
      </c>
      <c r="E208" s="3">
        <v>13.27</v>
      </c>
      <c r="F208" s="3">
        <v>215.5</v>
      </c>
      <c r="G208" s="3">
        <v>12.74</v>
      </c>
      <c r="H208" s="3">
        <v>229.71</v>
      </c>
    </row>
    <row r="209" spans="1:8" x14ac:dyDescent="0.25">
      <c r="A209" s="29">
        <f t="shared" si="3"/>
        <v>206</v>
      </c>
      <c r="B209" s="1">
        <v>45356</v>
      </c>
      <c r="C209" s="3">
        <v>55.26</v>
      </c>
      <c r="D209" s="3">
        <v>39.549999999999997</v>
      </c>
      <c r="E209" s="3">
        <v>13.1</v>
      </c>
      <c r="F209" s="3">
        <v>216.97</v>
      </c>
      <c r="G209" s="3">
        <v>12.29</v>
      </c>
      <c r="H209" s="3">
        <v>228.24</v>
      </c>
    </row>
    <row r="210" spans="1:8" x14ac:dyDescent="0.25">
      <c r="A210" s="29">
        <f t="shared" si="3"/>
        <v>207</v>
      </c>
      <c r="B210" s="1">
        <v>45355</v>
      </c>
      <c r="C210" s="3">
        <v>55.15</v>
      </c>
      <c r="D210" s="3">
        <v>39.479999999999997</v>
      </c>
      <c r="E210" s="3">
        <v>13.23</v>
      </c>
      <c r="F210" s="3">
        <v>213.37</v>
      </c>
      <c r="G210" s="3">
        <v>12.07</v>
      </c>
      <c r="H210" s="3">
        <v>232.66</v>
      </c>
    </row>
    <row r="211" spans="1:8" x14ac:dyDescent="0.25">
      <c r="A211" s="29">
        <f t="shared" si="3"/>
        <v>208</v>
      </c>
      <c r="B211" s="1">
        <v>45352</v>
      </c>
      <c r="C211" s="3">
        <v>55.28</v>
      </c>
      <c r="D211" s="3">
        <v>39.79</v>
      </c>
      <c r="E211" s="3">
        <v>13.4</v>
      </c>
      <c r="F211" s="3">
        <v>217.51</v>
      </c>
      <c r="G211" s="3">
        <v>12.37</v>
      </c>
      <c r="H211" s="3">
        <v>240.8</v>
      </c>
    </row>
    <row r="212" spans="1:8" x14ac:dyDescent="0.25">
      <c r="A212" s="29">
        <f t="shared" si="3"/>
        <v>209</v>
      </c>
      <c r="B212" s="1">
        <v>45351</v>
      </c>
      <c r="C212" s="3">
        <v>55.18</v>
      </c>
      <c r="D212" s="3">
        <v>39.85</v>
      </c>
      <c r="E212" s="3">
        <v>13.03</v>
      </c>
      <c r="F212" s="3">
        <v>213.58</v>
      </c>
      <c r="G212" s="3">
        <v>12.4</v>
      </c>
      <c r="H212" s="3">
        <v>241.29</v>
      </c>
    </row>
    <row r="213" spans="1:8" x14ac:dyDescent="0.25">
      <c r="A213" s="29">
        <f t="shared" si="3"/>
        <v>210</v>
      </c>
      <c r="B213" s="1">
        <v>45350</v>
      </c>
      <c r="C213" s="3">
        <v>55.06</v>
      </c>
      <c r="D213" s="3">
        <v>39.86</v>
      </c>
      <c r="E213" s="3">
        <v>13.2</v>
      </c>
      <c r="F213" s="3">
        <v>213.91</v>
      </c>
      <c r="G213" s="3">
        <v>12.48</v>
      </c>
      <c r="H213" s="3">
        <v>238.91</v>
      </c>
    </row>
    <row r="214" spans="1:8" x14ac:dyDescent="0.25">
      <c r="A214" s="29">
        <f t="shared" si="3"/>
        <v>211</v>
      </c>
      <c r="B214" s="1">
        <v>45349</v>
      </c>
      <c r="C214" s="3">
        <v>55.95</v>
      </c>
      <c r="D214" s="3">
        <v>41.45</v>
      </c>
      <c r="E214" s="3">
        <v>13.66</v>
      </c>
      <c r="F214" s="3">
        <v>216.42</v>
      </c>
      <c r="G214" s="3">
        <v>12.57</v>
      </c>
      <c r="H214" s="3">
        <v>245.67</v>
      </c>
    </row>
    <row r="215" spans="1:8" x14ac:dyDescent="0.25">
      <c r="A215" s="29">
        <f t="shared" si="3"/>
        <v>212</v>
      </c>
      <c r="B215" s="1">
        <v>45348</v>
      </c>
      <c r="C215" s="3">
        <v>55.89</v>
      </c>
      <c r="D215" s="3">
        <v>41.87</v>
      </c>
      <c r="E215" s="3">
        <v>13.89</v>
      </c>
      <c r="F215" s="3">
        <v>214.59</v>
      </c>
      <c r="G215" s="3">
        <v>12.52</v>
      </c>
      <c r="H215" s="3">
        <v>248.4</v>
      </c>
    </row>
    <row r="216" spans="1:8" x14ac:dyDescent="0.25">
      <c r="A216" s="29">
        <f t="shared" si="3"/>
        <v>213</v>
      </c>
      <c r="B216" s="1">
        <v>45345</v>
      </c>
      <c r="C216" s="3">
        <v>56.4</v>
      </c>
      <c r="D216" s="3">
        <v>42.29</v>
      </c>
      <c r="E216" s="3">
        <v>13.99</v>
      </c>
      <c r="F216" s="3">
        <v>213.72</v>
      </c>
      <c r="G216" s="3">
        <v>12.63</v>
      </c>
      <c r="H216" s="3">
        <v>251.73</v>
      </c>
    </row>
    <row r="217" spans="1:8" x14ac:dyDescent="0.25">
      <c r="A217" s="29">
        <f t="shared" si="3"/>
        <v>214</v>
      </c>
      <c r="B217" s="1">
        <v>45344</v>
      </c>
      <c r="C217" s="3">
        <v>56.85</v>
      </c>
      <c r="D217" s="3">
        <v>42.15</v>
      </c>
      <c r="E217" s="3">
        <v>13.7</v>
      </c>
      <c r="F217" s="3">
        <v>212.95</v>
      </c>
      <c r="G217" s="3">
        <v>12.63</v>
      </c>
      <c r="H217" s="3">
        <v>253.22</v>
      </c>
    </row>
    <row r="218" spans="1:8" x14ac:dyDescent="0.25">
      <c r="A218" s="29">
        <f t="shared" si="3"/>
        <v>215</v>
      </c>
      <c r="B218" s="1">
        <v>45343</v>
      </c>
      <c r="C218" s="3">
        <v>56.73</v>
      </c>
      <c r="D218" s="3">
        <v>41.58</v>
      </c>
      <c r="E218" s="3">
        <v>13.53</v>
      </c>
      <c r="F218" s="3">
        <v>215.19</v>
      </c>
      <c r="G218" s="3">
        <v>12.56</v>
      </c>
      <c r="H218" s="3">
        <v>248.65</v>
      </c>
    </row>
    <row r="219" spans="1:8" x14ac:dyDescent="0.25">
      <c r="A219" s="29">
        <f t="shared" si="3"/>
        <v>216</v>
      </c>
      <c r="B219" s="1">
        <v>45342</v>
      </c>
      <c r="C219" s="3">
        <v>56.9</v>
      </c>
      <c r="D219" s="3">
        <v>42.47</v>
      </c>
      <c r="E219" s="3">
        <v>13.44</v>
      </c>
      <c r="F219" s="3">
        <v>215.85</v>
      </c>
      <c r="G219" s="3">
        <v>12.93</v>
      </c>
      <c r="H219" s="3">
        <v>252.5</v>
      </c>
    </row>
    <row r="220" spans="1:8" x14ac:dyDescent="0.25">
      <c r="A220" s="29">
        <f t="shared" si="3"/>
        <v>217</v>
      </c>
      <c r="B220" s="1">
        <v>45341</v>
      </c>
      <c r="C220" s="3">
        <v>57.03</v>
      </c>
      <c r="D220" s="3">
        <v>42.72</v>
      </c>
      <c r="E220" s="3">
        <v>13.49</v>
      </c>
      <c r="F220" s="3">
        <v>218.04</v>
      </c>
      <c r="G220" s="3">
        <v>12.74</v>
      </c>
      <c r="H220" s="3">
        <v>247.9</v>
      </c>
    </row>
    <row r="221" spans="1:8" x14ac:dyDescent="0.25">
      <c r="A221" s="29">
        <f t="shared" si="3"/>
        <v>218</v>
      </c>
      <c r="B221" s="1">
        <v>45338</v>
      </c>
      <c r="C221" s="3">
        <v>56.8</v>
      </c>
      <c r="D221" s="3">
        <v>42.42</v>
      </c>
      <c r="E221" s="3">
        <v>13.42</v>
      </c>
      <c r="F221" s="3">
        <v>216.64</v>
      </c>
      <c r="G221" s="3">
        <v>12.75</v>
      </c>
      <c r="H221" s="3">
        <v>255.3</v>
      </c>
    </row>
    <row r="222" spans="1:8" x14ac:dyDescent="0.25">
      <c r="A222" s="29">
        <f t="shared" si="3"/>
        <v>219</v>
      </c>
      <c r="B222" s="1">
        <v>45337</v>
      </c>
      <c r="C222" s="3">
        <v>56.91</v>
      </c>
      <c r="D222" s="3">
        <v>42.66</v>
      </c>
      <c r="E222" s="3">
        <v>13.19</v>
      </c>
      <c r="F222" s="3">
        <v>216.67</v>
      </c>
      <c r="G222" s="3">
        <v>12.68</v>
      </c>
      <c r="H222" s="3">
        <v>255.05</v>
      </c>
    </row>
    <row r="223" spans="1:8" x14ac:dyDescent="0.25">
      <c r="A223" s="29">
        <f t="shared" si="3"/>
        <v>220</v>
      </c>
      <c r="B223" s="1">
        <v>45336</v>
      </c>
      <c r="C223" s="3">
        <v>56.92</v>
      </c>
      <c r="D223" s="3">
        <v>42.44</v>
      </c>
      <c r="E223" s="3">
        <v>13.02</v>
      </c>
      <c r="F223" s="3">
        <v>216.81</v>
      </c>
      <c r="G223" s="3">
        <v>12.44</v>
      </c>
      <c r="H223" s="3">
        <v>255.57</v>
      </c>
    </row>
    <row r="224" spans="1:8" x14ac:dyDescent="0.25">
      <c r="A224" s="29">
        <f t="shared" si="3"/>
        <v>221</v>
      </c>
      <c r="B224" s="1">
        <v>45335</v>
      </c>
      <c r="C224" s="3">
        <v>56.63</v>
      </c>
      <c r="D224" s="3">
        <v>42.29</v>
      </c>
      <c r="E224" s="3">
        <v>13.13</v>
      </c>
      <c r="F224" s="3">
        <v>215.02</v>
      </c>
      <c r="G224" s="3">
        <v>12.23</v>
      </c>
      <c r="H224" s="3">
        <v>258.27</v>
      </c>
    </row>
    <row r="225" spans="1:8" x14ac:dyDescent="0.25">
      <c r="A225" s="29">
        <f t="shared" si="3"/>
        <v>222</v>
      </c>
      <c r="B225" s="1">
        <v>45334</v>
      </c>
      <c r="C225" s="3">
        <v>57.1</v>
      </c>
      <c r="D225" s="3">
        <v>42.98</v>
      </c>
      <c r="E225" s="3">
        <v>13.31</v>
      </c>
      <c r="F225" s="3">
        <v>218.17</v>
      </c>
      <c r="G225" s="3">
        <v>12.9</v>
      </c>
      <c r="H225" s="3">
        <v>260.70999999999998</v>
      </c>
    </row>
    <row r="226" spans="1:8" x14ac:dyDescent="0.25">
      <c r="A226" s="29">
        <f t="shared" si="3"/>
        <v>223</v>
      </c>
      <c r="B226" s="1">
        <v>45331</v>
      </c>
      <c r="C226" s="3">
        <v>57.01</v>
      </c>
      <c r="D226" s="3">
        <v>42.61</v>
      </c>
      <c r="E226" s="3">
        <v>13.13</v>
      </c>
      <c r="F226" s="3">
        <v>215.57</v>
      </c>
      <c r="G226" s="3">
        <v>12.81</v>
      </c>
      <c r="H226" s="3">
        <v>268.27999999999997</v>
      </c>
    </row>
    <row r="227" spans="1:8" x14ac:dyDescent="0.25">
      <c r="A227" s="29">
        <f t="shared" si="3"/>
        <v>224</v>
      </c>
      <c r="B227" s="1">
        <v>45330</v>
      </c>
      <c r="C227" s="3">
        <v>57.42</v>
      </c>
      <c r="D227" s="3">
        <v>42.9</v>
      </c>
      <c r="E227" s="3">
        <v>13.63</v>
      </c>
      <c r="F227" s="3">
        <v>217.24</v>
      </c>
      <c r="G227" s="3">
        <v>12.92</v>
      </c>
      <c r="H227" s="3">
        <v>270.83</v>
      </c>
    </row>
    <row r="228" spans="1:8" x14ac:dyDescent="0.25">
      <c r="A228" s="29">
        <f t="shared" si="3"/>
        <v>225</v>
      </c>
      <c r="B228" s="1">
        <v>45329</v>
      </c>
      <c r="C228" s="3">
        <v>58.36</v>
      </c>
      <c r="D228" s="3">
        <v>42.6</v>
      </c>
      <c r="E228" s="3">
        <v>14.86</v>
      </c>
      <c r="F228" s="3">
        <v>220.27</v>
      </c>
      <c r="G228" s="3">
        <v>13.07</v>
      </c>
      <c r="H228" s="3">
        <v>271</v>
      </c>
    </row>
    <row r="229" spans="1:8" x14ac:dyDescent="0.25">
      <c r="A229" s="29">
        <f t="shared" si="3"/>
        <v>226</v>
      </c>
      <c r="B229" s="1">
        <v>45328</v>
      </c>
      <c r="C229" s="3">
        <v>58.35</v>
      </c>
      <c r="D229" s="3">
        <v>41.04</v>
      </c>
      <c r="E229" s="3">
        <v>14.78</v>
      </c>
      <c r="F229" s="3">
        <v>221.93</v>
      </c>
      <c r="G229" s="3">
        <v>13.47</v>
      </c>
      <c r="H229" s="3">
        <v>274.95999999999998</v>
      </c>
    </row>
    <row r="230" spans="1:8" x14ac:dyDescent="0.25">
      <c r="A230" s="29">
        <f t="shared" si="3"/>
        <v>227</v>
      </c>
      <c r="B230" s="1">
        <v>45324</v>
      </c>
      <c r="C230" s="3">
        <v>57.94</v>
      </c>
      <c r="D230" s="3">
        <v>40.54</v>
      </c>
      <c r="E230" s="3">
        <v>14.71</v>
      </c>
      <c r="F230" s="3">
        <v>216.89</v>
      </c>
      <c r="G230" s="3">
        <v>13.86</v>
      </c>
      <c r="H230" s="3">
        <v>267.82</v>
      </c>
    </row>
    <row r="231" spans="1:8" x14ac:dyDescent="0.25">
      <c r="A231" s="29">
        <f t="shared" si="3"/>
        <v>228</v>
      </c>
      <c r="B231" s="1">
        <v>45323</v>
      </c>
      <c r="C231" s="3">
        <v>57.49</v>
      </c>
      <c r="D231" s="3">
        <v>40.590000000000003</v>
      </c>
      <c r="E231" s="3">
        <v>14.42</v>
      </c>
      <c r="F231" s="3">
        <v>224.89</v>
      </c>
      <c r="G231" s="3">
        <v>13.77</v>
      </c>
      <c r="H231" s="3">
        <v>258.36</v>
      </c>
    </row>
    <row r="232" spans="1:8" x14ac:dyDescent="0.25">
      <c r="A232" s="29">
        <f t="shared" si="3"/>
        <v>229</v>
      </c>
      <c r="B232" s="1">
        <v>45322</v>
      </c>
      <c r="C232" s="3">
        <v>57.06</v>
      </c>
      <c r="D232" s="3">
        <v>40.409999999999997</v>
      </c>
      <c r="E232" s="3">
        <v>14.3</v>
      </c>
      <c r="F232" s="3">
        <v>226.34</v>
      </c>
      <c r="G232" s="3">
        <v>13.76</v>
      </c>
      <c r="H232" s="3">
        <v>256.89999999999998</v>
      </c>
    </row>
    <row r="233" spans="1:8" x14ac:dyDescent="0.25">
      <c r="A233" s="29">
        <f t="shared" si="3"/>
        <v>230</v>
      </c>
      <c r="B233" s="1">
        <v>45321</v>
      </c>
      <c r="C233" s="3">
        <v>57.19</v>
      </c>
      <c r="D233" s="3">
        <v>40.630000000000003</v>
      </c>
      <c r="E233" s="3">
        <v>14.38</v>
      </c>
      <c r="F233" s="3">
        <v>232.22</v>
      </c>
      <c r="G233" s="3">
        <v>13.88</v>
      </c>
      <c r="H233" s="3">
        <v>260.39999999999998</v>
      </c>
    </row>
    <row r="234" spans="1:8" x14ac:dyDescent="0.25">
      <c r="A234" s="29">
        <f t="shared" si="3"/>
        <v>231</v>
      </c>
      <c r="B234" s="1">
        <v>45320</v>
      </c>
      <c r="C234" s="3">
        <v>56.84</v>
      </c>
      <c r="D234" s="3">
        <v>40.69</v>
      </c>
      <c r="E234" s="3">
        <v>14.29</v>
      </c>
      <c r="F234" s="3">
        <v>238.66</v>
      </c>
      <c r="G234" s="3">
        <v>14.34</v>
      </c>
      <c r="H234" s="3">
        <v>264.27</v>
      </c>
    </row>
    <row r="235" spans="1:8" x14ac:dyDescent="0.25">
      <c r="A235" s="29">
        <f t="shared" si="3"/>
        <v>232</v>
      </c>
      <c r="B235" s="1">
        <v>45317</v>
      </c>
      <c r="C235" s="3">
        <v>56.53</v>
      </c>
      <c r="D235" s="3">
        <v>40.61</v>
      </c>
      <c r="E235" s="3">
        <v>14.15</v>
      </c>
      <c r="F235" s="3">
        <v>222.6</v>
      </c>
      <c r="G235" s="3">
        <v>13.99</v>
      </c>
      <c r="H235" s="3">
        <v>261.12</v>
      </c>
    </row>
    <row r="236" spans="1:8" x14ac:dyDescent="0.25">
      <c r="A236" s="29">
        <f t="shared" si="3"/>
        <v>233</v>
      </c>
      <c r="B236" s="1">
        <v>45316</v>
      </c>
      <c r="C236" s="3">
        <v>55.95</v>
      </c>
      <c r="D236" s="3">
        <v>41.17</v>
      </c>
      <c r="E236" s="3">
        <v>13.99</v>
      </c>
      <c r="F236" s="3">
        <v>220.21</v>
      </c>
      <c r="G236" s="3">
        <v>14.18</v>
      </c>
      <c r="H236" s="3">
        <v>255.3</v>
      </c>
    </row>
    <row r="237" spans="1:8" x14ac:dyDescent="0.25">
      <c r="A237" s="29">
        <f t="shared" si="3"/>
        <v>234</v>
      </c>
      <c r="B237" s="1">
        <v>45315</v>
      </c>
      <c r="C237" s="3">
        <v>55.13</v>
      </c>
      <c r="D237" s="3">
        <v>39.96</v>
      </c>
      <c r="E237" s="3">
        <v>13.34</v>
      </c>
      <c r="F237" s="3">
        <v>221.86</v>
      </c>
      <c r="G237" s="3">
        <v>14.44</v>
      </c>
      <c r="H237" s="3">
        <v>248.76</v>
      </c>
    </row>
    <row r="238" spans="1:8" x14ac:dyDescent="0.25">
      <c r="A238" s="29">
        <f t="shared" si="3"/>
        <v>235</v>
      </c>
      <c r="B238" s="1">
        <v>45314</v>
      </c>
      <c r="C238" s="3">
        <v>55.31</v>
      </c>
      <c r="D238" s="3">
        <v>39.81</v>
      </c>
      <c r="E238" s="3">
        <v>13.06</v>
      </c>
      <c r="F238" s="3">
        <v>211.48</v>
      </c>
      <c r="G238" s="3">
        <v>14.25</v>
      </c>
      <c r="H238" s="3">
        <v>249.85</v>
      </c>
    </row>
    <row r="239" spans="1:8" x14ac:dyDescent="0.25">
      <c r="A239" s="29">
        <f t="shared" si="3"/>
        <v>236</v>
      </c>
      <c r="B239" s="1">
        <v>45313</v>
      </c>
      <c r="C239" s="3">
        <v>54.46</v>
      </c>
      <c r="D239" s="3">
        <v>39.68</v>
      </c>
      <c r="E239" s="3">
        <v>12.81</v>
      </c>
      <c r="F239" s="3">
        <v>207.74</v>
      </c>
      <c r="G239" s="3">
        <v>13.91</v>
      </c>
      <c r="H239" s="3">
        <v>242.45</v>
      </c>
    </row>
    <row r="240" spans="1:8" x14ac:dyDescent="0.25">
      <c r="A240" s="29">
        <f t="shared" si="3"/>
        <v>237</v>
      </c>
      <c r="B240" s="1">
        <v>45310</v>
      </c>
      <c r="C240" s="3">
        <v>55.17</v>
      </c>
      <c r="D240" s="3">
        <v>40.06</v>
      </c>
      <c r="E240" s="3">
        <v>12.82</v>
      </c>
      <c r="F240" s="3">
        <v>211.82</v>
      </c>
      <c r="G240" s="3">
        <v>14.23</v>
      </c>
      <c r="H240" s="3">
        <v>254.63</v>
      </c>
    </row>
    <row r="241" spans="1:8" x14ac:dyDescent="0.25">
      <c r="A241" s="29">
        <f t="shared" si="3"/>
        <v>238</v>
      </c>
      <c r="B241" s="1">
        <v>45309</v>
      </c>
      <c r="C241" s="3">
        <v>54.41</v>
      </c>
      <c r="D241" s="3">
        <v>39.94</v>
      </c>
      <c r="E241" s="3">
        <v>12.74</v>
      </c>
      <c r="F241" s="3">
        <v>208.59</v>
      </c>
      <c r="G241" s="3">
        <v>14.11</v>
      </c>
      <c r="H241" s="3">
        <v>250.09</v>
      </c>
    </row>
    <row r="242" spans="1:8" x14ac:dyDescent="0.25">
      <c r="A242" s="29">
        <f t="shared" si="3"/>
        <v>239</v>
      </c>
      <c r="B242" s="1">
        <v>45308</v>
      </c>
      <c r="C242" s="3">
        <v>54.47</v>
      </c>
      <c r="D242" s="3">
        <v>37.049999999999997</v>
      </c>
      <c r="E242" s="3">
        <v>12.85</v>
      </c>
      <c r="F242" s="3">
        <v>208.1</v>
      </c>
      <c r="G242" s="3">
        <v>13.42</v>
      </c>
      <c r="H242" s="3">
        <v>248.93</v>
      </c>
    </row>
    <row r="243" spans="1:8" x14ac:dyDescent="0.25">
      <c r="A243" s="29">
        <f t="shared" si="3"/>
        <v>240</v>
      </c>
      <c r="B243" s="1">
        <v>45307</v>
      </c>
      <c r="C243" s="3">
        <v>54.83</v>
      </c>
      <c r="D243" s="3">
        <v>39.56</v>
      </c>
      <c r="E243" s="3">
        <v>12.8</v>
      </c>
      <c r="F243" s="3">
        <v>216.52</v>
      </c>
      <c r="G243" s="3">
        <v>14.11</v>
      </c>
      <c r="H243" s="3">
        <v>250.2</v>
      </c>
    </row>
    <row r="244" spans="1:8" x14ac:dyDescent="0.25">
      <c r="A244" s="29">
        <f t="shared" si="3"/>
        <v>241</v>
      </c>
      <c r="B244" s="1">
        <v>45306</v>
      </c>
      <c r="C244" s="3">
        <v>55.27</v>
      </c>
      <c r="D244" s="3">
        <v>40.700000000000003</v>
      </c>
      <c r="E244" s="3">
        <v>13.06</v>
      </c>
      <c r="F244" s="3">
        <v>223.29</v>
      </c>
      <c r="G244" s="3">
        <v>14.48</v>
      </c>
      <c r="H244" s="3">
        <v>258.93</v>
      </c>
    </row>
    <row r="245" spans="1:8" x14ac:dyDescent="0.25">
      <c r="A245" s="29">
        <f t="shared" si="3"/>
        <v>242</v>
      </c>
      <c r="B245" s="1">
        <v>45303</v>
      </c>
      <c r="C245" s="3">
        <v>55.33</v>
      </c>
      <c r="D245" s="3">
        <v>39.85</v>
      </c>
      <c r="E245" s="3">
        <v>13.22</v>
      </c>
      <c r="F245" s="3">
        <v>225.13</v>
      </c>
      <c r="G245" s="3">
        <v>14.34</v>
      </c>
      <c r="H245" s="3">
        <v>257</v>
      </c>
    </row>
    <row r="246" spans="1:8" x14ac:dyDescent="0.25">
      <c r="A246" s="29">
        <f t="shared" si="3"/>
        <v>243</v>
      </c>
      <c r="B246" s="1">
        <v>45302</v>
      </c>
      <c r="C246" s="3">
        <v>55.17</v>
      </c>
      <c r="D246" s="3">
        <v>41.36</v>
      </c>
      <c r="E246" s="3">
        <v>13.22</v>
      </c>
      <c r="F246" s="3">
        <v>226.15</v>
      </c>
      <c r="G246" s="3">
        <v>14.87</v>
      </c>
      <c r="H246" s="3">
        <v>261</v>
      </c>
    </row>
    <row r="247" spans="1:8" x14ac:dyDescent="0.25">
      <c r="A247" s="29">
        <f t="shared" si="3"/>
        <v>244</v>
      </c>
      <c r="B247" s="1">
        <v>45301</v>
      </c>
      <c r="C247" s="3">
        <v>55.03</v>
      </c>
      <c r="D247" s="3">
        <v>40.770000000000003</v>
      </c>
      <c r="E247" s="3">
        <v>13.32</v>
      </c>
      <c r="F247" s="3">
        <v>228.28</v>
      </c>
      <c r="G247" s="3">
        <v>14.68</v>
      </c>
      <c r="H247" s="3">
        <v>263.82</v>
      </c>
    </row>
    <row r="248" spans="1:8" x14ac:dyDescent="0.25">
      <c r="A248" s="29">
        <f t="shared" si="3"/>
        <v>245</v>
      </c>
      <c r="B248" s="1">
        <v>45300</v>
      </c>
      <c r="C248" s="3">
        <v>54.84</v>
      </c>
      <c r="D248" s="3">
        <v>41.04</v>
      </c>
      <c r="E248" s="3">
        <v>13.21</v>
      </c>
      <c r="F248" s="3">
        <v>229.7</v>
      </c>
      <c r="G248" s="3">
        <v>14.74</v>
      </c>
      <c r="H248" s="3">
        <v>261.95</v>
      </c>
    </row>
    <row r="249" spans="1:8" x14ac:dyDescent="0.25">
      <c r="A249" s="29">
        <f t="shared" si="3"/>
        <v>246</v>
      </c>
      <c r="B249" s="1">
        <v>45299</v>
      </c>
      <c r="C249" s="3">
        <v>55.88</v>
      </c>
      <c r="D249" s="3">
        <v>41.72</v>
      </c>
      <c r="E249" s="3">
        <v>13.08</v>
      </c>
      <c r="F249" s="3">
        <v>236.46</v>
      </c>
      <c r="G249" s="3">
        <v>15.34</v>
      </c>
      <c r="H249" s="3">
        <v>276.45999999999998</v>
      </c>
    </row>
    <row r="250" spans="1:8" x14ac:dyDescent="0.25">
      <c r="A250" s="29">
        <f t="shared" si="3"/>
        <v>247</v>
      </c>
      <c r="B250" s="1">
        <v>45296</v>
      </c>
      <c r="C250" s="3">
        <v>55.93</v>
      </c>
      <c r="D250" s="3">
        <v>42.7</v>
      </c>
      <c r="E250" s="3">
        <v>13</v>
      </c>
      <c r="F250" s="3">
        <v>229.74</v>
      </c>
      <c r="G250" s="3">
        <v>14.85</v>
      </c>
      <c r="H250" s="3">
        <v>272.79000000000002</v>
      </c>
    </row>
    <row r="251" spans="1:8" x14ac:dyDescent="0.25">
      <c r="A251" s="29">
        <f t="shared" si="3"/>
        <v>248</v>
      </c>
      <c r="B251" s="1">
        <v>45295</v>
      </c>
      <c r="C251" s="3">
        <v>55.12</v>
      </c>
      <c r="D251" s="3">
        <v>41.19</v>
      </c>
      <c r="E251" s="3">
        <v>12.67</v>
      </c>
      <c r="F251" s="3">
        <v>230.13</v>
      </c>
      <c r="G251" s="3">
        <v>14.8</v>
      </c>
      <c r="H251" s="3">
        <v>272.87</v>
      </c>
    </row>
    <row r="252" spans="1:8" x14ac:dyDescent="0.25">
      <c r="A252" s="29">
        <f t="shared" si="3"/>
        <v>249</v>
      </c>
      <c r="B252" s="1">
        <v>45294</v>
      </c>
      <c r="C252" s="3">
        <v>55.45</v>
      </c>
      <c r="D252" s="3">
        <v>41.65</v>
      </c>
      <c r="E252" s="3">
        <v>12.68</v>
      </c>
      <c r="F252" s="3">
        <v>234.88</v>
      </c>
      <c r="G252" s="3">
        <v>15.16</v>
      </c>
      <c r="H252" s="3">
        <v>273.08</v>
      </c>
    </row>
    <row r="253" spans="1:8" x14ac:dyDescent="0.25">
      <c r="A253" s="29">
        <f t="shared" si="3"/>
        <v>250</v>
      </c>
      <c r="B253" s="1">
        <v>45293</v>
      </c>
      <c r="C253" s="3">
        <v>56.69</v>
      </c>
      <c r="D253" s="3">
        <v>43.19</v>
      </c>
      <c r="E253" s="3">
        <v>13</v>
      </c>
      <c r="F253" s="3">
        <v>248.17</v>
      </c>
      <c r="G253" s="3">
        <v>15.33</v>
      </c>
      <c r="H253" s="3">
        <v>280</v>
      </c>
    </row>
    <row r="254" spans="1:8" x14ac:dyDescent="0.25">
      <c r="A254" s="29">
        <f t="shared" si="3"/>
        <v>251</v>
      </c>
      <c r="B254" s="1">
        <v>45289</v>
      </c>
      <c r="C254" s="3">
        <v>57.12</v>
      </c>
      <c r="D254" s="3">
        <v>43.7</v>
      </c>
      <c r="E254" s="3">
        <v>13.22</v>
      </c>
      <c r="F254" s="3">
        <v>248.24</v>
      </c>
      <c r="G254" s="3">
        <v>16</v>
      </c>
      <c r="H254" s="3">
        <v>284.20999999999998</v>
      </c>
    </row>
    <row r="255" spans="1:8" x14ac:dyDescent="0.25">
      <c r="A255" s="29">
        <f t="shared" si="3"/>
        <v>252</v>
      </c>
      <c r="B255" s="1">
        <v>45288</v>
      </c>
      <c r="C255" s="3">
        <v>57.2</v>
      </c>
      <c r="D255" s="3">
        <v>43.44</v>
      </c>
      <c r="E255" s="3">
        <v>13.42</v>
      </c>
      <c r="F255" s="3">
        <v>251.85</v>
      </c>
      <c r="G255" s="3">
        <v>16.149999999999999</v>
      </c>
      <c r="H255" s="3">
        <v>284.68</v>
      </c>
    </row>
    <row r="257" spans="8:8" x14ac:dyDescent="0.25">
      <c r="H257" s="39"/>
    </row>
  </sheetData>
  <autoFilter ref="A2:H255" xr:uid="{00000000-0001-0000-0000-000000000000}"/>
  <mergeCells count="1">
    <mergeCell ref="C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XEZ270"/>
  <sheetViews>
    <sheetView zoomScaleNormal="100" workbookViewId="0">
      <pane xSplit="1" ySplit="6" topLeftCell="B145" activePane="bottomRight" state="frozen"/>
      <selection pane="topRight" activeCell="B1" sqref="B1"/>
      <selection pane="bottomLeft" activeCell="A3" sqref="A3"/>
      <selection pane="bottomRight" activeCell="M4" sqref="M4"/>
    </sheetView>
  </sheetViews>
  <sheetFormatPr baseColWidth="10" defaultColWidth="11.42578125" defaultRowHeight="15" x14ac:dyDescent="0.25"/>
  <cols>
    <col min="2" max="2" width="14" bestFit="1" customWidth="1"/>
    <col min="3" max="3" width="13" bestFit="1" customWidth="1"/>
    <col min="4" max="4" width="15.85546875" bestFit="1" customWidth="1"/>
    <col min="5" max="6" width="15.5703125" customWidth="1"/>
    <col min="8" max="8" width="12.7109375" bestFit="1" customWidth="1"/>
    <col min="9" max="9" width="12" bestFit="1" customWidth="1"/>
  </cols>
  <sheetData>
    <row r="1" spans="1:10 16380:16380" ht="21" x14ac:dyDescent="0.35">
      <c r="A1" s="20" t="s">
        <v>12</v>
      </c>
    </row>
    <row r="2" spans="1:10 16380:16380" x14ac:dyDescent="0.25">
      <c r="A2" s="1"/>
      <c r="B2" s="2"/>
      <c r="C2" s="3"/>
      <c r="D2" s="10"/>
      <c r="E2" s="9"/>
      <c r="F2" s="9"/>
      <c r="H2" s="22"/>
      <c r="I2" s="22"/>
    </row>
    <row r="3" spans="1:10 16380:16380" ht="21" x14ac:dyDescent="0.35">
      <c r="A3" s="20"/>
      <c r="B3" s="12" t="s">
        <v>28</v>
      </c>
      <c r="C3">
        <v>2</v>
      </c>
    </row>
    <row r="4" spans="1:10 16380:16380" x14ac:dyDescent="0.25">
      <c r="A4" s="1"/>
      <c r="B4" s="2"/>
      <c r="C4" s="3"/>
      <c r="D4" s="10"/>
      <c r="E4" s="9"/>
      <c r="F4" s="9"/>
      <c r="H4" s="22"/>
      <c r="I4" s="22"/>
    </row>
    <row r="5" spans="1:10 16380:16380" x14ac:dyDescent="0.25">
      <c r="F5" s="9"/>
      <c r="H5" s="17" t="s">
        <v>14</v>
      </c>
      <c r="I5" s="30">
        <v>2</v>
      </c>
      <c r="J5" t="s">
        <v>38</v>
      </c>
    </row>
    <row r="6" spans="1:10 16380:16380" ht="18" x14ac:dyDescent="0.35">
      <c r="A6" s="7" t="s">
        <v>0</v>
      </c>
      <c r="B6" s="7" t="s">
        <v>6</v>
      </c>
      <c r="C6" s="8" t="s">
        <v>30</v>
      </c>
      <c r="D6" s="8" t="s">
        <v>1</v>
      </c>
      <c r="E6" s="7" t="s">
        <v>4</v>
      </c>
      <c r="F6" s="9"/>
      <c r="H6" s="24" t="s">
        <v>23</v>
      </c>
      <c r="I6" s="24" t="s">
        <v>24</v>
      </c>
    </row>
    <row r="7" spans="1:10 16380:16380" x14ac:dyDescent="0.25">
      <c r="A7" s="16"/>
      <c r="B7" s="16"/>
      <c r="C7" s="17"/>
      <c r="D7" s="17"/>
      <c r="E7" s="16"/>
      <c r="F7" s="9"/>
    </row>
    <row r="8" spans="1:10 16380:16380" x14ac:dyDescent="0.25">
      <c r="A8" s="1">
        <v>45657</v>
      </c>
      <c r="B8" s="2">
        <v>1</v>
      </c>
      <c r="C8" s="3">
        <f>+VLOOKUP(A8,Precios!$B:$H,1+$C$3,0)</f>
        <v>32.799999999999997</v>
      </c>
      <c r="D8" s="10">
        <f>C8/C9-1</f>
        <v>1.2345679012345734E-2</v>
      </c>
      <c r="E8" s="31">
        <f>(D8-$E$264)^2</f>
        <v>1.7639305239449985E-4</v>
      </c>
      <c r="F8" s="9"/>
      <c r="H8" s="10">
        <f>-$I$5*$E$266</f>
        <v>-3.7970940396181083E-2</v>
      </c>
      <c r="I8" s="10">
        <f>+$I$5*$E$266</f>
        <v>3.7970940396181083E-2</v>
      </c>
      <c r="XEZ8" s="17" t="s">
        <v>31</v>
      </c>
    </row>
    <row r="9" spans="1:10 16380:16380" x14ac:dyDescent="0.25">
      <c r="A9" s="1">
        <v>45656</v>
      </c>
      <c r="B9" s="2">
        <f>+B8+1</f>
        <v>2</v>
      </c>
      <c r="C9" s="3">
        <f>+VLOOKUP(A9,Precios!$B:$H,1+$C$3,0)</f>
        <v>32.4</v>
      </c>
      <c r="D9" s="10">
        <f t="shared" ref="D9:D72" si="0">C9/C10-1</f>
        <v>-3.9963110974485794E-3</v>
      </c>
      <c r="E9" s="31">
        <f t="shared" ref="E9:E72" si="1">(D9-$E$264)^2</f>
        <v>9.3677956708328012E-6</v>
      </c>
      <c r="F9" s="9"/>
      <c r="H9" s="10">
        <f t="shared" ref="H9:H72" si="2">-$I$5*$E$266</f>
        <v>-3.7970940396181083E-2</v>
      </c>
      <c r="I9" s="10">
        <f t="shared" ref="I9:I72" si="3">+$I$5*$E$266</f>
        <v>3.7970940396181083E-2</v>
      </c>
      <c r="XEZ9" s="17" t="s">
        <v>32</v>
      </c>
    </row>
    <row r="10" spans="1:10 16380:16380" x14ac:dyDescent="0.25">
      <c r="A10" s="1">
        <v>45653</v>
      </c>
      <c r="B10" s="2">
        <f t="shared" ref="B10:B73" si="4">+B9+1</f>
        <v>3</v>
      </c>
      <c r="C10" s="3">
        <f>+VLOOKUP(A10,Precios!$B:$H,1+$C$3,0)</f>
        <v>32.53</v>
      </c>
      <c r="D10" s="10">
        <f t="shared" si="0"/>
        <v>-9.7412480974125026E-3</v>
      </c>
      <c r="E10" s="31">
        <f t="shared" si="1"/>
        <v>7.753898744190449E-5</v>
      </c>
      <c r="F10" s="9"/>
      <c r="H10" s="10">
        <f t="shared" si="2"/>
        <v>-3.7970940396181083E-2</v>
      </c>
      <c r="I10" s="10">
        <f t="shared" si="3"/>
        <v>3.7970940396181083E-2</v>
      </c>
      <c r="XEZ10" s="17" t="s">
        <v>27</v>
      </c>
    </row>
    <row r="11" spans="1:10 16380:16380" x14ac:dyDescent="0.25">
      <c r="A11" s="1">
        <v>45652</v>
      </c>
      <c r="B11" s="2">
        <f t="shared" si="4"/>
        <v>4</v>
      </c>
      <c r="C11" s="3">
        <f>+VLOOKUP(A11,Precios!$B:$H,1+$C$3,0)</f>
        <v>32.85</v>
      </c>
      <c r="D11" s="10">
        <f t="shared" si="0"/>
        <v>1.5243902439026069E-3</v>
      </c>
      <c r="E11" s="31">
        <f t="shared" si="1"/>
        <v>6.0516779871820891E-6</v>
      </c>
      <c r="F11" s="9"/>
      <c r="H11" s="10">
        <f t="shared" si="2"/>
        <v>-3.7970940396181083E-2</v>
      </c>
      <c r="I11" s="10">
        <f t="shared" si="3"/>
        <v>3.7970940396181083E-2</v>
      </c>
      <c r="XEZ11" s="17" t="s">
        <v>33</v>
      </c>
    </row>
    <row r="12" spans="1:10 16380:16380" x14ac:dyDescent="0.25">
      <c r="A12" s="1">
        <v>45650</v>
      </c>
      <c r="B12" s="2">
        <f t="shared" si="4"/>
        <v>5</v>
      </c>
      <c r="C12" s="3">
        <f>+VLOOKUP(A12,Precios!$B:$H,1+$C$3,0)</f>
        <v>32.799999999999997</v>
      </c>
      <c r="D12" s="10">
        <f t="shared" si="0"/>
        <v>-1.2180267965896663E-3</v>
      </c>
      <c r="E12" s="31">
        <f t="shared" si="1"/>
        <v>7.975043182540695E-8</v>
      </c>
      <c r="F12" s="9"/>
      <c r="H12" s="10">
        <f t="shared" si="2"/>
        <v>-3.7970940396181083E-2</v>
      </c>
      <c r="I12" s="10">
        <f t="shared" si="3"/>
        <v>3.7970940396181083E-2</v>
      </c>
      <c r="XEZ12" s="17" t="s">
        <v>34</v>
      </c>
    </row>
    <row r="13" spans="1:10 16380:16380" x14ac:dyDescent="0.25">
      <c r="A13" s="1">
        <v>45649</v>
      </c>
      <c r="B13" s="2">
        <f t="shared" si="4"/>
        <v>6</v>
      </c>
      <c r="C13" s="3">
        <f>+VLOOKUP(A13,Precios!$B:$H,1+$C$3,0)</f>
        <v>32.840000000000003</v>
      </c>
      <c r="D13" s="10">
        <f t="shared" si="0"/>
        <v>-2.6962962962962855E-2</v>
      </c>
      <c r="E13" s="31">
        <f t="shared" si="1"/>
        <v>6.7742228983591515E-4</v>
      </c>
      <c r="F13" s="9"/>
      <c r="H13" s="10">
        <f t="shared" si="2"/>
        <v>-3.7970940396181083E-2</v>
      </c>
      <c r="I13" s="10">
        <f t="shared" si="3"/>
        <v>3.7970940396181083E-2</v>
      </c>
      <c r="XEZ13" s="17" t="s">
        <v>35</v>
      </c>
    </row>
    <row r="14" spans="1:10 16380:16380" x14ac:dyDescent="0.25">
      <c r="A14" s="1">
        <v>45646</v>
      </c>
      <c r="B14" s="2">
        <f t="shared" si="4"/>
        <v>7</v>
      </c>
      <c r="C14" s="3">
        <f>+VLOOKUP(A14,Precios!$B:$H,1+$C$3,0)</f>
        <v>33.75</v>
      </c>
      <c r="D14" s="10">
        <f t="shared" si="0"/>
        <v>2.0783847980998527E-3</v>
      </c>
      <c r="E14" s="31">
        <f t="shared" si="1"/>
        <v>9.0842587226505403E-6</v>
      </c>
      <c r="F14" s="9"/>
      <c r="H14" s="10">
        <f t="shared" si="2"/>
        <v>-3.7970940396181083E-2</v>
      </c>
      <c r="I14" s="10">
        <f t="shared" si="3"/>
        <v>3.7970940396181083E-2</v>
      </c>
    </row>
    <row r="15" spans="1:10 16380:16380" x14ac:dyDescent="0.25">
      <c r="A15" s="1">
        <v>45645</v>
      </c>
      <c r="B15" s="2">
        <f t="shared" si="4"/>
        <v>8</v>
      </c>
      <c r="C15" s="3">
        <f>+VLOOKUP(A15,Precios!$B:$H,1+$C$3,0)</f>
        <v>33.68</v>
      </c>
      <c r="D15" s="10">
        <f t="shared" si="0"/>
        <v>8.0814127506736444E-3</v>
      </c>
      <c r="E15" s="31">
        <f t="shared" si="1"/>
        <v>8.1306980745553926E-5</v>
      </c>
      <c r="F15" s="9"/>
      <c r="H15" s="10">
        <f t="shared" si="2"/>
        <v>-3.7970940396181083E-2</v>
      </c>
      <c r="I15" s="10">
        <f t="shared" si="3"/>
        <v>3.7970940396181083E-2</v>
      </c>
    </row>
    <row r="16" spans="1:10 16380:16380" x14ac:dyDescent="0.25">
      <c r="A16" s="1">
        <v>45644</v>
      </c>
      <c r="B16" s="2">
        <f t="shared" si="4"/>
        <v>9</v>
      </c>
      <c r="C16" s="3">
        <f>+VLOOKUP(A16,Precios!$B:$H,1+$C$3,0)</f>
        <v>33.409999999999997</v>
      </c>
      <c r="D16" s="10">
        <f t="shared" si="0"/>
        <v>-1.7930629041740365E-2</v>
      </c>
      <c r="E16" s="31">
        <f t="shared" si="1"/>
        <v>2.8883014174345157E-4</v>
      </c>
      <c r="F16" s="9"/>
      <c r="H16" s="10">
        <f t="shared" si="2"/>
        <v>-3.7970940396181083E-2</v>
      </c>
      <c r="I16" s="10">
        <f t="shared" si="3"/>
        <v>3.7970940396181083E-2</v>
      </c>
    </row>
    <row r="17" spans="1:9" x14ac:dyDescent="0.25">
      <c r="A17" s="1">
        <v>45643</v>
      </c>
      <c r="B17" s="2">
        <f t="shared" si="4"/>
        <v>10</v>
      </c>
      <c r="C17" s="3">
        <f>+VLOOKUP(A17,Precios!$B:$H,1+$C$3,0)</f>
        <v>34.020000000000003</v>
      </c>
      <c r="D17" s="10">
        <f t="shared" si="0"/>
        <v>5.0221565731167761E-3</v>
      </c>
      <c r="E17" s="31">
        <f t="shared" si="1"/>
        <v>3.5495168506903741E-5</v>
      </c>
      <c r="F17" s="9"/>
      <c r="H17" s="10">
        <f t="shared" si="2"/>
        <v>-3.7970940396181083E-2</v>
      </c>
      <c r="I17" s="10">
        <f t="shared" si="3"/>
        <v>3.7970940396181083E-2</v>
      </c>
    </row>
    <row r="18" spans="1:9" x14ac:dyDescent="0.25">
      <c r="A18" s="1">
        <v>45642</v>
      </c>
      <c r="B18" s="2">
        <f t="shared" si="4"/>
        <v>11</v>
      </c>
      <c r="C18" s="3">
        <f>+VLOOKUP(A18,Precios!$B:$H,1+$C$3,0)</f>
        <v>33.85</v>
      </c>
      <c r="D18" s="10">
        <f t="shared" si="0"/>
        <v>4.7491837340458698E-3</v>
      </c>
      <c r="E18" s="31">
        <f t="shared" si="1"/>
        <v>3.2317057245174735E-5</v>
      </c>
      <c r="F18" s="9"/>
      <c r="H18" s="10">
        <f t="shared" si="2"/>
        <v>-3.7970940396181083E-2</v>
      </c>
      <c r="I18" s="10">
        <f t="shared" si="3"/>
        <v>3.7970940396181083E-2</v>
      </c>
    </row>
    <row r="19" spans="1:9" x14ac:dyDescent="0.25">
      <c r="A19" s="1">
        <v>45639</v>
      </c>
      <c r="B19" s="2">
        <f t="shared" si="4"/>
        <v>12</v>
      </c>
      <c r="C19" s="3">
        <f>+VLOOKUP(A19,Precios!$B:$H,1+$C$3,0)</f>
        <v>33.69</v>
      </c>
      <c r="D19" s="10">
        <f t="shared" si="0"/>
        <v>-1.8356643356643443E-2</v>
      </c>
      <c r="E19" s="31">
        <f t="shared" si="1"/>
        <v>3.0349185942992179E-4</v>
      </c>
      <c r="F19" s="9"/>
      <c r="H19" s="10">
        <f t="shared" si="2"/>
        <v>-3.7970940396181083E-2</v>
      </c>
      <c r="I19" s="10">
        <f t="shared" si="3"/>
        <v>3.7970940396181083E-2</v>
      </c>
    </row>
    <row r="20" spans="1:9" x14ac:dyDescent="0.25">
      <c r="A20" s="1">
        <v>45637</v>
      </c>
      <c r="B20" s="2">
        <f t="shared" si="4"/>
        <v>13</v>
      </c>
      <c r="C20" s="3">
        <f>+VLOOKUP(A20,Precios!$B:$H,1+$C$3,0)</f>
        <v>34.32</v>
      </c>
      <c r="D20" s="10">
        <f t="shared" si="0"/>
        <v>3.215434083601254E-3</v>
      </c>
      <c r="E20" s="31">
        <f t="shared" si="1"/>
        <v>1.7231296555761432E-5</v>
      </c>
      <c r="F20" s="9"/>
      <c r="H20" s="10">
        <f t="shared" si="2"/>
        <v>-3.7970940396181083E-2</v>
      </c>
      <c r="I20" s="10">
        <f t="shared" si="3"/>
        <v>3.7970940396181083E-2</v>
      </c>
    </row>
    <row r="21" spans="1:9" x14ac:dyDescent="0.25">
      <c r="A21" s="1">
        <v>45636</v>
      </c>
      <c r="B21" s="2">
        <f t="shared" si="4"/>
        <v>14</v>
      </c>
      <c r="C21" s="3">
        <f>+VLOOKUP(A21,Precios!$B:$H,1+$C$3,0)</f>
        <v>34.21</v>
      </c>
      <c r="D21" s="10">
        <f t="shared" si="0"/>
        <v>7.9552150854449444E-3</v>
      </c>
      <c r="E21" s="31">
        <f t="shared" si="1"/>
        <v>7.9047048220205868E-5</v>
      </c>
      <c r="F21" s="9"/>
      <c r="H21" s="10">
        <f t="shared" si="2"/>
        <v>-3.7970940396181083E-2</v>
      </c>
      <c r="I21" s="10">
        <f t="shared" si="3"/>
        <v>3.7970940396181083E-2</v>
      </c>
    </row>
    <row r="22" spans="1:9" x14ac:dyDescent="0.25">
      <c r="A22" s="1">
        <v>45635</v>
      </c>
      <c r="B22" s="2">
        <f t="shared" si="4"/>
        <v>15</v>
      </c>
      <c r="C22" s="3">
        <f>+VLOOKUP(A22,Precios!$B:$H,1+$C$3,0)</f>
        <v>33.94</v>
      </c>
      <c r="D22" s="10">
        <f t="shared" si="0"/>
        <v>1.4042426053181956E-2</v>
      </c>
      <c r="E22" s="31">
        <f t="shared" si="1"/>
        <v>2.2434203153806292E-4</v>
      </c>
      <c r="F22" s="9"/>
      <c r="H22" s="10">
        <f t="shared" si="2"/>
        <v>-3.7970940396181083E-2</v>
      </c>
      <c r="I22" s="10">
        <f t="shared" si="3"/>
        <v>3.7970940396181083E-2</v>
      </c>
    </row>
    <row r="23" spans="1:9" x14ac:dyDescent="0.25">
      <c r="A23" s="1">
        <v>45632</v>
      </c>
      <c r="B23" s="2">
        <f t="shared" si="4"/>
        <v>16</v>
      </c>
      <c r="C23" s="3">
        <f>+VLOOKUP(A23,Precios!$B:$H,1+$C$3,0)</f>
        <v>33.47</v>
      </c>
      <c r="D23" s="10">
        <f t="shared" si="0"/>
        <v>-1.1518015357353861E-2</v>
      </c>
      <c r="E23" s="31">
        <f t="shared" si="1"/>
        <v>1.1198697282628655E-4</v>
      </c>
      <c r="F23" s="9"/>
      <c r="H23" s="10">
        <f t="shared" si="2"/>
        <v>-3.7970940396181083E-2</v>
      </c>
      <c r="I23" s="10">
        <f t="shared" si="3"/>
        <v>3.7970940396181083E-2</v>
      </c>
    </row>
    <row r="24" spans="1:9" x14ac:dyDescent="0.25">
      <c r="A24" s="1">
        <v>45631</v>
      </c>
      <c r="B24" s="2">
        <f t="shared" si="4"/>
        <v>17</v>
      </c>
      <c r="C24" s="3">
        <f>+VLOOKUP(A24,Precios!$B:$H,1+$C$3,0)</f>
        <v>33.86</v>
      </c>
      <c r="D24" s="10">
        <f t="shared" si="0"/>
        <v>3.420891875381793E-2</v>
      </c>
      <c r="E24" s="31">
        <f t="shared" si="1"/>
        <v>1.2351389983364998E-3</v>
      </c>
      <c r="F24" s="9"/>
      <c r="H24" s="10">
        <f t="shared" si="2"/>
        <v>-3.7970940396181083E-2</v>
      </c>
      <c r="I24" s="10">
        <f t="shared" si="3"/>
        <v>3.7970940396181083E-2</v>
      </c>
    </row>
    <row r="25" spans="1:9" x14ac:dyDescent="0.25">
      <c r="A25" s="1">
        <v>45630</v>
      </c>
      <c r="B25" s="2">
        <f t="shared" si="4"/>
        <v>18</v>
      </c>
      <c r="C25" s="3">
        <f>+VLOOKUP(A25,Precios!$B:$H,1+$C$3,0)</f>
        <v>32.74</v>
      </c>
      <c r="D25" s="10">
        <f t="shared" si="0"/>
        <v>2.4494794856093627E-3</v>
      </c>
      <c r="E25" s="31">
        <f t="shared" si="1"/>
        <v>1.1458936488684122E-5</v>
      </c>
      <c r="F25" s="9"/>
      <c r="H25" s="10">
        <f t="shared" si="2"/>
        <v>-3.7970940396181083E-2</v>
      </c>
      <c r="I25" s="10">
        <f t="shared" si="3"/>
        <v>3.7970940396181083E-2</v>
      </c>
    </row>
    <row r="26" spans="1:9" x14ac:dyDescent="0.25">
      <c r="A26" s="1">
        <v>45629</v>
      </c>
      <c r="B26" s="2">
        <f t="shared" si="4"/>
        <v>19</v>
      </c>
      <c r="C26" s="3">
        <f>+VLOOKUP(A26,Precios!$B:$H,1+$C$3,0)</f>
        <v>32.659999999999997</v>
      </c>
      <c r="D26" s="10">
        <f t="shared" si="0"/>
        <v>-5.4811205846531097E-3</v>
      </c>
      <c r="E26" s="31">
        <f t="shared" si="1"/>
        <v>2.0661524590964226E-5</v>
      </c>
      <c r="F26" s="9"/>
      <c r="H26" s="10">
        <f t="shared" si="2"/>
        <v>-3.7970940396181083E-2</v>
      </c>
      <c r="I26" s="10">
        <f t="shared" si="3"/>
        <v>3.7970940396181083E-2</v>
      </c>
    </row>
    <row r="27" spans="1:9" x14ac:dyDescent="0.25">
      <c r="A27" s="1">
        <v>45628</v>
      </c>
      <c r="B27" s="2">
        <f t="shared" si="4"/>
        <v>20</v>
      </c>
      <c r="C27" s="3">
        <f>+VLOOKUP(A27,Precios!$B:$H,1+$C$3,0)</f>
        <v>32.840000000000003</v>
      </c>
      <c r="D27" s="10">
        <f t="shared" si="0"/>
        <v>3.0459945172123248E-4</v>
      </c>
      <c r="E27" s="31">
        <f t="shared" si="1"/>
        <v>1.5381581965271257E-6</v>
      </c>
      <c r="F27" s="9"/>
      <c r="H27" s="10">
        <f t="shared" si="2"/>
        <v>-3.7970940396181083E-2</v>
      </c>
      <c r="I27" s="10">
        <f t="shared" si="3"/>
        <v>3.7970940396181083E-2</v>
      </c>
    </row>
    <row r="28" spans="1:9" x14ac:dyDescent="0.25">
      <c r="A28" s="1">
        <v>45625</v>
      </c>
      <c r="B28" s="2">
        <f t="shared" si="4"/>
        <v>21</v>
      </c>
      <c r="C28" s="3">
        <f>+VLOOKUP(A28,Precios!$B:$H,1+$C$3,0)</f>
        <v>32.83</v>
      </c>
      <c r="D28" s="10">
        <f t="shared" si="0"/>
        <v>0</v>
      </c>
      <c r="E28" s="31">
        <f t="shared" si="1"/>
        <v>8.7539527666048636E-7</v>
      </c>
      <c r="F28" s="9"/>
      <c r="H28" s="10">
        <f t="shared" si="2"/>
        <v>-3.7970940396181083E-2</v>
      </c>
      <c r="I28" s="10">
        <f t="shared" si="3"/>
        <v>3.7970940396181083E-2</v>
      </c>
    </row>
    <row r="29" spans="1:9" x14ac:dyDescent="0.25">
      <c r="A29" s="1">
        <v>45624</v>
      </c>
      <c r="B29" s="2">
        <f t="shared" si="4"/>
        <v>22</v>
      </c>
      <c r="C29" s="3">
        <f>+VLOOKUP(A29,Precios!$B:$H,1+$C$3,0)</f>
        <v>32.83</v>
      </c>
      <c r="D29" s="10">
        <f t="shared" si="0"/>
        <v>6.7463968107941419E-3</v>
      </c>
      <c r="E29" s="31">
        <f t="shared" si="1"/>
        <v>5.9013468429021936E-5</v>
      </c>
      <c r="F29" s="9"/>
      <c r="H29" s="10">
        <f t="shared" si="2"/>
        <v>-3.7970940396181083E-2</v>
      </c>
      <c r="I29" s="10">
        <f t="shared" si="3"/>
        <v>3.7970940396181083E-2</v>
      </c>
    </row>
    <row r="30" spans="1:9" x14ac:dyDescent="0.25">
      <c r="A30" s="1">
        <v>45623</v>
      </c>
      <c r="B30" s="2">
        <f t="shared" si="4"/>
        <v>23</v>
      </c>
      <c r="C30" s="3">
        <f>+VLOOKUP(A30,Precios!$B:$H,1+$C$3,0)</f>
        <v>32.61</v>
      </c>
      <c r="D30" s="10">
        <f t="shared" si="0"/>
        <v>7.1031500926497237E-3</v>
      </c>
      <c r="E30" s="31">
        <f t="shared" si="1"/>
        <v>6.4621914750880149E-5</v>
      </c>
      <c r="F30" s="9"/>
      <c r="H30" s="10">
        <f t="shared" si="2"/>
        <v>-3.7970940396181083E-2</v>
      </c>
      <c r="I30" s="10">
        <f t="shared" si="3"/>
        <v>3.7970940396181083E-2</v>
      </c>
    </row>
    <row r="31" spans="1:9" x14ac:dyDescent="0.25">
      <c r="A31" s="1">
        <v>45622</v>
      </c>
      <c r="B31" s="2">
        <f t="shared" si="4"/>
        <v>24</v>
      </c>
      <c r="C31" s="3">
        <f>+VLOOKUP(A31,Precios!$B:$H,1+$C$3,0)</f>
        <v>32.380000000000003</v>
      </c>
      <c r="D31" s="10">
        <f t="shared" si="0"/>
        <v>-1.819284414796829E-2</v>
      </c>
      <c r="E31" s="31">
        <f t="shared" si="1"/>
        <v>2.9781159176730225E-4</v>
      </c>
      <c r="F31" s="9"/>
      <c r="H31" s="10">
        <f t="shared" si="2"/>
        <v>-3.7970940396181083E-2</v>
      </c>
      <c r="I31" s="10">
        <f t="shared" si="3"/>
        <v>3.7970940396181083E-2</v>
      </c>
    </row>
    <row r="32" spans="1:9" x14ac:dyDescent="0.25">
      <c r="A32" s="1">
        <v>45621</v>
      </c>
      <c r="B32" s="2">
        <f t="shared" si="4"/>
        <v>25</v>
      </c>
      <c r="C32" s="3">
        <f>+VLOOKUP(A32,Precios!$B:$H,1+$C$3,0)</f>
        <v>32.979999999999997</v>
      </c>
      <c r="D32" s="10">
        <f t="shared" si="0"/>
        <v>-4.8196248196248237E-2</v>
      </c>
      <c r="E32" s="31">
        <f t="shared" si="1"/>
        <v>2.2335664475139467E-3</v>
      </c>
      <c r="F32" s="9"/>
      <c r="H32" s="10">
        <f t="shared" si="2"/>
        <v>-3.7970940396181083E-2</v>
      </c>
      <c r="I32" s="10">
        <f t="shared" si="3"/>
        <v>3.7970940396181083E-2</v>
      </c>
    </row>
    <row r="33" spans="1:9" x14ac:dyDescent="0.25">
      <c r="A33" s="1">
        <v>45618</v>
      </c>
      <c r="B33" s="2">
        <f t="shared" si="4"/>
        <v>26</v>
      </c>
      <c r="C33" s="3">
        <f>+VLOOKUP(A33,Precios!$B:$H,1+$C$3,0)</f>
        <v>34.65</v>
      </c>
      <c r="D33" s="10">
        <f t="shared" si="0"/>
        <v>-3.1645569620253333E-3</v>
      </c>
      <c r="E33" s="31">
        <f t="shared" si="1"/>
        <v>4.9681349849710866E-6</v>
      </c>
      <c r="F33" s="9"/>
      <c r="H33" s="10">
        <f t="shared" si="2"/>
        <v>-3.7970940396181083E-2</v>
      </c>
      <c r="I33" s="10">
        <f t="shared" si="3"/>
        <v>3.7970940396181083E-2</v>
      </c>
    </row>
    <row r="34" spans="1:9" x14ac:dyDescent="0.25">
      <c r="A34" s="1">
        <v>45617</v>
      </c>
      <c r="B34" s="2">
        <f t="shared" si="4"/>
        <v>27</v>
      </c>
      <c r="C34" s="3">
        <f>+VLOOKUP(A34,Precios!$B:$H,1+$C$3,0)</f>
        <v>34.76</v>
      </c>
      <c r="D34" s="10">
        <f t="shared" si="0"/>
        <v>-9.9686698946169772E-3</v>
      </c>
      <c r="E34" s="31">
        <f t="shared" si="1"/>
        <v>8.1595889100250407E-5</v>
      </c>
      <c r="F34" s="9"/>
      <c r="H34" s="10">
        <f t="shared" si="2"/>
        <v>-3.7970940396181083E-2</v>
      </c>
      <c r="I34" s="10">
        <f t="shared" si="3"/>
        <v>3.7970940396181083E-2</v>
      </c>
    </row>
    <row r="35" spans="1:9" x14ac:dyDescent="0.25">
      <c r="A35" s="1">
        <v>45616</v>
      </c>
      <c r="B35" s="2">
        <f t="shared" si="4"/>
        <v>28</v>
      </c>
      <c r="C35" s="3">
        <f>+VLOOKUP(A35,Precios!$B:$H,1+$C$3,0)</f>
        <v>35.11</v>
      </c>
      <c r="D35" s="10">
        <f t="shared" si="0"/>
        <v>-5.9456398640996833E-3</v>
      </c>
      <c r="E35" s="31">
        <f t="shared" si="1"/>
        <v>2.5100242855344145E-5</v>
      </c>
      <c r="F35" s="9"/>
      <c r="H35" s="10">
        <f t="shared" si="2"/>
        <v>-3.7970940396181083E-2</v>
      </c>
      <c r="I35" s="10">
        <f t="shared" si="3"/>
        <v>3.7970940396181083E-2</v>
      </c>
    </row>
    <row r="36" spans="1:9" x14ac:dyDescent="0.25">
      <c r="A36" s="1">
        <v>45615</v>
      </c>
      <c r="B36" s="2">
        <f t="shared" si="4"/>
        <v>29</v>
      </c>
      <c r="C36" s="3">
        <f>+VLOOKUP(A36,Precios!$B:$H,1+$C$3,0)</f>
        <v>35.32</v>
      </c>
      <c r="D36" s="10">
        <f t="shared" si="0"/>
        <v>-1.9161344071091269E-2</v>
      </c>
      <c r="E36" s="31">
        <f t="shared" si="1"/>
        <v>3.3217681352868701E-4</v>
      </c>
      <c r="F36" s="9"/>
      <c r="H36" s="10">
        <f t="shared" si="2"/>
        <v>-3.7970940396181083E-2</v>
      </c>
      <c r="I36" s="10">
        <f t="shared" si="3"/>
        <v>3.7970940396181083E-2</v>
      </c>
    </row>
    <row r="37" spans="1:9" x14ac:dyDescent="0.25">
      <c r="A37" s="1">
        <v>45611</v>
      </c>
      <c r="B37" s="2">
        <f t="shared" si="4"/>
        <v>30</v>
      </c>
      <c r="C37" s="3">
        <f>+VLOOKUP(A37,Precios!$B:$H,1+$C$3,0)</f>
        <v>36.01</v>
      </c>
      <c r="D37" s="10">
        <f t="shared" si="0"/>
        <v>2.4758110415480816E-2</v>
      </c>
      <c r="E37" s="31">
        <f t="shared" si="1"/>
        <v>6.6016807079804628E-4</v>
      </c>
      <c r="F37" s="9"/>
      <c r="H37" s="10">
        <f t="shared" si="2"/>
        <v>-3.7970940396181083E-2</v>
      </c>
      <c r="I37" s="10">
        <f t="shared" si="3"/>
        <v>3.7970940396181083E-2</v>
      </c>
    </row>
    <row r="38" spans="1:9" x14ac:dyDescent="0.25">
      <c r="A38" s="1">
        <v>45610</v>
      </c>
      <c r="B38" s="2">
        <f t="shared" si="4"/>
        <v>31</v>
      </c>
      <c r="C38" s="3">
        <f>+VLOOKUP(A38,Precios!$B:$H,1+$C$3,0)</f>
        <v>35.14</v>
      </c>
      <c r="D38" s="10">
        <f t="shared" si="0"/>
        <v>-1.1370096645820782E-3</v>
      </c>
      <c r="E38" s="31">
        <f t="shared" si="1"/>
        <v>4.0555538608107949E-8</v>
      </c>
      <c r="F38" s="9"/>
      <c r="H38" s="10">
        <f t="shared" si="2"/>
        <v>-3.7970940396181083E-2</v>
      </c>
      <c r="I38" s="10">
        <f t="shared" si="3"/>
        <v>3.7970940396181083E-2</v>
      </c>
    </row>
    <row r="39" spans="1:9" x14ac:dyDescent="0.25">
      <c r="A39" s="1">
        <v>45609</v>
      </c>
      <c r="B39" s="2">
        <f t="shared" si="4"/>
        <v>32</v>
      </c>
      <c r="C39" s="3">
        <f>+VLOOKUP(A39,Precios!$B:$H,1+$C$3,0)</f>
        <v>35.18</v>
      </c>
      <c r="D39" s="10">
        <f t="shared" si="0"/>
        <v>-5.090497737556543E-3</v>
      </c>
      <c r="E39" s="31">
        <f t="shared" si="1"/>
        <v>1.7262962420447856E-5</v>
      </c>
      <c r="F39" s="9"/>
      <c r="H39" s="10">
        <f t="shared" si="2"/>
        <v>-3.7970940396181083E-2</v>
      </c>
      <c r="I39" s="10">
        <f t="shared" si="3"/>
        <v>3.7970940396181083E-2</v>
      </c>
    </row>
    <row r="40" spans="1:9" x14ac:dyDescent="0.25">
      <c r="A40" s="1">
        <v>45608</v>
      </c>
      <c r="B40" s="2">
        <f t="shared" si="4"/>
        <v>33</v>
      </c>
      <c r="C40" s="3">
        <f>+VLOOKUP(A40,Precios!$B:$H,1+$C$3,0)</f>
        <v>35.36</v>
      </c>
      <c r="D40" s="10">
        <f t="shared" si="0"/>
        <v>-1.7504862461795057E-2</v>
      </c>
      <c r="E40" s="31">
        <f t="shared" si="1"/>
        <v>2.7453960994699837E-4</v>
      </c>
      <c r="F40" s="9"/>
      <c r="H40" s="10">
        <f t="shared" si="2"/>
        <v>-3.7970940396181083E-2</v>
      </c>
      <c r="I40" s="10">
        <f t="shared" si="3"/>
        <v>3.7970940396181083E-2</v>
      </c>
    </row>
    <row r="41" spans="1:9" x14ac:dyDescent="0.25">
      <c r="A41" s="1">
        <v>45607</v>
      </c>
      <c r="B41" s="2">
        <f t="shared" si="4"/>
        <v>34</v>
      </c>
      <c r="C41" s="3">
        <f>+VLOOKUP(A41,Precios!$B:$H,1+$C$3,0)</f>
        <v>35.99</v>
      </c>
      <c r="D41" s="10">
        <f t="shared" si="0"/>
        <v>-1.1806699615595773E-2</v>
      </c>
      <c r="E41" s="31">
        <f t="shared" si="1"/>
        <v>1.1818025009820115E-4</v>
      </c>
      <c r="F41" s="9"/>
      <c r="H41" s="10">
        <f t="shared" si="2"/>
        <v>-3.7970940396181083E-2</v>
      </c>
      <c r="I41" s="10">
        <f t="shared" si="3"/>
        <v>3.7970940396181083E-2</v>
      </c>
    </row>
    <row r="42" spans="1:9" x14ac:dyDescent="0.25">
      <c r="A42" s="1">
        <v>45604</v>
      </c>
      <c r="B42" s="2">
        <f t="shared" si="4"/>
        <v>35</v>
      </c>
      <c r="C42" s="3">
        <f>+VLOOKUP(A42,Precios!$B:$H,1+$C$3,0)</f>
        <v>36.42</v>
      </c>
      <c r="D42" s="10">
        <f t="shared" si="0"/>
        <v>-3.778071334214006E-2</v>
      </c>
      <c r="E42" s="31">
        <f t="shared" si="1"/>
        <v>1.3575604902028293E-3</v>
      </c>
      <c r="F42" s="9"/>
      <c r="H42" s="10">
        <f t="shared" si="2"/>
        <v>-3.7970940396181083E-2</v>
      </c>
      <c r="I42" s="10">
        <f t="shared" si="3"/>
        <v>3.7970940396181083E-2</v>
      </c>
    </row>
    <row r="43" spans="1:9" x14ac:dyDescent="0.25">
      <c r="A43" s="1">
        <v>45603</v>
      </c>
      <c r="B43" s="2">
        <f t="shared" si="4"/>
        <v>36</v>
      </c>
      <c r="C43" s="3">
        <f>+VLOOKUP(A43,Precios!$B:$H,1+$C$3,0)</f>
        <v>37.85</v>
      </c>
      <c r="D43" s="10">
        <f t="shared" si="0"/>
        <v>3.3306033306033322E-2</v>
      </c>
      <c r="E43" s="31">
        <f t="shared" si="1"/>
        <v>1.1724912051233349E-3</v>
      </c>
      <c r="F43" s="9"/>
      <c r="H43" s="10">
        <f t="shared" si="2"/>
        <v>-3.7970940396181083E-2</v>
      </c>
      <c r="I43" s="10">
        <f t="shared" si="3"/>
        <v>3.7970940396181083E-2</v>
      </c>
    </row>
    <row r="44" spans="1:9" x14ac:dyDescent="0.25">
      <c r="A44" s="1">
        <v>45602</v>
      </c>
      <c r="B44" s="2">
        <f t="shared" si="4"/>
        <v>37</v>
      </c>
      <c r="C44" s="3">
        <f>+VLOOKUP(A44,Precios!$B:$H,1+$C$3,0)</f>
        <v>36.630000000000003</v>
      </c>
      <c r="D44" s="10">
        <f t="shared" si="0"/>
        <v>1.4962593516209433E-2</v>
      </c>
      <c r="E44" s="31">
        <f t="shared" si="1"/>
        <v>2.5275337129274886E-4</v>
      </c>
      <c r="F44" s="9"/>
      <c r="H44" s="10">
        <f t="shared" si="2"/>
        <v>-3.7970940396181083E-2</v>
      </c>
      <c r="I44" s="10">
        <f t="shared" si="3"/>
        <v>3.7970940396181083E-2</v>
      </c>
    </row>
    <row r="45" spans="1:9" x14ac:dyDescent="0.25">
      <c r="A45" s="1">
        <v>45601</v>
      </c>
      <c r="B45" s="2">
        <f t="shared" si="4"/>
        <v>38</v>
      </c>
      <c r="C45" s="3">
        <f>+VLOOKUP(A45,Precios!$B:$H,1+$C$3,0)</f>
        <v>36.090000000000003</v>
      </c>
      <c r="D45" s="10">
        <f t="shared" si="0"/>
        <v>-1.9559902200488977E-2</v>
      </c>
      <c r="E45" s="31">
        <f t="shared" si="1"/>
        <v>3.4686367862707157E-4</v>
      </c>
      <c r="F45" s="9"/>
      <c r="H45" s="10">
        <f t="shared" si="2"/>
        <v>-3.7970940396181083E-2</v>
      </c>
      <c r="I45" s="10">
        <f t="shared" si="3"/>
        <v>3.7970940396181083E-2</v>
      </c>
    </row>
    <row r="46" spans="1:9" x14ac:dyDescent="0.25">
      <c r="A46" s="1">
        <v>45600</v>
      </c>
      <c r="B46" s="2">
        <f t="shared" si="4"/>
        <v>39</v>
      </c>
      <c r="C46" s="3">
        <f>+VLOOKUP(A46,Precios!$B:$H,1+$C$3,0)</f>
        <v>36.81</v>
      </c>
      <c r="D46" s="10">
        <f t="shared" si="0"/>
        <v>1.8257261410788539E-2</v>
      </c>
      <c r="E46" s="31">
        <f t="shared" si="1"/>
        <v>3.6836691208141887E-4</v>
      </c>
      <c r="F46" s="9"/>
      <c r="H46" s="10">
        <f t="shared" si="2"/>
        <v>-3.7970940396181083E-2</v>
      </c>
      <c r="I46" s="10">
        <f t="shared" si="3"/>
        <v>3.7970940396181083E-2</v>
      </c>
    </row>
    <row r="47" spans="1:9" x14ac:dyDescent="0.25">
      <c r="A47" s="1">
        <v>45597</v>
      </c>
      <c r="B47" s="2">
        <f t="shared" si="4"/>
        <v>40</v>
      </c>
      <c r="C47" s="3">
        <f>+VLOOKUP(A47,Precios!$B:$H,1+$C$3,0)</f>
        <v>36.15</v>
      </c>
      <c r="D47" s="10">
        <f t="shared" si="0"/>
        <v>-1.1052777010223114E-3</v>
      </c>
      <c r="E47" s="31">
        <f t="shared" si="1"/>
        <v>2.8781832972362058E-8</v>
      </c>
      <c r="F47" s="9"/>
      <c r="H47" s="10">
        <f t="shared" si="2"/>
        <v>-3.7970940396181083E-2</v>
      </c>
      <c r="I47" s="10">
        <f t="shared" si="3"/>
        <v>3.7970940396181083E-2</v>
      </c>
    </row>
    <row r="48" spans="1:9" x14ac:dyDescent="0.25">
      <c r="A48" s="1">
        <v>45596</v>
      </c>
      <c r="B48" s="2">
        <f t="shared" si="4"/>
        <v>41</v>
      </c>
      <c r="C48" s="3">
        <f>+VLOOKUP(A48,Precios!$B:$H,1+$C$3,0)</f>
        <v>36.19</v>
      </c>
      <c r="D48" s="10">
        <f t="shared" si="0"/>
        <v>-1.104057410985293E-3</v>
      </c>
      <c r="E48" s="31">
        <f t="shared" si="1"/>
        <v>2.8369272560190105E-8</v>
      </c>
      <c r="F48" s="9"/>
      <c r="H48" s="10">
        <f t="shared" si="2"/>
        <v>-3.7970940396181083E-2</v>
      </c>
      <c r="I48" s="10">
        <f t="shared" si="3"/>
        <v>3.7970940396181083E-2</v>
      </c>
    </row>
    <row r="49" spans="1:9" x14ac:dyDescent="0.25">
      <c r="A49" s="1">
        <v>45595</v>
      </c>
      <c r="B49" s="2">
        <f t="shared" si="4"/>
        <v>42</v>
      </c>
      <c r="C49" s="3">
        <f>+VLOOKUP(A49,Precios!$B:$H,1+$C$3,0)</f>
        <v>36.229999999999997</v>
      </c>
      <c r="D49" s="10">
        <f t="shared" si="0"/>
        <v>2.2130013831258566E-3</v>
      </c>
      <c r="E49" s="31">
        <f t="shared" si="1"/>
        <v>9.9138519235761868E-6</v>
      </c>
      <c r="F49" s="9"/>
      <c r="H49" s="10">
        <f t="shared" si="2"/>
        <v>-3.7970940396181083E-2</v>
      </c>
      <c r="I49" s="10">
        <f t="shared" si="3"/>
        <v>3.7970940396181083E-2</v>
      </c>
    </row>
    <row r="50" spans="1:9" x14ac:dyDescent="0.25">
      <c r="A50" s="1">
        <v>45594</v>
      </c>
      <c r="B50" s="2">
        <f t="shared" si="4"/>
        <v>43</v>
      </c>
      <c r="C50" s="3">
        <f>+VLOOKUP(A50,Precios!$B:$H,1+$C$3,0)</f>
        <v>36.15</v>
      </c>
      <c r="D50" s="10">
        <f t="shared" si="0"/>
        <v>-1.2295081967213184E-2</v>
      </c>
      <c r="E50" s="31">
        <f t="shared" si="1"/>
        <v>1.2903724879732506E-4</v>
      </c>
      <c r="F50" s="9"/>
      <c r="H50" s="10">
        <f t="shared" si="2"/>
        <v>-3.7970940396181083E-2</v>
      </c>
      <c r="I50" s="10">
        <f t="shared" si="3"/>
        <v>3.7970940396181083E-2</v>
      </c>
    </row>
    <row r="51" spans="1:9" x14ac:dyDescent="0.25">
      <c r="A51" s="1">
        <v>45593</v>
      </c>
      <c r="B51" s="2">
        <f t="shared" si="4"/>
        <v>44</v>
      </c>
      <c r="C51" s="3">
        <f>+VLOOKUP(A51,Precios!$B:$H,1+$C$3,0)</f>
        <v>36.6</v>
      </c>
      <c r="D51" s="10">
        <f t="shared" si="0"/>
        <v>0</v>
      </c>
      <c r="E51" s="31">
        <f t="shared" si="1"/>
        <v>8.7539527666048636E-7</v>
      </c>
      <c r="F51" s="9"/>
      <c r="H51" s="10">
        <f t="shared" si="2"/>
        <v>-3.7970940396181083E-2</v>
      </c>
      <c r="I51" s="10">
        <f t="shared" si="3"/>
        <v>3.7970940396181083E-2</v>
      </c>
    </row>
    <row r="52" spans="1:9" x14ac:dyDescent="0.25">
      <c r="A52" s="1">
        <v>45590</v>
      </c>
      <c r="B52" s="2">
        <f t="shared" si="4"/>
        <v>45</v>
      </c>
      <c r="C52" s="3">
        <f>+VLOOKUP(A52,Precios!$B:$H,1+$C$3,0)</f>
        <v>36.6</v>
      </c>
      <c r="D52" s="10">
        <f t="shared" si="0"/>
        <v>-7.8612089997288637E-3</v>
      </c>
      <c r="E52" s="31">
        <f t="shared" si="1"/>
        <v>4.796370532826233E-5</v>
      </c>
      <c r="F52" s="9"/>
      <c r="H52" s="10">
        <f t="shared" si="2"/>
        <v>-3.7970940396181083E-2</v>
      </c>
      <c r="I52" s="10">
        <f t="shared" si="3"/>
        <v>3.7970940396181083E-2</v>
      </c>
    </row>
    <row r="53" spans="1:9" x14ac:dyDescent="0.25">
      <c r="A53" s="1">
        <v>45589</v>
      </c>
      <c r="B53" s="2">
        <f t="shared" si="4"/>
        <v>46</v>
      </c>
      <c r="C53" s="3">
        <f>+VLOOKUP(A53,Precios!$B:$H,1+$C$3,0)</f>
        <v>36.89</v>
      </c>
      <c r="D53" s="10">
        <f t="shared" si="0"/>
        <v>-5.4185857491184652E-4</v>
      </c>
      <c r="E53" s="31">
        <f t="shared" si="1"/>
        <v>1.5505247563794764E-7</v>
      </c>
      <c r="F53" s="9"/>
      <c r="H53" s="10">
        <f t="shared" si="2"/>
        <v>-3.7970940396181083E-2</v>
      </c>
      <c r="I53" s="10">
        <f t="shared" si="3"/>
        <v>3.7970940396181083E-2</v>
      </c>
    </row>
    <row r="54" spans="1:9" x14ac:dyDescent="0.25">
      <c r="A54" s="1">
        <v>45588</v>
      </c>
      <c r="B54" s="2">
        <f t="shared" si="4"/>
        <v>47</v>
      </c>
      <c r="C54" s="3">
        <f>+VLOOKUP(A54,Precios!$B:$H,1+$C$3,0)</f>
        <v>36.909999999999997</v>
      </c>
      <c r="D54" s="10">
        <f t="shared" si="0"/>
        <v>-9.9248927038627643E-3</v>
      </c>
      <c r="E54" s="31">
        <f t="shared" si="1"/>
        <v>8.0806922936948938E-5</v>
      </c>
      <c r="F54" s="9"/>
      <c r="H54" s="10">
        <f t="shared" si="2"/>
        <v>-3.7970940396181083E-2</v>
      </c>
      <c r="I54" s="10">
        <f t="shared" si="3"/>
        <v>3.7970940396181083E-2</v>
      </c>
    </row>
    <row r="55" spans="1:9" x14ac:dyDescent="0.25">
      <c r="A55" s="1">
        <v>45587</v>
      </c>
      <c r="B55" s="2">
        <f t="shared" si="4"/>
        <v>48</v>
      </c>
      <c r="C55" s="3">
        <f>+VLOOKUP(A55,Precios!$B:$H,1+$C$3,0)</f>
        <v>37.28</v>
      </c>
      <c r="D55" s="10">
        <f t="shared" si="0"/>
        <v>-9.3010895562052331E-3</v>
      </c>
      <c r="E55" s="31">
        <f t="shared" si="1"/>
        <v>6.9980987083786091E-5</v>
      </c>
      <c r="F55" s="9"/>
      <c r="H55" s="10">
        <f t="shared" si="2"/>
        <v>-3.7970940396181083E-2</v>
      </c>
      <c r="I55" s="10">
        <f t="shared" si="3"/>
        <v>3.7970940396181083E-2</v>
      </c>
    </row>
    <row r="56" spans="1:9" x14ac:dyDescent="0.25">
      <c r="A56" s="1">
        <v>45586</v>
      </c>
      <c r="B56" s="2">
        <f t="shared" si="4"/>
        <v>49</v>
      </c>
      <c r="C56" s="3">
        <f>+VLOOKUP(A56,Precios!$B:$H,1+$C$3,0)</f>
        <v>37.630000000000003</v>
      </c>
      <c r="D56" s="10">
        <f t="shared" si="0"/>
        <v>-6.5997888067581556E-3</v>
      </c>
      <c r="E56" s="31">
        <f t="shared" si="1"/>
        <v>3.2082744752366299E-5</v>
      </c>
      <c r="F56" s="9"/>
      <c r="H56" s="10">
        <f t="shared" si="2"/>
        <v>-3.7970940396181083E-2</v>
      </c>
      <c r="I56" s="10">
        <f t="shared" si="3"/>
        <v>3.7970940396181083E-2</v>
      </c>
    </row>
    <row r="57" spans="1:9" x14ac:dyDescent="0.25">
      <c r="A57" s="1">
        <v>45583</v>
      </c>
      <c r="B57" s="2">
        <f t="shared" si="4"/>
        <v>50</v>
      </c>
      <c r="C57" s="3">
        <f>+VLOOKUP(A57,Precios!$B:$H,1+$C$3,0)</f>
        <v>37.880000000000003</v>
      </c>
      <c r="D57" s="10">
        <f t="shared" si="0"/>
        <v>2.1164021164021829E-3</v>
      </c>
      <c r="E57" s="31">
        <f t="shared" si="1"/>
        <v>9.314873225023446E-6</v>
      </c>
      <c r="F57" s="9"/>
      <c r="H57" s="10">
        <f t="shared" si="2"/>
        <v>-3.7970940396181083E-2</v>
      </c>
      <c r="I57" s="10">
        <f t="shared" si="3"/>
        <v>3.7970940396181083E-2</v>
      </c>
    </row>
    <row r="58" spans="1:9" x14ac:dyDescent="0.25">
      <c r="A58" s="1">
        <v>45582</v>
      </c>
      <c r="B58" s="2">
        <f t="shared" si="4"/>
        <v>51</v>
      </c>
      <c r="C58" s="3">
        <f>+VLOOKUP(A58,Precios!$B:$H,1+$C$3,0)</f>
        <v>37.799999999999997</v>
      </c>
      <c r="D58" s="10">
        <f t="shared" si="0"/>
        <v>-2.4012393493415995E-2</v>
      </c>
      <c r="E58" s="31">
        <f t="shared" si="1"/>
        <v>5.3253721607892388E-4</v>
      </c>
      <c r="F58" s="9"/>
      <c r="H58" s="10">
        <f t="shared" si="2"/>
        <v>-3.7970940396181083E-2</v>
      </c>
      <c r="I58" s="10">
        <f t="shared" si="3"/>
        <v>3.7970940396181083E-2</v>
      </c>
    </row>
    <row r="59" spans="1:9" x14ac:dyDescent="0.25">
      <c r="A59" s="1">
        <v>45581</v>
      </c>
      <c r="B59" s="2">
        <f t="shared" si="4"/>
        <v>52</v>
      </c>
      <c r="C59" s="3">
        <f>+VLOOKUP(A59,Precios!$B:$H,1+$C$3,0)</f>
        <v>38.729999999999997</v>
      </c>
      <c r="D59" s="10">
        <f t="shared" si="0"/>
        <v>2.7320954907161576E-2</v>
      </c>
      <c r="E59" s="31">
        <f t="shared" si="1"/>
        <v>7.9843434235892419E-4</v>
      </c>
      <c r="F59" s="9"/>
      <c r="H59" s="10">
        <f t="shared" si="2"/>
        <v>-3.7970940396181083E-2</v>
      </c>
      <c r="I59" s="10">
        <f t="shared" si="3"/>
        <v>3.7970940396181083E-2</v>
      </c>
    </row>
    <row r="60" spans="1:9" x14ac:dyDescent="0.25">
      <c r="A60" s="1">
        <v>45580</v>
      </c>
      <c r="B60" s="2">
        <f t="shared" si="4"/>
        <v>53</v>
      </c>
      <c r="C60" s="3">
        <f>+VLOOKUP(A60,Precios!$B:$H,1+$C$3,0)</f>
        <v>37.700000000000003</v>
      </c>
      <c r="D60" s="10">
        <f t="shared" si="0"/>
        <v>-1.0238907849829393E-2</v>
      </c>
      <c r="E60" s="31">
        <f t="shared" si="1"/>
        <v>8.655106048789157E-5</v>
      </c>
      <c r="F60" s="9"/>
      <c r="H60" s="10">
        <f t="shared" si="2"/>
        <v>-3.7970940396181083E-2</v>
      </c>
      <c r="I60" s="10">
        <f t="shared" si="3"/>
        <v>3.7970940396181083E-2</v>
      </c>
    </row>
    <row r="61" spans="1:9" x14ac:dyDescent="0.25">
      <c r="A61" s="1">
        <v>45579</v>
      </c>
      <c r="B61" s="2">
        <f t="shared" si="4"/>
        <v>54</v>
      </c>
      <c r="C61" s="3">
        <f>+VLOOKUP(A61,Precios!$B:$H,1+$C$3,0)</f>
        <v>38.090000000000003</v>
      </c>
      <c r="D61" s="10">
        <f t="shared" si="0"/>
        <v>-2.0958868221115923E-3</v>
      </c>
      <c r="E61" s="31">
        <f t="shared" si="1"/>
        <v>1.3462060870611156E-6</v>
      </c>
      <c r="F61" s="9"/>
      <c r="H61" s="10">
        <f t="shared" si="2"/>
        <v>-3.7970940396181083E-2</v>
      </c>
      <c r="I61" s="10">
        <f t="shared" si="3"/>
        <v>3.7970940396181083E-2</v>
      </c>
    </row>
    <row r="62" spans="1:9" x14ac:dyDescent="0.25">
      <c r="A62" s="1">
        <v>45576</v>
      </c>
      <c r="B62" s="2">
        <f t="shared" si="4"/>
        <v>55</v>
      </c>
      <c r="C62" s="3">
        <f>+VLOOKUP(A62,Precios!$B:$H,1+$C$3,0)</f>
        <v>38.17</v>
      </c>
      <c r="D62" s="10">
        <f t="shared" si="0"/>
        <v>5.0026329647183676E-3</v>
      </c>
      <c r="E62" s="31">
        <f t="shared" si="1"/>
        <v>3.5262914865769515E-5</v>
      </c>
      <c r="F62" s="9"/>
      <c r="H62" s="10">
        <f t="shared" si="2"/>
        <v>-3.7970940396181083E-2</v>
      </c>
      <c r="I62" s="10">
        <f t="shared" si="3"/>
        <v>3.7970940396181083E-2</v>
      </c>
    </row>
    <row r="63" spans="1:9" x14ac:dyDescent="0.25">
      <c r="A63" s="1">
        <v>45575</v>
      </c>
      <c r="B63" s="2">
        <f t="shared" si="4"/>
        <v>56</v>
      </c>
      <c r="C63" s="3">
        <f>+VLOOKUP(A63,Precios!$B:$H,1+$C$3,0)</f>
        <v>37.979999999999997</v>
      </c>
      <c r="D63" s="10">
        <f t="shared" si="0"/>
        <v>1.0542962572481773E-3</v>
      </c>
      <c r="E63" s="31">
        <f t="shared" si="1"/>
        <v>3.9597890262093149E-6</v>
      </c>
      <c r="F63" s="9"/>
      <c r="H63" s="10">
        <f t="shared" si="2"/>
        <v>-3.7970940396181083E-2</v>
      </c>
      <c r="I63" s="10">
        <f t="shared" si="3"/>
        <v>3.7970940396181083E-2</v>
      </c>
    </row>
    <row r="64" spans="1:9" x14ac:dyDescent="0.25">
      <c r="A64" s="1">
        <v>45574</v>
      </c>
      <c r="B64" s="2">
        <f t="shared" si="4"/>
        <v>57</v>
      </c>
      <c r="C64" s="3">
        <f>+VLOOKUP(A64,Precios!$B:$H,1+$C$3,0)</f>
        <v>37.94</v>
      </c>
      <c r="D64" s="10">
        <f t="shared" si="0"/>
        <v>-1.3161358252172795E-3</v>
      </c>
      <c r="E64" s="31">
        <f t="shared" si="1"/>
        <v>1.4478802609196753E-7</v>
      </c>
      <c r="F64" s="9"/>
      <c r="H64" s="10">
        <f t="shared" si="2"/>
        <v>-3.7970940396181083E-2</v>
      </c>
      <c r="I64" s="10">
        <f t="shared" si="3"/>
        <v>3.7970940396181083E-2</v>
      </c>
    </row>
    <row r="65" spans="1:9" x14ac:dyDescent="0.25">
      <c r="A65" s="1">
        <v>45573</v>
      </c>
      <c r="B65" s="2">
        <f t="shared" si="4"/>
        <v>58</v>
      </c>
      <c r="C65" s="3">
        <f>+VLOOKUP(A65,Precios!$B:$H,1+$C$3,0)</f>
        <v>37.99</v>
      </c>
      <c r="D65" s="10">
        <f t="shared" si="0"/>
        <v>-4.7157453497510549E-3</v>
      </c>
      <c r="E65" s="31">
        <f t="shared" si="1"/>
        <v>1.4289305268783337E-5</v>
      </c>
      <c r="F65" s="9"/>
      <c r="H65" s="10">
        <f t="shared" si="2"/>
        <v>-3.7970940396181083E-2</v>
      </c>
      <c r="I65" s="10">
        <f t="shared" si="3"/>
        <v>3.7970940396181083E-2</v>
      </c>
    </row>
    <row r="66" spans="1:9" x14ac:dyDescent="0.25">
      <c r="A66" s="1">
        <v>45572</v>
      </c>
      <c r="B66" s="2">
        <f t="shared" si="4"/>
        <v>59</v>
      </c>
      <c r="C66" s="3">
        <f>+VLOOKUP(A66,Precios!$B:$H,1+$C$3,0)</f>
        <v>38.17</v>
      </c>
      <c r="D66" s="10">
        <f t="shared" si="0"/>
        <v>-1.062726801451519E-2</v>
      </c>
      <c r="E66" s="31">
        <f t="shared" si="1"/>
        <v>9.392793255321634E-5</v>
      </c>
      <c r="F66" s="9"/>
      <c r="H66" s="10">
        <f t="shared" si="2"/>
        <v>-3.7970940396181083E-2</v>
      </c>
      <c r="I66" s="10">
        <f t="shared" si="3"/>
        <v>3.7970940396181083E-2</v>
      </c>
    </row>
    <row r="67" spans="1:9" x14ac:dyDescent="0.25">
      <c r="A67" s="1">
        <v>45569</v>
      </c>
      <c r="B67" s="2">
        <f t="shared" si="4"/>
        <v>60</v>
      </c>
      <c r="C67" s="3">
        <f>+VLOOKUP(A67,Precios!$B:$H,1+$C$3,0)</f>
        <v>38.58</v>
      </c>
      <c r="D67" s="10">
        <f t="shared" si="0"/>
        <v>4.9492055222712938E-3</v>
      </c>
      <c r="E67" s="31">
        <f t="shared" si="1"/>
        <v>3.4631237421212655E-5</v>
      </c>
      <c r="F67" s="9"/>
      <c r="H67" s="10">
        <f t="shared" si="2"/>
        <v>-3.7970940396181083E-2</v>
      </c>
      <c r="I67" s="10">
        <f t="shared" si="3"/>
        <v>3.7970940396181083E-2</v>
      </c>
    </row>
    <row r="68" spans="1:9" x14ac:dyDescent="0.25">
      <c r="A68" s="1">
        <v>45568</v>
      </c>
      <c r="B68" s="2">
        <f t="shared" si="4"/>
        <v>61</v>
      </c>
      <c r="C68" s="3">
        <f>+VLOOKUP(A68,Precios!$B:$H,1+$C$3,0)</f>
        <v>38.39</v>
      </c>
      <c r="D68" s="10">
        <f t="shared" si="0"/>
        <v>-9.5459236326108643E-3</v>
      </c>
      <c r="E68" s="31">
        <f t="shared" si="1"/>
        <v>7.4137232088123254E-5</v>
      </c>
      <c r="F68" s="9"/>
      <c r="H68" s="10">
        <f t="shared" si="2"/>
        <v>-3.7970940396181083E-2</v>
      </c>
      <c r="I68" s="10">
        <f t="shared" si="3"/>
        <v>3.7970940396181083E-2</v>
      </c>
    </row>
    <row r="69" spans="1:9" x14ac:dyDescent="0.25">
      <c r="A69" s="1">
        <v>45567</v>
      </c>
      <c r="B69" s="2">
        <f t="shared" si="4"/>
        <v>62</v>
      </c>
      <c r="C69" s="3">
        <f>+VLOOKUP(A69,Precios!$B:$H,1+$C$3,0)</f>
        <v>38.76</v>
      </c>
      <c r="D69" s="10">
        <f t="shared" si="0"/>
        <v>-1.4242115971515812E-2</v>
      </c>
      <c r="E69" s="31">
        <f t="shared" si="1"/>
        <v>1.7706268581830161E-4</v>
      </c>
      <c r="F69" s="9"/>
      <c r="H69" s="10">
        <f t="shared" si="2"/>
        <v>-3.7970940396181083E-2</v>
      </c>
      <c r="I69" s="10">
        <f t="shared" si="3"/>
        <v>3.7970940396181083E-2</v>
      </c>
    </row>
    <row r="70" spans="1:9" x14ac:dyDescent="0.25">
      <c r="A70" s="1">
        <v>45565</v>
      </c>
      <c r="B70" s="2">
        <f t="shared" si="4"/>
        <v>63</v>
      </c>
      <c r="C70" s="3">
        <f>+VLOOKUP(A70,Precios!$B:$H,1+$C$3,0)</f>
        <v>39.32</v>
      </c>
      <c r="D70" s="10">
        <f t="shared" si="0"/>
        <v>-4.5569620253164134E-3</v>
      </c>
      <c r="E70" s="31">
        <f t="shared" si="1"/>
        <v>1.3114077453903414E-5</v>
      </c>
      <c r="F70" s="9"/>
      <c r="H70" s="10">
        <f t="shared" si="2"/>
        <v>-3.7970940396181083E-2</v>
      </c>
      <c r="I70" s="10">
        <f t="shared" si="3"/>
        <v>3.7970940396181083E-2</v>
      </c>
    </row>
    <row r="71" spans="1:9" x14ac:dyDescent="0.25">
      <c r="A71" s="1">
        <v>45562</v>
      </c>
      <c r="B71" s="2">
        <f t="shared" si="4"/>
        <v>64</v>
      </c>
      <c r="C71" s="3">
        <f>+VLOOKUP(A71,Precios!$B:$H,1+$C$3,0)</f>
        <v>39.5</v>
      </c>
      <c r="D71" s="10">
        <f t="shared" si="0"/>
        <v>-1.2499999999999956E-2</v>
      </c>
      <c r="E71" s="31">
        <f t="shared" si="1"/>
        <v>1.3373475509916957E-4</v>
      </c>
      <c r="F71" s="9"/>
      <c r="H71" s="10">
        <f t="shared" si="2"/>
        <v>-3.7970940396181083E-2</v>
      </c>
      <c r="I71" s="10">
        <f t="shared" si="3"/>
        <v>3.7970940396181083E-2</v>
      </c>
    </row>
    <row r="72" spans="1:9" x14ac:dyDescent="0.25">
      <c r="A72" s="1">
        <v>45561</v>
      </c>
      <c r="B72" s="2">
        <f t="shared" si="4"/>
        <v>65</v>
      </c>
      <c r="C72" s="3">
        <f>+VLOOKUP(A72,Precios!$B:$H,1+$C$3,0)</f>
        <v>40</v>
      </c>
      <c r="D72" s="10">
        <f t="shared" si="0"/>
        <v>2.0668537892319483E-2</v>
      </c>
      <c r="E72" s="31">
        <f t="shared" si="1"/>
        <v>4.667398805096316E-4</v>
      </c>
      <c r="F72" s="9"/>
      <c r="H72" s="10">
        <f t="shared" si="2"/>
        <v>-3.7970940396181083E-2</v>
      </c>
      <c r="I72" s="10">
        <f t="shared" si="3"/>
        <v>3.7970940396181083E-2</v>
      </c>
    </row>
    <row r="73" spans="1:9" x14ac:dyDescent="0.25">
      <c r="A73" s="1">
        <v>45560</v>
      </c>
      <c r="B73" s="2">
        <f t="shared" si="4"/>
        <v>66</v>
      </c>
      <c r="C73" s="3">
        <f>+VLOOKUP(A73,Precios!$B:$H,1+$C$3,0)</f>
        <v>39.19</v>
      </c>
      <c r="D73" s="10">
        <f t="shared" ref="D73:D136" si="5">C73/C74-1</f>
        <v>-2.6818971939409075E-2</v>
      </c>
      <c r="E73" s="31">
        <f t="shared" ref="E73:E136" si="6">(D73-$E$264)^2</f>
        <v>6.6994761735827859E-4</v>
      </c>
      <c r="F73" s="9"/>
      <c r="H73" s="10">
        <f t="shared" ref="H73:H136" si="7">-$I$5*$E$266</f>
        <v>-3.7970940396181083E-2</v>
      </c>
      <c r="I73" s="10">
        <f t="shared" ref="I73:I136" si="8">+$I$5*$E$266</f>
        <v>3.7970940396181083E-2</v>
      </c>
    </row>
    <row r="74" spans="1:9" x14ac:dyDescent="0.25">
      <c r="A74" s="1">
        <v>45559</v>
      </c>
      <c r="B74" s="2">
        <f t="shared" ref="B74:B137" si="9">+B73+1</f>
        <v>67</v>
      </c>
      <c r="C74" s="3">
        <f>+VLOOKUP(A74,Precios!$B:$H,1+$C$3,0)</f>
        <v>40.270000000000003</v>
      </c>
      <c r="D74" s="10">
        <f t="shared" si="5"/>
        <v>1.5124779430299995E-2</v>
      </c>
      <c r="E74" s="31">
        <f t="shared" si="6"/>
        <v>2.5793660996533015E-4</v>
      </c>
      <c r="F74" s="9"/>
      <c r="H74" s="10">
        <f t="shared" si="7"/>
        <v>-3.7970940396181083E-2</v>
      </c>
      <c r="I74" s="10">
        <f t="shared" si="8"/>
        <v>3.7970940396181083E-2</v>
      </c>
    </row>
    <row r="75" spans="1:9" x14ac:dyDescent="0.25">
      <c r="A75" s="1">
        <v>45558</v>
      </c>
      <c r="B75" s="2">
        <f t="shared" si="9"/>
        <v>68</v>
      </c>
      <c r="C75" s="3">
        <f>+VLOOKUP(A75,Precios!$B:$H,1+$C$3,0)</f>
        <v>39.67</v>
      </c>
      <c r="D75" s="10">
        <f t="shared" si="5"/>
        <v>-3.0784265819692069E-2</v>
      </c>
      <c r="E75" s="31">
        <f t="shared" si="6"/>
        <v>8.9094132254079249E-4</v>
      </c>
      <c r="F75" s="9"/>
      <c r="H75" s="10">
        <f t="shared" si="7"/>
        <v>-3.7970940396181083E-2</v>
      </c>
      <c r="I75" s="10">
        <f t="shared" si="8"/>
        <v>3.7970940396181083E-2</v>
      </c>
    </row>
    <row r="76" spans="1:9" x14ac:dyDescent="0.25">
      <c r="A76" s="1">
        <v>45555</v>
      </c>
      <c r="B76" s="2">
        <f t="shared" si="9"/>
        <v>69</v>
      </c>
      <c r="C76" s="3">
        <f>+VLOOKUP(A76,Precios!$B:$H,1+$C$3,0)</f>
        <v>40.93</v>
      </c>
      <c r="D76" s="10">
        <f t="shared" si="5"/>
        <v>3.8305428716387535E-2</v>
      </c>
      <c r="E76" s="31">
        <f t="shared" si="6"/>
        <v>1.5398603444188681E-3</v>
      </c>
      <c r="F76" s="9"/>
      <c r="H76" s="10">
        <f t="shared" si="7"/>
        <v>-3.7970940396181083E-2</v>
      </c>
      <c r="I76" s="10">
        <f t="shared" si="8"/>
        <v>3.7970940396181083E-2</v>
      </c>
    </row>
    <row r="77" spans="1:9" x14ac:dyDescent="0.25">
      <c r="A77" s="1">
        <v>45554</v>
      </c>
      <c r="B77" s="2">
        <f t="shared" si="9"/>
        <v>70</v>
      </c>
      <c r="C77" s="3">
        <f>+VLOOKUP(A77,Precios!$B:$H,1+$C$3,0)</f>
        <v>39.42</v>
      </c>
      <c r="D77" s="10">
        <f t="shared" si="5"/>
        <v>-8.8006034699522617E-3</v>
      </c>
      <c r="E77" s="31">
        <f t="shared" si="6"/>
        <v>6.1857876783162499E-5</v>
      </c>
      <c r="F77" s="9"/>
      <c r="H77" s="10">
        <f t="shared" si="7"/>
        <v>-3.7970940396181083E-2</v>
      </c>
      <c r="I77" s="10">
        <f t="shared" si="8"/>
        <v>3.7970940396181083E-2</v>
      </c>
    </row>
    <row r="78" spans="1:9" x14ac:dyDescent="0.25">
      <c r="A78" s="1">
        <v>45553</v>
      </c>
      <c r="B78" s="2">
        <f t="shared" si="9"/>
        <v>71</v>
      </c>
      <c r="C78" s="3">
        <f>+VLOOKUP(A78,Precios!$B:$H,1+$C$3,0)</f>
        <v>39.770000000000003</v>
      </c>
      <c r="D78" s="10">
        <f t="shared" si="5"/>
        <v>-6.7432567432565982E-3</v>
      </c>
      <c r="E78" s="31">
        <f t="shared" si="6"/>
        <v>3.372857941366028E-5</v>
      </c>
      <c r="F78" s="9"/>
      <c r="H78" s="10">
        <f t="shared" si="7"/>
        <v>-3.7970940396181083E-2</v>
      </c>
      <c r="I78" s="10">
        <f t="shared" si="8"/>
        <v>3.7970940396181083E-2</v>
      </c>
    </row>
    <row r="79" spans="1:9" x14ac:dyDescent="0.25">
      <c r="A79" s="1">
        <v>45552</v>
      </c>
      <c r="B79" s="2">
        <f t="shared" si="9"/>
        <v>72</v>
      </c>
      <c r="C79" s="3">
        <f>+VLOOKUP(A79,Precios!$B:$H,1+$C$3,0)</f>
        <v>40.04</v>
      </c>
      <c r="D79" s="10">
        <f t="shared" si="5"/>
        <v>3.6500129433082895E-2</v>
      </c>
      <c r="E79" s="31">
        <f t="shared" si="6"/>
        <v>1.4014357554285486E-3</v>
      </c>
      <c r="F79" s="9"/>
      <c r="H79" s="10">
        <f t="shared" si="7"/>
        <v>-3.7970940396181083E-2</v>
      </c>
      <c r="I79" s="10">
        <f t="shared" si="8"/>
        <v>3.7970940396181083E-2</v>
      </c>
    </row>
    <row r="80" spans="1:9" x14ac:dyDescent="0.25">
      <c r="A80" s="1">
        <v>45548</v>
      </c>
      <c r="B80" s="2">
        <f t="shared" si="9"/>
        <v>73</v>
      </c>
      <c r="C80" s="3">
        <f>+VLOOKUP(A80,Precios!$B:$H,1+$C$3,0)</f>
        <v>38.630000000000003</v>
      </c>
      <c r="D80" s="10">
        <f t="shared" si="5"/>
        <v>-1.4540816326530592E-2</v>
      </c>
      <c r="E80" s="31">
        <f t="shared" si="6"/>
        <v>1.8510121451209132E-4</v>
      </c>
      <c r="F80" s="9"/>
      <c r="H80" s="10">
        <f t="shared" si="7"/>
        <v>-3.7970940396181083E-2</v>
      </c>
      <c r="I80" s="10">
        <f t="shared" si="8"/>
        <v>3.7970940396181083E-2</v>
      </c>
    </row>
    <row r="81" spans="1:9" x14ac:dyDescent="0.25">
      <c r="A81" s="1">
        <v>45547</v>
      </c>
      <c r="B81" s="2">
        <f t="shared" si="9"/>
        <v>74</v>
      </c>
      <c r="C81" s="3">
        <f>+VLOOKUP(A81,Precios!$B:$H,1+$C$3,0)</f>
        <v>39.200000000000003</v>
      </c>
      <c r="D81" s="10">
        <f t="shared" si="5"/>
        <v>1.7653167185877505E-2</v>
      </c>
      <c r="E81" s="31">
        <f t="shared" si="6"/>
        <v>3.4554321750023741E-4</v>
      </c>
      <c r="F81" s="9"/>
      <c r="H81" s="10">
        <f t="shared" si="7"/>
        <v>-3.7970940396181083E-2</v>
      </c>
      <c r="I81" s="10">
        <f t="shared" si="8"/>
        <v>3.7970940396181083E-2</v>
      </c>
    </row>
    <row r="82" spans="1:9" x14ac:dyDescent="0.25">
      <c r="A82" s="1">
        <v>45546</v>
      </c>
      <c r="B82" s="2">
        <f t="shared" si="9"/>
        <v>75</v>
      </c>
      <c r="C82" s="3">
        <f>+VLOOKUP(A82,Precios!$B:$H,1+$C$3,0)</f>
        <v>38.520000000000003</v>
      </c>
      <c r="D82" s="10">
        <f t="shared" si="5"/>
        <v>-5.1652892561981911E-3</v>
      </c>
      <c r="E82" s="31">
        <f t="shared" si="6"/>
        <v>1.789005458450605E-5</v>
      </c>
      <c r="F82" s="9"/>
      <c r="H82" s="10">
        <f t="shared" si="7"/>
        <v>-3.7970940396181083E-2</v>
      </c>
      <c r="I82" s="10">
        <f t="shared" si="8"/>
        <v>3.7970940396181083E-2</v>
      </c>
    </row>
    <row r="83" spans="1:9" x14ac:dyDescent="0.25">
      <c r="A83" s="1">
        <v>45545</v>
      </c>
      <c r="B83" s="2">
        <f t="shared" si="9"/>
        <v>76</v>
      </c>
      <c r="C83" s="3">
        <f>+VLOOKUP(A83,Precios!$B:$H,1+$C$3,0)</f>
        <v>38.72</v>
      </c>
      <c r="D83" s="10">
        <f t="shared" si="5"/>
        <v>8.4897730456710674E-2</v>
      </c>
      <c r="E83" s="31">
        <f t="shared" si="6"/>
        <v>7.3673650131768362E-3</v>
      </c>
      <c r="F83" s="9"/>
      <c r="H83" s="10">
        <f t="shared" si="7"/>
        <v>-3.7970940396181083E-2</v>
      </c>
      <c r="I83" s="10">
        <f t="shared" si="8"/>
        <v>3.7970940396181083E-2</v>
      </c>
    </row>
    <row r="84" spans="1:9" x14ac:dyDescent="0.25">
      <c r="A84" s="1">
        <v>45544</v>
      </c>
      <c r="B84" s="2">
        <f t="shared" si="9"/>
        <v>77</v>
      </c>
      <c r="C84" s="3">
        <f>+VLOOKUP(A84,Precios!$B:$H,1+$C$3,0)</f>
        <v>35.69</v>
      </c>
      <c r="D84" s="10">
        <f t="shared" si="5"/>
        <v>4.9397236107027398E-2</v>
      </c>
      <c r="E84" s="31">
        <f t="shared" si="6"/>
        <v>2.5333969683334311E-3</v>
      </c>
      <c r="F84" s="9"/>
      <c r="H84" s="10">
        <f t="shared" si="7"/>
        <v>-3.7970940396181083E-2</v>
      </c>
      <c r="I84" s="10">
        <f t="shared" si="8"/>
        <v>3.7970940396181083E-2</v>
      </c>
    </row>
    <row r="85" spans="1:9" x14ac:dyDescent="0.25">
      <c r="A85" s="1">
        <v>45541</v>
      </c>
      <c r="B85" s="2">
        <f t="shared" si="9"/>
        <v>78</v>
      </c>
      <c r="C85" s="3">
        <f>+VLOOKUP(A85,Precios!$B:$H,1+$C$3,0)</f>
        <v>34.01</v>
      </c>
      <c r="D85" s="10">
        <f t="shared" si="5"/>
        <v>-1.1747430249632318E-3</v>
      </c>
      <c r="E85" s="31">
        <f t="shared" si="6"/>
        <v>5.7177139525772922E-8</v>
      </c>
      <c r="F85" s="9"/>
      <c r="H85" s="10">
        <f t="shared" si="7"/>
        <v>-3.7970940396181083E-2</v>
      </c>
      <c r="I85" s="10">
        <f t="shared" si="8"/>
        <v>3.7970940396181083E-2</v>
      </c>
    </row>
    <row r="86" spans="1:9" x14ac:dyDescent="0.25">
      <c r="A86" s="1">
        <v>45540</v>
      </c>
      <c r="B86" s="2">
        <f t="shared" si="9"/>
        <v>79</v>
      </c>
      <c r="C86" s="3">
        <f>+VLOOKUP(A86,Precios!$B:$H,1+$C$3,0)</f>
        <v>34.049999999999997</v>
      </c>
      <c r="D86" s="10">
        <f t="shared" si="5"/>
        <v>1.76329946204421E-2</v>
      </c>
      <c r="E86" s="31">
        <f t="shared" si="6"/>
        <v>3.4479365715467055E-4</v>
      </c>
      <c r="F86" s="9"/>
      <c r="H86" s="10">
        <f t="shared" si="7"/>
        <v>-3.7970940396181083E-2</v>
      </c>
      <c r="I86" s="10">
        <f t="shared" si="8"/>
        <v>3.7970940396181083E-2</v>
      </c>
    </row>
    <row r="87" spans="1:9" x14ac:dyDescent="0.25">
      <c r="A87" s="1">
        <v>45539</v>
      </c>
      <c r="B87" s="2">
        <f t="shared" si="9"/>
        <v>80</v>
      </c>
      <c r="C87" s="3">
        <f>+VLOOKUP(A87,Precios!$B:$H,1+$C$3,0)</f>
        <v>33.46</v>
      </c>
      <c r="D87" s="10">
        <f t="shared" si="5"/>
        <v>-1.2688108586603741E-2</v>
      </c>
      <c r="E87" s="31">
        <f t="shared" si="6"/>
        <v>1.3812085618353465E-4</v>
      </c>
      <c r="F87" s="9"/>
      <c r="H87" s="10">
        <f t="shared" si="7"/>
        <v>-3.7970940396181083E-2</v>
      </c>
      <c r="I87" s="10">
        <f t="shared" si="8"/>
        <v>3.7970940396181083E-2</v>
      </c>
    </row>
    <row r="88" spans="1:9" x14ac:dyDescent="0.25">
      <c r="A88" s="1">
        <v>45538</v>
      </c>
      <c r="B88" s="2">
        <f t="shared" si="9"/>
        <v>81</v>
      </c>
      <c r="C88" s="3">
        <f>+VLOOKUP(A88,Precios!$B:$H,1+$C$3,0)</f>
        <v>33.89</v>
      </c>
      <c r="D88" s="10">
        <f t="shared" si="5"/>
        <v>1.5278609946075328E-2</v>
      </c>
      <c r="E88" s="31">
        <f t="shared" si="6"/>
        <v>2.6290143457384171E-4</v>
      </c>
      <c r="F88" s="9"/>
      <c r="H88" s="10">
        <f t="shared" si="7"/>
        <v>-3.7970940396181083E-2</v>
      </c>
      <c r="I88" s="10">
        <f t="shared" si="8"/>
        <v>3.7970940396181083E-2</v>
      </c>
    </row>
    <row r="89" spans="1:9" x14ac:dyDescent="0.25">
      <c r="A89" s="1">
        <v>45537</v>
      </c>
      <c r="B89" s="2">
        <f t="shared" si="9"/>
        <v>82</v>
      </c>
      <c r="C89" s="3">
        <f>+VLOOKUP(A89,Precios!$B:$H,1+$C$3,0)</f>
        <v>33.380000000000003</v>
      </c>
      <c r="D89" s="10">
        <f t="shared" si="5"/>
        <v>-9.4955489614243493E-3</v>
      </c>
      <c r="E89" s="31">
        <f t="shared" si="6"/>
        <v>7.3272287831914349E-5</v>
      </c>
      <c r="F89" s="9"/>
      <c r="H89" s="10">
        <f t="shared" si="7"/>
        <v>-3.7970940396181083E-2</v>
      </c>
      <c r="I89" s="10">
        <f t="shared" si="8"/>
        <v>3.7970940396181083E-2</v>
      </c>
    </row>
    <row r="90" spans="1:9" x14ac:dyDescent="0.25">
      <c r="A90" s="1">
        <v>45534</v>
      </c>
      <c r="B90" s="2">
        <f t="shared" si="9"/>
        <v>83</v>
      </c>
      <c r="C90" s="3">
        <f>+VLOOKUP(A90,Precios!$B:$H,1+$C$3,0)</f>
        <v>33.700000000000003</v>
      </c>
      <c r="D90" s="10">
        <f t="shared" si="5"/>
        <v>-9.9882491186837896E-3</v>
      </c>
      <c r="E90" s="31">
        <f t="shared" si="6"/>
        <v>8.1949992442486953E-5</v>
      </c>
      <c r="F90" s="9"/>
      <c r="H90" s="10">
        <f t="shared" si="7"/>
        <v>-3.7970940396181083E-2</v>
      </c>
      <c r="I90" s="10">
        <f t="shared" si="8"/>
        <v>3.7970940396181083E-2</v>
      </c>
    </row>
    <row r="91" spans="1:9" x14ac:dyDescent="0.25">
      <c r="A91" s="1">
        <v>45533</v>
      </c>
      <c r="B91" s="2">
        <f t="shared" si="9"/>
        <v>84</v>
      </c>
      <c r="C91" s="3">
        <f>+VLOOKUP(A91,Precios!$B:$H,1+$C$3,0)</f>
        <v>34.04</v>
      </c>
      <c r="D91" s="10">
        <f t="shared" si="5"/>
        <v>-1.3619240799768173E-2</v>
      </c>
      <c r="E91" s="31">
        <f t="shared" si="6"/>
        <v>1.6087409435569316E-4</v>
      </c>
      <c r="F91" s="9"/>
      <c r="H91" s="10">
        <f t="shared" si="7"/>
        <v>-3.7970940396181083E-2</v>
      </c>
      <c r="I91" s="10">
        <f t="shared" si="8"/>
        <v>3.7970940396181083E-2</v>
      </c>
    </row>
    <row r="92" spans="1:9" x14ac:dyDescent="0.25">
      <c r="A92" s="1">
        <v>45532</v>
      </c>
      <c r="B92" s="2">
        <f t="shared" si="9"/>
        <v>85</v>
      </c>
      <c r="C92" s="3">
        <f>+VLOOKUP(A92,Precios!$B:$H,1+$C$3,0)</f>
        <v>34.51</v>
      </c>
      <c r="D92" s="10">
        <f t="shared" si="5"/>
        <v>-5.7620282339384543E-3</v>
      </c>
      <c r="E92" s="31">
        <f t="shared" si="6"/>
        <v>2.3294162316357039E-5</v>
      </c>
      <c r="F92" s="9"/>
      <c r="H92" s="10">
        <f t="shared" si="7"/>
        <v>-3.7970940396181083E-2</v>
      </c>
      <c r="I92" s="10">
        <f t="shared" si="8"/>
        <v>3.7970940396181083E-2</v>
      </c>
    </row>
    <row r="93" spans="1:9" x14ac:dyDescent="0.25">
      <c r="A93" s="1">
        <v>45531</v>
      </c>
      <c r="B93" s="2">
        <f t="shared" si="9"/>
        <v>86</v>
      </c>
      <c r="C93" s="3">
        <f>+VLOOKUP(A93,Precios!$B:$H,1+$C$3,0)</f>
        <v>34.71</v>
      </c>
      <c r="D93" s="10">
        <f t="shared" si="5"/>
        <v>2.7531083481349805E-2</v>
      </c>
      <c r="E93" s="31">
        <f t="shared" si="6"/>
        <v>8.1035352632640768E-4</v>
      </c>
      <c r="F93" s="9"/>
      <c r="H93" s="10">
        <f t="shared" si="7"/>
        <v>-3.7970940396181083E-2</v>
      </c>
      <c r="I93" s="10">
        <f t="shared" si="8"/>
        <v>3.7970940396181083E-2</v>
      </c>
    </row>
    <row r="94" spans="1:9" x14ac:dyDescent="0.25">
      <c r="A94" s="1">
        <v>45530</v>
      </c>
      <c r="B94" s="2">
        <f t="shared" si="9"/>
        <v>87</v>
      </c>
      <c r="C94" s="3">
        <f>+VLOOKUP(A94,Precios!$B:$H,1+$C$3,0)</f>
        <v>33.78</v>
      </c>
      <c r="D94" s="10">
        <f t="shared" si="5"/>
        <v>1.8083182640144635E-2</v>
      </c>
      <c r="E94" s="31">
        <f t="shared" si="6"/>
        <v>3.6171506714544516E-4</v>
      </c>
      <c r="F94" s="9"/>
      <c r="H94" s="10">
        <f t="shared" si="7"/>
        <v>-3.7970940396181083E-2</v>
      </c>
      <c r="I94" s="10">
        <f t="shared" si="8"/>
        <v>3.7970940396181083E-2</v>
      </c>
    </row>
    <row r="95" spans="1:9" x14ac:dyDescent="0.25">
      <c r="A95" s="1">
        <v>45527</v>
      </c>
      <c r="B95" s="2">
        <f t="shared" si="9"/>
        <v>88</v>
      </c>
      <c r="C95" s="3">
        <f>+VLOOKUP(A95,Precios!$B:$H,1+$C$3,0)</f>
        <v>33.18</v>
      </c>
      <c r="D95" s="10">
        <f t="shared" si="5"/>
        <v>-5.0974512743628964E-3</v>
      </c>
      <c r="E95" s="31">
        <f t="shared" si="6"/>
        <v>1.7320792884691622E-5</v>
      </c>
      <c r="F95" s="9"/>
      <c r="H95" s="10">
        <f t="shared" si="7"/>
        <v>-3.7970940396181083E-2</v>
      </c>
      <c r="I95" s="10">
        <f t="shared" si="8"/>
        <v>3.7970940396181083E-2</v>
      </c>
    </row>
    <row r="96" spans="1:9" x14ac:dyDescent="0.25">
      <c r="A96" s="1">
        <v>45526</v>
      </c>
      <c r="B96" s="2">
        <f t="shared" si="9"/>
        <v>89</v>
      </c>
      <c r="C96" s="3">
        <f>+VLOOKUP(A96,Precios!$B:$H,1+$C$3,0)</f>
        <v>33.35</v>
      </c>
      <c r="D96" s="10">
        <f t="shared" si="5"/>
        <v>6.0006000600076881E-4</v>
      </c>
      <c r="E96" s="31">
        <f t="shared" si="6"/>
        <v>2.3583303022834409E-6</v>
      </c>
      <c r="F96" s="9"/>
      <c r="H96" s="10">
        <f t="shared" si="7"/>
        <v>-3.7970940396181083E-2</v>
      </c>
      <c r="I96" s="10">
        <f t="shared" si="8"/>
        <v>3.7970940396181083E-2</v>
      </c>
    </row>
    <row r="97" spans="1:9" x14ac:dyDescent="0.25">
      <c r="A97" s="1">
        <v>45525</v>
      </c>
      <c r="B97" s="2">
        <f t="shared" si="9"/>
        <v>90</v>
      </c>
      <c r="C97" s="3">
        <f>+VLOOKUP(A97,Precios!$B:$H,1+$C$3,0)</f>
        <v>33.33</v>
      </c>
      <c r="D97" s="10">
        <f t="shared" si="5"/>
        <v>-6.2611806797853164E-3</v>
      </c>
      <c r="E97" s="31">
        <f t="shared" si="6"/>
        <v>2.8361536832208618E-5</v>
      </c>
      <c r="F97" s="9"/>
      <c r="H97" s="10">
        <f t="shared" si="7"/>
        <v>-3.7970940396181083E-2</v>
      </c>
      <c r="I97" s="10">
        <f t="shared" si="8"/>
        <v>3.7970940396181083E-2</v>
      </c>
    </row>
    <row r="98" spans="1:9" x14ac:dyDescent="0.25">
      <c r="A98" s="1">
        <v>45524</v>
      </c>
      <c r="B98" s="2">
        <f t="shared" si="9"/>
        <v>91</v>
      </c>
      <c r="C98" s="3">
        <f>+VLOOKUP(A98,Precios!$B:$H,1+$C$3,0)</f>
        <v>33.54</v>
      </c>
      <c r="D98" s="10">
        <f t="shared" si="5"/>
        <v>-7.9858030168590277E-3</v>
      </c>
      <c r="E98" s="31">
        <f t="shared" si="6"/>
        <v>4.9705001509082219E-5</v>
      </c>
      <c r="F98" s="9"/>
      <c r="H98" s="10">
        <f t="shared" si="7"/>
        <v>-3.7970940396181083E-2</v>
      </c>
      <c r="I98" s="10">
        <f t="shared" si="8"/>
        <v>3.7970940396181083E-2</v>
      </c>
    </row>
    <row r="99" spans="1:9" x14ac:dyDescent="0.25">
      <c r="A99" s="1">
        <v>45523</v>
      </c>
      <c r="B99" s="2">
        <f t="shared" si="9"/>
        <v>92</v>
      </c>
      <c r="C99" s="3">
        <f>+VLOOKUP(A99,Precios!$B:$H,1+$C$3,0)</f>
        <v>33.81</v>
      </c>
      <c r="D99" s="10">
        <f t="shared" si="5"/>
        <v>-4.1237113402061709E-3</v>
      </c>
      <c r="E99" s="31">
        <f t="shared" si="6"/>
        <v>1.0163890641637692E-5</v>
      </c>
      <c r="F99" s="9"/>
      <c r="H99" s="10">
        <f t="shared" si="7"/>
        <v>-3.7970940396181083E-2</v>
      </c>
      <c r="I99" s="10">
        <f t="shared" si="8"/>
        <v>3.7970940396181083E-2</v>
      </c>
    </row>
    <row r="100" spans="1:9" x14ac:dyDescent="0.25">
      <c r="A100" s="1">
        <v>45520</v>
      </c>
      <c r="B100" s="2">
        <f t="shared" si="9"/>
        <v>93</v>
      </c>
      <c r="C100" s="3">
        <f>+VLOOKUP(A100,Precios!$B:$H,1+$C$3,0)</f>
        <v>33.950000000000003</v>
      </c>
      <c r="D100" s="10">
        <f t="shared" si="5"/>
        <v>2.0661157024792765E-3</v>
      </c>
      <c r="E100" s="31">
        <f t="shared" si="6"/>
        <v>9.01045088963228E-6</v>
      </c>
      <c r="F100" s="9"/>
      <c r="H100" s="10">
        <f t="shared" si="7"/>
        <v>-3.7970940396181083E-2</v>
      </c>
      <c r="I100" s="10">
        <f t="shared" si="8"/>
        <v>3.7970940396181083E-2</v>
      </c>
    </row>
    <row r="101" spans="1:9" x14ac:dyDescent="0.25">
      <c r="A101" s="1">
        <v>45519</v>
      </c>
      <c r="B101" s="2">
        <f t="shared" si="9"/>
        <v>94</v>
      </c>
      <c r="C101" s="3">
        <f>+VLOOKUP(A101,Precios!$B:$H,1+$C$3,0)</f>
        <v>33.880000000000003</v>
      </c>
      <c r="D101" s="10">
        <f t="shared" si="5"/>
        <v>3.5545023696683664E-3</v>
      </c>
      <c r="E101" s="31">
        <f t="shared" si="6"/>
        <v>2.0161249247754349E-5</v>
      </c>
      <c r="F101" s="9"/>
      <c r="H101" s="10">
        <f t="shared" si="7"/>
        <v>-3.7970940396181083E-2</v>
      </c>
      <c r="I101" s="10">
        <f t="shared" si="8"/>
        <v>3.7970940396181083E-2</v>
      </c>
    </row>
    <row r="102" spans="1:9" x14ac:dyDescent="0.25">
      <c r="A102" s="1">
        <v>45518</v>
      </c>
      <c r="B102" s="2">
        <f t="shared" si="9"/>
        <v>95</v>
      </c>
      <c r="C102" s="3">
        <f>+VLOOKUP(A102,Precios!$B:$H,1+$C$3,0)</f>
        <v>33.76</v>
      </c>
      <c r="D102" s="10">
        <f t="shared" si="5"/>
        <v>1.13840623127619E-2</v>
      </c>
      <c r="E102" s="31">
        <f t="shared" si="6"/>
        <v>1.5177471044278127E-4</v>
      </c>
      <c r="F102" s="9"/>
      <c r="H102" s="10">
        <f t="shared" si="7"/>
        <v>-3.7970940396181083E-2</v>
      </c>
      <c r="I102" s="10">
        <f t="shared" si="8"/>
        <v>3.7970940396181083E-2</v>
      </c>
    </row>
    <row r="103" spans="1:9" x14ac:dyDescent="0.25">
      <c r="A103" s="1">
        <v>45517</v>
      </c>
      <c r="B103" s="2">
        <f t="shared" si="9"/>
        <v>96</v>
      </c>
      <c r="C103" s="3">
        <f>+VLOOKUP(A103,Precios!$B:$H,1+$C$3,0)</f>
        <v>33.380000000000003</v>
      </c>
      <c r="D103" s="10">
        <f t="shared" si="5"/>
        <v>9.0689238210399647E-3</v>
      </c>
      <c r="E103" s="31">
        <f t="shared" si="6"/>
        <v>1.000910092600876E-4</v>
      </c>
      <c r="F103" s="9"/>
      <c r="H103" s="10">
        <f t="shared" si="7"/>
        <v>-3.7970940396181083E-2</v>
      </c>
      <c r="I103" s="10">
        <f t="shared" si="8"/>
        <v>3.7970940396181083E-2</v>
      </c>
    </row>
    <row r="104" spans="1:9" x14ac:dyDescent="0.25">
      <c r="A104" s="1">
        <v>45516</v>
      </c>
      <c r="B104" s="2">
        <f t="shared" si="9"/>
        <v>97</v>
      </c>
      <c r="C104" s="3">
        <f>+VLOOKUP(A104,Precios!$B:$H,1+$C$3,0)</f>
        <v>33.08</v>
      </c>
      <c r="D104" s="10">
        <f t="shared" si="5"/>
        <v>-7.2028811524610381E-3</v>
      </c>
      <c r="E104" s="31">
        <f t="shared" si="6"/>
        <v>3.9278492070863757E-5</v>
      </c>
      <c r="F104" s="9"/>
      <c r="H104" s="10">
        <f t="shared" si="7"/>
        <v>-3.7970940396181083E-2</v>
      </c>
      <c r="I104" s="10">
        <f t="shared" si="8"/>
        <v>3.7970940396181083E-2</v>
      </c>
    </row>
    <row r="105" spans="1:9" x14ac:dyDescent="0.25">
      <c r="A105" s="1">
        <v>45513</v>
      </c>
      <c r="B105" s="2">
        <f t="shared" si="9"/>
        <v>98</v>
      </c>
      <c r="C105" s="3">
        <f>+VLOOKUP(A105,Precios!$B:$H,1+$C$3,0)</f>
        <v>33.32</v>
      </c>
      <c r="D105" s="10">
        <f t="shared" si="5"/>
        <v>-2.9922202274087484E-3</v>
      </c>
      <c r="E105" s="31">
        <f t="shared" si="6"/>
        <v>4.2295814322845494E-6</v>
      </c>
      <c r="F105" s="9"/>
      <c r="H105" s="10">
        <f t="shared" si="7"/>
        <v>-3.7970940396181083E-2</v>
      </c>
      <c r="I105" s="10">
        <f t="shared" si="8"/>
        <v>3.7970940396181083E-2</v>
      </c>
    </row>
    <row r="106" spans="1:9" x14ac:dyDescent="0.25">
      <c r="A106" s="1">
        <v>45512</v>
      </c>
      <c r="B106" s="2">
        <f t="shared" si="9"/>
        <v>99</v>
      </c>
      <c r="C106" s="3">
        <f>+VLOOKUP(A106,Precios!$B:$H,1+$C$3,0)</f>
        <v>33.42</v>
      </c>
      <c r="D106" s="10">
        <f t="shared" si="5"/>
        <v>5.7177249473367997E-3</v>
      </c>
      <c r="E106" s="31">
        <f t="shared" si="6"/>
        <v>4.4267073600219081E-5</v>
      </c>
      <c r="F106" s="9"/>
      <c r="H106" s="10">
        <f t="shared" si="7"/>
        <v>-3.7970940396181083E-2</v>
      </c>
      <c r="I106" s="10">
        <f t="shared" si="8"/>
        <v>3.7970940396181083E-2</v>
      </c>
    </row>
    <row r="107" spans="1:9" x14ac:dyDescent="0.25">
      <c r="A107" s="1">
        <v>45511</v>
      </c>
      <c r="B107" s="2">
        <f t="shared" si="9"/>
        <v>100</v>
      </c>
      <c r="C107" s="3">
        <f>+VLOOKUP(A107,Precios!$B:$H,1+$C$3,0)</f>
        <v>33.229999999999997</v>
      </c>
      <c r="D107" s="10">
        <f t="shared" si="5"/>
        <v>-3.2993401319737492E-3</v>
      </c>
      <c r="E107" s="31">
        <f t="shared" si="6"/>
        <v>5.5871463551010476E-6</v>
      </c>
      <c r="F107" s="9"/>
      <c r="H107" s="10">
        <f t="shared" si="7"/>
        <v>-3.7970940396181083E-2</v>
      </c>
      <c r="I107" s="10">
        <f t="shared" si="8"/>
        <v>3.7970940396181083E-2</v>
      </c>
    </row>
    <row r="108" spans="1:9" x14ac:dyDescent="0.25">
      <c r="A108" s="1">
        <v>45510</v>
      </c>
      <c r="B108" s="2">
        <f t="shared" si="9"/>
        <v>101</v>
      </c>
      <c r="C108" s="3">
        <f>+VLOOKUP(A108,Precios!$B:$H,1+$C$3,0)</f>
        <v>33.340000000000003</v>
      </c>
      <c r="D108" s="10">
        <f t="shared" si="5"/>
        <v>5.1251130539644585E-3</v>
      </c>
      <c r="E108" s="31">
        <f t="shared" si="6"/>
        <v>3.6732553117716498E-5</v>
      </c>
      <c r="F108" s="9"/>
      <c r="H108" s="10">
        <f t="shared" si="7"/>
        <v>-3.7970940396181083E-2</v>
      </c>
      <c r="I108" s="10">
        <f t="shared" si="8"/>
        <v>3.7970940396181083E-2</v>
      </c>
    </row>
    <row r="109" spans="1:9" x14ac:dyDescent="0.25">
      <c r="A109" s="1">
        <v>45509</v>
      </c>
      <c r="B109" s="2">
        <f t="shared" si="9"/>
        <v>102</v>
      </c>
      <c r="C109" s="3">
        <f>+VLOOKUP(A109,Precios!$B:$H,1+$C$3,0)</f>
        <v>33.17</v>
      </c>
      <c r="D109" s="10">
        <f t="shared" si="5"/>
        <v>-1.6602431070263712E-2</v>
      </c>
      <c r="E109" s="31">
        <f t="shared" si="6"/>
        <v>2.45448793420629E-4</v>
      </c>
      <c r="F109" s="9"/>
      <c r="H109" s="10">
        <f t="shared" si="7"/>
        <v>-3.7970940396181083E-2</v>
      </c>
      <c r="I109" s="10">
        <f t="shared" si="8"/>
        <v>3.7970940396181083E-2</v>
      </c>
    </row>
    <row r="110" spans="1:9" x14ac:dyDescent="0.25">
      <c r="A110" s="1">
        <v>45506</v>
      </c>
      <c r="B110" s="2">
        <f t="shared" si="9"/>
        <v>103</v>
      </c>
      <c r="C110" s="3">
        <f>+VLOOKUP(A110,Precios!$B:$H,1+$C$3,0)</f>
        <v>33.729999999999997</v>
      </c>
      <c r="D110" s="10">
        <f t="shared" si="5"/>
        <v>-2.1183981427742471E-2</v>
      </c>
      <c r="E110" s="31">
        <f t="shared" si="6"/>
        <v>4.099959134393622E-4</v>
      </c>
      <c r="F110" s="9"/>
      <c r="H110" s="10">
        <f t="shared" si="7"/>
        <v>-3.7970940396181083E-2</v>
      </c>
      <c r="I110" s="10">
        <f t="shared" si="8"/>
        <v>3.7970940396181083E-2</v>
      </c>
    </row>
    <row r="111" spans="1:9" x14ac:dyDescent="0.25">
      <c r="A111" s="1">
        <v>45505</v>
      </c>
      <c r="B111" s="2">
        <f t="shared" si="9"/>
        <v>104</v>
      </c>
      <c r="C111" s="3">
        <f>+VLOOKUP(A111,Precios!$B:$H,1+$C$3,0)</f>
        <v>34.46</v>
      </c>
      <c r="D111" s="10">
        <f t="shared" si="5"/>
        <v>-6.0571098932795664E-3</v>
      </c>
      <c r="E111" s="31">
        <f t="shared" si="6"/>
        <v>2.6229601293588368E-5</v>
      </c>
      <c r="F111" s="9"/>
      <c r="H111" s="10">
        <f t="shared" si="7"/>
        <v>-3.7970940396181083E-2</v>
      </c>
      <c r="I111" s="10">
        <f t="shared" si="8"/>
        <v>3.7970940396181083E-2</v>
      </c>
    </row>
    <row r="112" spans="1:9" x14ac:dyDescent="0.25">
      <c r="A112" s="1">
        <v>45504</v>
      </c>
      <c r="B112" s="2">
        <f t="shared" si="9"/>
        <v>105</v>
      </c>
      <c r="C112" s="3">
        <f>+VLOOKUP(A112,Precios!$B:$H,1+$C$3,0)</f>
        <v>34.67</v>
      </c>
      <c r="D112" s="10">
        <f t="shared" si="5"/>
        <v>-6.8748209682037986E-3</v>
      </c>
      <c r="E112" s="31">
        <f t="shared" si="6"/>
        <v>3.5274041537361686E-5</v>
      </c>
      <c r="F112" s="9"/>
      <c r="H112" s="10">
        <f t="shared" si="7"/>
        <v>-3.7970940396181083E-2</v>
      </c>
      <c r="I112" s="10">
        <f t="shared" si="8"/>
        <v>3.7970940396181083E-2</v>
      </c>
    </row>
    <row r="113" spans="1:9" x14ac:dyDescent="0.25">
      <c r="A113" s="1">
        <v>45503</v>
      </c>
      <c r="B113" s="2">
        <f t="shared" si="9"/>
        <v>106</v>
      </c>
      <c r="C113" s="3">
        <f>+VLOOKUP(A113,Precios!$B:$H,1+$C$3,0)</f>
        <v>34.909999999999997</v>
      </c>
      <c r="D113" s="10">
        <f t="shared" si="5"/>
        <v>1.3646922183507604E-2</v>
      </c>
      <c r="E113" s="31">
        <f t="shared" si="6"/>
        <v>2.126507000653429E-4</v>
      </c>
      <c r="F113" s="9"/>
      <c r="H113" s="10">
        <f t="shared" si="7"/>
        <v>-3.7970940396181083E-2</v>
      </c>
      <c r="I113" s="10">
        <f t="shared" si="8"/>
        <v>3.7970940396181083E-2</v>
      </c>
    </row>
    <row r="114" spans="1:9" x14ac:dyDescent="0.25">
      <c r="A114" s="1">
        <v>45502</v>
      </c>
      <c r="B114" s="2">
        <f t="shared" si="9"/>
        <v>107</v>
      </c>
      <c r="C114" s="3">
        <f>+VLOOKUP(A114,Precios!$B:$H,1+$C$3,0)</f>
        <v>34.44</v>
      </c>
      <c r="D114" s="10">
        <f t="shared" si="5"/>
        <v>-1.2614678899082743E-2</v>
      </c>
      <c r="E114" s="31">
        <f t="shared" si="6"/>
        <v>1.3640028579698239E-4</v>
      </c>
      <c r="F114" s="9"/>
      <c r="H114" s="10">
        <f t="shared" si="7"/>
        <v>-3.7970940396181083E-2</v>
      </c>
      <c r="I114" s="10">
        <f t="shared" si="8"/>
        <v>3.7970940396181083E-2</v>
      </c>
    </row>
    <row r="115" spans="1:9" x14ac:dyDescent="0.25">
      <c r="A115" s="1">
        <v>45499</v>
      </c>
      <c r="B115" s="2">
        <f t="shared" si="9"/>
        <v>108</v>
      </c>
      <c r="C115" s="3">
        <f>+VLOOKUP(A115,Precios!$B:$H,1+$C$3,0)</f>
        <v>34.880000000000003</v>
      </c>
      <c r="D115" s="10">
        <f t="shared" si="5"/>
        <v>1.7502917152858899E-2</v>
      </c>
      <c r="E115" s="31">
        <f t="shared" si="6"/>
        <v>3.3997985911081782E-4</v>
      </c>
      <c r="F115" s="9"/>
      <c r="H115" s="10">
        <f t="shared" si="7"/>
        <v>-3.7970940396181083E-2</v>
      </c>
      <c r="I115" s="10">
        <f t="shared" si="8"/>
        <v>3.7970940396181083E-2</v>
      </c>
    </row>
    <row r="116" spans="1:9" x14ac:dyDescent="0.25">
      <c r="A116" s="1">
        <v>45498</v>
      </c>
      <c r="B116" s="2">
        <f t="shared" si="9"/>
        <v>109</v>
      </c>
      <c r="C116" s="3">
        <f>+VLOOKUP(A116,Precios!$B:$H,1+$C$3,0)</f>
        <v>34.28</v>
      </c>
      <c r="D116" s="10">
        <f t="shared" si="5"/>
        <v>-2.2247575584711909E-2</v>
      </c>
      <c r="E116" s="31">
        <f t="shared" si="6"/>
        <v>4.5419921184824952E-4</v>
      </c>
      <c r="F116" s="9"/>
      <c r="H116" s="10">
        <f t="shared" si="7"/>
        <v>-3.7970940396181083E-2</v>
      </c>
      <c r="I116" s="10">
        <f t="shared" si="8"/>
        <v>3.7970940396181083E-2</v>
      </c>
    </row>
    <row r="117" spans="1:9" x14ac:dyDescent="0.25">
      <c r="A117" s="1">
        <v>45497</v>
      </c>
      <c r="B117" s="2">
        <f t="shared" si="9"/>
        <v>110</v>
      </c>
      <c r="C117" s="3">
        <f>+VLOOKUP(A117,Precios!$B:$H,1+$C$3,0)</f>
        <v>35.06</v>
      </c>
      <c r="D117" s="10">
        <f t="shared" si="5"/>
        <v>-8.7644896805201267E-3</v>
      </c>
      <c r="E117" s="31">
        <f t="shared" si="6"/>
        <v>6.1291112680094713E-5</v>
      </c>
      <c r="F117" s="9"/>
      <c r="H117" s="10">
        <f t="shared" si="7"/>
        <v>-3.7970940396181083E-2</v>
      </c>
      <c r="I117" s="10">
        <f t="shared" si="8"/>
        <v>3.7970940396181083E-2</v>
      </c>
    </row>
    <row r="118" spans="1:9" x14ac:dyDescent="0.25">
      <c r="A118" s="1">
        <v>45496</v>
      </c>
      <c r="B118" s="2">
        <f t="shared" si="9"/>
        <v>111</v>
      </c>
      <c r="C118" s="3">
        <f>+VLOOKUP(A118,Precios!$B:$H,1+$C$3,0)</f>
        <v>35.369999999999997</v>
      </c>
      <c r="D118" s="10">
        <f t="shared" si="5"/>
        <v>-6.4606741573034476E-3</v>
      </c>
      <c r="E118" s="31">
        <f t="shared" si="6"/>
        <v>3.0526161482109692E-5</v>
      </c>
      <c r="F118" s="9"/>
      <c r="H118" s="10">
        <f t="shared" si="7"/>
        <v>-3.7970940396181083E-2</v>
      </c>
      <c r="I118" s="10">
        <f t="shared" si="8"/>
        <v>3.7970940396181083E-2</v>
      </c>
    </row>
    <row r="119" spans="1:9" x14ac:dyDescent="0.25">
      <c r="A119" s="1">
        <v>45495</v>
      </c>
      <c r="B119" s="2">
        <f t="shared" si="9"/>
        <v>112</v>
      </c>
      <c r="C119" s="3">
        <f>+VLOOKUP(A119,Precios!$B:$H,1+$C$3,0)</f>
        <v>35.6</v>
      </c>
      <c r="D119" s="10">
        <f t="shared" si="5"/>
        <v>3.9481105470953182E-3</v>
      </c>
      <c r="E119" s="31">
        <f t="shared" si="6"/>
        <v>2.3850878823790525E-5</v>
      </c>
      <c r="F119" s="9"/>
      <c r="H119" s="10">
        <f t="shared" si="7"/>
        <v>-3.7970940396181083E-2</v>
      </c>
      <c r="I119" s="10">
        <f t="shared" si="8"/>
        <v>3.7970940396181083E-2</v>
      </c>
    </row>
    <row r="120" spans="1:9" x14ac:dyDescent="0.25">
      <c r="A120" s="1">
        <v>45492</v>
      </c>
      <c r="B120" s="2">
        <f t="shared" si="9"/>
        <v>113</v>
      </c>
      <c r="C120" s="3">
        <f>+VLOOKUP(A120,Precios!$B:$H,1+$C$3,0)</f>
        <v>35.46</v>
      </c>
      <c r="D120" s="10">
        <f t="shared" si="5"/>
        <v>1.6337059329320835E-2</v>
      </c>
      <c r="E120" s="31">
        <f t="shared" si="6"/>
        <v>2.9834564491284529E-4</v>
      </c>
      <c r="F120" s="9"/>
      <c r="H120" s="10">
        <f t="shared" si="7"/>
        <v>-3.7970940396181083E-2</v>
      </c>
      <c r="I120" s="10">
        <f t="shared" si="8"/>
        <v>3.7970940396181083E-2</v>
      </c>
    </row>
    <row r="121" spans="1:9" x14ac:dyDescent="0.25">
      <c r="A121" s="1">
        <v>45491</v>
      </c>
      <c r="B121" s="2">
        <f t="shared" si="9"/>
        <v>114</v>
      </c>
      <c r="C121" s="3">
        <f>+VLOOKUP(A121,Precios!$B:$H,1+$C$3,0)</f>
        <v>34.89</v>
      </c>
      <c r="D121" s="10">
        <f t="shared" si="5"/>
        <v>-2.2962755530663737E-2</v>
      </c>
      <c r="E121" s="31">
        <f t="shared" si="6"/>
        <v>4.8519445266957483E-4</v>
      </c>
      <c r="F121" s="9"/>
      <c r="H121" s="10">
        <f t="shared" si="7"/>
        <v>-3.7970940396181083E-2</v>
      </c>
      <c r="I121" s="10">
        <f t="shared" si="8"/>
        <v>3.7970940396181083E-2</v>
      </c>
    </row>
    <row r="122" spans="1:9" x14ac:dyDescent="0.25">
      <c r="A122" s="1">
        <v>45490</v>
      </c>
      <c r="B122" s="2">
        <f t="shared" si="9"/>
        <v>115</v>
      </c>
      <c r="C122" s="3">
        <f>+VLOOKUP(A122,Precios!$B:$H,1+$C$3,0)</f>
        <v>35.71</v>
      </c>
      <c r="D122" s="10">
        <f t="shared" si="5"/>
        <v>-1.8686452322066449E-2</v>
      </c>
      <c r="E122" s="31">
        <f t="shared" si="6"/>
        <v>3.1509184906478092E-4</v>
      </c>
      <c r="F122" s="9"/>
      <c r="H122" s="10">
        <f t="shared" si="7"/>
        <v>-3.7970940396181083E-2</v>
      </c>
      <c r="I122" s="10">
        <f t="shared" si="8"/>
        <v>3.7970940396181083E-2</v>
      </c>
    </row>
    <row r="123" spans="1:9" x14ac:dyDescent="0.25">
      <c r="A123" s="1">
        <v>45489</v>
      </c>
      <c r="B123" s="2">
        <f t="shared" si="9"/>
        <v>116</v>
      </c>
      <c r="C123" s="3">
        <f>+VLOOKUP(A123,Precios!$B:$H,1+$C$3,0)</f>
        <v>36.39</v>
      </c>
      <c r="D123" s="10">
        <f t="shared" si="5"/>
        <v>1.1004126547455861E-3</v>
      </c>
      <c r="E123" s="31">
        <f t="shared" si="6"/>
        <v>4.145451803697547E-6</v>
      </c>
      <c r="F123" s="9"/>
      <c r="H123" s="10">
        <f t="shared" si="7"/>
        <v>-3.7970940396181083E-2</v>
      </c>
      <c r="I123" s="10">
        <f t="shared" si="8"/>
        <v>3.7970940396181083E-2</v>
      </c>
    </row>
    <row r="124" spans="1:9" x14ac:dyDescent="0.25">
      <c r="A124" s="1">
        <v>45488</v>
      </c>
      <c r="B124" s="2">
        <f t="shared" si="9"/>
        <v>117</v>
      </c>
      <c r="C124" s="3">
        <f>+VLOOKUP(A124,Precios!$B:$H,1+$C$3,0)</f>
        <v>36.35</v>
      </c>
      <c r="D124" s="10">
        <f t="shared" si="5"/>
        <v>-1.2764801738185727E-2</v>
      </c>
      <c r="E124" s="31">
        <f t="shared" si="6"/>
        <v>1.3992940794025786E-4</v>
      </c>
      <c r="F124" s="9"/>
      <c r="H124" s="10">
        <f t="shared" si="7"/>
        <v>-3.7970940396181083E-2</v>
      </c>
      <c r="I124" s="10">
        <f t="shared" si="8"/>
        <v>3.7970940396181083E-2</v>
      </c>
    </row>
    <row r="125" spans="1:9" x14ac:dyDescent="0.25">
      <c r="A125" s="1">
        <v>45485</v>
      </c>
      <c r="B125" s="2">
        <f t="shared" si="9"/>
        <v>118</v>
      </c>
      <c r="C125" s="3">
        <f>+VLOOKUP(A125,Precios!$B:$H,1+$C$3,0)</f>
        <v>36.82</v>
      </c>
      <c r="D125" s="10">
        <f t="shared" si="5"/>
        <v>1.6322089227420733E-3</v>
      </c>
      <c r="E125" s="31">
        <f t="shared" si="6"/>
        <v>6.5937741726471833E-6</v>
      </c>
      <c r="F125" s="9"/>
      <c r="H125" s="10">
        <f t="shared" si="7"/>
        <v>-3.7970940396181083E-2</v>
      </c>
      <c r="I125" s="10">
        <f t="shared" si="8"/>
        <v>3.7970940396181083E-2</v>
      </c>
    </row>
    <row r="126" spans="1:9" x14ac:dyDescent="0.25">
      <c r="A126" s="1">
        <v>45484</v>
      </c>
      <c r="B126" s="2">
        <f t="shared" si="9"/>
        <v>119</v>
      </c>
      <c r="C126" s="3">
        <f>+VLOOKUP(A126,Precios!$B:$H,1+$C$3,0)</f>
        <v>36.76</v>
      </c>
      <c r="D126" s="10">
        <f t="shared" si="5"/>
        <v>3.5490035490033378E-3</v>
      </c>
      <c r="E126" s="31">
        <f t="shared" si="6"/>
        <v>2.0111898667768505E-5</v>
      </c>
      <c r="F126" s="9"/>
      <c r="H126" s="10">
        <f t="shared" si="7"/>
        <v>-3.7970940396181083E-2</v>
      </c>
      <c r="I126" s="10">
        <f t="shared" si="8"/>
        <v>3.7970940396181083E-2</v>
      </c>
    </row>
    <row r="127" spans="1:9" x14ac:dyDescent="0.25">
      <c r="A127" s="1">
        <v>45483</v>
      </c>
      <c r="B127" s="2">
        <f t="shared" si="9"/>
        <v>120</v>
      </c>
      <c r="C127" s="3">
        <f>+VLOOKUP(A127,Precios!$B:$H,1+$C$3,0)</f>
        <v>36.630000000000003</v>
      </c>
      <c r="D127" s="10">
        <f t="shared" si="5"/>
        <v>-9.1966459291316083E-3</v>
      </c>
      <c r="E127" s="31">
        <f t="shared" si="6"/>
        <v>6.8244456761025899E-5</v>
      </c>
      <c r="F127" s="9"/>
      <c r="H127" s="10">
        <f t="shared" si="7"/>
        <v>-3.7970940396181083E-2</v>
      </c>
      <c r="I127" s="10">
        <f t="shared" si="8"/>
        <v>3.7970940396181083E-2</v>
      </c>
    </row>
    <row r="128" spans="1:9" x14ac:dyDescent="0.25">
      <c r="A128" s="1">
        <v>45482</v>
      </c>
      <c r="B128" s="2">
        <f t="shared" si="9"/>
        <v>121</v>
      </c>
      <c r="C128" s="3">
        <f>+VLOOKUP(A128,Precios!$B:$H,1+$C$3,0)</f>
        <v>36.97</v>
      </c>
      <c r="D128" s="10">
        <f t="shared" si="5"/>
        <v>-6.4498790647675719E-3</v>
      </c>
      <c r="E128" s="31">
        <f t="shared" si="6"/>
        <v>3.0406991195403234E-5</v>
      </c>
      <c r="F128" s="9"/>
      <c r="H128" s="10">
        <f t="shared" si="7"/>
        <v>-3.7970940396181083E-2</v>
      </c>
      <c r="I128" s="10">
        <f t="shared" si="8"/>
        <v>3.7970940396181083E-2</v>
      </c>
    </row>
    <row r="129" spans="1:9" x14ac:dyDescent="0.25">
      <c r="A129" s="1">
        <v>45481</v>
      </c>
      <c r="B129" s="2">
        <f t="shared" si="9"/>
        <v>122</v>
      </c>
      <c r="C129" s="3">
        <f>+VLOOKUP(A129,Precios!$B:$H,1+$C$3,0)</f>
        <v>37.21</v>
      </c>
      <c r="D129" s="10">
        <f t="shared" si="5"/>
        <v>3.0462475768485264E-2</v>
      </c>
      <c r="E129" s="31">
        <f t="shared" si="6"/>
        <v>9.8584076999150391E-4</v>
      </c>
      <c r="F129" s="9"/>
      <c r="H129" s="10">
        <f t="shared" si="7"/>
        <v>-3.7970940396181083E-2</v>
      </c>
      <c r="I129" s="10">
        <f t="shared" si="8"/>
        <v>3.7970940396181083E-2</v>
      </c>
    </row>
    <row r="130" spans="1:9" x14ac:dyDescent="0.25">
      <c r="A130" s="1">
        <v>45478</v>
      </c>
      <c r="B130" s="2">
        <f t="shared" si="9"/>
        <v>123</v>
      </c>
      <c r="C130" s="3">
        <f>+VLOOKUP(A130,Precios!$B:$H,1+$C$3,0)</f>
        <v>36.11</v>
      </c>
      <c r="D130" s="10">
        <f t="shared" si="5"/>
        <v>-1.2848551120831053E-2</v>
      </c>
      <c r="E130" s="31">
        <f t="shared" si="6"/>
        <v>1.4191779429571392E-4</v>
      </c>
      <c r="F130" s="9"/>
      <c r="H130" s="10">
        <f t="shared" si="7"/>
        <v>-3.7970940396181083E-2</v>
      </c>
      <c r="I130" s="10">
        <f t="shared" si="8"/>
        <v>3.7970940396181083E-2</v>
      </c>
    </row>
    <row r="131" spans="1:9" x14ac:dyDescent="0.25">
      <c r="A131" s="1">
        <v>45477</v>
      </c>
      <c r="B131" s="2">
        <f t="shared" si="9"/>
        <v>124</v>
      </c>
      <c r="C131" s="3">
        <f>+VLOOKUP(A131,Precios!$B:$H,1+$C$3,0)</f>
        <v>36.58</v>
      </c>
      <c r="D131" s="10">
        <f t="shared" si="5"/>
        <v>-2.7262813522356266E-3</v>
      </c>
      <c r="E131" s="31">
        <f t="shared" si="6"/>
        <v>3.2064479975886759E-6</v>
      </c>
      <c r="F131" s="9"/>
      <c r="H131" s="10">
        <f t="shared" si="7"/>
        <v>-3.7970940396181083E-2</v>
      </c>
      <c r="I131" s="10">
        <f t="shared" si="8"/>
        <v>3.7970940396181083E-2</v>
      </c>
    </row>
    <row r="132" spans="1:9" x14ac:dyDescent="0.25">
      <c r="A132" s="1">
        <v>45476</v>
      </c>
      <c r="B132" s="2">
        <f t="shared" si="9"/>
        <v>125</v>
      </c>
      <c r="C132" s="3">
        <f>+VLOOKUP(A132,Precios!$B:$H,1+$C$3,0)</f>
        <v>36.68</v>
      </c>
      <c r="D132" s="10">
        <f t="shared" si="5"/>
        <v>2.3152022315202192E-2</v>
      </c>
      <c r="E132" s="31">
        <f t="shared" si="6"/>
        <v>5.8021478242876957E-4</v>
      </c>
      <c r="F132" s="9"/>
      <c r="H132" s="10">
        <f t="shared" si="7"/>
        <v>-3.7970940396181083E-2</v>
      </c>
      <c r="I132" s="10">
        <f t="shared" si="8"/>
        <v>3.7970940396181083E-2</v>
      </c>
    </row>
    <row r="133" spans="1:9" x14ac:dyDescent="0.25">
      <c r="A133" s="1">
        <v>45475</v>
      </c>
      <c r="B133" s="2">
        <f t="shared" si="9"/>
        <v>126</v>
      </c>
      <c r="C133" s="3">
        <f>+VLOOKUP(A133,Precios!$B:$H,1+$C$3,0)</f>
        <v>35.85</v>
      </c>
      <c r="D133" s="10">
        <f t="shared" si="5"/>
        <v>-1.2396694214875881E-2</v>
      </c>
      <c r="E133" s="31">
        <f t="shared" si="6"/>
        <v>1.3135609363215504E-4</v>
      </c>
      <c r="F133" s="9"/>
      <c r="H133" s="10">
        <f t="shared" si="7"/>
        <v>-3.7970940396181083E-2</v>
      </c>
      <c r="I133" s="10">
        <f t="shared" si="8"/>
        <v>3.7970940396181083E-2</v>
      </c>
    </row>
    <row r="134" spans="1:9" x14ac:dyDescent="0.25">
      <c r="A134" s="1">
        <v>45474</v>
      </c>
      <c r="B134" s="2">
        <f t="shared" si="9"/>
        <v>127</v>
      </c>
      <c r="C134" s="3">
        <f>+VLOOKUP(A134,Precios!$B:$H,1+$C$3,0)</f>
        <v>36.299999999999997</v>
      </c>
      <c r="D134" s="10">
        <f t="shared" si="5"/>
        <v>1.794727986539546E-2</v>
      </c>
      <c r="E134" s="31">
        <f t="shared" si="6"/>
        <v>3.5656411908318371E-4</v>
      </c>
      <c r="F134" s="9"/>
      <c r="H134" s="10">
        <f t="shared" si="7"/>
        <v>-3.7970940396181083E-2</v>
      </c>
      <c r="I134" s="10">
        <f t="shared" si="8"/>
        <v>3.7970940396181083E-2</v>
      </c>
    </row>
    <row r="135" spans="1:9" x14ac:dyDescent="0.25">
      <c r="A135" s="1">
        <v>45471</v>
      </c>
      <c r="B135" s="2">
        <f t="shared" si="9"/>
        <v>128</v>
      </c>
      <c r="C135" s="3">
        <f>+VLOOKUP(A135,Precios!$B:$H,1+$C$3,0)</f>
        <v>35.659999999999997</v>
      </c>
      <c r="D135" s="10">
        <f t="shared" si="5"/>
        <v>-3.2030401737242364E-2</v>
      </c>
      <c r="E135" s="31">
        <f t="shared" si="6"/>
        <v>9.6688510258369654E-4</v>
      </c>
      <c r="F135" s="9"/>
      <c r="H135" s="10">
        <f t="shared" si="7"/>
        <v>-3.7970940396181083E-2</v>
      </c>
      <c r="I135" s="10">
        <f t="shared" si="8"/>
        <v>3.7970940396181083E-2</v>
      </c>
    </row>
    <row r="136" spans="1:9" x14ac:dyDescent="0.25">
      <c r="A136" s="1">
        <v>45470</v>
      </c>
      <c r="B136" s="2">
        <f t="shared" si="9"/>
        <v>129</v>
      </c>
      <c r="C136" s="3">
        <f>+VLOOKUP(A136,Precios!$B:$H,1+$C$3,0)</f>
        <v>36.840000000000003</v>
      </c>
      <c r="D136" s="10">
        <f t="shared" si="5"/>
        <v>-1.8385291766586653E-2</v>
      </c>
      <c r="E136" s="31">
        <f t="shared" si="6"/>
        <v>3.0449084907754783E-4</v>
      </c>
      <c r="F136" s="9"/>
      <c r="H136" s="10">
        <f t="shared" si="7"/>
        <v>-3.7970940396181083E-2</v>
      </c>
      <c r="I136" s="10">
        <f t="shared" si="8"/>
        <v>3.7970940396181083E-2</v>
      </c>
    </row>
    <row r="137" spans="1:9" x14ac:dyDescent="0.25">
      <c r="A137" s="1">
        <v>45469</v>
      </c>
      <c r="B137" s="2">
        <f t="shared" si="9"/>
        <v>130</v>
      </c>
      <c r="C137" s="3">
        <f>+VLOOKUP(A137,Precios!$B:$H,1+$C$3,0)</f>
        <v>37.53</v>
      </c>
      <c r="D137" s="10">
        <f t="shared" ref="D137:D200" si="10">C137/C138-1</f>
        <v>-2.8978007761966351E-2</v>
      </c>
      <c r="E137" s="31">
        <f t="shared" ref="E137:E200" si="11">(D137-$E$264)^2</f>
        <v>7.8637519691958943E-4</v>
      </c>
      <c r="F137" s="9"/>
      <c r="H137" s="10">
        <f t="shared" ref="H137:H200" si="12">-$I$5*$E$266</f>
        <v>-3.7970940396181083E-2</v>
      </c>
      <c r="I137" s="10">
        <f t="shared" ref="I137:I200" si="13">+$I$5*$E$266</f>
        <v>3.7970940396181083E-2</v>
      </c>
    </row>
    <row r="138" spans="1:9" x14ac:dyDescent="0.25">
      <c r="A138" s="1">
        <v>45468</v>
      </c>
      <c r="B138" s="2">
        <f t="shared" ref="B138:B201" si="14">+B137+1</f>
        <v>131</v>
      </c>
      <c r="C138" s="3">
        <f>+VLOOKUP(A138,Precios!$B:$H,1+$C$3,0)</f>
        <v>38.65</v>
      </c>
      <c r="D138" s="10">
        <f t="shared" si="10"/>
        <v>2.7379053694843281E-2</v>
      </c>
      <c r="E138" s="31">
        <f t="shared" si="11"/>
        <v>8.0172106397187232E-4</v>
      </c>
      <c r="F138" s="9"/>
      <c r="H138" s="10">
        <f t="shared" si="12"/>
        <v>-3.7970940396181083E-2</v>
      </c>
      <c r="I138" s="10">
        <f t="shared" si="13"/>
        <v>3.7970940396181083E-2</v>
      </c>
    </row>
    <row r="139" spans="1:9" x14ac:dyDescent="0.25">
      <c r="A139" s="1">
        <v>45467</v>
      </c>
      <c r="B139" s="2">
        <f t="shared" si="14"/>
        <v>132</v>
      </c>
      <c r="C139" s="3">
        <f>+VLOOKUP(A139,Precios!$B:$H,1+$C$3,0)</f>
        <v>37.619999999999997</v>
      </c>
      <c r="D139" s="10">
        <f t="shared" si="10"/>
        <v>-3.0412371134020622E-2</v>
      </c>
      <c r="E139" s="31">
        <f t="shared" si="11"/>
        <v>8.6887852685885874E-4</v>
      </c>
      <c r="F139" s="9"/>
      <c r="H139" s="10">
        <f t="shared" si="12"/>
        <v>-3.7970940396181083E-2</v>
      </c>
      <c r="I139" s="10">
        <f t="shared" si="13"/>
        <v>3.7970940396181083E-2</v>
      </c>
    </row>
    <row r="140" spans="1:9" x14ac:dyDescent="0.25">
      <c r="A140" s="1">
        <v>45464</v>
      </c>
      <c r="B140" s="2">
        <f t="shared" si="14"/>
        <v>133</v>
      </c>
      <c r="C140" s="3">
        <f>+VLOOKUP(A140,Precios!$B:$H,1+$C$3,0)</f>
        <v>38.799999999999997</v>
      </c>
      <c r="D140" s="10">
        <f t="shared" si="10"/>
        <v>5.6932715881231166E-2</v>
      </c>
      <c r="E140" s="31">
        <f t="shared" si="11"/>
        <v>3.3487449466100632E-3</v>
      </c>
      <c r="F140" s="9"/>
      <c r="H140" s="10">
        <f t="shared" si="12"/>
        <v>-3.7970940396181083E-2</v>
      </c>
      <c r="I140" s="10">
        <f t="shared" si="13"/>
        <v>3.7970940396181083E-2</v>
      </c>
    </row>
    <row r="141" spans="1:9" x14ac:dyDescent="0.25">
      <c r="A141" s="1">
        <v>45463</v>
      </c>
      <c r="B141" s="2">
        <f t="shared" si="14"/>
        <v>134</v>
      </c>
      <c r="C141" s="3">
        <f>+VLOOKUP(A141,Precios!$B:$H,1+$C$3,0)</f>
        <v>36.71</v>
      </c>
      <c r="D141" s="10">
        <f t="shared" si="10"/>
        <v>3.2795845859523443E-3</v>
      </c>
      <c r="E141" s="31">
        <f t="shared" si="11"/>
        <v>1.7767996971608969E-5</v>
      </c>
      <c r="F141" s="9"/>
      <c r="H141" s="10">
        <f t="shared" si="12"/>
        <v>-3.7970940396181083E-2</v>
      </c>
      <c r="I141" s="10">
        <f t="shared" si="13"/>
        <v>3.7970940396181083E-2</v>
      </c>
    </row>
    <row r="142" spans="1:9" x14ac:dyDescent="0.25">
      <c r="A142" s="1">
        <v>45462</v>
      </c>
      <c r="B142" s="2">
        <f t="shared" si="14"/>
        <v>135</v>
      </c>
      <c r="C142" s="3">
        <f>+VLOOKUP(A142,Precios!$B:$H,1+$C$3,0)</f>
        <v>36.590000000000003</v>
      </c>
      <c r="D142" s="10">
        <f t="shared" si="10"/>
        <v>1.6953863257365365E-2</v>
      </c>
      <c r="E142" s="31">
        <f t="shared" si="11"/>
        <v>3.2003381183181581E-4</v>
      </c>
      <c r="F142" s="9"/>
      <c r="H142" s="10">
        <f t="shared" si="12"/>
        <v>-3.7970940396181083E-2</v>
      </c>
      <c r="I142" s="10">
        <f t="shared" si="13"/>
        <v>3.7970940396181083E-2</v>
      </c>
    </row>
    <row r="143" spans="1:9" x14ac:dyDescent="0.25">
      <c r="A143" s="1">
        <v>45461</v>
      </c>
      <c r="B143" s="2">
        <f t="shared" si="14"/>
        <v>136</v>
      </c>
      <c r="C143" s="3">
        <f>+VLOOKUP(A143,Precios!$B:$H,1+$C$3,0)</f>
        <v>35.979999999999997</v>
      </c>
      <c r="D143" s="10">
        <f t="shared" si="10"/>
        <v>2.5655644241733055E-2</v>
      </c>
      <c r="E143" s="31">
        <f t="shared" si="11"/>
        <v>7.0709563217343646E-4</v>
      </c>
      <c r="F143" s="9"/>
      <c r="H143" s="10">
        <f t="shared" si="12"/>
        <v>-3.7970940396181083E-2</v>
      </c>
      <c r="I143" s="10">
        <f t="shared" si="13"/>
        <v>3.7970940396181083E-2</v>
      </c>
    </row>
    <row r="144" spans="1:9" x14ac:dyDescent="0.25">
      <c r="A144" s="1">
        <v>45460</v>
      </c>
      <c r="B144" s="2">
        <f t="shared" si="14"/>
        <v>137</v>
      </c>
      <c r="C144" s="3">
        <f>+VLOOKUP(A144,Precios!$B:$H,1+$C$3,0)</f>
        <v>35.08</v>
      </c>
      <c r="D144" s="10">
        <f t="shared" si="10"/>
        <v>-1.7091622303166187E-2</v>
      </c>
      <c r="E144" s="31">
        <f t="shared" si="11"/>
        <v>2.6101622924331463E-4</v>
      </c>
      <c r="F144" s="9"/>
      <c r="H144" s="10">
        <f t="shared" si="12"/>
        <v>-3.7970940396181083E-2</v>
      </c>
      <c r="I144" s="10">
        <f t="shared" si="13"/>
        <v>3.7970940396181083E-2</v>
      </c>
    </row>
    <row r="145" spans="1:9" x14ac:dyDescent="0.25">
      <c r="A145" s="1">
        <v>45457</v>
      </c>
      <c r="B145" s="2">
        <f t="shared" si="14"/>
        <v>138</v>
      </c>
      <c r="C145" s="3">
        <f>+VLOOKUP(A145,Precios!$B:$H,1+$C$3,0)</f>
        <v>35.69</v>
      </c>
      <c r="D145" s="10">
        <f t="shared" si="10"/>
        <v>-7.5083426028922373E-3</v>
      </c>
      <c r="E145" s="31">
        <f t="shared" si="11"/>
        <v>4.3200608706781452E-5</v>
      </c>
      <c r="F145" s="9"/>
      <c r="H145" s="10">
        <f t="shared" si="12"/>
        <v>-3.7970940396181083E-2</v>
      </c>
      <c r="I145" s="10">
        <f t="shared" si="13"/>
        <v>3.7970940396181083E-2</v>
      </c>
    </row>
    <row r="146" spans="1:9" x14ac:dyDescent="0.25">
      <c r="A146" s="1">
        <v>45456</v>
      </c>
      <c r="B146" s="2">
        <f t="shared" si="14"/>
        <v>139</v>
      </c>
      <c r="C146" s="3">
        <f>+VLOOKUP(A146,Precios!$B:$H,1+$C$3,0)</f>
        <v>35.96</v>
      </c>
      <c r="D146" s="10">
        <f t="shared" si="10"/>
        <v>4.1887740854509303E-3</v>
      </c>
      <c r="E146" s="31">
        <f t="shared" si="11"/>
        <v>2.625947220901192E-5</v>
      </c>
      <c r="F146" s="9"/>
      <c r="H146" s="10">
        <f t="shared" si="12"/>
        <v>-3.7970940396181083E-2</v>
      </c>
      <c r="I146" s="10">
        <f t="shared" si="13"/>
        <v>3.7970940396181083E-2</v>
      </c>
    </row>
    <row r="147" spans="1:9" x14ac:dyDescent="0.25">
      <c r="A147" s="1">
        <v>45455</v>
      </c>
      <c r="B147" s="2">
        <f t="shared" si="14"/>
        <v>140</v>
      </c>
      <c r="C147" s="3">
        <f>+VLOOKUP(A147,Precios!$B:$H,1+$C$3,0)</f>
        <v>35.81</v>
      </c>
      <c r="D147" s="10">
        <f t="shared" si="10"/>
        <v>2.793296089387276E-4</v>
      </c>
      <c r="E147" s="31">
        <f t="shared" si="11"/>
        <v>1.4761161769787277E-6</v>
      </c>
      <c r="F147" s="9"/>
      <c r="H147" s="10">
        <f t="shared" si="12"/>
        <v>-3.7970940396181083E-2</v>
      </c>
      <c r="I147" s="10">
        <f t="shared" si="13"/>
        <v>3.7970940396181083E-2</v>
      </c>
    </row>
    <row r="148" spans="1:9" x14ac:dyDescent="0.25">
      <c r="A148" s="1">
        <v>45454</v>
      </c>
      <c r="B148" s="2">
        <f t="shared" si="14"/>
        <v>141</v>
      </c>
      <c r="C148" s="3">
        <f>+VLOOKUP(A148,Precios!$B:$H,1+$C$3,0)</f>
        <v>35.799999999999997</v>
      </c>
      <c r="D148" s="10">
        <f t="shared" si="10"/>
        <v>-5.0027793218454519E-3</v>
      </c>
      <c r="E148" s="31">
        <f t="shared" si="11"/>
        <v>1.6541739339371022E-5</v>
      </c>
      <c r="F148" s="9"/>
      <c r="H148" s="10">
        <f t="shared" si="12"/>
        <v>-3.7970940396181083E-2</v>
      </c>
      <c r="I148" s="10">
        <f t="shared" si="13"/>
        <v>3.7970940396181083E-2</v>
      </c>
    </row>
    <row r="149" spans="1:9" x14ac:dyDescent="0.25">
      <c r="A149" s="1">
        <v>45453</v>
      </c>
      <c r="B149" s="2">
        <f t="shared" si="14"/>
        <v>142</v>
      </c>
      <c r="C149" s="3">
        <f>+VLOOKUP(A149,Precios!$B:$H,1+$C$3,0)</f>
        <v>35.979999999999997</v>
      </c>
      <c r="D149" s="10">
        <f t="shared" si="10"/>
        <v>2.4487471526195792E-2</v>
      </c>
      <c r="E149" s="31">
        <f t="shared" si="11"/>
        <v>6.4633386784897218E-4</v>
      </c>
      <c r="F149" s="9"/>
      <c r="H149" s="10">
        <f t="shared" si="12"/>
        <v>-3.7970940396181083E-2</v>
      </c>
      <c r="I149" s="10">
        <f t="shared" si="13"/>
        <v>3.7970940396181083E-2</v>
      </c>
    </row>
    <row r="150" spans="1:9" x14ac:dyDescent="0.25">
      <c r="A150" s="1">
        <v>45450</v>
      </c>
      <c r="B150" s="2">
        <f t="shared" si="14"/>
        <v>143</v>
      </c>
      <c r="C150" s="3">
        <f>+VLOOKUP(A150,Precios!$B:$H,1+$C$3,0)</f>
        <v>35.119999999999997</v>
      </c>
      <c r="D150" s="10">
        <f t="shared" si="10"/>
        <v>-1.2928611579539062E-2</v>
      </c>
      <c r="E150" s="31">
        <f t="shared" si="11"/>
        <v>1.4383171253512983E-4</v>
      </c>
      <c r="F150" s="9"/>
      <c r="H150" s="10">
        <f t="shared" si="12"/>
        <v>-3.7970940396181083E-2</v>
      </c>
      <c r="I150" s="10">
        <f t="shared" si="13"/>
        <v>3.7970940396181083E-2</v>
      </c>
    </row>
    <row r="151" spans="1:9" x14ac:dyDescent="0.25">
      <c r="A151" s="1">
        <v>45449</v>
      </c>
      <c r="B151" s="2">
        <f t="shared" si="14"/>
        <v>144</v>
      </c>
      <c r="C151" s="3">
        <f>+VLOOKUP(A151,Precios!$B:$H,1+$C$3,0)</f>
        <v>35.58</v>
      </c>
      <c r="D151" s="10">
        <f t="shared" si="10"/>
        <v>-1.6835016835017313E-3</v>
      </c>
      <c r="E151" s="31">
        <f t="shared" si="11"/>
        <v>5.5931862565465355E-7</v>
      </c>
      <c r="F151" s="9"/>
      <c r="H151" s="10">
        <f t="shared" si="12"/>
        <v>-3.7970940396181083E-2</v>
      </c>
      <c r="I151" s="10">
        <f t="shared" si="13"/>
        <v>3.7970940396181083E-2</v>
      </c>
    </row>
    <row r="152" spans="1:9" x14ac:dyDescent="0.25">
      <c r="A152" s="1">
        <v>45448</v>
      </c>
      <c r="B152" s="2">
        <f t="shared" si="14"/>
        <v>145</v>
      </c>
      <c r="C152" s="3">
        <f>+VLOOKUP(A152,Precios!$B:$H,1+$C$3,0)</f>
        <v>35.64</v>
      </c>
      <c r="D152" s="10">
        <f t="shared" si="10"/>
        <v>2.2497187851517886E-3</v>
      </c>
      <c r="E152" s="31">
        <f t="shared" si="11"/>
        <v>1.0146418897247338E-5</v>
      </c>
      <c r="F152" s="9"/>
      <c r="H152" s="10">
        <f t="shared" si="12"/>
        <v>-3.7970940396181083E-2</v>
      </c>
      <c r="I152" s="10">
        <f t="shared" si="13"/>
        <v>3.7970940396181083E-2</v>
      </c>
    </row>
    <row r="153" spans="1:9" x14ac:dyDescent="0.25">
      <c r="A153" s="1">
        <v>45447</v>
      </c>
      <c r="B153" s="2">
        <f t="shared" si="14"/>
        <v>146</v>
      </c>
      <c r="C153" s="3">
        <f>+VLOOKUP(A153,Precios!$B:$H,1+$C$3,0)</f>
        <v>35.56</v>
      </c>
      <c r="D153" s="10">
        <f t="shared" si="10"/>
        <v>1.3683010262257822E-2</v>
      </c>
      <c r="E153" s="31">
        <f t="shared" si="11"/>
        <v>2.137045146808633E-4</v>
      </c>
      <c r="F153" s="9"/>
      <c r="H153" s="10">
        <f t="shared" si="12"/>
        <v>-3.7970940396181083E-2</v>
      </c>
      <c r="I153" s="10">
        <f t="shared" si="13"/>
        <v>3.7970940396181083E-2</v>
      </c>
    </row>
    <row r="154" spans="1:9" x14ac:dyDescent="0.25">
      <c r="A154" s="1">
        <v>45446</v>
      </c>
      <c r="B154" s="2">
        <f t="shared" si="14"/>
        <v>147</v>
      </c>
      <c r="C154" s="3">
        <f>+VLOOKUP(A154,Precios!$B:$H,1+$C$3,0)</f>
        <v>35.08</v>
      </c>
      <c r="D154" s="10">
        <f t="shared" si="10"/>
        <v>-7.5869336143308819E-2</v>
      </c>
      <c r="E154" s="31">
        <f t="shared" si="11"/>
        <v>5.6150609747243922E-3</v>
      </c>
      <c r="F154" s="9"/>
      <c r="H154" s="10">
        <f t="shared" si="12"/>
        <v>-3.7970940396181083E-2</v>
      </c>
      <c r="I154" s="10">
        <f t="shared" si="13"/>
        <v>3.7970940396181083E-2</v>
      </c>
    </row>
    <row r="155" spans="1:9" x14ac:dyDescent="0.25">
      <c r="A155" s="1">
        <v>45443</v>
      </c>
      <c r="B155" s="2">
        <f t="shared" si="14"/>
        <v>148</v>
      </c>
      <c r="C155" s="3">
        <f>+VLOOKUP(A155,Precios!$B:$H,1+$C$3,0)</f>
        <v>37.96</v>
      </c>
      <c r="D155" s="10">
        <f t="shared" si="10"/>
        <v>3.8009297238173367E-2</v>
      </c>
      <c r="E155" s="31">
        <f t="shared" si="11"/>
        <v>1.5167070154242638E-3</v>
      </c>
      <c r="F155" s="9"/>
      <c r="H155" s="10">
        <f t="shared" si="12"/>
        <v>-3.7970940396181083E-2</v>
      </c>
      <c r="I155" s="10">
        <f t="shared" si="13"/>
        <v>3.7970940396181083E-2</v>
      </c>
    </row>
    <row r="156" spans="1:9" x14ac:dyDescent="0.25">
      <c r="A156" s="1">
        <v>45442</v>
      </c>
      <c r="B156" s="2">
        <f t="shared" si="14"/>
        <v>149</v>
      </c>
      <c r="C156" s="3">
        <f>+VLOOKUP(A156,Precios!$B:$H,1+$C$3,0)</f>
        <v>36.57</v>
      </c>
      <c r="D156" s="10">
        <f t="shared" si="10"/>
        <v>4.0990606319385003E-2</v>
      </c>
      <c r="E156" s="31">
        <f t="shared" si="11"/>
        <v>1.7578089235533764E-3</v>
      </c>
      <c r="F156" s="9"/>
      <c r="H156" s="10">
        <f t="shared" si="12"/>
        <v>-3.7970940396181083E-2</v>
      </c>
      <c r="I156" s="10">
        <f t="shared" si="13"/>
        <v>3.7970940396181083E-2</v>
      </c>
    </row>
    <row r="157" spans="1:9" x14ac:dyDescent="0.25">
      <c r="A157" s="1">
        <v>45441</v>
      </c>
      <c r="B157" s="2">
        <f t="shared" si="14"/>
        <v>150</v>
      </c>
      <c r="C157" s="3">
        <f>+VLOOKUP(A157,Precios!$B:$H,1+$C$3,0)</f>
        <v>35.130000000000003</v>
      </c>
      <c r="D157" s="10">
        <f t="shared" si="10"/>
        <v>1.9147084421236027E-2</v>
      </c>
      <c r="E157" s="31">
        <f t="shared" si="11"/>
        <v>4.0331524208221214E-4</v>
      </c>
      <c r="F157" s="9"/>
      <c r="H157" s="10">
        <f t="shared" si="12"/>
        <v>-3.7970940396181083E-2</v>
      </c>
      <c r="I157" s="10">
        <f t="shared" si="13"/>
        <v>3.7970940396181083E-2</v>
      </c>
    </row>
    <row r="158" spans="1:9" x14ac:dyDescent="0.25">
      <c r="A158" s="1">
        <v>45440</v>
      </c>
      <c r="B158" s="2">
        <f t="shared" si="14"/>
        <v>151</v>
      </c>
      <c r="C158" s="3">
        <f>+VLOOKUP(A158,Precios!$B:$H,1+$C$3,0)</f>
        <v>34.47</v>
      </c>
      <c r="D158" s="10">
        <f t="shared" si="10"/>
        <v>1.0850439882697849E-2</v>
      </c>
      <c r="E158" s="31">
        <f t="shared" si="11"/>
        <v>1.3891133972979426E-4</v>
      </c>
      <c r="F158" s="9"/>
      <c r="H158" s="10">
        <f t="shared" si="12"/>
        <v>-3.7970940396181083E-2</v>
      </c>
      <c r="I158" s="10">
        <f t="shared" si="13"/>
        <v>3.7970940396181083E-2</v>
      </c>
    </row>
    <row r="159" spans="1:9" x14ac:dyDescent="0.25">
      <c r="A159" s="1">
        <v>45439</v>
      </c>
      <c r="B159" s="2">
        <f t="shared" si="14"/>
        <v>152</v>
      </c>
      <c r="C159" s="3">
        <f>+VLOOKUP(A159,Precios!$B:$H,1+$C$3,0)</f>
        <v>34.1</v>
      </c>
      <c r="D159" s="10">
        <f t="shared" si="10"/>
        <v>-9.2969203951190904E-3</v>
      </c>
      <c r="E159" s="31">
        <f t="shared" si="11"/>
        <v>6.991125053216198E-5</v>
      </c>
      <c r="F159" s="9"/>
      <c r="H159" s="10">
        <f t="shared" si="12"/>
        <v>-3.7970940396181083E-2</v>
      </c>
      <c r="I159" s="10">
        <f t="shared" si="13"/>
        <v>3.7970940396181083E-2</v>
      </c>
    </row>
    <row r="160" spans="1:9" x14ac:dyDescent="0.25">
      <c r="A160" s="1">
        <v>45436</v>
      </c>
      <c r="B160" s="2">
        <f t="shared" si="14"/>
        <v>153</v>
      </c>
      <c r="C160" s="3">
        <f>+VLOOKUP(A160,Precios!$B:$H,1+$C$3,0)</f>
        <v>34.42</v>
      </c>
      <c r="D160" s="10">
        <f t="shared" si="10"/>
        <v>-1.0635240011497515E-2</v>
      </c>
      <c r="E160" s="31">
        <f t="shared" si="11"/>
        <v>9.4082519594003617E-5</v>
      </c>
      <c r="F160" s="9"/>
      <c r="H160" s="10">
        <f t="shared" si="12"/>
        <v>-3.7970940396181083E-2</v>
      </c>
      <c r="I160" s="10">
        <f t="shared" si="13"/>
        <v>3.7970940396181083E-2</v>
      </c>
    </row>
    <row r="161" spans="1:9" x14ac:dyDescent="0.25">
      <c r="A161" s="1">
        <v>45435</v>
      </c>
      <c r="B161" s="2">
        <f t="shared" si="14"/>
        <v>154</v>
      </c>
      <c r="C161" s="3">
        <f>+VLOOKUP(A161,Precios!$B:$H,1+$C$3,0)</f>
        <v>34.79</v>
      </c>
      <c r="D161" s="10">
        <f t="shared" si="10"/>
        <v>-1.4168319637291038E-2</v>
      </c>
      <c r="E161" s="31">
        <f t="shared" si="11"/>
        <v>1.7510419129666426E-4</v>
      </c>
      <c r="F161" s="9"/>
      <c r="H161" s="10">
        <f t="shared" si="12"/>
        <v>-3.7970940396181083E-2</v>
      </c>
      <c r="I161" s="10">
        <f t="shared" si="13"/>
        <v>3.7970940396181083E-2</v>
      </c>
    </row>
    <row r="162" spans="1:9" x14ac:dyDescent="0.25">
      <c r="A162" s="1">
        <v>45434</v>
      </c>
      <c r="B162" s="2">
        <f t="shared" si="14"/>
        <v>155</v>
      </c>
      <c r="C162" s="3">
        <f>+VLOOKUP(A162,Precios!$B:$H,1+$C$3,0)</f>
        <v>35.29</v>
      </c>
      <c r="D162" s="10">
        <f t="shared" si="10"/>
        <v>-3.1073446327682941E-3</v>
      </c>
      <c r="E162" s="31">
        <f t="shared" si="11"/>
        <v>4.7163635264514028E-6</v>
      </c>
      <c r="F162" s="9"/>
      <c r="H162" s="10">
        <f t="shared" si="12"/>
        <v>-3.7970940396181083E-2</v>
      </c>
      <c r="I162" s="10">
        <f t="shared" si="13"/>
        <v>3.7970940396181083E-2</v>
      </c>
    </row>
    <row r="163" spans="1:9" x14ac:dyDescent="0.25">
      <c r="A163" s="1">
        <v>45433</v>
      </c>
      <c r="B163" s="2">
        <f t="shared" si="14"/>
        <v>156</v>
      </c>
      <c r="C163" s="3">
        <f>+VLOOKUP(A163,Precios!$B:$H,1+$C$3,0)</f>
        <v>35.4</v>
      </c>
      <c r="D163" s="10">
        <f t="shared" si="10"/>
        <v>-2.3178807947019986E-2</v>
      </c>
      <c r="E163" s="31">
        <f t="shared" si="11"/>
        <v>4.9475916060694636E-4</v>
      </c>
      <c r="F163" s="9"/>
      <c r="H163" s="10">
        <f t="shared" si="12"/>
        <v>-3.7970940396181083E-2</v>
      </c>
      <c r="I163" s="10">
        <f t="shared" si="13"/>
        <v>3.7970940396181083E-2</v>
      </c>
    </row>
    <row r="164" spans="1:9" x14ac:dyDescent="0.25">
      <c r="A164" s="1">
        <v>45432</v>
      </c>
      <c r="B164" s="2">
        <f t="shared" si="14"/>
        <v>157</v>
      </c>
      <c r="C164" s="3">
        <f>+VLOOKUP(A164,Precios!$B:$H,1+$C$3,0)</f>
        <v>36.24</v>
      </c>
      <c r="D164" s="10">
        <f t="shared" si="10"/>
        <v>-5.2154817458138769E-3</v>
      </c>
      <c r="E164" s="31">
        <f t="shared" si="11"/>
        <v>1.8317168568090321E-5</v>
      </c>
      <c r="F164" s="9"/>
      <c r="H164" s="10">
        <f t="shared" si="12"/>
        <v>-3.7970940396181083E-2</v>
      </c>
      <c r="I164" s="10">
        <f t="shared" si="13"/>
        <v>3.7970940396181083E-2</v>
      </c>
    </row>
    <row r="165" spans="1:9" x14ac:dyDescent="0.25">
      <c r="A165" s="1">
        <v>45429</v>
      </c>
      <c r="B165" s="2">
        <f t="shared" si="14"/>
        <v>158</v>
      </c>
      <c r="C165" s="3">
        <f>+VLOOKUP(A165,Precios!$B:$H,1+$C$3,0)</f>
        <v>36.43</v>
      </c>
      <c r="D165" s="10">
        <f t="shared" si="10"/>
        <v>-7.6273494960501509E-3</v>
      </c>
      <c r="E165" s="31">
        <f t="shared" si="11"/>
        <v>4.4779168605951547E-5</v>
      </c>
      <c r="F165" s="9"/>
      <c r="H165" s="10">
        <f t="shared" si="12"/>
        <v>-3.7970940396181083E-2</v>
      </c>
      <c r="I165" s="10">
        <f t="shared" si="13"/>
        <v>3.7970940396181083E-2</v>
      </c>
    </row>
    <row r="166" spans="1:9" x14ac:dyDescent="0.25">
      <c r="A166" s="1">
        <v>45428</v>
      </c>
      <c r="B166" s="2">
        <f t="shared" si="14"/>
        <v>159</v>
      </c>
      <c r="C166" s="3">
        <f>+VLOOKUP(A166,Precios!$B:$H,1+$C$3,0)</f>
        <v>36.71</v>
      </c>
      <c r="D166" s="10">
        <f t="shared" si="10"/>
        <v>-1.370231058570659E-2</v>
      </c>
      <c r="E166" s="31">
        <f t="shared" si="11"/>
        <v>1.6298824534298947E-4</v>
      </c>
      <c r="F166" s="9"/>
      <c r="H166" s="10">
        <f t="shared" si="12"/>
        <v>-3.7970940396181083E-2</v>
      </c>
      <c r="I166" s="10">
        <f t="shared" si="13"/>
        <v>3.7970940396181083E-2</v>
      </c>
    </row>
    <row r="167" spans="1:9" x14ac:dyDescent="0.25">
      <c r="A167" s="1">
        <v>45427</v>
      </c>
      <c r="B167" s="2">
        <f t="shared" si="14"/>
        <v>160</v>
      </c>
      <c r="C167" s="3">
        <f>+VLOOKUP(A167,Precios!$B:$H,1+$C$3,0)</f>
        <v>37.22</v>
      </c>
      <c r="D167" s="10">
        <f t="shared" si="10"/>
        <v>-2.6795284030011191E-3</v>
      </c>
      <c r="E167" s="31">
        <f t="shared" si="11"/>
        <v>3.041196961553152E-6</v>
      </c>
      <c r="F167" s="9"/>
      <c r="H167" s="10">
        <f t="shared" si="12"/>
        <v>-3.7970940396181083E-2</v>
      </c>
      <c r="I167" s="10">
        <f t="shared" si="13"/>
        <v>3.7970940396181083E-2</v>
      </c>
    </row>
    <row r="168" spans="1:9" x14ac:dyDescent="0.25">
      <c r="A168" s="1">
        <v>45426</v>
      </c>
      <c r="B168" s="2">
        <f t="shared" si="14"/>
        <v>161</v>
      </c>
      <c r="C168" s="3">
        <f>+VLOOKUP(A168,Precios!$B:$H,1+$C$3,0)</f>
        <v>37.32</v>
      </c>
      <c r="D168" s="10">
        <f t="shared" si="10"/>
        <v>-1.4783526927138357E-2</v>
      </c>
      <c r="E168" s="31">
        <f t="shared" si="11"/>
        <v>1.917643709695313E-4</v>
      </c>
      <c r="F168" s="9"/>
      <c r="H168" s="10">
        <f t="shared" si="12"/>
        <v>-3.7970940396181083E-2</v>
      </c>
      <c r="I168" s="10">
        <f t="shared" si="13"/>
        <v>3.7970940396181083E-2</v>
      </c>
    </row>
    <row r="169" spans="1:9" x14ac:dyDescent="0.25">
      <c r="A169" s="1">
        <v>45425</v>
      </c>
      <c r="B169" s="2">
        <f t="shared" si="14"/>
        <v>162</v>
      </c>
      <c r="C169" s="3">
        <f>+VLOOKUP(A169,Precios!$B:$H,1+$C$3,0)</f>
        <v>37.880000000000003</v>
      </c>
      <c r="D169" s="10">
        <f t="shared" si="10"/>
        <v>2.9123643102990648E-3</v>
      </c>
      <c r="E169" s="31">
        <f t="shared" si="11"/>
        <v>1.4807026404401747E-5</v>
      </c>
      <c r="F169" s="9"/>
      <c r="H169" s="10">
        <f t="shared" si="12"/>
        <v>-3.7970940396181083E-2</v>
      </c>
      <c r="I169" s="10">
        <f t="shared" si="13"/>
        <v>3.7970940396181083E-2</v>
      </c>
    </row>
    <row r="170" spans="1:9" x14ac:dyDescent="0.25">
      <c r="A170" s="1">
        <v>45422</v>
      </c>
      <c r="B170" s="2">
        <f t="shared" si="14"/>
        <v>163</v>
      </c>
      <c r="C170" s="3">
        <f>+VLOOKUP(A170,Precios!$B:$H,1+$C$3,0)</f>
        <v>37.770000000000003</v>
      </c>
      <c r="D170" s="10">
        <f t="shared" si="10"/>
        <v>-4.7430830039525418E-3</v>
      </c>
      <c r="E170" s="31">
        <f t="shared" si="11"/>
        <v>1.4496731828850216E-5</v>
      </c>
      <c r="F170" s="9"/>
      <c r="H170" s="10">
        <f t="shared" si="12"/>
        <v>-3.7970940396181083E-2</v>
      </c>
      <c r="I170" s="10">
        <f t="shared" si="13"/>
        <v>3.7970940396181083E-2</v>
      </c>
    </row>
    <row r="171" spans="1:9" x14ac:dyDescent="0.25">
      <c r="A171" s="1">
        <v>45421</v>
      </c>
      <c r="B171" s="2">
        <f t="shared" si="14"/>
        <v>164</v>
      </c>
      <c r="C171" s="3">
        <f>+VLOOKUP(A171,Precios!$B:$H,1+$C$3,0)</f>
        <v>37.950000000000003</v>
      </c>
      <c r="D171" s="10">
        <f t="shared" si="10"/>
        <v>1.0383386581469756E-2</v>
      </c>
      <c r="E171" s="31">
        <f t="shared" si="11"/>
        <v>1.2812003692498153E-4</v>
      </c>
      <c r="F171" s="9"/>
      <c r="H171" s="10">
        <f t="shared" si="12"/>
        <v>-3.7970940396181083E-2</v>
      </c>
      <c r="I171" s="10">
        <f t="shared" si="13"/>
        <v>3.7970940396181083E-2</v>
      </c>
    </row>
    <row r="172" spans="1:9" x14ac:dyDescent="0.25">
      <c r="A172" s="1">
        <v>45420</v>
      </c>
      <c r="B172" s="2">
        <f t="shared" si="14"/>
        <v>165</v>
      </c>
      <c r="C172" s="3">
        <f>+VLOOKUP(A172,Precios!$B:$H,1+$C$3,0)</f>
        <v>37.56</v>
      </c>
      <c r="D172" s="10">
        <f t="shared" si="10"/>
        <v>1.6508795669823995E-2</v>
      </c>
      <c r="E172" s="31">
        <f t="shared" si="11"/>
        <v>3.0430783368678446E-4</v>
      </c>
      <c r="F172" s="9"/>
      <c r="H172" s="10">
        <f t="shared" si="12"/>
        <v>-3.7970940396181083E-2</v>
      </c>
      <c r="I172" s="10">
        <f t="shared" si="13"/>
        <v>3.7970940396181083E-2</v>
      </c>
    </row>
    <row r="173" spans="1:9" x14ac:dyDescent="0.25">
      <c r="A173" s="1">
        <v>45419</v>
      </c>
      <c r="B173" s="2">
        <f t="shared" si="14"/>
        <v>166</v>
      </c>
      <c r="C173" s="3">
        <f>+VLOOKUP(A173,Precios!$B:$H,1+$C$3,0)</f>
        <v>36.950000000000003</v>
      </c>
      <c r="D173" s="10">
        <f t="shared" si="10"/>
        <v>3.2582134129786056E-3</v>
      </c>
      <c r="E173" s="31">
        <f t="shared" si="11"/>
        <v>1.7588285726330483E-5</v>
      </c>
      <c r="F173" s="9"/>
      <c r="H173" s="10">
        <f t="shared" si="12"/>
        <v>-3.7970940396181083E-2</v>
      </c>
      <c r="I173" s="10">
        <f t="shared" si="13"/>
        <v>3.7970940396181083E-2</v>
      </c>
    </row>
    <row r="174" spans="1:9" x14ac:dyDescent="0.25">
      <c r="A174" s="1">
        <v>45418</v>
      </c>
      <c r="B174" s="2">
        <f t="shared" si="14"/>
        <v>167</v>
      </c>
      <c r="C174" s="3">
        <f>+VLOOKUP(A174,Precios!$B:$H,1+$C$3,0)</f>
        <v>36.83</v>
      </c>
      <c r="D174" s="10">
        <f t="shared" si="10"/>
        <v>4.6372067648663418E-3</v>
      </c>
      <c r="E174" s="31">
        <f t="shared" si="11"/>
        <v>3.1056460646031494E-5</v>
      </c>
      <c r="F174" s="9"/>
      <c r="H174" s="10">
        <f t="shared" si="12"/>
        <v>-3.7970940396181083E-2</v>
      </c>
      <c r="I174" s="10">
        <f t="shared" si="13"/>
        <v>3.7970940396181083E-2</v>
      </c>
    </row>
    <row r="175" spans="1:9" x14ac:dyDescent="0.25">
      <c r="A175" s="1">
        <v>45415</v>
      </c>
      <c r="B175" s="2">
        <f t="shared" si="14"/>
        <v>168</v>
      </c>
      <c r="C175" s="3">
        <f>+VLOOKUP(A175,Precios!$B:$H,1+$C$3,0)</f>
        <v>36.659999999999997</v>
      </c>
      <c r="D175" s="10">
        <f t="shared" si="10"/>
        <v>4.9342105263157077E-3</v>
      </c>
      <c r="E175" s="31">
        <f t="shared" si="11"/>
        <v>3.4454976233147915E-5</v>
      </c>
      <c r="F175" s="9"/>
      <c r="H175" s="10">
        <f t="shared" si="12"/>
        <v>-3.7970940396181083E-2</v>
      </c>
      <c r="I175" s="10">
        <f t="shared" si="13"/>
        <v>3.7970940396181083E-2</v>
      </c>
    </row>
    <row r="176" spans="1:9" x14ac:dyDescent="0.25">
      <c r="A176" s="1">
        <v>45414</v>
      </c>
      <c r="B176" s="2">
        <f t="shared" si="14"/>
        <v>169</v>
      </c>
      <c r="C176" s="3">
        <f>+VLOOKUP(A176,Precios!$B:$H,1+$C$3,0)</f>
        <v>36.479999999999997</v>
      </c>
      <c r="D176" s="10">
        <f t="shared" si="10"/>
        <v>-5.7236304170074082E-3</v>
      </c>
      <c r="E176" s="31">
        <f t="shared" si="11"/>
        <v>2.292499005970035E-5</v>
      </c>
      <c r="F176" s="9"/>
      <c r="H176" s="10">
        <f t="shared" si="12"/>
        <v>-3.7970940396181083E-2</v>
      </c>
      <c r="I176" s="10">
        <f t="shared" si="13"/>
        <v>3.7970940396181083E-2</v>
      </c>
    </row>
    <row r="177" spans="1:9" x14ac:dyDescent="0.25">
      <c r="A177" s="1">
        <v>45412</v>
      </c>
      <c r="B177" s="2">
        <f t="shared" si="14"/>
        <v>170</v>
      </c>
      <c r="C177" s="3">
        <f>+VLOOKUP(A177,Precios!$B:$H,1+$C$3,0)</f>
        <v>36.69</v>
      </c>
      <c r="D177" s="10">
        <f t="shared" si="10"/>
        <v>-1.0250876719719471E-2</v>
      </c>
      <c r="E177" s="31">
        <f t="shared" si="11"/>
        <v>8.6773903291165828E-5</v>
      </c>
      <c r="F177" s="9"/>
      <c r="H177" s="10">
        <f t="shared" si="12"/>
        <v>-3.7970940396181083E-2</v>
      </c>
      <c r="I177" s="10">
        <f t="shared" si="13"/>
        <v>3.7970940396181083E-2</v>
      </c>
    </row>
    <row r="178" spans="1:9" x14ac:dyDescent="0.25">
      <c r="A178" s="1">
        <v>45411</v>
      </c>
      <c r="B178" s="2">
        <f t="shared" si="14"/>
        <v>171</v>
      </c>
      <c r="C178" s="3">
        <f>+VLOOKUP(A178,Precios!$B:$H,1+$C$3,0)</f>
        <v>37.07</v>
      </c>
      <c r="D178" s="10">
        <f t="shared" si="10"/>
        <v>-9.6179535132246974E-3</v>
      </c>
      <c r="E178" s="31">
        <f t="shared" si="11"/>
        <v>7.5382817869478703E-5</v>
      </c>
      <c r="F178" s="9"/>
      <c r="H178" s="10">
        <f t="shared" si="12"/>
        <v>-3.7970940396181083E-2</v>
      </c>
      <c r="I178" s="10">
        <f t="shared" si="13"/>
        <v>3.7970940396181083E-2</v>
      </c>
    </row>
    <row r="179" spans="1:9" x14ac:dyDescent="0.25">
      <c r="A179" s="1">
        <v>45408</v>
      </c>
      <c r="B179" s="2">
        <f t="shared" si="14"/>
        <v>172</v>
      </c>
      <c r="C179" s="3">
        <f>+VLOOKUP(A179,Precios!$B:$H,1+$C$3,0)</f>
        <v>37.43</v>
      </c>
      <c r="D179" s="10">
        <f t="shared" si="10"/>
        <v>8.3512931034483984E-3</v>
      </c>
      <c r="E179" s="31">
        <f t="shared" si="11"/>
        <v>8.6246859136326413E-5</v>
      </c>
      <c r="F179" s="9"/>
      <c r="H179" s="10">
        <f t="shared" si="12"/>
        <v>-3.7970940396181083E-2</v>
      </c>
      <c r="I179" s="10">
        <f t="shared" si="13"/>
        <v>3.7970940396181083E-2</v>
      </c>
    </row>
    <row r="180" spans="1:9" x14ac:dyDescent="0.25">
      <c r="A180" s="1">
        <v>45407</v>
      </c>
      <c r="B180" s="2">
        <f t="shared" si="14"/>
        <v>173</v>
      </c>
      <c r="C180" s="3">
        <f>+VLOOKUP(A180,Precios!$B:$H,1+$C$3,0)</f>
        <v>37.119999999999997</v>
      </c>
      <c r="D180" s="10">
        <f t="shared" si="10"/>
        <v>3.6292573981016041E-2</v>
      </c>
      <c r="E180" s="31">
        <f t="shared" si="11"/>
        <v>1.3859388445725733E-3</v>
      </c>
      <c r="F180" s="9"/>
      <c r="H180" s="10">
        <f t="shared" si="12"/>
        <v>-3.7970940396181083E-2</v>
      </c>
      <c r="I180" s="10">
        <f t="shared" si="13"/>
        <v>3.7970940396181083E-2</v>
      </c>
    </row>
    <row r="181" spans="1:9" x14ac:dyDescent="0.25">
      <c r="A181" s="1">
        <v>45406</v>
      </c>
      <c r="B181" s="2">
        <f t="shared" si="14"/>
        <v>174</v>
      </c>
      <c r="C181" s="3">
        <f>+VLOOKUP(A181,Precios!$B:$H,1+$C$3,0)</f>
        <v>35.82</v>
      </c>
      <c r="D181" s="10">
        <f t="shared" si="10"/>
        <v>-1.6474464579901205E-2</v>
      </c>
      <c r="E181" s="31">
        <f t="shared" si="11"/>
        <v>2.4145551662265818E-4</v>
      </c>
      <c r="F181" s="9"/>
      <c r="H181" s="10">
        <f t="shared" si="12"/>
        <v>-3.7970940396181083E-2</v>
      </c>
      <c r="I181" s="10">
        <f t="shared" si="13"/>
        <v>3.7970940396181083E-2</v>
      </c>
    </row>
    <row r="182" spans="1:9" x14ac:dyDescent="0.25">
      <c r="A182" s="1">
        <v>45405</v>
      </c>
      <c r="B182" s="2">
        <f t="shared" si="14"/>
        <v>175</v>
      </c>
      <c r="C182" s="3">
        <f>+VLOOKUP(A182,Precios!$B:$H,1+$C$3,0)</f>
        <v>36.42</v>
      </c>
      <c r="D182" s="10">
        <f t="shared" si="10"/>
        <v>2.9686174724342873E-2</v>
      </c>
      <c r="E182" s="31">
        <f t="shared" si="11"/>
        <v>9.3769465553873005E-4</v>
      </c>
      <c r="F182" s="9"/>
      <c r="H182" s="10">
        <f t="shared" si="12"/>
        <v>-3.7970940396181083E-2</v>
      </c>
      <c r="I182" s="10">
        <f t="shared" si="13"/>
        <v>3.7970940396181083E-2</v>
      </c>
    </row>
    <row r="183" spans="1:9" x14ac:dyDescent="0.25">
      <c r="A183" s="1">
        <v>45404</v>
      </c>
      <c r="B183" s="2">
        <f t="shared" si="14"/>
        <v>176</v>
      </c>
      <c r="C183" s="3">
        <f>+VLOOKUP(A183,Precios!$B:$H,1+$C$3,0)</f>
        <v>35.369999999999997</v>
      </c>
      <c r="D183" s="10">
        <f t="shared" si="10"/>
        <v>3.1196823596142398E-3</v>
      </c>
      <c r="E183" s="31">
        <f t="shared" si="11"/>
        <v>1.6445522704892698E-5</v>
      </c>
      <c r="F183" s="9"/>
      <c r="H183" s="10">
        <f t="shared" si="12"/>
        <v>-3.7970940396181083E-2</v>
      </c>
      <c r="I183" s="10">
        <f t="shared" si="13"/>
        <v>3.7970940396181083E-2</v>
      </c>
    </row>
    <row r="184" spans="1:9" x14ac:dyDescent="0.25">
      <c r="A184" s="1">
        <v>45401</v>
      </c>
      <c r="B184" s="2">
        <f t="shared" si="14"/>
        <v>177</v>
      </c>
      <c r="C184" s="3">
        <f>+VLOOKUP(A184,Precios!$B:$H,1+$C$3,0)</f>
        <v>35.26</v>
      </c>
      <c r="D184" s="10">
        <f t="shared" si="10"/>
        <v>-2.8352707683598766E-4</v>
      </c>
      <c r="E184" s="31">
        <f t="shared" si="11"/>
        <v>4.2523249317195726E-7</v>
      </c>
      <c r="F184" s="9"/>
      <c r="H184" s="10">
        <f t="shared" si="12"/>
        <v>-3.7970940396181083E-2</v>
      </c>
      <c r="I184" s="10">
        <f t="shared" si="13"/>
        <v>3.7970940396181083E-2</v>
      </c>
    </row>
    <row r="185" spans="1:9" x14ac:dyDescent="0.25">
      <c r="A185" s="1">
        <v>45400</v>
      </c>
      <c r="B185" s="2">
        <f t="shared" si="14"/>
        <v>178</v>
      </c>
      <c r="C185" s="3">
        <f>+VLOOKUP(A185,Precios!$B:$H,1+$C$3,0)</f>
        <v>35.270000000000003</v>
      </c>
      <c r="D185" s="10">
        <f t="shared" si="10"/>
        <v>3.1588183679438497E-2</v>
      </c>
      <c r="E185" s="31">
        <f t="shared" si="11"/>
        <v>1.0577981705071015E-3</v>
      </c>
      <c r="F185" s="9"/>
      <c r="H185" s="10">
        <f t="shared" si="12"/>
        <v>-3.7970940396181083E-2</v>
      </c>
      <c r="I185" s="10">
        <f t="shared" si="13"/>
        <v>3.7970940396181083E-2</v>
      </c>
    </row>
    <row r="186" spans="1:9" x14ac:dyDescent="0.25">
      <c r="A186" s="1">
        <v>45399</v>
      </c>
      <c r="B186" s="2">
        <f t="shared" si="14"/>
        <v>179</v>
      </c>
      <c r="C186" s="3">
        <f>+VLOOKUP(A186,Precios!$B:$H,1+$C$3,0)</f>
        <v>34.19</v>
      </c>
      <c r="D186" s="10">
        <f t="shared" si="10"/>
        <v>-3.7443693693693825E-2</v>
      </c>
      <c r="E186" s="31">
        <f t="shared" si="11"/>
        <v>1.3328390354153999E-3</v>
      </c>
      <c r="F186" s="9"/>
      <c r="H186" s="10">
        <f t="shared" si="12"/>
        <v>-3.7970940396181083E-2</v>
      </c>
      <c r="I186" s="10">
        <f t="shared" si="13"/>
        <v>3.7970940396181083E-2</v>
      </c>
    </row>
    <row r="187" spans="1:9" x14ac:dyDescent="0.25">
      <c r="A187" s="1">
        <v>45398</v>
      </c>
      <c r="B187" s="2">
        <f t="shared" si="14"/>
        <v>180</v>
      </c>
      <c r="C187" s="3">
        <f>+VLOOKUP(A187,Precios!$B:$H,1+$C$3,0)</f>
        <v>35.520000000000003</v>
      </c>
      <c r="D187" s="10">
        <f t="shared" si="10"/>
        <v>-8.6519676248951738E-3</v>
      </c>
      <c r="E187" s="31">
        <f t="shared" si="11"/>
        <v>5.954193413559754E-5</v>
      </c>
      <c r="F187" s="9"/>
      <c r="H187" s="10">
        <f t="shared" si="12"/>
        <v>-3.7970940396181083E-2</v>
      </c>
      <c r="I187" s="10">
        <f t="shared" si="13"/>
        <v>3.7970940396181083E-2</v>
      </c>
    </row>
    <row r="188" spans="1:9" x14ac:dyDescent="0.25">
      <c r="A188" s="1">
        <v>45397</v>
      </c>
      <c r="B188" s="2">
        <f t="shared" si="14"/>
        <v>181</v>
      </c>
      <c r="C188" s="3">
        <f>+VLOOKUP(A188,Precios!$B:$H,1+$C$3,0)</f>
        <v>35.83</v>
      </c>
      <c r="D188" s="10">
        <f t="shared" si="10"/>
        <v>-1.2947658402203799E-2</v>
      </c>
      <c r="E188" s="31">
        <f t="shared" si="11"/>
        <v>1.4428893187065891E-4</v>
      </c>
      <c r="F188" s="9"/>
      <c r="H188" s="10">
        <f t="shared" si="12"/>
        <v>-3.7970940396181083E-2</v>
      </c>
      <c r="I188" s="10">
        <f t="shared" si="13"/>
        <v>3.7970940396181083E-2</v>
      </c>
    </row>
    <row r="189" spans="1:9" x14ac:dyDescent="0.25">
      <c r="A189" s="1">
        <v>45394</v>
      </c>
      <c r="B189" s="2">
        <f t="shared" si="14"/>
        <v>182</v>
      </c>
      <c r="C189" s="3">
        <f>+VLOOKUP(A189,Precios!$B:$H,1+$C$3,0)</f>
        <v>36.299999999999997</v>
      </c>
      <c r="D189" s="10">
        <f t="shared" si="10"/>
        <v>-1.9184004323155923E-2</v>
      </c>
      <c r="E189" s="31">
        <f t="shared" si="11"/>
        <v>3.330033257646176E-4</v>
      </c>
      <c r="F189" s="9"/>
      <c r="H189" s="10">
        <f t="shared" si="12"/>
        <v>-3.7970940396181083E-2</v>
      </c>
      <c r="I189" s="10">
        <f t="shared" si="13"/>
        <v>3.7970940396181083E-2</v>
      </c>
    </row>
    <row r="190" spans="1:9" x14ac:dyDescent="0.25">
      <c r="A190" s="1">
        <v>45393</v>
      </c>
      <c r="B190" s="2">
        <f t="shared" si="14"/>
        <v>183</v>
      </c>
      <c r="C190" s="3">
        <f>+VLOOKUP(A190,Precios!$B:$H,1+$C$3,0)</f>
        <v>37.01</v>
      </c>
      <c r="D190" s="10">
        <f t="shared" si="10"/>
        <v>1.0098253275109048E-2</v>
      </c>
      <c r="E190" s="31">
        <f t="shared" si="11"/>
        <v>1.2174648318724986E-4</v>
      </c>
      <c r="F190" s="9"/>
      <c r="H190" s="10">
        <f t="shared" si="12"/>
        <v>-3.7970940396181083E-2</v>
      </c>
      <c r="I190" s="10">
        <f t="shared" si="13"/>
        <v>3.7970940396181083E-2</v>
      </c>
    </row>
    <row r="191" spans="1:9" x14ac:dyDescent="0.25">
      <c r="A191" s="1">
        <v>45392</v>
      </c>
      <c r="B191" s="2">
        <f t="shared" si="14"/>
        <v>184</v>
      </c>
      <c r="C191" s="3">
        <f>+VLOOKUP(A191,Precios!$B:$H,1+$C$3,0)</f>
        <v>36.64</v>
      </c>
      <c r="D191" s="10">
        <f t="shared" si="10"/>
        <v>-3.8067734313468216E-2</v>
      </c>
      <c r="E191" s="31">
        <f t="shared" si="11"/>
        <v>1.3787934969815762E-3</v>
      </c>
      <c r="F191" s="9"/>
      <c r="H191" s="10">
        <f t="shared" si="12"/>
        <v>-3.7970940396181083E-2</v>
      </c>
      <c r="I191" s="10">
        <f t="shared" si="13"/>
        <v>3.7970940396181083E-2</v>
      </c>
    </row>
    <row r="192" spans="1:9" x14ac:dyDescent="0.25">
      <c r="A192" s="1">
        <v>45391</v>
      </c>
      <c r="B192" s="2">
        <f t="shared" si="14"/>
        <v>185</v>
      </c>
      <c r="C192" s="3">
        <f>+VLOOKUP(A192,Precios!$B:$H,1+$C$3,0)</f>
        <v>38.090000000000003</v>
      </c>
      <c r="D192" s="10">
        <f t="shared" si="10"/>
        <v>-7.8145350351653819E-3</v>
      </c>
      <c r="E192" s="31">
        <f t="shared" si="11"/>
        <v>4.7319394919532371E-5</v>
      </c>
      <c r="F192" s="9"/>
      <c r="H192" s="10">
        <f t="shared" si="12"/>
        <v>-3.7970940396181083E-2</v>
      </c>
      <c r="I192" s="10">
        <f t="shared" si="13"/>
        <v>3.7970940396181083E-2</v>
      </c>
    </row>
    <row r="193" spans="1:9" x14ac:dyDescent="0.25">
      <c r="A193" s="1">
        <v>45390</v>
      </c>
      <c r="B193" s="2">
        <f t="shared" si="14"/>
        <v>186</v>
      </c>
      <c r="C193" s="3">
        <f>+VLOOKUP(A193,Precios!$B:$H,1+$C$3,0)</f>
        <v>38.39</v>
      </c>
      <c r="D193" s="10">
        <f t="shared" si="10"/>
        <v>-1.8660531697341387E-2</v>
      </c>
      <c r="E193" s="31">
        <f t="shared" si="11"/>
        <v>3.1417229590789057E-4</v>
      </c>
      <c r="F193" s="9"/>
      <c r="H193" s="10">
        <f t="shared" si="12"/>
        <v>-3.7970940396181083E-2</v>
      </c>
      <c r="I193" s="10">
        <f t="shared" si="13"/>
        <v>3.7970940396181083E-2</v>
      </c>
    </row>
    <row r="194" spans="1:9" x14ac:dyDescent="0.25">
      <c r="A194" s="1">
        <v>45387</v>
      </c>
      <c r="B194" s="2">
        <f t="shared" si="14"/>
        <v>187</v>
      </c>
      <c r="C194" s="3">
        <f>+VLOOKUP(A194,Precios!$B:$H,1+$C$3,0)</f>
        <v>39.119999999999997</v>
      </c>
      <c r="D194" s="10">
        <f t="shared" si="10"/>
        <v>1.0069713400464808E-2</v>
      </c>
      <c r="E194" s="31">
        <f t="shared" si="11"/>
        <v>1.2111748667141865E-4</v>
      </c>
      <c r="F194" s="9"/>
      <c r="H194" s="10">
        <f t="shared" si="12"/>
        <v>-3.7970940396181083E-2</v>
      </c>
      <c r="I194" s="10">
        <f t="shared" si="13"/>
        <v>3.7970940396181083E-2</v>
      </c>
    </row>
    <row r="195" spans="1:9" x14ac:dyDescent="0.25">
      <c r="A195" s="1">
        <v>45386</v>
      </c>
      <c r="B195" s="2">
        <f t="shared" si="14"/>
        <v>188</v>
      </c>
      <c r="C195" s="3">
        <f>+VLOOKUP(A195,Precios!$B:$H,1+$C$3,0)</f>
        <v>38.729999999999997</v>
      </c>
      <c r="D195" s="10">
        <f t="shared" si="10"/>
        <v>2.4332187252049664E-2</v>
      </c>
      <c r="E195" s="31">
        <f t="shared" si="11"/>
        <v>6.384623666849887E-4</v>
      </c>
      <c r="F195" s="9"/>
      <c r="H195" s="10">
        <f t="shared" si="12"/>
        <v>-3.7970940396181083E-2</v>
      </c>
      <c r="I195" s="10">
        <f t="shared" si="13"/>
        <v>3.7970940396181083E-2</v>
      </c>
    </row>
    <row r="196" spans="1:9" x14ac:dyDescent="0.25">
      <c r="A196" s="1">
        <v>45385</v>
      </c>
      <c r="B196" s="2">
        <f t="shared" si="14"/>
        <v>189</v>
      </c>
      <c r="C196" s="3">
        <f>+VLOOKUP(A196,Precios!$B:$H,1+$C$3,0)</f>
        <v>37.81</v>
      </c>
      <c r="D196" s="10">
        <f t="shared" si="10"/>
        <v>-6.5685759327377413E-3</v>
      </c>
      <c r="E196" s="31">
        <f t="shared" si="11"/>
        <v>3.1730129371106895E-5</v>
      </c>
      <c r="F196" s="9"/>
      <c r="H196" s="10">
        <f t="shared" si="12"/>
        <v>-3.7970940396181083E-2</v>
      </c>
      <c r="I196" s="10">
        <f t="shared" si="13"/>
        <v>3.7970940396181083E-2</v>
      </c>
    </row>
    <row r="197" spans="1:9" x14ac:dyDescent="0.25">
      <c r="A197" s="1">
        <v>45384</v>
      </c>
      <c r="B197" s="2">
        <f t="shared" si="14"/>
        <v>190</v>
      </c>
      <c r="C197" s="3">
        <f>+VLOOKUP(A197,Precios!$B:$H,1+$C$3,0)</f>
        <v>38.06</v>
      </c>
      <c r="D197" s="10">
        <f t="shared" si="10"/>
        <v>0</v>
      </c>
      <c r="E197" s="31">
        <f t="shared" si="11"/>
        <v>8.7539527666048636E-7</v>
      </c>
      <c r="F197" s="9"/>
      <c r="H197" s="10">
        <f t="shared" si="12"/>
        <v>-3.7970940396181083E-2</v>
      </c>
      <c r="I197" s="10">
        <f t="shared" si="13"/>
        <v>3.7970940396181083E-2</v>
      </c>
    </row>
    <row r="198" spans="1:9" x14ac:dyDescent="0.25">
      <c r="A198" s="1">
        <v>45383</v>
      </c>
      <c r="B198" s="2">
        <f t="shared" si="14"/>
        <v>191</v>
      </c>
      <c r="C198" s="3">
        <f>+VLOOKUP(A198,Precios!$B:$H,1+$C$3,0)</f>
        <v>38.06</v>
      </c>
      <c r="D198" s="10">
        <f t="shared" si="10"/>
        <v>-2.3601847101077378E-2</v>
      </c>
      <c r="E198" s="31">
        <f t="shared" si="11"/>
        <v>5.1375759681406041E-4</v>
      </c>
      <c r="F198" s="9"/>
      <c r="H198" s="10">
        <f t="shared" si="12"/>
        <v>-3.7970940396181083E-2</v>
      </c>
      <c r="I198" s="10">
        <f t="shared" si="13"/>
        <v>3.7970940396181083E-2</v>
      </c>
    </row>
    <row r="199" spans="1:9" x14ac:dyDescent="0.25">
      <c r="A199" s="1">
        <v>45378</v>
      </c>
      <c r="B199" s="2">
        <f t="shared" si="14"/>
        <v>192</v>
      </c>
      <c r="C199" s="3">
        <f>+VLOOKUP(A199,Precios!$B:$H,1+$C$3,0)</f>
        <v>38.979999999999997</v>
      </c>
      <c r="D199" s="10">
        <f t="shared" si="10"/>
        <v>-1.025115325474224E-3</v>
      </c>
      <c r="E199" s="31">
        <f t="shared" si="11"/>
        <v>8.0084096947703503E-9</v>
      </c>
      <c r="F199" s="9"/>
      <c r="H199" s="10">
        <f t="shared" si="12"/>
        <v>-3.7970940396181083E-2</v>
      </c>
      <c r="I199" s="10">
        <f t="shared" si="13"/>
        <v>3.7970940396181083E-2</v>
      </c>
    </row>
    <row r="200" spans="1:9" x14ac:dyDescent="0.25">
      <c r="A200" s="1">
        <v>45377</v>
      </c>
      <c r="B200" s="2">
        <f t="shared" si="14"/>
        <v>193</v>
      </c>
      <c r="C200" s="3">
        <f>+VLOOKUP(A200,Precios!$B:$H,1+$C$3,0)</f>
        <v>39.020000000000003</v>
      </c>
      <c r="D200" s="10">
        <f t="shared" si="10"/>
        <v>4.1173443129183251E-3</v>
      </c>
      <c r="E200" s="31">
        <f t="shared" si="11"/>
        <v>2.5532505012605907E-5</v>
      </c>
      <c r="F200" s="9"/>
      <c r="H200" s="10">
        <f t="shared" si="12"/>
        <v>-3.7970940396181083E-2</v>
      </c>
      <c r="I200" s="10">
        <f t="shared" si="13"/>
        <v>3.7970940396181083E-2</v>
      </c>
    </row>
    <row r="201" spans="1:9" x14ac:dyDescent="0.25">
      <c r="A201" s="1">
        <v>45376</v>
      </c>
      <c r="B201" s="2">
        <f t="shared" si="14"/>
        <v>194</v>
      </c>
      <c r="C201" s="3">
        <f>+VLOOKUP(A201,Precios!$B:$H,1+$C$3,0)</f>
        <v>38.86</v>
      </c>
      <c r="D201" s="10">
        <f t="shared" ref="D201:D259" si="15">C201/C202-1</f>
        <v>-9.1789903110657267E-3</v>
      </c>
      <c r="E201" s="31">
        <f t="shared" ref="E201:E259" si="16">(D201-$E$264)^2</f>
        <v>6.7953061642594625E-5</v>
      </c>
      <c r="F201" s="9"/>
      <c r="H201" s="10">
        <f t="shared" ref="H201:H258" si="17">-$I$5*$E$266</f>
        <v>-3.7970940396181083E-2</v>
      </c>
      <c r="I201" s="10">
        <f t="shared" ref="I201:I258" si="18">+$I$5*$E$266</f>
        <v>3.7970940396181083E-2</v>
      </c>
    </row>
    <row r="202" spans="1:9" x14ac:dyDescent="0.25">
      <c r="A202" s="1">
        <v>45373</v>
      </c>
      <c r="B202" s="2">
        <f t="shared" ref="B202:B259" si="19">+B201+1</f>
        <v>195</v>
      </c>
      <c r="C202" s="3">
        <f>+VLOOKUP(A202,Precios!$B:$H,1+$C$3,0)</f>
        <v>39.22</v>
      </c>
      <c r="D202" s="10">
        <f t="shared" si="15"/>
        <v>9.264024704065843E-3</v>
      </c>
      <c r="E202" s="31">
        <f t="shared" si="16"/>
        <v>1.0403286647005723E-4</v>
      </c>
      <c r="F202" s="9"/>
      <c r="H202" s="10">
        <f t="shared" si="17"/>
        <v>-3.7970940396181083E-2</v>
      </c>
      <c r="I202" s="10">
        <f t="shared" si="18"/>
        <v>3.7970940396181083E-2</v>
      </c>
    </row>
    <row r="203" spans="1:9" x14ac:dyDescent="0.25">
      <c r="A203" s="1">
        <v>45372</v>
      </c>
      <c r="B203" s="2">
        <f t="shared" si="19"/>
        <v>196</v>
      </c>
      <c r="C203" s="3">
        <f>+VLOOKUP(A203,Precios!$B:$H,1+$C$3,0)</f>
        <v>38.86</v>
      </c>
      <c r="D203" s="10">
        <f t="shared" si="15"/>
        <v>-6.1381074168798122E-3</v>
      </c>
      <c r="E203" s="31">
        <f t="shared" si="16"/>
        <v>2.7065816981094042E-5</v>
      </c>
      <c r="F203" s="9"/>
      <c r="H203" s="10">
        <f t="shared" si="17"/>
        <v>-3.7970940396181083E-2</v>
      </c>
      <c r="I203" s="10">
        <f t="shared" si="18"/>
        <v>3.7970940396181083E-2</v>
      </c>
    </row>
    <row r="204" spans="1:9" x14ac:dyDescent="0.25">
      <c r="A204" s="1">
        <v>45371</v>
      </c>
      <c r="B204" s="2">
        <f t="shared" si="19"/>
        <v>197</v>
      </c>
      <c r="C204" s="3">
        <f>+VLOOKUP(A204,Precios!$B:$H,1+$C$3,0)</f>
        <v>39.1</v>
      </c>
      <c r="D204" s="10">
        <f t="shared" si="15"/>
        <v>1.584827227851382E-2</v>
      </c>
      <c r="E204" s="31">
        <f t="shared" si="16"/>
        <v>2.8169922823469845E-4</v>
      </c>
      <c r="F204" s="9"/>
      <c r="H204" s="10">
        <f t="shared" si="17"/>
        <v>-3.7970940396181083E-2</v>
      </c>
      <c r="I204" s="10">
        <f t="shared" si="18"/>
        <v>3.7970940396181083E-2</v>
      </c>
    </row>
    <row r="205" spans="1:9" x14ac:dyDescent="0.25">
      <c r="A205" s="1">
        <v>45370</v>
      </c>
      <c r="B205" s="2">
        <f t="shared" si="19"/>
        <v>198</v>
      </c>
      <c r="C205" s="3">
        <f>+VLOOKUP(A205,Precios!$B:$H,1+$C$3,0)</f>
        <v>38.49</v>
      </c>
      <c r="D205" s="10">
        <f t="shared" si="15"/>
        <v>-1.8153526970954292E-3</v>
      </c>
      <c r="E205" s="31">
        <f t="shared" si="16"/>
        <v>7.7391975287253805E-7</v>
      </c>
      <c r="F205" s="9"/>
      <c r="H205" s="10">
        <f t="shared" si="17"/>
        <v>-3.7970940396181083E-2</v>
      </c>
      <c r="I205" s="10">
        <f t="shared" si="18"/>
        <v>3.7970940396181083E-2</v>
      </c>
    </row>
    <row r="206" spans="1:9" x14ac:dyDescent="0.25">
      <c r="A206" s="1">
        <v>45366</v>
      </c>
      <c r="B206" s="2">
        <f t="shared" si="19"/>
        <v>199</v>
      </c>
      <c r="C206" s="3">
        <f>+VLOOKUP(A206,Precios!$B:$H,1+$C$3,0)</f>
        <v>38.56</v>
      </c>
      <c r="D206" s="10">
        <f t="shared" si="15"/>
        <v>-2.3285899094436235E-3</v>
      </c>
      <c r="E206" s="31">
        <f t="shared" si="16"/>
        <v>1.9403495476047855E-6</v>
      </c>
      <c r="F206" s="9"/>
      <c r="H206" s="10">
        <f t="shared" si="17"/>
        <v>-3.7970940396181083E-2</v>
      </c>
      <c r="I206" s="10">
        <f t="shared" si="18"/>
        <v>3.7970940396181083E-2</v>
      </c>
    </row>
    <row r="207" spans="1:9" x14ac:dyDescent="0.25">
      <c r="A207" s="1">
        <v>45365</v>
      </c>
      <c r="B207" s="2">
        <f t="shared" si="19"/>
        <v>200</v>
      </c>
      <c r="C207" s="3">
        <f>+VLOOKUP(A207,Precios!$B:$H,1+$C$3,0)</f>
        <v>38.65</v>
      </c>
      <c r="D207" s="10">
        <f t="shared" si="15"/>
        <v>-1.5788133435192364E-2</v>
      </c>
      <c r="E207" s="31">
        <f t="shared" si="16"/>
        <v>2.2059698878355697E-4</v>
      </c>
      <c r="F207" s="9"/>
      <c r="H207" s="10">
        <f t="shared" si="17"/>
        <v>-3.7970940396181083E-2</v>
      </c>
      <c r="I207" s="10">
        <f t="shared" si="18"/>
        <v>3.7970940396181083E-2</v>
      </c>
    </row>
    <row r="208" spans="1:9" x14ac:dyDescent="0.25">
      <c r="A208" s="1">
        <v>45364</v>
      </c>
      <c r="B208" s="2">
        <f t="shared" si="19"/>
        <v>201</v>
      </c>
      <c r="C208" s="3">
        <f>+VLOOKUP(A208,Precios!$B:$H,1+$C$3,0)</f>
        <v>39.270000000000003</v>
      </c>
      <c r="D208" s="10">
        <f t="shared" si="15"/>
        <v>1.7857142857142794E-3</v>
      </c>
      <c r="E208" s="31">
        <f t="shared" si="16"/>
        <v>7.4056908122202305E-6</v>
      </c>
      <c r="F208" s="9"/>
      <c r="H208" s="10">
        <f t="shared" si="17"/>
        <v>-3.7970940396181083E-2</v>
      </c>
      <c r="I208" s="10">
        <f t="shared" si="18"/>
        <v>3.7970940396181083E-2</v>
      </c>
    </row>
    <row r="209" spans="1:9" x14ac:dyDescent="0.25">
      <c r="A209" s="1">
        <v>45363</v>
      </c>
      <c r="B209" s="2">
        <f t="shared" si="19"/>
        <v>202</v>
      </c>
      <c r="C209" s="3">
        <f>+VLOOKUP(A209,Precios!$B:$H,1+$C$3,0)</f>
        <v>39.200000000000003</v>
      </c>
      <c r="D209" s="10">
        <f t="shared" si="15"/>
        <v>-6.8406384595894876E-3</v>
      </c>
      <c r="E209" s="31">
        <f t="shared" si="16"/>
        <v>3.4869176788070817E-5</v>
      </c>
      <c r="F209" s="9"/>
      <c r="H209" s="10">
        <f t="shared" si="17"/>
        <v>-3.7970940396181083E-2</v>
      </c>
      <c r="I209" s="10">
        <f t="shared" si="18"/>
        <v>3.7970940396181083E-2</v>
      </c>
    </row>
    <row r="210" spans="1:9" x14ac:dyDescent="0.25">
      <c r="A210" s="1">
        <v>45362</v>
      </c>
      <c r="B210" s="2">
        <f t="shared" si="19"/>
        <v>203</v>
      </c>
      <c r="C210" s="3">
        <f>+VLOOKUP(A210,Precios!$B:$H,1+$C$3,0)</f>
        <v>39.47</v>
      </c>
      <c r="D210" s="10">
        <f t="shared" si="15"/>
        <v>-2.7791814047498642E-3</v>
      </c>
      <c r="E210" s="31">
        <f t="shared" si="16"/>
        <v>3.3986979790499192E-6</v>
      </c>
      <c r="F210" s="9"/>
      <c r="H210" s="10">
        <f t="shared" si="17"/>
        <v>-3.7970940396181083E-2</v>
      </c>
      <c r="I210" s="10">
        <f t="shared" si="18"/>
        <v>3.7970940396181083E-2</v>
      </c>
    </row>
    <row r="211" spans="1:9" x14ac:dyDescent="0.25">
      <c r="A211" s="1">
        <v>45359</v>
      </c>
      <c r="B211" s="2">
        <f t="shared" si="19"/>
        <v>204</v>
      </c>
      <c r="C211" s="3">
        <f>+VLOOKUP(A211,Precios!$B:$H,1+$C$3,0)</f>
        <v>39.58</v>
      </c>
      <c r="D211" s="10">
        <f t="shared" si="15"/>
        <v>-4.2767295597484489E-3</v>
      </c>
      <c r="E211" s="31">
        <f t="shared" si="16"/>
        <v>1.1162975622405793E-5</v>
      </c>
      <c r="F211" s="9"/>
      <c r="H211" s="10">
        <f t="shared" si="17"/>
        <v>-3.7970940396181083E-2</v>
      </c>
      <c r="I211" s="10">
        <f t="shared" si="18"/>
        <v>3.7970940396181083E-2</v>
      </c>
    </row>
    <row r="212" spans="1:9" x14ac:dyDescent="0.25">
      <c r="A212" s="1">
        <v>45358</v>
      </c>
      <c r="B212" s="2">
        <f t="shared" si="19"/>
        <v>205</v>
      </c>
      <c r="C212" s="3">
        <f>+VLOOKUP(A212,Precios!$B:$H,1+$C$3,0)</f>
        <v>39.75</v>
      </c>
      <c r="D212" s="10">
        <f t="shared" si="15"/>
        <v>9.395632300660095E-3</v>
      </c>
      <c r="E212" s="31">
        <f t="shared" si="16"/>
        <v>1.0673488995664714E-4</v>
      </c>
      <c r="F212" s="9"/>
      <c r="H212" s="10">
        <f t="shared" si="17"/>
        <v>-3.7970940396181083E-2</v>
      </c>
      <c r="I212" s="10">
        <f t="shared" si="18"/>
        <v>3.7970940396181083E-2</v>
      </c>
    </row>
    <row r="213" spans="1:9" x14ac:dyDescent="0.25">
      <c r="A213" s="1">
        <v>45357</v>
      </c>
      <c r="B213" s="2">
        <f t="shared" si="19"/>
        <v>206</v>
      </c>
      <c r="C213" s="3">
        <f>+VLOOKUP(A213,Precios!$B:$H,1+$C$3,0)</f>
        <v>39.380000000000003</v>
      </c>
      <c r="D213" s="10">
        <f t="shared" si="15"/>
        <v>-4.2983565107457267E-3</v>
      </c>
      <c r="E213" s="31">
        <f t="shared" si="16"/>
        <v>1.1307959130336728E-5</v>
      </c>
      <c r="F213" s="9"/>
      <c r="H213" s="10">
        <f t="shared" si="17"/>
        <v>-3.7970940396181083E-2</v>
      </c>
      <c r="I213" s="10">
        <f t="shared" si="18"/>
        <v>3.7970940396181083E-2</v>
      </c>
    </row>
    <row r="214" spans="1:9" x14ac:dyDescent="0.25">
      <c r="A214" s="1">
        <v>45356</v>
      </c>
      <c r="B214" s="2">
        <f t="shared" si="19"/>
        <v>207</v>
      </c>
      <c r="C214" s="3">
        <f>+VLOOKUP(A214,Precios!$B:$H,1+$C$3,0)</f>
        <v>39.549999999999997</v>
      </c>
      <c r="D214" s="10">
        <f t="shared" si="15"/>
        <v>1.7730496453900457E-3</v>
      </c>
      <c r="E214" s="31">
        <f t="shared" si="16"/>
        <v>7.3369216234498204E-6</v>
      </c>
      <c r="F214" s="9"/>
      <c r="H214" s="10">
        <f t="shared" si="17"/>
        <v>-3.7970940396181083E-2</v>
      </c>
      <c r="I214" s="10">
        <f t="shared" si="18"/>
        <v>3.7970940396181083E-2</v>
      </c>
    </row>
    <row r="215" spans="1:9" x14ac:dyDescent="0.25">
      <c r="A215" s="1">
        <v>45355</v>
      </c>
      <c r="B215" s="2">
        <f t="shared" si="19"/>
        <v>208</v>
      </c>
      <c r="C215" s="3">
        <f>+VLOOKUP(A215,Precios!$B:$H,1+$C$3,0)</f>
        <v>39.479999999999997</v>
      </c>
      <c r="D215" s="10">
        <f t="shared" si="15"/>
        <v>-7.790902236742947E-3</v>
      </c>
      <c r="E215" s="31">
        <f t="shared" si="16"/>
        <v>4.6994817668934315E-5</v>
      </c>
      <c r="F215" s="9"/>
      <c r="H215" s="10">
        <f t="shared" si="17"/>
        <v>-3.7970940396181083E-2</v>
      </c>
      <c r="I215" s="10">
        <f t="shared" si="18"/>
        <v>3.7970940396181083E-2</v>
      </c>
    </row>
    <row r="216" spans="1:9" x14ac:dyDescent="0.25">
      <c r="A216" s="1">
        <v>45352</v>
      </c>
      <c r="B216" s="2">
        <f t="shared" si="19"/>
        <v>209</v>
      </c>
      <c r="C216" s="3">
        <f>+VLOOKUP(A216,Precios!$B:$H,1+$C$3,0)</f>
        <v>39.79</v>
      </c>
      <c r="D216" s="10">
        <f t="shared" si="15"/>
        <v>-1.5056461731494108E-3</v>
      </c>
      <c r="E216" s="31">
        <f t="shared" si="16"/>
        <v>3.2492344571975209E-7</v>
      </c>
      <c r="F216" s="9"/>
      <c r="H216" s="10">
        <f t="shared" si="17"/>
        <v>-3.7970940396181083E-2</v>
      </c>
      <c r="I216" s="10">
        <f t="shared" si="18"/>
        <v>3.7970940396181083E-2</v>
      </c>
    </row>
    <row r="217" spans="1:9" x14ac:dyDescent="0.25">
      <c r="A217" s="1">
        <v>45351</v>
      </c>
      <c r="B217" s="2">
        <f t="shared" si="19"/>
        <v>210</v>
      </c>
      <c r="C217" s="3">
        <f>+VLOOKUP(A217,Precios!$B:$H,1+$C$3,0)</f>
        <v>39.85</v>
      </c>
      <c r="D217" s="10">
        <f t="shared" si="15"/>
        <v>-2.5087807325629985E-4</v>
      </c>
      <c r="E217" s="31">
        <f t="shared" si="16"/>
        <v>4.6887918510447512E-7</v>
      </c>
      <c r="F217" s="9"/>
      <c r="H217" s="10">
        <f t="shared" si="17"/>
        <v>-3.7970940396181083E-2</v>
      </c>
      <c r="I217" s="10">
        <f t="shared" si="18"/>
        <v>3.7970940396181083E-2</v>
      </c>
    </row>
    <row r="218" spans="1:9" x14ac:dyDescent="0.25">
      <c r="A218" s="1">
        <v>45350</v>
      </c>
      <c r="B218" s="2">
        <f t="shared" si="19"/>
        <v>211</v>
      </c>
      <c r="C218" s="3">
        <f>+VLOOKUP(A218,Precios!$B:$H,1+$C$3,0)</f>
        <v>39.86</v>
      </c>
      <c r="D218" s="10">
        <f t="shared" si="15"/>
        <v>-3.8359469240048294E-2</v>
      </c>
      <c r="E218" s="31">
        <f t="shared" si="16"/>
        <v>1.4005440722633948E-3</v>
      </c>
      <c r="F218" s="9"/>
      <c r="H218" s="10">
        <f t="shared" si="17"/>
        <v>-3.7970940396181083E-2</v>
      </c>
      <c r="I218" s="10">
        <f t="shared" si="18"/>
        <v>3.7970940396181083E-2</v>
      </c>
    </row>
    <row r="219" spans="1:9" x14ac:dyDescent="0.25">
      <c r="A219" s="1">
        <v>45349</v>
      </c>
      <c r="B219" s="2">
        <f t="shared" si="19"/>
        <v>212</v>
      </c>
      <c r="C219" s="3">
        <f>+VLOOKUP(A219,Precios!$B:$H,1+$C$3,0)</f>
        <v>41.45</v>
      </c>
      <c r="D219" s="10">
        <f t="shared" si="15"/>
        <v>-1.0031048483400862E-2</v>
      </c>
      <c r="E219" s="31">
        <f t="shared" si="16"/>
        <v>8.2726717298744402E-5</v>
      </c>
      <c r="F219" s="9"/>
      <c r="H219" s="10">
        <f t="shared" si="17"/>
        <v>-3.7970940396181083E-2</v>
      </c>
      <c r="I219" s="10">
        <f t="shared" si="18"/>
        <v>3.7970940396181083E-2</v>
      </c>
    </row>
    <row r="220" spans="1:9" x14ac:dyDescent="0.25">
      <c r="A220" s="1">
        <v>45348</v>
      </c>
      <c r="B220" s="2">
        <f t="shared" si="19"/>
        <v>213</v>
      </c>
      <c r="C220" s="3">
        <f>+VLOOKUP(A220,Precios!$B:$H,1+$C$3,0)</f>
        <v>41.87</v>
      </c>
      <c r="D220" s="10">
        <f t="shared" si="15"/>
        <v>-9.9314258689997548E-3</v>
      </c>
      <c r="E220" s="31">
        <f t="shared" si="16"/>
        <v>8.092442235200298E-5</v>
      </c>
      <c r="F220" s="9"/>
      <c r="H220" s="10">
        <f t="shared" si="17"/>
        <v>-3.7970940396181083E-2</v>
      </c>
      <c r="I220" s="10">
        <f t="shared" si="18"/>
        <v>3.7970940396181083E-2</v>
      </c>
    </row>
    <row r="221" spans="1:9" x14ac:dyDescent="0.25">
      <c r="A221" s="1">
        <v>45345</v>
      </c>
      <c r="B221" s="2">
        <f t="shared" si="19"/>
        <v>214</v>
      </c>
      <c r="C221" s="3">
        <f>+VLOOKUP(A221,Precios!$B:$H,1+$C$3,0)</f>
        <v>42.29</v>
      </c>
      <c r="D221" s="10">
        <f t="shared" si="15"/>
        <v>3.3214709371294227E-3</v>
      </c>
      <c r="E221" s="31">
        <f t="shared" si="16"/>
        <v>1.8122870986886645E-5</v>
      </c>
      <c r="F221" s="9"/>
      <c r="H221" s="10">
        <f t="shared" si="17"/>
        <v>-3.7970940396181083E-2</v>
      </c>
      <c r="I221" s="10">
        <f t="shared" si="18"/>
        <v>3.7970940396181083E-2</v>
      </c>
    </row>
    <row r="222" spans="1:9" x14ac:dyDescent="0.25">
      <c r="A222" s="1">
        <v>45344</v>
      </c>
      <c r="B222" s="2">
        <f t="shared" si="19"/>
        <v>215</v>
      </c>
      <c r="C222" s="3">
        <f>+VLOOKUP(A222,Precios!$B:$H,1+$C$3,0)</f>
        <v>42.15</v>
      </c>
      <c r="D222" s="10">
        <f t="shared" si="15"/>
        <v>1.3708513708513781E-2</v>
      </c>
      <c r="E222" s="31">
        <f t="shared" si="16"/>
        <v>2.144508162950934E-4</v>
      </c>
      <c r="F222" s="9"/>
      <c r="H222" s="10">
        <f t="shared" si="17"/>
        <v>-3.7970940396181083E-2</v>
      </c>
      <c r="I222" s="10">
        <f t="shared" si="18"/>
        <v>3.7970940396181083E-2</v>
      </c>
    </row>
    <row r="223" spans="1:9" x14ac:dyDescent="0.25">
      <c r="A223" s="1">
        <v>45343</v>
      </c>
      <c r="B223" s="2">
        <f t="shared" si="19"/>
        <v>216</v>
      </c>
      <c r="C223" s="3">
        <f>+VLOOKUP(A223,Precios!$B:$H,1+$C$3,0)</f>
        <v>41.58</v>
      </c>
      <c r="D223" s="10">
        <f t="shared" si="15"/>
        <v>-2.0955968919237122E-2</v>
      </c>
      <c r="E223" s="31">
        <f t="shared" si="16"/>
        <v>4.0081414633584978E-4</v>
      </c>
      <c r="F223" s="9"/>
      <c r="H223" s="10">
        <f t="shared" si="17"/>
        <v>-3.7970940396181083E-2</v>
      </c>
      <c r="I223" s="10">
        <f t="shared" si="18"/>
        <v>3.7970940396181083E-2</v>
      </c>
    </row>
    <row r="224" spans="1:9" x14ac:dyDescent="0.25">
      <c r="A224" s="1">
        <v>45342</v>
      </c>
      <c r="B224" s="2">
        <f t="shared" si="19"/>
        <v>217</v>
      </c>
      <c r="C224" s="3">
        <f>+VLOOKUP(A224,Precios!$B:$H,1+$C$3,0)</f>
        <v>42.47</v>
      </c>
      <c r="D224" s="10">
        <f t="shared" si="15"/>
        <v>-5.8520599250936334E-3</v>
      </c>
      <c r="E224" s="31">
        <f t="shared" si="16"/>
        <v>2.4171326403149503E-5</v>
      </c>
      <c r="F224" s="9"/>
      <c r="H224" s="10">
        <f t="shared" si="17"/>
        <v>-3.7970940396181083E-2</v>
      </c>
      <c r="I224" s="10">
        <f t="shared" si="18"/>
        <v>3.7970940396181083E-2</v>
      </c>
    </row>
    <row r="225" spans="1:9" x14ac:dyDescent="0.25">
      <c r="A225" s="1">
        <v>45341</v>
      </c>
      <c r="B225" s="2">
        <f t="shared" si="19"/>
        <v>218</v>
      </c>
      <c r="C225" s="3">
        <f>+VLOOKUP(A225,Precios!$B:$H,1+$C$3,0)</f>
        <v>42.72</v>
      </c>
      <c r="D225" s="10">
        <f t="shared" si="15"/>
        <v>7.0721357850069833E-3</v>
      </c>
      <c r="E225" s="31">
        <f t="shared" si="16"/>
        <v>6.412424251291269E-5</v>
      </c>
      <c r="F225" s="9"/>
      <c r="H225" s="10">
        <f t="shared" si="17"/>
        <v>-3.7970940396181083E-2</v>
      </c>
      <c r="I225" s="10">
        <f t="shared" si="18"/>
        <v>3.7970940396181083E-2</v>
      </c>
    </row>
    <row r="226" spans="1:9" x14ac:dyDescent="0.25">
      <c r="A226" s="1">
        <v>45338</v>
      </c>
      <c r="B226" s="2">
        <f t="shared" si="19"/>
        <v>219</v>
      </c>
      <c r="C226" s="3">
        <f>+VLOOKUP(A226,Precios!$B:$H,1+$C$3,0)</f>
        <v>42.42</v>
      </c>
      <c r="D226" s="10">
        <f t="shared" si="15"/>
        <v>-5.6258790436004569E-3</v>
      </c>
      <c r="E226" s="31">
        <f t="shared" si="16"/>
        <v>2.1998477298608143E-5</v>
      </c>
      <c r="F226" s="9"/>
      <c r="H226" s="10">
        <f t="shared" si="17"/>
        <v>-3.7970940396181083E-2</v>
      </c>
      <c r="I226" s="10">
        <f t="shared" si="18"/>
        <v>3.7970940396181083E-2</v>
      </c>
    </row>
    <row r="227" spans="1:9" x14ac:dyDescent="0.25">
      <c r="A227" s="1">
        <v>45337</v>
      </c>
      <c r="B227" s="2">
        <f t="shared" si="19"/>
        <v>220</v>
      </c>
      <c r="C227" s="3">
        <f>+VLOOKUP(A227,Precios!$B:$H,1+$C$3,0)</f>
        <v>42.66</v>
      </c>
      <c r="D227" s="10">
        <f t="shared" si="15"/>
        <v>5.1837888784165287E-3</v>
      </c>
      <c r="E227" s="31">
        <f t="shared" si="16"/>
        <v>3.7447233645544565E-5</v>
      </c>
      <c r="F227" s="9"/>
      <c r="H227" s="10">
        <f t="shared" si="17"/>
        <v>-3.7970940396181083E-2</v>
      </c>
      <c r="I227" s="10">
        <f t="shared" si="18"/>
        <v>3.7970940396181083E-2</v>
      </c>
    </row>
    <row r="228" spans="1:9" x14ac:dyDescent="0.25">
      <c r="A228" s="1">
        <v>45336</v>
      </c>
      <c r="B228" s="2">
        <f t="shared" si="19"/>
        <v>221</v>
      </c>
      <c r="C228" s="3">
        <f>+VLOOKUP(A228,Precios!$B:$H,1+$C$3,0)</f>
        <v>42.44</v>
      </c>
      <c r="D228" s="10">
        <f t="shared" si="15"/>
        <v>3.546937810356976E-3</v>
      </c>
      <c r="E228" s="31">
        <f t="shared" si="16"/>
        <v>2.0093374791519935E-5</v>
      </c>
      <c r="F228" s="9"/>
      <c r="H228" s="10">
        <f t="shared" si="17"/>
        <v>-3.7970940396181083E-2</v>
      </c>
      <c r="I228" s="10">
        <f t="shared" si="18"/>
        <v>3.7970940396181083E-2</v>
      </c>
    </row>
    <row r="229" spans="1:9" x14ac:dyDescent="0.25">
      <c r="A229" s="1">
        <v>45335</v>
      </c>
      <c r="B229" s="2">
        <f t="shared" si="19"/>
        <v>222</v>
      </c>
      <c r="C229" s="3">
        <f>+VLOOKUP(A229,Precios!$B:$H,1+$C$3,0)</f>
        <v>42.29</v>
      </c>
      <c r="D229" s="10">
        <f t="shared" si="15"/>
        <v>-1.6053978594695151E-2</v>
      </c>
      <c r="E229" s="31">
        <f t="shared" si="16"/>
        <v>2.2856459705753945E-4</v>
      </c>
      <c r="F229" s="9"/>
      <c r="H229" s="10">
        <f t="shared" si="17"/>
        <v>-3.7970940396181083E-2</v>
      </c>
      <c r="I229" s="10">
        <f t="shared" si="18"/>
        <v>3.7970940396181083E-2</v>
      </c>
    </row>
    <row r="230" spans="1:9" x14ac:dyDescent="0.25">
      <c r="A230" s="1">
        <v>45334</v>
      </c>
      <c r="B230" s="2">
        <f t="shared" si="19"/>
        <v>223</v>
      </c>
      <c r="C230" s="3">
        <f>+VLOOKUP(A230,Precios!$B:$H,1+$C$3,0)</f>
        <v>42.98</v>
      </c>
      <c r="D230" s="10">
        <f t="shared" si="15"/>
        <v>8.6834076507862346E-3</v>
      </c>
      <c r="E230" s="31">
        <f t="shared" si="16"/>
        <v>9.2525800816313679E-5</v>
      </c>
      <c r="F230" s="9"/>
      <c r="H230" s="10">
        <f t="shared" si="17"/>
        <v>-3.7970940396181083E-2</v>
      </c>
      <c r="I230" s="10">
        <f t="shared" si="18"/>
        <v>3.7970940396181083E-2</v>
      </c>
    </row>
    <row r="231" spans="1:9" x14ac:dyDescent="0.25">
      <c r="A231" s="1">
        <v>45331</v>
      </c>
      <c r="B231" s="2">
        <f t="shared" si="19"/>
        <v>224</v>
      </c>
      <c r="C231" s="3">
        <f>+VLOOKUP(A231,Precios!$B:$H,1+$C$3,0)</f>
        <v>42.61</v>
      </c>
      <c r="D231" s="10">
        <f t="shared" si="15"/>
        <v>-6.7599067599067864E-3</v>
      </c>
      <c r="E231" s="31">
        <f t="shared" si="16"/>
        <v>3.3922250946945066E-5</v>
      </c>
      <c r="F231" s="9"/>
      <c r="H231" s="10">
        <f t="shared" si="17"/>
        <v>-3.7970940396181083E-2</v>
      </c>
      <c r="I231" s="10">
        <f t="shared" si="18"/>
        <v>3.7970940396181083E-2</v>
      </c>
    </row>
    <row r="232" spans="1:9" x14ac:dyDescent="0.25">
      <c r="A232" s="1">
        <v>45330</v>
      </c>
      <c r="B232" s="2">
        <f t="shared" si="19"/>
        <v>225</v>
      </c>
      <c r="C232" s="3">
        <f>+VLOOKUP(A232,Precios!$B:$H,1+$C$3,0)</f>
        <v>42.9</v>
      </c>
      <c r="D232" s="10">
        <f t="shared" si="15"/>
        <v>7.0422535211267512E-3</v>
      </c>
      <c r="E232" s="31">
        <f t="shared" si="16"/>
        <v>6.3646555384589575E-5</v>
      </c>
      <c r="F232" s="9"/>
      <c r="H232" s="10">
        <f t="shared" si="17"/>
        <v>-3.7970940396181083E-2</v>
      </c>
      <c r="I232" s="10">
        <f t="shared" si="18"/>
        <v>3.7970940396181083E-2</v>
      </c>
    </row>
    <row r="233" spans="1:9" x14ac:dyDescent="0.25">
      <c r="A233" s="1">
        <v>45329</v>
      </c>
      <c r="B233" s="2">
        <f t="shared" si="19"/>
        <v>226</v>
      </c>
      <c r="C233" s="3">
        <f>+VLOOKUP(A233,Precios!$B:$H,1+$C$3,0)</f>
        <v>42.6</v>
      </c>
      <c r="D233" s="10">
        <f t="shared" si="15"/>
        <v>3.8011695906432719E-2</v>
      </c>
      <c r="E233" s="31">
        <f t="shared" si="16"/>
        <v>1.5168938530784571E-3</v>
      </c>
      <c r="F233" s="9"/>
      <c r="H233" s="10">
        <f t="shared" si="17"/>
        <v>-3.7970940396181083E-2</v>
      </c>
      <c r="I233" s="10">
        <f t="shared" si="18"/>
        <v>3.7970940396181083E-2</v>
      </c>
    </row>
    <row r="234" spans="1:9" x14ac:dyDescent="0.25">
      <c r="A234" s="1">
        <v>45328</v>
      </c>
      <c r="B234" s="2">
        <f t="shared" si="19"/>
        <v>227</v>
      </c>
      <c r="C234" s="3">
        <f>+VLOOKUP(A234,Precios!$B:$H,1+$C$3,0)</f>
        <v>41.04</v>
      </c>
      <c r="D234" s="10">
        <f t="shared" si="15"/>
        <v>1.2333497779970504E-2</v>
      </c>
      <c r="E234" s="31">
        <f t="shared" si="16"/>
        <v>1.7606963546129065E-4</v>
      </c>
      <c r="F234" s="9"/>
      <c r="H234" s="10">
        <f t="shared" si="17"/>
        <v>-3.7970940396181083E-2</v>
      </c>
      <c r="I234" s="10">
        <f t="shared" si="18"/>
        <v>3.7970940396181083E-2</v>
      </c>
    </row>
    <row r="235" spans="1:9" x14ac:dyDescent="0.25">
      <c r="A235" s="1">
        <v>45324</v>
      </c>
      <c r="B235" s="2">
        <f t="shared" si="19"/>
        <v>228</v>
      </c>
      <c r="C235" s="3">
        <f>+VLOOKUP(A235,Precios!$B:$H,1+$C$3,0)</f>
        <v>40.54</v>
      </c>
      <c r="D235" s="10">
        <f t="shared" si="15"/>
        <v>-1.231830500123321E-3</v>
      </c>
      <c r="E235" s="31">
        <f t="shared" si="16"/>
        <v>8.7737338651196728E-8</v>
      </c>
      <c r="F235" s="9"/>
      <c r="H235" s="10">
        <f t="shared" si="17"/>
        <v>-3.7970940396181083E-2</v>
      </c>
      <c r="I235" s="10">
        <f t="shared" si="18"/>
        <v>3.7970940396181083E-2</v>
      </c>
    </row>
    <row r="236" spans="1:9" x14ac:dyDescent="0.25">
      <c r="A236" s="1">
        <v>45323</v>
      </c>
      <c r="B236" s="2">
        <f t="shared" si="19"/>
        <v>229</v>
      </c>
      <c r="C236" s="3">
        <f>+VLOOKUP(A236,Precios!$B:$H,1+$C$3,0)</f>
        <v>40.590000000000003</v>
      </c>
      <c r="D236" s="10">
        <f t="shared" si="15"/>
        <v>4.4543429844099425E-3</v>
      </c>
      <c r="E236" s="31">
        <f t="shared" si="16"/>
        <v>2.9051761417459309E-5</v>
      </c>
      <c r="F236" s="9"/>
      <c r="H236" s="10">
        <f t="shared" si="17"/>
        <v>-3.7970940396181083E-2</v>
      </c>
      <c r="I236" s="10">
        <f t="shared" si="18"/>
        <v>3.7970940396181083E-2</v>
      </c>
    </row>
    <row r="237" spans="1:9" x14ac:dyDescent="0.25">
      <c r="A237" s="1">
        <v>45322</v>
      </c>
      <c r="B237" s="2">
        <f t="shared" si="19"/>
        <v>230</v>
      </c>
      <c r="C237" s="3">
        <f>+VLOOKUP(A237,Precios!$B:$H,1+$C$3,0)</f>
        <v>40.409999999999997</v>
      </c>
      <c r="D237" s="10">
        <f t="shared" si="15"/>
        <v>-5.4147181885307871E-3</v>
      </c>
      <c r="E237" s="31">
        <f t="shared" si="16"/>
        <v>2.0062270353031939E-5</v>
      </c>
      <c r="F237" s="9"/>
      <c r="H237" s="10">
        <f t="shared" si="17"/>
        <v>-3.7970940396181083E-2</v>
      </c>
      <c r="I237" s="10">
        <f t="shared" si="18"/>
        <v>3.7970940396181083E-2</v>
      </c>
    </row>
    <row r="238" spans="1:9" x14ac:dyDescent="0.25">
      <c r="A238" s="1">
        <v>45321</v>
      </c>
      <c r="B238" s="2">
        <f t="shared" si="19"/>
        <v>231</v>
      </c>
      <c r="C238" s="3">
        <f>+VLOOKUP(A238,Precios!$B:$H,1+$C$3,0)</f>
        <v>40.630000000000003</v>
      </c>
      <c r="D238" s="10">
        <f t="shared" si="15"/>
        <v>-1.4745637748831975E-3</v>
      </c>
      <c r="E238" s="31">
        <f t="shared" si="16"/>
        <v>2.9045434869394604E-7</v>
      </c>
      <c r="F238" s="9"/>
      <c r="H238" s="10">
        <f t="shared" si="17"/>
        <v>-3.7970940396181083E-2</v>
      </c>
      <c r="I238" s="10">
        <f t="shared" si="18"/>
        <v>3.7970940396181083E-2</v>
      </c>
    </row>
    <row r="239" spans="1:9" x14ac:dyDescent="0.25">
      <c r="A239" s="1">
        <v>45320</v>
      </c>
      <c r="B239" s="2">
        <f t="shared" si="19"/>
        <v>232</v>
      </c>
      <c r="C239" s="3">
        <f>+VLOOKUP(A239,Precios!$B:$H,1+$C$3,0)</f>
        <v>40.69</v>
      </c>
      <c r="D239" s="10">
        <f t="shared" si="15"/>
        <v>1.969958138389627E-3</v>
      </c>
      <c r="E239" s="31">
        <f t="shared" si="16"/>
        <v>8.4424169020511773E-6</v>
      </c>
      <c r="F239" s="9"/>
      <c r="H239" s="10">
        <f t="shared" si="17"/>
        <v>-3.7970940396181083E-2</v>
      </c>
      <c r="I239" s="10">
        <f t="shared" si="18"/>
        <v>3.7970940396181083E-2</v>
      </c>
    </row>
    <row r="240" spans="1:9" x14ac:dyDescent="0.25">
      <c r="A240" s="1">
        <v>45317</v>
      </c>
      <c r="B240" s="2">
        <f t="shared" si="19"/>
        <v>233</v>
      </c>
      <c r="C240" s="3">
        <f>+VLOOKUP(A240,Precios!$B:$H,1+$C$3,0)</f>
        <v>40.61</v>
      </c>
      <c r="D240" s="10">
        <f t="shared" si="15"/>
        <v>-1.3602137478746723E-2</v>
      </c>
      <c r="E240" s="31">
        <f t="shared" si="16"/>
        <v>1.6044052299457763E-4</v>
      </c>
      <c r="F240" s="9"/>
      <c r="H240" s="10">
        <f t="shared" si="17"/>
        <v>-3.7970940396181083E-2</v>
      </c>
      <c r="I240" s="10">
        <f t="shared" si="18"/>
        <v>3.7970940396181083E-2</v>
      </c>
    </row>
    <row r="241" spans="1:9" x14ac:dyDescent="0.25">
      <c r="A241" s="1">
        <v>45316</v>
      </c>
      <c r="B241" s="2">
        <f t="shared" si="19"/>
        <v>234</v>
      </c>
      <c r="C241" s="3">
        <f>+VLOOKUP(A241,Precios!$B:$H,1+$C$3,0)</f>
        <v>41.17</v>
      </c>
      <c r="D241" s="10">
        <f t="shared" si="15"/>
        <v>3.0280280280280403E-2</v>
      </c>
      <c r="E241" s="31">
        <f t="shared" si="16"/>
        <v>9.7443278036976524E-4</v>
      </c>
      <c r="F241" s="9"/>
      <c r="H241" s="10">
        <f t="shared" si="17"/>
        <v>-3.7970940396181083E-2</v>
      </c>
      <c r="I241" s="10">
        <f t="shared" si="18"/>
        <v>3.7970940396181083E-2</v>
      </c>
    </row>
    <row r="242" spans="1:9" x14ac:dyDescent="0.25">
      <c r="A242" s="1">
        <v>45315</v>
      </c>
      <c r="B242" s="2">
        <f t="shared" si="19"/>
        <v>235</v>
      </c>
      <c r="C242" s="3">
        <f>+VLOOKUP(A242,Precios!$B:$H,1+$C$3,0)</f>
        <v>39.96</v>
      </c>
      <c r="D242" s="10">
        <f t="shared" si="15"/>
        <v>3.7678975131876236E-3</v>
      </c>
      <c r="E242" s="31">
        <f t="shared" si="16"/>
        <v>2.2123129743076415E-5</v>
      </c>
      <c r="F242" s="9"/>
      <c r="H242" s="10">
        <f t="shared" si="17"/>
        <v>-3.7970940396181083E-2</v>
      </c>
      <c r="I242" s="10">
        <f t="shared" si="18"/>
        <v>3.7970940396181083E-2</v>
      </c>
    </row>
    <row r="243" spans="1:9" x14ac:dyDescent="0.25">
      <c r="A243" s="1">
        <v>45314</v>
      </c>
      <c r="B243" s="2">
        <f t="shared" si="19"/>
        <v>236</v>
      </c>
      <c r="C243" s="3">
        <f>+VLOOKUP(A243,Precios!$B:$H,1+$C$3,0)</f>
        <v>39.81</v>
      </c>
      <c r="D243" s="10">
        <f t="shared" si="15"/>
        <v>3.2762096774194838E-3</v>
      </c>
      <c r="E243" s="31">
        <f t="shared" si="16"/>
        <v>1.773955646391991E-5</v>
      </c>
      <c r="F243" s="9"/>
      <c r="H243" s="10">
        <f t="shared" si="17"/>
        <v>-3.7970940396181083E-2</v>
      </c>
      <c r="I243" s="10">
        <f t="shared" si="18"/>
        <v>3.7970940396181083E-2</v>
      </c>
    </row>
    <row r="244" spans="1:9" x14ac:dyDescent="0.25">
      <c r="A244" s="1">
        <v>45313</v>
      </c>
      <c r="B244" s="2">
        <f t="shared" si="19"/>
        <v>237</v>
      </c>
      <c r="C244" s="3">
        <f>+VLOOKUP(A244,Precios!$B:$H,1+$C$3,0)</f>
        <v>39.68</v>
      </c>
      <c r="D244" s="10">
        <f t="shared" si="15"/>
        <v>-9.4857713429855606E-3</v>
      </c>
      <c r="E244" s="31">
        <f t="shared" si="16"/>
        <v>7.3104992104888961E-5</v>
      </c>
      <c r="F244" s="9"/>
      <c r="H244" s="10">
        <f t="shared" si="17"/>
        <v>-3.7970940396181083E-2</v>
      </c>
      <c r="I244" s="10">
        <f t="shared" si="18"/>
        <v>3.7970940396181083E-2</v>
      </c>
    </row>
    <row r="245" spans="1:9" x14ac:dyDescent="0.25">
      <c r="A245" s="1">
        <v>45310</v>
      </c>
      <c r="B245" s="2">
        <f t="shared" si="19"/>
        <v>238</v>
      </c>
      <c r="C245" s="3">
        <f>+VLOOKUP(A245,Precios!$B:$H,1+$C$3,0)</f>
        <v>40.06</v>
      </c>
      <c r="D245" s="10">
        <f t="shared" si="15"/>
        <v>3.0045067601403019E-3</v>
      </c>
      <c r="E245" s="31">
        <f t="shared" si="16"/>
        <v>1.5524643071371475E-5</v>
      </c>
      <c r="F245" s="9"/>
      <c r="H245" s="10">
        <f t="shared" si="17"/>
        <v>-3.7970940396181083E-2</v>
      </c>
      <c r="I245" s="10">
        <f t="shared" si="18"/>
        <v>3.7970940396181083E-2</v>
      </c>
    </row>
    <row r="246" spans="1:9" x14ac:dyDescent="0.25">
      <c r="A246" s="1">
        <v>45309</v>
      </c>
      <c r="B246" s="2">
        <f t="shared" si="19"/>
        <v>239</v>
      </c>
      <c r="C246" s="3">
        <f>+VLOOKUP(A246,Precios!$B:$H,1+$C$3,0)</f>
        <v>39.94</v>
      </c>
      <c r="D246" s="10">
        <f t="shared" si="15"/>
        <v>7.8002699055330638E-2</v>
      </c>
      <c r="E246" s="31">
        <f t="shared" si="16"/>
        <v>6.231259100511242E-3</v>
      </c>
      <c r="F246" s="9"/>
      <c r="H246" s="10">
        <f t="shared" si="17"/>
        <v>-3.7970940396181083E-2</v>
      </c>
      <c r="I246" s="10">
        <f t="shared" si="18"/>
        <v>3.7970940396181083E-2</v>
      </c>
    </row>
    <row r="247" spans="1:9" x14ac:dyDescent="0.25">
      <c r="A247" s="1">
        <v>45308</v>
      </c>
      <c r="B247" s="2">
        <f t="shared" si="19"/>
        <v>240</v>
      </c>
      <c r="C247" s="3">
        <f>+VLOOKUP(A247,Precios!$B:$H,1+$C$3,0)</f>
        <v>37.049999999999997</v>
      </c>
      <c r="D247" s="10">
        <f t="shared" si="15"/>
        <v>-6.3447927199191234E-2</v>
      </c>
      <c r="E247" s="31">
        <f t="shared" si="16"/>
        <v>3.9077878503406219E-3</v>
      </c>
      <c r="F247" s="9"/>
      <c r="H247" s="10">
        <f t="shared" si="17"/>
        <v>-3.7970940396181083E-2</v>
      </c>
      <c r="I247" s="10">
        <f t="shared" si="18"/>
        <v>3.7970940396181083E-2</v>
      </c>
    </row>
    <row r="248" spans="1:9" x14ac:dyDescent="0.25">
      <c r="A248" s="1">
        <v>45307</v>
      </c>
      <c r="B248" s="2">
        <f t="shared" si="19"/>
        <v>241</v>
      </c>
      <c r="C248" s="3">
        <f>+VLOOKUP(A248,Precios!$B:$H,1+$C$3,0)</f>
        <v>39.56</v>
      </c>
      <c r="D248" s="10">
        <f t="shared" si="15"/>
        <v>-2.8009828009827986E-2</v>
      </c>
      <c r="E248" s="31">
        <f t="shared" si="16"/>
        <v>7.3301243574390375E-4</v>
      </c>
      <c r="F248" s="9"/>
      <c r="H248" s="10">
        <f t="shared" si="17"/>
        <v>-3.7970940396181083E-2</v>
      </c>
      <c r="I248" s="10">
        <f t="shared" si="18"/>
        <v>3.7970940396181083E-2</v>
      </c>
    </row>
    <row r="249" spans="1:9" x14ac:dyDescent="0.25">
      <c r="A249" s="1">
        <v>45306</v>
      </c>
      <c r="B249" s="2">
        <f t="shared" si="19"/>
        <v>242</v>
      </c>
      <c r="C249" s="3">
        <f>+VLOOKUP(A249,Precios!$B:$H,1+$C$3,0)</f>
        <v>40.700000000000003</v>
      </c>
      <c r="D249" s="10">
        <f t="shared" si="15"/>
        <v>2.1329987452948673E-2</v>
      </c>
      <c r="E249" s="31">
        <f t="shared" si="16"/>
        <v>4.9575752493979204E-4</v>
      </c>
      <c r="F249" s="9"/>
      <c r="H249" s="10">
        <f t="shared" si="17"/>
        <v>-3.7970940396181083E-2</v>
      </c>
      <c r="I249" s="10">
        <f t="shared" si="18"/>
        <v>3.7970940396181083E-2</v>
      </c>
    </row>
    <row r="250" spans="1:9" x14ac:dyDescent="0.25">
      <c r="A250" s="1">
        <v>45303</v>
      </c>
      <c r="B250" s="2">
        <f t="shared" si="19"/>
        <v>243</v>
      </c>
      <c r="C250" s="3">
        <f>+VLOOKUP(A250,Precios!$B:$H,1+$C$3,0)</f>
        <v>39.85</v>
      </c>
      <c r="D250" s="10">
        <f t="shared" si="15"/>
        <v>-3.6508704061895547E-2</v>
      </c>
      <c r="E250" s="31">
        <f t="shared" si="16"/>
        <v>1.2654439107510679E-3</v>
      </c>
      <c r="F250" s="9"/>
      <c r="H250" s="10">
        <f t="shared" si="17"/>
        <v>-3.7970940396181083E-2</v>
      </c>
      <c r="I250" s="10">
        <f t="shared" si="18"/>
        <v>3.7970940396181083E-2</v>
      </c>
    </row>
    <row r="251" spans="1:9" x14ac:dyDescent="0.25">
      <c r="A251" s="1">
        <v>45302</v>
      </c>
      <c r="B251" s="2">
        <f t="shared" si="19"/>
        <v>244</v>
      </c>
      <c r="C251" s="3">
        <f>+VLOOKUP(A251,Precios!$B:$H,1+$C$3,0)</f>
        <v>41.36</v>
      </c>
      <c r="D251" s="10">
        <f t="shared" si="15"/>
        <v>1.447142506745136E-2</v>
      </c>
      <c r="E251" s="31">
        <f t="shared" si="16"/>
        <v>2.3737721048818104E-4</v>
      </c>
      <c r="F251" s="9"/>
      <c r="H251" s="10">
        <f t="shared" si="17"/>
        <v>-3.7970940396181083E-2</v>
      </c>
      <c r="I251" s="10">
        <f t="shared" si="18"/>
        <v>3.7970940396181083E-2</v>
      </c>
    </row>
    <row r="252" spans="1:9" x14ac:dyDescent="0.25">
      <c r="A252" s="1">
        <v>45301</v>
      </c>
      <c r="B252" s="2">
        <f t="shared" si="19"/>
        <v>245</v>
      </c>
      <c r="C252" s="3">
        <f>+VLOOKUP(A252,Precios!$B:$H,1+$C$3,0)</f>
        <v>40.770000000000003</v>
      </c>
      <c r="D252" s="10">
        <f t="shared" si="15"/>
        <v>-6.5789473684209065E-3</v>
      </c>
      <c r="E252" s="31">
        <f t="shared" si="16"/>
        <v>3.1847080501802668E-5</v>
      </c>
      <c r="F252" s="9"/>
      <c r="H252" s="10">
        <f t="shared" si="17"/>
        <v>-3.7970940396181083E-2</v>
      </c>
      <c r="I252" s="10">
        <f t="shared" si="18"/>
        <v>3.7970940396181083E-2</v>
      </c>
    </row>
    <row r="253" spans="1:9" x14ac:dyDescent="0.25">
      <c r="A253" s="1">
        <v>45300</v>
      </c>
      <c r="B253" s="2">
        <f t="shared" si="19"/>
        <v>246</v>
      </c>
      <c r="C253" s="3">
        <f>+VLOOKUP(A253,Precios!$B:$H,1+$C$3,0)</f>
        <v>41.04</v>
      </c>
      <c r="D253" s="10">
        <f t="shared" si="15"/>
        <v>-1.6299137104506256E-2</v>
      </c>
      <c r="E253" s="31">
        <f t="shared" si="16"/>
        <v>2.3603748553094667E-4</v>
      </c>
      <c r="F253" s="9"/>
      <c r="H253" s="10">
        <f t="shared" si="17"/>
        <v>-3.7970940396181083E-2</v>
      </c>
      <c r="I253" s="10">
        <f t="shared" si="18"/>
        <v>3.7970940396181083E-2</v>
      </c>
    </row>
    <row r="254" spans="1:9" x14ac:dyDescent="0.25">
      <c r="A254" s="1">
        <v>45299</v>
      </c>
      <c r="B254" s="2">
        <f t="shared" si="19"/>
        <v>247</v>
      </c>
      <c r="C254" s="3">
        <f>+VLOOKUP(A254,Precios!$B:$H,1+$C$3,0)</f>
        <v>41.72</v>
      </c>
      <c r="D254" s="10">
        <f t="shared" si="15"/>
        <v>-2.2950819672131195E-2</v>
      </c>
      <c r="E254" s="31">
        <f t="shared" si="16"/>
        <v>4.846687697210026E-4</v>
      </c>
      <c r="F254" s="9"/>
      <c r="H254" s="10">
        <f t="shared" si="17"/>
        <v>-3.7970940396181083E-2</v>
      </c>
      <c r="I254" s="10">
        <f t="shared" si="18"/>
        <v>3.7970940396181083E-2</v>
      </c>
    </row>
    <row r="255" spans="1:9" x14ac:dyDescent="0.25">
      <c r="A255" s="1">
        <v>45296</v>
      </c>
      <c r="B255" s="2">
        <f t="shared" si="19"/>
        <v>248</v>
      </c>
      <c r="C255" s="3">
        <f>+VLOOKUP(A255,Precios!$B:$H,1+$C$3,0)</f>
        <v>42.7</v>
      </c>
      <c r="D255" s="10">
        <f t="shared" si="15"/>
        <v>3.6659383345472252E-2</v>
      </c>
      <c r="E255" s="31">
        <f t="shared" si="16"/>
        <v>1.4133846981439573E-3</v>
      </c>
      <c r="F255" s="9"/>
      <c r="H255" s="10">
        <f t="shared" si="17"/>
        <v>-3.7970940396181083E-2</v>
      </c>
      <c r="I255" s="10">
        <f t="shared" si="18"/>
        <v>3.7970940396181083E-2</v>
      </c>
    </row>
    <row r="256" spans="1:9" x14ac:dyDescent="0.25">
      <c r="A256" s="1">
        <v>45295</v>
      </c>
      <c r="B256" s="2">
        <f t="shared" si="19"/>
        <v>249</v>
      </c>
      <c r="C256" s="3">
        <f>+VLOOKUP(A256,Precios!$B:$H,1+$C$3,0)</f>
        <v>41.19</v>
      </c>
      <c r="D256" s="10">
        <f t="shared" si="15"/>
        <v>-1.1044417767106851E-2</v>
      </c>
      <c r="E256" s="31">
        <f t="shared" si="16"/>
        <v>1.0218767893422416E-4</v>
      </c>
      <c r="F256" s="9"/>
      <c r="H256" s="10">
        <f t="shared" si="17"/>
        <v>-3.7970940396181083E-2</v>
      </c>
      <c r="I256" s="10">
        <f t="shared" si="18"/>
        <v>3.7970940396181083E-2</v>
      </c>
    </row>
    <row r="257" spans="1:9" x14ac:dyDescent="0.25">
      <c r="A257" s="1">
        <v>45294</v>
      </c>
      <c r="B257" s="2">
        <f t="shared" si="19"/>
        <v>250</v>
      </c>
      <c r="C257" s="3">
        <f>+VLOOKUP(A257,Precios!$B:$H,1+$C$3,0)</f>
        <v>41.65</v>
      </c>
      <c r="D257" s="10">
        <f t="shared" si="15"/>
        <v>-3.5656401944894611E-2</v>
      </c>
      <c r="E257" s="31">
        <f t="shared" si="16"/>
        <v>1.2055323094991863E-3</v>
      </c>
      <c r="F257" s="9"/>
      <c r="H257" s="10">
        <f t="shared" si="17"/>
        <v>-3.7970940396181083E-2</v>
      </c>
      <c r="I257" s="10">
        <f t="shared" si="18"/>
        <v>3.7970940396181083E-2</v>
      </c>
    </row>
    <row r="258" spans="1:9" x14ac:dyDescent="0.25">
      <c r="A258" s="1">
        <v>45293</v>
      </c>
      <c r="B258" s="2">
        <f t="shared" si="19"/>
        <v>251</v>
      </c>
      <c r="C258" s="3">
        <f>+VLOOKUP(A258,Precios!$B:$H,1+$C$3,0)</f>
        <v>43.19</v>
      </c>
      <c r="D258" s="10">
        <f t="shared" si="15"/>
        <v>-1.1670480549199169E-2</v>
      </c>
      <c r="E258" s="31">
        <f t="shared" si="16"/>
        <v>1.1523711062791965E-4</v>
      </c>
      <c r="F258" s="9"/>
      <c r="H258" s="10">
        <f t="shared" si="17"/>
        <v>-3.7970940396181083E-2</v>
      </c>
      <c r="I258" s="10">
        <f t="shared" si="18"/>
        <v>3.7970940396181083E-2</v>
      </c>
    </row>
    <row r="259" spans="1:9" x14ac:dyDescent="0.25">
      <c r="A259" s="1">
        <v>45289</v>
      </c>
      <c r="B259" s="2">
        <f t="shared" si="19"/>
        <v>252</v>
      </c>
      <c r="C259" s="3">
        <f>+VLOOKUP(A259,Precios!$B:$H,1+$C$3,0)</f>
        <v>43.7</v>
      </c>
      <c r="D259" s="10">
        <f t="shared" si="15"/>
        <v>5.9852670349909154E-3</v>
      </c>
      <c r="E259" s="31">
        <f t="shared" si="16"/>
        <v>4.7898754963342569E-5</v>
      </c>
      <c r="F259" s="9"/>
      <c r="H259" s="10"/>
      <c r="I259" s="10"/>
    </row>
    <row r="260" spans="1:9" x14ac:dyDescent="0.25">
      <c r="A260" s="1">
        <v>45288</v>
      </c>
      <c r="B260" s="2">
        <f t="shared" ref="B260" si="20">+B259+1</f>
        <v>253</v>
      </c>
      <c r="C260" s="3">
        <f>+VLOOKUP(A260,Precios!$B:$H,1+$C$3,0)</f>
        <v>43.44</v>
      </c>
      <c r="D260" s="10"/>
      <c r="E260" s="31"/>
      <c r="F260" s="9"/>
    </row>
    <row r="261" spans="1:9" x14ac:dyDescent="0.25">
      <c r="A261" s="1"/>
      <c r="B261" s="2"/>
      <c r="C261" s="3"/>
      <c r="D261" s="10"/>
      <c r="E261" s="9"/>
      <c r="F261" s="9"/>
      <c r="H261" s="22"/>
      <c r="I261" s="22"/>
    </row>
    <row r="262" spans="1:9" x14ac:dyDescent="0.25">
      <c r="A262" s="1"/>
      <c r="B262" s="2"/>
      <c r="C262" s="3"/>
      <c r="D262" s="10"/>
      <c r="E262" s="9"/>
      <c r="F262" s="9"/>
      <c r="H262" s="22"/>
    </row>
    <row r="263" spans="1:9" x14ac:dyDescent="0.25">
      <c r="A263" s="1"/>
      <c r="B263" s="2"/>
      <c r="D263" s="3"/>
      <c r="E263" s="17" t="s">
        <v>17</v>
      </c>
      <c r="F263" s="17" t="s">
        <v>18</v>
      </c>
    </row>
    <row r="264" spans="1:9" x14ac:dyDescent="0.25">
      <c r="A264" s="1"/>
      <c r="B264" s="2"/>
      <c r="D264" s="12" t="s">
        <v>8</v>
      </c>
      <c r="E264" s="32">
        <f>AVERAGE(D8:D259)</f>
        <v>-9.3562560709959536E-4</v>
      </c>
      <c r="F264" t="s">
        <v>39</v>
      </c>
      <c r="H264" s="23"/>
      <c r="I264" s="23"/>
    </row>
    <row r="265" spans="1:9" x14ac:dyDescent="0.25">
      <c r="A265" s="4"/>
      <c r="B265" s="5"/>
      <c r="E265" s="11"/>
    </row>
    <row r="266" spans="1:9" x14ac:dyDescent="0.25">
      <c r="D266" s="6" t="s">
        <v>9</v>
      </c>
      <c r="E266" s="14">
        <f>SQRT(SUM(E8:E259)/(COUNT(E8:E259)-1))</f>
        <v>1.8985470198090541E-2</v>
      </c>
      <c r="F266" s="40">
        <f>E266*SQRT(252)</f>
        <v>0.30138499600665458</v>
      </c>
      <c r="G266" s="42"/>
    </row>
    <row r="267" spans="1:9" x14ac:dyDescent="0.25">
      <c r="B267" s="37"/>
      <c r="E267" s="15"/>
    </row>
    <row r="268" spans="1:9" x14ac:dyDescent="0.25">
      <c r="D268" s="6"/>
      <c r="E268" s="14"/>
      <c r="F268" s="10"/>
    </row>
    <row r="270" spans="1:9" x14ac:dyDescent="0.25">
      <c r="F27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Drop Down 6">
              <controlPr defaultSize="0" autoLine="0" autoPict="0">
                <anchor moveWithCells="1">
                  <from>
                    <xdr:col>1</xdr:col>
                    <xdr:colOff>914400</xdr:colOff>
                    <xdr:row>1</xdr:row>
                    <xdr:rowOff>161925</xdr:rowOff>
                  </from>
                  <to>
                    <xdr:col>3</xdr:col>
                    <xdr:colOff>361950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1"/>
  <dimension ref="A1:XEZ269"/>
  <sheetViews>
    <sheetView tabSelected="1" zoomScaleNormal="100" workbookViewId="0">
      <pane xSplit="1" ySplit="6" topLeftCell="B7" activePane="bottomRight" state="frozen"/>
      <selection pane="topRight" activeCell="B1" sqref="B1"/>
      <selection pane="bottomLeft" activeCell="A3" sqref="A3"/>
      <selection pane="bottomRight" activeCell="C4" sqref="C4"/>
    </sheetView>
  </sheetViews>
  <sheetFormatPr baseColWidth="10" defaultColWidth="11.42578125" defaultRowHeight="15" x14ac:dyDescent="0.25"/>
  <cols>
    <col min="2" max="2" width="14.42578125" bestFit="1" customWidth="1"/>
    <col min="4" max="4" width="15" customWidth="1"/>
    <col min="5" max="5" width="9.42578125" customWidth="1"/>
    <col min="6" max="6" width="15.85546875" bestFit="1" customWidth="1"/>
    <col min="8" max="8" width="2.85546875" customWidth="1"/>
    <col min="9" max="9" width="12.42578125" customWidth="1"/>
    <col min="11" max="12" width="16.42578125" customWidth="1"/>
  </cols>
  <sheetData>
    <row r="1" spans="1:14 16380:16380" ht="32.450000000000003" customHeight="1" x14ac:dyDescent="0.35">
      <c r="A1" s="20" t="s">
        <v>13</v>
      </c>
    </row>
    <row r="2" spans="1:14 16380:16380" ht="4.5" customHeight="1" x14ac:dyDescent="0.35">
      <c r="A2" s="20"/>
    </row>
    <row r="3" spans="1:14 16380:16380" ht="50.25" customHeight="1" x14ac:dyDescent="0.25">
      <c r="B3" s="12" t="s">
        <v>28</v>
      </c>
      <c r="C3">
        <v>4</v>
      </c>
      <c r="F3" s="19" t="s">
        <v>16</v>
      </c>
      <c r="G3" s="36">
        <f>SQRT((1-C4)*SUM(G8:G259))</f>
        <v>3.1824164871352992E-2</v>
      </c>
      <c r="I3" s="46" t="s">
        <v>37</v>
      </c>
      <c r="J3" s="45" cm="1">
        <f t="array" ref="J3">Vol_Dinamica(D8:D259)</f>
        <v>0.49776134475151751</v>
      </c>
    </row>
    <row r="4" spans="1:14 16380:16380" ht="23.45" customHeight="1" x14ac:dyDescent="0.25">
      <c r="B4" s="25" t="s">
        <v>2</v>
      </c>
      <c r="C4" s="43">
        <v>0.89447768205978329</v>
      </c>
      <c r="D4" s="29"/>
      <c r="F4" s="19" t="s">
        <v>15</v>
      </c>
      <c r="G4" s="26">
        <f>G3*SQRT(252)</f>
        <v>0.50519295559150723</v>
      </c>
      <c r="J4" s="26">
        <f>J7*SQRT(252)</f>
        <v>0.5051929555915069</v>
      </c>
      <c r="K4" s="29">
        <f>SQRT(SUM(K8:K258)/COUNT(K8:K258))</f>
        <v>1.7763226432879545E-3</v>
      </c>
    </row>
    <row r="5" spans="1:14 16380:16380" x14ac:dyDescent="0.25">
      <c r="D5" t="s">
        <v>40</v>
      </c>
      <c r="E5" s="12"/>
      <c r="F5" s="51" t="s">
        <v>21</v>
      </c>
      <c r="G5" s="52"/>
      <c r="I5" s="53" t="s">
        <v>22</v>
      </c>
      <c r="J5" s="54"/>
      <c r="M5" s="17" t="s">
        <v>14</v>
      </c>
      <c r="N5" s="30">
        <v>2</v>
      </c>
    </row>
    <row r="6" spans="1:14 16380:16380" ht="18" x14ac:dyDescent="0.35">
      <c r="A6" s="7" t="s">
        <v>0</v>
      </c>
      <c r="B6" s="7" t="s">
        <v>6</v>
      </c>
      <c r="C6" s="8" t="s">
        <v>30</v>
      </c>
      <c r="D6" s="8" t="s">
        <v>1</v>
      </c>
      <c r="E6" s="7" t="s">
        <v>3</v>
      </c>
      <c r="F6" s="7" t="s">
        <v>5</v>
      </c>
      <c r="G6" s="7" t="s">
        <v>7</v>
      </c>
      <c r="I6" s="7" t="s">
        <v>10</v>
      </c>
      <c r="J6" s="7" t="s">
        <v>11</v>
      </c>
      <c r="K6" s="16" t="s">
        <v>36</v>
      </c>
      <c r="L6" s="16"/>
      <c r="M6" s="24" t="s">
        <v>19</v>
      </c>
      <c r="N6" s="24" t="s">
        <v>20</v>
      </c>
    </row>
    <row r="7" spans="1:14 16380:16380" x14ac:dyDescent="0.25">
      <c r="A7" s="16"/>
      <c r="B7" s="16"/>
      <c r="C7" s="17"/>
      <c r="D7" s="17"/>
      <c r="E7" s="16"/>
      <c r="F7" s="16"/>
      <c r="G7" s="16"/>
      <c r="I7" s="21">
        <f>(1-$C$4)*E8+$C$4*I8</f>
        <v>1.0127774697590566E-3</v>
      </c>
      <c r="J7" s="41">
        <f>SQRT(I7)</f>
        <v>3.1824164871352971E-2</v>
      </c>
      <c r="K7" s="13"/>
      <c r="L7" s="13"/>
    </row>
    <row r="8" spans="1:14 16380:16380" x14ac:dyDescent="0.25">
      <c r="A8" s="1">
        <v>45657</v>
      </c>
      <c r="B8" s="2">
        <v>1</v>
      </c>
      <c r="C8" s="3">
        <f>+VLOOKUP(A8,Precios!$B:$H,1+$C$3,0)</f>
        <v>266.2</v>
      </c>
      <c r="D8" s="10">
        <f>C8/C9-1</f>
        <v>2.9349213100807958E-2</v>
      </c>
      <c r="E8" s="38">
        <f>(D8)^2</f>
        <v>8.6137630963663747E-4</v>
      </c>
      <c r="F8" s="27">
        <f>$C$4^(B8-1)</f>
        <v>1</v>
      </c>
      <c r="G8" s="28">
        <f>+E8*F8</f>
        <v>8.6137630963663747E-4</v>
      </c>
      <c r="I8" s="21">
        <f t="shared" ref="I8:I71" si="0">(1-$C$4)*E9+$C$4*I9</f>
        <v>1.0306383976227524E-3</v>
      </c>
      <c r="J8" s="47">
        <f t="shared" ref="J8:J71" si="1">SQRT(I8)</f>
        <v>3.2103557398250313E-2</v>
      </c>
      <c r="K8" s="44">
        <f>(E8-I8)^2</f>
        <v>2.8649654429419308E-8</v>
      </c>
      <c r="L8" s="13"/>
      <c r="M8" s="10">
        <f>-J8*$N$5</f>
        <v>-6.4207114796500625E-2</v>
      </c>
      <c r="N8" s="10">
        <f>+J8*$N$5</f>
        <v>6.4207114796500625E-2</v>
      </c>
      <c r="XEZ8" s="17" t="s">
        <v>31</v>
      </c>
    </row>
    <row r="9" spans="1:14 16380:16380" x14ac:dyDescent="0.25">
      <c r="A9" s="1">
        <v>45656</v>
      </c>
      <c r="B9" s="2">
        <f>+B8+1</f>
        <v>2</v>
      </c>
      <c r="C9" s="3">
        <f>+VLOOKUP(A9,Precios!$B:$H,1+$C$3,0)</f>
        <v>258.61</v>
      </c>
      <c r="D9" s="10">
        <f t="shared" ref="D9:D72" si="2">C9/C10-1</f>
        <v>-4.9786890064667855E-2</v>
      </c>
      <c r="E9" s="38">
        <f t="shared" ref="E9:E72" si="3">(D9)^2</f>
        <v>2.4787344223113229E-3</v>
      </c>
      <c r="F9" s="27">
        <f t="shared" ref="F9:F72" si="4">$C$4^(B9-1)</f>
        <v>0.89447768205978329</v>
      </c>
      <c r="G9" s="28">
        <f t="shared" ref="G9:G72" si="5">+E9*F9</f>
        <v>2.2171726205108279E-3</v>
      </c>
      <c r="I9" s="21">
        <f t="shared" si="0"/>
        <v>8.5980523745572386E-4</v>
      </c>
      <c r="J9" s="47">
        <f t="shared" si="1"/>
        <v>2.9322435735383987E-2</v>
      </c>
      <c r="K9" s="44">
        <f t="shared" ref="K9:K72" si="6">(E9-I9)^2</f>
        <v>2.6209317055772143E-6</v>
      </c>
      <c r="L9" s="13"/>
      <c r="M9" s="10">
        <f t="shared" ref="M9:M72" si="7">-J9*$N$5</f>
        <v>-5.8644871470767974E-2</v>
      </c>
      <c r="N9" s="10">
        <f t="shared" ref="N9:N72" si="8">+J9*$N$5</f>
        <v>5.8644871470767974E-2</v>
      </c>
      <c r="XEZ9" s="17" t="s">
        <v>32</v>
      </c>
    </row>
    <row r="10" spans="1:14 16380:16380" x14ac:dyDescent="0.25">
      <c r="A10" s="1">
        <v>45653</v>
      </c>
      <c r="B10" s="2">
        <f t="shared" ref="B10:B73" si="9">+B9+1</f>
        <v>3</v>
      </c>
      <c r="C10" s="3">
        <f>+VLOOKUP(A10,Precios!$B:$H,1+$C$3,0)</f>
        <v>272.16000000000003</v>
      </c>
      <c r="D10" s="10">
        <f t="shared" si="2"/>
        <v>-2.1997360316761139E-3</v>
      </c>
      <c r="E10" s="38">
        <f t="shared" si="3"/>
        <v>4.838838609054177E-6</v>
      </c>
      <c r="F10" s="27">
        <f t="shared" si="4"/>
        <v>0.80009032370304278</v>
      </c>
      <c r="G10" s="28">
        <f t="shared" si="5"/>
        <v>3.8715079490649378E-6</v>
      </c>
      <c r="I10" s="21">
        <f t="shared" si="0"/>
        <v>9.6066637460511396E-4</v>
      </c>
      <c r="J10" s="47">
        <f t="shared" si="1"/>
        <v>3.0994618478134457E-2</v>
      </c>
      <c r="K10" s="44">
        <f t="shared" si="6"/>
        <v>9.136062785682989E-7</v>
      </c>
      <c r="L10" s="33"/>
      <c r="M10" s="10">
        <f t="shared" si="7"/>
        <v>-6.1989236956268914E-2</v>
      </c>
      <c r="N10" s="10">
        <f t="shared" si="8"/>
        <v>6.1989236956268914E-2</v>
      </c>
      <c r="XEZ10" s="17" t="s">
        <v>27</v>
      </c>
    </row>
    <row r="11" spans="1:14 16380:16380" x14ac:dyDescent="0.25">
      <c r="A11" s="1">
        <v>45652</v>
      </c>
      <c r="B11" s="2">
        <f t="shared" si="9"/>
        <v>4</v>
      </c>
      <c r="C11" s="3">
        <f>+VLOOKUP(A11,Precios!$B:$H,1+$C$3,0)</f>
        <v>272.76</v>
      </c>
      <c r="D11" s="10">
        <f t="shared" si="2"/>
        <v>-8.9022927945932029E-3</v>
      </c>
      <c r="E11" s="38">
        <f t="shared" si="3"/>
        <v>7.9250817000666056E-5</v>
      </c>
      <c r="F11" s="27">
        <f t="shared" si="4"/>
        <v>0.71566293818435944</v>
      </c>
      <c r="G11" s="28">
        <f t="shared" si="5"/>
        <v>5.6716872548207654E-5</v>
      </c>
      <c r="I11" s="21">
        <f t="shared" si="0"/>
        <v>1.0646477422484194E-3</v>
      </c>
      <c r="J11" s="47">
        <f t="shared" si="1"/>
        <v>3.2628940256288118E-2</v>
      </c>
      <c r="K11" s="44">
        <f t="shared" si="6"/>
        <v>9.7100710028772632E-7</v>
      </c>
      <c r="L11" s="13"/>
      <c r="M11" s="10">
        <f t="shared" si="7"/>
        <v>-6.5257880512576236E-2</v>
      </c>
      <c r="N11" s="10">
        <f t="shared" si="8"/>
        <v>6.5257880512576236E-2</v>
      </c>
      <c r="XEZ11" s="17" t="s">
        <v>33</v>
      </c>
    </row>
    <row r="12" spans="1:14 16380:16380" x14ac:dyDescent="0.25">
      <c r="A12" s="1">
        <v>45650</v>
      </c>
      <c r="B12" s="2">
        <f t="shared" si="9"/>
        <v>5</v>
      </c>
      <c r="C12" s="3">
        <f>+VLOOKUP(A12,Precios!$B:$H,1+$C$3,0)</f>
        <v>275.20999999999998</v>
      </c>
      <c r="D12" s="10">
        <f t="shared" si="2"/>
        <v>-6.2468404708602154E-3</v>
      </c>
      <c r="E12" s="38">
        <f t="shared" si="3"/>
        <v>3.9023015868377076E-5</v>
      </c>
      <c r="F12" s="27">
        <f t="shared" si="4"/>
        <v>0.6401445260832398</v>
      </c>
      <c r="G12" s="28">
        <f t="shared" si="5"/>
        <v>2.4980369999400989E-5</v>
      </c>
      <c r="I12" s="21">
        <f t="shared" si="0"/>
        <v>1.1856415922181598E-3</v>
      </c>
      <c r="J12" s="47">
        <f t="shared" si="1"/>
        <v>3.4433146708050949E-2</v>
      </c>
      <c r="K12" s="44">
        <f t="shared" si="6"/>
        <v>1.3147341596304024E-6</v>
      </c>
      <c r="L12" s="13"/>
      <c r="M12" s="10">
        <f t="shared" si="7"/>
        <v>-6.8866293416101898E-2</v>
      </c>
      <c r="N12" s="10">
        <f t="shared" si="8"/>
        <v>6.8866293416101898E-2</v>
      </c>
      <c r="XEZ12" s="17" t="s">
        <v>34</v>
      </c>
    </row>
    <row r="13" spans="1:14 16380:16380" x14ac:dyDescent="0.25">
      <c r="A13" s="1">
        <v>45649</v>
      </c>
      <c r="B13" s="2">
        <f t="shared" si="9"/>
        <v>6</v>
      </c>
      <c r="C13" s="3">
        <f>+VLOOKUP(A13,Precios!$B:$H,1+$C$3,0)</f>
        <v>276.94</v>
      </c>
      <c r="D13" s="10">
        <f t="shared" si="2"/>
        <v>-1.5919266576647106E-2</v>
      </c>
      <c r="E13" s="38">
        <f t="shared" si="3"/>
        <v>2.5342304833835368E-4</v>
      </c>
      <c r="F13" s="27">
        <f t="shared" si="4"/>
        <v>0.57259499187419483</v>
      </c>
      <c r="G13" s="28">
        <f t="shared" si="5"/>
        <v>1.4510876830403332E-4</v>
      </c>
      <c r="I13" s="21">
        <f t="shared" si="0"/>
        <v>1.2956162327821667E-3</v>
      </c>
      <c r="J13" s="47">
        <f t="shared" si="1"/>
        <v>3.5994669505110988E-2</v>
      </c>
      <c r="K13" s="44">
        <f t="shared" si="6"/>
        <v>1.0861666337011354E-6</v>
      </c>
      <c r="L13" s="13"/>
      <c r="M13" s="10">
        <f t="shared" si="7"/>
        <v>-7.1989339010221975E-2</v>
      </c>
      <c r="N13" s="10">
        <f t="shared" si="8"/>
        <v>7.1989339010221975E-2</v>
      </c>
      <c r="XEZ13" s="17" t="s">
        <v>35</v>
      </c>
    </row>
    <row r="14" spans="1:14 16380:16380" x14ac:dyDescent="0.25">
      <c r="A14" s="1">
        <v>45646</v>
      </c>
      <c r="B14" s="2">
        <f t="shared" si="9"/>
        <v>7</v>
      </c>
      <c r="C14" s="3">
        <f>+VLOOKUP(A14,Precios!$B:$H,1+$C$3,0)</f>
        <v>281.42</v>
      </c>
      <c r="D14" s="10">
        <f>C14/C15-1</f>
        <v>1.8862459722674974E-2</v>
      </c>
      <c r="E14" s="38">
        <f t="shared" si="3"/>
        <v>3.5579238678953563E-4</v>
      </c>
      <c r="F14" s="27">
        <f t="shared" si="4"/>
        <v>0.5121734410906702</v>
      </c>
      <c r="G14" s="28">
        <f t="shared" si="5"/>
        <v>1.8222741105585917E-4</v>
      </c>
      <c r="I14" s="21">
        <f t="shared" si="0"/>
        <v>1.4064880775175878E-3</v>
      </c>
      <c r="J14" s="47">
        <f t="shared" si="1"/>
        <v>3.7503174232557807E-2</v>
      </c>
      <c r="K14" s="44">
        <f t="shared" si="6"/>
        <v>1.1039614345144986E-6</v>
      </c>
      <c r="L14" s="13"/>
      <c r="M14" s="10">
        <f t="shared" si="7"/>
        <v>-7.5006348465115613E-2</v>
      </c>
      <c r="N14" s="10">
        <f t="shared" si="8"/>
        <v>7.5006348465115613E-2</v>
      </c>
    </row>
    <row r="15" spans="1:14 16380:16380" x14ac:dyDescent="0.25">
      <c r="A15" s="1">
        <v>45645</v>
      </c>
      <c r="B15" s="2">
        <f t="shared" si="9"/>
        <v>8</v>
      </c>
      <c r="C15" s="3">
        <f>+VLOOKUP(A15,Precios!$B:$H,1+$C$3,0)</f>
        <v>276.20999999999998</v>
      </c>
      <c r="D15" s="10">
        <f t="shared" si="2"/>
        <v>-5.9134107708553429E-2</v>
      </c>
      <c r="E15" s="38">
        <f t="shared" si="3"/>
        <v>3.4968426944867979E-3</v>
      </c>
      <c r="F15" s="27">
        <f t="shared" si="4"/>
        <v>0.45812771239936573</v>
      </c>
      <c r="G15" s="28">
        <f t="shared" si="5"/>
        <v>1.6020005442456708E-3</v>
      </c>
      <c r="I15" s="21">
        <f t="shared" si="0"/>
        <v>1.1598871070029515E-3</v>
      </c>
      <c r="J15" s="47">
        <f t="shared" si="1"/>
        <v>3.4057115365264741E-2</v>
      </c>
      <c r="K15" s="44">
        <f t="shared" si="6"/>
        <v>5.4613614178719688E-6</v>
      </c>
      <c r="L15" s="13"/>
      <c r="M15" s="10">
        <f t="shared" si="7"/>
        <v>-6.8114230730529482E-2</v>
      </c>
      <c r="N15" s="10">
        <f t="shared" si="8"/>
        <v>6.8114230730529482E-2</v>
      </c>
    </row>
    <row r="16" spans="1:14 16380:16380" x14ac:dyDescent="0.25">
      <c r="A16" s="1">
        <v>45644</v>
      </c>
      <c r="B16" s="2">
        <f t="shared" si="9"/>
        <v>9</v>
      </c>
      <c r="C16" s="3">
        <f>+VLOOKUP(A16,Precios!$B:$H,1+$C$3,0)</f>
        <v>293.57</v>
      </c>
      <c r="D16" s="10">
        <f t="shared" si="2"/>
        <v>-2.7334172685706704E-2</v>
      </c>
      <c r="E16" s="38">
        <f t="shared" si="3"/>
        <v>7.4715699641203438E-4</v>
      </c>
      <c r="F16" s="27">
        <f t="shared" si="4"/>
        <v>0.40978501427433567</v>
      </c>
      <c r="G16" s="28">
        <f t="shared" si="5"/>
        <v>3.0617374043987529E-4</v>
      </c>
      <c r="I16" s="21">
        <f t="shared" si="0"/>
        <v>1.2085772407276795E-3</v>
      </c>
      <c r="J16" s="47">
        <f t="shared" si="1"/>
        <v>3.4764597520001286E-2</v>
      </c>
      <c r="K16" s="44">
        <f t="shared" si="6"/>
        <v>2.1290864186430963E-7</v>
      </c>
      <c r="L16" s="13"/>
      <c r="M16" s="10">
        <f t="shared" si="7"/>
        <v>-6.9529195040002573E-2</v>
      </c>
      <c r="N16" s="10">
        <f t="shared" si="8"/>
        <v>6.9529195040002573E-2</v>
      </c>
    </row>
    <row r="17" spans="1:14" x14ac:dyDescent="0.25">
      <c r="A17" s="1">
        <v>45643</v>
      </c>
      <c r="B17" s="2">
        <f t="shared" si="9"/>
        <v>10</v>
      </c>
      <c r="C17" s="3">
        <f>+VLOOKUP(A17,Precios!$B:$H,1+$C$3,0)</f>
        <v>301.82</v>
      </c>
      <c r="D17" s="10">
        <f t="shared" si="2"/>
        <v>-3.6672943729852303E-2</v>
      </c>
      <c r="E17" s="38">
        <f t="shared" si="3"/>
        <v>1.3449048018129134E-3</v>
      </c>
      <c r="F17" s="27">
        <f t="shared" si="4"/>
        <v>0.366543549710943</v>
      </c>
      <c r="G17" s="28">
        <f t="shared" si="5"/>
        <v>4.929661800797976E-4</v>
      </c>
      <c r="I17" s="21">
        <f t="shared" si="0"/>
        <v>1.1924945585843716E-3</v>
      </c>
      <c r="J17" s="47">
        <f t="shared" si="1"/>
        <v>3.4532514512910457E-2</v>
      </c>
      <c r="K17" s="44">
        <f t="shared" si="6"/>
        <v>2.3228882240983293E-8</v>
      </c>
      <c r="L17" s="13"/>
      <c r="M17" s="10">
        <f t="shared" si="7"/>
        <v>-6.9065029025820915E-2</v>
      </c>
      <c r="N17" s="10">
        <f t="shared" si="8"/>
        <v>6.9065029025820915E-2</v>
      </c>
    </row>
    <row r="18" spans="1:14" x14ac:dyDescent="0.25">
      <c r="A18" s="1">
        <v>45642</v>
      </c>
      <c r="B18" s="2">
        <f t="shared" si="9"/>
        <v>11</v>
      </c>
      <c r="C18" s="3">
        <f>+VLOOKUP(A18,Precios!$B:$H,1+$C$3,0)</f>
        <v>313.31</v>
      </c>
      <c r="D18" s="10">
        <f t="shared" si="2"/>
        <v>-5.2126822774853365E-2</v>
      </c>
      <c r="E18" s="38">
        <f t="shared" si="3"/>
        <v>2.7172056526009714E-3</v>
      </c>
      <c r="F18" s="27">
        <f t="shared" si="4"/>
        <v>0.32786502471940926</v>
      </c>
      <c r="G18" s="28">
        <f t="shared" si="5"/>
        <v>8.9087669845773607E-4</v>
      </c>
      <c r="I18" s="21">
        <f t="shared" si="0"/>
        <v>1.012623051383321E-3</v>
      </c>
      <c r="J18" s="47">
        <f t="shared" si="1"/>
        <v>3.1821738660596802E-2</v>
      </c>
      <c r="K18" s="44">
        <f t="shared" si="6"/>
        <v>2.9056018443739313E-6</v>
      </c>
      <c r="L18" s="13"/>
      <c r="M18" s="10">
        <f t="shared" si="7"/>
        <v>-6.3643477321193603E-2</v>
      </c>
      <c r="N18" s="10">
        <f t="shared" si="8"/>
        <v>6.3643477321193603E-2</v>
      </c>
    </row>
    <row r="19" spans="1:14" x14ac:dyDescent="0.25">
      <c r="A19" s="1">
        <v>45639</v>
      </c>
      <c r="B19" s="2">
        <f t="shared" si="9"/>
        <v>12</v>
      </c>
      <c r="C19" s="3">
        <f>+VLOOKUP(A19,Precios!$B:$H,1+$C$3,0)</f>
        <v>330.54</v>
      </c>
      <c r="D19" s="10">
        <f t="shared" si="2"/>
        <v>-1.3460677510819252E-2</v>
      </c>
      <c r="E19" s="38">
        <f t="shared" si="3"/>
        <v>1.8118983905027517E-4</v>
      </c>
      <c r="F19" s="27">
        <f t="shared" si="4"/>
        <v>0.29326794733949074</v>
      </c>
      <c r="G19" s="28">
        <f t="shared" si="5"/>
        <v>5.3137172177046901E-5</v>
      </c>
      <c r="I19" s="21">
        <f t="shared" si="0"/>
        <v>1.1107079578460846E-3</v>
      </c>
      <c r="J19" s="47">
        <f t="shared" si="1"/>
        <v>3.3327285485711025E-2</v>
      </c>
      <c r="K19" s="44">
        <f t="shared" si="6"/>
        <v>8.6400393316970038E-7</v>
      </c>
      <c r="L19" s="13"/>
      <c r="M19" s="10">
        <f t="shared" si="7"/>
        <v>-6.665457097142205E-2</v>
      </c>
      <c r="N19" s="10">
        <f t="shared" si="8"/>
        <v>6.665457097142205E-2</v>
      </c>
    </row>
    <row r="20" spans="1:14" x14ac:dyDescent="0.25">
      <c r="A20" s="1">
        <v>45637</v>
      </c>
      <c r="B20" s="2">
        <f t="shared" si="9"/>
        <v>13</v>
      </c>
      <c r="C20" s="3">
        <f>+VLOOKUP(A20,Precios!$B:$H,1+$C$3,0)</f>
        <v>335.05</v>
      </c>
      <c r="D20" s="10">
        <f t="shared" si="2"/>
        <v>7.6085648983521548E-3</v>
      </c>
      <c r="E20" s="38">
        <f t="shared" si="3"/>
        <v>5.7890259812436535E-5</v>
      </c>
      <c r="F20" s="27">
        <f t="shared" si="4"/>
        <v>0.26232163375865825</v>
      </c>
      <c r="G20" s="28">
        <f t="shared" si="5"/>
        <v>1.5185867532711549E-5</v>
      </c>
      <c r="I20" s="21">
        <f t="shared" si="0"/>
        <v>1.2349097865704914E-3</v>
      </c>
      <c r="J20" s="47">
        <f t="shared" si="1"/>
        <v>3.5141283223162061E-2</v>
      </c>
      <c r="K20" s="44">
        <f t="shared" si="6"/>
        <v>1.3853749663697556E-6</v>
      </c>
      <c r="L20" s="13"/>
      <c r="M20" s="10">
        <f t="shared" si="7"/>
        <v>-7.0282566446324121E-2</v>
      </c>
      <c r="N20" s="10">
        <f t="shared" si="8"/>
        <v>7.0282566446324121E-2</v>
      </c>
    </row>
    <row r="21" spans="1:14" x14ac:dyDescent="0.25">
      <c r="A21" s="1">
        <v>45636</v>
      </c>
      <c r="B21" s="2">
        <f t="shared" si="9"/>
        <v>14</v>
      </c>
      <c r="C21" s="3">
        <f>+VLOOKUP(A21,Precios!$B:$H,1+$C$3,0)</f>
        <v>332.52</v>
      </c>
      <c r="D21" s="10">
        <f t="shared" si="2"/>
        <v>-1.0150924299705322E-2</v>
      </c>
      <c r="E21" s="38">
        <f t="shared" si="3"/>
        <v>1.0304126413834797E-4</v>
      </c>
      <c r="F21" s="27">
        <f t="shared" si="4"/>
        <v>0.23464084691858003</v>
      </c>
      <c r="G21" s="28">
        <f t="shared" si="5"/>
        <v>2.4177689484983077E-5</v>
      </c>
      <c r="I21" s="21">
        <f t="shared" si="0"/>
        <v>1.3684373104943641E-3</v>
      </c>
      <c r="J21" s="47">
        <f t="shared" si="1"/>
        <v>3.6992395306256719E-2</v>
      </c>
      <c r="K21" s="44">
        <f t="shared" si="6"/>
        <v>1.6012271541334368E-6</v>
      </c>
      <c r="L21" s="13"/>
      <c r="M21" s="10">
        <f t="shared" si="7"/>
        <v>-7.3984790612513437E-2</v>
      </c>
      <c r="N21" s="10">
        <f t="shared" si="8"/>
        <v>7.3984790612513437E-2</v>
      </c>
    </row>
    <row r="22" spans="1:14" x14ac:dyDescent="0.25">
      <c r="A22" s="1">
        <v>45635</v>
      </c>
      <c r="B22" s="2">
        <f t="shared" si="9"/>
        <v>15</v>
      </c>
      <c r="C22" s="3">
        <f>+VLOOKUP(A22,Precios!$B:$H,1+$C$3,0)</f>
        <v>335.93</v>
      </c>
      <c r="D22" s="10">
        <f t="shared" si="2"/>
        <v>8.5115317526972101E-2</v>
      </c>
      <c r="E22" s="38">
        <f t="shared" si="3"/>
        <v>7.2446172777172841E-3</v>
      </c>
      <c r="F22" s="27">
        <f t="shared" si="4"/>
        <v>0.20988100086827591</v>
      </c>
      <c r="G22" s="28">
        <f t="shared" si="5"/>
        <v>1.520507525154908E-3</v>
      </c>
      <c r="I22" s="21">
        <f t="shared" si="0"/>
        <v>6.7521919760936714E-4</v>
      </c>
      <c r="J22" s="47">
        <f t="shared" si="1"/>
        <v>2.5984980231075164E-2</v>
      </c>
      <c r="K22" s="44">
        <f t="shared" si="6"/>
        <v>4.3156991134925588E-5</v>
      </c>
      <c r="L22" s="13"/>
      <c r="M22" s="10">
        <f t="shared" si="7"/>
        <v>-5.1969960462150327E-2</v>
      </c>
      <c r="N22" s="10">
        <f t="shared" si="8"/>
        <v>5.1969960462150327E-2</v>
      </c>
    </row>
    <row r="23" spans="1:14" x14ac:dyDescent="0.25">
      <c r="A23" s="1">
        <v>45632</v>
      </c>
      <c r="B23" s="2">
        <f t="shared" si="9"/>
        <v>16</v>
      </c>
      <c r="C23" s="3">
        <f>+VLOOKUP(A23,Precios!$B:$H,1+$C$3,0)</f>
        <v>309.58</v>
      </c>
      <c r="D23" s="10">
        <f t="shared" si="2"/>
        <v>-9.5975430289846342E-3</v>
      </c>
      <c r="E23" s="38">
        <f t="shared" si="3"/>
        <v>9.2112832193211547E-5</v>
      </c>
      <c r="F23" s="27">
        <f t="shared" si="4"/>
        <v>0.18773387116504284</v>
      </c>
      <c r="G23" s="28">
        <f t="shared" si="5"/>
        <v>1.7292698571607587E-5</v>
      </c>
      <c r="I23" s="21">
        <f t="shared" si="0"/>
        <v>7.4400876778926944E-4</v>
      </c>
      <c r="J23" s="47">
        <f t="shared" si="1"/>
        <v>2.7276524114873388E-2</v>
      </c>
      <c r="K23" s="44">
        <f t="shared" si="6"/>
        <v>4.249683108466596E-7</v>
      </c>
      <c r="L23" s="13"/>
      <c r="M23" s="10">
        <f t="shared" si="7"/>
        <v>-5.4553048229746777E-2</v>
      </c>
      <c r="N23" s="10">
        <f t="shared" si="8"/>
        <v>5.4553048229746777E-2</v>
      </c>
    </row>
    <row r="24" spans="1:14" x14ac:dyDescent="0.25">
      <c r="A24" s="1">
        <v>45631</v>
      </c>
      <c r="B24" s="2">
        <f t="shared" si="9"/>
        <v>17</v>
      </c>
      <c r="C24" s="3">
        <f>+VLOOKUP(A24,Precios!$B:$H,1+$C$3,0)</f>
        <v>312.58</v>
      </c>
      <c r="D24" s="10">
        <f t="shared" si="2"/>
        <v>3.4177005789908899E-2</v>
      </c>
      <c r="E24" s="38">
        <f t="shared" si="3"/>
        <v>1.1680677247634663E-3</v>
      </c>
      <c r="F24" s="27">
        <f t="shared" si="4"/>
        <v>0.16792375792381747</v>
      </c>
      <c r="G24" s="28">
        <f t="shared" si="5"/>
        <v>1.9614632185180458E-4</v>
      </c>
      <c r="I24" s="21">
        <f t="shared" si="0"/>
        <v>6.93982160104454E-4</v>
      </c>
      <c r="J24" s="47">
        <f t="shared" si="1"/>
        <v>2.6343541145875851E-2</v>
      </c>
      <c r="K24" s="44">
        <f t="shared" si="6"/>
        <v>2.2475712261805456E-7</v>
      </c>
      <c r="L24" s="13"/>
      <c r="M24" s="10">
        <f t="shared" si="7"/>
        <v>-5.2687082291751702E-2</v>
      </c>
      <c r="N24" s="10">
        <f t="shared" si="8"/>
        <v>5.2687082291751702E-2</v>
      </c>
    </row>
    <row r="25" spans="1:14" x14ac:dyDescent="0.25">
      <c r="A25" s="1">
        <v>45630</v>
      </c>
      <c r="B25" s="2">
        <f t="shared" si="9"/>
        <v>18</v>
      </c>
      <c r="C25" s="3">
        <f>+VLOOKUP(A25,Precios!$B:$H,1+$C$3,0)</f>
        <v>302.25</v>
      </c>
      <c r="D25" s="10">
        <f t="shared" si="2"/>
        <v>5.8571000698857123E-3</v>
      </c>
      <c r="E25" s="38">
        <f t="shared" si="3"/>
        <v>3.4305621228655219E-5</v>
      </c>
      <c r="F25" s="27">
        <f t="shared" si="4"/>
        <v>0.15020405375046442</v>
      </c>
      <c r="G25" s="28">
        <f t="shared" si="5"/>
        <v>5.1528433749720017E-6</v>
      </c>
      <c r="I25" s="21">
        <f t="shared" si="0"/>
        <v>7.7180478091334447E-4</v>
      </c>
      <c r="J25" s="47">
        <f t="shared" si="1"/>
        <v>2.7781374712446186E-2</v>
      </c>
      <c r="K25" s="44">
        <f t="shared" si="6"/>
        <v>5.4390501053562283E-7</v>
      </c>
      <c r="L25" s="13"/>
      <c r="M25" s="10">
        <f t="shared" si="7"/>
        <v>-5.5562749424892373E-2</v>
      </c>
      <c r="N25" s="10">
        <f t="shared" si="8"/>
        <v>5.5562749424892373E-2</v>
      </c>
    </row>
    <row r="26" spans="1:14" x14ac:dyDescent="0.25">
      <c r="A26" s="1">
        <v>45629</v>
      </c>
      <c r="B26" s="2">
        <f t="shared" si="9"/>
        <v>19</v>
      </c>
      <c r="C26" s="3">
        <f>+VLOOKUP(A26,Precios!$B:$H,1+$C$3,0)</f>
        <v>300.49</v>
      </c>
      <c r="D26" s="10">
        <f t="shared" si="2"/>
        <v>4.9160591264798548E-3</v>
      </c>
      <c r="E26" s="38">
        <f t="shared" si="3"/>
        <v>2.4167637335045871E-5</v>
      </c>
      <c r="F26" s="27">
        <f t="shared" si="4"/>
        <v>0.13435417383469853</v>
      </c>
      <c r="G26" s="28">
        <f t="shared" si="5"/>
        <v>3.2470229476867031E-6</v>
      </c>
      <c r="I26" s="21">
        <f t="shared" si="0"/>
        <v>8.600041915312964E-4</v>
      </c>
      <c r="J26" s="47">
        <f t="shared" si="1"/>
        <v>2.9325828062158728E-2</v>
      </c>
      <c r="K26" s="44">
        <f t="shared" si="6"/>
        <v>6.9862274533066154E-7</v>
      </c>
      <c r="L26" s="13"/>
      <c r="M26" s="10">
        <f t="shared" si="7"/>
        <v>-5.8651656124317456E-2</v>
      </c>
      <c r="N26" s="10">
        <f t="shared" si="8"/>
        <v>5.8651656124317456E-2</v>
      </c>
    </row>
    <row r="27" spans="1:14" x14ac:dyDescent="0.25">
      <c r="A27" s="1">
        <v>45628</v>
      </c>
      <c r="B27" s="2">
        <f t="shared" si="9"/>
        <v>20</v>
      </c>
      <c r="C27" s="3">
        <f>+VLOOKUP(A27,Precios!$B:$H,1+$C$3,0)</f>
        <v>299.02</v>
      </c>
      <c r="D27" s="10">
        <f t="shared" si="2"/>
        <v>2.0128275109170257E-2</v>
      </c>
      <c r="E27" s="38">
        <f t="shared" si="3"/>
        <v>4.0514745887044291E-4</v>
      </c>
      <c r="F27" s="27">
        <f t="shared" si="4"/>
        <v>0.12017680998671833</v>
      </c>
      <c r="G27" s="28">
        <f t="shared" si="5"/>
        <v>4.8689329181274999E-5</v>
      </c>
      <c r="I27" s="21">
        <f t="shared" si="0"/>
        <v>9.1366403986933332E-4</v>
      </c>
      <c r="J27" s="47">
        <f t="shared" si="1"/>
        <v>3.0226876118271524E-2</v>
      </c>
      <c r="K27" s="44">
        <f t="shared" si="6"/>
        <v>2.5858911315080103E-7</v>
      </c>
      <c r="L27" s="13"/>
      <c r="M27" s="10">
        <f t="shared" si="7"/>
        <v>-6.0453752236543049E-2</v>
      </c>
      <c r="N27" s="10">
        <f t="shared" si="8"/>
        <v>6.0453752236543049E-2</v>
      </c>
    </row>
    <row r="28" spans="1:14" x14ac:dyDescent="0.25">
      <c r="A28" s="1">
        <v>45625</v>
      </c>
      <c r="B28" s="2">
        <f t="shared" si="9"/>
        <v>21</v>
      </c>
      <c r="C28" s="3">
        <f>+VLOOKUP(A28,Precios!$B:$H,1+$C$3,0)</f>
        <v>293.12</v>
      </c>
      <c r="D28" s="10">
        <f t="shared" si="2"/>
        <v>2.0009047569335747E-2</v>
      </c>
      <c r="E28" s="38">
        <f t="shared" si="3"/>
        <v>4.0036198463194077E-4</v>
      </c>
      <c r="F28" s="27">
        <f t="shared" si="4"/>
        <v>0.10749547443425882</v>
      </c>
      <c r="G28" s="28">
        <f t="shared" si="5"/>
        <v>4.3037101483451913E-5</v>
      </c>
      <c r="I28" s="21">
        <f t="shared" si="0"/>
        <v>9.7421873425522043E-4</v>
      </c>
      <c r="J28" s="47">
        <f t="shared" si="1"/>
        <v>3.1212477220740113E-2</v>
      </c>
      <c r="K28" s="44">
        <f t="shared" si="6"/>
        <v>3.2931156908819546E-7</v>
      </c>
      <c r="L28" s="13"/>
      <c r="M28" s="10">
        <f t="shared" si="7"/>
        <v>-6.2424954441480225E-2</v>
      </c>
      <c r="N28" s="10">
        <f t="shared" si="8"/>
        <v>6.2424954441480225E-2</v>
      </c>
    </row>
    <row r="29" spans="1:14" x14ac:dyDescent="0.25">
      <c r="A29" s="1">
        <v>45624</v>
      </c>
      <c r="B29" s="2">
        <f t="shared" si="9"/>
        <v>22</v>
      </c>
      <c r="C29" s="3">
        <f>+VLOOKUP(A29,Precios!$B:$H,1+$C$3,0)</f>
        <v>287.37</v>
      </c>
      <c r="D29" s="10">
        <f t="shared" si="2"/>
        <v>1.6447368421052655E-2</v>
      </c>
      <c r="E29" s="38">
        <f t="shared" si="3"/>
        <v>2.7051592797784011E-4</v>
      </c>
      <c r="F29" s="27">
        <f t="shared" si="4"/>
        <v>9.6152302803872519E-2</v>
      </c>
      <c r="G29" s="28">
        <f t="shared" si="5"/>
        <v>2.6010729420195851E-5</v>
      </c>
      <c r="I29" s="21">
        <f t="shared" si="0"/>
        <v>1.0572351725060089E-3</v>
      </c>
      <c r="J29" s="47">
        <f t="shared" si="1"/>
        <v>3.2515152967593573E-2</v>
      </c>
      <c r="K29" s="44">
        <f t="shared" si="6"/>
        <v>6.1892716971097267E-7</v>
      </c>
      <c r="L29" s="13"/>
      <c r="M29" s="10">
        <f t="shared" si="7"/>
        <v>-6.5030305935187147E-2</v>
      </c>
      <c r="N29" s="10">
        <f t="shared" si="8"/>
        <v>6.5030305935187147E-2</v>
      </c>
    </row>
    <row r="30" spans="1:14" x14ac:dyDescent="0.25">
      <c r="A30" s="1">
        <v>45623</v>
      </c>
      <c r="B30" s="2">
        <f t="shared" si="9"/>
        <v>23</v>
      </c>
      <c r="C30" s="3">
        <f>+VLOOKUP(A30,Precios!$B:$H,1+$C$3,0)</f>
        <v>282.72000000000003</v>
      </c>
      <c r="D30" s="10">
        <f t="shared" si="2"/>
        <v>2.0539291773454371E-2</v>
      </c>
      <c r="E30" s="38">
        <f t="shared" si="3"/>
        <v>4.2186250655509042E-4</v>
      </c>
      <c r="F30" s="27">
        <f t="shared" si="4"/>
        <v>8.6006088936718295E-2</v>
      </c>
      <c r="G30" s="28">
        <f t="shared" si="5"/>
        <v>3.628274425784401E-5</v>
      </c>
      <c r="I30" s="21">
        <f t="shared" si="0"/>
        <v>1.1321906440752982E-3</v>
      </c>
      <c r="J30" s="47">
        <f t="shared" si="1"/>
        <v>3.3648040716738596E-2</v>
      </c>
      <c r="K30" s="44">
        <f t="shared" si="6"/>
        <v>5.0456606295292724E-7</v>
      </c>
      <c r="L30" s="13"/>
      <c r="M30" s="10">
        <f t="shared" si="7"/>
        <v>-6.7296081433477192E-2</v>
      </c>
      <c r="N30" s="10">
        <f t="shared" si="8"/>
        <v>6.7296081433477192E-2</v>
      </c>
    </row>
    <row r="31" spans="1:14" x14ac:dyDescent="0.25">
      <c r="A31" s="1">
        <v>45622</v>
      </c>
      <c r="B31" s="2">
        <f t="shared" si="9"/>
        <v>24</v>
      </c>
      <c r="C31" s="3">
        <f>+VLOOKUP(A31,Precios!$B:$H,1+$C$3,0)</f>
        <v>277.02999999999997</v>
      </c>
      <c r="D31" s="10">
        <f t="shared" si="2"/>
        <v>-5.7400476352500895E-2</v>
      </c>
      <c r="E31" s="38">
        <f t="shared" si="3"/>
        <v>3.2948146854940145E-3</v>
      </c>
      <c r="F31" s="27">
        <f t="shared" si="4"/>
        <v>7.6930527075143362E-2</v>
      </c>
      <c r="G31" s="28">
        <f t="shared" si="5"/>
        <v>2.5347183036997722E-4</v>
      </c>
      <c r="I31" s="21">
        <f t="shared" si="0"/>
        <v>8.7706398607055461E-4</v>
      </c>
      <c r="J31" s="47">
        <f t="shared" si="1"/>
        <v>2.9615266098256734E-2</v>
      </c>
      <c r="K31" s="44">
        <f t="shared" si="6"/>
        <v>5.8455184445626295E-6</v>
      </c>
      <c r="L31" s="13"/>
      <c r="M31" s="10">
        <f t="shared" si="7"/>
        <v>-5.9230532196513468E-2</v>
      </c>
      <c r="N31" s="10">
        <f t="shared" si="8"/>
        <v>5.9230532196513468E-2</v>
      </c>
    </row>
    <row r="32" spans="1:14" x14ac:dyDescent="0.25">
      <c r="A32" s="1">
        <v>45621</v>
      </c>
      <c r="B32" s="2">
        <f t="shared" si="9"/>
        <v>25</v>
      </c>
      <c r="C32" s="3">
        <f>+VLOOKUP(A32,Precios!$B:$H,1+$C$3,0)</f>
        <v>293.89999999999998</v>
      </c>
      <c r="D32" s="10">
        <f t="shared" si="2"/>
        <v>-3.8222396753714305E-2</v>
      </c>
      <c r="E32" s="38">
        <f t="shared" si="3"/>
        <v>1.4609516135983499E-3</v>
      </c>
      <c r="F32" s="27">
        <f t="shared" si="4"/>
        <v>6.8812639537811637E-2</v>
      </c>
      <c r="G32" s="28">
        <f t="shared" si="5"/>
        <v>1.0053193676872752E-4</v>
      </c>
      <c r="I32" s="21">
        <f t="shared" si="0"/>
        <v>8.0818224971301303E-4</v>
      </c>
      <c r="J32" s="47">
        <f t="shared" si="1"/>
        <v>2.8428546387619137E-2</v>
      </c>
      <c r="K32" s="44">
        <f t="shared" si="6"/>
        <v>4.2610784242726735E-7</v>
      </c>
      <c r="L32" s="13"/>
      <c r="M32" s="10">
        <f t="shared" si="7"/>
        <v>-5.6857092775238274E-2</v>
      </c>
      <c r="N32" s="10">
        <f t="shared" si="8"/>
        <v>5.6857092775238274E-2</v>
      </c>
    </row>
    <row r="33" spans="1:14" x14ac:dyDescent="0.25">
      <c r="A33" s="1">
        <v>45618</v>
      </c>
      <c r="B33" s="2">
        <f t="shared" si="9"/>
        <v>26</v>
      </c>
      <c r="C33" s="3">
        <f>+VLOOKUP(A33,Precios!$B:$H,1+$C$3,0)</f>
        <v>305.58</v>
      </c>
      <c r="D33" s="10">
        <f t="shared" si="2"/>
        <v>1.6803646890493518E-2</v>
      </c>
      <c r="E33" s="38">
        <f t="shared" si="3"/>
        <v>2.8236254882039248E-4</v>
      </c>
      <c r="F33" s="27">
        <f t="shared" si="4"/>
        <v>6.1551370310197147E-2</v>
      </c>
      <c r="G33" s="28">
        <f t="shared" si="5"/>
        <v>1.7379801804175098E-5</v>
      </c>
      <c r="I33" s="21">
        <f t="shared" si="0"/>
        <v>8.702136617534449E-4</v>
      </c>
      <c r="J33" s="47">
        <f t="shared" si="1"/>
        <v>2.9499384091086458E-2</v>
      </c>
      <c r="K33" s="44">
        <f t="shared" si="6"/>
        <v>3.4556893097662827E-7</v>
      </c>
      <c r="L33" s="13"/>
      <c r="M33" s="10">
        <f t="shared" si="7"/>
        <v>-5.8998768182172916E-2</v>
      </c>
      <c r="N33" s="10">
        <f t="shared" si="8"/>
        <v>5.8998768182172916E-2</v>
      </c>
    </row>
    <row r="34" spans="1:14" x14ac:dyDescent="0.25">
      <c r="A34" s="1">
        <v>45617</v>
      </c>
      <c r="B34" s="2">
        <f t="shared" si="9"/>
        <v>27</v>
      </c>
      <c r="C34" s="3">
        <f>+VLOOKUP(A34,Precios!$B:$H,1+$C$3,0)</f>
        <v>300.52999999999997</v>
      </c>
      <c r="D34" s="10">
        <f t="shared" si="2"/>
        <v>-1.5107819361604546E-2</v>
      </c>
      <c r="E34" s="38">
        <f t="shared" si="3"/>
        <v>2.282462058628732E-4</v>
      </c>
      <c r="F34" s="27">
        <f t="shared" si="4"/>
        <v>5.505632704266851E-2</v>
      </c>
      <c r="G34" s="28">
        <f t="shared" si="5"/>
        <v>1.2566397756234589E-5</v>
      </c>
      <c r="I34" s="21">
        <f t="shared" si="0"/>
        <v>9.4594712648535695E-4</v>
      </c>
      <c r="J34" s="47">
        <f t="shared" si="1"/>
        <v>3.0756253453328105E-2</v>
      </c>
      <c r="K34" s="44">
        <f t="shared" si="6"/>
        <v>5.1509461146236076E-7</v>
      </c>
      <c r="L34" s="13"/>
      <c r="M34" s="10">
        <f t="shared" si="7"/>
        <v>-6.151250690665621E-2</v>
      </c>
      <c r="N34" s="10">
        <f t="shared" si="8"/>
        <v>6.151250690665621E-2</v>
      </c>
    </row>
    <row r="35" spans="1:14" x14ac:dyDescent="0.25">
      <c r="A35" s="1">
        <v>45616</v>
      </c>
      <c r="B35" s="2">
        <f t="shared" si="9"/>
        <v>28</v>
      </c>
      <c r="C35" s="3">
        <f>+VLOOKUP(A35,Precios!$B:$H,1+$C$3,0)</f>
        <v>305.14</v>
      </c>
      <c r="D35" s="10">
        <f t="shared" si="2"/>
        <v>9.841228185278883E-4</v>
      </c>
      <c r="E35" s="38">
        <f t="shared" si="3"/>
        <v>9.6849772194727486E-7</v>
      </c>
      <c r="F35" s="27">
        <f t="shared" si="4"/>
        <v>4.9246655795851496E-2</v>
      </c>
      <c r="G35" s="28">
        <f t="shared" si="5"/>
        <v>4.7695273951803732E-8</v>
      </c>
      <c r="I35" s="21">
        <f t="shared" si="0"/>
        <v>1.0574270854726601E-3</v>
      </c>
      <c r="J35" s="47">
        <f t="shared" si="1"/>
        <v>3.2518103964909457E-2</v>
      </c>
      <c r="K35" s="44">
        <f t="shared" si="6"/>
        <v>1.1161047476322306E-6</v>
      </c>
      <c r="L35" s="13"/>
      <c r="M35" s="10">
        <f t="shared" si="7"/>
        <v>-6.5036207929818915E-2</v>
      </c>
      <c r="N35" s="10">
        <f t="shared" si="8"/>
        <v>6.5036207929818915E-2</v>
      </c>
    </row>
    <row r="36" spans="1:14" x14ac:dyDescent="0.25">
      <c r="A36" s="1">
        <v>45615</v>
      </c>
      <c r="B36" s="2">
        <f t="shared" si="9"/>
        <v>29</v>
      </c>
      <c r="C36" s="3">
        <f>+VLOOKUP(A36,Precios!$B:$H,1+$C$3,0)</f>
        <v>304.83999999999997</v>
      </c>
      <c r="D36" s="10">
        <f t="shared" si="2"/>
        <v>-3.2793336394054684E-4</v>
      </c>
      <c r="E36" s="38">
        <f t="shared" si="3"/>
        <v>1.0754029118536315E-7</v>
      </c>
      <c r="F36" s="27">
        <f t="shared" si="4"/>
        <v>4.4050034525469232E-2</v>
      </c>
      <c r="G36" s="28">
        <f t="shared" si="5"/>
        <v>4.7371535395942613E-9</v>
      </c>
      <c r="I36" s="21">
        <f t="shared" si="0"/>
        <v>1.1821600010599132E-3</v>
      </c>
      <c r="J36" s="47">
        <f t="shared" si="1"/>
        <v>3.4382553730924546E-2</v>
      </c>
      <c r="K36" s="44">
        <f t="shared" si="6"/>
        <v>1.3972480200094051E-6</v>
      </c>
      <c r="L36" s="13"/>
      <c r="M36" s="10">
        <f t="shared" si="7"/>
        <v>-6.8765107461849093E-2</v>
      </c>
      <c r="N36" s="10">
        <f t="shared" si="8"/>
        <v>6.8765107461849093E-2</v>
      </c>
    </row>
    <row r="37" spans="1:14" x14ac:dyDescent="0.25">
      <c r="A37" s="1">
        <v>45611</v>
      </c>
      <c r="B37" s="2">
        <f t="shared" si="9"/>
        <v>30</v>
      </c>
      <c r="C37" s="3">
        <f>+VLOOKUP(A37,Precios!$B:$H,1+$C$3,0)</f>
        <v>304.94</v>
      </c>
      <c r="D37" s="10">
        <f t="shared" si="2"/>
        <v>8.1961396537042486E-2</v>
      </c>
      <c r="E37" s="38">
        <f t="shared" si="3"/>
        <v>6.7176705223023197E-3</v>
      </c>
      <c r="F37" s="27">
        <f t="shared" si="4"/>
        <v>3.9401772776995143E-2</v>
      </c>
      <c r="G37" s="28">
        <f t="shared" si="5"/>
        <v>2.646881275104743E-4</v>
      </c>
      <c r="I37" s="21">
        <f t="shared" si="0"/>
        <v>5.2913096199114879E-4</v>
      </c>
      <c r="J37" s="47">
        <f t="shared" si="1"/>
        <v>2.300284682362487E-2</v>
      </c>
      <c r="K37" s="44">
        <f t="shared" si="6"/>
        <v>3.8298021889536379E-5</v>
      </c>
      <c r="L37" s="13"/>
      <c r="M37" s="10">
        <f t="shared" si="7"/>
        <v>-4.600569364724974E-2</v>
      </c>
      <c r="N37" s="10">
        <f t="shared" si="8"/>
        <v>4.600569364724974E-2</v>
      </c>
    </row>
    <row r="38" spans="1:14" x14ac:dyDescent="0.25">
      <c r="A38" s="1">
        <v>45610</v>
      </c>
      <c r="B38" s="2">
        <f t="shared" si="9"/>
        <v>31</v>
      </c>
      <c r="C38" s="3">
        <f>+VLOOKUP(A38,Precios!$B:$H,1+$C$3,0)</f>
        <v>281.83999999999997</v>
      </c>
      <c r="D38" s="10">
        <f t="shared" si="2"/>
        <v>-1.8970378363326379E-2</v>
      </c>
      <c r="E38" s="38">
        <f t="shared" si="3"/>
        <v>3.5987525524776163E-4</v>
      </c>
      <c r="F38" s="27">
        <f t="shared" si="4"/>
        <v>3.5244006382612887E-2</v>
      </c>
      <c r="G38" s="28">
        <f t="shared" si="5"/>
        <v>1.2683445792896552E-5</v>
      </c>
      <c r="I38" s="21">
        <f t="shared" si="0"/>
        <v>5.4909820640471941E-4</v>
      </c>
      <c r="J38" s="47">
        <f t="shared" si="1"/>
        <v>2.3432844607616878E-2</v>
      </c>
      <c r="K38" s="44">
        <f t="shared" si="6"/>
        <v>3.5805325244548434E-8</v>
      </c>
      <c r="L38" s="13"/>
      <c r="M38" s="10">
        <f t="shared" si="7"/>
        <v>-4.6865689215233756E-2</v>
      </c>
      <c r="N38" s="10">
        <f t="shared" si="8"/>
        <v>4.6865689215233756E-2</v>
      </c>
    </row>
    <row r="39" spans="1:14" x14ac:dyDescent="0.25">
      <c r="A39" s="1">
        <v>45609</v>
      </c>
      <c r="B39" s="2">
        <f t="shared" si="9"/>
        <v>32</v>
      </c>
      <c r="C39" s="3">
        <f>+VLOOKUP(A39,Precios!$B:$H,1+$C$3,0)</f>
        <v>287.29000000000002</v>
      </c>
      <c r="D39" s="10">
        <f t="shared" si="2"/>
        <v>1.4227211748923274E-2</v>
      </c>
      <c r="E39" s="38">
        <f t="shared" si="3"/>
        <v>2.0241355414870045E-4</v>
      </c>
      <c r="F39" s="27">
        <f t="shared" si="4"/>
        <v>3.1524977135619789E-2</v>
      </c>
      <c r="G39" s="28">
        <f t="shared" si="5"/>
        <v>6.3810826664773202E-6</v>
      </c>
      <c r="I39" s="21">
        <f t="shared" si="0"/>
        <v>5.8999689938955791E-4</v>
      </c>
      <c r="J39" s="47">
        <f t="shared" si="1"/>
        <v>2.428985177784249E-2</v>
      </c>
      <c r="K39" s="44">
        <f t="shared" si="6"/>
        <v>1.5022084950809368E-7</v>
      </c>
      <c r="L39" s="13"/>
      <c r="M39" s="10">
        <f t="shared" si="7"/>
        <v>-4.8579703555684979E-2</v>
      </c>
      <c r="N39" s="10">
        <f t="shared" si="8"/>
        <v>4.8579703555684979E-2</v>
      </c>
    </row>
    <row r="40" spans="1:14" x14ac:dyDescent="0.25">
      <c r="A40" s="1">
        <v>45608</v>
      </c>
      <c r="B40" s="2">
        <f t="shared" si="9"/>
        <v>33</v>
      </c>
      <c r="C40" s="3">
        <f>+VLOOKUP(A40,Precios!$B:$H,1+$C$3,0)</f>
        <v>283.26</v>
      </c>
      <c r="D40" s="10">
        <f t="shared" si="2"/>
        <v>-5.4760236259885908E-2</v>
      </c>
      <c r="E40" s="38">
        <f t="shared" si="3"/>
        <v>2.9986834752385233E-3</v>
      </c>
      <c r="F40" s="27">
        <f t="shared" si="4"/>
        <v>2.8198388475256853E-2</v>
      </c>
      <c r="G40" s="28">
        <f t="shared" si="5"/>
        <v>8.4558041549109137E-5</v>
      </c>
      <c r="I40" s="21">
        <f t="shared" si="0"/>
        <v>3.0584202803517267E-4</v>
      </c>
      <c r="J40" s="47">
        <f t="shared" si="1"/>
        <v>1.7488339773551194E-2</v>
      </c>
      <c r="K40" s="44">
        <f t="shared" si="6"/>
        <v>7.2513950597762342E-6</v>
      </c>
      <c r="L40" s="13"/>
      <c r="M40" s="10">
        <f t="shared" si="7"/>
        <v>-3.4976679547102388E-2</v>
      </c>
      <c r="N40" s="10">
        <f t="shared" si="8"/>
        <v>3.4976679547102388E-2</v>
      </c>
    </row>
    <row r="41" spans="1:14" x14ac:dyDescent="0.25">
      <c r="A41" s="1">
        <v>45607</v>
      </c>
      <c r="B41" s="2">
        <f t="shared" si="9"/>
        <v>34</v>
      </c>
      <c r="C41" s="3">
        <f>+VLOOKUP(A41,Precios!$B:$H,1+$C$3,0)</f>
        <v>299.67</v>
      </c>
      <c r="D41" s="10">
        <f t="shared" si="2"/>
        <v>-6.3662588282104027E-3</v>
      </c>
      <c r="E41" s="38">
        <f t="shared" si="3"/>
        <v>4.0529251467766889E-5</v>
      </c>
      <c r="F41" s="27">
        <f t="shared" si="4"/>
        <v>2.5222829161169056E-2</v>
      </c>
      <c r="G41" s="28">
        <f t="shared" si="5"/>
        <v>1.0222623858015445E-6</v>
      </c>
      <c r="I41" s="21">
        <f t="shared" si="0"/>
        <v>3.371412093608352E-4</v>
      </c>
      <c r="J41" s="47">
        <f t="shared" si="1"/>
        <v>1.8361405429891123E-2</v>
      </c>
      <c r="K41" s="44">
        <f t="shared" si="6"/>
        <v>8.797865356515933E-8</v>
      </c>
      <c r="L41" s="13"/>
      <c r="M41" s="10">
        <f t="shared" si="7"/>
        <v>-3.6722810859782247E-2</v>
      </c>
      <c r="N41" s="10">
        <f t="shared" si="8"/>
        <v>3.6722810859782247E-2</v>
      </c>
    </row>
    <row r="42" spans="1:14" x14ac:dyDescent="0.25">
      <c r="A42" s="1">
        <v>45604</v>
      </c>
      <c r="B42" s="2">
        <f t="shared" si="9"/>
        <v>35</v>
      </c>
      <c r="C42" s="3">
        <f>+VLOOKUP(A42,Precios!$B:$H,1+$C$3,0)</f>
        <v>301.58999999999997</v>
      </c>
      <c r="D42" s="10">
        <f t="shared" si="2"/>
        <v>-1.5152009927179022E-2</v>
      </c>
      <c r="E42" s="38">
        <f t="shared" si="3"/>
        <v>2.2958340483333163E-4</v>
      </c>
      <c r="F42" s="27">
        <f t="shared" si="4"/>
        <v>2.2561257763072405E-2</v>
      </c>
      <c r="G42" s="28">
        <f t="shared" si="5"/>
        <v>5.1796903745685977E-6</v>
      </c>
      <c r="I42" s="21">
        <f t="shared" si="0"/>
        <v>3.4982989804915101E-4</v>
      </c>
      <c r="J42" s="47">
        <f t="shared" si="1"/>
        <v>1.870374021550639E-2</v>
      </c>
      <c r="K42" s="44">
        <f t="shared" si="6"/>
        <v>1.4459219130702097E-8</v>
      </c>
      <c r="L42" s="13"/>
      <c r="M42" s="10">
        <f t="shared" si="7"/>
        <v>-3.7407480431012781E-2</v>
      </c>
      <c r="N42" s="10">
        <f t="shared" si="8"/>
        <v>3.7407480431012781E-2</v>
      </c>
    </row>
    <row r="43" spans="1:14" x14ac:dyDescent="0.25">
      <c r="A43" s="1">
        <v>45603</v>
      </c>
      <c r="B43" s="2">
        <f t="shared" si="9"/>
        <v>36</v>
      </c>
      <c r="C43" s="3">
        <f>+VLOOKUP(A43,Precios!$B:$H,1+$C$3,0)</f>
        <v>306.23</v>
      </c>
      <c r="D43" s="10">
        <f t="shared" si="2"/>
        <v>-6.5208928107967079E-3</v>
      </c>
      <c r="E43" s="38">
        <f t="shared" si="3"/>
        <v>4.252204304990019E-5</v>
      </c>
      <c r="F43" s="27">
        <f t="shared" si="4"/>
        <v>2.01805415482663E-2</v>
      </c>
      <c r="G43" s="28">
        <f t="shared" si="5"/>
        <v>8.5811785648567902E-7</v>
      </c>
      <c r="I43" s="21">
        <f t="shared" si="0"/>
        <v>3.8608327566957729E-4</v>
      </c>
      <c r="J43" s="47">
        <f t="shared" si="1"/>
        <v>1.9649001900085849E-2</v>
      </c>
      <c r="K43" s="44">
        <f t="shared" si="6"/>
        <v>1.1803432055915187E-7</v>
      </c>
      <c r="L43" s="13"/>
      <c r="M43" s="10">
        <f t="shared" si="7"/>
        <v>-3.9298003800171698E-2</v>
      </c>
      <c r="N43" s="10">
        <f t="shared" si="8"/>
        <v>3.9298003800171698E-2</v>
      </c>
    </row>
    <row r="44" spans="1:14" x14ac:dyDescent="0.25">
      <c r="A44" s="1">
        <v>45602</v>
      </c>
      <c r="B44" s="2">
        <f t="shared" si="9"/>
        <v>37</v>
      </c>
      <c r="C44" s="3">
        <f>+VLOOKUP(A44,Precios!$B:$H,1+$C$3,0)</f>
        <v>308.24</v>
      </c>
      <c r="D44" s="10">
        <f t="shared" si="2"/>
        <v>-7.598197037991028E-3</v>
      </c>
      <c r="E44" s="38">
        <f t="shared" si="3"/>
        <v>5.773259822813563E-5</v>
      </c>
      <c r="F44" s="27">
        <f t="shared" si="4"/>
        <v>1.8051044026804387E-2</v>
      </c>
      <c r="G44" s="28">
        <f t="shared" si="5"/>
        <v>1.0421336723978852E-6</v>
      </c>
      <c r="I44" s="21">
        <f t="shared" si="0"/>
        <v>4.2481909353936918E-4</v>
      </c>
      <c r="J44" s="47">
        <f t="shared" si="1"/>
        <v>2.0611140034926968E-2</v>
      </c>
      <c r="K44" s="44">
        <f t="shared" si="6"/>
        <v>1.3475249503988428E-7</v>
      </c>
      <c r="L44" s="13"/>
      <c r="M44" s="10">
        <f t="shared" si="7"/>
        <v>-4.1222280069853935E-2</v>
      </c>
      <c r="N44" s="10">
        <f t="shared" si="8"/>
        <v>4.1222280069853935E-2</v>
      </c>
    </row>
    <row r="45" spans="1:14" x14ac:dyDescent="0.25">
      <c r="A45" s="1">
        <v>45601</v>
      </c>
      <c r="B45" s="2">
        <f t="shared" si="9"/>
        <v>38</v>
      </c>
      <c r="C45" s="3">
        <f>+VLOOKUP(A45,Precios!$B:$H,1+$C$3,0)</f>
        <v>310.60000000000002</v>
      </c>
      <c r="D45" s="10">
        <f t="shared" si="2"/>
        <v>-1.96016539881948E-2</v>
      </c>
      <c r="E45" s="38">
        <f t="shared" si="3"/>
        <v>3.8422483907291311E-4</v>
      </c>
      <c r="F45" s="27">
        <f t="shared" si="4"/>
        <v>1.6146256019855088E-2</v>
      </c>
      <c r="G45" s="28">
        <f t="shared" si="5"/>
        <v>6.2037926208588759E-6</v>
      </c>
      <c r="I45" s="21">
        <f t="shared" si="0"/>
        <v>4.2960803340032943E-4</v>
      </c>
      <c r="J45" s="47">
        <f t="shared" si="1"/>
        <v>2.0726988044584033E-2</v>
      </c>
      <c r="K45" s="44">
        <f t="shared" si="6"/>
        <v>2.0596343273600331E-9</v>
      </c>
      <c r="L45" s="13"/>
      <c r="M45" s="10">
        <f t="shared" si="7"/>
        <v>-4.1453976089168065E-2</v>
      </c>
      <c r="N45" s="10">
        <f t="shared" si="8"/>
        <v>4.1453976089168065E-2</v>
      </c>
    </row>
    <row r="46" spans="1:14" x14ac:dyDescent="0.25">
      <c r="A46" s="1">
        <v>45600</v>
      </c>
      <c r="B46" s="2">
        <f t="shared" si="9"/>
        <v>39</v>
      </c>
      <c r="C46" s="3">
        <f>+VLOOKUP(A46,Precios!$B:$H,1+$C$3,0)</f>
        <v>316.81</v>
      </c>
      <c r="D46" s="10">
        <f t="shared" si="2"/>
        <v>6.8007754155146038E-3</v>
      </c>
      <c r="E46" s="38">
        <f t="shared" si="3"/>
        <v>4.6250546252267831E-5</v>
      </c>
      <c r="F46" s="27">
        <f t="shared" si="4"/>
        <v>1.4442465658583798E-2</v>
      </c>
      <c r="G46" s="28">
        <f t="shared" si="5"/>
        <v>6.6797192593911974E-7</v>
      </c>
      <c r="I46" s="21">
        <f t="shared" si="0"/>
        <v>4.7483305293401587E-4</v>
      </c>
      <c r="J46" s="47">
        <f t="shared" si="1"/>
        <v>2.1790664352745556E-2</v>
      </c>
      <c r="K46" s="44">
        <f t="shared" si="6"/>
        <v>1.8368296503361061E-7</v>
      </c>
      <c r="L46" s="13"/>
      <c r="M46" s="10">
        <f t="shared" si="7"/>
        <v>-4.3581328705491112E-2</v>
      </c>
      <c r="N46" s="10">
        <f t="shared" si="8"/>
        <v>4.3581328705491112E-2</v>
      </c>
    </row>
    <row r="47" spans="1:14" x14ac:dyDescent="0.25">
      <c r="A47" s="1">
        <v>45597</v>
      </c>
      <c r="B47" s="2">
        <f t="shared" si="9"/>
        <v>40</v>
      </c>
      <c r="C47" s="3">
        <f>+VLOOKUP(A47,Precios!$B:$H,1+$C$3,0)</f>
        <v>314.67</v>
      </c>
      <c r="D47" s="10">
        <f t="shared" si="2"/>
        <v>1.1453660398970111E-3</v>
      </c>
      <c r="E47" s="38">
        <f t="shared" si="3"/>
        <v>1.3118633653493618E-6</v>
      </c>
      <c r="F47" s="27">
        <f t="shared" si="4"/>
        <v>1.2918463205518061E-2</v>
      </c>
      <c r="G47" s="28">
        <f t="shared" si="5"/>
        <v>1.6947258615932828E-8</v>
      </c>
      <c r="I47" s="21">
        <f t="shared" si="0"/>
        <v>5.3069476364996288E-4</v>
      </c>
      <c r="J47" s="47">
        <f t="shared" si="1"/>
        <v>2.3036813226875865E-2</v>
      </c>
      <c r="K47" s="44">
        <f t="shared" si="6"/>
        <v>2.8024625511374901E-7</v>
      </c>
      <c r="L47" s="13"/>
      <c r="M47" s="10">
        <f t="shared" si="7"/>
        <v>-4.607362645375173E-2</v>
      </c>
      <c r="N47" s="10">
        <f t="shared" si="8"/>
        <v>4.607362645375173E-2</v>
      </c>
    </row>
    <row r="48" spans="1:14" x14ac:dyDescent="0.25">
      <c r="A48" s="1">
        <v>45596</v>
      </c>
      <c r="B48" s="2">
        <f t="shared" si="9"/>
        <v>41</v>
      </c>
      <c r="C48" s="3">
        <f>+VLOOKUP(A48,Precios!$B:$H,1+$C$3,0)</f>
        <v>314.31</v>
      </c>
      <c r="D48" s="10">
        <f t="shared" si="2"/>
        <v>-1.4022209674383501E-2</v>
      </c>
      <c r="E48" s="38">
        <f t="shared" si="3"/>
        <v>1.9662236415237425E-4</v>
      </c>
      <c r="F48" s="27">
        <f t="shared" si="4"/>
        <v>1.1555277023846391E-2</v>
      </c>
      <c r="G48" s="28">
        <f t="shared" si="5"/>
        <v>2.2720258868642884E-6</v>
      </c>
      <c r="I48" s="21">
        <f t="shared" si="0"/>
        <v>5.7010557809718081E-4</v>
      </c>
      <c r="J48" s="47">
        <f t="shared" si="1"/>
        <v>2.3876883760180698E-2</v>
      </c>
      <c r="K48" s="44">
        <f t="shared" si="6"/>
        <v>1.3948971109854214E-7</v>
      </c>
      <c r="L48" s="13"/>
      <c r="M48" s="10">
        <f t="shared" si="7"/>
        <v>-4.7753767520361395E-2</v>
      </c>
      <c r="N48" s="10">
        <f t="shared" si="8"/>
        <v>4.7753767520361395E-2</v>
      </c>
    </row>
    <row r="49" spans="1:14" x14ac:dyDescent="0.25">
      <c r="A49" s="1">
        <v>45595</v>
      </c>
      <c r="B49" s="2">
        <f t="shared" si="9"/>
        <v>42</v>
      </c>
      <c r="C49" s="3">
        <f>+VLOOKUP(A49,Precios!$B:$H,1+$C$3,0)</f>
        <v>318.77999999999997</v>
      </c>
      <c r="D49" s="10">
        <f t="shared" si="2"/>
        <v>5.6785917092558869E-3</v>
      </c>
      <c r="E49" s="38">
        <f t="shared" si="3"/>
        <v>3.2246403800429694E-5</v>
      </c>
      <c r="F49" s="27">
        <f t="shared" si="4"/>
        <v>1.0335937407848793E-2</v>
      </c>
      <c r="G49" s="28">
        <f t="shared" si="5"/>
        <v>3.3329681130945875E-7</v>
      </c>
      <c r="I49" s="21">
        <f t="shared" si="0"/>
        <v>6.3355729739162693E-4</v>
      </c>
      <c r="J49" s="47">
        <f t="shared" si="1"/>
        <v>2.5170564105550495E-2</v>
      </c>
      <c r="K49" s="44">
        <f t="shared" si="6"/>
        <v>3.615747907514441E-7</v>
      </c>
      <c r="L49" s="13"/>
      <c r="M49" s="10">
        <f t="shared" si="7"/>
        <v>-5.034112821110099E-2</v>
      </c>
      <c r="N49" s="10">
        <f t="shared" si="8"/>
        <v>5.034112821110099E-2</v>
      </c>
    </row>
    <row r="50" spans="1:14" x14ac:dyDescent="0.25">
      <c r="A50" s="1">
        <v>45594</v>
      </c>
      <c r="B50" s="2">
        <f t="shared" si="9"/>
        <v>43</v>
      </c>
      <c r="C50" s="3">
        <f>+VLOOKUP(A50,Precios!$B:$H,1+$C$3,0)</f>
        <v>316.98</v>
      </c>
      <c r="D50" s="10">
        <f t="shared" si="2"/>
        <v>3.8869952805453689E-2</v>
      </c>
      <c r="E50" s="38">
        <f t="shared" si="3"/>
        <v>1.510873231098197E-3</v>
      </c>
      <c r="F50" s="27">
        <f t="shared" si="4"/>
        <v>9.2452653344875929E-3</v>
      </c>
      <c r="G50" s="28">
        <f t="shared" si="5"/>
        <v>1.3968423908277423E-5</v>
      </c>
      <c r="I50" s="21">
        <f t="shared" si="0"/>
        <v>5.3005956598102327E-4</v>
      </c>
      <c r="J50" s="47">
        <f t="shared" si="1"/>
        <v>2.3023022520534165E-2</v>
      </c>
      <c r="K50" s="44">
        <f t="shared" si="6"/>
        <v>9.619954456805833E-7</v>
      </c>
      <c r="L50" s="13"/>
      <c r="M50" s="10">
        <f t="shared" si="7"/>
        <v>-4.604604504106833E-2</v>
      </c>
      <c r="N50" s="10">
        <f t="shared" si="8"/>
        <v>4.604604504106833E-2</v>
      </c>
    </row>
    <row r="51" spans="1:14" x14ac:dyDescent="0.25">
      <c r="A51" s="1">
        <v>45593</v>
      </c>
      <c r="B51" s="2">
        <f t="shared" si="9"/>
        <v>44</v>
      </c>
      <c r="C51" s="3">
        <f>+VLOOKUP(A51,Precios!$B:$H,1+$C$3,0)</f>
        <v>305.12</v>
      </c>
      <c r="D51" s="10">
        <f t="shared" si="2"/>
        <v>1.8628563797823183E-2</v>
      </c>
      <c r="E51" s="38">
        <f t="shared" si="3"/>
        <v>3.4702338916956849E-4</v>
      </c>
      <c r="F51" s="27">
        <f t="shared" si="4"/>
        <v>8.2696835064201297E-3</v>
      </c>
      <c r="G51" s="28">
        <f t="shared" si="5"/>
        <v>2.8697735977575946E-6</v>
      </c>
      <c r="I51" s="21">
        <f t="shared" si="0"/>
        <v>5.5165250455449706E-4</v>
      </c>
      <c r="J51" s="47">
        <f t="shared" si="1"/>
        <v>2.3487283890533131E-2</v>
      </c>
      <c r="K51" s="44">
        <f t="shared" si="6"/>
        <v>4.1873074863218408E-8</v>
      </c>
      <c r="L51" s="13"/>
      <c r="M51" s="10">
        <f t="shared" si="7"/>
        <v>-4.6974567781066262E-2</v>
      </c>
      <c r="N51" s="10">
        <f t="shared" si="8"/>
        <v>4.6974567781066262E-2</v>
      </c>
    </row>
    <row r="52" spans="1:14" x14ac:dyDescent="0.25">
      <c r="A52" s="1">
        <v>45590</v>
      </c>
      <c r="B52" s="2">
        <f t="shared" si="9"/>
        <v>45</v>
      </c>
      <c r="C52" s="3">
        <f>+VLOOKUP(A52,Precios!$B:$H,1+$C$3,0)</f>
        <v>299.54000000000002</v>
      </c>
      <c r="D52" s="10">
        <f t="shared" si="2"/>
        <v>-1.7095980311730874E-2</v>
      </c>
      <c r="E52" s="38">
        <f t="shared" si="3"/>
        <v>2.922725428190897E-4</v>
      </c>
      <c r="F52" s="27">
        <f t="shared" si="4"/>
        <v>7.3970473341906972E-3</v>
      </c>
      <c r="G52" s="28">
        <f t="shared" si="5"/>
        <v>2.1619538337170836E-6</v>
      </c>
      <c r="I52" s="21">
        <f t="shared" si="0"/>
        <v>5.8225178650252391E-4</v>
      </c>
      <c r="J52" s="47">
        <f t="shared" si="1"/>
        <v>2.4129894042505116E-2</v>
      </c>
      <c r="K52" s="44">
        <f t="shared" si="6"/>
        <v>8.4087961767216526E-8</v>
      </c>
      <c r="L52" s="13"/>
      <c r="M52" s="10">
        <f t="shared" si="7"/>
        <v>-4.8259788085010233E-2</v>
      </c>
      <c r="N52" s="10">
        <f t="shared" si="8"/>
        <v>4.8259788085010233E-2</v>
      </c>
    </row>
    <row r="53" spans="1:14" x14ac:dyDescent="0.25">
      <c r="A53" s="1">
        <v>45589</v>
      </c>
      <c r="B53" s="2">
        <f t="shared" si="9"/>
        <v>46</v>
      </c>
      <c r="C53" s="3">
        <f>+VLOOKUP(A53,Precios!$B:$H,1+$C$3,0)</f>
        <v>304.75</v>
      </c>
      <c r="D53" s="10">
        <f t="shared" si="2"/>
        <v>1.8073094140442336E-2</v>
      </c>
      <c r="E53" s="38">
        <f t="shared" si="3"/>
        <v>3.2663673180929111E-4</v>
      </c>
      <c r="F53" s="27">
        <f t="shared" si="4"/>
        <v>6.6164937535733949E-3</v>
      </c>
      <c r="G53" s="28">
        <f t="shared" si="5"/>
        <v>2.1611898957038027E-6</v>
      </c>
      <c r="I53" s="21">
        <f t="shared" si="0"/>
        <v>6.1240691905936108E-4</v>
      </c>
      <c r="J53" s="47">
        <f t="shared" si="1"/>
        <v>2.4746856751097928E-2</v>
      </c>
      <c r="K53" s="44">
        <f t="shared" si="6"/>
        <v>8.1664599920940051E-8</v>
      </c>
      <c r="L53" s="13"/>
      <c r="M53" s="10">
        <f t="shared" si="7"/>
        <v>-4.9493713502195856E-2</v>
      </c>
      <c r="N53" s="10">
        <f t="shared" si="8"/>
        <v>4.9493713502195856E-2</v>
      </c>
    </row>
    <row r="54" spans="1:14" x14ac:dyDescent="0.25">
      <c r="A54" s="1">
        <v>45588</v>
      </c>
      <c r="B54" s="2">
        <f t="shared" si="9"/>
        <v>47</v>
      </c>
      <c r="C54" s="3">
        <f>+VLOOKUP(A54,Precios!$B:$H,1+$C$3,0)</f>
        <v>299.33999999999997</v>
      </c>
      <c r="D54" s="10">
        <f t="shared" si="2"/>
        <v>-3.1304116158251682E-3</v>
      </c>
      <c r="E54" s="38">
        <f t="shared" si="3"/>
        <v>9.7994768844931413E-6</v>
      </c>
      <c r="F54" s="27">
        <f t="shared" si="4"/>
        <v>5.9183059960593648E-3</v>
      </c>
      <c r="G54" s="28">
        <f t="shared" si="5"/>
        <v>5.7996302803740904E-8</v>
      </c>
      <c r="I54" s="21">
        <f t="shared" si="0"/>
        <v>6.8349704839594429E-4</v>
      </c>
      <c r="J54" s="47">
        <f t="shared" si="1"/>
        <v>2.6143776475405084E-2</v>
      </c>
      <c r="K54" s="44">
        <f t="shared" si="6"/>
        <v>4.5386841786042682E-7</v>
      </c>
      <c r="L54" s="13"/>
      <c r="M54" s="10">
        <f t="shared" si="7"/>
        <v>-5.2287552950810168E-2</v>
      </c>
      <c r="N54" s="10">
        <f t="shared" si="8"/>
        <v>5.2287552950810168E-2</v>
      </c>
    </row>
    <row r="55" spans="1:14" x14ac:dyDescent="0.25">
      <c r="A55" s="1">
        <v>45587</v>
      </c>
      <c r="B55" s="2">
        <f t="shared" si="9"/>
        <v>48</v>
      </c>
      <c r="C55" s="3">
        <f>+VLOOKUP(A55,Precios!$B:$H,1+$C$3,0)</f>
        <v>300.27999999999997</v>
      </c>
      <c r="D55" s="10">
        <f t="shared" si="2"/>
        <v>1.0000666711111883E-3</v>
      </c>
      <c r="E55" s="38">
        <f t="shared" si="3"/>
        <v>1.0001333466674137E-6</v>
      </c>
      <c r="F55" s="27">
        <f t="shared" si="4"/>
        <v>5.2937926290756989E-3</v>
      </c>
      <c r="G55" s="28">
        <f t="shared" si="5"/>
        <v>5.2944985386807656E-9</v>
      </c>
      <c r="I55" s="21">
        <f t="shared" si="0"/>
        <v>7.6401180902943924E-4</v>
      </c>
      <c r="J55" s="47">
        <f t="shared" si="1"/>
        <v>2.7640763539190434E-2</v>
      </c>
      <c r="K55" s="44">
        <f t="shared" si="6"/>
        <v>5.8218681722823138E-7</v>
      </c>
      <c r="L55" s="13"/>
      <c r="M55" s="10">
        <f t="shared" si="7"/>
        <v>-5.5281527078380868E-2</v>
      </c>
      <c r="N55" s="10">
        <f t="shared" si="8"/>
        <v>5.5281527078380868E-2</v>
      </c>
    </row>
    <row r="56" spans="1:14" x14ac:dyDescent="0.25">
      <c r="A56" s="1">
        <v>45586</v>
      </c>
      <c r="B56" s="2">
        <f t="shared" si="9"/>
        <v>49</v>
      </c>
      <c r="C56" s="3">
        <f>+VLOOKUP(A56,Precios!$B:$H,1+$C$3,0)</f>
        <v>299.98</v>
      </c>
      <c r="D56" s="10">
        <f t="shared" si="2"/>
        <v>2.1660649819494671E-2</v>
      </c>
      <c r="E56" s="38">
        <f t="shared" si="3"/>
        <v>4.6918375060277451E-4</v>
      </c>
      <c r="F56" s="27">
        <f t="shared" si="4"/>
        <v>4.7351793601607961E-3</v>
      </c>
      <c r="G56" s="28">
        <f t="shared" si="5"/>
        <v>2.2216692119770881E-6</v>
      </c>
      <c r="I56" s="21">
        <f t="shared" si="0"/>
        <v>7.9879293408485004E-4</v>
      </c>
      <c r="J56" s="47">
        <f t="shared" si="1"/>
        <v>2.8262925080126615E-2</v>
      </c>
      <c r="K56" s="44">
        <f t="shared" si="6"/>
        <v>1.0864221383572054E-7</v>
      </c>
      <c r="L56" s="13"/>
      <c r="M56" s="10">
        <f t="shared" si="7"/>
        <v>-5.652585016025323E-2</v>
      </c>
      <c r="N56" s="10">
        <f t="shared" si="8"/>
        <v>5.652585016025323E-2</v>
      </c>
    </row>
    <row r="57" spans="1:14" x14ac:dyDescent="0.25">
      <c r="A57" s="1">
        <v>45583</v>
      </c>
      <c r="B57" s="2">
        <f t="shared" si="9"/>
        <v>50</v>
      </c>
      <c r="C57" s="3">
        <f>+VLOOKUP(A57,Precios!$B:$H,1+$C$3,0)</f>
        <v>293.62</v>
      </c>
      <c r="D57" s="10">
        <f t="shared" si="2"/>
        <v>4.3388650012437191E-2</v>
      </c>
      <c r="E57" s="38">
        <f t="shared" si="3"/>
        <v>1.8825749499017659E-3</v>
      </c>
      <c r="F57" s="27">
        <f t="shared" si="4"/>
        <v>4.2355122582139566E-3</v>
      </c>
      <c r="G57" s="28">
        <f t="shared" si="5"/>
        <v>7.9736692773154544E-6</v>
      </c>
      <c r="I57" s="21">
        <f t="shared" si="0"/>
        <v>6.7093821758977925E-4</v>
      </c>
      <c r="J57" s="47">
        <f t="shared" si="1"/>
        <v>2.5902475124778699E-2</v>
      </c>
      <c r="K57" s="44">
        <f t="shared" si="6"/>
        <v>1.4680635710876686E-6</v>
      </c>
      <c r="L57" s="13"/>
      <c r="M57" s="10">
        <f t="shared" si="7"/>
        <v>-5.1804950249557398E-2</v>
      </c>
      <c r="N57" s="10">
        <f t="shared" si="8"/>
        <v>5.1804950249557398E-2</v>
      </c>
    </row>
    <row r="58" spans="1:14" x14ac:dyDescent="0.25">
      <c r="A58" s="1">
        <v>45582</v>
      </c>
      <c r="B58" s="2">
        <f t="shared" si="9"/>
        <v>51</v>
      </c>
      <c r="C58" s="3">
        <f>+VLOOKUP(A58,Precios!$B:$H,1+$C$3,0)</f>
        <v>281.41000000000003</v>
      </c>
      <c r="D58" s="10">
        <f t="shared" si="2"/>
        <v>1.5004508566275998E-2</v>
      </c>
      <c r="E58" s="38">
        <f t="shared" si="3"/>
        <v>2.251352773154498E-4</v>
      </c>
      <c r="F58" s="27">
        <f t="shared" si="4"/>
        <v>3.7885711870630188E-3</v>
      </c>
      <c r="G58" s="28">
        <f t="shared" si="5"/>
        <v>8.5294102482875553E-7</v>
      </c>
      <c r="I58" s="21">
        <f t="shared" si="0"/>
        <v>7.2352998208633282E-4</v>
      </c>
      <c r="J58" s="47">
        <f t="shared" si="1"/>
        <v>2.6898512637064765E-2</v>
      </c>
      <c r="K58" s="44">
        <f t="shared" si="6"/>
        <v>2.4839728174365566E-7</v>
      </c>
      <c r="L58" s="13"/>
      <c r="M58" s="10">
        <f t="shared" si="7"/>
        <v>-5.379702527412953E-2</v>
      </c>
      <c r="N58" s="10">
        <f t="shared" si="8"/>
        <v>5.379702527412953E-2</v>
      </c>
    </row>
    <row r="59" spans="1:14" x14ac:dyDescent="0.25">
      <c r="A59" s="1">
        <v>45581</v>
      </c>
      <c r="B59" s="2">
        <f t="shared" si="9"/>
        <v>52</v>
      </c>
      <c r="C59" s="3">
        <f>+VLOOKUP(A59,Precios!$B:$H,1+$C$3,0)</f>
        <v>277.25</v>
      </c>
      <c r="D59" s="10">
        <f t="shared" si="2"/>
        <v>1.4787160060027116E-2</v>
      </c>
      <c r="E59" s="38">
        <f t="shared" si="3"/>
        <v>2.1866010264086114E-4</v>
      </c>
      <c r="F59" s="27">
        <f t="shared" si="4"/>
        <v>3.3887923737226109E-3</v>
      </c>
      <c r="G59" s="28">
        <f t="shared" si="5"/>
        <v>7.409936882667536E-7</v>
      </c>
      <c r="I59" s="21">
        <f t="shared" si="0"/>
        <v>7.8308992528648442E-4</v>
      </c>
      <c r="J59" s="47">
        <f t="shared" si="1"/>
        <v>2.7983743946914687E-2</v>
      </c>
      <c r="K59" s="44">
        <f t="shared" si="6"/>
        <v>3.1858102469176974E-7</v>
      </c>
      <c r="L59" s="13"/>
      <c r="M59" s="10">
        <f t="shared" si="7"/>
        <v>-5.5967487893829375E-2</v>
      </c>
      <c r="N59" s="10">
        <f t="shared" si="8"/>
        <v>5.5967487893829375E-2</v>
      </c>
    </row>
    <row r="60" spans="1:14" x14ac:dyDescent="0.25">
      <c r="A60" s="1">
        <v>45580</v>
      </c>
      <c r="B60" s="2">
        <f t="shared" si="9"/>
        <v>53</v>
      </c>
      <c r="C60" s="3">
        <f>+VLOOKUP(A60,Precios!$B:$H,1+$C$3,0)</f>
        <v>273.20999999999998</v>
      </c>
      <c r="D60" s="10">
        <f t="shared" si="2"/>
        <v>1.3766233766233649E-2</v>
      </c>
      <c r="E60" s="38">
        <f t="shared" si="3"/>
        <v>1.8950919210659146E-4</v>
      </c>
      <c r="F60" s="27">
        <f t="shared" si="4"/>
        <v>3.0311991474292715E-3</v>
      </c>
      <c r="G60" s="28">
        <f t="shared" si="5"/>
        <v>5.7444010154351007E-7</v>
      </c>
      <c r="I60" s="21">
        <f t="shared" si="0"/>
        <v>8.5311516583307784E-4</v>
      </c>
      <c r="J60" s="47">
        <f t="shared" si="1"/>
        <v>2.9208135267987888E-2</v>
      </c>
      <c r="K60" s="44">
        <f t="shared" si="6"/>
        <v>4.4037288836547821E-7</v>
      </c>
      <c r="L60" s="13"/>
      <c r="M60" s="10">
        <f t="shared" si="7"/>
        <v>-5.8416270535975777E-2</v>
      </c>
      <c r="N60" s="10">
        <f t="shared" si="8"/>
        <v>5.8416270535975777E-2</v>
      </c>
    </row>
    <row r="61" spans="1:14" x14ac:dyDescent="0.25">
      <c r="A61" s="1">
        <v>45579</v>
      </c>
      <c r="B61" s="2">
        <f t="shared" si="9"/>
        <v>54</v>
      </c>
      <c r="C61" s="3">
        <f>+VLOOKUP(A61,Precios!$B:$H,1+$C$3,0)</f>
        <v>269.5</v>
      </c>
      <c r="D61" s="10">
        <f t="shared" si="2"/>
        <v>-1.6746324200080154E-2</v>
      </c>
      <c r="E61" s="38">
        <f t="shared" si="3"/>
        <v>2.8043937421419018E-4</v>
      </c>
      <c r="F61" s="27">
        <f t="shared" si="4"/>
        <v>2.7113399872541258E-3</v>
      </c>
      <c r="G61" s="28">
        <f t="shared" si="5"/>
        <v>7.6036648930745744E-7</v>
      </c>
      <c r="I61" s="21">
        <f t="shared" si="0"/>
        <v>9.2067423205898576E-4</v>
      </c>
      <c r="J61" s="47">
        <f t="shared" si="1"/>
        <v>3.0342614126982959E-2</v>
      </c>
      <c r="K61" s="44">
        <f t="shared" si="6"/>
        <v>4.099006731995456E-7</v>
      </c>
      <c r="L61" s="13"/>
      <c r="M61" s="10">
        <f t="shared" si="7"/>
        <v>-6.0685228253965919E-2</v>
      </c>
      <c r="N61" s="10">
        <f t="shared" si="8"/>
        <v>6.0685228253965919E-2</v>
      </c>
    </row>
    <row r="62" spans="1:14" x14ac:dyDescent="0.25">
      <c r="A62" s="1">
        <v>45576</v>
      </c>
      <c r="B62" s="2">
        <f t="shared" si="9"/>
        <v>55</v>
      </c>
      <c r="C62" s="3">
        <f>+VLOOKUP(A62,Precios!$B:$H,1+$C$3,0)</f>
        <v>274.08999999999997</v>
      </c>
      <c r="D62" s="10">
        <f t="shared" si="2"/>
        <v>1.2859835187169599E-2</v>
      </c>
      <c r="E62" s="38">
        <f t="shared" si="3"/>
        <v>1.6537536104116536E-4</v>
      </c>
      <c r="F62" s="27">
        <f t="shared" si="4"/>
        <v>2.4252331070750729E-3</v>
      </c>
      <c r="G62" s="28">
        <f t="shared" si="5"/>
        <v>4.0107380069152744E-7</v>
      </c>
      <c r="I62" s="21">
        <f t="shared" si="0"/>
        <v>1.0097775033937112E-3</v>
      </c>
      <c r="J62" s="47">
        <f t="shared" si="1"/>
        <v>3.1776996450163617E-2</v>
      </c>
      <c r="K62" s="44">
        <f t="shared" si="6"/>
        <v>7.1301497800956905E-7</v>
      </c>
      <c r="L62" s="13"/>
      <c r="M62" s="10">
        <f t="shared" si="7"/>
        <v>-6.3553992900327233E-2</v>
      </c>
      <c r="N62" s="10">
        <f t="shared" si="8"/>
        <v>6.3553992900327233E-2</v>
      </c>
    </row>
    <row r="63" spans="1:14" x14ac:dyDescent="0.25">
      <c r="A63" s="1">
        <v>45575</v>
      </c>
      <c r="B63" s="2">
        <f t="shared" si="9"/>
        <v>56</v>
      </c>
      <c r="C63" s="3">
        <f>+VLOOKUP(A63,Precios!$B:$H,1+$C$3,0)</f>
        <v>270.61</v>
      </c>
      <c r="D63" s="10">
        <f t="shared" si="2"/>
        <v>1.6566491359879976E-2</v>
      </c>
      <c r="E63" s="38">
        <f t="shared" si="3"/>
        <v>2.7444863597697789E-4</v>
      </c>
      <c r="F63" s="27">
        <f t="shared" si="4"/>
        <v>2.169316888071158E-3</v>
      </c>
      <c r="G63" s="28">
        <f t="shared" si="5"/>
        <v>5.953660609329517E-7</v>
      </c>
      <c r="I63" s="21">
        <f t="shared" si="0"/>
        <v>1.0965248958602141E-3</v>
      </c>
      <c r="J63" s="47">
        <f t="shared" si="1"/>
        <v>3.3113817295204948E-2</v>
      </c>
      <c r="K63" s="44">
        <f t="shared" si="6"/>
        <v>6.7580937706361003E-7</v>
      </c>
      <c r="L63" s="13"/>
      <c r="M63" s="10">
        <f t="shared" si="7"/>
        <v>-6.6227634590409895E-2</v>
      </c>
      <c r="N63" s="10">
        <f t="shared" si="8"/>
        <v>6.6227634590409895E-2</v>
      </c>
    </row>
    <row r="64" spans="1:14" x14ac:dyDescent="0.25">
      <c r="A64" s="1">
        <v>45574</v>
      </c>
      <c r="B64" s="2">
        <f t="shared" si="9"/>
        <v>57</v>
      </c>
      <c r="C64" s="3">
        <f>+VLOOKUP(A64,Precios!$B:$H,1+$C$3,0)</f>
        <v>266.2</v>
      </c>
      <c r="D64" s="10">
        <f t="shared" si="2"/>
        <v>1.7428527748050815E-2</v>
      </c>
      <c r="E64" s="38">
        <f t="shared" si="3"/>
        <v>3.0375357946457721E-4</v>
      </c>
      <c r="F64" s="27">
        <f t="shared" si="4"/>
        <v>1.9404055416950318E-3</v>
      </c>
      <c r="G64" s="28">
        <f t="shared" si="5"/>
        <v>5.8940512890276781E-7</v>
      </c>
      <c r="I64" s="21">
        <f t="shared" si="0"/>
        <v>1.190048824495242E-3</v>
      </c>
      <c r="J64" s="47">
        <f t="shared" si="1"/>
        <v>3.4497084289766319E-2</v>
      </c>
      <c r="K64" s="44">
        <f t="shared" si="6"/>
        <v>7.8551926136396627E-7</v>
      </c>
      <c r="L64" s="13"/>
      <c r="M64" s="10">
        <f t="shared" si="7"/>
        <v>-6.8994168579532639E-2</v>
      </c>
      <c r="N64" s="10">
        <f t="shared" si="8"/>
        <v>6.8994168579532639E-2</v>
      </c>
    </row>
    <row r="65" spans="1:14" x14ac:dyDescent="0.25">
      <c r="A65" s="1">
        <v>45573</v>
      </c>
      <c r="B65" s="2">
        <f t="shared" si="9"/>
        <v>58</v>
      </c>
      <c r="C65" s="3">
        <f>+VLOOKUP(A65,Precios!$B:$H,1+$C$3,0)</f>
        <v>261.64</v>
      </c>
      <c r="D65" s="10">
        <f t="shared" si="2"/>
        <v>-3.6178072279979823E-3</v>
      </c>
      <c r="E65" s="38">
        <f t="shared" si="3"/>
        <v>1.3088529138954445E-5</v>
      </c>
      <c r="F65" s="27">
        <f t="shared" si="4"/>
        <v>1.7356494511913301E-3</v>
      </c>
      <c r="G65" s="28">
        <f t="shared" si="5"/>
        <v>2.2717098416928015E-8</v>
      </c>
      <c r="I65" s="21">
        <f t="shared" si="0"/>
        <v>1.328895864483543E-3</v>
      </c>
      <c r="J65" s="47">
        <f t="shared" si="1"/>
        <v>3.6454023982045426E-2</v>
      </c>
      <c r="K65" s="44">
        <f t="shared" si="6"/>
        <v>1.7313489437466263E-6</v>
      </c>
      <c r="L65" s="13"/>
      <c r="M65" s="10">
        <f t="shared" si="7"/>
        <v>-7.2908047964090852E-2</v>
      </c>
      <c r="N65" s="10">
        <f t="shared" si="8"/>
        <v>7.2908047964090852E-2</v>
      </c>
    </row>
    <row r="66" spans="1:14" x14ac:dyDescent="0.25">
      <c r="A66" s="1">
        <v>45572</v>
      </c>
      <c r="B66" s="2">
        <f t="shared" si="9"/>
        <v>59</v>
      </c>
      <c r="C66" s="3">
        <f>+VLOOKUP(A66,Precios!$B:$H,1+$C$3,0)</f>
        <v>262.58999999999997</v>
      </c>
      <c r="D66" s="10">
        <f t="shared" si="2"/>
        <v>-2.113621113844788E-2</v>
      </c>
      <c r="E66" s="38">
        <f t="shared" si="3"/>
        <v>4.4673942128904822E-4</v>
      </c>
      <c r="F66" s="27">
        <f t="shared" si="4"/>
        <v>1.5524996979699559E-3</v>
      </c>
      <c r="G66" s="28">
        <f t="shared" si="5"/>
        <v>6.9356281662252022E-7</v>
      </c>
      <c r="I66" s="21">
        <f t="shared" si="0"/>
        <v>1.4329646350507651E-3</v>
      </c>
      <c r="J66" s="47">
        <f t="shared" si="1"/>
        <v>3.7854519347770947E-2</v>
      </c>
      <c r="K66" s="44">
        <f t="shared" si="6"/>
        <v>9.7264017225934438E-7</v>
      </c>
      <c r="L66" s="13"/>
      <c r="M66" s="10">
        <f t="shared" si="7"/>
        <v>-7.5709038695541894E-2</v>
      </c>
      <c r="N66" s="10">
        <f t="shared" si="8"/>
        <v>7.5709038695541894E-2</v>
      </c>
    </row>
    <row r="67" spans="1:14" x14ac:dyDescent="0.25">
      <c r="A67" s="1">
        <v>45569</v>
      </c>
      <c r="B67" s="2">
        <f t="shared" si="9"/>
        <v>60</v>
      </c>
      <c r="C67" s="3">
        <f>+VLOOKUP(A67,Precios!$B:$H,1+$C$3,0)</f>
        <v>268.26</v>
      </c>
      <c r="D67" s="10">
        <f t="shared" si="2"/>
        <v>3.252376736846152E-2</v>
      </c>
      <c r="E67" s="38">
        <f t="shared" si="3"/>
        <v>1.0577954438378025E-3</v>
      </c>
      <c r="F67" s="27">
        <f t="shared" si="4"/>
        <v>1.3886763312386799E-3</v>
      </c>
      <c r="G67" s="28">
        <f t="shared" si="5"/>
        <v>1.4689354961496706E-6</v>
      </c>
      <c r="I67" s="21">
        <f t="shared" si="0"/>
        <v>1.4772236741196711E-3</v>
      </c>
      <c r="J67" s="47">
        <f t="shared" si="1"/>
        <v>3.8434667607768785E-2</v>
      </c>
      <c r="K67" s="44">
        <f t="shared" si="6"/>
        <v>1.7592004035738016E-7</v>
      </c>
      <c r="L67" s="13"/>
      <c r="M67" s="10">
        <f t="shared" si="7"/>
        <v>-7.6869335215537571E-2</v>
      </c>
      <c r="N67" s="10">
        <f t="shared" si="8"/>
        <v>7.6869335215537571E-2</v>
      </c>
    </row>
    <row r="68" spans="1:14" x14ac:dyDescent="0.25">
      <c r="A68" s="1">
        <v>45568</v>
      </c>
      <c r="B68" s="2">
        <f t="shared" si="9"/>
        <v>61</v>
      </c>
      <c r="C68" s="3">
        <f>+VLOOKUP(A68,Precios!$B:$H,1+$C$3,0)</f>
        <v>259.81</v>
      </c>
      <c r="D68" s="10">
        <f t="shared" si="2"/>
        <v>-1.3854095498367802E-2</v>
      </c>
      <c r="E68" s="38">
        <f t="shared" si="3"/>
        <v>1.9193596207789501E-4</v>
      </c>
      <c r="F68" s="27">
        <f t="shared" si="4"/>
        <v>1.242139985897658E-3</v>
      </c>
      <c r="G68" s="28">
        <f t="shared" si="5"/>
        <v>2.3841133322868992E-7</v>
      </c>
      <c r="I68" s="21">
        <f t="shared" si="0"/>
        <v>1.6288501946186602E-3</v>
      </c>
      <c r="J68" s="47">
        <f t="shared" si="1"/>
        <v>4.0359016274169275E-2</v>
      </c>
      <c r="K68" s="44">
        <f t="shared" si="6"/>
        <v>2.0647225116782162E-6</v>
      </c>
      <c r="L68" s="13"/>
      <c r="M68" s="10">
        <f t="shared" si="7"/>
        <v>-8.071803254833855E-2</v>
      </c>
      <c r="N68" s="10">
        <f t="shared" si="8"/>
        <v>8.071803254833855E-2</v>
      </c>
    </row>
    <row r="69" spans="1:14" x14ac:dyDescent="0.25">
      <c r="A69" s="1">
        <v>45567</v>
      </c>
      <c r="B69" s="2">
        <f t="shared" si="9"/>
        <v>62</v>
      </c>
      <c r="C69" s="3">
        <f>+VLOOKUP(A69,Precios!$B:$H,1+$C$3,0)</f>
        <v>263.45999999999998</v>
      </c>
      <c r="D69" s="10">
        <f t="shared" si="2"/>
        <v>8.1120379582153568E-3</v>
      </c>
      <c r="E69" s="38">
        <f t="shared" si="3"/>
        <v>6.580515983552677E-5</v>
      </c>
      <c r="F69" s="27">
        <f t="shared" si="4"/>
        <v>1.1110664953795091E-3</v>
      </c>
      <c r="G69" s="28">
        <f t="shared" si="5"/>
        <v>7.3113908316347164E-8</v>
      </c>
      <c r="I69" s="21">
        <f t="shared" si="0"/>
        <v>1.8132439904878334E-3</v>
      </c>
      <c r="J69" s="47">
        <f t="shared" si="1"/>
        <v>4.2582202743491719E-2</v>
      </c>
      <c r="K69" s="44">
        <f t="shared" si="6"/>
        <v>3.0535424668715009E-6</v>
      </c>
      <c r="L69" s="13"/>
      <c r="M69" s="10">
        <f t="shared" si="7"/>
        <v>-8.5164405486983438E-2</v>
      </c>
      <c r="N69" s="10">
        <f t="shared" si="8"/>
        <v>8.5164405486983438E-2</v>
      </c>
    </row>
    <row r="70" spans="1:14" x14ac:dyDescent="0.25">
      <c r="A70" s="1">
        <v>45565</v>
      </c>
      <c r="B70" s="2">
        <f t="shared" si="9"/>
        <v>63</v>
      </c>
      <c r="C70" s="3">
        <f>+VLOOKUP(A70,Precios!$B:$H,1+$C$3,0)</f>
        <v>261.33999999999997</v>
      </c>
      <c r="D70" s="10">
        <f t="shared" si="2"/>
        <v>-3.8378040254627099E-2</v>
      </c>
      <c r="E70" s="38">
        <f t="shared" si="3"/>
        <v>1.4728739737857781E-3</v>
      </c>
      <c r="F70" s="27">
        <f t="shared" si="4"/>
        <v>9.9382418340135024E-4</v>
      </c>
      <c r="G70" s="28">
        <f t="shared" si="5"/>
        <v>1.4637777742507526E-6</v>
      </c>
      <c r="I70" s="21">
        <f t="shared" si="0"/>
        <v>1.8533977403690414E-3</v>
      </c>
      <c r="J70" s="47">
        <f t="shared" si="1"/>
        <v>4.3051106145708284E-2</v>
      </c>
      <c r="K70" s="44">
        <f t="shared" si="6"/>
        <v>1.447983369347138E-7</v>
      </c>
      <c r="L70" s="13"/>
      <c r="M70" s="10">
        <f t="shared" si="7"/>
        <v>-8.6102212291416569E-2</v>
      </c>
      <c r="N70" s="10">
        <f t="shared" si="8"/>
        <v>8.6102212291416569E-2</v>
      </c>
    </row>
    <row r="71" spans="1:14" x14ac:dyDescent="0.25">
      <c r="A71" s="1">
        <v>45562</v>
      </c>
      <c r="B71" s="2">
        <f t="shared" si="9"/>
        <v>64</v>
      </c>
      <c r="C71" s="3">
        <f>+VLOOKUP(A71,Precios!$B:$H,1+$C$3,0)</f>
        <v>271.77</v>
      </c>
      <c r="D71" s="10">
        <f t="shared" si="2"/>
        <v>-7.0395074397126889E-2</v>
      </c>
      <c r="E71" s="38">
        <f t="shared" si="3"/>
        <v>4.9554664993770297E-3</v>
      </c>
      <c r="F71" s="27">
        <f t="shared" si="4"/>
        <v>8.8895355194379682E-4</v>
      </c>
      <c r="G71" s="28">
        <f t="shared" si="5"/>
        <v>4.4051795461597037E-6</v>
      </c>
      <c r="I71" s="21">
        <f t="shared" si="0"/>
        <v>1.4874439637396805E-3</v>
      </c>
      <c r="J71" s="47">
        <f t="shared" si="1"/>
        <v>3.8567395086260108E-2</v>
      </c>
      <c r="K71" s="44">
        <f t="shared" si="6"/>
        <v>1.2027180307688507E-5</v>
      </c>
      <c r="L71" s="13"/>
      <c r="M71" s="10">
        <f t="shared" si="7"/>
        <v>-7.7134790172520215E-2</v>
      </c>
      <c r="N71" s="10">
        <f t="shared" si="8"/>
        <v>7.7134790172520215E-2</v>
      </c>
    </row>
    <row r="72" spans="1:14" x14ac:dyDescent="0.25">
      <c r="A72" s="1">
        <v>45561</v>
      </c>
      <c r="B72" s="2">
        <f t="shared" si="9"/>
        <v>65</v>
      </c>
      <c r="C72" s="3">
        <f>+VLOOKUP(A72,Precios!$B:$H,1+$C$3,0)</f>
        <v>292.35000000000002</v>
      </c>
      <c r="D72" s="10">
        <f t="shared" si="2"/>
        <v>4.2283147349281736E-2</v>
      </c>
      <c r="E72" s="38">
        <f t="shared" si="3"/>
        <v>1.787864549761071E-3</v>
      </c>
      <c r="F72" s="27">
        <f t="shared" si="4"/>
        <v>7.9514911260149853E-4</v>
      </c>
      <c r="G72" s="28">
        <f t="shared" si="5"/>
        <v>1.4216189101941934E-6</v>
      </c>
      <c r="I72" s="21">
        <f t="shared" ref="I72:I135" si="10">(1-$C$4)*E73+$C$4*I73</f>
        <v>1.4520030832909532E-3</v>
      </c>
      <c r="J72" s="47">
        <f t="shared" ref="J72:J135" si="11">SQRT(I72)</f>
        <v>3.8105158224195225E-2</v>
      </c>
      <c r="K72" s="44">
        <f t="shared" si="6"/>
        <v>1.1280292465945804E-7</v>
      </c>
      <c r="L72" s="13"/>
      <c r="M72" s="10">
        <f t="shared" si="7"/>
        <v>-7.621031644839045E-2</v>
      </c>
      <c r="N72" s="10">
        <f t="shared" si="8"/>
        <v>7.621031644839045E-2</v>
      </c>
    </row>
    <row r="73" spans="1:14" x14ac:dyDescent="0.25">
      <c r="A73" s="1">
        <v>45560</v>
      </c>
      <c r="B73" s="2">
        <f t="shared" si="9"/>
        <v>66</v>
      </c>
      <c r="C73" s="3">
        <f>+VLOOKUP(A73,Precios!$B:$H,1+$C$3,0)</f>
        <v>280.49</v>
      </c>
      <c r="D73" s="10">
        <f t="shared" ref="D73:D136" si="12">C73/C74-1</f>
        <v>-6.0460909760836068E-2</v>
      </c>
      <c r="E73" s="38">
        <f t="shared" ref="E73:E136" si="13">(D73)^2</f>
        <v>3.6555216091079621E-3</v>
      </c>
      <c r="F73" s="27">
        <f t="shared" ref="F73:F136" si="14">$C$4^(B73-1)</f>
        <v>7.1124313513168207E-4</v>
      </c>
      <c r="G73" s="28">
        <f t="shared" ref="G73:G136" si="15">+E73*F73</f>
        <v>2.5999646498035582E-6</v>
      </c>
      <c r="I73" s="21">
        <f t="shared" si="10"/>
        <v>1.1920520670364422E-3</v>
      </c>
      <c r="J73" s="47">
        <f t="shared" si="11"/>
        <v>3.4526107035639603E-2</v>
      </c>
      <c r="K73" s="44">
        <f t="shared" ref="K73:K136" si="16">(E73-I73)^2</f>
        <v>6.0686821847140638E-6</v>
      </c>
      <c r="L73" s="13"/>
      <c r="M73" s="10">
        <f t="shared" ref="M73:M136" si="17">-J73*$N$5</f>
        <v>-6.9052214071279205E-2</v>
      </c>
      <c r="N73" s="10">
        <f t="shared" ref="N73:N136" si="18">+J73*$N$5</f>
        <v>6.9052214071279205E-2</v>
      </c>
    </row>
    <row r="74" spans="1:14" x14ac:dyDescent="0.25">
      <c r="A74" s="1">
        <v>45559</v>
      </c>
      <c r="B74" s="2">
        <f t="shared" ref="B74:B137" si="19">+B73+1</f>
        <v>67</v>
      </c>
      <c r="C74" s="3">
        <f>+VLOOKUP(A74,Precios!$B:$H,1+$C$3,0)</f>
        <v>298.54000000000002</v>
      </c>
      <c r="D74" s="10">
        <f t="shared" si="12"/>
        <v>7.8306725420790313E-2</v>
      </c>
      <c r="E74" s="38">
        <f t="shared" si="13"/>
        <v>6.1319432461270475E-3</v>
      </c>
      <c r="F74" s="27">
        <f t="shared" si="14"/>
        <v>6.361911108935202E-4</v>
      </c>
      <c r="G74" s="28">
        <f t="shared" si="15"/>
        <v>3.9010877856895846E-6</v>
      </c>
      <c r="I74" s="21">
        <f t="shared" si="10"/>
        <v>6.0928876500558008E-4</v>
      </c>
      <c r="J74" s="47">
        <f t="shared" si="11"/>
        <v>2.4683775339392068E-2</v>
      </c>
      <c r="K74" s="44">
        <f t="shared" si="16"/>
        <v>3.0499712517851026E-5</v>
      </c>
      <c r="L74" s="13"/>
      <c r="M74" s="10">
        <f t="shared" si="17"/>
        <v>-4.9367550678784136E-2</v>
      </c>
      <c r="N74" s="10">
        <f t="shared" si="18"/>
        <v>4.9367550678784136E-2</v>
      </c>
    </row>
    <row r="75" spans="1:14" x14ac:dyDescent="0.25">
      <c r="A75" s="1">
        <v>45558</v>
      </c>
      <c r="B75" s="2">
        <f t="shared" si="19"/>
        <v>68</v>
      </c>
      <c r="C75" s="3">
        <f>+VLOOKUP(A75,Precios!$B:$H,1+$C$3,0)</f>
        <v>276.86</v>
      </c>
      <c r="D75" s="10">
        <f t="shared" si="12"/>
        <v>-1.4066726780883609E-3</v>
      </c>
      <c r="E75" s="38">
        <f t="shared" si="13"/>
        <v>1.9787280232802814E-6</v>
      </c>
      <c r="F75" s="27">
        <f t="shared" si="14"/>
        <v>5.6905875021907447E-4</v>
      </c>
      <c r="G75" s="28">
        <f t="shared" si="15"/>
        <v>1.1260124959513367E-9</v>
      </c>
      <c r="I75" s="21">
        <f t="shared" si="10"/>
        <v>6.8093366358276761E-4</v>
      </c>
      <c r="J75" s="47">
        <f t="shared" si="11"/>
        <v>2.6094705661930114E-2</v>
      </c>
      <c r="K75" s="44">
        <f t="shared" si="16"/>
        <v>4.6097980452058763E-7</v>
      </c>
      <c r="L75" s="13"/>
      <c r="M75" s="10">
        <f t="shared" si="17"/>
        <v>-5.2189411323860228E-2</v>
      </c>
      <c r="N75" s="10">
        <f t="shared" si="18"/>
        <v>5.2189411323860228E-2</v>
      </c>
    </row>
    <row r="76" spans="1:14" x14ac:dyDescent="0.25">
      <c r="A76" s="1">
        <v>45555</v>
      </c>
      <c r="B76" s="2">
        <f t="shared" si="19"/>
        <v>69</v>
      </c>
      <c r="C76" s="3">
        <f>+VLOOKUP(A76,Precios!$B:$H,1+$C$3,0)</f>
        <v>277.25</v>
      </c>
      <c r="D76" s="10">
        <f t="shared" si="12"/>
        <v>5.3942066448718906E-2</v>
      </c>
      <c r="E76" s="38">
        <f t="shared" si="13"/>
        <v>2.9097465327580061E-3</v>
      </c>
      <c r="F76" s="27">
        <f t="shared" si="14"/>
        <v>5.0901035185179494E-4</v>
      </c>
      <c r="G76" s="28">
        <f t="shared" si="15"/>
        <v>1.481091106438693E-6</v>
      </c>
      <c r="I76" s="21">
        <f t="shared" si="10"/>
        <v>4.1799865142151736E-4</v>
      </c>
      <c r="J76" s="47">
        <f t="shared" si="11"/>
        <v>2.0445015319669423E-2</v>
      </c>
      <c r="K76" s="44">
        <f t="shared" si="16"/>
        <v>6.2088075041448815E-6</v>
      </c>
      <c r="L76" s="13"/>
      <c r="M76" s="10">
        <f t="shared" si="17"/>
        <v>-4.0890030639338847E-2</v>
      </c>
      <c r="N76" s="10">
        <f t="shared" si="18"/>
        <v>4.0890030639338847E-2</v>
      </c>
    </row>
    <row r="77" spans="1:14" x14ac:dyDescent="0.25">
      <c r="A77" s="1">
        <v>45554</v>
      </c>
      <c r="B77" s="2">
        <f t="shared" si="19"/>
        <v>70</v>
      </c>
      <c r="C77" s="3">
        <f>+VLOOKUP(A77,Precios!$B:$H,1+$C$3,0)</f>
        <v>263.06</v>
      </c>
      <c r="D77" s="10">
        <f t="shared" si="12"/>
        <v>1.7207377904953303E-2</v>
      </c>
      <c r="E77" s="38">
        <f t="shared" si="13"/>
        <v>2.960938543638751E-4</v>
      </c>
      <c r="F77" s="27">
        <f t="shared" si="14"/>
        <v>4.5529839966882828E-4</v>
      </c>
      <c r="G77" s="28">
        <f t="shared" si="15"/>
        <v>1.3481105804364745E-7</v>
      </c>
      <c r="I77" s="21">
        <f t="shared" si="10"/>
        <v>4.323798674222698E-4</v>
      </c>
      <c r="J77" s="47">
        <f t="shared" si="11"/>
        <v>2.0793745872792372E-2</v>
      </c>
      <c r="K77" s="44">
        <f t="shared" si="16"/>
        <v>1.8573877355352932E-8</v>
      </c>
      <c r="L77" s="13"/>
      <c r="M77" s="10">
        <f t="shared" si="17"/>
        <v>-4.1587491745584744E-2</v>
      </c>
      <c r="N77" s="10">
        <f t="shared" si="18"/>
        <v>4.1587491745584744E-2</v>
      </c>
    </row>
    <row r="78" spans="1:14" x14ac:dyDescent="0.25">
      <c r="A78" s="1">
        <v>45553</v>
      </c>
      <c r="B78" s="2">
        <f t="shared" si="19"/>
        <v>71</v>
      </c>
      <c r="C78" s="3">
        <f>+VLOOKUP(A78,Precios!$B:$H,1+$C$3,0)</f>
        <v>258.61</v>
      </c>
      <c r="D78" s="10">
        <f t="shared" si="12"/>
        <v>2.9474500678687843E-3</v>
      </c>
      <c r="E78" s="38">
        <f t="shared" si="13"/>
        <v>8.6874619025797004E-6</v>
      </c>
      <c r="F78" s="27">
        <f t="shared" si="14"/>
        <v>4.0725425718130231E-4</v>
      </c>
      <c r="G78" s="28">
        <f t="shared" si="15"/>
        <v>3.5380058439259592E-9</v>
      </c>
      <c r="I78" s="21">
        <f t="shared" si="10"/>
        <v>4.8236323270998613E-4</v>
      </c>
      <c r="J78" s="47">
        <f t="shared" si="11"/>
        <v>2.1962769240466608E-2</v>
      </c>
      <c r="K78" s="44">
        <f t="shared" si="16"/>
        <v>2.2436873584999061E-7</v>
      </c>
      <c r="L78" s="13"/>
      <c r="M78" s="10">
        <f t="shared" si="17"/>
        <v>-4.3925538480933217E-2</v>
      </c>
      <c r="N78" s="10">
        <f t="shared" si="18"/>
        <v>4.3925538480933217E-2</v>
      </c>
    </row>
    <row r="79" spans="1:14" x14ac:dyDescent="0.25">
      <c r="A79" s="1">
        <v>45552</v>
      </c>
      <c r="B79" s="2">
        <f t="shared" si="19"/>
        <v>72</v>
      </c>
      <c r="C79" s="3">
        <f>+VLOOKUP(A79,Precios!$B:$H,1+$C$3,0)</f>
        <v>257.85000000000002</v>
      </c>
      <c r="D79" s="10">
        <f t="shared" si="12"/>
        <v>3.4752598418877234E-2</v>
      </c>
      <c r="E79" s="38">
        <f t="shared" si="13"/>
        <v>1.2077430968637484E-3</v>
      </c>
      <c r="F79" s="27">
        <f t="shared" si="14"/>
        <v>3.6427984397251022E-4</v>
      </c>
      <c r="G79" s="28">
        <f t="shared" si="15"/>
        <v>4.3995646688440258E-7</v>
      </c>
      <c r="I79" s="21">
        <f t="shared" si="10"/>
        <v>3.9678953289849252E-4</v>
      </c>
      <c r="J79" s="47">
        <f t="shared" si="11"/>
        <v>1.991957662447906E-2</v>
      </c>
      <c r="K79" s="44">
        <f t="shared" si="16"/>
        <v>6.5764568290795036E-7</v>
      </c>
      <c r="L79" s="13"/>
      <c r="M79" s="10">
        <f t="shared" si="17"/>
        <v>-3.983915324895812E-2</v>
      </c>
      <c r="N79" s="10">
        <f t="shared" si="18"/>
        <v>3.983915324895812E-2</v>
      </c>
    </row>
    <row r="80" spans="1:14" x14ac:dyDescent="0.25">
      <c r="A80" s="1">
        <v>45548</v>
      </c>
      <c r="B80" s="2">
        <f t="shared" si="19"/>
        <v>73</v>
      </c>
      <c r="C80" s="3">
        <f>+VLOOKUP(A80,Precios!$B:$H,1+$C$3,0)</f>
        <v>249.19</v>
      </c>
      <c r="D80" s="10">
        <f t="shared" si="12"/>
        <v>3.1757204372308667E-2</v>
      </c>
      <c r="E80" s="38">
        <f t="shared" si="13"/>
        <v>1.0085200295445807E-3</v>
      </c>
      <c r="F80" s="27">
        <f t="shared" si="14"/>
        <v>3.2584019045763039E-4</v>
      </c>
      <c r="G80" s="28">
        <f t="shared" si="15"/>
        <v>3.2861635850714119E-7</v>
      </c>
      <c r="I80" s="21">
        <f t="shared" si="10"/>
        <v>3.2462314881144853E-4</v>
      </c>
      <c r="J80" s="47">
        <f t="shared" si="11"/>
        <v>1.8017301374274909E-2</v>
      </c>
      <c r="K80" s="44">
        <f t="shared" si="16"/>
        <v>4.67714943476508E-7</v>
      </c>
      <c r="L80" s="13"/>
      <c r="M80" s="10">
        <f t="shared" si="17"/>
        <v>-3.6034602748549818E-2</v>
      </c>
      <c r="N80" s="10">
        <f t="shared" si="18"/>
        <v>3.6034602748549818E-2</v>
      </c>
    </row>
    <row r="81" spans="1:14" x14ac:dyDescent="0.25">
      <c r="A81" s="1">
        <v>45547</v>
      </c>
      <c r="B81" s="2">
        <f t="shared" si="19"/>
        <v>74</v>
      </c>
      <c r="C81" s="3">
        <f>+VLOOKUP(A81,Precios!$B:$H,1+$C$3,0)</f>
        <v>241.52</v>
      </c>
      <c r="D81" s="10">
        <f t="shared" si="12"/>
        <v>2.0147835269271441E-2</v>
      </c>
      <c r="E81" s="38">
        <f t="shared" si="13"/>
        <v>4.0593526603769823E-4</v>
      </c>
      <c r="F81" s="27">
        <f t="shared" si="14"/>
        <v>2.9145677828245958E-4</v>
      </c>
      <c r="G81" s="28">
        <f t="shared" si="15"/>
        <v>1.1831258483058065E-7</v>
      </c>
      <c r="I81" s="21">
        <f t="shared" si="10"/>
        <v>3.1503068691057464E-4</v>
      </c>
      <c r="J81" s="47">
        <f t="shared" si="11"/>
        <v>1.7749103834012989E-2</v>
      </c>
      <c r="K81" s="44">
        <f t="shared" si="16"/>
        <v>8.2636425062794727E-9</v>
      </c>
      <c r="L81" s="13"/>
      <c r="M81" s="10">
        <f t="shared" si="17"/>
        <v>-3.5498207668025979E-2</v>
      </c>
      <c r="N81" s="10">
        <f t="shared" si="18"/>
        <v>3.5498207668025979E-2</v>
      </c>
    </row>
    <row r="82" spans="1:14" x14ac:dyDescent="0.25">
      <c r="A82" s="1">
        <v>45546</v>
      </c>
      <c r="B82" s="2">
        <f t="shared" si="19"/>
        <v>75</v>
      </c>
      <c r="C82" s="3">
        <f>+VLOOKUP(A82,Precios!$B:$H,1+$C$3,0)</f>
        <v>236.75</v>
      </c>
      <c r="D82" s="10">
        <f t="shared" si="12"/>
        <v>-3.3677120606188105E-3</v>
      </c>
      <c r="E82" s="38">
        <f t="shared" si="13"/>
        <v>1.1341484523237394E-5</v>
      </c>
      <c r="F82" s="27">
        <f t="shared" si="14"/>
        <v>2.6070158345870665E-4</v>
      </c>
      <c r="G82" s="28">
        <f t="shared" si="15"/>
        <v>2.9567429739804035E-9</v>
      </c>
      <c r="I82" s="21">
        <f t="shared" si="10"/>
        <v>3.5085716890343181E-4</v>
      </c>
      <c r="J82" s="47">
        <f t="shared" si="11"/>
        <v>1.8731181727361247E-2</v>
      </c>
      <c r="K82" s="44">
        <f t="shared" si="16"/>
        <v>1.152708999401518E-7</v>
      </c>
      <c r="L82" s="13"/>
      <c r="M82" s="10">
        <f t="shared" si="17"/>
        <v>-3.7462363454722494E-2</v>
      </c>
      <c r="N82" s="10">
        <f t="shared" si="18"/>
        <v>3.7462363454722494E-2</v>
      </c>
    </row>
    <row r="83" spans="1:14" x14ac:dyDescent="0.25">
      <c r="A83" s="1">
        <v>45545</v>
      </c>
      <c r="B83" s="2">
        <f t="shared" si="19"/>
        <v>76</v>
      </c>
      <c r="C83" s="3">
        <f>+VLOOKUP(A83,Precios!$B:$H,1+$C$3,0)</f>
        <v>237.55</v>
      </c>
      <c r="D83" s="10">
        <f t="shared" si="12"/>
        <v>2.2688135009471422E-2</v>
      </c>
      <c r="E83" s="38">
        <f t="shared" si="13"/>
        <v>5.1475147020800277E-4</v>
      </c>
      <c r="F83" s="27">
        <f t="shared" si="14"/>
        <v>2.3319174808145905E-4</v>
      </c>
      <c r="G83" s="28">
        <f t="shared" si="15"/>
        <v>1.2003579516530526E-7</v>
      </c>
      <c r="I83" s="21">
        <f t="shared" si="10"/>
        <v>3.3152241419940698E-4</v>
      </c>
      <c r="J83" s="47">
        <f t="shared" si="11"/>
        <v>1.8207756978810073E-2</v>
      </c>
      <c r="K83" s="44">
        <f t="shared" si="16"/>
        <v>3.3572886965801137E-8</v>
      </c>
      <c r="L83" s="13"/>
      <c r="M83" s="10">
        <f t="shared" si="17"/>
        <v>-3.6415513957620146E-2</v>
      </c>
      <c r="N83" s="10">
        <f t="shared" si="18"/>
        <v>3.6415513957620146E-2</v>
      </c>
    </row>
    <row r="84" spans="1:14" x14ac:dyDescent="0.25">
      <c r="A84" s="1">
        <v>45544</v>
      </c>
      <c r="B84" s="2">
        <f t="shared" si="19"/>
        <v>77</v>
      </c>
      <c r="C84" s="3">
        <f>+VLOOKUP(A84,Precios!$B:$H,1+$C$3,0)</f>
        <v>232.28</v>
      </c>
      <c r="D84" s="10">
        <f t="shared" si="12"/>
        <v>1.0132637529897792E-2</v>
      </c>
      <c r="E84" s="38">
        <f t="shared" si="13"/>
        <v>1.0267034331229323E-4</v>
      </c>
      <c r="F84" s="27">
        <f t="shared" si="14"/>
        <v>2.0858481429937239E-4</v>
      </c>
      <c r="G84" s="28">
        <f t="shared" si="15"/>
        <v>2.1415474493847494E-8</v>
      </c>
      <c r="I84" s="21">
        <f t="shared" si="10"/>
        <v>3.585202940456847E-4</v>
      </c>
      <c r="J84" s="47">
        <f t="shared" si="11"/>
        <v>1.8934632133888546E-2</v>
      </c>
      <c r="K84" s="44">
        <f t="shared" si="16"/>
        <v>6.5459197290278843E-8</v>
      </c>
      <c r="L84" s="13"/>
      <c r="M84" s="10">
        <f t="shared" si="17"/>
        <v>-3.7869264267777092E-2</v>
      </c>
      <c r="N84" s="10">
        <f t="shared" si="18"/>
        <v>3.7869264267777092E-2</v>
      </c>
    </row>
    <row r="85" spans="1:14" x14ac:dyDescent="0.25">
      <c r="A85" s="1">
        <v>45541</v>
      </c>
      <c r="B85" s="2">
        <f t="shared" si="19"/>
        <v>78</v>
      </c>
      <c r="C85" s="3">
        <f>+VLOOKUP(A85,Precios!$B:$H,1+$C$3,0)</f>
        <v>229.95</v>
      </c>
      <c r="D85" s="10">
        <f t="shared" si="12"/>
        <v>-1.4697060587882449E-2</v>
      </c>
      <c r="E85" s="38">
        <f t="shared" si="13"/>
        <v>2.1600358992388758E-4</v>
      </c>
      <c r="F85" s="27">
        <f t="shared" si="14"/>
        <v>1.8657446120737297E-4</v>
      </c>
      <c r="G85" s="28">
        <f t="shared" si="15"/>
        <v>4.0300753408907665E-8</v>
      </c>
      <c r="I85" s="21">
        <f t="shared" si="10"/>
        <v>3.7533311483010196E-4</v>
      </c>
      <c r="J85" s="47">
        <f t="shared" si="11"/>
        <v>1.9373515809736289E-2</v>
      </c>
      <c r="K85" s="44">
        <f t="shared" si="16"/>
        <v>2.5385897506839988E-8</v>
      </c>
      <c r="L85" s="13"/>
      <c r="M85" s="10">
        <f t="shared" si="17"/>
        <v>-3.8747031619472579E-2</v>
      </c>
      <c r="N85" s="10">
        <f t="shared" si="18"/>
        <v>3.8747031619472579E-2</v>
      </c>
    </row>
    <row r="86" spans="1:14" x14ac:dyDescent="0.25">
      <c r="A86" s="1">
        <v>45540</v>
      </c>
      <c r="B86" s="2">
        <f t="shared" si="19"/>
        <v>79</v>
      </c>
      <c r="C86" s="3">
        <f>+VLOOKUP(A86,Precios!$B:$H,1+$C$3,0)</f>
        <v>233.38</v>
      </c>
      <c r="D86" s="10">
        <f t="shared" si="12"/>
        <v>1.350588439657785E-2</v>
      </c>
      <c r="E86" s="38">
        <f t="shared" si="13"/>
        <v>1.8240891333372504E-4</v>
      </c>
      <c r="F86" s="27">
        <f t="shared" si="14"/>
        <v>1.6688669159232392E-4</v>
      </c>
      <c r="G86" s="28">
        <f t="shared" si="15"/>
        <v>3.0441620063216312E-8</v>
      </c>
      <c r="I86" s="21">
        <f t="shared" si="10"/>
        <v>3.9809255236216378E-4</v>
      </c>
      <c r="J86" s="47">
        <f t="shared" si="11"/>
        <v>1.9952256823782211E-2</v>
      </c>
      <c r="K86" s="44">
        <f t="shared" si="16"/>
        <v>4.6519432144549865E-8</v>
      </c>
      <c r="L86" s="13"/>
      <c r="M86" s="10">
        <f t="shared" si="17"/>
        <v>-3.9904513647564421E-2</v>
      </c>
      <c r="N86" s="10">
        <f t="shared" si="18"/>
        <v>3.9904513647564421E-2</v>
      </c>
    </row>
    <row r="87" spans="1:14" x14ac:dyDescent="0.25">
      <c r="A87" s="1">
        <v>45539</v>
      </c>
      <c r="B87" s="2">
        <f t="shared" si="19"/>
        <v>80</v>
      </c>
      <c r="C87" s="3">
        <f>+VLOOKUP(A87,Precios!$B:$H,1+$C$3,0)</f>
        <v>230.27</v>
      </c>
      <c r="D87" s="10">
        <f t="shared" si="12"/>
        <v>-2.1002508396751773E-2</v>
      </c>
      <c r="E87" s="38">
        <f t="shared" si="13"/>
        <v>4.4110535895562874E-4</v>
      </c>
      <c r="F87" s="27">
        <f t="shared" si="14"/>
        <v>1.4927642106212787E-4</v>
      </c>
      <c r="G87" s="28">
        <f t="shared" si="15"/>
        <v>6.5846629296221488E-8</v>
      </c>
      <c r="I87" s="21">
        <f t="shared" si="10"/>
        <v>3.93018293782112E-4</v>
      </c>
      <c r="J87" s="47">
        <f t="shared" si="11"/>
        <v>1.9824688995848383E-2</v>
      </c>
      <c r="K87" s="44">
        <f t="shared" si="16"/>
        <v>2.3123658370020473E-9</v>
      </c>
      <c r="L87" s="13"/>
      <c r="M87" s="10">
        <f t="shared" si="17"/>
        <v>-3.9649377991696766E-2</v>
      </c>
      <c r="N87" s="10">
        <f t="shared" si="18"/>
        <v>3.9649377991696766E-2</v>
      </c>
    </row>
    <row r="88" spans="1:14" x14ac:dyDescent="0.25">
      <c r="A88" s="1">
        <v>45538</v>
      </c>
      <c r="B88" s="2">
        <f t="shared" si="19"/>
        <v>81</v>
      </c>
      <c r="C88" s="3">
        <f>+VLOOKUP(A88,Precios!$B:$H,1+$C$3,0)</f>
        <v>235.21</v>
      </c>
      <c r="D88" s="10">
        <f t="shared" si="12"/>
        <v>-1.5528210279591392E-2</v>
      </c>
      <c r="E88" s="38">
        <f t="shared" si="13"/>
        <v>2.4112531448720778E-4</v>
      </c>
      <c r="F88" s="27">
        <f t="shared" si="14"/>
        <v>1.3352442709783232E-4</v>
      </c>
      <c r="G88" s="28">
        <f t="shared" si="15"/>
        <v>3.2196119475689065E-8</v>
      </c>
      <c r="I88" s="21">
        <f t="shared" si="10"/>
        <v>4.1093724198564289E-4</v>
      </c>
      <c r="J88" s="47">
        <f t="shared" si="11"/>
        <v>2.0271587061343837E-2</v>
      </c>
      <c r="K88" s="44">
        <f t="shared" si="16"/>
        <v>2.8836090720733783E-8</v>
      </c>
      <c r="L88" s="13"/>
      <c r="M88" s="10">
        <f t="shared" si="17"/>
        <v>-4.0543174122687674E-2</v>
      </c>
      <c r="N88" s="10">
        <f t="shared" si="18"/>
        <v>4.0543174122687674E-2</v>
      </c>
    </row>
    <row r="89" spans="1:14" x14ac:dyDescent="0.25">
      <c r="A89" s="1">
        <v>45537</v>
      </c>
      <c r="B89" s="2">
        <f t="shared" si="19"/>
        <v>82</v>
      </c>
      <c r="C89" s="3">
        <f>+VLOOKUP(A89,Precios!$B:$H,1+$C$3,0)</f>
        <v>238.92</v>
      </c>
      <c r="D89" s="10">
        <f t="shared" si="12"/>
        <v>1.0916476263010955E-2</v>
      </c>
      <c r="E89" s="38">
        <f t="shared" si="13"/>
        <v>1.1916945400088162E-4</v>
      </c>
      <c r="F89" s="27">
        <f t="shared" si="14"/>
        <v>1.1943462004882956E-4</v>
      </c>
      <c r="G89" s="28">
        <f t="shared" si="15"/>
        <v>1.4232958460021768E-8</v>
      </c>
      <c r="I89" s="21">
        <f t="shared" si="10"/>
        <v>4.4535734424861243E-4</v>
      </c>
      <c r="J89" s="47">
        <f t="shared" si="11"/>
        <v>2.1103491281032446E-2</v>
      </c>
      <c r="K89" s="44">
        <f t="shared" si="16"/>
        <v>1.0639853974426568E-7</v>
      </c>
      <c r="L89" s="13"/>
      <c r="M89" s="10">
        <f t="shared" si="17"/>
        <v>-4.2206982562064892E-2</v>
      </c>
      <c r="N89" s="10">
        <f t="shared" si="18"/>
        <v>4.2206982562064892E-2</v>
      </c>
    </row>
    <row r="90" spans="1:14" x14ac:dyDescent="0.25">
      <c r="A90" s="1">
        <v>45534</v>
      </c>
      <c r="B90" s="2">
        <f t="shared" si="19"/>
        <v>83</v>
      </c>
      <c r="C90" s="3">
        <f>+VLOOKUP(A90,Precios!$B:$H,1+$C$3,0)</f>
        <v>236.34</v>
      </c>
      <c r="D90" s="10">
        <f t="shared" si="12"/>
        <v>-2.405976953273381E-3</v>
      </c>
      <c r="E90" s="38">
        <f t="shared" si="13"/>
        <v>5.788725099682661E-6</v>
      </c>
      <c r="F90" s="27">
        <f t="shared" si="14"/>
        <v>1.0683160209896801E-4</v>
      </c>
      <c r="G90" s="28">
        <f t="shared" si="15"/>
        <v>6.1841877650960694E-10</v>
      </c>
      <c r="I90" s="21">
        <f t="shared" si="10"/>
        <v>4.9721364040522834E-4</v>
      </c>
      <c r="J90" s="47">
        <f t="shared" si="11"/>
        <v>2.2298287835733673E-2</v>
      </c>
      <c r="K90" s="44">
        <f t="shared" si="16"/>
        <v>2.4149844738306278E-7</v>
      </c>
      <c r="L90" s="13"/>
      <c r="M90" s="10">
        <f t="shared" si="17"/>
        <v>-4.4596575671467346E-2</v>
      </c>
      <c r="N90" s="10">
        <f t="shared" si="18"/>
        <v>4.4596575671467346E-2</v>
      </c>
    </row>
    <row r="91" spans="1:14" x14ac:dyDescent="0.25">
      <c r="A91" s="1">
        <v>45533</v>
      </c>
      <c r="B91" s="2">
        <f t="shared" si="19"/>
        <v>84</v>
      </c>
      <c r="C91" s="3">
        <f>+VLOOKUP(A91,Precios!$B:$H,1+$C$3,0)</f>
        <v>236.91</v>
      </c>
      <c r="D91" s="10">
        <f t="shared" si="12"/>
        <v>-5.7912627470728673E-3</v>
      </c>
      <c r="E91" s="38">
        <f t="shared" si="13"/>
        <v>3.3538724205633975E-5</v>
      </c>
      <c r="F91" s="27">
        <f t="shared" si="14"/>
        <v>9.5558483816217987E-5</v>
      </c>
      <c r="G91" s="28">
        <f t="shared" si="15"/>
        <v>3.2049096342206726E-9</v>
      </c>
      <c r="I91" s="21">
        <f t="shared" si="10"/>
        <v>5.5191377760199615E-4</v>
      </c>
      <c r="J91" s="47">
        <f t="shared" si="11"/>
        <v>2.3492845242796712E-2</v>
      </c>
      <c r="K91" s="44">
        <f t="shared" si="16"/>
        <v>2.6871269598368134E-7</v>
      </c>
      <c r="L91" s="13"/>
      <c r="M91" s="10">
        <f t="shared" si="17"/>
        <v>-4.6985690485593423E-2</v>
      </c>
      <c r="N91" s="10">
        <f t="shared" si="18"/>
        <v>4.6985690485593423E-2</v>
      </c>
    </row>
    <row r="92" spans="1:14" x14ac:dyDescent="0.25">
      <c r="A92" s="1">
        <v>45532</v>
      </c>
      <c r="B92" s="2">
        <f t="shared" si="19"/>
        <v>85</v>
      </c>
      <c r="C92" s="3">
        <f>+VLOOKUP(A92,Precios!$B:$H,1+$C$3,0)</f>
        <v>238.29</v>
      </c>
      <c r="D92" s="10">
        <f t="shared" si="12"/>
        <v>-3.5731628358692147E-2</v>
      </c>
      <c r="E92" s="38">
        <f t="shared" si="13"/>
        <v>1.2767492651636929E-3</v>
      </c>
      <c r="F92" s="27">
        <f t="shared" si="14"/>
        <v>8.547493110507797E-5</v>
      </c>
      <c r="G92" s="28">
        <f t="shared" si="15"/>
        <v>1.0913005547832557E-7</v>
      </c>
      <c r="I92" s="21">
        <f t="shared" si="10"/>
        <v>4.664042983752966E-4</v>
      </c>
      <c r="J92" s="47">
        <f t="shared" si="11"/>
        <v>2.159639549497315E-2</v>
      </c>
      <c r="K92" s="44">
        <f t="shared" si="16"/>
        <v>6.5665896519928706E-7</v>
      </c>
      <c r="L92" s="13"/>
      <c r="M92" s="10">
        <f t="shared" si="17"/>
        <v>-4.31927909899463E-2</v>
      </c>
      <c r="N92" s="10">
        <f t="shared" si="18"/>
        <v>4.31927909899463E-2</v>
      </c>
    </row>
    <row r="93" spans="1:14" x14ac:dyDescent="0.25">
      <c r="A93" s="1">
        <v>45531</v>
      </c>
      <c r="B93" s="2">
        <f t="shared" si="19"/>
        <v>86</v>
      </c>
      <c r="C93" s="3">
        <f>+VLOOKUP(A93,Precios!$B:$H,1+$C$3,0)</f>
        <v>247.12</v>
      </c>
      <c r="D93" s="10">
        <f t="shared" si="12"/>
        <v>-1.8897887883118858E-2</v>
      </c>
      <c r="E93" s="38">
        <f t="shared" si="13"/>
        <v>3.5713016644293056E-4</v>
      </c>
      <c r="F93" s="27">
        <f t="shared" si="14"/>
        <v>7.6455418249089807E-5</v>
      </c>
      <c r="G93" s="28">
        <f t="shared" si="15"/>
        <v>2.7304536244761314E-8</v>
      </c>
      <c r="I93" s="21">
        <f t="shared" si="10"/>
        <v>4.792954637153365E-4</v>
      </c>
      <c r="J93" s="47">
        <f t="shared" si="11"/>
        <v>2.1892817628513157E-2</v>
      </c>
      <c r="K93" s="44">
        <f t="shared" si="16"/>
        <v>1.4924359857655317E-8</v>
      </c>
      <c r="L93" s="13"/>
      <c r="M93" s="10">
        <f t="shared" si="17"/>
        <v>-4.3785635257026313E-2</v>
      </c>
      <c r="N93" s="10">
        <f t="shared" si="18"/>
        <v>4.3785635257026313E-2</v>
      </c>
    </row>
    <row r="94" spans="1:14" x14ac:dyDescent="0.25">
      <c r="A94" s="1">
        <v>45530</v>
      </c>
      <c r="B94" s="2">
        <f t="shared" si="19"/>
        <v>87</v>
      </c>
      <c r="C94" s="3">
        <f>+VLOOKUP(A94,Precios!$B:$H,1+$C$3,0)</f>
        <v>251.88</v>
      </c>
      <c r="D94" s="10">
        <f t="shared" si="12"/>
        <v>4.025989556343923E-3</v>
      </c>
      <c r="E94" s="38">
        <f t="shared" si="13"/>
        <v>1.6208591907790337E-5</v>
      </c>
      <c r="F94" s="27">
        <f t="shared" si="14"/>
        <v>6.8387665296357116E-5</v>
      </c>
      <c r="G94" s="28">
        <f t="shared" si="15"/>
        <v>1.108467758315208E-9</v>
      </c>
      <c r="I94" s="21">
        <f t="shared" si="10"/>
        <v>5.3392622879858457E-4</v>
      </c>
      <c r="J94" s="47">
        <f t="shared" si="11"/>
        <v>2.3106843765399562E-2</v>
      </c>
      <c r="K94" s="44">
        <f t="shared" si="16"/>
        <v>2.6803155154778824E-7</v>
      </c>
      <c r="L94" s="13"/>
      <c r="M94" s="10">
        <f t="shared" si="17"/>
        <v>-4.6213687530799123E-2</v>
      </c>
      <c r="N94" s="10">
        <f t="shared" si="18"/>
        <v>4.6213687530799123E-2</v>
      </c>
    </row>
    <row r="95" spans="1:14" x14ac:dyDescent="0.25">
      <c r="A95" s="1">
        <v>45527</v>
      </c>
      <c r="B95" s="2">
        <f t="shared" si="19"/>
        <v>88</v>
      </c>
      <c r="C95" s="3">
        <f>+VLOOKUP(A95,Precios!$B:$H,1+$C$3,0)</f>
        <v>250.87</v>
      </c>
      <c r="D95" s="10">
        <f t="shared" si="12"/>
        <v>2.9183657151996556E-3</v>
      </c>
      <c r="E95" s="38">
        <f t="shared" si="13"/>
        <v>8.5168584476527976E-6</v>
      </c>
      <c r="F95" s="27">
        <f t="shared" si="14"/>
        <v>6.1171240335765803E-5</v>
      </c>
      <c r="G95" s="28">
        <f t="shared" si="15"/>
        <v>5.2098679500706657E-10</v>
      </c>
      <c r="I95" s="21">
        <f t="shared" si="10"/>
        <v>5.9590923378454298E-4</v>
      </c>
      <c r="J95" s="47">
        <f t="shared" si="11"/>
        <v>2.4411252196160339E-2</v>
      </c>
      <c r="K95" s="44">
        <f t="shared" si="16"/>
        <v>3.4502980260391409E-7</v>
      </c>
      <c r="L95" s="13"/>
      <c r="M95" s="10">
        <f t="shared" si="17"/>
        <v>-4.8822504392320679E-2</v>
      </c>
      <c r="N95" s="10">
        <f t="shared" si="18"/>
        <v>4.8822504392320679E-2</v>
      </c>
    </row>
    <row r="96" spans="1:14" x14ac:dyDescent="0.25">
      <c r="A96" s="1">
        <v>45526</v>
      </c>
      <c r="B96" s="2">
        <f t="shared" si="19"/>
        <v>89</v>
      </c>
      <c r="C96" s="3">
        <f>+VLOOKUP(A96,Precios!$B:$H,1+$C$3,0)</f>
        <v>250.14</v>
      </c>
      <c r="D96" s="10">
        <f t="shared" si="12"/>
        <v>-3.3163265306122569E-2</v>
      </c>
      <c r="E96" s="38">
        <f t="shared" si="13"/>
        <v>1.099802165764273E-3</v>
      </c>
      <c r="F96" s="27">
        <f t="shared" si="14"/>
        <v>5.4716309264257713E-5</v>
      </c>
      <c r="G96" s="28">
        <f t="shared" si="15"/>
        <v>6.0177115431458391E-8</v>
      </c>
      <c r="I96" s="21">
        <f t="shared" si="10"/>
        <v>5.3646454193516119E-4</v>
      </c>
      <c r="J96" s="47">
        <f t="shared" si="11"/>
        <v>2.3161704210510097E-2</v>
      </c>
      <c r="K96" s="44">
        <f t="shared" si="16"/>
        <v>3.173492784214298E-7</v>
      </c>
      <c r="L96" s="13"/>
      <c r="M96" s="10">
        <f t="shared" si="17"/>
        <v>-4.6323408421020194E-2</v>
      </c>
      <c r="N96" s="10">
        <f t="shared" si="18"/>
        <v>4.6323408421020194E-2</v>
      </c>
    </row>
    <row r="97" spans="1:14" x14ac:dyDescent="0.25">
      <c r="A97" s="1">
        <v>45525</v>
      </c>
      <c r="B97" s="2">
        <f t="shared" si="19"/>
        <v>90</v>
      </c>
      <c r="C97" s="3">
        <f>+VLOOKUP(A97,Precios!$B:$H,1+$C$3,0)</f>
        <v>258.72000000000003</v>
      </c>
      <c r="D97" s="10">
        <f t="shared" si="12"/>
        <v>2.7359726799825346E-2</v>
      </c>
      <c r="E97" s="38">
        <f t="shared" si="13"/>
        <v>7.4855465056108126E-4</v>
      </c>
      <c r="F97" s="27">
        <f t="shared" si="14"/>
        <v>4.8942517481559482E-5</v>
      </c>
      <c r="G97" s="28">
        <f t="shared" si="15"/>
        <v>3.6636149070988371E-8</v>
      </c>
      <c r="I97" s="21">
        <f t="shared" si="10"/>
        <v>5.1144408550201379E-4</v>
      </c>
      <c r="J97" s="47">
        <f t="shared" si="11"/>
        <v>2.2615129570754483E-2</v>
      </c>
      <c r="K97" s="44">
        <f t="shared" si="16"/>
        <v>5.622142006263027E-8</v>
      </c>
      <c r="L97" s="13"/>
      <c r="M97" s="10">
        <f t="shared" si="17"/>
        <v>-4.5230259141508966E-2</v>
      </c>
      <c r="N97" s="10">
        <f t="shared" si="18"/>
        <v>4.5230259141508966E-2</v>
      </c>
    </row>
    <row r="98" spans="1:14" x14ac:dyDescent="0.25">
      <c r="A98" s="1">
        <v>45524</v>
      </c>
      <c r="B98" s="2">
        <f t="shared" si="19"/>
        <v>91</v>
      </c>
      <c r="C98" s="3">
        <f>+VLOOKUP(A98,Precios!$B:$H,1+$C$3,0)</f>
        <v>251.83</v>
      </c>
      <c r="D98" s="10">
        <f t="shared" si="12"/>
        <v>-7.7229205248432464E-3</v>
      </c>
      <c r="E98" s="38">
        <f t="shared" si="13"/>
        <v>5.9643501433045088E-5</v>
      </c>
      <c r="F98" s="27">
        <f t="shared" si="14"/>
        <v>4.3777989591075748E-5</v>
      </c>
      <c r="G98" s="28">
        <f t="shared" si="15"/>
        <v>2.6110725849111591E-9</v>
      </c>
      <c r="I98" s="21">
        <f t="shared" si="10"/>
        <v>5.6474339730587715E-4</v>
      </c>
      <c r="J98" s="47">
        <f t="shared" si="11"/>
        <v>2.3764330356773725E-2</v>
      </c>
      <c r="K98" s="44">
        <f t="shared" si="16"/>
        <v>2.5512590481074579E-7</v>
      </c>
      <c r="L98" s="13"/>
      <c r="M98" s="10">
        <f t="shared" si="17"/>
        <v>-4.7528660713547451E-2</v>
      </c>
      <c r="N98" s="10">
        <f t="shared" si="18"/>
        <v>4.7528660713547451E-2</v>
      </c>
    </row>
    <row r="99" spans="1:14" x14ac:dyDescent="0.25">
      <c r="A99" s="1">
        <v>45523</v>
      </c>
      <c r="B99" s="2">
        <f t="shared" si="19"/>
        <v>92</v>
      </c>
      <c r="C99" s="3">
        <f>+VLOOKUP(A99,Precios!$B:$H,1+$C$3,0)</f>
        <v>253.79</v>
      </c>
      <c r="D99" s="10">
        <f t="shared" si="12"/>
        <v>1.4672956980649188E-2</v>
      </c>
      <c r="E99" s="38">
        <f t="shared" si="13"/>
        <v>2.1529566655598172E-4</v>
      </c>
      <c r="F99" s="27">
        <f t="shared" si="14"/>
        <v>3.915843465466276E-5</v>
      </c>
      <c r="G99" s="28">
        <f t="shared" si="15"/>
        <v>8.4306412902644723E-9</v>
      </c>
      <c r="I99" s="21">
        <f t="shared" si="10"/>
        <v>6.0596805308796872E-4</v>
      </c>
      <c r="J99" s="47">
        <f t="shared" si="11"/>
        <v>2.4616418364334987E-2</v>
      </c>
      <c r="K99" s="44">
        <f t="shared" si="16"/>
        <v>1.5262491359859824E-7</v>
      </c>
      <c r="L99" s="13"/>
      <c r="M99" s="10">
        <f t="shared" si="17"/>
        <v>-4.9232836728669974E-2</v>
      </c>
      <c r="N99" s="10">
        <f t="shared" si="18"/>
        <v>4.9232836728669974E-2</v>
      </c>
    </row>
    <row r="100" spans="1:14" x14ac:dyDescent="0.25">
      <c r="A100" s="1">
        <v>45520</v>
      </c>
      <c r="B100" s="2">
        <f t="shared" si="19"/>
        <v>93</v>
      </c>
      <c r="C100" s="3">
        <f>+VLOOKUP(A100,Precios!$B:$H,1+$C$3,0)</f>
        <v>250.12</v>
      </c>
      <c r="D100" s="10">
        <f t="shared" si="12"/>
        <v>-2.2930583225907242E-2</v>
      </c>
      <c r="E100" s="38">
        <f t="shared" si="13"/>
        <v>5.2581164708025857E-4</v>
      </c>
      <c r="F100" s="27">
        <f t="shared" si="14"/>
        <v>3.5026345862992231E-5</v>
      </c>
      <c r="G100" s="28">
        <f t="shared" si="15"/>
        <v>1.8417260609422744E-8</v>
      </c>
      <c r="I100" s="21">
        <f t="shared" si="10"/>
        <v>6.1542417472111349E-4</v>
      </c>
      <c r="J100" s="47">
        <f t="shared" si="11"/>
        <v>2.4807744248946002E-2</v>
      </c>
      <c r="K100" s="44">
        <f t="shared" si="16"/>
        <v>8.0304051101829886E-9</v>
      </c>
      <c r="L100" s="13"/>
      <c r="M100" s="10">
        <f t="shared" si="17"/>
        <v>-4.9615488497892005E-2</v>
      </c>
      <c r="N100" s="10">
        <f t="shared" si="18"/>
        <v>4.9615488497892005E-2</v>
      </c>
    </row>
    <row r="101" spans="1:14" x14ac:dyDescent="0.25">
      <c r="A101" s="1">
        <v>45519</v>
      </c>
      <c r="B101" s="2">
        <f t="shared" si="19"/>
        <v>94</v>
      </c>
      <c r="C101" s="3">
        <f>+VLOOKUP(A101,Precios!$B:$H,1+$C$3,0)</f>
        <v>255.99</v>
      </c>
      <c r="D101" s="10">
        <f t="shared" si="12"/>
        <v>1.5631819083515186E-2</v>
      </c>
      <c r="E101" s="38">
        <f t="shared" si="13"/>
        <v>2.4435376785974958E-4</v>
      </c>
      <c r="F101" s="27">
        <f t="shared" si="14"/>
        <v>3.1330284658553571E-5</v>
      </c>
      <c r="G101" s="28">
        <f t="shared" si="15"/>
        <v>7.6556731044360729E-9</v>
      </c>
      <c r="I101" s="21">
        <f t="shared" si="10"/>
        <v>6.5919967659932958E-4</v>
      </c>
      <c r="J101" s="47">
        <f t="shared" si="11"/>
        <v>2.5674884159414033E-2</v>
      </c>
      <c r="K101" s="44">
        <f t="shared" si="16"/>
        <v>1.7209712799796794E-7</v>
      </c>
      <c r="L101" s="13"/>
      <c r="M101" s="10">
        <f t="shared" si="17"/>
        <v>-5.1349768318828065E-2</v>
      </c>
      <c r="N101" s="10">
        <f t="shared" si="18"/>
        <v>5.1349768318828065E-2</v>
      </c>
    </row>
    <row r="102" spans="1:14" x14ac:dyDescent="0.25">
      <c r="A102" s="1">
        <v>45518</v>
      </c>
      <c r="B102" s="2">
        <f t="shared" si="19"/>
        <v>95</v>
      </c>
      <c r="C102" s="3">
        <f>+VLOOKUP(A102,Precios!$B:$H,1+$C$3,0)</f>
        <v>252.05</v>
      </c>
      <c r="D102" s="10">
        <f t="shared" si="12"/>
        <v>6.9916100679185966E-3</v>
      </c>
      <c r="E102" s="38">
        <f t="shared" si="13"/>
        <v>4.8882611341820683E-5</v>
      </c>
      <c r="F102" s="27">
        <f t="shared" si="14"/>
        <v>2.8024240399656187E-5</v>
      </c>
      <c r="G102" s="28">
        <f t="shared" si="15"/>
        <v>1.369898051606143E-9</v>
      </c>
      <c r="I102" s="21">
        <f t="shared" si="10"/>
        <v>7.3119931694378088E-4</v>
      </c>
      <c r="J102" s="47">
        <f t="shared" si="11"/>
        <v>2.7040697419700197E-2</v>
      </c>
      <c r="K102" s="44">
        <f t="shared" si="16"/>
        <v>4.6555608674351201E-7</v>
      </c>
      <c r="L102" s="13"/>
      <c r="M102" s="10">
        <f t="shared" si="17"/>
        <v>-5.4081394839400394E-2</v>
      </c>
      <c r="N102" s="10">
        <f t="shared" si="18"/>
        <v>5.4081394839400394E-2</v>
      </c>
    </row>
    <row r="103" spans="1:14" x14ac:dyDescent="0.25">
      <c r="A103" s="1">
        <v>45517</v>
      </c>
      <c r="B103" s="2">
        <f t="shared" si="19"/>
        <v>96</v>
      </c>
      <c r="C103" s="3">
        <f>+VLOOKUP(A103,Precios!$B:$H,1+$C$3,0)</f>
        <v>250.3</v>
      </c>
      <c r="D103" s="10">
        <f t="shared" si="12"/>
        <v>3.5709852277899801E-2</v>
      </c>
      <c r="E103" s="38">
        <f t="shared" si="13"/>
        <v>1.2751935497094255E-3</v>
      </c>
      <c r="F103" s="27">
        <f t="shared" si="14"/>
        <v>2.5067057594170605E-5</v>
      </c>
      <c r="G103" s="28">
        <f t="shared" si="15"/>
        <v>3.1965350154281024E-8</v>
      </c>
      <c r="I103" s="21">
        <f t="shared" si="10"/>
        <v>6.6702383941218612E-4</v>
      </c>
      <c r="J103" s="47">
        <f t="shared" si="11"/>
        <v>2.5826804669029153E-2</v>
      </c>
      <c r="K103" s="44">
        <f t="shared" si="16"/>
        <v>3.698703965230281E-7</v>
      </c>
      <c r="L103" s="13"/>
      <c r="M103" s="10">
        <f t="shared" si="17"/>
        <v>-5.1653609338058307E-2</v>
      </c>
      <c r="N103" s="10">
        <f t="shared" si="18"/>
        <v>5.1653609338058307E-2</v>
      </c>
    </row>
    <row r="104" spans="1:14" x14ac:dyDescent="0.25">
      <c r="A104" s="1">
        <v>45516</v>
      </c>
      <c r="B104" s="2">
        <f t="shared" si="19"/>
        <v>97</v>
      </c>
      <c r="C104" s="3">
        <f>+VLOOKUP(A104,Precios!$B:$H,1+$C$3,0)</f>
        <v>241.67</v>
      </c>
      <c r="D104" s="10">
        <f t="shared" si="12"/>
        <v>-2.6412446865585748E-3</v>
      </c>
      <c r="E104" s="38">
        <f t="shared" si="13"/>
        <v>6.9761734942739042E-6</v>
      </c>
      <c r="F104" s="27">
        <f t="shared" si="14"/>
        <v>2.242192357289281E-5</v>
      </c>
      <c r="G104" s="28">
        <f t="shared" si="15"/>
        <v>1.5641922891985005E-10</v>
      </c>
      <c r="I104" s="21">
        <f t="shared" si="10"/>
        <v>7.4489024240426518E-4</v>
      </c>
      <c r="J104" s="47">
        <f t="shared" si="11"/>
        <v>2.7292677450266128E-2</v>
      </c>
      <c r="K104" s="44">
        <f t="shared" si="16"/>
        <v>5.4451717309529944E-7</v>
      </c>
      <c r="L104" s="13"/>
      <c r="M104" s="10">
        <f t="shared" si="17"/>
        <v>-5.4585354900532256E-2</v>
      </c>
      <c r="N104" s="10">
        <f t="shared" si="18"/>
        <v>5.4585354900532256E-2</v>
      </c>
    </row>
    <row r="105" spans="1:14" x14ac:dyDescent="0.25">
      <c r="A105" s="1">
        <v>45513</v>
      </c>
      <c r="B105" s="2">
        <f t="shared" si="19"/>
        <v>98</v>
      </c>
      <c r="C105" s="3">
        <f>+VLOOKUP(A105,Precios!$B:$H,1+$C$3,0)</f>
        <v>242.31</v>
      </c>
      <c r="D105" s="10">
        <f t="shared" si="12"/>
        <v>-1.307429130009774E-2</v>
      </c>
      <c r="E105" s="38">
        <f t="shared" si="13"/>
        <v>1.7093709299981146E-4</v>
      </c>
      <c r="F105" s="27">
        <f t="shared" si="14"/>
        <v>2.0055910224802774E-5</v>
      </c>
      <c r="G105" s="28">
        <f t="shared" si="15"/>
        <v>3.4282989912929814E-9</v>
      </c>
      <c r="I105" s="21">
        <f t="shared" si="10"/>
        <v>8.1259999965027944E-4</v>
      </c>
      <c r="J105" s="47">
        <f t="shared" si="11"/>
        <v>2.8506139683413458E-2</v>
      </c>
      <c r="K105" s="44">
        <f t="shared" si="16"/>
        <v>4.117312857711272E-7</v>
      </c>
      <c r="L105" s="13"/>
      <c r="M105" s="10">
        <f t="shared" si="17"/>
        <v>-5.7012279366826915E-2</v>
      </c>
      <c r="N105" s="10">
        <f t="shared" si="18"/>
        <v>5.7012279366826915E-2</v>
      </c>
    </row>
    <row r="106" spans="1:14" x14ac:dyDescent="0.25">
      <c r="A106" s="1">
        <v>45512</v>
      </c>
      <c r="B106" s="2">
        <f t="shared" si="19"/>
        <v>99</v>
      </c>
      <c r="C106" s="3">
        <f>+VLOOKUP(A106,Precios!$B:$H,1+$C$3,0)</f>
        <v>245.52</v>
      </c>
      <c r="D106" s="10">
        <f t="shared" si="12"/>
        <v>-1.8700707374582626E-3</v>
      </c>
      <c r="E106" s="38">
        <f t="shared" si="13"/>
        <v>3.49716456309769E-6</v>
      </c>
      <c r="F106" s="27">
        <f t="shared" si="14"/>
        <v>1.7939564089480694E-5</v>
      </c>
      <c r="G106" s="28">
        <f t="shared" si="15"/>
        <v>6.2737607811151768E-11</v>
      </c>
      <c r="I106" s="21">
        <f t="shared" si="10"/>
        <v>9.0805057189238705E-4</v>
      </c>
      <c r="J106" s="47">
        <f t="shared" si="11"/>
        <v>3.0133877478552059E-2</v>
      </c>
      <c r="K106" s="44">
        <f t="shared" si="16"/>
        <v>8.1821686671102724E-7</v>
      </c>
      <c r="L106" s="13"/>
      <c r="M106" s="10">
        <f t="shared" si="17"/>
        <v>-6.0267754957104118E-2</v>
      </c>
      <c r="N106" s="10">
        <f t="shared" si="18"/>
        <v>6.0267754957104118E-2</v>
      </c>
    </row>
    <row r="107" spans="1:14" x14ac:dyDescent="0.25">
      <c r="A107" s="1">
        <v>45511</v>
      </c>
      <c r="B107" s="2">
        <f t="shared" si="19"/>
        <v>100</v>
      </c>
      <c r="C107" s="3">
        <f>+VLOOKUP(A107,Precios!$B:$H,1+$C$3,0)</f>
        <v>245.98</v>
      </c>
      <c r="D107" s="10">
        <f t="shared" si="12"/>
        <v>-3.0162047076449983E-2</v>
      </c>
      <c r="E107" s="38">
        <f t="shared" si="13"/>
        <v>9.0974908384198496E-4</v>
      </c>
      <c r="F107" s="27">
        <f t="shared" si="14"/>
        <v>1.6046539703921621E-5</v>
      </c>
      <c r="G107" s="28">
        <f t="shared" si="15"/>
        <v>1.4598324794476732E-8</v>
      </c>
      <c r="I107" s="21">
        <f t="shared" si="10"/>
        <v>9.0785019694557116E-4</v>
      </c>
      <c r="J107" s="47">
        <f t="shared" si="11"/>
        <v>3.0130552549622637E-2</v>
      </c>
      <c r="K107" s="44">
        <f t="shared" si="16"/>
        <v>3.6057714453720359E-12</v>
      </c>
      <c r="L107" s="13"/>
      <c r="M107" s="10">
        <f t="shared" si="17"/>
        <v>-6.0261105099245274E-2</v>
      </c>
      <c r="N107" s="10">
        <f t="shared" si="18"/>
        <v>6.0261105099245274E-2</v>
      </c>
    </row>
    <row r="108" spans="1:14" x14ac:dyDescent="0.25">
      <c r="A108" s="1">
        <v>45510</v>
      </c>
      <c r="B108" s="2">
        <f t="shared" si="19"/>
        <v>101</v>
      </c>
      <c r="C108" s="3">
        <f>+VLOOKUP(A108,Precios!$B:$H,1+$C$3,0)</f>
        <v>253.63</v>
      </c>
      <c r="D108" s="10">
        <f t="shared" si="12"/>
        <v>-1.0571896699695604E-2</v>
      </c>
      <c r="E108" s="38">
        <f t="shared" si="13"/>
        <v>1.1176499982903481E-4</v>
      </c>
      <c r="F108" s="27">
        <f t="shared" si="14"/>
        <v>1.4353271639444089E-5</v>
      </c>
      <c r="G108" s="28">
        <f t="shared" si="15"/>
        <v>1.6041934023285588E-9</v>
      </c>
      <c r="I108" s="21">
        <f t="shared" si="10"/>
        <v>1.0017650670004472E-3</v>
      </c>
      <c r="J108" s="47">
        <f t="shared" si="11"/>
        <v>3.1650672457318299E-2</v>
      </c>
      <c r="K108" s="44">
        <f t="shared" si="16"/>
        <v>7.9210011956511869E-7</v>
      </c>
      <c r="L108" s="13"/>
      <c r="M108" s="10">
        <f t="shared" si="17"/>
        <v>-6.3301344914636598E-2</v>
      </c>
      <c r="N108" s="10">
        <f t="shared" si="18"/>
        <v>6.3301344914636598E-2</v>
      </c>
    </row>
    <row r="109" spans="1:14" x14ac:dyDescent="0.25">
      <c r="A109" s="1">
        <v>45509</v>
      </c>
      <c r="B109" s="2">
        <f t="shared" si="19"/>
        <v>102</v>
      </c>
      <c r="C109" s="3">
        <f>+VLOOKUP(A109,Precios!$B:$H,1+$C$3,0)</f>
        <v>256.33999999999997</v>
      </c>
      <c r="D109" s="10">
        <f t="shared" si="12"/>
        <v>-4.8266132026435038E-2</v>
      </c>
      <c r="E109" s="38">
        <f t="shared" si="13"/>
        <v>2.3296195007932582E-3</v>
      </c>
      <c r="F109" s="27">
        <f t="shared" si="14"/>
        <v>1.2838681146024376E-5</v>
      </c>
      <c r="G109" s="28">
        <f t="shared" si="15"/>
        <v>2.9909241962245125E-8</v>
      </c>
      <c r="I109" s="21">
        <f t="shared" si="10"/>
        <v>8.4511691294214802E-4</v>
      </c>
      <c r="J109" s="47">
        <f t="shared" si="11"/>
        <v>2.9070894601682763E-2</v>
      </c>
      <c r="K109" s="44">
        <f t="shared" si="16"/>
        <v>2.203747933336643E-6</v>
      </c>
      <c r="L109" s="13"/>
      <c r="M109" s="10">
        <f t="shared" si="17"/>
        <v>-5.8141789203365525E-2</v>
      </c>
      <c r="N109" s="10">
        <f t="shared" si="18"/>
        <v>5.8141789203365525E-2</v>
      </c>
    </row>
    <row r="110" spans="1:14" x14ac:dyDescent="0.25">
      <c r="A110" s="1">
        <v>45506</v>
      </c>
      <c r="B110" s="2">
        <f t="shared" si="19"/>
        <v>103</v>
      </c>
      <c r="C110" s="3">
        <f>+VLOOKUP(A110,Precios!$B:$H,1+$C$3,0)</f>
        <v>269.33999999999997</v>
      </c>
      <c r="D110" s="10">
        <f t="shared" si="12"/>
        <v>1.4577918408859469E-2</v>
      </c>
      <c r="E110" s="38">
        <f t="shared" si="13"/>
        <v>2.1251570513536379E-4</v>
      </c>
      <c r="F110" s="27">
        <f t="shared" si="14"/>
        <v>1.1483913752200525E-5</v>
      </c>
      <c r="G110" s="28">
        <f t="shared" si="15"/>
        <v>2.4405120287625961E-9</v>
      </c>
      <c r="I110" s="21">
        <f t="shared" si="10"/>
        <v>9.1974543315948205E-4</v>
      </c>
      <c r="J110" s="47">
        <f t="shared" si="11"/>
        <v>3.0327305075780835E-2</v>
      </c>
      <c r="K110" s="44">
        <f t="shared" si="16"/>
        <v>5.0017388820106829E-7</v>
      </c>
      <c r="L110" s="13"/>
      <c r="M110" s="10">
        <f t="shared" si="17"/>
        <v>-6.0654610151561671E-2</v>
      </c>
      <c r="N110" s="10">
        <f t="shared" si="18"/>
        <v>6.0654610151561671E-2</v>
      </c>
    </row>
    <row r="111" spans="1:14" x14ac:dyDescent="0.25">
      <c r="A111" s="1">
        <v>45505</v>
      </c>
      <c r="B111" s="2">
        <f t="shared" si="19"/>
        <v>104</v>
      </c>
      <c r="C111" s="3">
        <f>+VLOOKUP(A111,Precios!$B:$H,1+$C$3,0)</f>
        <v>265.47000000000003</v>
      </c>
      <c r="D111" s="10">
        <f t="shared" si="12"/>
        <v>-2.4652803291939085E-2</v>
      </c>
      <c r="E111" s="38">
        <f t="shared" si="13"/>
        <v>6.0776071015104262E-4</v>
      </c>
      <c r="F111" s="27">
        <f t="shared" si="14"/>
        <v>1.0272104554042796E-5</v>
      </c>
      <c r="G111" s="28">
        <f t="shared" si="15"/>
        <v>6.2429815585108083E-9</v>
      </c>
      <c r="I111" s="21">
        <f t="shared" si="10"/>
        <v>9.5655054500752329E-4</v>
      </c>
      <c r="J111" s="47">
        <f t="shared" si="11"/>
        <v>3.0928151335110919E-2</v>
      </c>
      <c r="K111" s="44">
        <f t="shared" si="16"/>
        <v>1.2165434889921105E-7</v>
      </c>
      <c r="L111" s="13"/>
      <c r="M111" s="10">
        <f t="shared" si="17"/>
        <v>-6.1856302670221838E-2</v>
      </c>
      <c r="N111" s="10">
        <f t="shared" si="18"/>
        <v>6.1856302670221838E-2</v>
      </c>
    </row>
    <row r="112" spans="1:14" x14ac:dyDescent="0.25">
      <c r="A112" s="1">
        <v>45504</v>
      </c>
      <c r="B112" s="2">
        <f t="shared" si="19"/>
        <v>105</v>
      </c>
      <c r="C112" s="3">
        <f>+VLOOKUP(A112,Precios!$B:$H,1+$C$3,0)</f>
        <v>272.18</v>
      </c>
      <c r="D112" s="10">
        <f t="shared" si="12"/>
        <v>7.05632473253619E-2</v>
      </c>
      <c r="E112" s="38">
        <f t="shared" si="13"/>
        <v>4.979171873100193E-3</v>
      </c>
      <c r="F112" s="27">
        <f t="shared" si="14"/>
        <v>9.188168271375943E-6</v>
      </c>
      <c r="G112" s="28">
        <f t="shared" si="15"/>
        <v>4.5749469022146718E-8</v>
      </c>
      <c r="I112" s="21">
        <f t="shared" si="10"/>
        <v>4.8199837310915135E-4</v>
      </c>
      <c r="J112" s="47">
        <f t="shared" si="11"/>
        <v>2.1954461348645093E-2</v>
      </c>
      <c r="K112" s="44">
        <f t="shared" si="16"/>
        <v>2.0224569489021676E-5</v>
      </c>
      <c r="L112" s="13"/>
      <c r="M112" s="10">
        <f t="shared" si="17"/>
        <v>-4.3908922697290187E-2</v>
      </c>
      <c r="N112" s="10">
        <f t="shared" si="18"/>
        <v>4.3908922697290187E-2</v>
      </c>
    </row>
    <row r="113" spans="1:14" x14ac:dyDescent="0.25">
      <c r="A113" s="1">
        <v>45503</v>
      </c>
      <c r="B113" s="2">
        <f t="shared" si="19"/>
        <v>106</v>
      </c>
      <c r="C113" s="3">
        <f>+VLOOKUP(A113,Precios!$B:$H,1+$C$3,0)</f>
        <v>254.24</v>
      </c>
      <c r="D113" s="10">
        <f t="shared" si="12"/>
        <v>6.0543706224525096E-3</v>
      </c>
      <c r="E113" s="38">
        <f t="shared" si="13"/>
        <v>3.6655403634015989E-5</v>
      </c>
      <c r="F113" s="27">
        <f t="shared" si="14"/>
        <v>8.2186114577555999E-6</v>
      </c>
      <c r="G113" s="28">
        <f t="shared" si="15"/>
        <v>3.0125652029518008E-10</v>
      </c>
      <c r="I113" s="21">
        <f t="shared" si="10"/>
        <v>5.3453587444644531E-4</v>
      </c>
      <c r="J113" s="47">
        <f t="shared" si="11"/>
        <v>2.3120031886795601E-2</v>
      </c>
      <c r="K113" s="44">
        <f t="shared" si="16"/>
        <v>2.478849632164063E-7</v>
      </c>
      <c r="L113" s="13"/>
      <c r="M113" s="10">
        <f t="shared" si="17"/>
        <v>-4.6240063773591203E-2</v>
      </c>
      <c r="N113" s="10">
        <f t="shared" si="18"/>
        <v>4.6240063773591203E-2</v>
      </c>
    </row>
    <row r="114" spans="1:14" x14ac:dyDescent="0.25">
      <c r="A114" s="1">
        <v>45502</v>
      </c>
      <c r="B114" s="2">
        <f t="shared" si="19"/>
        <v>107</v>
      </c>
      <c r="C114" s="3">
        <f>+VLOOKUP(A114,Precios!$B:$H,1+$C$3,0)</f>
        <v>252.71</v>
      </c>
      <c r="D114" s="10">
        <f t="shared" si="12"/>
        <v>1.9526364626618831E-2</v>
      </c>
      <c r="E114" s="38">
        <f t="shared" si="13"/>
        <v>3.8127891553167112E-4</v>
      </c>
      <c r="F114" s="27">
        <f t="shared" si="14"/>
        <v>7.3513645264832059E-6</v>
      </c>
      <c r="G114" s="28">
        <f t="shared" si="15"/>
        <v>2.8029202943355137E-9</v>
      </c>
      <c r="I114" s="21">
        <f t="shared" si="10"/>
        <v>5.526157325239715E-4</v>
      </c>
      <c r="J114" s="47">
        <f t="shared" si="11"/>
        <v>2.3507780255140456E-2</v>
      </c>
      <c r="K114" s="44">
        <f t="shared" si="16"/>
        <v>2.9356304857053032E-8</v>
      </c>
      <c r="L114" s="13"/>
      <c r="M114" s="10">
        <f t="shared" si="17"/>
        <v>-4.7015560510280913E-2</v>
      </c>
      <c r="N114" s="10">
        <f t="shared" si="18"/>
        <v>4.7015560510280913E-2</v>
      </c>
    </row>
    <row r="115" spans="1:14" x14ac:dyDescent="0.25">
      <c r="A115" s="1">
        <v>45499</v>
      </c>
      <c r="B115" s="2">
        <f t="shared" si="19"/>
        <v>108</v>
      </c>
      <c r="C115" s="3">
        <f>+VLOOKUP(A115,Precios!$B:$H,1+$C$3,0)</f>
        <v>247.87</v>
      </c>
      <c r="D115" s="10">
        <f t="shared" si="12"/>
        <v>1.4322543683758182E-2</v>
      </c>
      <c r="E115" s="38">
        <f t="shared" si="13"/>
        <v>2.051352575731614E-4</v>
      </c>
      <c r="F115" s="27">
        <f t="shared" si="14"/>
        <v>6.5756315016252145E-6</v>
      </c>
      <c r="G115" s="28">
        <f t="shared" si="15"/>
        <v>1.3488938617920824E-9</v>
      </c>
      <c r="I115" s="21">
        <f t="shared" si="10"/>
        <v>5.9360830941123505E-4</v>
      </c>
      <c r="J115" s="47">
        <f t="shared" si="11"/>
        <v>2.4364078259011462E-2</v>
      </c>
      <c r="K115" s="44">
        <f t="shared" si="16"/>
        <v>1.5091131200438664E-7</v>
      </c>
      <c r="L115" s="13"/>
      <c r="M115" s="10">
        <f t="shared" si="17"/>
        <v>-4.8728156518022925E-2</v>
      </c>
      <c r="N115" s="10">
        <f t="shared" si="18"/>
        <v>4.8728156518022925E-2</v>
      </c>
    </row>
    <row r="116" spans="1:14" x14ac:dyDescent="0.25">
      <c r="A116" s="1">
        <v>45498</v>
      </c>
      <c r="B116" s="2">
        <f t="shared" si="19"/>
        <v>109</v>
      </c>
      <c r="C116" s="3">
        <f>+VLOOKUP(A116,Precios!$B:$H,1+$C$3,0)</f>
        <v>244.37</v>
      </c>
      <c r="D116" s="10">
        <f t="shared" si="12"/>
        <v>-2.1188816790835507E-2</v>
      </c>
      <c r="E116" s="38">
        <f t="shared" si="13"/>
        <v>4.4896595699559275E-4</v>
      </c>
      <c r="F116" s="27">
        <f t="shared" si="14"/>
        <v>5.8817556236530131E-6</v>
      </c>
      <c r="G116" s="28">
        <f t="shared" si="15"/>
        <v>2.6407080423875845E-9</v>
      </c>
      <c r="I116" s="21">
        <f t="shared" si="10"/>
        <v>6.1067189479223306E-4</v>
      </c>
      <c r="J116" s="47">
        <f t="shared" si="11"/>
        <v>2.4711776439427277E-2</v>
      </c>
      <c r="K116" s="44">
        <f t="shared" si="16"/>
        <v>2.6148810318690906E-8</v>
      </c>
      <c r="L116" s="13"/>
      <c r="M116" s="10">
        <f t="shared" si="17"/>
        <v>-4.9423552878854554E-2</v>
      </c>
      <c r="N116" s="10">
        <f t="shared" si="18"/>
        <v>4.9423552878854554E-2</v>
      </c>
    </row>
    <row r="117" spans="1:14" x14ac:dyDescent="0.25">
      <c r="A117" s="1">
        <v>45497</v>
      </c>
      <c r="B117" s="2">
        <f t="shared" si="19"/>
        <v>110</v>
      </c>
      <c r="C117" s="3">
        <f>+VLOOKUP(A117,Precios!$B:$H,1+$C$3,0)</f>
        <v>249.66</v>
      </c>
      <c r="D117" s="10">
        <f t="shared" si="12"/>
        <v>1.1957358842365373E-2</v>
      </c>
      <c r="E117" s="38">
        <f t="shared" si="13"/>
        <v>1.4297843048509339E-4</v>
      </c>
      <c r="F117" s="27">
        <f t="shared" si="14"/>
        <v>5.2610991366872433E-6</v>
      </c>
      <c r="G117" s="28">
        <f t="shared" si="15"/>
        <v>7.5222369719002181E-10</v>
      </c>
      <c r="I117" s="21">
        <f t="shared" si="10"/>
        <v>6.6584610363949292E-4</v>
      </c>
      <c r="J117" s="47">
        <f t="shared" si="11"/>
        <v>2.5803993947439471E-2</v>
      </c>
      <c r="K117" s="44">
        <f t="shared" si="16"/>
        <v>2.7339060362989595E-7</v>
      </c>
      <c r="L117" s="13"/>
      <c r="M117" s="10">
        <f t="shared" si="17"/>
        <v>-5.1607987894878943E-2</v>
      </c>
      <c r="N117" s="10">
        <f t="shared" si="18"/>
        <v>5.1607987894878943E-2</v>
      </c>
    </row>
    <row r="118" spans="1:14" x14ac:dyDescent="0.25">
      <c r="A118" s="1">
        <v>45496</v>
      </c>
      <c r="B118" s="2">
        <f t="shared" si="19"/>
        <v>111</v>
      </c>
      <c r="C118" s="3">
        <f>+VLOOKUP(A118,Precios!$B:$H,1+$C$3,0)</f>
        <v>246.71</v>
      </c>
      <c r="D118" s="10">
        <f t="shared" si="12"/>
        <v>-3.5309298506295494E-2</v>
      </c>
      <c r="E118" s="38">
        <f t="shared" si="13"/>
        <v>1.2467465610066812E-3</v>
      </c>
      <c r="F118" s="27">
        <f t="shared" si="14"/>
        <v>4.7059357608707315E-6</v>
      </c>
      <c r="G118" s="28">
        <f t="shared" si="15"/>
        <v>5.8671092261839438E-9</v>
      </c>
      <c r="I118" s="21">
        <f t="shared" si="10"/>
        <v>5.9731676636999044E-4</v>
      </c>
      <c r="J118" s="47">
        <f t="shared" si="11"/>
        <v>2.4440064778350944E-2</v>
      </c>
      <c r="K118" s="44">
        <f t="shared" si="16"/>
        <v>4.217590581618543E-7</v>
      </c>
      <c r="L118" s="13"/>
      <c r="M118" s="10">
        <f t="shared" si="17"/>
        <v>-4.8880129556701887E-2</v>
      </c>
      <c r="N118" s="10">
        <f t="shared" si="18"/>
        <v>4.8880129556701887E-2</v>
      </c>
    </row>
    <row r="119" spans="1:14" x14ac:dyDescent="0.25">
      <c r="A119" s="1">
        <v>45495</v>
      </c>
      <c r="B119" s="2">
        <f t="shared" si="19"/>
        <v>112</v>
      </c>
      <c r="C119" s="3">
        <f>+VLOOKUP(A119,Precios!$B:$H,1+$C$3,0)</f>
        <v>255.74</v>
      </c>
      <c r="D119" s="10">
        <f t="shared" si="12"/>
        <v>-1.0562154215189468E-2</v>
      </c>
      <c r="E119" s="38">
        <f t="shared" si="13"/>
        <v>1.1155910166544464E-4</v>
      </c>
      <c r="F119" s="27">
        <f t="shared" si="14"/>
        <v>4.2093545113058955E-6</v>
      </c>
      <c r="G119" s="28">
        <f t="shared" si="15"/>
        <v>4.6959180787267244E-10</v>
      </c>
      <c r="I119" s="21">
        <f t="shared" si="10"/>
        <v>6.5462202480730985E-4</v>
      </c>
      <c r="J119" s="47">
        <f t="shared" si="11"/>
        <v>2.5585582362090371E-2</v>
      </c>
      <c r="K119" s="44">
        <f t="shared" si="16"/>
        <v>2.949173384913874E-7</v>
      </c>
      <c r="L119" s="13"/>
      <c r="M119" s="10">
        <f t="shared" si="17"/>
        <v>-5.1171164724180741E-2</v>
      </c>
      <c r="N119" s="10">
        <f t="shared" si="18"/>
        <v>5.1171164724180741E-2</v>
      </c>
    </row>
    <row r="120" spans="1:14" x14ac:dyDescent="0.25">
      <c r="A120" s="1">
        <v>45492</v>
      </c>
      <c r="B120" s="2">
        <f t="shared" si="19"/>
        <v>113</v>
      </c>
      <c r="C120" s="3">
        <f>+VLOOKUP(A120,Precios!$B:$H,1+$C$3,0)</f>
        <v>258.47000000000003</v>
      </c>
      <c r="D120" s="10">
        <f t="shared" si="12"/>
        <v>3.2599576525109031E-2</v>
      </c>
      <c r="E120" s="38">
        <f t="shared" si="13"/>
        <v>1.0627323896164398E-3</v>
      </c>
      <c r="F120" s="27">
        <f t="shared" si="14"/>
        <v>3.7651736662407885E-6</v>
      </c>
      <c r="G120" s="28">
        <f t="shared" si="15"/>
        <v>4.0013720076449645E-9</v>
      </c>
      <c r="I120" s="21">
        <f t="shared" si="10"/>
        <v>6.0647688655084912E-4</v>
      </c>
      <c r="J120" s="47">
        <f t="shared" si="11"/>
        <v>2.462675144128533E-2</v>
      </c>
      <c r="K120" s="44">
        <f t="shared" si="16"/>
        <v>2.0816908407763528E-7</v>
      </c>
      <c r="L120" s="13"/>
      <c r="M120" s="10">
        <f t="shared" si="17"/>
        <v>-4.925350288257066E-2</v>
      </c>
      <c r="N120" s="10">
        <f t="shared" si="18"/>
        <v>4.925350288257066E-2</v>
      </c>
    </row>
    <row r="121" spans="1:14" x14ac:dyDescent="0.25">
      <c r="A121" s="1">
        <v>45491</v>
      </c>
      <c r="B121" s="2">
        <f t="shared" si="19"/>
        <v>114</v>
      </c>
      <c r="C121" s="3">
        <f>+VLOOKUP(A121,Precios!$B:$H,1+$C$3,0)</f>
        <v>250.31</v>
      </c>
      <c r="D121" s="10">
        <f t="shared" si="12"/>
        <v>-4.6510742038701758E-2</v>
      </c>
      <c r="E121" s="38">
        <f t="shared" si="13"/>
        <v>2.1632491249906588E-3</v>
      </c>
      <c r="F121" s="27">
        <f t="shared" si="14"/>
        <v>3.3678638135315965E-6</v>
      </c>
      <c r="G121" s="28">
        <f t="shared" si="15"/>
        <v>7.2855284477099291E-9</v>
      </c>
      <c r="I121" s="21">
        <f t="shared" si="10"/>
        <v>4.2282309797687218E-4</v>
      </c>
      <c r="J121" s="47">
        <f t="shared" si="11"/>
        <v>2.0562662716119041E-2</v>
      </c>
      <c r="K121" s="44">
        <f t="shared" si="16"/>
        <v>3.0290827555069939E-6</v>
      </c>
      <c r="L121" s="13"/>
      <c r="M121" s="10">
        <f t="shared" si="17"/>
        <v>-4.1125325432238083E-2</v>
      </c>
      <c r="N121" s="10">
        <f t="shared" si="18"/>
        <v>4.1125325432238083E-2</v>
      </c>
    </row>
    <row r="122" spans="1:14" x14ac:dyDescent="0.25">
      <c r="A122" s="1">
        <v>45490</v>
      </c>
      <c r="B122" s="2">
        <f t="shared" si="19"/>
        <v>115</v>
      </c>
      <c r="C122" s="3">
        <f>+VLOOKUP(A122,Precios!$B:$H,1+$C$3,0)</f>
        <v>262.52</v>
      </c>
      <c r="D122" s="10">
        <f t="shared" si="12"/>
        <v>-1.3231093068711619E-2</v>
      </c>
      <c r="E122" s="38">
        <f t="shared" si="13"/>
        <v>1.7506182379290865E-4</v>
      </c>
      <c r="F122" s="27">
        <f t="shared" si="14"/>
        <v>3.0124790174207653E-6</v>
      </c>
      <c r="G122" s="28">
        <f t="shared" si="15"/>
        <v>5.2737007092754865E-10</v>
      </c>
      <c r="I122" s="21">
        <f t="shared" si="10"/>
        <v>4.5205171314758143E-4</v>
      </c>
      <c r="J122" s="47">
        <f t="shared" si="11"/>
        <v>2.1261507781612794E-2</v>
      </c>
      <c r="K122" s="44">
        <f t="shared" si="16"/>
        <v>7.672339880471385E-8</v>
      </c>
      <c r="L122" s="13"/>
      <c r="M122" s="10">
        <f t="shared" si="17"/>
        <v>-4.2523015563225589E-2</v>
      </c>
      <c r="N122" s="10">
        <f t="shared" si="18"/>
        <v>4.2523015563225589E-2</v>
      </c>
    </row>
    <row r="123" spans="1:14" x14ac:dyDescent="0.25">
      <c r="A123" s="1">
        <v>45489</v>
      </c>
      <c r="B123" s="2">
        <f t="shared" si="19"/>
        <v>116</v>
      </c>
      <c r="C123" s="3">
        <f>+VLOOKUP(A123,Precios!$B:$H,1+$C$3,0)</f>
        <v>266.04000000000002</v>
      </c>
      <c r="D123" s="10">
        <f t="shared" si="12"/>
        <v>1.3678795961135526E-2</v>
      </c>
      <c r="E123" s="38">
        <f t="shared" si="13"/>
        <v>1.8710945894637757E-4</v>
      </c>
      <c r="F123" s="27">
        <f t="shared" si="14"/>
        <v>2.6945952487562599E-6</v>
      </c>
      <c r="G123" s="28">
        <f t="shared" si="15"/>
        <v>5.0418425907426347E-10</v>
      </c>
      <c r="I123" s="21">
        <f t="shared" si="10"/>
        <v>4.8330718362420383E-4</v>
      </c>
      <c r="J123" s="47">
        <f t="shared" si="11"/>
        <v>2.1984248534444015E-2</v>
      </c>
      <c r="K123" s="44">
        <f t="shared" si="16"/>
        <v>8.773309210432137E-8</v>
      </c>
      <c r="L123" s="13"/>
      <c r="M123" s="10">
        <f t="shared" si="17"/>
        <v>-4.3968497068888029E-2</v>
      </c>
      <c r="N123" s="10">
        <f t="shared" si="18"/>
        <v>4.3968497068888029E-2</v>
      </c>
    </row>
    <row r="124" spans="1:14" x14ac:dyDescent="0.25">
      <c r="A124" s="1">
        <v>45488</v>
      </c>
      <c r="B124" s="2">
        <f t="shared" si="19"/>
        <v>117</v>
      </c>
      <c r="C124" s="3">
        <f>+VLOOKUP(A124,Precios!$B:$H,1+$C$3,0)</f>
        <v>262.45</v>
      </c>
      <c r="D124" s="10">
        <f t="shared" si="12"/>
        <v>-4.2493455249079659E-3</v>
      </c>
      <c r="E124" s="38">
        <f t="shared" si="13"/>
        <v>1.8056937390055356E-5</v>
      </c>
      <c r="F124" s="27">
        <f t="shared" si="14"/>
        <v>2.410255312196804E-6</v>
      </c>
      <c r="G124" s="28">
        <f t="shared" si="15"/>
        <v>4.3521829266386018E-11</v>
      </c>
      <c r="I124" s="21">
        <f t="shared" si="10"/>
        <v>5.3819316388905593E-4</v>
      </c>
      <c r="J124" s="47">
        <f t="shared" si="11"/>
        <v>2.319899057909753E-2</v>
      </c>
      <c r="K124" s="44">
        <f t="shared" si="16"/>
        <v>2.7054169411661964E-7</v>
      </c>
      <c r="L124" s="13"/>
      <c r="M124" s="10">
        <f t="shared" si="17"/>
        <v>-4.6397981158195059E-2</v>
      </c>
      <c r="N124" s="10">
        <f t="shared" si="18"/>
        <v>4.6397981158195059E-2</v>
      </c>
    </row>
    <row r="125" spans="1:14" x14ac:dyDescent="0.25">
      <c r="A125" s="1">
        <v>45485</v>
      </c>
      <c r="B125" s="2">
        <f t="shared" si="19"/>
        <v>118</v>
      </c>
      <c r="C125" s="3">
        <f>+VLOOKUP(A125,Precios!$B:$H,1+$C$3,0)</f>
        <v>263.57</v>
      </c>
      <c r="D125" s="10">
        <f t="shared" si="12"/>
        <v>8.4943562272812301E-3</v>
      </c>
      <c r="E125" s="38">
        <f t="shared" si="13"/>
        <v>7.2154087715951406E-5</v>
      </c>
      <c r="F125" s="27">
        <f t="shared" si="14"/>
        <v>2.1559195848260764E-6</v>
      </c>
      <c r="G125" s="28">
        <f t="shared" si="15"/>
        <v>1.5555841083207825E-10</v>
      </c>
      <c r="I125" s="21">
        <f t="shared" si="10"/>
        <v>5.931722031147841E-4</v>
      </c>
      <c r="J125" s="47">
        <f t="shared" si="11"/>
        <v>2.4355126834298853E-2</v>
      </c>
      <c r="K125" s="44">
        <f t="shared" si="16"/>
        <v>2.7145987657375132E-7</v>
      </c>
      <c r="L125" s="13"/>
      <c r="M125" s="10">
        <f t="shared" si="17"/>
        <v>-4.8710253668597707E-2</v>
      </c>
      <c r="N125" s="10">
        <f t="shared" si="18"/>
        <v>4.8710253668597707E-2</v>
      </c>
    </row>
    <row r="126" spans="1:14" x14ac:dyDescent="0.25">
      <c r="A126" s="1">
        <v>45484</v>
      </c>
      <c r="B126" s="2">
        <f t="shared" si="19"/>
        <v>119</v>
      </c>
      <c r="C126" s="3">
        <f>+VLOOKUP(A126,Precios!$B:$H,1+$C$3,0)</f>
        <v>261.35000000000002</v>
      </c>
      <c r="D126" s="10">
        <f t="shared" si="12"/>
        <v>1.2160644436699064E-2</v>
      </c>
      <c r="E126" s="38">
        <f t="shared" si="13"/>
        <v>1.4788127311581991E-4</v>
      </c>
      <c r="F126" s="27">
        <f t="shared" si="14"/>
        <v>1.9284219529425194E-6</v>
      </c>
      <c r="G126" s="28">
        <f t="shared" si="15"/>
        <v>2.8517749350563551E-10</v>
      </c>
      <c r="I126" s="21">
        <f t="shared" si="10"/>
        <v>6.457035653093581E-4</v>
      </c>
      <c r="J126" s="47">
        <f t="shared" si="11"/>
        <v>2.5410697851679678E-2</v>
      </c>
      <c r="K126" s="44">
        <f t="shared" si="16"/>
        <v>2.4782703460482854E-7</v>
      </c>
      <c r="L126" s="13"/>
      <c r="M126" s="10">
        <f t="shared" si="17"/>
        <v>-5.0821395703359355E-2</v>
      </c>
      <c r="N126" s="10">
        <f t="shared" si="18"/>
        <v>5.0821395703359355E-2</v>
      </c>
    </row>
    <row r="127" spans="1:14" x14ac:dyDescent="0.25">
      <c r="A127" s="1">
        <v>45483</v>
      </c>
      <c r="B127" s="2">
        <f t="shared" si="19"/>
        <v>120</v>
      </c>
      <c r="C127" s="3">
        <f>+VLOOKUP(A127,Precios!$B:$H,1+$C$3,0)</f>
        <v>258.20999999999998</v>
      </c>
      <c r="D127" s="10">
        <f t="shared" si="12"/>
        <v>4.0078949488439486E-2</v>
      </c>
      <c r="E127" s="38">
        <f t="shared" si="13"/>
        <v>1.6063221920968836E-3</v>
      </c>
      <c r="F127" s="27">
        <f t="shared" si="14"/>
        <v>1.7249303985012255E-6</v>
      </c>
      <c r="G127" s="28">
        <f t="shared" si="15"/>
        <v>2.7707939789350398E-9</v>
      </c>
      <c r="I127" s="21">
        <f t="shared" si="10"/>
        <v>5.3237854201560451E-4</v>
      </c>
      <c r="J127" s="47">
        <f t="shared" si="11"/>
        <v>2.3073329669027063E-2</v>
      </c>
      <c r="K127" s="44">
        <f t="shared" si="16"/>
        <v>1.1533549635499008E-6</v>
      </c>
      <c r="L127" s="13"/>
      <c r="M127" s="10">
        <f t="shared" si="17"/>
        <v>-4.6146659338054126E-2</v>
      </c>
      <c r="N127" s="10">
        <f t="shared" si="18"/>
        <v>4.6146659338054126E-2</v>
      </c>
    </row>
    <row r="128" spans="1:14" x14ac:dyDescent="0.25">
      <c r="A128" s="1">
        <v>45482</v>
      </c>
      <c r="B128" s="2">
        <f t="shared" si="19"/>
        <v>121</v>
      </c>
      <c r="C128" s="3">
        <f>+VLOOKUP(A128,Precios!$B:$H,1+$C$3,0)</f>
        <v>248.26</v>
      </c>
      <c r="D128" s="10">
        <f t="shared" si="12"/>
        <v>-1.0876927367624245E-2</v>
      </c>
      <c r="E128" s="38">
        <f t="shared" si="13"/>
        <v>1.1830754896057329E-4</v>
      </c>
      <c r="F128" s="27">
        <f t="shared" si="14"/>
        <v>1.5429117445658346E-6</v>
      </c>
      <c r="G128" s="28">
        <f t="shared" si="15"/>
        <v>1.8253810676206604E-10</v>
      </c>
      <c r="I128" s="21">
        <f t="shared" si="10"/>
        <v>5.8122686082257274E-4</v>
      </c>
      <c r="J128" s="47">
        <f t="shared" si="11"/>
        <v>2.4108647013521368E-2</v>
      </c>
      <c r="K128" s="44">
        <f t="shared" si="16"/>
        <v>2.142942892947871E-7</v>
      </c>
      <c r="L128" s="13"/>
      <c r="M128" s="10">
        <f t="shared" si="17"/>
        <v>-4.8217294027042737E-2</v>
      </c>
      <c r="N128" s="10">
        <f t="shared" si="18"/>
        <v>4.8217294027042737E-2</v>
      </c>
    </row>
    <row r="129" spans="1:14" x14ac:dyDescent="0.25">
      <c r="A129" s="1">
        <v>45481</v>
      </c>
      <c r="B129" s="2">
        <f t="shared" si="19"/>
        <v>122</v>
      </c>
      <c r="C129" s="3">
        <f>+VLOOKUP(A129,Precios!$B:$H,1+$C$3,0)</f>
        <v>250.99</v>
      </c>
      <c r="D129" s="10">
        <f t="shared" si="12"/>
        <v>9.6138374899437107E-3</v>
      </c>
      <c r="E129" s="38">
        <f t="shared" si="13"/>
        <v>9.2425871283047185E-5</v>
      </c>
      <c r="F129" s="27">
        <f t="shared" si="14"/>
        <v>1.380100120902064E-6</v>
      </c>
      <c r="G129" s="28">
        <f t="shared" si="15"/>
        <v>1.2755695613221202E-10</v>
      </c>
      <c r="I129" s="21">
        <f t="shared" si="10"/>
        <v>6.3889114296419804E-4</v>
      </c>
      <c r="J129" s="47">
        <f t="shared" si="11"/>
        <v>2.5276296068929838E-2</v>
      </c>
      <c r="K129" s="44">
        <f t="shared" si="16"/>
        <v>2.9862429315355402E-7</v>
      </c>
      <c r="L129" s="13"/>
      <c r="M129" s="10">
        <f t="shared" si="17"/>
        <v>-5.0552592137859675E-2</v>
      </c>
      <c r="N129" s="10">
        <f t="shared" si="18"/>
        <v>5.0552592137859675E-2</v>
      </c>
    </row>
    <row r="130" spans="1:14" x14ac:dyDescent="0.25">
      <c r="A130" s="1">
        <v>45478</v>
      </c>
      <c r="B130" s="2">
        <f t="shared" si="19"/>
        <v>123</v>
      </c>
      <c r="C130" s="3">
        <f>+VLOOKUP(A130,Precios!$B:$H,1+$C$3,0)</f>
        <v>248.6</v>
      </c>
      <c r="D130" s="10">
        <f t="shared" si="12"/>
        <v>8.519269776876337E-3</v>
      </c>
      <c r="E130" s="38">
        <f t="shared" si="13"/>
        <v>7.2577957531198598E-5</v>
      </c>
      <c r="F130" s="27">
        <f t="shared" si="14"/>
        <v>1.2344687571549048E-6</v>
      </c>
      <c r="G130" s="28">
        <f t="shared" si="15"/>
        <v>8.9595221030380192E-11</v>
      </c>
      <c r="I130" s="21">
        <f t="shared" si="10"/>
        <v>7.0569960694888564E-4</v>
      </c>
      <c r="J130" s="47">
        <f t="shared" si="11"/>
        <v>2.6565007188948504E-2</v>
      </c>
      <c r="K130" s="44">
        <f t="shared" si="16"/>
        <v>4.0084302296137259E-7</v>
      </c>
      <c r="L130" s="13"/>
      <c r="M130" s="10">
        <f t="shared" si="17"/>
        <v>-5.3130014377897009E-2</v>
      </c>
      <c r="N130" s="10">
        <f t="shared" si="18"/>
        <v>5.3130014377897009E-2</v>
      </c>
    </row>
    <row r="131" spans="1:14" x14ac:dyDescent="0.25">
      <c r="A131" s="1">
        <v>45477</v>
      </c>
      <c r="B131" s="2">
        <f t="shared" si="19"/>
        <v>124</v>
      </c>
      <c r="C131" s="3">
        <f>+VLOOKUP(A131,Precios!$B:$H,1+$C$3,0)</f>
        <v>246.5</v>
      </c>
      <c r="D131" s="10">
        <f t="shared" si="12"/>
        <v>1.1240564489662042E-2</v>
      </c>
      <c r="E131" s="38">
        <f t="shared" si="13"/>
        <v>1.2635029004625127E-4</v>
      </c>
      <c r="F131" s="27">
        <f t="shared" si="14"/>
        <v>1.1042047524751408E-6</v>
      </c>
      <c r="G131" s="28">
        <f t="shared" si="15"/>
        <v>1.3951659074568314E-10</v>
      </c>
      <c r="I131" s="21">
        <f t="shared" si="10"/>
        <v>7.7404595481512693E-4</v>
      </c>
      <c r="J131" s="47">
        <f t="shared" si="11"/>
        <v>2.7821681380087847E-2</v>
      </c>
      <c r="K131" s="44">
        <f t="shared" si="16"/>
        <v>4.1950967416039581E-7</v>
      </c>
      <c r="L131" s="13"/>
      <c r="M131" s="10">
        <f t="shared" si="17"/>
        <v>-5.5643362760175695E-2</v>
      </c>
      <c r="N131" s="10">
        <f t="shared" si="18"/>
        <v>5.5643362760175695E-2</v>
      </c>
    </row>
    <row r="132" spans="1:14" x14ac:dyDescent="0.25">
      <c r="A132" s="1">
        <v>45476</v>
      </c>
      <c r="B132" s="2">
        <f t="shared" si="19"/>
        <v>125</v>
      </c>
      <c r="C132" s="3">
        <f>+VLOOKUP(A132,Precios!$B:$H,1+$C$3,0)</f>
        <v>243.76</v>
      </c>
      <c r="D132" s="10">
        <f t="shared" si="12"/>
        <v>4.0198002901766561E-2</v>
      </c>
      <c r="E132" s="38">
        <f t="shared" si="13"/>
        <v>1.6158794372904328E-3</v>
      </c>
      <c r="F132" s="27">
        <f t="shared" si="14"/>
        <v>9.8768650751336058E-7</v>
      </c>
      <c r="G132" s="28">
        <f t="shared" si="15"/>
        <v>1.595982317980042E-9</v>
      </c>
      <c r="I132" s="21">
        <f t="shared" si="10"/>
        <v>6.7473411934717176E-4</v>
      </c>
      <c r="J132" s="47">
        <f t="shared" si="11"/>
        <v>2.5975644734003656E-2</v>
      </c>
      <c r="K132" s="44">
        <f t="shared" si="16"/>
        <v>8.8575450948652185E-7</v>
      </c>
      <c r="L132" s="13"/>
      <c r="M132" s="10">
        <f t="shared" si="17"/>
        <v>-5.1951289468007311E-2</v>
      </c>
      <c r="N132" s="10">
        <f t="shared" si="18"/>
        <v>5.1951289468007311E-2</v>
      </c>
    </row>
    <row r="133" spans="1:14" x14ac:dyDescent="0.25">
      <c r="A133" s="1">
        <v>45475</v>
      </c>
      <c r="B133" s="2">
        <f t="shared" si="19"/>
        <v>126</v>
      </c>
      <c r="C133" s="3">
        <f>+VLOOKUP(A133,Precios!$B:$H,1+$C$3,0)</f>
        <v>234.34</v>
      </c>
      <c r="D133" s="10">
        <f t="shared" si="12"/>
        <v>-1.7483543666932166E-2</v>
      </c>
      <c r="E133" s="38">
        <f t="shared" si="13"/>
        <v>3.0567429915352387E-4</v>
      </c>
      <c r="F133" s="27">
        <f t="shared" si="14"/>
        <v>8.8346353784227364E-7</v>
      </c>
      <c r="G133" s="28">
        <f t="shared" si="15"/>
        <v>2.7005209775762969E-10</v>
      </c>
      <c r="I133" s="21">
        <f t="shared" si="10"/>
        <v>7.1827243054992172E-4</v>
      </c>
      <c r="J133" s="47">
        <f t="shared" si="11"/>
        <v>2.6800605040743421E-2</v>
      </c>
      <c r="K133" s="44">
        <f t="shared" si="16"/>
        <v>1.7023721803179919E-7</v>
      </c>
      <c r="L133" s="13"/>
      <c r="M133" s="10">
        <f t="shared" si="17"/>
        <v>-5.3601210081486841E-2</v>
      </c>
      <c r="N133" s="10">
        <f t="shared" si="18"/>
        <v>5.3601210081486841E-2</v>
      </c>
    </row>
    <row r="134" spans="1:14" x14ac:dyDescent="0.25">
      <c r="A134" s="1">
        <v>45474</v>
      </c>
      <c r="B134" s="2">
        <f t="shared" si="19"/>
        <v>127</v>
      </c>
      <c r="C134" s="3">
        <f>+VLOOKUP(A134,Precios!$B:$H,1+$C$3,0)</f>
        <v>238.51</v>
      </c>
      <c r="D134" s="10">
        <f t="shared" si="12"/>
        <v>3.196635120925384E-3</v>
      </c>
      <c r="E134" s="38">
        <f t="shared" si="13"/>
        <v>1.0218476096333645E-5</v>
      </c>
      <c r="F134" s="27">
        <f t="shared" si="14"/>
        <v>7.9023841751349254E-7</v>
      </c>
      <c r="G134" s="28">
        <f t="shared" si="15"/>
        <v>8.0750323797661504E-12</v>
      </c>
      <c r="I134" s="21">
        <f t="shared" si="10"/>
        <v>8.018021775734876E-4</v>
      </c>
      <c r="J134" s="47">
        <f t="shared" si="11"/>
        <v>2.8316111625247695E-2</v>
      </c>
      <c r="K134" s="44">
        <f t="shared" si="16"/>
        <v>6.2660475644427191E-7</v>
      </c>
      <c r="L134" s="13"/>
      <c r="M134" s="10">
        <f t="shared" si="17"/>
        <v>-5.6632223250495391E-2</v>
      </c>
      <c r="N134" s="10">
        <f t="shared" si="18"/>
        <v>5.6632223250495391E-2</v>
      </c>
    </row>
    <row r="135" spans="1:14" x14ac:dyDescent="0.25">
      <c r="A135" s="1">
        <v>45471</v>
      </c>
      <c r="B135" s="2">
        <f t="shared" si="19"/>
        <v>128</v>
      </c>
      <c r="C135" s="3">
        <f>+VLOOKUP(A135,Precios!$B:$H,1+$C$3,0)</f>
        <v>237.75</v>
      </c>
      <c r="D135" s="10">
        <f t="shared" si="12"/>
        <v>-2.1405187610172849E-3</v>
      </c>
      <c r="E135" s="38">
        <f t="shared" si="13"/>
        <v>4.5818205662669723E-6</v>
      </c>
      <c r="F135" s="27">
        <f t="shared" si="14"/>
        <v>7.068506279720602E-7</v>
      </c>
      <c r="G135" s="28">
        <f t="shared" si="15"/>
        <v>3.2386627445211097E-12</v>
      </c>
      <c r="I135" s="21">
        <f t="shared" si="10"/>
        <v>8.9585096343789165E-4</v>
      </c>
      <c r="J135" s="47">
        <f t="shared" si="11"/>
        <v>2.9930769509618219E-2</v>
      </c>
      <c r="K135" s="44">
        <f t="shared" si="16"/>
        <v>7.943606850351205E-7</v>
      </c>
      <c r="L135" s="13"/>
      <c r="M135" s="10">
        <f t="shared" si="17"/>
        <v>-5.9861539019236437E-2</v>
      </c>
      <c r="N135" s="10">
        <f t="shared" si="18"/>
        <v>5.9861539019236437E-2</v>
      </c>
    </row>
    <row r="136" spans="1:14" x14ac:dyDescent="0.25">
      <c r="A136" s="1">
        <v>45470</v>
      </c>
      <c r="B136" s="2">
        <f t="shared" si="19"/>
        <v>129</v>
      </c>
      <c r="C136" s="3">
        <f>+VLOOKUP(A136,Precios!$B:$H,1+$C$3,0)</f>
        <v>238.26</v>
      </c>
      <c r="D136" s="10">
        <f t="shared" si="12"/>
        <v>-4.5540004177981874E-3</v>
      </c>
      <c r="E136" s="38">
        <f t="shared" si="13"/>
        <v>2.0738919805306066E-5</v>
      </c>
      <c r="F136" s="27">
        <f t="shared" si="14"/>
        <v>6.3226211127095055E-7</v>
      </c>
      <c r="G136" s="28">
        <f t="shared" si="15"/>
        <v>1.3112433221581744E-11</v>
      </c>
      <c r="I136" s="21">
        <f t="shared" ref="I136:I199" si="20">(1-$C$4)*E137+$C$4*I137</f>
        <v>9.9908870000037708E-4</v>
      </c>
      <c r="J136" s="47">
        <f t="shared" ref="J136:J199" si="21">SQRT(I136)</f>
        <v>3.1608364399322804E-2</v>
      </c>
      <c r="K136" s="44">
        <f t="shared" si="16"/>
        <v>9.5716829240774375E-7</v>
      </c>
      <c r="L136" s="13"/>
      <c r="M136" s="10">
        <f t="shared" si="17"/>
        <v>-6.3216728798645608E-2</v>
      </c>
      <c r="N136" s="10">
        <f t="shared" si="18"/>
        <v>6.3216728798645608E-2</v>
      </c>
    </row>
    <row r="137" spans="1:14" x14ac:dyDescent="0.25">
      <c r="A137" s="1">
        <v>45469</v>
      </c>
      <c r="B137" s="2">
        <f t="shared" si="19"/>
        <v>130</v>
      </c>
      <c r="C137" s="3">
        <f>+VLOOKUP(A137,Precios!$B:$H,1+$C$3,0)</f>
        <v>239.35</v>
      </c>
      <c r="D137" s="10">
        <f t="shared" ref="D137:D200" si="22">C137/C138-1</f>
        <v>-2.9160591543428982E-3</v>
      </c>
      <c r="E137" s="38">
        <f t="shared" ref="E137:E200" si="23">(D137)^2</f>
        <v>8.5034009916270183E-6</v>
      </c>
      <c r="F137" s="27">
        <f t="shared" ref="F137:F200" si="24">$C$4^(B137-1)</f>
        <v>5.6554434774386461E-7</v>
      </c>
      <c r="G137" s="28">
        <f t="shared" ref="G137:G200" si="25">+E137*F137</f>
        <v>4.8090503674142338E-12</v>
      </c>
      <c r="I137" s="21">
        <f t="shared" si="20"/>
        <v>1.1159489179414211E-3</v>
      </c>
      <c r="J137" s="47">
        <f t="shared" si="21"/>
        <v>3.3405821617517824E-2</v>
      </c>
      <c r="K137" s="44">
        <f t="shared" ref="K137:K200" si="26">(E137-I137)^2</f>
        <v>1.2264355730121966E-6</v>
      </c>
      <c r="L137" s="13"/>
      <c r="M137" s="10">
        <f t="shared" ref="M137:M200" si="27">-J137*$N$5</f>
        <v>-6.6811643235035648E-2</v>
      </c>
      <c r="N137" s="10">
        <f t="shared" ref="N137:N200" si="28">+J137*$N$5</f>
        <v>6.6811643235035648E-2</v>
      </c>
    </row>
    <row r="138" spans="1:14" x14ac:dyDescent="0.25">
      <c r="A138" s="1">
        <v>45468</v>
      </c>
      <c r="B138" s="2">
        <f t="shared" ref="B138:B201" si="29">+B137+1</f>
        <v>131</v>
      </c>
      <c r="C138" s="3">
        <f>+VLOOKUP(A138,Precios!$B:$H,1+$C$3,0)</f>
        <v>240.05</v>
      </c>
      <c r="D138" s="10">
        <f t="shared" si="22"/>
        <v>-1.4143683181495614E-3</v>
      </c>
      <c r="E138" s="38">
        <f t="shared" si="23"/>
        <v>2.0004377393852189E-6</v>
      </c>
      <c r="F138" s="27">
        <f t="shared" si="24"/>
        <v>5.058667972719441E-7</v>
      </c>
      <c r="G138" s="28">
        <f t="shared" si="25"/>
        <v>1.0119550323647287E-12</v>
      </c>
      <c r="I138" s="21">
        <f t="shared" si="20"/>
        <v>1.2473623987408718E-3</v>
      </c>
      <c r="J138" s="47">
        <f t="shared" si="21"/>
        <v>3.5318018046612859E-2</v>
      </c>
      <c r="K138" s="44">
        <f t="shared" si="26"/>
        <v>1.5509264139094684E-6</v>
      </c>
      <c r="L138" s="13"/>
      <c r="M138" s="10">
        <f t="shared" si="27"/>
        <v>-7.0636036093225718E-2</v>
      </c>
      <c r="N138" s="10">
        <f t="shared" si="28"/>
        <v>7.0636036093225718E-2</v>
      </c>
    </row>
    <row r="139" spans="1:14" x14ac:dyDescent="0.25">
      <c r="A139" s="1">
        <v>45467</v>
      </c>
      <c r="B139" s="2">
        <f t="shared" si="29"/>
        <v>132</v>
      </c>
      <c r="C139" s="3">
        <f>+VLOOKUP(A139,Precios!$B:$H,1+$C$3,0)</f>
        <v>240.39</v>
      </c>
      <c r="D139" s="10">
        <f t="shared" si="22"/>
        <v>2.7530972343887683E-3</v>
      </c>
      <c r="E139" s="38">
        <f t="shared" si="23"/>
        <v>7.5795443819990847E-6</v>
      </c>
      <c r="F139" s="27">
        <f t="shared" si="24"/>
        <v>4.5248656025481489E-7</v>
      </c>
      <c r="G139" s="28">
        <f t="shared" si="25"/>
        <v>3.4296419657094723E-12</v>
      </c>
      <c r="I139" s="21">
        <f t="shared" si="20"/>
        <v>1.3936206712035519E-3</v>
      </c>
      <c r="J139" s="47">
        <f t="shared" si="21"/>
        <v>3.7331229168131495E-2</v>
      </c>
      <c r="K139" s="44">
        <f t="shared" si="26"/>
        <v>1.9211100052407597E-6</v>
      </c>
      <c r="L139" s="13"/>
      <c r="M139" s="10">
        <f t="shared" si="27"/>
        <v>-7.4662458336262991E-2</v>
      </c>
      <c r="N139" s="10">
        <f t="shared" si="28"/>
        <v>7.4662458336262991E-2</v>
      </c>
    </row>
    <row r="140" spans="1:14" x14ac:dyDescent="0.25">
      <c r="A140" s="1">
        <v>45464</v>
      </c>
      <c r="B140" s="2">
        <f t="shared" si="29"/>
        <v>133</v>
      </c>
      <c r="C140" s="3">
        <f>+VLOOKUP(A140,Precios!$B:$H,1+$C$3,0)</f>
        <v>239.73</v>
      </c>
      <c r="D140" s="10">
        <f t="shared" si="22"/>
        <v>-7.0669871297875608E-2</v>
      </c>
      <c r="E140" s="38">
        <f t="shared" si="23"/>
        <v>4.9942307092583028E-3</v>
      </c>
      <c r="F140" s="27">
        <f t="shared" si="24"/>
        <v>4.0473912957993125E-7</v>
      </c>
      <c r="G140" s="28">
        <f t="shared" si="25"/>
        <v>2.0213605901865682E-9</v>
      </c>
      <c r="I140" s="21">
        <f t="shared" si="20"/>
        <v>9.6885354192267274E-4</v>
      </c>
      <c r="J140" s="47">
        <f t="shared" si="21"/>
        <v>3.1126412288001854E-2</v>
      </c>
      <c r="K140" s="44">
        <f t="shared" si="26"/>
        <v>1.6203661339307018E-5</v>
      </c>
      <c r="L140" s="13"/>
      <c r="M140" s="10">
        <f t="shared" si="27"/>
        <v>-6.2252824576003708E-2</v>
      </c>
      <c r="N140" s="10">
        <f t="shared" si="28"/>
        <v>6.2252824576003708E-2</v>
      </c>
    </row>
    <row r="141" spans="1:14" x14ac:dyDescent="0.25">
      <c r="A141" s="1">
        <v>45463</v>
      </c>
      <c r="B141" s="2">
        <f t="shared" si="29"/>
        <v>134</v>
      </c>
      <c r="C141" s="3">
        <f>+VLOOKUP(A141,Precios!$B:$H,1+$C$3,0)</f>
        <v>257.95999999999998</v>
      </c>
      <c r="D141" s="10">
        <f t="shared" si="22"/>
        <v>4.7553299492385737E-2</v>
      </c>
      <c r="E141" s="38">
        <f t="shared" si="23"/>
        <v>2.2613162926125334E-3</v>
      </c>
      <c r="F141" s="27">
        <f t="shared" si="24"/>
        <v>3.620301184655512E-7</v>
      </c>
      <c r="G141" s="28">
        <f t="shared" si="25"/>
        <v>8.1866460530259651E-10</v>
      </c>
      <c r="I141" s="21">
        <f t="shared" si="20"/>
        <v>8.1638057581118607E-4</v>
      </c>
      <c r="J141" s="47">
        <f t="shared" si="21"/>
        <v>2.8572374346756451E-2</v>
      </c>
      <c r="K141" s="44">
        <f t="shared" si="26"/>
        <v>2.0878392256882232E-6</v>
      </c>
      <c r="L141" s="13"/>
      <c r="M141" s="10">
        <f t="shared" si="27"/>
        <v>-5.7144748693512902E-2</v>
      </c>
      <c r="N141" s="10">
        <f t="shared" si="28"/>
        <v>5.7144748693512902E-2</v>
      </c>
    </row>
    <row r="142" spans="1:14" x14ac:dyDescent="0.25">
      <c r="A142" s="1">
        <v>45462</v>
      </c>
      <c r="B142" s="2">
        <f t="shared" si="29"/>
        <v>135</v>
      </c>
      <c r="C142" s="3">
        <f>+VLOOKUP(A142,Precios!$B:$H,1+$C$3,0)</f>
        <v>246.25</v>
      </c>
      <c r="D142" s="10">
        <f t="shared" si="22"/>
        <v>-8.6553945249597808E-3</v>
      </c>
      <c r="E142" s="38">
        <f t="shared" si="23"/>
        <v>7.4915854382703756E-5</v>
      </c>
      <c r="F142" s="27">
        <f t="shared" si="24"/>
        <v>3.2382786120089496E-7</v>
      </c>
      <c r="G142" s="28">
        <f t="shared" si="25"/>
        <v>2.425984089478865E-11</v>
      </c>
      <c r="I142" s="21">
        <f t="shared" si="20"/>
        <v>9.0385182036572739E-4</v>
      </c>
      <c r="J142" s="47">
        <f t="shared" si="21"/>
        <v>3.0064128465094868E-2</v>
      </c>
      <c r="K142" s="44">
        <f t="shared" si="26"/>
        <v>6.8713483570020858E-7</v>
      </c>
      <c r="L142" s="13"/>
      <c r="M142" s="10">
        <f t="shared" si="27"/>
        <v>-6.0128256930189736E-2</v>
      </c>
      <c r="N142" s="10">
        <f t="shared" si="28"/>
        <v>6.0128256930189736E-2</v>
      </c>
    </row>
    <row r="143" spans="1:14" x14ac:dyDescent="0.25">
      <c r="A143" s="1">
        <v>45461</v>
      </c>
      <c r="B143" s="2">
        <f t="shared" si="29"/>
        <v>136</v>
      </c>
      <c r="C143" s="3">
        <f>+VLOOKUP(A143,Precios!$B:$H,1+$C$3,0)</f>
        <v>248.4</v>
      </c>
      <c r="D143" s="10">
        <f t="shared" si="22"/>
        <v>3.8027580442958619E-2</v>
      </c>
      <c r="E143" s="38">
        <f t="shared" si="23"/>
        <v>1.446096874345689E-3</v>
      </c>
      <c r="F143" s="27">
        <f t="shared" si="24"/>
        <v>2.896567946733538E-7</v>
      </c>
      <c r="G143" s="28">
        <f t="shared" si="25"/>
        <v>4.1887178541012795E-10</v>
      </c>
      <c r="I143" s="21">
        <f t="shared" si="20"/>
        <v>8.3988269499211173E-4</v>
      </c>
      <c r="J143" s="47">
        <f t="shared" si="21"/>
        <v>2.8980729718074937E-2</v>
      </c>
      <c r="K143" s="44">
        <f t="shared" si="26"/>
        <v>3.6749563124933109E-7</v>
      </c>
      <c r="L143" s="13"/>
      <c r="M143" s="10">
        <f t="shared" si="27"/>
        <v>-5.7961459436149873E-2</v>
      </c>
      <c r="N143" s="10">
        <f t="shared" si="28"/>
        <v>5.7961459436149873E-2</v>
      </c>
    </row>
    <row r="144" spans="1:14" x14ac:dyDescent="0.25">
      <c r="A144" s="1">
        <v>45460</v>
      </c>
      <c r="B144" s="2">
        <f t="shared" si="29"/>
        <v>137</v>
      </c>
      <c r="C144" s="3">
        <f>+VLOOKUP(A144,Precios!$B:$H,1+$C$3,0)</f>
        <v>239.3</v>
      </c>
      <c r="D144" s="10">
        <f t="shared" si="22"/>
        <v>-3.912753912753919E-3</v>
      </c>
      <c r="E144" s="38">
        <f t="shared" si="23"/>
        <v>1.5309643181771103E-5</v>
      </c>
      <c r="F144" s="27">
        <f t="shared" si="24"/>
        <v>2.5909153829228809E-7</v>
      </c>
      <c r="G144" s="28">
        <f t="shared" si="25"/>
        <v>3.9665990026711147E-12</v>
      </c>
      <c r="I144" s="21">
        <f t="shared" si="20"/>
        <v>9.3715830229144524E-4</v>
      </c>
      <c r="J144" s="47">
        <f t="shared" si="21"/>
        <v>3.0613041376045032E-2</v>
      </c>
      <c r="K144" s="44">
        <f t="shared" si="26"/>
        <v>8.4980495030230422E-7</v>
      </c>
      <c r="L144" s="13"/>
      <c r="M144" s="10">
        <f t="shared" si="27"/>
        <v>-6.1226082752090065E-2</v>
      </c>
      <c r="N144" s="10">
        <f t="shared" si="28"/>
        <v>6.1226082752090065E-2</v>
      </c>
    </row>
    <row r="145" spans="1:14" x14ac:dyDescent="0.25">
      <c r="A145" s="1">
        <v>45457</v>
      </c>
      <c r="B145" s="2">
        <f t="shared" si="29"/>
        <v>138</v>
      </c>
      <c r="C145" s="3">
        <f>+VLOOKUP(A145,Precios!$B:$H,1+$C$3,0)</f>
        <v>240.24</v>
      </c>
      <c r="D145" s="10">
        <f t="shared" si="22"/>
        <v>1.7513134851139256E-3</v>
      </c>
      <c r="E145" s="38">
        <f t="shared" si="23"/>
        <v>3.0670989231418842E-6</v>
      </c>
      <c r="F145" s="27">
        <f t="shared" si="24"/>
        <v>2.3175159861298943E-7</v>
      </c>
      <c r="G145" s="28">
        <f t="shared" si="25"/>
        <v>7.1080507854231006E-13</v>
      </c>
      <c r="I145" s="21">
        <f t="shared" si="20"/>
        <v>1.0473538621404185E-3</v>
      </c>
      <c r="J145" s="47">
        <f t="shared" si="21"/>
        <v>3.2362846941213601E-2</v>
      </c>
      <c r="K145" s="44">
        <f t="shared" si="26"/>
        <v>1.0905348438308163E-6</v>
      </c>
      <c r="L145" s="13"/>
      <c r="M145" s="10">
        <f t="shared" si="27"/>
        <v>-6.4725693882427202E-2</v>
      </c>
      <c r="N145" s="10">
        <f t="shared" si="28"/>
        <v>6.4725693882427202E-2</v>
      </c>
    </row>
    <row r="146" spans="1:14" x14ac:dyDescent="0.25">
      <c r="A146" s="1">
        <v>45456</v>
      </c>
      <c r="B146" s="2">
        <f t="shared" si="29"/>
        <v>139</v>
      </c>
      <c r="C146" s="3">
        <f>+VLOOKUP(A146,Precios!$B:$H,1+$C$3,0)</f>
        <v>239.82</v>
      </c>
      <c r="D146" s="10">
        <f t="shared" si="22"/>
        <v>-1.2110726643598579E-2</v>
      </c>
      <c r="E146" s="38">
        <f t="shared" si="23"/>
        <v>1.4666969983596852E-4</v>
      </c>
      <c r="F146" s="27">
        <f t="shared" si="24"/>
        <v>2.0729663274099609E-7</v>
      </c>
      <c r="G146" s="28">
        <f t="shared" si="25"/>
        <v>3.04041349011289E-11</v>
      </c>
      <c r="I146" s="21">
        <f t="shared" si="20"/>
        <v>1.1536083640074149E-3</v>
      </c>
      <c r="J146" s="47">
        <f t="shared" si="21"/>
        <v>3.396481067233284E-2</v>
      </c>
      <c r="K146" s="44">
        <f t="shared" si="26"/>
        <v>1.0139254734033767E-6</v>
      </c>
      <c r="L146" s="13"/>
      <c r="M146" s="10">
        <f t="shared" si="27"/>
        <v>-6.792962134466568E-2</v>
      </c>
      <c r="N146" s="10">
        <f t="shared" si="28"/>
        <v>6.792962134466568E-2</v>
      </c>
    </row>
    <row r="147" spans="1:14" x14ac:dyDescent="0.25">
      <c r="A147" s="1">
        <v>45455</v>
      </c>
      <c r="B147" s="2">
        <f t="shared" si="29"/>
        <v>140</v>
      </c>
      <c r="C147" s="3">
        <f>+VLOOKUP(A147,Precios!$B:$H,1+$C$3,0)</f>
        <v>242.76</v>
      </c>
      <c r="D147" s="10">
        <f t="shared" si="22"/>
        <v>6.0505594695399179E-3</v>
      </c>
      <c r="E147" s="38">
        <f t="shared" si="23"/>
        <v>3.6609269894439169E-5</v>
      </c>
      <c r="F147" s="27">
        <f t="shared" si="24"/>
        <v>1.8542221155296437E-7</v>
      </c>
      <c r="G147" s="28">
        <f t="shared" si="25"/>
        <v>6.7881717871662689E-12</v>
      </c>
      <c r="I147" s="21">
        <f t="shared" si="20"/>
        <v>1.2853817284098658E-3</v>
      </c>
      <c r="J147" s="47">
        <f t="shared" si="21"/>
        <v>3.5852220690075334E-2</v>
      </c>
      <c r="K147" s="44">
        <f t="shared" si="26"/>
        <v>1.5594326531466627E-6</v>
      </c>
      <c r="L147" s="13"/>
      <c r="M147" s="10">
        <f t="shared" si="27"/>
        <v>-7.1704441380150669E-2</v>
      </c>
      <c r="N147" s="10">
        <f t="shared" si="28"/>
        <v>7.1704441380150669E-2</v>
      </c>
    </row>
    <row r="148" spans="1:14" x14ac:dyDescent="0.25">
      <c r="A148" s="1">
        <v>45454</v>
      </c>
      <c r="B148" s="2">
        <f t="shared" si="29"/>
        <v>141</v>
      </c>
      <c r="C148" s="3">
        <f>+VLOOKUP(A148,Precios!$B:$H,1+$C$3,0)</f>
        <v>241.3</v>
      </c>
      <c r="D148" s="10">
        <f t="shared" si="22"/>
        <v>2.0037199864727739E-2</v>
      </c>
      <c r="E148" s="38">
        <f t="shared" si="23"/>
        <v>4.0148937841904533E-4</v>
      </c>
      <c r="F148" s="27">
        <f t="shared" si="24"/>
        <v>1.6585602999229431E-7</v>
      </c>
      <c r="G148" s="28">
        <f t="shared" si="25"/>
        <v>6.6589434388656778E-11</v>
      </c>
      <c r="I148" s="21">
        <f t="shared" si="20"/>
        <v>1.3896552854268233E-3</v>
      </c>
      <c r="J148" s="47">
        <f t="shared" si="21"/>
        <v>3.7278080495471107E-2</v>
      </c>
      <c r="K148" s="44">
        <f t="shared" si="26"/>
        <v>9.764718597725044E-7</v>
      </c>
      <c r="L148" s="13"/>
      <c r="M148" s="10">
        <f t="shared" si="27"/>
        <v>-7.4556160990942213E-2</v>
      </c>
      <c r="N148" s="10">
        <f t="shared" si="28"/>
        <v>7.4556160990942213E-2</v>
      </c>
    </row>
    <row r="149" spans="1:14" x14ac:dyDescent="0.25">
      <c r="A149" s="1">
        <v>45453</v>
      </c>
      <c r="B149" s="2">
        <f t="shared" si="29"/>
        <v>142</v>
      </c>
      <c r="C149" s="3">
        <f>+VLOOKUP(A149,Precios!$B:$H,1+$C$3,0)</f>
        <v>236.56</v>
      </c>
      <c r="D149" s="10">
        <f t="shared" si="22"/>
        <v>-2.0941975002069402E-2</v>
      </c>
      <c r="E149" s="38">
        <f t="shared" si="23"/>
        <v>4.3856631698729973E-4</v>
      </c>
      <c r="F149" s="27">
        <f t="shared" si="24"/>
        <v>1.4835451726314532E-7</v>
      </c>
      <c r="G149" s="28">
        <f t="shared" si="25"/>
        <v>6.5063294244526423E-11</v>
      </c>
      <c r="I149" s="21">
        <f t="shared" si="20"/>
        <v>1.5018560865535757E-3</v>
      </c>
      <c r="J149" s="47">
        <f t="shared" si="21"/>
        <v>3.8753788028444078E-2</v>
      </c>
      <c r="K149" s="44">
        <f t="shared" si="26"/>
        <v>1.1305851340643043E-6</v>
      </c>
      <c r="L149" s="13"/>
      <c r="M149" s="10">
        <f t="shared" si="27"/>
        <v>-7.7507576056888156E-2</v>
      </c>
      <c r="N149" s="10">
        <f t="shared" si="28"/>
        <v>7.7507576056888156E-2</v>
      </c>
    </row>
    <row r="150" spans="1:14" x14ac:dyDescent="0.25">
      <c r="A150" s="1">
        <v>45450</v>
      </c>
      <c r="B150" s="2">
        <f t="shared" si="29"/>
        <v>143</v>
      </c>
      <c r="C150" s="3">
        <f>+VLOOKUP(A150,Precios!$B:$H,1+$C$3,0)</f>
        <v>241.62</v>
      </c>
      <c r="D150" s="10">
        <f t="shared" si="22"/>
        <v>-6.4213787761425167E-2</v>
      </c>
      <c r="E150" s="38">
        <f t="shared" si="23"/>
        <v>4.1234105386693566E-3</v>
      </c>
      <c r="F150" s="27">
        <f t="shared" si="24"/>
        <v>1.3269980472463634E-7</v>
      </c>
      <c r="G150" s="28">
        <f t="shared" si="25"/>
        <v>5.4717577328093119E-10</v>
      </c>
      <c r="I150" s="21">
        <f t="shared" si="20"/>
        <v>1.1925890048341873E-3</v>
      </c>
      <c r="J150" s="47">
        <f t="shared" si="21"/>
        <v>3.4533881983266623E-2</v>
      </c>
      <c r="K150" s="44">
        <f t="shared" si="26"/>
        <v>8.5897148631919338E-6</v>
      </c>
      <c r="L150" s="13"/>
      <c r="M150" s="10">
        <f t="shared" si="27"/>
        <v>-6.9067763966533247E-2</v>
      </c>
      <c r="N150" s="10">
        <f t="shared" si="28"/>
        <v>6.9067763966533247E-2</v>
      </c>
    </row>
    <row r="151" spans="1:14" x14ac:dyDescent="0.25">
      <c r="A151" s="1">
        <v>45449</v>
      </c>
      <c r="B151" s="2">
        <f t="shared" si="29"/>
        <v>144</v>
      </c>
      <c r="C151" s="3">
        <f>+VLOOKUP(A151,Precios!$B:$H,1+$C$3,0)</f>
        <v>258.2</v>
      </c>
      <c r="D151" s="10">
        <f t="shared" si="22"/>
        <v>2.3587710604558998E-2</v>
      </c>
      <c r="E151" s="38">
        <f t="shared" si="23"/>
        <v>5.5638009156442497E-4</v>
      </c>
      <c r="F151" s="27">
        <f t="shared" si="24"/>
        <v>1.1869701373987861E-7</v>
      </c>
      <c r="G151" s="28">
        <f t="shared" si="25"/>
        <v>6.6040655373017468E-11</v>
      </c>
      <c r="I151" s="21">
        <f t="shared" si="20"/>
        <v>1.2676431292343135E-3</v>
      </c>
      <c r="J151" s="47">
        <f t="shared" si="21"/>
        <v>3.560397631212437E-2</v>
      </c>
      <c r="K151" s="44">
        <f t="shared" si="26"/>
        <v>5.0589510875539726E-7</v>
      </c>
      <c r="L151" s="13"/>
      <c r="M151" s="10">
        <f t="shared" si="27"/>
        <v>-7.1207952624248741E-2</v>
      </c>
      <c r="N151" s="10">
        <f t="shared" si="28"/>
        <v>7.1207952624248741E-2</v>
      </c>
    </row>
    <row r="152" spans="1:14" x14ac:dyDescent="0.25">
      <c r="A152" s="1">
        <v>45448</v>
      </c>
      <c r="B152" s="2">
        <f t="shared" si="29"/>
        <v>145</v>
      </c>
      <c r="C152" s="3">
        <f>+VLOOKUP(A152,Precios!$B:$H,1+$C$3,0)</f>
        <v>252.25</v>
      </c>
      <c r="D152" s="10">
        <f t="shared" si="22"/>
        <v>-8.3181494098083508E-4</v>
      </c>
      <c r="E152" s="38">
        <f t="shared" si="23"/>
        <v>6.9191609603895011E-7</v>
      </c>
      <c r="F152" s="27">
        <f t="shared" si="24"/>
        <v>1.0617182971746485E-7</v>
      </c>
      <c r="G152" s="28">
        <f t="shared" si="25"/>
        <v>7.3461997927420471E-14</v>
      </c>
      <c r="I152" s="21">
        <f t="shared" si="20"/>
        <v>1.417106476849268E-3</v>
      </c>
      <c r="J152" s="47">
        <f t="shared" si="21"/>
        <v>3.7644474718732203E-2</v>
      </c>
      <c r="K152" s="44">
        <f t="shared" si="26"/>
        <v>2.0062302079137626E-6</v>
      </c>
      <c r="L152" s="13"/>
      <c r="M152" s="10">
        <f t="shared" si="27"/>
        <v>-7.5288949437464406E-2</v>
      </c>
      <c r="N152" s="10">
        <f t="shared" si="28"/>
        <v>7.5288949437464406E-2</v>
      </c>
    </row>
    <row r="153" spans="1:14" x14ac:dyDescent="0.25">
      <c r="A153" s="1">
        <v>45447</v>
      </c>
      <c r="B153" s="2">
        <f t="shared" si="29"/>
        <v>146</v>
      </c>
      <c r="C153" s="3">
        <f>+VLOOKUP(A153,Precios!$B:$H,1+$C$3,0)</f>
        <v>252.46</v>
      </c>
      <c r="D153" s="10">
        <f t="shared" si="22"/>
        <v>2.1691622824767443E-2</v>
      </c>
      <c r="E153" s="38">
        <f t="shared" si="23"/>
        <v>4.7052650077197188E-4</v>
      </c>
      <c r="F153" s="27">
        <f t="shared" si="24"/>
        <v>9.4968332145723966E-8</v>
      </c>
      <c r="G153" s="28">
        <f t="shared" si="25"/>
        <v>4.4685117008677869E-11</v>
      </c>
      <c r="I153" s="21">
        <f t="shared" si="20"/>
        <v>1.528775348185954E-3</v>
      </c>
      <c r="J153" s="47">
        <f t="shared" si="21"/>
        <v>3.9099556879662385E-2</v>
      </c>
      <c r="K153" s="44">
        <f t="shared" si="26"/>
        <v>1.1198906230530218E-6</v>
      </c>
      <c r="L153" s="13"/>
      <c r="M153" s="10">
        <f t="shared" si="27"/>
        <v>-7.819911375932477E-2</v>
      </c>
      <c r="N153" s="10">
        <f t="shared" si="28"/>
        <v>7.819911375932477E-2</v>
      </c>
    </row>
    <row r="154" spans="1:14" x14ac:dyDescent="0.25">
      <c r="A154" s="1">
        <v>45446</v>
      </c>
      <c r="B154" s="2">
        <f t="shared" si="29"/>
        <v>147</v>
      </c>
      <c r="C154" s="3">
        <f>+VLOOKUP(A154,Precios!$B:$H,1+$C$3,0)</f>
        <v>247.1</v>
      </c>
      <c r="D154" s="10">
        <f t="shared" si="22"/>
        <v>-7.9770594369134473E-2</v>
      </c>
      <c r="E154" s="38">
        <f t="shared" si="23"/>
        <v>6.3633477260049889E-3</v>
      </c>
      <c r="F154" s="27">
        <f t="shared" si="24"/>
        <v>8.4947053606790786E-8</v>
      </c>
      <c r="G154" s="28">
        <f t="shared" si="25"/>
        <v>5.4054764039959606E-10</v>
      </c>
      <c r="I154" s="21">
        <f t="shared" si="20"/>
        <v>9.5843659766236861E-4</v>
      </c>
      <c r="J154" s="47">
        <f t="shared" si="21"/>
        <v>3.0958627192793426E-2</v>
      </c>
      <c r="K154" s="44">
        <f t="shared" si="26"/>
        <v>2.92130643052819E-5</v>
      </c>
      <c r="L154" s="13"/>
      <c r="M154" s="10">
        <f t="shared" si="27"/>
        <v>-6.1917254385586852E-2</v>
      </c>
      <c r="N154" s="10">
        <f t="shared" si="28"/>
        <v>6.1917254385586852E-2</v>
      </c>
    </row>
    <row r="155" spans="1:14" x14ac:dyDescent="0.25">
      <c r="A155" s="1">
        <v>45443</v>
      </c>
      <c r="B155" s="2">
        <f t="shared" si="29"/>
        <v>148</v>
      </c>
      <c r="C155" s="3">
        <f>+VLOOKUP(A155,Precios!$B:$H,1+$C$3,0)</f>
        <v>268.52</v>
      </c>
      <c r="D155" s="10">
        <f t="shared" si="22"/>
        <v>9.663470577176092E-3</v>
      </c>
      <c r="E155" s="38">
        <f t="shared" si="23"/>
        <v>9.338266359594803E-5</v>
      </c>
      <c r="F155" s="27">
        <f t="shared" si="24"/>
        <v>7.5983243608010382E-8</v>
      </c>
      <c r="G155" s="28">
        <f t="shared" si="25"/>
        <v>7.0955176767758016E-12</v>
      </c>
      <c r="I155" s="21">
        <f t="shared" si="20"/>
        <v>1.0604877702034081E-3</v>
      </c>
      <c r="J155" s="47">
        <f t="shared" si="21"/>
        <v>3.2565131201998991E-2</v>
      </c>
      <c r="K155" s="44">
        <f t="shared" si="26"/>
        <v>9.3529228722622666E-7</v>
      </c>
      <c r="L155" s="13"/>
      <c r="M155" s="10">
        <f t="shared" si="27"/>
        <v>-6.5130262403997982E-2</v>
      </c>
      <c r="N155" s="10">
        <f t="shared" si="28"/>
        <v>6.5130262403997982E-2</v>
      </c>
    </row>
    <row r="156" spans="1:14" x14ac:dyDescent="0.25">
      <c r="A156" s="1">
        <v>45442</v>
      </c>
      <c r="B156" s="2">
        <f t="shared" si="29"/>
        <v>149</v>
      </c>
      <c r="C156" s="3">
        <f>+VLOOKUP(A156,Precios!$B:$H,1+$C$3,0)</f>
        <v>265.95</v>
      </c>
      <c r="D156" s="10">
        <f t="shared" si="22"/>
        <v>1.6745039568757836E-2</v>
      </c>
      <c r="E156" s="38">
        <f t="shared" si="23"/>
        <v>2.803963501592656E-4</v>
      </c>
      <c r="F156" s="27">
        <f t="shared" si="24"/>
        <v>6.7965315617876963E-8</v>
      </c>
      <c r="G156" s="28">
        <f t="shared" si="25"/>
        <v>1.9057226436675232E-11</v>
      </c>
      <c r="I156" s="21">
        <f t="shared" si="20"/>
        <v>1.1525158403267175E-3</v>
      </c>
      <c r="J156" s="47">
        <f t="shared" si="21"/>
        <v>3.3948723692161349E-2</v>
      </c>
      <c r="K156" s="44">
        <f t="shared" si="26"/>
        <v>7.6059240512993628E-7</v>
      </c>
      <c r="L156" s="13"/>
      <c r="M156" s="10">
        <f t="shared" si="27"/>
        <v>-6.7897447384322698E-2</v>
      </c>
      <c r="N156" s="10">
        <f t="shared" si="28"/>
        <v>6.7897447384322698E-2</v>
      </c>
    </row>
    <row r="157" spans="1:14" x14ac:dyDescent="0.25">
      <c r="A157" s="1">
        <v>45441</v>
      </c>
      <c r="B157" s="2">
        <f t="shared" si="29"/>
        <v>150</v>
      </c>
      <c r="C157" s="3">
        <f>+VLOOKUP(A157,Precios!$B:$H,1+$C$3,0)</f>
        <v>261.57</v>
      </c>
      <c r="D157" s="10">
        <f t="shared" si="22"/>
        <v>-2.2862266054017755E-2</v>
      </c>
      <c r="E157" s="38">
        <f t="shared" si="23"/>
        <v>5.2268320912469252E-4</v>
      </c>
      <c r="F157" s="27">
        <f t="shared" si="24"/>
        <v>6.0793457974340183E-8</v>
      </c>
      <c r="G157" s="28">
        <f t="shared" si="25"/>
        <v>3.1775719707815254E-11</v>
      </c>
      <c r="I157" s="21">
        <f t="shared" si="20"/>
        <v>1.2268177491298277E-3</v>
      </c>
      <c r="J157" s="47">
        <f t="shared" si="21"/>
        <v>3.5025958218581656E-2</v>
      </c>
      <c r="K157" s="44">
        <f t="shared" si="26"/>
        <v>4.9580545042824329E-7</v>
      </c>
      <c r="L157" s="13"/>
      <c r="M157" s="10">
        <f t="shared" si="27"/>
        <v>-7.0051916437163311E-2</v>
      </c>
      <c r="N157" s="10">
        <f t="shared" si="28"/>
        <v>7.0051916437163311E-2</v>
      </c>
    </row>
    <row r="158" spans="1:14" x14ac:dyDescent="0.25">
      <c r="A158" s="1">
        <v>45440</v>
      </c>
      <c r="B158" s="2">
        <f t="shared" si="29"/>
        <v>151</v>
      </c>
      <c r="C158" s="3">
        <f>+VLOOKUP(A158,Precios!$B:$H,1+$C$3,0)</f>
        <v>267.69</v>
      </c>
      <c r="D158" s="10">
        <f t="shared" si="22"/>
        <v>1.8839917789449601E-2</v>
      </c>
      <c r="E158" s="38">
        <f t="shared" si="23"/>
        <v>3.5494250231321952E-4</v>
      </c>
      <c r="F158" s="27">
        <f t="shared" si="24"/>
        <v>5.4378391373286653E-8</v>
      </c>
      <c r="G158" s="28">
        <f t="shared" si="25"/>
        <v>1.9301202305801955E-11</v>
      </c>
      <c r="I158" s="21">
        <f t="shared" si="20"/>
        <v>1.3296736379284461E-3</v>
      </c>
      <c r="J158" s="47">
        <f t="shared" si="21"/>
        <v>3.6464690289764512E-2</v>
      </c>
      <c r="K158" s="44">
        <f t="shared" si="26"/>
        <v>9.501007867377494E-7</v>
      </c>
      <c r="L158" s="13"/>
      <c r="M158" s="10">
        <f t="shared" si="27"/>
        <v>-7.2929380579529024E-2</v>
      </c>
      <c r="N158" s="10">
        <f t="shared" si="28"/>
        <v>7.2929380579529024E-2</v>
      </c>
    </row>
    <row r="159" spans="1:14" x14ac:dyDescent="0.25">
      <c r="A159" s="1">
        <v>45439</v>
      </c>
      <c r="B159" s="2">
        <f t="shared" si="29"/>
        <v>152</v>
      </c>
      <c r="C159" s="3">
        <f>+VLOOKUP(A159,Precios!$B:$H,1+$C$3,0)</f>
        <v>262.74</v>
      </c>
      <c r="D159" s="10">
        <f t="shared" si="22"/>
        <v>9.1411891227530795E-3</v>
      </c>
      <c r="E159" s="38">
        <f t="shared" si="23"/>
        <v>8.3561338577939213E-5</v>
      </c>
      <c r="F159" s="27">
        <f t="shared" si="24"/>
        <v>4.8640257469717168E-8</v>
      </c>
      <c r="G159" s="28">
        <f t="shared" si="25"/>
        <v>4.0644450229451732E-12</v>
      </c>
      <c r="I159" s="21">
        <f t="shared" si="20"/>
        <v>1.4766786005771288E-3</v>
      </c>
      <c r="J159" s="47">
        <f t="shared" si="21"/>
        <v>3.8427576043475978E-2</v>
      </c>
      <c r="K159" s="44">
        <f t="shared" si="26"/>
        <v>1.9407757056801187E-6</v>
      </c>
      <c r="L159" s="13"/>
      <c r="M159" s="10">
        <f t="shared" si="27"/>
        <v>-7.6855152086951956E-2</v>
      </c>
      <c r="N159" s="10">
        <f t="shared" si="28"/>
        <v>7.6855152086951956E-2</v>
      </c>
    </row>
    <row r="160" spans="1:14" x14ac:dyDescent="0.25">
      <c r="A160" s="1">
        <v>45436</v>
      </c>
      <c r="B160" s="2">
        <f t="shared" si="29"/>
        <v>153</v>
      </c>
      <c r="C160" s="3">
        <f>+VLOOKUP(A160,Precios!$B:$H,1+$C$3,0)</f>
        <v>260.36</v>
      </c>
      <c r="D160" s="10">
        <f t="shared" si="22"/>
        <v>-5.6427354763889381E-2</v>
      </c>
      <c r="E160" s="38">
        <f t="shared" si="23"/>
        <v>3.1840463656498297E-3</v>
      </c>
      <c r="F160" s="27">
        <f t="shared" si="24"/>
        <v>4.3507624756303676E-8</v>
      </c>
      <c r="G160" s="28">
        <f t="shared" si="25"/>
        <v>1.3853029448336528E-10</v>
      </c>
      <c r="I160" s="21">
        <f t="shared" si="20"/>
        <v>1.2752589254299545E-3</v>
      </c>
      <c r="J160" s="47">
        <f t="shared" si="21"/>
        <v>3.5710767639886357E-2</v>
      </c>
      <c r="K160" s="44">
        <f t="shared" si="26"/>
        <v>3.6434694919411437E-6</v>
      </c>
      <c r="L160" s="13"/>
      <c r="M160" s="10">
        <f t="shared" si="27"/>
        <v>-7.1421535279772713E-2</v>
      </c>
      <c r="N160" s="10">
        <f t="shared" si="28"/>
        <v>7.1421535279772713E-2</v>
      </c>
    </row>
    <row r="161" spans="1:14" x14ac:dyDescent="0.25">
      <c r="A161" s="1">
        <v>45435</v>
      </c>
      <c r="B161" s="2">
        <f t="shared" si="29"/>
        <v>154</v>
      </c>
      <c r="C161" s="3">
        <f>+VLOOKUP(A161,Precios!$B:$H,1+$C$3,0)</f>
        <v>275.93</v>
      </c>
      <c r="D161" s="10">
        <f t="shared" si="22"/>
        <v>9.5492463046977782E-3</v>
      </c>
      <c r="E161" s="38">
        <f t="shared" si="23"/>
        <v>9.1188104987784168E-5</v>
      </c>
      <c r="F161" s="27">
        <f t="shared" si="24"/>
        <v>3.891659934394535E-8</v>
      </c>
      <c r="G161" s="28">
        <f t="shared" si="25"/>
        <v>3.5487309467432212E-12</v>
      </c>
      <c r="I161" s="21">
        <f t="shared" si="20"/>
        <v>1.4149448003091458E-3</v>
      </c>
      <c r="J161" s="47">
        <f t="shared" si="21"/>
        <v>3.7615752023708711E-2</v>
      </c>
      <c r="K161" s="44">
        <f t="shared" si="26"/>
        <v>1.7523317884081323E-6</v>
      </c>
      <c r="L161" s="13"/>
      <c r="M161" s="10">
        <f t="shared" si="27"/>
        <v>-7.5231504047417422E-2</v>
      </c>
      <c r="N161" s="10">
        <f t="shared" si="28"/>
        <v>7.5231504047417422E-2</v>
      </c>
    </row>
    <row r="162" spans="1:14" x14ac:dyDescent="0.25">
      <c r="A162" s="1">
        <v>45434</v>
      </c>
      <c r="B162" s="2">
        <f t="shared" si="29"/>
        <v>155</v>
      </c>
      <c r="C162" s="3">
        <f>+VLOOKUP(A162,Precios!$B:$H,1+$C$3,0)</f>
        <v>273.32</v>
      </c>
      <c r="D162" s="10">
        <f t="shared" si="22"/>
        <v>3.8805062521378719E-2</v>
      </c>
      <c r="E162" s="38">
        <f t="shared" si="23"/>
        <v>1.5058328772881114E-3</v>
      </c>
      <c r="F162" s="27">
        <f t="shared" si="24"/>
        <v>3.4810029574821524E-8</v>
      </c>
      <c r="G162" s="28">
        <f t="shared" si="25"/>
        <v>5.2418086993137748E-11</v>
      </c>
      <c r="I162" s="21">
        <f t="shared" si="20"/>
        <v>1.4042226540238814E-3</v>
      </c>
      <c r="J162" s="47">
        <f t="shared" si="21"/>
        <v>3.7472958970754915E-2</v>
      </c>
      <c r="K162" s="44">
        <f t="shared" si="26"/>
        <v>1.0324637471806677E-8</v>
      </c>
      <c r="L162" s="13"/>
      <c r="M162" s="10">
        <f t="shared" si="27"/>
        <v>-7.4945917941509829E-2</v>
      </c>
      <c r="N162" s="10">
        <f t="shared" si="28"/>
        <v>7.4945917941509829E-2</v>
      </c>
    </row>
    <row r="163" spans="1:14" x14ac:dyDescent="0.25">
      <c r="A163" s="1">
        <v>45433</v>
      </c>
      <c r="B163" s="2">
        <f t="shared" si="29"/>
        <v>156</v>
      </c>
      <c r="C163" s="3">
        <f>+VLOOKUP(A163,Precios!$B:$H,1+$C$3,0)</f>
        <v>263.11</v>
      </c>
      <c r="D163" s="10">
        <f t="shared" si="22"/>
        <v>-1.7989773448288671E-2</v>
      </c>
      <c r="E163" s="38">
        <f t="shared" si="23"/>
        <v>3.2363194872075203E-4</v>
      </c>
      <c r="F163" s="27">
        <f t="shared" si="24"/>
        <v>3.1136794566518859E-8</v>
      </c>
      <c r="G163" s="28">
        <f t="shared" si="25"/>
        <v>1.0076861502480222E-11</v>
      </c>
      <c r="I163" s="21">
        <f t="shared" si="20"/>
        <v>1.5317008888141137E-3</v>
      </c>
      <c r="J163" s="47">
        <f t="shared" si="21"/>
        <v>3.9136950428132665E-2</v>
      </c>
      <c r="K163" s="44">
        <f t="shared" si="26"/>
        <v>1.4594305640182985E-6</v>
      </c>
      <c r="L163" s="13"/>
      <c r="M163" s="10">
        <f t="shared" si="27"/>
        <v>-7.827390085626533E-2</v>
      </c>
      <c r="N163" s="10">
        <f t="shared" si="28"/>
        <v>7.827390085626533E-2</v>
      </c>
    </row>
    <row r="164" spans="1:14" x14ac:dyDescent="0.25">
      <c r="A164" s="1">
        <v>45432</v>
      </c>
      <c r="B164" s="2">
        <f t="shared" si="29"/>
        <v>157</v>
      </c>
      <c r="C164" s="3">
        <f>+VLOOKUP(A164,Precios!$B:$H,1+$C$3,0)</f>
        <v>267.93</v>
      </c>
      <c r="D164" s="10">
        <f t="shared" si="22"/>
        <v>-1.8894869823135152E-2</v>
      </c>
      <c r="E164" s="38">
        <f t="shared" si="23"/>
        <v>3.570161056332234E-4</v>
      </c>
      <c r="F164" s="27">
        <f t="shared" si="24"/>
        <v>2.7851167830631441E-8</v>
      </c>
      <c r="G164" s="28">
        <f t="shared" si="25"/>
        <v>9.9433154762293474E-12</v>
      </c>
      <c r="I164" s="21">
        <f t="shared" si="20"/>
        <v>1.6702794846320738E-3</v>
      </c>
      <c r="J164" s="47">
        <f t="shared" si="21"/>
        <v>4.0869052896196086E-2</v>
      </c>
      <c r="K164" s="44">
        <f t="shared" si="26"/>
        <v>1.7246607026194781E-6</v>
      </c>
      <c r="L164" s="13"/>
      <c r="M164" s="10">
        <f t="shared" si="27"/>
        <v>-8.1738105792392171E-2</v>
      </c>
      <c r="N164" s="10">
        <f t="shared" si="28"/>
        <v>8.1738105792392171E-2</v>
      </c>
    </row>
    <row r="165" spans="1:14" x14ac:dyDescent="0.25">
      <c r="A165" s="1">
        <v>45429</v>
      </c>
      <c r="B165" s="2">
        <f t="shared" si="29"/>
        <v>158</v>
      </c>
      <c r="C165" s="3">
        <f>+VLOOKUP(A165,Precios!$B:$H,1+$C$3,0)</f>
        <v>273.08999999999997</v>
      </c>
      <c r="D165" s="10">
        <f t="shared" si="22"/>
        <v>9.2097896504838683E-2</v>
      </c>
      <c r="E165" s="38">
        <f t="shared" si="23"/>
        <v>8.4820225406159779E-3</v>
      </c>
      <c r="F165" s="27">
        <f t="shared" si="24"/>
        <v>2.4912248043801213E-8</v>
      </c>
      <c r="G165" s="28">
        <f t="shared" si="25"/>
        <v>2.1130624944493819E-10</v>
      </c>
      <c r="I165" s="21">
        <f t="shared" si="20"/>
        <v>8.6669217228529602E-4</v>
      </c>
      <c r="J165" s="47">
        <f t="shared" si="21"/>
        <v>2.9439636075965614E-2</v>
      </c>
      <c r="K165" s="44">
        <f t="shared" si="26"/>
        <v>5.7993256618819522E-5</v>
      </c>
      <c r="L165" s="13"/>
      <c r="M165" s="10">
        <f t="shared" si="27"/>
        <v>-5.8879272151931228E-2</v>
      </c>
      <c r="N165" s="10">
        <f t="shared" si="28"/>
        <v>5.8879272151931228E-2</v>
      </c>
    </row>
    <row r="166" spans="1:14" x14ac:dyDescent="0.25">
      <c r="A166" s="1">
        <v>45428</v>
      </c>
      <c r="B166" s="2">
        <f t="shared" si="29"/>
        <v>159</v>
      </c>
      <c r="C166" s="3">
        <f>+VLOOKUP(A166,Precios!$B:$H,1+$C$3,0)</f>
        <v>250.06</v>
      </c>
      <c r="D166" s="10">
        <f t="shared" si="22"/>
        <v>-1.7291519295763558E-2</v>
      </c>
      <c r="E166" s="38">
        <f t="shared" si="23"/>
        <v>2.9899663955576343E-4</v>
      </c>
      <c r="F166" s="27">
        <f t="shared" si="24"/>
        <v>2.2283449885117682E-8</v>
      </c>
      <c r="G166" s="28">
        <f t="shared" si="25"/>
        <v>6.6626766333594494E-12</v>
      </c>
      <c r="I166" s="21">
        <f t="shared" si="20"/>
        <v>9.3366371299493072E-4</v>
      </c>
      <c r="J166" s="47">
        <f t="shared" si="21"/>
        <v>3.0555911261078938E-2</v>
      </c>
      <c r="K166" s="44">
        <f t="shared" si="26"/>
        <v>4.0280229410783734E-7</v>
      </c>
      <c r="L166" s="13"/>
      <c r="M166" s="10">
        <f t="shared" si="27"/>
        <v>-6.1111822522157876E-2</v>
      </c>
      <c r="N166" s="10">
        <f t="shared" si="28"/>
        <v>6.1111822522157876E-2</v>
      </c>
    </row>
    <row r="167" spans="1:14" x14ac:dyDescent="0.25">
      <c r="A167" s="1">
        <v>45427</v>
      </c>
      <c r="B167" s="2">
        <f t="shared" si="29"/>
        <v>160</v>
      </c>
      <c r="C167" s="3">
        <f>+VLOOKUP(A167,Precios!$B:$H,1+$C$3,0)</f>
        <v>254.46</v>
      </c>
      <c r="D167" s="10">
        <f t="shared" si="22"/>
        <v>1.6579441492549307E-2</v>
      </c>
      <c r="E167" s="38">
        <f t="shared" si="23"/>
        <v>2.7487788020486562E-4</v>
      </c>
      <c r="F167" s="27">
        <f t="shared" si="24"/>
        <v>1.9932048601535411E-8</v>
      </c>
      <c r="G167" s="28">
        <f t="shared" si="25"/>
        <v>5.4788792677304098E-12</v>
      </c>
      <c r="I167" s="21">
        <f t="shared" si="20"/>
        <v>1.0113812564244127E-3</v>
      </c>
      <c r="J167" s="47">
        <f t="shared" si="21"/>
        <v>3.1802220935406585E-2</v>
      </c>
      <c r="K167" s="44">
        <f t="shared" si="26"/>
        <v>5.4243722318279184E-7</v>
      </c>
      <c r="L167" s="13"/>
      <c r="M167" s="10">
        <f t="shared" si="27"/>
        <v>-6.3604441870813169E-2</v>
      </c>
      <c r="N167" s="10">
        <f t="shared" si="28"/>
        <v>6.3604441870813169E-2</v>
      </c>
    </row>
    <row r="168" spans="1:14" x14ac:dyDescent="0.25">
      <c r="A168" s="1">
        <v>45426</v>
      </c>
      <c r="B168" s="2">
        <f t="shared" si="29"/>
        <v>161</v>
      </c>
      <c r="C168" s="3">
        <f>+VLOOKUP(A168,Precios!$B:$H,1+$C$3,0)</f>
        <v>250.31</v>
      </c>
      <c r="D168" s="10">
        <f t="shared" si="22"/>
        <v>-5.0085463290534538E-3</v>
      </c>
      <c r="E168" s="38">
        <f t="shared" si="23"/>
        <v>2.5085536330274827E-5</v>
      </c>
      <c r="F168" s="27">
        <f t="shared" si="24"/>
        <v>1.7828772631804338E-8</v>
      </c>
      <c r="G168" s="28">
        <f t="shared" si="25"/>
        <v>4.4724432357933723E-13</v>
      </c>
      <c r="I168" s="21">
        <f t="shared" si="20"/>
        <v>1.1277354289725575E-3</v>
      </c>
      <c r="J168" s="47">
        <f t="shared" si="21"/>
        <v>3.3581772272656449E-2</v>
      </c>
      <c r="K168" s="44">
        <f t="shared" si="26"/>
        <v>1.2158367857440373E-6</v>
      </c>
      <c r="L168" s="13"/>
      <c r="M168" s="10">
        <f t="shared" si="27"/>
        <v>-6.7163544545312898E-2</v>
      </c>
      <c r="N168" s="10">
        <f t="shared" si="28"/>
        <v>6.7163544545312898E-2</v>
      </c>
    </row>
    <row r="169" spans="1:14" x14ac:dyDescent="0.25">
      <c r="A169" s="1">
        <v>45425</v>
      </c>
      <c r="B169" s="2">
        <f t="shared" si="29"/>
        <v>162</v>
      </c>
      <c r="C169" s="3">
        <f>+VLOOKUP(A169,Precios!$B:$H,1+$C$3,0)</f>
        <v>251.57</v>
      </c>
      <c r="D169" s="10">
        <f t="shared" si="22"/>
        <v>-8.3406148224640653E-4</v>
      </c>
      <c r="E169" s="38">
        <f t="shared" si="23"/>
        <v>6.9565855616707267E-7</v>
      </c>
      <c r="F169" s="27">
        <f t="shared" si="24"/>
        <v>1.5947439217667246E-8</v>
      </c>
      <c r="G169" s="28">
        <f t="shared" si="25"/>
        <v>1.1093972540724548E-14</v>
      </c>
      <c r="I169" s="21">
        <f t="shared" si="20"/>
        <v>1.2606933007791325E-3</v>
      </c>
      <c r="J169" s="47">
        <f t="shared" si="21"/>
        <v>3.5506243123979375E-2</v>
      </c>
      <c r="K169" s="44">
        <f t="shared" si="26"/>
        <v>1.5875940584074321E-6</v>
      </c>
      <c r="L169" s="13"/>
      <c r="M169" s="10">
        <f t="shared" si="27"/>
        <v>-7.101248624795875E-2</v>
      </c>
      <c r="N169" s="10">
        <f t="shared" si="28"/>
        <v>7.101248624795875E-2</v>
      </c>
    </row>
    <row r="170" spans="1:14" x14ac:dyDescent="0.25">
      <c r="A170" s="1">
        <v>45422</v>
      </c>
      <c r="B170" s="2">
        <f t="shared" si="29"/>
        <v>163</v>
      </c>
      <c r="C170" s="3">
        <f>+VLOOKUP(A170,Precios!$B:$H,1+$C$3,0)</f>
        <v>251.78</v>
      </c>
      <c r="D170" s="10">
        <f t="shared" si="22"/>
        <v>-6.157732691244977E-3</v>
      </c>
      <c r="E170" s="38">
        <f t="shared" si="23"/>
        <v>3.7917671896827106E-5</v>
      </c>
      <c r="F170" s="27">
        <f t="shared" si="24"/>
        <v>1.4264628466208282E-8</v>
      </c>
      <c r="G170" s="28">
        <f t="shared" si="25"/>
        <v>5.4088150191182571E-13</v>
      </c>
      <c r="I170" s="21">
        <f t="shared" si="20"/>
        <v>1.404945215911704E-3</v>
      </c>
      <c r="J170" s="47">
        <f t="shared" si="21"/>
        <v>3.7482598841485151E-2</v>
      </c>
      <c r="K170" s="44">
        <f t="shared" si="26"/>
        <v>1.868764306095346E-6</v>
      </c>
      <c r="L170" s="13"/>
      <c r="M170" s="10">
        <f t="shared" si="27"/>
        <v>-7.4965197682970303E-2</v>
      </c>
      <c r="N170" s="10">
        <f t="shared" si="28"/>
        <v>7.4965197682970303E-2</v>
      </c>
    </row>
    <row r="171" spans="1:14" x14ac:dyDescent="0.25">
      <c r="A171" s="1">
        <v>45421</v>
      </c>
      <c r="B171" s="2">
        <f t="shared" si="29"/>
        <v>164</v>
      </c>
      <c r="C171" s="3">
        <f>+VLOOKUP(A171,Precios!$B:$H,1+$C$3,0)</f>
        <v>253.34</v>
      </c>
      <c r="D171" s="10">
        <f t="shared" si="22"/>
        <v>-5.7299843014129159E-3</v>
      </c>
      <c r="E171" s="38">
        <f t="shared" si="23"/>
        <v>3.2832720094438464E-5</v>
      </c>
      <c r="F171" s="27">
        <f t="shared" si="24"/>
        <v>1.2759391805897987E-8</v>
      </c>
      <c r="G171" s="28">
        <f t="shared" si="25"/>
        <v>4.1892553973832036E-13</v>
      </c>
      <c r="I171" s="21">
        <f t="shared" si="20"/>
        <v>1.5668145324271904E-3</v>
      </c>
      <c r="J171" s="47">
        <f t="shared" si="21"/>
        <v>3.9583008127568958E-2</v>
      </c>
      <c r="K171" s="44">
        <f t="shared" si="26"/>
        <v>2.3531002005676741E-6</v>
      </c>
      <c r="L171" s="13"/>
      <c r="M171" s="10">
        <f t="shared" si="27"/>
        <v>-7.9166016255137917E-2</v>
      </c>
      <c r="N171" s="10">
        <f t="shared" si="28"/>
        <v>7.9166016255137917E-2</v>
      </c>
    </row>
    <row r="172" spans="1:14" x14ac:dyDescent="0.25">
      <c r="A172" s="1">
        <v>45420</v>
      </c>
      <c r="B172" s="2">
        <f t="shared" si="29"/>
        <v>165</v>
      </c>
      <c r="C172" s="3">
        <f>+VLOOKUP(A172,Precios!$B:$H,1+$C$3,0)</f>
        <v>254.8</v>
      </c>
      <c r="D172" s="10">
        <f t="shared" si="22"/>
        <v>1.5584519111961459E-2</v>
      </c>
      <c r="E172" s="38">
        <f t="shared" si="23"/>
        <v>2.4287723595109198E-4</v>
      </c>
      <c r="F172" s="27">
        <f t="shared" si="24"/>
        <v>1.1412991207032223E-8</v>
      </c>
      <c r="G172" s="28">
        <f t="shared" si="25"/>
        <v>2.7719557582981032E-12</v>
      </c>
      <c r="I172" s="21">
        <f t="shared" si="20"/>
        <v>1.7230005783550803E-3</v>
      </c>
      <c r="J172" s="47">
        <f t="shared" si="21"/>
        <v>4.1509042127650699E-2</v>
      </c>
      <c r="K172" s="44">
        <f t="shared" si="26"/>
        <v>2.1907651087291538E-6</v>
      </c>
      <c r="L172" s="13"/>
      <c r="M172" s="10">
        <f t="shared" si="27"/>
        <v>-8.3018084255301397E-2</v>
      </c>
      <c r="N172" s="10">
        <f t="shared" si="28"/>
        <v>8.3018084255301397E-2</v>
      </c>
    </row>
    <row r="173" spans="1:14" x14ac:dyDescent="0.25">
      <c r="A173" s="1">
        <v>45419</v>
      </c>
      <c r="B173" s="2">
        <f t="shared" si="29"/>
        <v>166</v>
      </c>
      <c r="C173" s="3">
        <f>+VLOOKUP(A173,Precios!$B:$H,1+$C$3,0)</f>
        <v>250.89</v>
      </c>
      <c r="D173" s="10">
        <f t="shared" si="22"/>
        <v>2.7978736160516604E-3</v>
      </c>
      <c r="E173" s="38">
        <f t="shared" si="23"/>
        <v>7.8280967713979936E-6</v>
      </c>
      <c r="F173" s="27">
        <f t="shared" si="24"/>
        <v>1.0208665920234873E-8</v>
      </c>
      <c r="G173" s="28">
        <f t="shared" si="25"/>
        <v>7.9914424730471335E-14</v>
      </c>
      <c r="I173" s="21">
        <f t="shared" si="20"/>
        <v>1.9253409827654023E-3</v>
      </c>
      <c r="J173" s="47">
        <f t="shared" si="21"/>
        <v>4.3878707624147299E-2</v>
      </c>
      <c r="K173" s="44">
        <f t="shared" si="26"/>
        <v>3.6768556679530549E-6</v>
      </c>
      <c r="L173" s="13"/>
      <c r="M173" s="10">
        <f t="shared" si="27"/>
        <v>-8.7757415248294598E-2</v>
      </c>
      <c r="N173" s="10">
        <f t="shared" si="28"/>
        <v>8.7757415248294598E-2</v>
      </c>
    </row>
    <row r="174" spans="1:14" x14ac:dyDescent="0.25">
      <c r="A174" s="1">
        <v>45418</v>
      </c>
      <c r="B174" s="2">
        <f t="shared" si="29"/>
        <v>167</v>
      </c>
      <c r="C174" s="3">
        <f>+VLOOKUP(A174,Precios!$B:$H,1+$C$3,0)</f>
        <v>250.19</v>
      </c>
      <c r="D174" s="10">
        <f t="shared" si="22"/>
        <v>-1.4689666036546867E-2</v>
      </c>
      <c r="E174" s="38">
        <f t="shared" si="23"/>
        <v>2.1578628826527852E-4</v>
      </c>
      <c r="F174" s="27">
        <f t="shared" si="24"/>
        <v>9.1314238292543924E-9</v>
      </c>
      <c r="G174" s="28">
        <f t="shared" si="25"/>
        <v>1.9704360546919219E-12</v>
      </c>
      <c r="I174" s="21">
        <f t="shared" si="20"/>
        <v>2.1270186518983201E-3</v>
      </c>
      <c r="J174" s="47">
        <f t="shared" si="21"/>
        <v>4.6119612443062875E-2</v>
      </c>
      <c r="K174" s="44">
        <f t="shared" si="26"/>
        <v>3.6528091477983428E-6</v>
      </c>
      <c r="L174" s="13"/>
      <c r="M174" s="10">
        <f t="shared" si="27"/>
        <v>-9.2239224886125751E-2</v>
      </c>
      <c r="N174" s="10">
        <f t="shared" si="28"/>
        <v>9.2239224886125751E-2</v>
      </c>
    </row>
    <row r="175" spans="1:14" x14ac:dyDescent="0.25">
      <c r="A175" s="1">
        <v>45415</v>
      </c>
      <c r="B175" s="2">
        <f t="shared" si="29"/>
        <v>168</v>
      </c>
      <c r="C175" s="3">
        <f>+VLOOKUP(A175,Precios!$B:$H,1+$C$3,0)</f>
        <v>253.92</v>
      </c>
      <c r="D175" s="10">
        <f t="shared" si="22"/>
        <v>1.7266936420816448E-2</v>
      </c>
      <c r="E175" s="38">
        <f t="shared" si="23"/>
        <v>2.9814709336051752E-4</v>
      </c>
      <c r="F175" s="27">
        <f t="shared" si="24"/>
        <v>8.1678548206969398E-9</v>
      </c>
      <c r="G175" s="28">
        <f t="shared" si="25"/>
        <v>2.4352221737814836E-12</v>
      </c>
      <c r="I175" s="21">
        <f t="shared" si="20"/>
        <v>2.3427722363001582E-3</v>
      </c>
      <c r="J175" s="47">
        <f t="shared" si="21"/>
        <v>4.8402192474103468E-2</v>
      </c>
      <c r="K175" s="44">
        <f t="shared" si="26"/>
        <v>4.1804919751409457E-6</v>
      </c>
      <c r="L175" s="13"/>
      <c r="M175" s="10">
        <f t="shared" si="27"/>
        <v>-9.6804384948206937E-2</v>
      </c>
      <c r="N175" s="10">
        <f t="shared" si="28"/>
        <v>9.6804384948206937E-2</v>
      </c>
    </row>
    <row r="176" spans="1:14" x14ac:dyDescent="0.25">
      <c r="A176" s="1">
        <v>45414</v>
      </c>
      <c r="B176" s="2">
        <f t="shared" si="29"/>
        <v>169</v>
      </c>
      <c r="C176" s="3">
        <f>+VLOOKUP(A176,Precios!$B:$H,1+$C$3,0)</f>
        <v>249.61</v>
      </c>
      <c r="D176" s="10">
        <f t="shared" si="22"/>
        <v>4.0223643457624192E-3</v>
      </c>
      <c r="E176" s="38">
        <f t="shared" si="23"/>
        <v>1.6179414930060734E-5</v>
      </c>
      <c r="F176" s="27">
        <f t="shared" si="24"/>
        <v>7.3059638474178253E-9</v>
      </c>
      <c r="G176" s="28">
        <f t="shared" si="25"/>
        <v>1.1820622055139593E-13</v>
      </c>
      <c r="I176" s="21">
        <f t="shared" si="20"/>
        <v>2.6172424353203194E-3</v>
      </c>
      <c r="J176" s="47">
        <f t="shared" si="21"/>
        <v>5.1158991734790077E-2</v>
      </c>
      <c r="K176" s="44">
        <f t="shared" si="26"/>
        <v>6.7655288360416959E-6</v>
      </c>
      <c r="L176" s="13"/>
      <c r="M176" s="10">
        <f t="shared" si="27"/>
        <v>-0.10231798346958015</v>
      </c>
      <c r="N176" s="10">
        <f t="shared" si="28"/>
        <v>0.10231798346958015</v>
      </c>
    </row>
    <row r="177" spans="1:14" x14ac:dyDescent="0.25">
      <c r="A177" s="1">
        <v>45412</v>
      </c>
      <c r="B177" s="2">
        <f t="shared" si="29"/>
        <v>170</v>
      </c>
      <c r="C177" s="3">
        <f>+VLOOKUP(A177,Precios!$B:$H,1+$C$3,0)</f>
        <v>248.61</v>
      </c>
      <c r="D177" s="10">
        <f t="shared" si="22"/>
        <v>-0.12387228643924431</v>
      </c>
      <c r="E177" s="38">
        <f t="shared" si="23"/>
        <v>1.5344343347686189E-2</v>
      </c>
      <c r="F177" s="27">
        <f t="shared" si="24"/>
        <v>6.5350216074508738E-9</v>
      </c>
      <c r="G177" s="28">
        <f t="shared" si="25"/>
        <v>1.0027561532927432E-10</v>
      </c>
      <c r="I177" s="21">
        <f t="shared" si="20"/>
        <v>1.1158151600871591E-3</v>
      </c>
      <c r="J177" s="47">
        <f t="shared" si="21"/>
        <v>3.3403819543386934E-2</v>
      </c>
      <c r="K177" s="44">
        <f t="shared" si="26"/>
        <v>2.0245101438530011E-4</v>
      </c>
      <c r="L177" s="13"/>
      <c r="M177" s="10">
        <f t="shared" si="27"/>
        <v>-6.6807639086773868E-2</v>
      </c>
      <c r="N177" s="10">
        <f t="shared" si="28"/>
        <v>6.6807639086773868E-2</v>
      </c>
    </row>
    <row r="178" spans="1:14" x14ac:dyDescent="0.25">
      <c r="A178" s="1">
        <v>45411</v>
      </c>
      <c r="B178" s="2">
        <f t="shared" si="29"/>
        <v>171</v>
      </c>
      <c r="C178" s="3">
        <f>+VLOOKUP(A178,Precios!$B:$H,1+$C$3,0)</f>
        <v>283.76</v>
      </c>
      <c r="D178" s="10">
        <f t="shared" si="22"/>
        <v>-1.6974987875008729E-2</v>
      </c>
      <c r="E178" s="38">
        <f t="shared" si="23"/>
        <v>2.8815021335669335E-4</v>
      </c>
      <c r="F178" s="27">
        <f t="shared" si="24"/>
        <v>5.845430979643256E-9</v>
      </c>
      <c r="G178" s="28">
        <f t="shared" si="25"/>
        <v>1.6843621839460294E-12</v>
      </c>
      <c r="I178" s="21">
        <f t="shared" si="20"/>
        <v>1.2134555209464112E-3</v>
      </c>
      <c r="J178" s="47">
        <f t="shared" si="21"/>
        <v>3.4834688472073515E-2</v>
      </c>
      <c r="K178" s="44">
        <f t="shared" si="26"/>
        <v>8.5618991225370245E-7</v>
      </c>
      <c r="L178" s="13"/>
      <c r="M178" s="10">
        <f t="shared" si="27"/>
        <v>-6.966937694414703E-2</v>
      </c>
      <c r="N178" s="10">
        <f t="shared" si="28"/>
        <v>6.966937694414703E-2</v>
      </c>
    </row>
    <row r="179" spans="1:14" x14ac:dyDescent="0.25">
      <c r="A179" s="1">
        <v>45408</v>
      </c>
      <c r="B179" s="2">
        <f t="shared" si="29"/>
        <v>172</v>
      </c>
      <c r="C179" s="3">
        <f>+VLOOKUP(A179,Precios!$B:$H,1+$C$3,0)</f>
        <v>288.66000000000003</v>
      </c>
      <c r="D179" s="10">
        <f t="shared" si="22"/>
        <v>1.3090934615519689E-2</v>
      </c>
      <c r="E179" s="38">
        <f t="shared" si="23"/>
        <v>1.7137256910781164E-4</v>
      </c>
      <c r="F179" s="27">
        <f t="shared" si="24"/>
        <v>5.2286075533117481E-9</v>
      </c>
      <c r="G179" s="28">
        <f t="shared" si="25"/>
        <v>8.960399092675435E-13</v>
      </c>
      <c r="I179" s="21">
        <f t="shared" si="20"/>
        <v>1.3363909622318461E-3</v>
      </c>
      <c r="J179" s="47">
        <f t="shared" si="21"/>
        <v>3.6556681499171205E-2</v>
      </c>
      <c r="K179" s="44">
        <f t="shared" si="26"/>
        <v>1.3572678563173074E-6</v>
      </c>
      <c r="L179" s="13"/>
      <c r="M179" s="10">
        <f t="shared" si="27"/>
        <v>-7.311336299834241E-2</v>
      </c>
      <c r="N179" s="10">
        <f t="shared" si="28"/>
        <v>7.311336299834241E-2</v>
      </c>
    </row>
    <row r="180" spans="1:14" x14ac:dyDescent="0.25">
      <c r="A180" s="1">
        <v>45407</v>
      </c>
      <c r="B180" s="2">
        <f t="shared" si="29"/>
        <v>173</v>
      </c>
      <c r="C180" s="3">
        <f>+VLOOKUP(A180,Precios!$B:$H,1+$C$3,0)</f>
        <v>284.93</v>
      </c>
      <c r="D180" s="10">
        <f t="shared" si="22"/>
        <v>9.3520847355554881E-3</v>
      </c>
      <c r="E180" s="38">
        <f t="shared" si="23"/>
        <v>8.7461488901009962E-5</v>
      </c>
      <c r="F180" s="27">
        <f t="shared" si="24"/>
        <v>4.6768727646865664E-9</v>
      </c>
      <c r="G180" s="28">
        <f t="shared" si="25"/>
        <v>4.0904625540006992E-13</v>
      </c>
      <c r="I180" s="21">
        <f t="shared" si="20"/>
        <v>1.4837282693698408E-3</v>
      </c>
      <c r="J180" s="47">
        <f t="shared" si="21"/>
        <v>3.8519193519203396E-2</v>
      </c>
      <c r="K180" s="44">
        <f t="shared" si="26"/>
        <v>1.9495609222407939E-6</v>
      </c>
      <c r="L180" s="13"/>
      <c r="M180" s="10">
        <f t="shared" si="27"/>
        <v>-7.7038387038406791E-2</v>
      </c>
      <c r="N180" s="10">
        <f t="shared" si="28"/>
        <v>7.7038387038406791E-2</v>
      </c>
    </row>
    <row r="181" spans="1:14" x14ac:dyDescent="0.25">
      <c r="A181" s="1">
        <v>45406</v>
      </c>
      <c r="B181" s="2">
        <f t="shared" si="29"/>
        <v>174</v>
      </c>
      <c r="C181" s="3">
        <f>+VLOOKUP(A181,Precios!$B:$H,1+$C$3,0)</f>
        <v>282.29000000000002</v>
      </c>
      <c r="D181" s="10">
        <f t="shared" si="22"/>
        <v>3.9972001178897765E-2</v>
      </c>
      <c r="E181" s="38">
        <f t="shared" si="23"/>
        <v>1.5977608782458044E-3</v>
      </c>
      <c r="F181" s="27">
        <f t="shared" si="24"/>
        <v>4.183358309845371E-9</v>
      </c>
      <c r="G181" s="28">
        <f t="shared" si="25"/>
        <v>6.6840062471554234E-12</v>
      </c>
      <c r="I181" s="21">
        <f t="shared" si="20"/>
        <v>1.4702757423245012E-3</v>
      </c>
      <c r="J181" s="47">
        <f t="shared" si="21"/>
        <v>3.8344174816059104E-2</v>
      </c>
      <c r="K181" s="44">
        <f t="shared" si="26"/>
        <v>1.6252459880873144E-8</v>
      </c>
      <c r="L181" s="13"/>
      <c r="M181" s="10">
        <f t="shared" si="27"/>
        <v>-7.6688349632118208E-2</v>
      </c>
      <c r="N181" s="10">
        <f t="shared" si="28"/>
        <v>7.6688349632118208E-2</v>
      </c>
    </row>
    <row r="182" spans="1:14" x14ac:dyDescent="0.25">
      <c r="A182" s="1">
        <v>45405</v>
      </c>
      <c r="B182" s="2">
        <f t="shared" si="29"/>
        <v>175</v>
      </c>
      <c r="C182" s="3">
        <f>+VLOOKUP(A182,Precios!$B:$H,1+$C$3,0)</f>
        <v>271.44</v>
      </c>
      <c r="D182" s="10">
        <f t="shared" si="22"/>
        <v>-1.0101746836366221E-2</v>
      </c>
      <c r="E182" s="38">
        <f t="shared" si="23"/>
        <v>1.0204528914603496E-4</v>
      </c>
      <c r="F182" s="27">
        <f t="shared" si="24"/>
        <v>3.7419206442160198E-9</v>
      </c>
      <c r="G182" s="28">
        <f t="shared" si="25"/>
        <v>3.8184537410054114E-13</v>
      </c>
      <c r="I182" s="21">
        <f t="shared" si="20"/>
        <v>1.6316870908595618E-3</v>
      </c>
      <c r="J182" s="47">
        <f t="shared" si="21"/>
        <v>4.0394146740085519E-2</v>
      </c>
      <c r="K182" s="44">
        <f t="shared" si="26"/>
        <v>2.3398040415494044E-6</v>
      </c>
      <c r="L182" s="13"/>
      <c r="M182" s="10">
        <f t="shared" si="27"/>
        <v>-8.0788293480171039E-2</v>
      </c>
      <c r="N182" s="10">
        <f t="shared" si="28"/>
        <v>8.0788293480171039E-2</v>
      </c>
    </row>
    <row r="183" spans="1:14" x14ac:dyDescent="0.25">
      <c r="A183" s="1">
        <v>45404</v>
      </c>
      <c r="B183" s="2">
        <f t="shared" si="29"/>
        <v>176</v>
      </c>
      <c r="C183" s="3">
        <f>+VLOOKUP(A183,Precios!$B:$H,1+$C$3,0)</f>
        <v>274.20999999999998</v>
      </c>
      <c r="D183" s="10">
        <f t="shared" si="22"/>
        <v>-7.323915100716516E-2</v>
      </c>
      <c r="E183" s="38">
        <f t="shared" si="23"/>
        <v>5.3639732402503415E-3</v>
      </c>
      <c r="F183" s="27">
        <f t="shared" si="24"/>
        <v>3.3470645042899973E-9</v>
      </c>
      <c r="G183" s="28">
        <f t="shared" si="25"/>
        <v>1.795356443440332E-11</v>
      </c>
      <c r="I183" s="21">
        <f t="shared" si="20"/>
        <v>1.1913860150485295E-3</v>
      </c>
      <c r="J183" s="47">
        <f t="shared" si="21"/>
        <v>3.451646005963719E-2</v>
      </c>
      <c r="K183" s="44">
        <f t="shared" si="26"/>
        <v>1.741048415191736E-5</v>
      </c>
      <c r="L183" s="13"/>
      <c r="M183" s="10">
        <f t="shared" si="27"/>
        <v>-6.903292011927438E-2</v>
      </c>
      <c r="N183" s="10">
        <f t="shared" si="28"/>
        <v>6.903292011927438E-2</v>
      </c>
    </row>
    <row r="184" spans="1:14" x14ac:dyDescent="0.25">
      <c r="A184" s="1">
        <v>45401</v>
      </c>
      <c r="B184" s="2">
        <f t="shared" si="29"/>
        <v>177</v>
      </c>
      <c r="C184" s="3">
        <f>+VLOOKUP(A184,Precios!$B:$H,1+$C$3,0)</f>
        <v>295.88</v>
      </c>
      <c r="D184" s="10">
        <f t="shared" si="22"/>
        <v>-3.656670248445193E-2</v>
      </c>
      <c r="E184" s="38">
        <f t="shared" si="23"/>
        <v>1.3371237305864229E-3</v>
      </c>
      <c r="F184" s="27">
        <f t="shared" si="24"/>
        <v>2.9938744995018937E-9</v>
      </c>
      <c r="G184" s="28">
        <f t="shared" si="25"/>
        <v>4.0031806396815316E-12</v>
      </c>
      <c r="I184" s="21">
        <f t="shared" si="20"/>
        <v>1.1741932087177367E-3</v>
      </c>
      <c r="J184" s="47">
        <f t="shared" si="21"/>
        <v>3.4266502720845859E-2</v>
      </c>
      <c r="K184" s="44">
        <f t="shared" si="26"/>
        <v>2.6546354956402439E-8</v>
      </c>
      <c r="L184" s="13"/>
      <c r="M184" s="10">
        <f t="shared" si="27"/>
        <v>-6.8533005441691719E-2</v>
      </c>
      <c r="N184" s="10">
        <f t="shared" si="28"/>
        <v>6.8533005441691719E-2</v>
      </c>
    </row>
    <row r="185" spans="1:14" x14ac:dyDescent="0.25">
      <c r="A185" s="1">
        <v>45400</v>
      </c>
      <c r="B185" s="2">
        <f t="shared" si="29"/>
        <v>178</v>
      </c>
      <c r="C185" s="3">
        <f>+VLOOKUP(A185,Precios!$B:$H,1+$C$3,0)</f>
        <v>307.11</v>
      </c>
      <c r="D185" s="10">
        <f t="shared" si="22"/>
        <v>6.2911628821391563E-3</v>
      </c>
      <c r="E185" s="38">
        <f t="shared" si="23"/>
        <v>3.9578730409605458E-5</v>
      </c>
      <c r="F185" s="27">
        <f t="shared" si="24"/>
        <v>2.6779539226923475E-9</v>
      </c>
      <c r="G185" s="28">
        <f t="shared" si="25"/>
        <v>1.0599001635558584E-13</v>
      </c>
      <c r="I185" s="21">
        <f t="shared" si="20"/>
        <v>1.3080446754685881E-3</v>
      </c>
      <c r="J185" s="47">
        <f t="shared" si="21"/>
        <v>3.616690027454092E-2</v>
      </c>
      <c r="K185" s="44">
        <f t="shared" si="26"/>
        <v>1.6090058537743782E-6</v>
      </c>
      <c r="L185" s="13"/>
      <c r="M185" s="10">
        <f t="shared" si="27"/>
        <v>-7.2333800549081839E-2</v>
      </c>
      <c r="N185" s="10">
        <f t="shared" si="28"/>
        <v>7.2333800549081839E-2</v>
      </c>
    </row>
    <row r="186" spans="1:14" x14ac:dyDescent="0.25">
      <c r="A186" s="1">
        <v>45399</v>
      </c>
      <c r="B186" s="2">
        <f t="shared" si="29"/>
        <v>179</v>
      </c>
      <c r="C186" s="3">
        <f>+VLOOKUP(A186,Precios!$B:$H,1+$C$3,0)</f>
        <v>305.19</v>
      </c>
      <c r="D186" s="10">
        <f t="shared" si="22"/>
        <v>2.104382736701238E-2</v>
      </c>
      <c r="E186" s="38">
        <f t="shared" si="23"/>
        <v>4.4284267025261918E-4</v>
      </c>
      <c r="F186" s="27">
        <f t="shared" si="24"/>
        <v>2.3953700174327555E-9</v>
      </c>
      <c r="G186" s="28">
        <f t="shared" si="25"/>
        <v>1.0607720547629844E-12</v>
      </c>
      <c r="I186" s="21">
        <f t="shared" si="20"/>
        <v>1.4101133160932186E-3</v>
      </c>
      <c r="J186" s="47">
        <f t="shared" si="21"/>
        <v>3.755147555147758E-2</v>
      </c>
      <c r="K186" s="44">
        <f t="shared" si="26"/>
        <v>9.3561250230489027E-7</v>
      </c>
      <c r="L186" s="13"/>
      <c r="M186" s="10">
        <f t="shared" si="27"/>
        <v>-7.5102951102955159E-2</v>
      </c>
      <c r="N186" s="10">
        <f t="shared" si="28"/>
        <v>7.5102951102955159E-2</v>
      </c>
    </row>
    <row r="187" spans="1:14" x14ac:dyDescent="0.25">
      <c r="A187" s="1">
        <v>45398</v>
      </c>
      <c r="B187" s="2">
        <f t="shared" si="29"/>
        <v>180</v>
      </c>
      <c r="C187" s="3">
        <f>+VLOOKUP(A187,Precios!$B:$H,1+$C$3,0)</f>
        <v>298.89999999999998</v>
      </c>
      <c r="D187" s="10">
        <f t="shared" si="22"/>
        <v>-2.8630853725910788E-2</v>
      </c>
      <c r="E187" s="38">
        <f t="shared" si="23"/>
        <v>8.1972578507449965E-4</v>
      </c>
      <c r="F187" s="27">
        <f t="shared" si="24"/>
        <v>2.1426050208687539E-9</v>
      </c>
      <c r="G187" s="28">
        <f t="shared" si="25"/>
        <v>1.7563485828362041E-12</v>
      </c>
      <c r="I187" s="21">
        <f t="shared" si="20"/>
        <v>1.4797618517756695E-3</v>
      </c>
      <c r="J187" s="47">
        <f t="shared" si="21"/>
        <v>3.8467672814659189E-2</v>
      </c>
      <c r="K187" s="44">
        <f t="shared" si="26"/>
        <v>4.3564760934635121E-7</v>
      </c>
      <c r="L187" s="13"/>
      <c r="M187" s="10">
        <f t="shared" si="27"/>
        <v>-7.6935345629318377E-2</v>
      </c>
      <c r="N187" s="10">
        <f t="shared" si="28"/>
        <v>7.6935345629318377E-2</v>
      </c>
    </row>
    <row r="188" spans="1:14" x14ac:dyDescent="0.25">
      <c r="A188" s="1">
        <v>45397</v>
      </c>
      <c r="B188" s="2">
        <f t="shared" si="29"/>
        <v>181</v>
      </c>
      <c r="C188" s="3">
        <f>+VLOOKUP(A188,Precios!$B:$H,1+$C$3,0)</f>
        <v>307.70999999999998</v>
      </c>
      <c r="D188" s="10">
        <f t="shared" si="22"/>
        <v>-5.697211155378501E-2</v>
      </c>
      <c r="E188" s="38">
        <f t="shared" si="23"/>
        <v>3.2458214948969232E-3</v>
      </c>
      <c r="F188" s="27">
        <f t="shared" si="24"/>
        <v>1.9165123726363363E-9</v>
      </c>
      <c r="G188" s="28">
        <f t="shared" si="25"/>
        <v>6.220657054338922E-12</v>
      </c>
      <c r="I188" s="21">
        <f t="shared" si="20"/>
        <v>1.2714182442150159E-3</v>
      </c>
      <c r="J188" s="47">
        <f t="shared" si="21"/>
        <v>3.5656952256397569E-2</v>
      </c>
      <c r="K188" s="44">
        <f t="shared" si="26"/>
        <v>3.8982681963032817E-6</v>
      </c>
      <c r="L188" s="13"/>
      <c r="M188" s="10">
        <f t="shared" si="27"/>
        <v>-7.1313904512795137E-2</v>
      </c>
      <c r="N188" s="10">
        <f t="shared" si="28"/>
        <v>7.1313904512795137E-2</v>
      </c>
    </row>
    <row r="189" spans="1:14" x14ac:dyDescent="0.25">
      <c r="A189" s="1">
        <v>45394</v>
      </c>
      <c r="B189" s="2">
        <f t="shared" si="29"/>
        <v>182</v>
      </c>
      <c r="C189" s="3">
        <f>+VLOOKUP(A189,Precios!$B:$H,1+$C$3,0)</f>
        <v>326.3</v>
      </c>
      <c r="D189" s="10">
        <f t="shared" si="22"/>
        <v>2.8688524590164022E-2</v>
      </c>
      <c r="E189" s="38">
        <f t="shared" si="23"/>
        <v>8.2303144316044573E-4</v>
      </c>
      <c r="F189" s="27">
        <f t="shared" si="24"/>
        <v>1.7142775447146458E-9</v>
      </c>
      <c r="G189" s="28">
        <f t="shared" si="25"/>
        <v>1.4109043216040405E-12</v>
      </c>
      <c r="I189" s="21">
        <f t="shared" si="20"/>
        <v>1.3243148290377044E-3</v>
      </c>
      <c r="J189" s="47">
        <f t="shared" si="21"/>
        <v>3.6391136682408044E-2</v>
      </c>
      <c r="K189" s="44">
        <f t="shared" si="26"/>
        <v>2.5128503295656865E-7</v>
      </c>
      <c r="L189" s="13"/>
      <c r="M189" s="10">
        <f t="shared" si="27"/>
        <v>-7.2782273364816089E-2</v>
      </c>
      <c r="N189" s="10">
        <f t="shared" si="28"/>
        <v>7.2782273364816089E-2</v>
      </c>
    </row>
    <row r="190" spans="1:14" x14ac:dyDescent="0.25">
      <c r="A190" s="1">
        <v>45393</v>
      </c>
      <c r="B190" s="2">
        <f t="shared" si="29"/>
        <v>183</v>
      </c>
      <c r="C190" s="3">
        <f>+VLOOKUP(A190,Precios!$B:$H,1+$C$3,0)</f>
        <v>317.2</v>
      </c>
      <c r="D190" s="10">
        <f t="shared" si="22"/>
        <v>1.29423277249896E-3</v>
      </c>
      <c r="E190" s="38">
        <f t="shared" si="23"/>
        <v>1.6750384694103446E-6</v>
      </c>
      <c r="F190" s="27">
        <f t="shared" si="24"/>
        <v>1.5333830046034928E-9</v>
      </c>
      <c r="G190" s="28">
        <f t="shared" si="25"/>
        <v>2.5684755210508699E-15</v>
      </c>
      <c r="I190" s="21">
        <f t="shared" si="20"/>
        <v>1.4803478070538076E-3</v>
      </c>
      <c r="J190" s="47">
        <f t="shared" si="21"/>
        <v>3.8475288264726591E-2</v>
      </c>
      <c r="K190" s="44">
        <f t="shared" si="26"/>
        <v>2.1864731565530462E-6</v>
      </c>
      <c r="L190" s="13"/>
      <c r="M190" s="10">
        <f t="shared" si="27"/>
        <v>-7.6950576529453182E-2</v>
      </c>
      <c r="N190" s="10">
        <f t="shared" si="28"/>
        <v>7.6950576529453182E-2</v>
      </c>
    </row>
    <row r="191" spans="1:14" x14ac:dyDescent="0.25">
      <c r="A191" s="1">
        <v>45392</v>
      </c>
      <c r="B191" s="2">
        <f t="shared" si="29"/>
        <v>184</v>
      </c>
      <c r="C191" s="3">
        <f>+VLOOKUP(A191,Precios!$B:$H,1+$C$3,0)</f>
        <v>316.79000000000002</v>
      </c>
      <c r="D191" s="10">
        <f t="shared" si="22"/>
        <v>-2.6280199176246244E-2</v>
      </c>
      <c r="E191" s="38">
        <f t="shared" si="23"/>
        <v>6.9064886874317373E-4</v>
      </c>
      <c r="F191" s="27">
        <f t="shared" si="24"/>
        <v>1.3715768756675986E-9</v>
      </c>
      <c r="G191" s="28">
        <f t="shared" si="25"/>
        <v>9.4727801757412363E-13</v>
      </c>
      <c r="I191" s="21">
        <f t="shared" si="20"/>
        <v>1.5735092845471014E-3</v>
      </c>
      <c r="J191" s="47">
        <f t="shared" si="21"/>
        <v>3.9667483970465045E-2</v>
      </c>
      <c r="K191" s="44">
        <f t="shared" si="26"/>
        <v>7.7944251379348411E-7</v>
      </c>
      <c r="L191" s="13"/>
      <c r="M191" s="10">
        <f t="shared" si="27"/>
        <v>-7.933496794093009E-2</v>
      </c>
      <c r="N191" s="10">
        <f t="shared" si="28"/>
        <v>7.933496794093009E-2</v>
      </c>
    </row>
    <row r="192" spans="1:14" x14ac:dyDescent="0.25">
      <c r="A192" s="1">
        <v>45391</v>
      </c>
      <c r="B192" s="2">
        <f t="shared" si="29"/>
        <v>185</v>
      </c>
      <c r="C192" s="3">
        <f>+VLOOKUP(A192,Precios!$B:$H,1+$C$3,0)</f>
        <v>325.33999999999997</v>
      </c>
      <c r="D192" s="10">
        <f t="shared" si="22"/>
        <v>1.767337107823197E-2</v>
      </c>
      <c r="E192" s="38">
        <f t="shared" si="23"/>
        <v>3.1234804526888624E-4</v>
      </c>
      <c r="F192" s="27">
        <f t="shared" si="24"/>
        <v>1.2268449045139533E-9</v>
      </c>
      <c r="G192" s="28">
        <f t="shared" si="25"/>
        <v>3.8320260777302673E-13</v>
      </c>
      <c r="I192" s="21">
        <f t="shared" si="20"/>
        <v>1.7222895838593644E-3</v>
      </c>
      <c r="J192" s="47">
        <f t="shared" si="21"/>
        <v>4.1500476911227956E-2</v>
      </c>
      <c r="K192" s="44">
        <f t="shared" si="26"/>
        <v>1.9879351422428853E-6</v>
      </c>
      <c r="L192" s="13"/>
      <c r="M192" s="10">
        <f t="shared" si="27"/>
        <v>-8.3000953822455911E-2</v>
      </c>
      <c r="N192" s="10">
        <f t="shared" si="28"/>
        <v>8.3000953822455911E-2</v>
      </c>
    </row>
    <row r="193" spans="1:14" x14ac:dyDescent="0.25">
      <c r="A193" s="1">
        <v>45390</v>
      </c>
      <c r="B193" s="2">
        <f t="shared" si="29"/>
        <v>186</v>
      </c>
      <c r="C193" s="3">
        <f>+VLOOKUP(A193,Precios!$B:$H,1+$C$3,0)</f>
        <v>319.69</v>
      </c>
      <c r="D193" s="10">
        <f t="shared" si="22"/>
        <v>3.0992002063983559E-2</v>
      </c>
      <c r="E193" s="38">
        <f t="shared" si="23"/>
        <v>9.6050419193396117E-4</v>
      </c>
      <c r="F193" s="27">
        <f t="shared" si="24"/>
        <v>1.097385386436497E-9</v>
      </c>
      <c r="G193" s="28">
        <f t="shared" si="25"/>
        <v>1.0540432638393253E-12</v>
      </c>
      <c r="I193" s="21">
        <f t="shared" si="20"/>
        <v>1.8121580757638862E-3</v>
      </c>
      <c r="J193" s="47">
        <f t="shared" si="21"/>
        <v>4.2569450028910244E-2</v>
      </c>
      <c r="K193" s="44">
        <f t="shared" si="26"/>
        <v>7.2531433784259543E-7</v>
      </c>
      <c r="L193" s="13"/>
      <c r="M193" s="10">
        <f t="shared" si="27"/>
        <v>-8.5138900057820488E-2</v>
      </c>
      <c r="N193" s="10">
        <f t="shared" si="28"/>
        <v>8.5138900057820488E-2</v>
      </c>
    </row>
    <row r="194" spans="1:14" x14ac:dyDescent="0.25">
      <c r="A194" s="1">
        <v>45387</v>
      </c>
      <c r="B194" s="2">
        <f t="shared" si="29"/>
        <v>187</v>
      </c>
      <c r="C194" s="3">
        <f>+VLOOKUP(A194,Precios!$B:$H,1+$C$3,0)</f>
        <v>310.08</v>
      </c>
      <c r="D194" s="10">
        <f t="shared" si="22"/>
        <v>6.1699650756693813E-2</v>
      </c>
      <c r="E194" s="38">
        <f t="shared" si="23"/>
        <v>3.8068469034979874E-3</v>
      </c>
      <c r="F194" s="27">
        <f t="shared" si="24"/>
        <v>9.8158673678599725E-10</v>
      </c>
      <c r="G194" s="28">
        <f t="shared" si="25"/>
        <v>3.7367504294484679E-12</v>
      </c>
      <c r="I194" s="21">
        <f t="shared" si="20"/>
        <v>1.5768428824465329E-3</v>
      </c>
      <c r="J194" s="47">
        <f t="shared" si="21"/>
        <v>3.9709481014570475E-2</v>
      </c>
      <c r="K194" s="44">
        <f t="shared" si="26"/>
        <v>4.9729179339056569E-6</v>
      </c>
      <c r="L194" s="13"/>
      <c r="M194" s="10">
        <f t="shared" si="27"/>
        <v>-7.9418962029140949E-2</v>
      </c>
      <c r="N194" s="10">
        <f t="shared" si="28"/>
        <v>7.9418962029140949E-2</v>
      </c>
    </row>
    <row r="195" spans="1:14" x14ac:dyDescent="0.25">
      <c r="A195" s="1">
        <v>45386</v>
      </c>
      <c r="B195" s="2">
        <f t="shared" si="29"/>
        <v>188</v>
      </c>
      <c r="C195" s="3">
        <f>+VLOOKUP(A195,Precios!$B:$H,1+$C$3,0)</f>
        <v>292.06</v>
      </c>
      <c r="D195" s="10">
        <f t="shared" si="22"/>
        <v>4.1100773535807322E-2</v>
      </c>
      <c r="E195" s="38">
        <f t="shared" si="23"/>
        <v>1.6892735852417195E-3</v>
      </c>
      <c r="F195" s="27">
        <f t="shared" si="24"/>
        <v>8.7800742906096562E-10</v>
      </c>
      <c r="G195" s="28">
        <f t="shared" si="25"/>
        <v>1.4831947575586821E-12</v>
      </c>
      <c r="I195" s="21">
        <f t="shared" si="20"/>
        <v>1.5635793336687975E-3</v>
      </c>
      <c r="J195" s="47">
        <f t="shared" si="21"/>
        <v>3.9542121006197903E-2</v>
      </c>
      <c r="K195" s="44">
        <f t="shared" si="26"/>
        <v>1.5799044878476999E-8</v>
      </c>
      <c r="L195" s="13"/>
      <c r="M195" s="10">
        <f t="shared" si="27"/>
        <v>-7.9084242012395806E-2</v>
      </c>
      <c r="N195" s="10">
        <f t="shared" si="28"/>
        <v>7.9084242012395806E-2</v>
      </c>
    </row>
    <row r="196" spans="1:14" x14ac:dyDescent="0.25">
      <c r="A196" s="1">
        <v>45385</v>
      </c>
      <c r="B196" s="2">
        <f t="shared" si="29"/>
        <v>189</v>
      </c>
      <c r="C196" s="3">
        <f>+VLOOKUP(A196,Precios!$B:$H,1+$C$3,0)</f>
        <v>280.52999999999997</v>
      </c>
      <c r="D196" s="10">
        <f t="shared" si="22"/>
        <v>6.5519598906107479E-2</v>
      </c>
      <c r="E196" s="38">
        <f t="shared" si="23"/>
        <v>4.2928178408172006E-3</v>
      </c>
      <c r="F196" s="27">
        <f t="shared" si="24"/>
        <v>7.8535804997772192E-10</v>
      </c>
      <c r="G196" s="28">
        <f t="shared" si="25"/>
        <v>3.3713990483737712E-12</v>
      </c>
      <c r="I196" s="21">
        <f t="shared" si="20"/>
        <v>1.241608669378095E-3</v>
      </c>
      <c r="J196" s="47">
        <f t="shared" si="21"/>
        <v>3.5236467890214181E-2</v>
      </c>
      <c r="K196" s="44">
        <f t="shared" si="26"/>
        <v>9.3098774078741138E-6</v>
      </c>
      <c r="L196" s="13"/>
      <c r="M196" s="10">
        <f t="shared" si="27"/>
        <v>-7.0472935780428361E-2</v>
      </c>
      <c r="N196" s="10">
        <f t="shared" si="28"/>
        <v>7.0472935780428361E-2</v>
      </c>
    </row>
    <row r="197" spans="1:14" x14ac:dyDescent="0.25">
      <c r="A197" s="1">
        <v>45384</v>
      </c>
      <c r="B197" s="2">
        <f t="shared" si="29"/>
        <v>190</v>
      </c>
      <c r="C197" s="3">
        <f>+VLOOKUP(A197,Precios!$B:$H,1+$C$3,0)</f>
        <v>263.27999999999997</v>
      </c>
      <c r="D197" s="10">
        <f t="shared" si="22"/>
        <v>2.0860798759208876E-2</v>
      </c>
      <c r="E197" s="38">
        <f t="shared" si="23"/>
        <v>4.3517292487221061E-4</v>
      </c>
      <c r="F197" s="27">
        <f t="shared" si="24"/>
        <v>7.0248524813106425E-10</v>
      </c>
      <c r="G197" s="28">
        <f t="shared" si="25"/>
        <v>3.0570256010877586E-13</v>
      </c>
      <c r="I197" s="21">
        <f t="shared" si="20"/>
        <v>1.3367446026013208E-3</v>
      </c>
      <c r="J197" s="47">
        <f t="shared" si="21"/>
        <v>3.6561518056575835E-2</v>
      </c>
      <c r="K197" s="44">
        <f t="shared" si="26"/>
        <v>8.1283149008328246E-7</v>
      </c>
      <c r="L197" s="13"/>
      <c r="M197" s="10">
        <f t="shared" si="27"/>
        <v>-7.3123036113151671E-2</v>
      </c>
      <c r="N197" s="10">
        <f t="shared" si="28"/>
        <v>7.3123036113151671E-2</v>
      </c>
    </row>
    <row r="198" spans="1:14" x14ac:dyDescent="0.25">
      <c r="A198" s="1">
        <v>45383</v>
      </c>
      <c r="B198" s="2">
        <f t="shared" si="29"/>
        <v>191</v>
      </c>
      <c r="C198" s="3">
        <f>+VLOOKUP(A198,Precios!$B:$H,1+$C$3,0)</f>
        <v>257.89999999999998</v>
      </c>
      <c r="D198" s="10">
        <f t="shared" si="22"/>
        <v>9.7586925990551965E-2</v>
      </c>
      <c r="E198" s="38">
        <f t="shared" si="23"/>
        <v>9.5232081242854674E-3</v>
      </c>
      <c r="F198" s="27">
        <f t="shared" si="24"/>
        <v>6.283573764294661E-10</v>
      </c>
      <c r="G198" s="28">
        <f t="shared" si="25"/>
        <v>5.9839780721677932E-12</v>
      </c>
      <c r="I198" s="21">
        <f t="shared" si="20"/>
        <v>3.7098030924089215E-4</v>
      </c>
      <c r="J198" s="47">
        <f t="shared" si="21"/>
        <v>1.9260849130837719E-2</v>
      </c>
      <c r="K198" s="44">
        <f t="shared" si="26"/>
        <v>8.3763273978475612E-5</v>
      </c>
      <c r="L198" s="13"/>
      <c r="M198" s="10">
        <f t="shared" si="27"/>
        <v>-3.8521698261675438E-2</v>
      </c>
      <c r="N198" s="10">
        <f t="shared" si="28"/>
        <v>3.8521698261675438E-2</v>
      </c>
    </row>
    <row r="199" spans="1:14" x14ac:dyDescent="0.25">
      <c r="A199" s="1">
        <v>45378</v>
      </c>
      <c r="B199" s="2">
        <f t="shared" si="29"/>
        <v>192</v>
      </c>
      <c r="C199" s="3">
        <f>+VLOOKUP(A199,Precios!$B:$H,1+$C$3,0)</f>
        <v>234.97</v>
      </c>
      <c r="D199" s="10">
        <f t="shared" si="22"/>
        <v>1.9746549778665079E-2</v>
      </c>
      <c r="E199" s="38">
        <f t="shared" si="23"/>
        <v>3.8992622816129787E-4</v>
      </c>
      <c r="F199" s="27">
        <f t="shared" si="24"/>
        <v>5.6205164957379555E-10</v>
      </c>
      <c r="G199" s="28">
        <f t="shared" si="25"/>
        <v>2.1915867975014565E-13</v>
      </c>
      <c r="I199" s="21">
        <f t="shared" si="20"/>
        <v>3.6874524254209553E-4</v>
      </c>
      <c r="J199" s="47">
        <f t="shared" si="21"/>
        <v>1.9202740495619253E-2</v>
      </c>
      <c r="K199" s="44">
        <f t="shared" si="26"/>
        <v>4.4863415180085632E-10</v>
      </c>
      <c r="L199" s="13"/>
      <c r="M199" s="10">
        <f t="shared" si="27"/>
        <v>-3.8405480991238507E-2</v>
      </c>
      <c r="N199" s="10">
        <f t="shared" si="28"/>
        <v>3.8405480991238507E-2</v>
      </c>
    </row>
    <row r="200" spans="1:14" x14ac:dyDescent="0.25">
      <c r="A200" s="1">
        <v>45377</v>
      </c>
      <c r="B200" s="2">
        <f t="shared" si="29"/>
        <v>193</v>
      </c>
      <c r="C200" s="3">
        <f>+VLOOKUP(A200,Precios!$B:$H,1+$C$3,0)</f>
        <v>230.42</v>
      </c>
      <c r="D200" s="10">
        <f t="shared" si="22"/>
        <v>1.3726352837659439E-2</v>
      </c>
      <c r="E200" s="38">
        <f t="shared" si="23"/>
        <v>1.8841276222392135E-4</v>
      </c>
      <c r="F200" s="27">
        <f t="shared" si="24"/>
        <v>5.027426567086463E-10</v>
      </c>
      <c r="G200" s="28">
        <f t="shared" si="25"/>
        <v>9.4723132638268687E-14</v>
      </c>
      <c r="I200" s="21">
        <f t="shared" ref="I200:I258" si="30">(1-$C$4)*E201+$C$4*I201</f>
        <v>3.9001922366509287E-4</v>
      </c>
      <c r="J200" s="47">
        <f t="shared" ref="J200:J258" si="31">SQRT(I200)</f>
        <v>1.9748904366194416E-2</v>
      </c>
      <c r="K200" s="44">
        <f t="shared" si="26"/>
        <v>4.0645165294830577E-8</v>
      </c>
      <c r="L200" s="13"/>
      <c r="M200" s="10">
        <f t="shared" si="27"/>
        <v>-3.9497808732388832E-2</v>
      </c>
      <c r="N200" s="10">
        <f t="shared" si="28"/>
        <v>3.9497808732388832E-2</v>
      </c>
    </row>
    <row r="201" spans="1:14" x14ac:dyDescent="0.25">
      <c r="A201" s="1">
        <v>45376</v>
      </c>
      <c r="B201" s="2">
        <f t="shared" si="29"/>
        <v>194</v>
      </c>
      <c r="C201" s="3">
        <f>+VLOOKUP(A201,Precios!$B:$H,1+$C$3,0)</f>
        <v>227.3</v>
      </c>
      <c r="D201" s="10">
        <f t="shared" ref="D201:D259" si="32">C201/C202-1</f>
        <v>2.120585856770596E-2</v>
      </c>
      <c r="E201" s="38">
        <f t="shared" ref="E201:E259" si="33">(D201)^2</f>
        <v>4.4968843759354827E-4</v>
      </c>
      <c r="F201" s="27">
        <f t="shared" ref="F201:F259" si="34">$C$4^(B201-1)</f>
        <v>4.496920862453273E-10</v>
      </c>
      <c r="G201" s="28">
        <f t="shared" ref="G201:G259" si="35">+E201*F201</f>
        <v>2.0222133166184439E-13</v>
      </c>
      <c r="I201" s="21">
        <f t="shared" si="30"/>
        <v>3.829799940792836E-4</v>
      </c>
      <c r="J201" s="47">
        <f t="shared" si="31"/>
        <v>1.956987465670855E-2</v>
      </c>
      <c r="K201" s="44">
        <f t="shared" ref="K201:K258" si="36">(E201-I201)^2</f>
        <v>4.4500164360958388E-9</v>
      </c>
      <c r="L201" s="13"/>
      <c r="M201" s="10">
        <f t="shared" ref="M201:M258" si="37">-J201*$N$5</f>
        <v>-3.9139749313417099E-2</v>
      </c>
      <c r="N201" s="10">
        <f t="shared" ref="N201:N258" si="38">+J201*$N$5</f>
        <v>3.9139749313417099E-2</v>
      </c>
    </row>
    <row r="202" spans="1:14" x14ac:dyDescent="0.25">
      <c r="A202" s="1">
        <v>45373</v>
      </c>
      <c r="B202" s="2">
        <f t="shared" ref="B202:B260" si="39">+B201+1</f>
        <v>195</v>
      </c>
      <c r="C202" s="3">
        <f>+VLOOKUP(A202,Precios!$B:$H,1+$C$3,0)</f>
        <v>222.58</v>
      </c>
      <c r="D202" s="10">
        <f t="shared" si="32"/>
        <v>-2.6717390353753978E-2</v>
      </c>
      <c r="E202" s="38">
        <f t="shared" si="33"/>
        <v>7.1381894731486616E-4</v>
      </c>
      <c r="F202" s="27">
        <f t="shared" si="34"/>
        <v>4.0223953494534853E-10</v>
      </c>
      <c r="G202" s="28">
        <f t="shared" si="35"/>
        <v>2.8712620140311E-13</v>
      </c>
      <c r="I202" s="21">
        <f t="shared" si="30"/>
        <v>3.4395063212813731E-4</v>
      </c>
      <c r="J202" s="47">
        <f t="shared" si="31"/>
        <v>1.8545906074606797E-2</v>
      </c>
      <c r="K202" s="44">
        <f t="shared" si="36"/>
        <v>1.368025705790694E-7</v>
      </c>
      <c r="L202" s="13"/>
      <c r="M202" s="10">
        <f t="shared" si="37"/>
        <v>-3.7091812149213595E-2</v>
      </c>
      <c r="N202" s="10">
        <f t="shared" si="38"/>
        <v>3.7091812149213595E-2</v>
      </c>
    </row>
    <row r="203" spans="1:14" x14ac:dyDescent="0.25">
      <c r="A203" s="1">
        <v>45372</v>
      </c>
      <c r="B203" s="2">
        <f t="shared" si="39"/>
        <v>196</v>
      </c>
      <c r="C203" s="3">
        <f>+VLOOKUP(A203,Precios!$B:$H,1+$C$3,0)</f>
        <v>228.69</v>
      </c>
      <c r="D203" s="10">
        <f t="shared" si="32"/>
        <v>9.758036029671624E-3</v>
      </c>
      <c r="E203" s="38">
        <f t="shared" si="33"/>
        <v>9.5219267156369548E-5</v>
      </c>
      <c r="F203" s="27">
        <f t="shared" si="34"/>
        <v>3.5979428685072053E-10</v>
      </c>
      <c r="G203" s="28">
        <f t="shared" si="35"/>
        <v>3.4259348320974219E-14</v>
      </c>
      <c r="I203" s="21">
        <f t="shared" si="30"/>
        <v>3.732936897612966E-4</v>
      </c>
      <c r="J203" s="47">
        <f t="shared" si="31"/>
        <v>1.9320809759461342E-2</v>
      </c>
      <c r="K203" s="44">
        <f t="shared" si="36"/>
        <v>7.7325384507063584E-8</v>
      </c>
      <c r="L203" s="13"/>
      <c r="M203" s="10">
        <f t="shared" si="37"/>
        <v>-3.8641619518922685E-2</v>
      </c>
      <c r="N203" s="10">
        <f t="shared" si="38"/>
        <v>3.8641619518922685E-2</v>
      </c>
    </row>
    <row r="204" spans="1:14" x14ac:dyDescent="0.25">
      <c r="A204" s="1">
        <v>45371</v>
      </c>
      <c r="B204" s="2">
        <f t="shared" si="39"/>
        <v>197</v>
      </c>
      <c r="C204" s="3">
        <f>+VLOOKUP(A204,Precios!$B:$H,1+$C$3,0)</f>
        <v>226.48</v>
      </c>
      <c r="D204" s="10">
        <f t="shared" si="32"/>
        <v>2.3499638467100459E-2</v>
      </c>
      <c r="E204" s="38">
        <f t="shared" si="33"/>
        <v>5.5223300808442761E-4</v>
      </c>
      <c r="F204" s="27">
        <f t="shared" si="34"/>
        <v>3.2182795972058524E-10</v>
      </c>
      <c r="G204" s="28">
        <f t="shared" si="35"/>
        <v>1.7772402228217279E-13</v>
      </c>
      <c r="I204" s="21">
        <f t="shared" si="30"/>
        <v>3.5218406118273012E-4</v>
      </c>
      <c r="J204" s="47">
        <f t="shared" si="31"/>
        <v>1.8766567645222984E-2</v>
      </c>
      <c r="K204" s="44">
        <f t="shared" si="36"/>
        <v>4.0019581156478186E-8</v>
      </c>
      <c r="L204" s="13"/>
      <c r="M204" s="10">
        <f t="shared" si="37"/>
        <v>-3.7533135290445968E-2</v>
      </c>
      <c r="N204" s="10">
        <f t="shared" si="38"/>
        <v>3.7533135290445968E-2</v>
      </c>
    </row>
    <row r="205" spans="1:14" x14ac:dyDescent="0.25">
      <c r="A205" s="1">
        <v>45370</v>
      </c>
      <c r="B205" s="2">
        <f t="shared" si="39"/>
        <v>198</v>
      </c>
      <c r="C205" s="3">
        <f>+VLOOKUP(A205,Precios!$B:$H,1+$C$3,0)</f>
        <v>221.28</v>
      </c>
      <c r="D205" s="10">
        <f t="shared" si="32"/>
        <v>-3.6320877972302101E-2</v>
      </c>
      <c r="E205" s="38">
        <f t="shared" si="33"/>
        <v>1.31920617667886E-3</v>
      </c>
      <c r="F205" s="27">
        <f t="shared" si="34"/>
        <v>2.8786792743289842E-10</v>
      </c>
      <c r="G205" s="28">
        <f t="shared" si="35"/>
        <v>3.7975714793722144E-13</v>
      </c>
      <c r="I205" s="21">
        <f t="shared" si="30"/>
        <v>2.3810361270063654E-4</v>
      </c>
      <c r="J205" s="47">
        <f t="shared" si="31"/>
        <v>1.5430606362053196E-2</v>
      </c>
      <c r="K205" s="44">
        <f t="shared" si="36"/>
        <v>1.1687827538402888E-6</v>
      </c>
      <c r="L205" s="13"/>
      <c r="M205" s="10">
        <f t="shared" si="37"/>
        <v>-3.0861212724106392E-2</v>
      </c>
      <c r="N205" s="10">
        <f t="shared" si="38"/>
        <v>3.0861212724106392E-2</v>
      </c>
    </row>
    <row r="206" spans="1:14" x14ac:dyDescent="0.25">
      <c r="A206" s="1">
        <v>45366</v>
      </c>
      <c r="B206" s="2">
        <f t="shared" si="39"/>
        <v>199</v>
      </c>
      <c r="C206" s="3">
        <f>+VLOOKUP(A206,Precios!$B:$H,1+$C$3,0)</f>
        <v>229.62</v>
      </c>
      <c r="D206" s="10">
        <f t="shared" si="32"/>
        <v>2.894784011471585E-2</v>
      </c>
      <c r="E206" s="38">
        <f t="shared" si="33"/>
        <v>8.379774473071522E-4</v>
      </c>
      <c r="F206" s="27">
        <f t="shared" si="34"/>
        <v>2.5749143646953288E-10</v>
      </c>
      <c r="G206" s="28">
        <f t="shared" si="35"/>
        <v>2.1577201663619091E-13</v>
      </c>
      <c r="I206" s="21">
        <f t="shared" si="30"/>
        <v>1.6733596945033241E-4</v>
      </c>
      <c r="J206" s="47">
        <f t="shared" si="31"/>
        <v>1.2935840500343703E-2</v>
      </c>
      <c r="K206" s="44">
        <f t="shared" si="36"/>
        <v>4.4975999182197929E-7</v>
      </c>
      <c r="L206" s="13"/>
      <c r="M206" s="10">
        <f t="shared" si="37"/>
        <v>-2.5871681000687406E-2</v>
      </c>
      <c r="N206" s="10">
        <f t="shared" si="38"/>
        <v>2.5871681000687406E-2</v>
      </c>
    </row>
    <row r="207" spans="1:14" x14ac:dyDescent="0.25">
      <c r="A207" s="1">
        <v>45365</v>
      </c>
      <c r="B207" s="2">
        <f t="shared" si="39"/>
        <v>200</v>
      </c>
      <c r="C207" s="3">
        <f>+VLOOKUP(A207,Precios!$B:$H,1+$C$3,0)</f>
        <v>223.16</v>
      </c>
      <c r="D207" s="10">
        <f t="shared" si="32"/>
        <v>7.1306074555463894E-3</v>
      </c>
      <c r="E207" s="38">
        <f t="shared" si="33"/>
        <v>5.0845562685093755E-5</v>
      </c>
      <c r="F207" s="27">
        <f t="shared" si="34"/>
        <v>2.3032034324351177E-10</v>
      </c>
      <c r="G207" s="28">
        <f t="shared" si="35"/>
        <v>1.1710767450040288E-14</v>
      </c>
      <c r="I207" s="21">
        <f t="shared" si="30"/>
        <v>1.8107844507181484E-4</v>
      </c>
      <c r="J207" s="47">
        <f t="shared" si="31"/>
        <v>1.3456539119395256E-2</v>
      </c>
      <c r="K207" s="44">
        <f t="shared" si="36"/>
        <v>1.6960603654753525E-8</v>
      </c>
      <c r="L207" s="13"/>
      <c r="M207" s="10">
        <f t="shared" si="37"/>
        <v>-2.6913078238790512E-2</v>
      </c>
      <c r="N207" s="10">
        <f t="shared" si="38"/>
        <v>2.6913078238790512E-2</v>
      </c>
    </row>
    <row r="208" spans="1:14" x14ac:dyDescent="0.25">
      <c r="A208" s="1">
        <v>45364</v>
      </c>
      <c r="B208" s="2">
        <f t="shared" si="39"/>
        <v>201</v>
      </c>
      <c r="C208" s="3">
        <f>+VLOOKUP(A208,Precios!$B:$H,1+$C$3,0)</f>
        <v>221.58</v>
      </c>
      <c r="D208" s="10">
        <f t="shared" si="32"/>
        <v>2.1718079955733938E-2</v>
      </c>
      <c r="E208" s="38">
        <f t="shared" si="33"/>
        <v>4.7167499696365226E-4</v>
      </c>
      <c r="F208" s="27">
        <f t="shared" si="34"/>
        <v>2.0601640675567003E-10</v>
      </c>
      <c r="G208" s="28">
        <f t="shared" si="35"/>
        <v>9.7172788030943208E-14</v>
      </c>
      <c r="I208" s="21">
        <f t="shared" si="30"/>
        <v>1.4679651455964398E-4</v>
      </c>
      <c r="J208" s="47">
        <f t="shared" si="31"/>
        <v>1.2115961148817042E-2</v>
      </c>
      <c r="K208" s="44">
        <f t="shared" si="36"/>
        <v>1.0554602832913149E-7</v>
      </c>
      <c r="L208" s="13"/>
      <c r="M208" s="10">
        <f t="shared" si="37"/>
        <v>-2.4231922297634084E-2</v>
      </c>
      <c r="N208" s="10">
        <f t="shared" si="38"/>
        <v>2.4231922297634084E-2</v>
      </c>
    </row>
    <row r="209" spans="1:14" x14ac:dyDescent="0.25">
      <c r="A209" s="1">
        <v>45363</v>
      </c>
      <c r="B209" s="2">
        <f t="shared" si="39"/>
        <v>202</v>
      </c>
      <c r="C209" s="3">
        <f>+VLOOKUP(A209,Precios!$B:$H,1+$C$3,0)</f>
        <v>216.87</v>
      </c>
      <c r="D209" s="10">
        <f t="shared" si="32"/>
        <v>8.6507604297474394E-3</v>
      </c>
      <c r="E209" s="38">
        <f t="shared" si="33"/>
        <v>7.4835656012884108E-5</v>
      </c>
      <c r="F209" s="27">
        <f t="shared" si="34"/>
        <v>1.8427707798109723E-10</v>
      </c>
      <c r="G209" s="28">
        <f t="shared" si="35"/>
        <v>1.3790496018852813E-14</v>
      </c>
      <c r="I209" s="21">
        <f t="shared" si="30"/>
        <v>1.5528580025913293E-4</v>
      </c>
      <c r="J209" s="47">
        <f t="shared" si="31"/>
        <v>1.2461372326478851E-2</v>
      </c>
      <c r="K209" s="44">
        <f t="shared" si="36"/>
        <v>6.472225709242242E-9</v>
      </c>
      <c r="L209" s="13"/>
      <c r="M209" s="10">
        <f t="shared" si="37"/>
        <v>-2.4922744652957702E-2</v>
      </c>
      <c r="N209" s="10">
        <f t="shared" si="38"/>
        <v>2.4922744652957702E-2</v>
      </c>
    </row>
    <row r="210" spans="1:14" x14ac:dyDescent="0.25">
      <c r="A210" s="1">
        <v>45362</v>
      </c>
      <c r="B210" s="2">
        <f t="shared" si="39"/>
        <v>203</v>
      </c>
      <c r="C210" s="3">
        <f>+VLOOKUP(A210,Precios!$B:$H,1+$C$3,0)</f>
        <v>215.01</v>
      </c>
      <c r="D210" s="10">
        <f t="shared" si="32"/>
        <v>6.6953834628709075E-3</v>
      </c>
      <c r="E210" s="38">
        <f t="shared" si="33"/>
        <v>4.4828159714885223E-5</v>
      </c>
      <c r="F210" s="27">
        <f t="shared" si="34"/>
        <v>1.6483173356928178E-10</v>
      </c>
      <c r="G210" s="28">
        <f t="shared" si="35"/>
        <v>7.389103278525172E-15</v>
      </c>
      <c r="I210" s="21">
        <f t="shared" si="30"/>
        <v>1.6831658514981427E-4</v>
      </c>
      <c r="J210" s="47">
        <f t="shared" si="31"/>
        <v>1.2973688186087034E-2</v>
      </c>
      <c r="K210" s="44">
        <f t="shared" si="36"/>
        <v>1.5249391216398027E-8</v>
      </c>
      <c r="L210" s="13"/>
      <c r="M210" s="10">
        <f t="shared" si="37"/>
        <v>-2.5947376372174067E-2</v>
      </c>
      <c r="N210" s="10">
        <f t="shared" si="38"/>
        <v>2.5947376372174067E-2</v>
      </c>
    </row>
    <row r="211" spans="1:14" x14ac:dyDescent="0.25">
      <c r="A211" s="1">
        <v>45359</v>
      </c>
      <c r="B211" s="2">
        <f t="shared" si="39"/>
        <v>204</v>
      </c>
      <c r="C211" s="3">
        <f>+VLOOKUP(A211,Precios!$B:$H,1+$C$3,0)</f>
        <v>213.58</v>
      </c>
      <c r="D211" s="10">
        <f t="shared" si="32"/>
        <v>-1.1224394350387579E-3</v>
      </c>
      <c r="E211" s="38">
        <f t="shared" si="33"/>
        <v>1.2598702853301259E-6</v>
      </c>
      <c r="F211" s="27">
        <f t="shared" si="34"/>
        <v>1.4743830697294692E-10</v>
      </c>
      <c r="G211" s="28">
        <f t="shared" si="35"/>
        <v>1.8575314187459732E-16</v>
      </c>
      <c r="I211" s="21">
        <f t="shared" si="30"/>
        <v>1.8802441255964342E-4</v>
      </c>
      <c r="J211" s="47">
        <f t="shared" si="31"/>
        <v>1.3712199406355036E-2</v>
      </c>
      <c r="K211" s="44">
        <f t="shared" si="36"/>
        <v>3.4880994250933753E-8</v>
      </c>
      <c r="L211" s="13"/>
      <c r="M211" s="10">
        <f t="shared" si="37"/>
        <v>-2.7424398812710072E-2</v>
      </c>
      <c r="N211" s="10">
        <f t="shared" si="38"/>
        <v>2.7424398812710072E-2</v>
      </c>
    </row>
    <row r="212" spans="1:14" x14ac:dyDescent="0.25">
      <c r="A212" s="1">
        <v>45358</v>
      </c>
      <c r="B212" s="2">
        <f t="shared" si="39"/>
        <v>205</v>
      </c>
      <c r="C212" s="3">
        <f>+VLOOKUP(A212,Precios!$B:$H,1+$C$3,0)</f>
        <v>213.82</v>
      </c>
      <c r="D212" s="10">
        <f t="shared" si="32"/>
        <v>-7.7958236658932645E-3</v>
      </c>
      <c r="E212" s="38">
        <f t="shared" si="33"/>
        <v>6.0774866629701498E-5</v>
      </c>
      <c r="F212" s="27">
        <f t="shared" si="34"/>
        <v>1.3188027506798034E-10</v>
      </c>
      <c r="G212" s="28">
        <f t="shared" si="35"/>
        <v>8.015006128344853E-15</v>
      </c>
      <c r="I212" s="21">
        <f t="shared" si="30"/>
        <v>2.0303615328015712E-4</v>
      </c>
      <c r="J212" s="47">
        <f t="shared" si="31"/>
        <v>1.4249075523701778E-2</v>
      </c>
      <c r="K212" s="44">
        <f t="shared" si="36"/>
        <v>2.0238273679443104E-8</v>
      </c>
      <c r="L212" s="13"/>
      <c r="M212" s="10">
        <f t="shared" si="37"/>
        <v>-2.8498151047403556E-2</v>
      </c>
      <c r="N212" s="10">
        <f t="shared" si="38"/>
        <v>2.8498151047403556E-2</v>
      </c>
    </row>
    <row r="213" spans="1:14" x14ac:dyDescent="0.25">
      <c r="A213" s="1">
        <v>45357</v>
      </c>
      <c r="B213" s="2">
        <f t="shared" si="39"/>
        <v>206</v>
      </c>
      <c r="C213" s="3">
        <f>+VLOOKUP(A213,Precios!$B:$H,1+$C$3,0)</f>
        <v>215.5</v>
      </c>
      <c r="D213" s="10">
        <f t="shared" si="32"/>
        <v>-6.7751302023321136E-3</v>
      </c>
      <c r="E213" s="38">
        <f t="shared" si="33"/>
        <v>4.5902389258552788E-5</v>
      </c>
      <c r="F213" s="27">
        <f t="shared" si="34"/>
        <v>1.179639627522137E-10</v>
      </c>
      <c r="G213" s="28">
        <f t="shared" si="35"/>
        <v>5.4148277367335353E-15</v>
      </c>
      <c r="I213" s="21">
        <f t="shared" si="30"/>
        <v>2.2157336146186166E-4</v>
      </c>
      <c r="J213" s="47">
        <f t="shared" si="31"/>
        <v>1.4885340488610318E-2</v>
      </c>
      <c r="K213" s="44">
        <f t="shared" si="36"/>
        <v>3.0860290474855722E-8</v>
      </c>
      <c r="L213" s="13"/>
      <c r="M213" s="10">
        <f t="shared" si="37"/>
        <v>-2.9770680977220635E-2</v>
      </c>
      <c r="N213" s="10">
        <f t="shared" si="38"/>
        <v>2.9770680977220635E-2</v>
      </c>
    </row>
    <row r="214" spans="1:14" x14ac:dyDescent="0.25">
      <c r="A214" s="1">
        <v>45356</v>
      </c>
      <c r="B214" s="2">
        <f t="shared" si="39"/>
        <v>207</v>
      </c>
      <c r="C214" s="3">
        <f>+VLOOKUP(A214,Precios!$B:$H,1+$C$3,0)</f>
        <v>216.97</v>
      </c>
      <c r="D214" s="10">
        <f t="shared" si="32"/>
        <v>1.6872100107794052E-2</v>
      </c>
      <c r="E214" s="38">
        <f t="shared" si="33"/>
        <v>2.8466776204742408E-4</v>
      </c>
      <c r="F214" s="27">
        <f t="shared" si="34"/>
        <v>1.0551613196918671E-10</v>
      </c>
      <c r="G214" s="28">
        <f t="shared" si="35"/>
        <v>3.0037041147569042E-14</v>
      </c>
      <c r="I214" s="21">
        <f t="shared" si="30"/>
        <v>2.1413005959712925E-4</v>
      </c>
      <c r="J214" s="47">
        <f t="shared" si="31"/>
        <v>1.4633183508626182E-2</v>
      </c>
      <c r="K214" s="44">
        <f t="shared" si="36"/>
        <v>4.9755674669663301E-9</v>
      </c>
      <c r="L214" s="13"/>
      <c r="M214" s="10">
        <f t="shared" si="37"/>
        <v>-2.9266367017252364E-2</v>
      </c>
      <c r="N214" s="10">
        <f t="shared" si="38"/>
        <v>2.9266367017252364E-2</v>
      </c>
    </row>
    <row r="215" spans="1:14" x14ac:dyDescent="0.25">
      <c r="A215" s="1">
        <v>45355</v>
      </c>
      <c r="B215" s="2">
        <f t="shared" si="39"/>
        <v>208</v>
      </c>
      <c r="C215" s="3">
        <f>+VLOOKUP(A215,Precios!$B:$H,1+$C$3,0)</f>
        <v>213.37</v>
      </c>
      <c r="D215" s="10">
        <f t="shared" si="32"/>
        <v>-1.9033607650222883E-2</v>
      </c>
      <c r="E215" s="38">
        <f t="shared" si="33"/>
        <v>3.6227822018262306E-4</v>
      </c>
      <c r="F215" s="27">
        <f t="shared" si="34"/>
        <v>9.4381825143712358E-11</v>
      </c>
      <c r="G215" s="28">
        <f t="shared" si="35"/>
        <v>3.4192479630651657E-14</v>
      </c>
      <c r="I215" s="21">
        <f t="shared" si="30"/>
        <v>1.9665289094652461E-4</v>
      </c>
      <c r="J215" s="47">
        <f t="shared" si="31"/>
        <v>1.4023298147958083E-2</v>
      </c>
      <c r="K215" s="44">
        <f t="shared" si="36"/>
        <v>2.7431749684566009E-8</v>
      </c>
      <c r="L215" s="13"/>
      <c r="M215" s="10">
        <f t="shared" si="37"/>
        <v>-2.8046596295916167E-2</v>
      </c>
      <c r="N215" s="10">
        <f t="shared" si="38"/>
        <v>2.8046596295916167E-2</v>
      </c>
    </row>
    <row r="216" spans="1:14" x14ac:dyDescent="0.25">
      <c r="A216" s="1">
        <v>45352</v>
      </c>
      <c r="B216" s="2">
        <f t="shared" si="39"/>
        <v>209</v>
      </c>
      <c r="C216" s="3">
        <f>+VLOOKUP(A216,Precios!$B:$H,1+$C$3,0)</f>
        <v>217.51</v>
      </c>
      <c r="D216" s="10">
        <f t="shared" si="32"/>
        <v>1.8400599307051069E-2</v>
      </c>
      <c r="E216" s="38">
        <f t="shared" si="33"/>
        <v>3.3858205485864826E-4</v>
      </c>
      <c r="F216" s="27">
        <f t="shared" si="34"/>
        <v>8.4422436183119591E-11</v>
      </c>
      <c r="G216" s="28">
        <f t="shared" si="35"/>
        <v>2.858392191905373E-14</v>
      </c>
      <c r="I216" s="21">
        <f t="shared" si="30"/>
        <v>1.7990938279678937E-4</v>
      </c>
      <c r="J216" s="47">
        <f t="shared" si="31"/>
        <v>1.3413030336086972E-2</v>
      </c>
      <c r="K216" s="44">
        <f t="shared" si="36"/>
        <v>2.5177016859250213E-8</v>
      </c>
      <c r="L216" s="13"/>
      <c r="M216" s="10">
        <f t="shared" si="37"/>
        <v>-2.6826060672173944E-2</v>
      </c>
      <c r="N216" s="10">
        <f t="shared" si="38"/>
        <v>2.6826060672173944E-2</v>
      </c>
    </row>
    <row r="217" spans="1:14" x14ac:dyDescent="0.25">
      <c r="A217" s="1">
        <v>45351</v>
      </c>
      <c r="B217" s="2">
        <f t="shared" si="39"/>
        <v>210</v>
      </c>
      <c r="C217" s="3">
        <f>+VLOOKUP(A217,Precios!$B:$H,1+$C$3,0)</f>
        <v>213.58</v>
      </c>
      <c r="D217" s="10">
        <f t="shared" si="32"/>
        <v>-1.5427048758822615E-3</v>
      </c>
      <c r="E217" s="38">
        <f t="shared" si="33"/>
        <v>2.3799383340709037E-6</v>
      </c>
      <c r="F217" s="27">
        <f t="shared" si="34"/>
        <v>7.5513985030916779E-11</v>
      </c>
      <c r="G217" s="28">
        <f t="shared" si="35"/>
        <v>1.7971862773353524E-16</v>
      </c>
      <c r="I217" s="21">
        <f t="shared" si="30"/>
        <v>2.0085268731748614E-4</v>
      </c>
      <c r="J217" s="47">
        <f t="shared" si="31"/>
        <v>1.4172250608759575E-2</v>
      </c>
      <c r="K217" s="44">
        <f t="shared" si="36"/>
        <v>3.9391432089033755E-8</v>
      </c>
      <c r="L217" s="13"/>
      <c r="M217" s="10">
        <f t="shared" si="37"/>
        <v>-2.834450121751915E-2</v>
      </c>
      <c r="N217" s="10">
        <f t="shared" si="38"/>
        <v>2.834450121751915E-2</v>
      </c>
    </row>
    <row r="218" spans="1:14" x14ac:dyDescent="0.25">
      <c r="A218" s="1">
        <v>45350</v>
      </c>
      <c r="B218" s="2">
        <f t="shared" si="39"/>
        <v>211</v>
      </c>
      <c r="C218" s="3">
        <f>+VLOOKUP(A218,Precios!$B:$H,1+$C$3,0)</f>
        <v>213.91</v>
      </c>
      <c r="D218" s="10">
        <f t="shared" si="32"/>
        <v>-1.1597819055540137E-2</v>
      </c>
      <c r="E218" s="38">
        <f t="shared" si="33"/>
        <v>1.3450940684504991E-4</v>
      </c>
      <c r="F218" s="27">
        <f t="shared" si="34"/>
        <v>6.754557429355162E-11</v>
      </c>
      <c r="G218" s="28">
        <f t="shared" si="35"/>
        <v>9.0855151332338803E-15</v>
      </c>
      <c r="I218" s="21">
        <f t="shared" si="30"/>
        <v>2.08679262396574E-4</v>
      </c>
      <c r="J218" s="47">
        <f t="shared" si="31"/>
        <v>1.4445735093672942E-2</v>
      </c>
      <c r="K218" s="44">
        <f t="shared" si="36"/>
        <v>5.5011674725339487E-9</v>
      </c>
      <c r="L218" s="13"/>
      <c r="M218" s="10">
        <f t="shared" si="37"/>
        <v>-2.8891470187345884E-2</v>
      </c>
      <c r="N218" s="10">
        <f t="shared" si="38"/>
        <v>2.8891470187345884E-2</v>
      </c>
    </row>
    <row r="219" spans="1:14" x14ac:dyDescent="0.25">
      <c r="A219" s="1">
        <v>45349</v>
      </c>
      <c r="B219" s="2">
        <f t="shared" si="39"/>
        <v>212</v>
      </c>
      <c r="C219" s="3">
        <f>+VLOOKUP(A219,Precios!$B:$H,1+$C$3,0)</f>
        <v>216.42</v>
      </c>
      <c r="D219" s="10">
        <f t="shared" si="32"/>
        <v>8.5278903956380603E-3</v>
      </c>
      <c r="E219" s="38">
        <f t="shared" si="33"/>
        <v>7.272491460001587E-5</v>
      </c>
      <c r="F219" s="27">
        <f t="shared" si="34"/>
        <v>6.0418008727492938E-11</v>
      </c>
      <c r="G219" s="28">
        <f t="shared" si="35"/>
        <v>4.3938945250099373E-15</v>
      </c>
      <c r="I219" s="21">
        <f t="shared" si="30"/>
        <v>2.2471791624035362E-4</v>
      </c>
      <c r="J219" s="47">
        <f t="shared" si="31"/>
        <v>1.4990594259079712E-2</v>
      </c>
      <c r="K219" s="44">
        <f t="shared" si="36"/>
        <v>2.3101872547639712E-8</v>
      </c>
      <c r="L219" s="13"/>
      <c r="M219" s="10">
        <f t="shared" si="37"/>
        <v>-2.9981188518159424E-2</v>
      </c>
      <c r="N219" s="10">
        <f t="shared" si="38"/>
        <v>2.9981188518159424E-2</v>
      </c>
    </row>
    <row r="220" spans="1:14" x14ac:dyDescent="0.25">
      <c r="A220" s="1">
        <v>45348</v>
      </c>
      <c r="B220" s="2">
        <f t="shared" si="39"/>
        <v>213</v>
      </c>
      <c r="C220" s="3">
        <f>+VLOOKUP(A220,Precios!$B:$H,1+$C$3,0)</f>
        <v>214.59</v>
      </c>
      <c r="D220" s="10">
        <f t="shared" si="32"/>
        <v>4.0707467714766743E-3</v>
      </c>
      <c r="E220" s="38">
        <f t="shared" si="33"/>
        <v>1.6570979277487767E-5</v>
      </c>
      <c r="F220" s="27">
        <f t="shared" si="34"/>
        <v>5.404256040123564E-11</v>
      </c>
      <c r="G220" s="28">
        <f t="shared" si="35"/>
        <v>8.9553814851125666E-16</v>
      </c>
      <c r="I220" s="21">
        <f t="shared" si="30"/>
        <v>2.4927319324838273E-4</v>
      </c>
      <c r="J220" s="47">
        <f t="shared" si="31"/>
        <v>1.5788387924306355E-2</v>
      </c>
      <c r="K220" s="44">
        <f t="shared" si="36"/>
        <v>5.415032038695619E-8</v>
      </c>
      <c r="L220" s="13"/>
      <c r="M220" s="10">
        <f t="shared" si="37"/>
        <v>-3.1576775848612709E-2</v>
      </c>
      <c r="N220" s="10">
        <f t="shared" si="38"/>
        <v>3.1576775848612709E-2</v>
      </c>
    </row>
    <row r="221" spans="1:14" x14ac:dyDescent="0.25">
      <c r="A221" s="1">
        <v>45345</v>
      </c>
      <c r="B221" s="2">
        <f t="shared" si="39"/>
        <v>214</v>
      </c>
      <c r="C221" s="3">
        <f>+VLOOKUP(A221,Precios!$B:$H,1+$C$3,0)</f>
        <v>213.72</v>
      </c>
      <c r="D221" s="10">
        <f t="shared" si="32"/>
        <v>3.6158722704859869E-3</v>
      </c>
      <c r="E221" s="38">
        <f t="shared" si="33"/>
        <v>1.3074532276469486E-5</v>
      </c>
      <c r="F221" s="27">
        <f t="shared" si="34"/>
        <v>4.8339864160273084E-11</v>
      </c>
      <c r="G221" s="28">
        <f t="shared" si="35"/>
        <v>6.3202111420364103E-16</v>
      </c>
      <c r="I221" s="21">
        <f t="shared" si="30"/>
        <v>2.771377567808531E-4</v>
      </c>
      <c r="J221" s="47">
        <f t="shared" si="31"/>
        <v>1.6647454964073431E-2</v>
      </c>
      <c r="K221" s="44">
        <f t="shared" si="36"/>
        <v>6.9729386535652491E-8</v>
      </c>
      <c r="L221" s="13"/>
      <c r="M221" s="10">
        <f t="shared" si="37"/>
        <v>-3.3294909928146862E-2</v>
      </c>
      <c r="N221" s="10">
        <f t="shared" si="38"/>
        <v>3.3294909928146862E-2</v>
      </c>
    </row>
    <row r="222" spans="1:14" x14ac:dyDescent="0.25">
      <c r="A222" s="1">
        <v>45344</v>
      </c>
      <c r="B222" s="2">
        <f t="shared" si="39"/>
        <v>215</v>
      </c>
      <c r="C222" s="3">
        <f>+VLOOKUP(A222,Precios!$B:$H,1+$C$3,0)</f>
        <v>212.95</v>
      </c>
      <c r="D222" s="10">
        <f t="shared" si="32"/>
        <v>-1.0409405641526148E-2</v>
      </c>
      <c r="E222" s="38">
        <f t="shared" si="33"/>
        <v>1.083557258098364E-4</v>
      </c>
      <c r="F222" s="27">
        <f t="shared" si="34"/>
        <v>4.3238929645165864E-11</v>
      </c>
      <c r="G222" s="28">
        <f t="shared" si="35"/>
        <v>4.6851856049423989E-15</v>
      </c>
      <c r="I222" s="21">
        <f t="shared" si="30"/>
        <v>2.9704912124743881E-4</v>
      </c>
      <c r="J222" s="47">
        <f t="shared" si="31"/>
        <v>1.7235113032627283E-2</v>
      </c>
      <c r="K222" s="44">
        <f t="shared" si="36"/>
        <v>3.560519748177139E-8</v>
      </c>
      <c r="L222" s="13"/>
      <c r="M222" s="10">
        <f t="shared" si="37"/>
        <v>-3.4470226065254565E-2</v>
      </c>
      <c r="N222" s="10">
        <f t="shared" si="38"/>
        <v>3.4470226065254565E-2</v>
      </c>
    </row>
    <row r="223" spans="1:14" x14ac:dyDescent="0.25">
      <c r="A223" s="1">
        <v>45343</v>
      </c>
      <c r="B223" s="2">
        <f t="shared" si="39"/>
        <v>216</v>
      </c>
      <c r="C223" s="3">
        <f>+VLOOKUP(A223,Precios!$B:$H,1+$C$3,0)</f>
        <v>215.19</v>
      </c>
      <c r="D223" s="10">
        <f t="shared" si="32"/>
        <v>-3.0576789437108953E-3</v>
      </c>
      <c r="E223" s="38">
        <f t="shared" si="33"/>
        <v>9.3494005228129761E-6</v>
      </c>
      <c r="F223" s="27">
        <f t="shared" si="34"/>
        <v>3.8676257563754019E-11</v>
      </c>
      <c r="G223" s="28">
        <f t="shared" si="35"/>
        <v>3.6159982268701114E-16</v>
      </c>
      <c r="I223" s="21">
        <f t="shared" si="30"/>
        <v>3.3098931004198326E-4</v>
      </c>
      <c r="J223" s="47">
        <f t="shared" si="31"/>
        <v>1.8193111609672033E-2</v>
      </c>
      <c r="K223" s="44">
        <f t="shared" si="36"/>
        <v>1.0345223139550005E-7</v>
      </c>
      <c r="L223" s="13"/>
      <c r="M223" s="10">
        <f t="shared" si="37"/>
        <v>-3.6386223219344066E-2</v>
      </c>
      <c r="N223" s="10">
        <f t="shared" si="38"/>
        <v>3.6386223219344066E-2</v>
      </c>
    </row>
    <row r="224" spans="1:14" x14ac:dyDescent="0.25">
      <c r="A224" s="1">
        <v>45342</v>
      </c>
      <c r="B224" s="2">
        <f t="shared" si="39"/>
        <v>217</v>
      </c>
      <c r="C224" s="3">
        <f>+VLOOKUP(A224,Precios!$B:$H,1+$C$3,0)</f>
        <v>215.85</v>
      </c>
      <c r="D224" s="10">
        <f t="shared" si="32"/>
        <v>-1.0044028618602097E-2</v>
      </c>
      <c r="E224" s="38">
        <f t="shared" si="33"/>
        <v>1.0088251089129794E-4</v>
      </c>
      <c r="F224" s="27">
        <f t="shared" si="34"/>
        <v>3.4595049216373853E-11</v>
      </c>
      <c r="G224" s="28">
        <f t="shared" si="35"/>
        <v>3.4900354293558235E-15</v>
      </c>
      <c r="I224" s="21">
        <f t="shared" si="30"/>
        <v>3.5813521128377784E-4</v>
      </c>
      <c r="J224" s="47">
        <f t="shared" si="31"/>
        <v>1.8924460660314148E-2</v>
      </c>
      <c r="K224" s="44">
        <f t="shared" si="36"/>
        <v>6.6178951859223043E-8</v>
      </c>
      <c r="L224" s="13"/>
      <c r="M224" s="10">
        <f t="shared" si="37"/>
        <v>-3.7848921320628295E-2</v>
      </c>
      <c r="N224" s="10">
        <f t="shared" si="38"/>
        <v>3.7848921320628295E-2</v>
      </c>
    </row>
    <row r="225" spans="1:14" x14ac:dyDescent="0.25">
      <c r="A225" s="1">
        <v>45341</v>
      </c>
      <c r="B225" s="2">
        <f t="shared" si="39"/>
        <v>218</v>
      </c>
      <c r="C225" s="3">
        <f>+VLOOKUP(A225,Precios!$B:$H,1+$C$3,0)</f>
        <v>218.04</v>
      </c>
      <c r="D225" s="10">
        <f t="shared" si="32"/>
        <v>6.462333825701716E-3</v>
      </c>
      <c r="E225" s="38">
        <f t="shared" si="33"/>
        <v>4.1761758474808576E-5</v>
      </c>
      <c r="F225" s="27">
        <f t="shared" si="34"/>
        <v>3.0944499433806204E-11</v>
      </c>
      <c r="G225" s="28">
        <f t="shared" si="35"/>
        <v>1.2922967114784655E-15</v>
      </c>
      <c r="I225" s="21">
        <f t="shared" si="30"/>
        <v>3.9545806544183262E-4</v>
      </c>
      <c r="J225" s="47">
        <f t="shared" si="31"/>
        <v>1.9886127462174042E-2</v>
      </c>
      <c r="K225" s="44">
        <f t="shared" si="36"/>
        <v>1.251010775621113E-7</v>
      </c>
      <c r="L225" s="13"/>
      <c r="M225" s="10">
        <f t="shared" si="37"/>
        <v>-3.9772254924348084E-2</v>
      </c>
      <c r="N225" s="10">
        <f t="shared" si="38"/>
        <v>3.9772254924348084E-2</v>
      </c>
    </row>
    <row r="226" spans="1:14" x14ac:dyDescent="0.25">
      <c r="A226" s="1">
        <v>45338</v>
      </c>
      <c r="B226" s="2">
        <f t="shared" si="39"/>
        <v>219</v>
      </c>
      <c r="C226" s="3">
        <f>+VLOOKUP(A226,Precios!$B:$H,1+$C$3,0)</f>
        <v>216.64</v>
      </c>
      <c r="D226" s="10">
        <f t="shared" si="32"/>
        <v>-1.3845940831680448E-4</v>
      </c>
      <c r="E226" s="38">
        <f t="shared" si="33"/>
        <v>1.9171007751439584E-8</v>
      </c>
      <c r="F226" s="27">
        <f t="shared" si="34"/>
        <v>2.7679164126051249E-11</v>
      </c>
      <c r="G226" s="28">
        <f t="shared" si="35"/>
        <v>5.3063747001389696E-19</v>
      </c>
      <c r="I226" s="21">
        <f t="shared" si="30"/>
        <v>4.4210833920641825E-4</v>
      </c>
      <c r="J226" s="47">
        <f t="shared" si="31"/>
        <v>2.1026372469030843E-2</v>
      </c>
      <c r="K226" s="44">
        <f t="shared" si="36"/>
        <v>1.9544283263858911E-7</v>
      </c>
      <c r="L226" s="13"/>
      <c r="M226" s="10">
        <f t="shared" si="37"/>
        <v>-4.2052744938061687E-2</v>
      </c>
      <c r="N226" s="10">
        <f t="shared" si="38"/>
        <v>4.2052744938061687E-2</v>
      </c>
    </row>
    <row r="227" spans="1:14" x14ac:dyDescent="0.25">
      <c r="A227" s="1">
        <v>45337</v>
      </c>
      <c r="B227" s="2">
        <f t="shared" si="39"/>
        <v>220</v>
      </c>
      <c r="C227" s="3">
        <f>+VLOOKUP(A227,Precios!$B:$H,1+$C$3,0)</f>
        <v>216.67</v>
      </c>
      <c r="D227" s="10">
        <f t="shared" si="32"/>
        <v>-6.4572667312401411E-4</v>
      </c>
      <c r="E227" s="38">
        <f t="shared" si="33"/>
        <v>4.1696293638380736E-7</v>
      </c>
      <c r="F227" s="27">
        <f t="shared" si="34"/>
        <v>2.4758394568822633E-11</v>
      </c>
      <c r="G227" s="28">
        <f t="shared" si="35"/>
        <v>1.0323332899565193E-17</v>
      </c>
      <c r="I227" s="21">
        <f t="shared" si="30"/>
        <v>4.9421505888542681E-4</v>
      </c>
      <c r="J227" s="47">
        <f t="shared" si="31"/>
        <v>2.2230948222813771E-2</v>
      </c>
      <c r="K227" s="44">
        <f t="shared" si="36"/>
        <v>2.438365595629003E-7</v>
      </c>
      <c r="L227" s="13"/>
      <c r="M227" s="10">
        <f t="shared" si="37"/>
        <v>-4.4461896445627543E-2</v>
      </c>
      <c r="N227" s="10">
        <f t="shared" si="38"/>
        <v>4.4461896445627543E-2</v>
      </c>
    </row>
    <row r="228" spans="1:14" x14ac:dyDescent="0.25">
      <c r="A228" s="1">
        <v>45336</v>
      </c>
      <c r="B228" s="2">
        <f t="shared" si="39"/>
        <v>221</v>
      </c>
      <c r="C228" s="3">
        <f>+VLOOKUP(A228,Precios!$B:$H,1+$C$3,0)</f>
        <v>216.81</v>
      </c>
      <c r="D228" s="10">
        <f t="shared" si="32"/>
        <v>8.3248069946981751E-3</v>
      </c>
      <c r="E228" s="38">
        <f t="shared" si="33"/>
        <v>6.9302411498975663E-5</v>
      </c>
      <c r="F228" s="27">
        <f t="shared" si="34"/>
        <v>2.2145831385441993E-11</v>
      </c>
      <c r="G228" s="28">
        <f t="shared" si="35"/>
        <v>1.5347595196608312E-15</v>
      </c>
      <c r="I228" s="21">
        <f t="shared" si="30"/>
        <v>5.4434237717813244E-4</v>
      </c>
      <c r="J228" s="47">
        <f t="shared" si="31"/>
        <v>2.3331146075110252E-2</v>
      </c>
      <c r="K228" s="44">
        <f t="shared" si="36"/>
        <v>2.2566296899245444E-7</v>
      </c>
      <c r="L228" s="13"/>
      <c r="M228" s="10">
        <f t="shared" si="37"/>
        <v>-4.6662292150220504E-2</v>
      </c>
      <c r="N228" s="10">
        <f t="shared" si="38"/>
        <v>4.6662292150220504E-2</v>
      </c>
    </row>
    <row r="229" spans="1:14" x14ac:dyDescent="0.25">
      <c r="A229" s="1">
        <v>45335</v>
      </c>
      <c r="B229" s="2">
        <f t="shared" si="39"/>
        <v>222</v>
      </c>
      <c r="C229" s="3">
        <f>+VLOOKUP(A229,Precios!$B:$H,1+$C$3,0)</f>
        <v>215.02</v>
      </c>
      <c r="D229" s="10">
        <f t="shared" si="32"/>
        <v>-1.4438282073612196E-2</v>
      </c>
      <c r="E229" s="38">
        <f t="shared" si="33"/>
        <v>2.0846398923719131E-4</v>
      </c>
      <c r="F229" s="27">
        <f t="shared" si="34"/>
        <v>1.9808951924936952E-11</v>
      </c>
      <c r="G229" s="28">
        <f t="shared" si="35"/>
        <v>4.1294531408800969E-15</v>
      </c>
      <c r="I229" s="21">
        <f t="shared" si="30"/>
        <v>5.8396624566855115E-4</v>
      </c>
      <c r="J229" s="47">
        <f t="shared" si="31"/>
        <v>2.416539355501067E-2</v>
      </c>
      <c r="K229" s="44">
        <f t="shared" si="36"/>
        <v>1.4100194458504273E-7</v>
      </c>
      <c r="L229" s="13"/>
      <c r="M229" s="10">
        <f t="shared" si="37"/>
        <v>-4.8330787110021339E-2</v>
      </c>
      <c r="N229" s="10">
        <f t="shared" si="38"/>
        <v>4.8330787110021339E-2</v>
      </c>
    </row>
    <row r="230" spans="1:14" x14ac:dyDescent="0.25">
      <c r="A230" s="1">
        <v>45334</v>
      </c>
      <c r="B230" s="2">
        <f t="shared" si="39"/>
        <v>223</v>
      </c>
      <c r="C230" s="3">
        <f>+VLOOKUP(A230,Precios!$B:$H,1+$C$3,0)</f>
        <v>218.17</v>
      </c>
      <c r="D230" s="10">
        <f t="shared" si="32"/>
        <v>1.2061047455582896E-2</v>
      </c>
      <c r="E230" s="38">
        <f t="shared" si="33"/>
        <v>1.4546886572582265E-4</v>
      </c>
      <c r="F230" s="27">
        <f t="shared" si="34"/>
        <v>1.7718665401851288E-11</v>
      </c>
      <c r="G230" s="28">
        <f t="shared" si="35"/>
        <v>2.5775141581826846E-15</v>
      </c>
      <c r="I230" s="21">
        <f t="shared" si="30"/>
        <v>6.3569616679494108E-4</v>
      </c>
      <c r="J230" s="47">
        <f t="shared" si="31"/>
        <v>2.5213015821098059E-2</v>
      </c>
      <c r="K230" s="44">
        <f t="shared" si="36"/>
        <v>2.4032280671351206E-7</v>
      </c>
      <c r="L230" s="13"/>
      <c r="M230" s="10">
        <f t="shared" si="37"/>
        <v>-5.0426031642196119E-2</v>
      </c>
      <c r="N230" s="10">
        <f t="shared" si="38"/>
        <v>5.0426031642196119E-2</v>
      </c>
    </row>
    <row r="231" spans="1:14" x14ac:dyDescent="0.25">
      <c r="A231" s="1">
        <v>45331</v>
      </c>
      <c r="B231" s="2">
        <f t="shared" si="39"/>
        <v>224</v>
      </c>
      <c r="C231" s="3">
        <f>+VLOOKUP(A231,Precios!$B:$H,1+$C$3,0)</f>
        <v>215.57</v>
      </c>
      <c r="D231" s="10">
        <f t="shared" si="32"/>
        <v>-7.6873503958756473E-3</v>
      </c>
      <c r="E231" s="38">
        <f t="shared" si="33"/>
        <v>5.909535610896947E-5</v>
      </c>
      <c r="F231" s="27">
        <f t="shared" si="34"/>
        <v>1.5848950757840821E-11</v>
      </c>
      <c r="G231" s="28">
        <f t="shared" si="35"/>
        <v>9.3659938898812495E-16</v>
      </c>
      <c r="I231" s="21">
        <f t="shared" si="30"/>
        <v>7.0371827096827374E-4</v>
      </c>
      <c r="J231" s="47">
        <f t="shared" si="31"/>
        <v>2.652768876039286E-2</v>
      </c>
      <c r="K231" s="44">
        <f t="shared" si="36"/>
        <v>4.1553870236170586E-7</v>
      </c>
      <c r="L231" s="13"/>
      <c r="M231" s="10">
        <f t="shared" si="37"/>
        <v>-5.3055377520785721E-2</v>
      </c>
      <c r="N231" s="10">
        <f t="shared" si="38"/>
        <v>5.3055377520785721E-2</v>
      </c>
    </row>
    <row r="232" spans="1:14" x14ac:dyDescent="0.25">
      <c r="A232" s="1">
        <v>45330</v>
      </c>
      <c r="B232" s="2">
        <f t="shared" si="39"/>
        <v>225</v>
      </c>
      <c r="C232" s="3">
        <f>+VLOOKUP(A232,Precios!$B:$H,1+$C$3,0)</f>
        <v>217.24</v>
      </c>
      <c r="D232" s="10">
        <f t="shared" si="32"/>
        <v>-1.3755845099196473E-2</v>
      </c>
      <c r="E232" s="38">
        <f t="shared" si="33"/>
        <v>1.8922327439308763E-4</v>
      </c>
      <c r="F232" s="27">
        <f t="shared" si="34"/>
        <v>1.4176532736953103E-11</v>
      </c>
      <c r="G232" s="28">
        <f t="shared" si="35"/>
        <v>2.6825299440270665E-15</v>
      </c>
      <c r="I232" s="21">
        <f t="shared" si="30"/>
        <v>7.6441369769176452E-4</v>
      </c>
      <c r="J232" s="47">
        <f t="shared" si="31"/>
        <v>2.764803243798308E-2</v>
      </c>
      <c r="K232" s="44">
        <f t="shared" si="36"/>
        <v>3.3084402305451107E-7</v>
      </c>
      <c r="L232" s="13"/>
      <c r="M232" s="10">
        <f t="shared" si="37"/>
        <v>-5.529606487596616E-2</v>
      </c>
      <c r="N232" s="10">
        <f t="shared" si="38"/>
        <v>5.529606487596616E-2</v>
      </c>
    </row>
    <row r="233" spans="1:14" x14ac:dyDescent="0.25">
      <c r="A233" s="1">
        <v>45329</v>
      </c>
      <c r="B233" s="2">
        <f t="shared" si="39"/>
        <v>226</v>
      </c>
      <c r="C233" s="3">
        <f>+VLOOKUP(A233,Precios!$B:$H,1+$C$3,0)</f>
        <v>220.27</v>
      </c>
      <c r="D233" s="10">
        <f t="shared" si="32"/>
        <v>-7.4798359843193385E-3</v>
      </c>
      <c r="E233" s="38">
        <f t="shared" si="33"/>
        <v>5.5947946352318448E-5</v>
      </c>
      <c r="F233" s="27">
        <f t="shared" si="34"/>
        <v>1.2680592142194447E-11</v>
      </c>
      <c r="G233" s="28">
        <f t="shared" si="35"/>
        <v>7.0945308888712578E-16</v>
      </c>
      <c r="I233" s="21">
        <f t="shared" si="30"/>
        <v>8.4799202475571342E-4</v>
      </c>
      <c r="J233" s="47">
        <f t="shared" si="31"/>
        <v>2.9120302621293507E-2</v>
      </c>
      <c r="K233" s="44">
        <f t="shared" si="36"/>
        <v>6.2733382213388329E-7</v>
      </c>
      <c r="L233" s="13"/>
      <c r="M233" s="10">
        <f t="shared" si="37"/>
        <v>-5.8240605242587014E-2</v>
      </c>
      <c r="N233" s="10">
        <f t="shared" si="38"/>
        <v>5.8240605242587014E-2</v>
      </c>
    </row>
    <row r="234" spans="1:14" x14ac:dyDescent="0.25">
      <c r="A234" s="1">
        <v>45328</v>
      </c>
      <c r="B234" s="2">
        <f t="shared" si="39"/>
        <v>227</v>
      </c>
      <c r="C234" s="3">
        <f>+VLOOKUP(A234,Precios!$B:$H,1+$C$3,0)</f>
        <v>221.93</v>
      </c>
      <c r="D234" s="10">
        <f t="shared" si="32"/>
        <v>2.3237585873023381E-2</v>
      </c>
      <c r="E234" s="38">
        <f t="shared" si="33"/>
        <v>5.3998539720613581E-4</v>
      </c>
      <c r="F234" s="27">
        <f t="shared" si="34"/>
        <v>1.1342506666495591E-11</v>
      </c>
      <c r="G234" s="28">
        <f t="shared" si="35"/>
        <v>6.1247879676208652E-15</v>
      </c>
      <c r="I234" s="21">
        <f t="shared" si="30"/>
        <v>8.8432783718776493E-4</v>
      </c>
      <c r="J234" s="47">
        <f t="shared" si="31"/>
        <v>2.9737650162508889E-2</v>
      </c>
      <c r="K234" s="44">
        <f t="shared" si="36"/>
        <v>1.1857171597250186E-7</v>
      </c>
      <c r="L234" s="13"/>
      <c r="M234" s="10">
        <f t="shared" si="37"/>
        <v>-5.9475300325017778E-2</v>
      </c>
      <c r="N234" s="10">
        <f t="shared" si="38"/>
        <v>5.9475300325017778E-2</v>
      </c>
    </row>
    <row r="235" spans="1:14" x14ac:dyDescent="0.25">
      <c r="A235" s="1">
        <v>45324</v>
      </c>
      <c r="B235" s="2">
        <f t="shared" si="39"/>
        <v>228</v>
      </c>
      <c r="C235" s="3">
        <f>+VLOOKUP(A235,Precios!$B:$H,1+$C$3,0)</f>
        <v>216.89</v>
      </c>
      <c r="D235" s="10">
        <f t="shared" si="32"/>
        <v>-3.5572946773978376E-2</v>
      </c>
      <c r="E235" s="38">
        <f t="shared" si="33"/>
        <v>1.2654345421842985E-3</v>
      </c>
      <c r="F235" s="27">
        <f t="shared" si="34"/>
        <v>1.0145619071794617E-11</v>
      </c>
      <c r="G235" s="28">
        <f t="shared" si="35"/>
        <v>1.2838616825292709E-14</v>
      </c>
      <c r="I235" s="21">
        <f t="shared" si="30"/>
        <v>8.3936834440177864E-4</v>
      </c>
      <c r="J235" s="47">
        <f t="shared" si="31"/>
        <v>2.8971854348691223E-2</v>
      </c>
      <c r="K235" s="44">
        <f t="shared" si="36"/>
        <v>1.8153240489285332E-7</v>
      </c>
      <c r="L235" s="13"/>
      <c r="M235" s="10">
        <f t="shared" si="37"/>
        <v>-5.7943708697382447E-2</v>
      </c>
      <c r="N235" s="10">
        <f t="shared" si="38"/>
        <v>5.7943708697382447E-2</v>
      </c>
    </row>
    <row r="236" spans="1:14" x14ac:dyDescent="0.25">
      <c r="A236" s="1">
        <v>45323</v>
      </c>
      <c r="B236" s="2">
        <f t="shared" si="39"/>
        <v>229</v>
      </c>
      <c r="C236" s="3">
        <f>+VLOOKUP(A236,Precios!$B:$H,1+$C$3,0)</f>
        <v>224.89</v>
      </c>
      <c r="D236" s="10">
        <f t="shared" si="32"/>
        <v>-6.4062914199877197E-3</v>
      </c>
      <c r="E236" s="38">
        <f t="shared" si="33"/>
        <v>4.1040569757808275E-5</v>
      </c>
      <c r="F236" s="27">
        <f t="shared" si="34"/>
        <v>9.0750298304003765E-12</v>
      </c>
      <c r="G236" s="28">
        <f t="shared" si="35"/>
        <v>3.7244439480873766E-16</v>
      </c>
      <c r="I236" s="21">
        <f t="shared" si="30"/>
        <v>9.3354777329764267E-4</v>
      </c>
      <c r="J236" s="47">
        <f t="shared" si="31"/>
        <v>3.0554014029217876E-2</v>
      </c>
      <c r="K236" s="44">
        <f t="shared" si="36"/>
        <v>7.9656910837049527E-7</v>
      </c>
      <c r="L236" s="13"/>
      <c r="M236" s="10">
        <f t="shared" si="37"/>
        <v>-6.1108028058435751E-2</v>
      </c>
      <c r="N236" s="10">
        <f t="shared" si="38"/>
        <v>6.1108028058435751E-2</v>
      </c>
    </row>
    <row r="237" spans="1:14" x14ac:dyDescent="0.25">
      <c r="A237" s="1">
        <v>45322</v>
      </c>
      <c r="B237" s="2">
        <f t="shared" si="39"/>
        <v>230</v>
      </c>
      <c r="C237" s="3">
        <f>+VLOOKUP(A237,Precios!$B:$H,1+$C$3,0)</f>
        <v>226.34</v>
      </c>
      <c r="D237" s="10">
        <f t="shared" si="32"/>
        <v>-2.5320816467143237E-2</v>
      </c>
      <c r="E237" s="38">
        <f t="shared" si="33"/>
        <v>6.411437465627521E-4</v>
      </c>
      <c r="F237" s="27">
        <f t="shared" si="34"/>
        <v>8.117411647319919E-12</v>
      </c>
      <c r="G237" s="28">
        <f t="shared" si="35"/>
        <v>5.204427715954814E-15</v>
      </c>
      <c r="I237" s="21">
        <f t="shared" si="30"/>
        <v>9.6804293320489282E-4</v>
      </c>
      <c r="J237" s="47">
        <f t="shared" si="31"/>
        <v>3.1113388327292366E-2</v>
      </c>
      <c r="K237" s="44">
        <f t="shared" si="36"/>
        <v>1.0686307822729315E-7</v>
      </c>
      <c r="L237" s="13"/>
      <c r="M237" s="10">
        <f t="shared" si="37"/>
        <v>-6.2226776654584731E-2</v>
      </c>
      <c r="N237" s="10">
        <f t="shared" si="38"/>
        <v>6.2226776654584731E-2</v>
      </c>
    </row>
    <row r="238" spans="1:14" x14ac:dyDescent="0.25">
      <c r="A238" s="1">
        <v>45321</v>
      </c>
      <c r="B238" s="2">
        <f t="shared" si="39"/>
        <v>231</v>
      </c>
      <c r="C238" s="3">
        <f>+VLOOKUP(A238,Precios!$B:$H,1+$C$3,0)</f>
        <v>232.22</v>
      </c>
      <c r="D238" s="10">
        <f t="shared" si="32"/>
        <v>-2.6983993966311903E-2</v>
      </c>
      <c r="E238" s="38">
        <f t="shared" si="33"/>
        <v>7.2813593037395722E-4</v>
      </c>
      <c r="F238" s="27">
        <f t="shared" si="34"/>
        <v>7.2608435546198078E-12</v>
      </c>
      <c r="G238" s="28">
        <f t="shared" si="35"/>
        <v>5.2868810769428447E-15</v>
      </c>
      <c r="I238" s="21">
        <f t="shared" si="30"/>
        <v>9.9634497308420471E-4</v>
      </c>
      <c r="J238" s="47">
        <f t="shared" si="31"/>
        <v>3.1564932648181034E-2</v>
      </c>
      <c r="K238" s="44">
        <f t="shared" si="36"/>
        <v>7.1936090591547361E-8</v>
      </c>
      <c r="L238" s="13"/>
      <c r="M238" s="10">
        <f t="shared" si="37"/>
        <v>-6.3129865296362067E-2</v>
      </c>
      <c r="N238" s="10">
        <f t="shared" si="38"/>
        <v>6.3129865296362067E-2</v>
      </c>
    </row>
    <row r="239" spans="1:14" x14ac:dyDescent="0.25">
      <c r="A239" s="1">
        <v>45320</v>
      </c>
      <c r="B239" s="2">
        <f t="shared" si="39"/>
        <v>232</v>
      </c>
      <c r="C239" s="3">
        <f>+VLOOKUP(A239,Precios!$B:$H,1+$C$3,0)</f>
        <v>238.66</v>
      </c>
      <c r="D239" s="10">
        <f t="shared" si="32"/>
        <v>7.2147349505840008E-2</v>
      </c>
      <c r="E239" s="38">
        <f t="shared" si="33"/>
        <v>5.2052400407178326E-3</v>
      </c>
      <c r="F239" s="27">
        <f t="shared" si="34"/>
        <v>6.4946625125350441E-12</v>
      </c>
      <c r="G239" s="28">
        <f t="shared" si="35"/>
        <v>3.3806277361196492E-14</v>
      </c>
      <c r="I239" s="21">
        <f t="shared" si="30"/>
        <v>4.9981792449300055E-4</v>
      </c>
      <c r="J239" s="47">
        <f t="shared" si="31"/>
        <v>2.2356608072178583E-2</v>
      </c>
      <c r="K239" s="44">
        <f t="shared" si="36"/>
        <v>2.2140997291857774E-5</v>
      </c>
      <c r="L239" s="13"/>
      <c r="M239" s="10">
        <f t="shared" si="37"/>
        <v>-4.4713216144357165E-2</v>
      </c>
      <c r="N239" s="10">
        <f t="shared" si="38"/>
        <v>4.4713216144357165E-2</v>
      </c>
    </row>
    <row r="240" spans="1:14" x14ac:dyDescent="0.25">
      <c r="A240" s="1">
        <v>45317</v>
      </c>
      <c r="B240" s="2">
        <f t="shared" si="39"/>
        <v>233</v>
      </c>
      <c r="C240" s="3">
        <f>+VLOOKUP(A240,Precios!$B:$H,1+$C$3,0)</f>
        <v>222.6</v>
      </c>
      <c r="D240" s="10">
        <f t="shared" si="32"/>
        <v>1.0853276417964519E-2</v>
      </c>
      <c r="E240" s="38">
        <f t="shared" si="33"/>
        <v>1.1779360900474475E-4</v>
      </c>
      <c r="F240" s="27">
        <f t="shared" si="34"/>
        <v>5.8093306699729135E-12</v>
      </c>
      <c r="G240" s="28">
        <f t="shared" si="35"/>
        <v>6.8430202551806125E-16</v>
      </c>
      <c r="I240" s="21">
        <f t="shared" si="30"/>
        <v>5.4488566859480479E-4</v>
      </c>
      <c r="J240" s="47">
        <f t="shared" si="31"/>
        <v>2.334278622176035E-2</v>
      </c>
      <c r="K240" s="44">
        <f t="shared" si="36"/>
        <v>1.824076273648794E-7</v>
      </c>
      <c r="L240" s="13"/>
      <c r="M240" s="10">
        <f t="shared" si="37"/>
        <v>-4.6685572443520701E-2</v>
      </c>
      <c r="N240" s="10">
        <f t="shared" si="38"/>
        <v>4.6685572443520701E-2</v>
      </c>
    </row>
    <row r="241" spans="1:14" x14ac:dyDescent="0.25">
      <c r="A241" s="1">
        <v>45316</v>
      </c>
      <c r="B241" s="2">
        <f t="shared" si="39"/>
        <v>234</v>
      </c>
      <c r="C241" s="3">
        <f>+VLOOKUP(A241,Precios!$B:$H,1+$C$3,0)</f>
        <v>220.21</v>
      </c>
      <c r="D241" s="10">
        <f t="shared" si="32"/>
        <v>-7.4371225096908633E-3</v>
      </c>
      <c r="E241" s="38">
        <f t="shared" si="33"/>
        <v>5.5310791224150526E-5</v>
      </c>
      <c r="F241" s="27">
        <f t="shared" si="34"/>
        <v>5.19631663199618E-12</v>
      </c>
      <c r="G241" s="28">
        <f t="shared" si="35"/>
        <v>2.8741238436692175E-16</v>
      </c>
      <c r="I241" s="21">
        <f t="shared" si="30"/>
        <v>6.0264124696371934E-4</v>
      </c>
      <c r="J241" s="47">
        <f t="shared" si="31"/>
        <v>2.4548752452288065E-2</v>
      </c>
      <c r="K241" s="44">
        <f t="shared" si="36"/>
        <v>2.9957062778008418E-7</v>
      </c>
      <c r="L241" s="13"/>
      <c r="M241" s="10">
        <f t="shared" si="37"/>
        <v>-4.9097504904576129E-2</v>
      </c>
      <c r="N241" s="10">
        <f t="shared" si="38"/>
        <v>4.9097504904576129E-2</v>
      </c>
    </row>
    <row r="242" spans="1:14" x14ac:dyDescent="0.25">
      <c r="A242" s="1">
        <v>45315</v>
      </c>
      <c r="B242" s="2">
        <f t="shared" si="39"/>
        <v>235</v>
      </c>
      <c r="C242" s="3">
        <f>+VLOOKUP(A242,Precios!$B:$H,1+$C$3,0)</f>
        <v>221.86</v>
      </c>
      <c r="D242" s="10">
        <f t="shared" si="32"/>
        <v>4.9082655570266809E-2</v>
      </c>
      <c r="E242" s="38">
        <f t="shared" si="33"/>
        <v>2.4091070778294436E-3</v>
      </c>
      <c r="F242" s="27">
        <f t="shared" si="34"/>
        <v>4.6479892562366436E-12</v>
      </c>
      <c r="G242" s="28">
        <f t="shared" si="35"/>
        <v>1.119750381487491E-14</v>
      </c>
      <c r="I242" s="21">
        <f t="shared" si="30"/>
        <v>3.895308859385124E-4</v>
      </c>
      <c r="J242" s="47">
        <f t="shared" si="31"/>
        <v>1.9736536827379629E-2</v>
      </c>
      <c r="K242" s="44">
        <f t="shared" si="36"/>
        <v>4.0786879948526749E-6</v>
      </c>
      <c r="L242" s="13"/>
      <c r="M242" s="10">
        <f t="shared" si="37"/>
        <v>-3.9473073654759258E-2</v>
      </c>
      <c r="N242" s="10">
        <f t="shared" si="38"/>
        <v>3.9473073654759258E-2</v>
      </c>
    </row>
    <row r="243" spans="1:14" x14ac:dyDescent="0.25">
      <c r="A243" s="1">
        <v>45314</v>
      </c>
      <c r="B243" s="2">
        <f t="shared" si="39"/>
        <v>236</v>
      </c>
      <c r="C243" s="3">
        <f>+VLOOKUP(A243,Precios!$B:$H,1+$C$3,0)</f>
        <v>211.48</v>
      </c>
      <c r="D243" s="10">
        <f t="shared" si="32"/>
        <v>1.8003273322422242E-2</v>
      </c>
      <c r="E243" s="38">
        <f t="shared" si="33"/>
        <v>3.2411785032184041E-4</v>
      </c>
      <c r="F243" s="27">
        <f t="shared" si="34"/>
        <v>4.1575226561573287E-12</v>
      </c>
      <c r="G243" s="28">
        <f t="shared" si="35"/>
        <v>1.3475273059780614E-15</v>
      </c>
      <c r="I243" s="21">
        <f t="shared" si="30"/>
        <v>3.9724771921475713E-4</v>
      </c>
      <c r="J243" s="47">
        <f t="shared" si="31"/>
        <v>1.9931074211260093E-2</v>
      </c>
      <c r="K243" s="44">
        <f t="shared" si="36"/>
        <v>5.3479777242951884E-9</v>
      </c>
      <c r="L243" s="13"/>
      <c r="M243" s="10">
        <f t="shared" si="37"/>
        <v>-3.9862148422520186E-2</v>
      </c>
      <c r="N243" s="10">
        <f t="shared" si="38"/>
        <v>3.9862148422520186E-2</v>
      </c>
    </row>
    <row r="244" spans="1:14" x14ac:dyDescent="0.25">
      <c r="A244" s="1">
        <v>45313</v>
      </c>
      <c r="B244" s="2">
        <f t="shared" si="39"/>
        <v>237</v>
      </c>
      <c r="C244" s="3">
        <f>+VLOOKUP(A244,Precios!$B:$H,1+$C$3,0)</f>
        <v>207.74</v>
      </c>
      <c r="D244" s="10">
        <f t="shared" si="32"/>
        <v>-1.9261637239165297E-2</v>
      </c>
      <c r="E244" s="38">
        <f t="shared" si="33"/>
        <v>3.7101066913319933E-4</v>
      </c>
      <c r="F244" s="27">
        <f t="shared" si="34"/>
        <v>3.7188112285906407E-12</v>
      </c>
      <c r="G244" s="28">
        <f t="shared" si="35"/>
        <v>1.3797186422994687E-15</v>
      </c>
      <c r="I244" s="21">
        <f t="shared" si="30"/>
        <v>4.0034292706180377E-4</v>
      </c>
      <c r="J244" s="47">
        <f t="shared" si="31"/>
        <v>2.0008571339848423E-2</v>
      </c>
      <c r="K244" s="44">
        <f t="shared" si="36"/>
        <v>8.6038135519017815E-10</v>
      </c>
      <c r="L244" s="13"/>
      <c r="M244" s="10">
        <f t="shared" si="37"/>
        <v>-4.0017142679696846E-2</v>
      </c>
      <c r="N244" s="10">
        <f t="shared" si="38"/>
        <v>4.0017142679696846E-2</v>
      </c>
    </row>
    <row r="245" spans="1:14" x14ac:dyDescent="0.25">
      <c r="A245" s="1">
        <v>45310</v>
      </c>
      <c r="B245" s="2">
        <f t="shared" si="39"/>
        <v>238</v>
      </c>
      <c r="C245" s="3">
        <f>+VLOOKUP(A245,Precios!$B:$H,1+$C$3,0)</f>
        <v>211.82</v>
      </c>
      <c r="D245" s="10">
        <f t="shared" si="32"/>
        <v>1.5484922575387028E-2</v>
      </c>
      <c r="E245" s="38">
        <f t="shared" si="33"/>
        <v>2.3978282716573084E-4</v>
      </c>
      <c r="F245" s="27">
        <f t="shared" si="34"/>
        <v>3.3263936477676516E-12</v>
      </c>
      <c r="G245" s="28">
        <f t="shared" si="35"/>
        <v>7.9761207312785575E-16</v>
      </c>
      <c r="I245" s="21">
        <f t="shared" si="30"/>
        <v>4.1928434309661321E-4</v>
      </c>
      <c r="J245" s="47">
        <f t="shared" si="31"/>
        <v>2.0476433847147632E-2</v>
      </c>
      <c r="K245" s="44">
        <f t="shared" si="36"/>
        <v>3.2220794221484817E-8</v>
      </c>
      <c r="L245" s="13"/>
      <c r="M245" s="10">
        <f t="shared" si="37"/>
        <v>-4.0952867694295264E-2</v>
      </c>
      <c r="N245" s="10">
        <f t="shared" si="38"/>
        <v>4.0952867694295264E-2</v>
      </c>
    </row>
    <row r="246" spans="1:14" x14ac:dyDescent="0.25">
      <c r="A246" s="1">
        <v>45309</v>
      </c>
      <c r="B246" s="2">
        <f t="shared" si="39"/>
        <v>239</v>
      </c>
      <c r="C246" s="3">
        <f>+VLOOKUP(A246,Precios!$B:$H,1+$C$3,0)</f>
        <v>208.59</v>
      </c>
      <c r="D246" s="10">
        <f t="shared" si="32"/>
        <v>2.3546371936569166E-3</v>
      </c>
      <c r="E246" s="38">
        <f t="shared" si="33"/>
        <v>5.5443163137525199E-6</v>
      </c>
      <c r="F246" s="27">
        <f t="shared" si="34"/>
        <v>2.9753848796735957E-12</v>
      </c>
      <c r="G246" s="28">
        <f t="shared" si="35"/>
        <v>1.6496474928066895E-17</v>
      </c>
      <c r="I246" s="21">
        <f t="shared" si="30"/>
        <v>4.6809361752170374E-4</v>
      </c>
      <c r="J246" s="47">
        <f t="shared" si="31"/>
        <v>2.1635471280323518E-2</v>
      </c>
      <c r="K246" s="44">
        <f t="shared" si="36"/>
        <v>2.13951856047964E-7</v>
      </c>
      <c r="L246" s="13"/>
      <c r="M246" s="10">
        <f t="shared" si="37"/>
        <v>-4.3270942560647035E-2</v>
      </c>
      <c r="N246" s="10">
        <f t="shared" si="38"/>
        <v>4.3270942560647035E-2</v>
      </c>
    </row>
    <row r="247" spans="1:14" x14ac:dyDescent="0.25">
      <c r="A247" s="1">
        <v>45308</v>
      </c>
      <c r="B247" s="2">
        <f t="shared" si="39"/>
        <v>240</v>
      </c>
      <c r="C247" s="3">
        <f>+VLOOKUP(A247,Precios!$B:$H,1+$C$3,0)</f>
        <v>208.1</v>
      </c>
      <c r="D247" s="10">
        <f t="shared" si="32"/>
        <v>-3.888786255311294E-2</v>
      </c>
      <c r="E247" s="38">
        <f t="shared" si="33"/>
        <v>1.5122658539498037E-3</v>
      </c>
      <c r="F247" s="27">
        <f t="shared" si="34"/>
        <v>2.6614153704061656E-12</v>
      </c>
      <c r="G247" s="28">
        <f t="shared" si="35"/>
        <v>4.0247675878424131E-15</v>
      </c>
      <c r="I247" s="21">
        <f t="shared" si="30"/>
        <v>3.4491170149783491E-4</v>
      </c>
      <c r="J247" s="47">
        <f t="shared" si="31"/>
        <v>1.8571798553124436E-2</v>
      </c>
      <c r="K247" s="44">
        <f t="shared" si="36"/>
        <v>1.3627157172468545E-6</v>
      </c>
      <c r="L247" s="13"/>
      <c r="M247" s="10">
        <f t="shared" si="37"/>
        <v>-3.7143597106248871E-2</v>
      </c>
      <c r="N247" s="10">
        <f t="shared" si="38"/>
        <v>3.7143597106248871E-2</v>
      </c>
    </row>
    <row r="248" spans="1:14" x14ac:dyDescent="0.25">
      <c r="A248" s="1">
        <v>45307</v>
      </c>
      <c r="B248" s="2">
        <f t="shared" si="39"/>
        <v>241</v>
      </c>
      <c r="C248" s="3">
        <f>+VLOOKUP(A248,Precios!$B:$H,1+$C$3,0)</f>
        <v>216.52</v>
      </c>
      <c r="D248" s="10">
        <f t="shared" si="32"/>
        <v>-3.031931568811852E-2</v>
      </c>
      <c r="E248" s="38">
        <f t="shared" si="33"/>
        <v>9.1926090379578981E-4</v>
      </c>
      <c r="F248" s="27">
        <f t="shared" si="34"/>
        <v>2.3805766515191863E-12</v>
      </c>
      <c r="G248" s="28">
        <f t="shared" si="35"/>
        <v>2.1883710442306822E-15</v>
      </c>
      <c r="I248" s="21">
        <f t="shared" si="30"/>
        <v>2.7715522154404668E-4</v>
      </c>
      <c r="J248" s="47">
        <f t="shared" si="31"/>
        <v>1.6647979503352551E-2</v>
      </c>
      <c r="K248" s="44">
        <f t="shared" si="36"/>
        <v>4.1229970717997656E-7</v>
      </c>
      <c r="L248" s="13"/>
      <c r="M248" s="10">
        <f t="shared" si="37"/>
        <v>-3.3295959006705102E-2</v>
      </c>
      <c r="N248" s="10">
        <f t="shared" si="38"/>
        <v>3.3295959006705102E-2</v>
      </c>
    </row>
    <row r="249" spans="1:14" x14ac:dyDescent="0.25">
      <c r="A249" s="1">
        <v>45306</v>
      </c>
      <c r="B249" s="2">
        <f t="shared" si="39"/>
        <v>242</v>
      </c>
      <c r="C249" s="3">
        <f>+VLOOKUP(A249,Precios!$B:$H,1+$C$3,0)</f>
        <v>223.29</v>
      </c>
      <c r="D249" s="10">
        <f t="shared" si="32"/>
        <v>-8.1730555678941608E-3</v>
      </c>
      <c r="E249" s="38">
        <f t="shared" si="33"/>
        <v>6.6798837315885741E-5</v>
      </c>
      <c r="F249" s="27">
        <f t="shared" si="34"/>
        <v>2.1293726852165221E-12</v>
      </c>
      <c r="G249" s="28">
        <f t="shared" si="35"/>
        <v>1.4223961958466923E-16</v>
      </c>
      <c r="I249" s="21">
        <f t="shared" si="30"/>
        <v>3.0197114898693488E-4</v>
      </c>
      <c r="J249" s="47">
        <f t="shared" si="31"/>
        <v>1.7377317082534198E-2</v>
      </c>
      <c r="K249" s="44">
        <f t="shared" si="36"/>
        <v>5.5306016176705066E-8</v>
      </c>
      <c r="L249" s="13"/>
      <c r="M249" s="10">
        <f t="shared" si="37"/>
        <v>-3.4754634165068396E-2</v>
      </c>
      <c r="N249" s="10">
        <f t="shared" si="38"/>
        <v>3.4754634165068396E-2</v>
      </c>
    </row>
    <row r="250" spans="1:14" x14ac:dyDescent="0.25">
      <c r="A250" s="1">
        <v>45303</v>
      </c>
      <c r="B250" s="2">
        <f t="shared" si="39"/>
        <v>243</v>
      </c>
      <c r="C250" s="3">
        <f>+VLOOKUP(A250,Precios!$B:$H,1+$C$3,0)</f>
        <v>225.13</v>
      </c>
      <c r="D250" s="10">
        <f t="shared" si="32"/>
        <v>-4.5102807870882611E-3</v>
      </c>
      <c r="E250" s="38">
        <f t="shared" si="33"/>
        <v>2.0342632778377503E-5</v>
      </c>
      <c r="F250" s="27">
        <f t="shared" si="34"/>
        <v>1.9046763437138917E-12</v>
      </c>
      <c r="G250" s="28">
        <f t="shared" si="35"/>
        <v>3.8746131421834429E-17</v>
      </c>
      <c r="I250" s="21">
        <f t="shared" si="30"/>
        <v>3.3519511245124031E-4</v>
      </c>
      <c r="J250" s="47">
        <f t="shared" si="31"/>
        <v>1.830833450784752E-2</v>
      </c>
      <c r="K250" s="44">
        <f t="shared" si="36"/>
        <v>9.9132083956150485E-8</v>
      </c>
      <c r="L250" s="13"/>
      <c r="M250" s="10">
        <f t="shared" si="37"/>
        <v>-3.661666901569504E-2</v>
      </c>
      <c r="N250" s="10">
        <f t="shared" si="38"/>
        <v>3.661666901569504E-2</v>
      </c>
    </row>
    <row r="251" spans="1:14" x14ac:dyDescent="0.25">
      <c r="A251" s="1">
        <v>45302</v>
      </c>
      <c r="B251" s="2">
        <f t="shared" si="39"/>
        <v>244</v>
      </c>
      <c r="C251" s="3">
        <f>+VLOOKUP(A251,Precios!$B:$H,1+$C$3,0)</f>
        <v>226.15</v>
      </c>
      <c r="D251" s="10">
        <f t="shared" si="32"/>
        <v>-9.3306465743823175E-3</v>
      </c>
      <c r="E251" s="38">
        <f t="shared" si="33"/>
        <v>8.7060965496032472E-5</v>
      </c>
      <c r="F251" s="27">
        <f t="shared" si="34"/>
        <v>1.7036904809993052E-12</v>
      </c>
      <c r="G251" s="28">
        <f t="shared" si="35"/>
        <v>1.4832493818219948E-16</v>
      </c>
      <c r="I251" s="21">
        <f t="shared" si="30"/>
        <v>3.6446771575033735E-4</v>
      </c>
      <c r="J251" s="47">
        <f t="shared" si="31"/>
        <v>1.9091037576578634E-2</v>
      </c>
      <c r="K251" s="44">
        <f t="shared" si="36"/>
        <v>7.6954505086654271E-8</v>
      </c>
      <c r="L251" s="13"/>
      <c r="M251" s="10">
        <f t="shared" si="37"/>
        <v>-3.8182075153157267E-2</v>
      </c>
      <c r="N251" s="10">
        <f t="shared" si="38"/>
        <v>3.8182075153157267E-2</v>
      </c>
    </row>
    <row r="252" spans="1:14" x14ac:dyDescent="0.25">
      <c r="A252" s="1">
        <v>45301</v>
      </c>
      <c r="B252" s="2">
        <f t="shared" si="39"/>
        <v>245</v>
      </c>
      <c r="C252" s="3">
        <f>+VLOOKUP(A252,Precios!$B:$H,1+$C$3,0)</f>
        <v>228.28</v>
      </c>
      <c r="D252" s="10">
        <f t="shared" si="32"/>
        <v>-6.181976491075214E-3</v>
      </c>
      <c r="E252" s="38">
        <f t="shared" si="33"/>
        <v>3.8216833336206615E-5</v>
      </c>
      <c r="F252" s="27">
        <f t="shared" si="34"/>
        <v>1.5239131123915754E-12</v>
      </c>
      <c r="G252" s="28">
        <f t="shared" si="35"/>
        <v>5.823913343512874E-17</v>
      </c>
      <c r="I252" s="21">
        <f t="shared" si="30"/>
        <v>4.0295581895611324E-4</v>
      </c>
      <c r="J252" s="47">
        <f t="shared" si="31"/>
        <v>2.0073759462445325E-2</v>
      </c>
      <c r="K252" s="44">
        <f t="shared" si="36"/>
        <v>1.3303452763103846E-7</v>
      </c>
      <c r="L252" s="13"/>
      <c r="M252" s="10">
        <f t="shared" si="37"/>
        <v>-4.014751892489065E-2</v>
      </c>
      <c r="N252" s="10">
        <f t="shared" si="38"/>
        <v>4.014751892489065E-2</v>
      </c>
    </row>
    <row r="253" spans="1:14" x14ac:dyDescent="0.25">
      <c r="A253" s="1">
        <v>45300</v>
      </c>
      <c r="B253" s="2">
        <f t="shared" si="39"/>
        <v>246</v>
      </c>
      <c r="C253" s="3">
        <f>+VLOOKUP(A253,Precios!$B:$H,1+$C$3,0)</f>
        <v>229.7</v>
      </c>
      <c r="D253" s="10">
        <f t="shared" si="32"/>
        <v>-2.858834475175509E-2</v>
      </c>
      <c r="E253" s="38">
        <f t="shared" si="33"/>
        <v>8.1729345564520285E-4</v>
      </c>
      <c r="F253" s="27">
        <f t="shared" si="34"/>
        <v>1.3631062684325261E-12</v>
      </c>
      <c r="G253" s="28">
        <f t="shared" si="35"/>
        <v>1.1140578325388567E-15</v>
      </c>
      <c r="I253" s="21">
        <f t="shared" si="30"/>
        <v>3.5407604396539203E-4</v>
      </c>
      <c r="J253" s="47">
        <f t="shared" si="31"/>
        <v>1.8816908459292458E-2</v>
      </c>
      <c r="K253" s="44">
        <f t="shared" si="36"/>
        <v>2.1457037048334335E-7</v>
      </c>
      <c r="L253" s="13"/>
      <c r="M253" s="10">
        <f t="shared" si="37"/>
        <v>-3.7633816918584917E-2</v>
      </c>
      <c r="N253" s="10">
        <f t="shared" si="38"/>
        <v>3.7633816918584917E-2</v>
      </c>
    </row>
    <row r="254" spans="1:14" x14ac:dyDescent="0.25">
      <c r="A254" s="1">
        <v>45299</v>
      </c>
      <c r="B254" s="2">
        <f t="shared" si="39"/>
        <v>247</v>
      </c>
      <c r="C254" s="3">
        <f>+VLOOKUP(A254,Precios!$B:$H,1+$C$3,0)</f>
        <v>236.46</v>
      </c>
      <c r="D254" s="10">
        <f t="shared" si="32"/>
        <v>2.9250457038391131E-2</v>
      </c>
      <c r="E254" s="38">
        <f t="shared" si="33"/>
        <v>8.5558923695476529E-4</v>
      </c>
      <c r="F254" s="27">
        <f t="shared" si="34"/>
        <v>1.219268135388687E-12</v>
      </c>
      <c r="G254" s="28">
        <f t="shared" si="35"/>
        <v>1.0431926936004661E-15</v>
      </c>
      <c r="I254" s="21">
        <f t="shared" si="30"/>
        <v>2.9491209201527407E-4</v>
      </c>
      <c r="J254" s="47">
        <f t="shared" si="31"/>
        <v>1.7173004746265985E-2</v>
      </c>
      <c r="K254" s="44">
        <f t="shared" si="36"/>
        <v>3.1435886085749932E-7</v>
      </c>
      <c r="L254" s="13"/>
      <c r="M254" s="10">
        <f t="shared" si="37"/>
        <v>-3.434600949253197E-2</v>
      </c>
      <c r="N254" s="10">
        <f t="shared" si="38"/>
        <v>3.434600949253197E-2</v>
      </c>
    </row>
    <row r="255" spans="1:14" x14ac:dyDescent="0.25">
      <c r="A255" s="1">
        <v>45296</v>
      </c>
      <c r="B255" s="2">
        <f t="shared" si="39"/>
        <v>248</v>
      </c>
      <c r="C255" s="3">
        <f>+VLOOKUP(A255,Precios!$B:$H,1+$C$3,0)</f>
        <v>229.74</v>
      </c>
      <c r="D255" s="10">
        <f t="shared" si="32"/>
        <v>-1.6946943032198902E-3</v>
      </c>
      <c r="E255" s="38">
        <f t="shared" si="33"/>
        <v>2.8719887813659492E-6</v>
      </c>
      <c r="F255" s="27">
        <f t="shared" si="34"/>
        <v>1.090608135551827E-12</v>
      </c>
      <c r="G255" s="28">
        <f t="shared" si="35"/>
        <v>3.1322143301712814E-18</v>
      </c>
      <c r="I255" s="21">
        <f t="shared" si="30"/>
        <v>3.2936431954741106E-4</v>
      </c>
      <c r="J255" s="47">
        <f t="shared" si="31"/>
        <v>1.8148397161937224E-2</v>
      </c>
      <c r="K255" s="44">
        <f t="shared" si="36"/>
        <v>1.065972420490446E-7</v>
      </c>
      <c r="L255" s="13"/>
      <c r="M255" s="10">
        <f t="shared" si="37"/>
        <v>-3.6296794323874448E-2</v>
      </c>
      <c r="N255" s="10">
        <f t="shared" si="38"/>
        <v>3.6296794323874448E-2</v>
      </c>
    </row>
    <row r="256" spans="1:14" x14ac:dyDescent="0.25">
      <c r="A256" s="1">
        <v>45295</v>
      </c>
      <c r="B256" s="2">
        <f t="shared" si="39"/>
        <v>249</v>
      </c>
      <c r="C256" s="3">
        <f>+VLOOKUP(A256,Precios!$B:$H,1+$C$3,0)</f>
        <v>230.13</v>
      </c>
      <c r="D256" s="10">
        <f t="shared" si="32"/>
        <v>-2.0223092643051777E-2</v>
      </c>
      <c r="E256" s="38">
        <f t="shared" si="33"/>
        <v>4.0897347604945488E-4</v>
      </c>
      <c r="F256" s="27">
        <f t="shared" si="34"/>
        <v>9.755246371239401E-13</v>
      </c>
      <c r="G256" s="28">
        <f t="shared" si="35"/>
        <v>3.989637018164609E-16</v>
      </c>
      <c r="I256" s="21">
        <f t="shared" si="30"/>
        <v>3.1997275741920176E-4</v>
      </c>
      <c r="J256" s="47">
        <f t="shared" si="31"/>
        <v>1.7887782350509571E-2</v>
      </c>
      <c r="K256" s="44">
        <f t="shared" si="36"/>
        <v>7.9211279167014843E-9</v>
      </c>
      <c r="L256" s="13"/>
      <c r="M256" s="10">
        <f t="shared" si="37"/>
        <v>-3.5775564701019141E-2</v>
      </c>
      <c r="N256" s="10">
        <f t="shared" si="38"/>
        <v>3.5775564701019141E-2</v>
      </c>
    </row>
    <row r="257" spans="1:14" x14ac:dyDescent="0.25">
      <c r="A257" s="1">
        <v>45294</v>
      </c>
      <c r="B257" s="2">
        <f t="shared" si="39"/>
        <v>250</v>
      </c>
      <c r="C257" s="3">
        <f>+VLOOKUP(A257,Precios!$B:$H,1+$C$3,0)</f>
        <v>234.88</v>
      </c>
      <c r="D257" s="10">
        <f t="shared" si="32"/>
        <v>-5.3552000644719322E-2</v>
      </c>
      <c r="E257" s="38">
        <f t="shared" si="33"/>
        <v>2.8678167730520187E-3</v>
      </c>
      <c r="F257" s="27">
        <f t="shared" si="34"/>
        <v>8.7258501620683308E-13</v>
      </c>
      <c r="G257" s="28">
        <f t="shared" si="35"/>
        <v>2.5024139453918233E-15</v>
      </c>
      <c r="I257" s="21">
        <f t="shared" si="30"/>
        <v>1.9401360645419056E-5</v>
      </c>
      <c r="J257" s="47">
        <f t="shared" si="31"/>
        <v>4.4046975657153868E-3</v>
      </c>
      <c r="K257" s="44">
        <f t="shared" si="36"/>
        <v>8.1134703616354592E-6</v>
      </c>
      <c r="L257" s="13"/>
      <c r="M257" s="10">
        <f t="shared" si="37"/>
        <v>-8.8093951314307736E-3</v>
      </c>
      <c r="N257" s="10">
        <f t="shared" si="38"/>
        <v>8.8093951314307736E-3</v>
      </c>
    </row>
    <row r="258" spans="1:14" x14ac:dyDescent="0.25">
      <c r="A258" s="1">
        <v>45293</v>
      </c>
      <c r="B258" s="2">
        <f t="shared" si="39"/>
        <v>251</v>
      </c>
      <c r="C258" s="3">
        <f>+VLOOKUP(A258,Precios!$B:$H,1+$C$3,0)</f>
        <v>248.17</v>
      </c>
      <c r="D258" s="10">
        <f t="shared" si="32"/>
        <v>-2.8198517563660097E-4</v>
      </c>
      <c r="E258" s="38">
        <f t="shared" si="33"/>
        <v>7.9515639278804702E-8</v>
      </c>
      <c r="F258" s="27">
        <f t="shared" si="34"/>
        <v>7.805078226967865E-13</v>
      </c>
      <c r="G258" s="28">
        <f t="shared" si="35"/>
        <v>6.2062578483842938E-20</v>
      </c>
      <c r="I258" s="21">
        <f t="shared" si="30"/>
        <v>2.1680775674796223E-5</v>
      </c>
      <c r="J258" s="47">
        <f t="shared" si="31"/>
        <v>4.656261985197592E-3</v>
      </c>
      <c r="K258" s="44">
        <f t="shared" si="36"/>
        <v>4.6661443512204203E-10</v>
      </c>
      <c r="L258" s="13"/>
      <c r="M258" s="10">
        <f t="shared" si="37"/>
        <v>-9.312523970395184E-3</v>
      </c>
      <c r="N258" s="10">
        <f t="shared" si="38"/>
        <v>9.312523970395184E-3</v>
      </c>
    </row>
    <row r="259" spans="1:14" x14ac:dyDescent="0.25">
      <c r="A259" s="1">
        <v>45289</v>
      </c>
      <c r="B259" s="2">
        <f t="shared" si="39"/>
        <v>252</v>
      </c>
      <c r="C259" s="3">
        <f>+VLOOKUP(A259,Precios!$B:$H,1+$C$3,0)</f>
        <v>248.24</v>
      </c>
      <c r="D259" s="10">
        <f t="shared" si="32"/>
        <v>-1.4333928925947981E-2</v>
      </c>
      <c r="E259" s="38">
        <f t="shared" si="33"/>
        <v>2.0546151845412822E-4</v>
      </c>
      <c r="F259" s="27">
        <f t="shared" si="34"/>
        <v>6.9814682807534987E-13</v>
      </c>
      <c r="G259" s="28">
        <f t="shared" si="35"/>
        <v>1.4344230740029459E-16</v>
      </c>
      <c r="I259" s="21"/>
      <c r="J259" s="21"/>
      <c r="K259" s="44"/>
      <c r="L259" s="13"/>
      <c r="M259" s="10"/>
      <c r="N259" s="10"/>
    </row>
    <row r="260" spans="1:14" x14ac:dyDescent="0.25">
      <c r="A260" s="1">
        <v>45288</v>
      </c>
      <c r="B260" s="2">
        <f t="shared" si="39"/>
        <v>253</v>
      </c>
      <c r="C260" s="3">
        <f>+VLOOKUP(A260,Precios!$B:$H,1+$C$3,0)</f>
        <v>251.85</v>
      </c>
      <c r="D260" s="10"/>
      <c r="E260" s="38"/>
      <c r="F260" s="27"/>
      <c r="G260" s="28"/>
    </row>
    <row r="261" spans="1:14" x14ac:dyDescent="0.25">
      <c r="A261" s="1"/>
      <c r="B261" s="2"/>
      <c r="C261" s="3"/>
      <c r="D261" s="10"/>
      <c r="E261" s="9"/>
      <c r="K261" s="18"/>
      <c r="L261" s="18"/>
    </row>
    <row r="262" spans="1:14" x14ac:dyDescent="0.25">
      <c r="A262" s="1"/>
      <c r="B262" s="2"/>
      <c r="C262" s="3"/>
      <c r="K262" s="13"/>
      <c r="L262" s="13"/>
    </row>
    <row r="263" spans="1:14" x14ac:dyDescent="0.25">
      <c r="A263" s="1"/>
      <c r="B263" s="2"/>
    </row>
    <row r="264" spans="1:14" x14ac:dyDescent="0.25">
      <c r="A264" s="4"/>
      <c r="B264" s="5"/>
      <c r="D264" s="11"/>
    </row>
    <row r="266" spans="1:14" x14ac:dyDescent="0.25">
      <c r="D266" s="11"/>
    </row>
    <row r="268" spans="1:14" x14ac:dyDescent="0.25">
      <c r="D268" s="11"/>
    </row>
    <row r="269" spans="1:14" x14ac:dyDescent="0.25">
      <c r="C269" s="3"/>
      <c r="D269" s="9"/>
    </row>
  </sheetData>
  <mergeCells count="2">
    <mergeCell ref="F5:G5"/>
    <mergeCell ref="I5:J5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1</xdr:col>
                    <xdr:colOff>942975</xdr:colOff>
                    <xdr:row>1</xdr:row>
                    <xdr:rowOff>85725</xdr:rowOff>
                  </from>
                  <to>
                    <xdr:col>3</xdr:col>
                    <xdr:colOff>676275</xdr:colOff>
                    <xdr:row>2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Precios</vt:lpstr>
      <vt:lpstr>Histórica</vt:lpstr>
      <vt:lpstr>Dinámica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Torres Ferrer Luis Noe</dc:creator>
  <cp:lastModifiedBy>Luis Noe Torres Ferrer</cp:lastModifiedBy>
  <cp:lastPrinted>2018-02-07T04:35:43Z</cp:lastPrinted>
  <dcterms:created xsi:type="dcterms:W3CDTF">2018-02-06T00:07:24Z</dcterms:created>
  <dcterms:modified xsi:type="dcterms:W3CDTF">2025-05-26T04:31:49Z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d2f93c13-d196-46f7-b726-a5a12bdcc901</vt:lpwstr>
  </property>
</Properties>
</file>
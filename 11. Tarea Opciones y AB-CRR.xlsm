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Derivados\"/>
    </mc:Choice>
  </mc:AlternateContent>
  <xr:revisionPtr revIDLastSave="0" documentId="13_ncr:1_{84C3295E-B064-493B-BCD5-EB89C1E61F5D}" xr6:coauthVersionLast="47" xr6:coauthVersionMax="47" xr10:uidLastSave="{00000000-0000-0000-0000-000000000000}"/>
  <bookViews>
    <workbookView xWindow="-120" yWindow="-120" windowWidth="29040" windowHeight="15720" activeTab="3" xr2:uid="{5C065CF6-8853-480F-ADDB-3E4C751FAFB4}"/>
  </bookViews>
  <sheets>
    <sheet name="P1 - Árboles Binomiales" sheetId="5" r:id="rId1"/>
    <sheet name="Curvas" sheetId="4" r:id="rId2"/>
    <sheet name="Datos" sheetId="3" r:id="rId3"/>
    <sheet name="P2 - Opciones B&amp;S Divisas" sheetId="2" r:id="rId4"/>
  </sheets>
  <functionGroups builtInGroupCount="19"/>
  <definedNames>
    <definedName name="CURVAEUR">#REF!</definedName>
    <definedName name="CURVAMXN">#REF!</definedName>
    <definedName name="CURVAMXP">#REF!</definedName>
    <definedName name="curvaprueba">#REF!</definedName>
    <definedName name="CURVAUSD">#REF!</definedName>
    <definedName name="VOL_EURUSD">#REF!</definedName>
    <definedName name="VOL_MXNUSD">#REF!</definedName>
    <definedName name="VOL_PLA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" l="1"/>
  <c r="B33" i="2"/>
  <c r="K3" i="5"/>
  <c r="F15" i="2"/>
  <c r="C15" i="2"/>
  <c r="F10" i="2" a="1"/>
  <c r="F14" i="2" a="1"/>
  <c r="C14" i="2" a="1"/>
  <c r="C10" i="2" a="1"/>
  <c r="C11" i="2" a="1"/>
  <c r="F11" i="2" a="1"/>
  <c r="F10" i="2" l="1"/>
  <c r="F11" i="2"/>
  <c r="F14" i="2"/>
  <c r="C11" i="2"/>
  <c r="C10" i="2"/>
  <c r="C14" i="2"/>
  <c r="F25" i="2" a="1"/>
  <c r="C25" i="2" a="1"/>
  <c r="C25" i="2" l="1"/>
  <c r="F25" i="2"/>
  <c r="C17" i="2"/>
  <c r="C20" i="2" s="1"/>
  <c r="C18" i="2"/>
  <c r="C21" i="2" s="1"/>
  <c r="C23" i="2" s="1"/>
  <c r="F17" i="2"/>
  <c r="F20" i="2" s="1"/>
  <c r="F18" i="2"/>
  <c r="F21" i="2" s="1"/>
  <c r="C33" i="2" l="1"/>
  <c r="C29" i="2"/>
  <c r="F23" i="2"/>
  <c r="F33" i="2" l="1"/>
  <c r="E29" i="2"/>
  <c r="I3" i="5"/>
  <c r="B23" i="5"/>
  <c r="F12" i="5"/>
  <c r="D14" i="5"/>
  <c r="E13" i="5"/>
  <c r="E14" i="5"/>
  <c r="F14" i="5"/>
  <c r="F13" i="5"/>
  <c r="F11" i="5"/>
  <c r="E12" i="5"/>
  <c r="D13" i="5"/>
  <c r="B15" i="5"/>
  <c r="E3" i="5"/>
  <c r="E31" i="5" l="1"/>
  <c r="F28" i="5"/>
  <c r="F29" i="5"/>
  <c r="F30" i="5"/>
  <c r="F31" i="5"/>
  <c r="F27" i="5"/>
  <c r="F19" i="5"/>
  <c r="E22" i="5"/>
  <c r="D23" i="5" s="1"/>
  <c r="E23" i="5"/>
  <c r="F20" i="5"/>
  <c r="E21" i="5" s="1"/>
  <c r="F21" i="5"/>
  <c r="F22" i="5"/>
  <c r="F23" i="5"/>
  <c r="C14" i="5"/>
  <c r="D15" i="5"/>
  <c r="E15" i="5" s="1"/>
  <c r="F15" i="5" s="1"/>
  <c r="C15" i="5"/>
  <c r="E4" i="5"/>
  <c r="E2" i="5"/>
  <c r="E1" i="5"/>
  <c r="I28" i="4"/>
  <c r="F28" i="4"/>
  <c r="D28" i="4"/>
  <c r="C28" i="4"/>
  <c r="H28" i="4" s="1"/>
  <c r="I27" i="4"/>
  <c r="F27" i="4"/>
  <c r="D27" i="4"/>
  <c r="C27" i="4"/>
  <c r="H27" i="4" s="1"/>
  <c r="I26" i="4"/>
  <c r="H26" i="4"/>
  <c r="F26" i="4"/>
  <c r="D26" i="4"/>
  <c r="C26" i="4"/>
  <c r="I25" i="4"/>
  <c r="F25" i="4"/>
  <c r="D25" i="4"/>
  <c r="C25" i="4"/>
  <c r="H25" i="4" s="1"/>
  <c r="I24" i="4"/>
  <c r="F24" i="4"/>
  <c r="D24" i="4"/>
  <c r="C24" i="4"/>
  <c r="H24" i="4" s="1"/>
  <c r="I23" i="4"/>
  <c r="H23" i="4"/>
  <c r="F23" i="4"/>
  <c r="D23" i="4"/>
  <c r="C23" i="4"/>
  <c r="I22" i="4"/>
  <c r="F22" i="4"/>
  <c r="D22" i="4"/>
  <c r="C22" i="4"/>
  <c r="H22" i="4" s="1"/>
  <c r="I21" i="4"/>
  <c r="H21" i="4"/>
  <c r="F21" i="4"/>
  <c r="D21" i="4"/>
  <c r="C21" i="4"/>
  <c r="I20" i="4"/>
  <c r="F20" i="4"/>
  <c r="D20" i="4"/>
  <c r="C20" i="4"/>
  <c r="H20" i="4" s="1"/>
  <c r="I19" i="4"/>
  <c r="F19" i="4"/>
  <c r="D19" i="4"/>
  <c r="C19" i="4"/>
  <c r="H19" i="4" s="1"/>
  <c r="I18" i="4"/>
  <c r="H18" i="4"/>
  <c r="F18" i="4"/>
  <c r="D18" i="4"/>
  <c r="C18" i="4"/>
  <c r="I17" i="4"/>
  <c r="F17" i="4"/>
  <c r="D17" i="4"/>
  <c r="C17" i="4"/>
  <c r="H17" i="4" s="1"/>
  <c r="I16" i="4"/>
  <c r="F16" i="4"/>
  <c r="D16" i="4"/>
  <c r="C16" i="4"/>
  <c r="H16" i="4" s="1"/>
  <c r="I15" i="4"/>
  <c r="H15" i="4"/>
  <c r="F15" i="4"/>
  <c r="D15" i="4"/>
  <c r="C15" i="4"/>
  <c r="I14" i="4"/>
  <c r="F14" i="4"/>
  <c r="D14" i="4"/>
  <c r="C14" i="4"/>
  <c r="H14" i="4" s="1"/>
  <c r="I13" i="4"/>
  <c r="H13" i="4"/>
  <c r="F13" i="4"/>
  <c r="D13" i="4"/>
  <c r="C13" i="4"/>
  <c r="I12" i="4"/>
  <c r="F12" i="4"/>
  <c r="D12" i="4"/>
  <c r="C12" i="4"/>
  <c r="H12" i="4" s="1"/>
  <c r="I11" i="4"/>
  <c r="F11" i="4"/>
  <c r="D11" i="4"/>
  <c r="C11" i="4"/>
  <c r="H11" i="4" s="1"/>
  <c r="I10" i="4"/>
  <c r="H10" i="4"/>
  <c r="F10" i="4"/>
  <c r="D10" i="4"/>
  <c r="C10" i="4"/>
  <c r="I9" i="4"/>
  <c r="F9" i="4"/>
  <c r="D9" i="4"/>
  <c r="C9" i="4"/>
  <c r="H9" i="4" s="1"/>
  <c r="I8" i="4"/>
  <c r="F8" i="4"/>
  <c r="D8" i="4"/>
  <c r="C8" i="4"/>
  <c r="H8" i="4" s="1"/>
  <c r="I7" i="4"/>
  <c r="H7" i="4"/>
  <c r="F7" i="4"/>
  <c r="D7" i="4"/>
  <c r="C7" i="4"/>
  <c r="I6" i="4"/>
  <c r="F6" i="4"/>
  <c r="D6" i="4"/>
  <c r="C6" i="4"/>
  <c r="H6" i="4" s="1"/>
  <c r="I5" i="4"/>
  <c r="H5" i="4"/>
  <c r="F5" i="4"/>
  <c r="D5" i="4"/>
  <c r="C5" i="4"/>
  <c r="I4" i="4"/>
  <c r="F4" i="4"/>
  <c r="D4" i="4"/>
  <c r="C4" i="4"/>
  <c r="H4" i="4" s="1"/>
  <c r="E28" i="5" l="1"/>
  <c r="E20" i="5"/>
  <c r="E30" i="5"/>
  <c r="D31" i="5" s="1"/>
  <c r="E29" i="5"/>
  <c r="D22" i="5"/>
  <c r="C23" i="5" s="1"/>
  <c r="D29" i="5"/>
  <c r="D21" i="5"/>
  <c r="C22" i="5"/>
  <c r="D30" i="5"/>
  <c r="C31" i="5" s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3" i="3"/>
  <c r="C30" i="5" l="1"/>
  <c r="B31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<sst xmlns="http://schemas.openxmlformats.org/spreadsheetml/2006/main" count="76" uniqueCount="59">
  <si>
    <t>Enunciado:</t>
  </si>
  <si>
    <t>OPCIÓN CALL</t>
  </si>
  <si>
    <t xml:space="preserve">R = </t>
  </si>
  <si>
    <t>S =</t>
  </si>
  <si>
    <t>K =</t>
  </si>
  <si>
    <t>Volatilidad =</t>
  </si>
  <si>
    <t>T =</t>
  </si>
  <si>
    <r>
      <t>d</t>
    </r>
    <r>
      <rPr>
        <b/>
        <sz val="8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=</t>
    </r>
  </si>
  <si>
    <r>
      <t>d</t>
    </r>
    <r>
      <rPr>
        <b/>
        <sz val="8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=</t>
    </r>
  </si>
  <si>
    <r>
      <t>N (d</t>
    </r>
    <r>
      <rPr>
        <b/>
        <sz val="8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) = </t>
    </r>
  </si>
  <si>
    <r>
      <t>N (d</t>
    </r>
    <r>
      <rPr>
        <b/>
        <sz val="8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) = </t>
    </r>
  </si>
  <si>
    <t>Prima del Call =</t>
  </si>
  <si>
    <t>OPCIÓN PUT</t>
  </si>
  <si>
    <r>
      <t>-d</t>
    </r>
    <r>
      <rPr>
        <b/>
        <sz val="8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=</t>
    </r>
  </si>
  <si>
    <r>
      <t>-d</t>
    </r>
    <r>
      <rPr>
        <b/>
        <sz val="8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=</t>
    </r>
  </si>
  <si>
    <r>
      <t>N (-d</t>
    </r>
    <r>
      <rPr>
        <b/>
        <sz val="8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) = </t>
    </r>
  </si>
  <si>
    <r>
      <t>N (-d</t>
    </r>
    <r>
      <rPr>
        <b/>
        <sz val="8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) = </t>
    </r>
  </si>
  <si>
    <t>Prima del Put =</t>
  </si>
  <si>
    <t>PARIDAD PUT - CALL</t>
  </si>
  <si>
    <t>=</t>
  </si>
  <si>
    <t xml:space="preserve">r = </t>
  </si>
  <si>
    <t>Prima del Call V.B. =</t>
  </si>
  <si>
    <t>Prima del Put V.B. =</t>
  </si>
  <si>
    <t>Fecha</t>
  </si>
  <si>
    <t>TC</t>
  </si>
  <si>
    <t>PRECIOS</t>
  </si>
  <si>
    <t>RENDIMIENTOS</t>
  </si>
  <si>
    <t>Curva de Tasas en Pesos (MXN)</t>
  </si>
  <si>
    <t>Curva de Tasas en Dólares (USD)</t>
  </si>
  <si>
    <t>Plazo</t>
  </si>
  <si>
    <t>Inf</t>
  </si>
  <si>
    <t>Sup</t>
  </si>
  <si>
    <t xml:space="preserve">Días = </t>
  </si>
  <si>
    <t>COMPOSICIÓN DE LA PRIMA</t>
  </si>
  <si>
    <t>Valor Intrínseco</t>
  </si>
  <si>
    <t>Valor Tiempo</t>
  </si>
  <si>
    <t>T : =</t>
  </si>
  <si>
    <t>U :=</t>
  </si>
  <si>
    <r>
      <rPr>
        <b/>
        <sz val="11"/>
        <color theme="1"/>
        <rFont val="Calibri"/>
        <family val="2"/>
      </rPr>
      <t>σ</t>
    </r>
    <r>
      <rPr>
        <b/>
        <sz val="11"/>
        <color theme="1"/>
        <rFont val="Calibri"/>
        <family val="2"/>
        <scheme val="minor"/>
      </rPr>
      <t xml:space="preserve"> :=</t>
    </r>
  </si>
  <si>
    <t>D :=</t>
  </si>
  <si>
    <t>R :=</t>
  </si>
  <si>
    <t>q :=</t>
  </si>
  <si>
    <t>r :=</t>
  </si>
  <si>
    <t>1-q :=</t>
  </si>
  <si>
    <t>S :=</t>
  </si>
  <si>
    <t>K :=</t>
  </si>
  <si>
    <t>SUBYACENTE</t>
  </si>
  <si>
    <t>Precio CALL EUROPEA</t>
  </si>
  <si>
    <t>Precio PUT EUROPEA</t>
  </si>
  <si>
    <t>Time Step : =</t>
  </si>
  <si>
    <t>Tiempo a Venc.</t>
  </si>
  <si>
    <t>max(S-K,0)</t>
  </si>
  <si>
    <t>No Compro</t>
  </si>
  <si>
    <t>No ejerzo la compra</t>
  </si>
  <si>
    <t>Call+K*Exp(-T*R)</t>
  </si>
  <si>
    <t>Put + Spot</t>
  </si>
  <si>
    <r>
      <t xml:space="preserve">Considere como Subyacente </t>
    </r>
    <r>
      <rPr>
        <b/>
        <i/>
        <sz val="11"/>
        <color theme="1"/>
        <rFont val="Calibri"/>
        <family val="2"/>
        <scheme val="minor"/>
      </rPr>
      <t xml:space="preserve">Divisas Pesos por Dólar </t>
    </r>
    <r>
      <rPr>
        <sz val="11"/>
        <color theme="1"/>
        <rFont val="Calibri"/>
        <family val="2"/>
        <scheme val="minor"/>
      </rPr>
      <t xml:space="preserve">(Tipo de Cambio), </t>
    </r>
    <r>
      <rPr>
        <i/>
        <sz val="11"/>
        <color theme="1"/>
        <rFont val="Calibri"/>
        <family val="2"/>
        <scheme val="minor"/>
      </rPr>
      <t xml:space="preserve">con precio en el mercado de </t>
    </r>
    <r>
      <rPr>
        <b/>
        <i/>
        <sz val="11"/>
        <color theme="1"/>
        <rFont val="Calibri"/>
        <family val="2"/>
        <scheme val="minor"/>
      </rPr>
      <t>$20.45</t>
    </r>
    <r>
      <rPr>
        <sz val="11"/>
        <color theme="1"/>
        <rFont val="Calibri"/>
        <family val="2"/>
        <scheme val="minor"/>
      </rPr>
      <t xml:space="preserve"> (Spot). Se requiere calcular la Prima de un Call y un Put que vence en </t>
    </r>
    <r>
      <rPr>
        <b/>
        <i/>
        <sz val="11"/>
        <color theme="1"/>
        <rFont val="Calibri"/>
        <family val="2"/>
        <scheme val="minor"/>
      </rPr>
      <t>3 meses (90 días)</t>
    </r>
    <r>
      <rPr>
        <sz val="11"/>
        <color theme="1"/>
        <rFont val="Calibri"/>
        <family val="2"/>
        <scheme val="minor"/>
      </rPr>
      <t>, cuyo Strike es de $20.00. Calcule la Tasa Local (R), Tasa Foránea (r) y la Volatilidad Dinámica las curvas y datos proporcionados.</t>
    </r>
  </si>
  <si>
    <t>Local</t>
  </si>
  <si>
    <t>Foranea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</si>
</sst>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&quot;$&quot;#,##0.0000;\-&quot;$&quot;#,##0.0000"/>
    <numFmt numFmtId="166" formatCode="0.0%"/>
    <numFmt numFmtId="167" formatCode="0.000"/>
    <numFmt numFmtId="168" formatCode="_-* #,##0.00000_-;\-* #,##0.00000_-;_-* &quot;-&quot;??_-;_-@_-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12"/>
      <name val="Arial"/>
      <family val="2"/>
    </font>
    <font>
      <b/>
      <sz val="11"/>
      <color theme="1"/>
      <name val="Calibri"/>
      <family val="2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1" fillId="0" borderId="0" xfId="0" quotePrefix="1" applyFont="1" applyAlignment="1">
      <alignment horizontal="center"/>
    </xf>
    <xf numFmtId="165" fontId="1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4" xfId="0" applyFont="1" applyBorder="1" applyAlignment="1">
      <alignment horizontal="center"/>
    </xf>
    <xf numFmtId="10" fontId="0" fillId="0" borderId="0" xfId="1" applyNumberFormat="1" applyFont="1" applyAlignment="1">
      <alignment horizontal="center"/>
    </xf>
    <xf numFmtId="0" fontId="5" fillId="0" borderId="0" xfId="0" applyFont="1" applyAlignment="1">
      <alignment horizontal="left"/>
    </xf>
    <xf numFmtId="14" fontId="1" fillId="0" borderId="0" xfId="0" applyNumberFormat="1" applyFont="1" applyAlignment="1">
      <alignment horizontal="center"/>
    </xf>
    <xf numFmtId="3" fontId="0" fillId="0" borderId="0" xfId="0" applyNumberFormat="1"/>
    <xf numFmtId="2" fontId="1" fillId="0" borderId="0" xfId="0" applyNumberFormat="1" applyFont="1" applyAlignment="1">
      <alignment horizontal="left"/>
    </xf>
    <xf numFmtId="2" fontId="0" fillId="0" borderId="0" xfId="0" applyNumberFormat="1"/>
    <xf numFmtId="0" fontId="1" fillId="0" borderId="0" xfId="0" applyFont="1" applyAlignment="1">
      <alignment horizontal="left"/>
    </xf>
    <xf numFmtId="166" fontId="0" fillId="0" borderId="0" xfId="1" applyNumberFormat="1" applyFont="1" applyFill="1"/>
    <xf numFmtId="44" fontId="0" fillId="0" borderId="0" xfId="3" applyFont="1" applyFill="1"/>
    <xf numFmtId="2" fontId="1" fillId="0" borderId="0" xfId="0" applyNumberFormat="1" applyFont="1" applyAlignment="1">
      <alignment horizontal="right"/>
    </xf>
    <xf numFmtId="0" fontId="7" fillId="0" borderId="0" xfId="0" applyFont="1"/>
    <xf numFmtId="1" fontId="1" fillId="0" borderId="0" xfId="0" applyNumberFormat="1" applyFont="1" applyAlignment="1">
      <alignment horizontal="center"/>
    </xf>
    <xf numFmtId="2" fontId="7" fillId="0" borderId="0" xfId="2" applyNumberFormat="1" applyFont="1" applyFill="1"/>
    <xf numFmtId="0" fontId="1" fillId="0" borderId="0" xfId="0" applyFont="1"/>
    <xf numFmtId="0" fontId="6" fillId="0" borderId="0" xfId="0" applyFont="1"/>
    <xf numFmtId="0" fontId="12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164" fontId="8" fillId="5" borderId="0" xfId="0" applyNumberFormat="1" applyFont="1" applyFill="1"/>
    <xf numFmtId="167" fontId="10" fillId="5" borderId="0" xfId="0" applyNumberFormat="1" applyFont="1" applyFill="1"/>
    <xf numFmtId="167" fontId="11" fillId="5" borderId="0" xfId="0" applyNumberFormat="1" applyFont="1" applyFill="1"/>
    <xf numFmtId="168" fontId="0" fillId="5" borderId="0" xfId="2" applyNumberFormat="1" applyFont="1" applyFill="1"/>
    <xf numFmtId="0" fontId="1" fillId="0" borderId="5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3" borderId="0" xfId="2" applyNumberFormat="1" applyFont="1" applyFill="1"/>
    <xf numFmtId="2" fontId="0" fillId="7" borderId="0" xfId="0" applyNumberFormat="1" applyFill="1"/>
    <xf numFmtId="2" fontId="0" fillId="4" borderId="0" xfId="0" applyNumberFormat="1" applyFill="1"/>
    <xf numFmtId="2" fontId="1" fillId="6" borderId="0" xfId="0" applyNumberFormat="1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0" fillId="0" borderId="0" xfId="0" applyAlignment="1">
      <alignment horizontal="left" wrapText="1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1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313766</xdr:colOff>
      <xdr:row>55</xdr:row>
      <xdr:rowOff>112060</xdr:rowOff>
    </xdr:from>
    <xdr:to>
      <xdr:col>14</xdr:col>
      <xdr:colOff>0</xdr:colOff>
      <xdr:row>56</xdr:row>
      <xdr:rowOff>145677</xdr:rowOff>
    </xdr:to>
    <xdr:sp macro="" textlink="">
      <xdr:nvSpPr>
        <xdr:cNvPr id="2" name="2 Rectángulo">
          <a:extLst>
            <a:ext uri="{FF2B5EF4-FFF2-40B4-BE49-F238E27FC236}">
              <a16:creationId xmlns:a16="http://schemas.microsoft.com/office/drawing/2014/main" id="{F14EDF9D-78B3-45D7-AE97-FBBFDDA7D10D}"/>
            </a:ext>
          </a:extLst>
        </xdr:cNvPr>
        <xdr:cNvSpPr/>
      </xdr:nvSpPr>
      <xdr:spPr>
        <a:xfrm>
          <a:off x="7606106" y="10079020"/>
          <a:ext cx="471094" cy="216497"/>
        </a:xfrm>
        <a:prstGeom prst="rect">
          <a:avLst/>
        </a:prstGeom>
        <a:solidFill>
          <a:srgbClr val="FF0000">
            <a:alpha val="20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12</xdr:col>
      <xdr:colOff>47065</xdr:colOff>
      <xdr:row>57</xdr:row>
      <xdr:rowOff>13447</xdr:rowOff>
    </xdr:from>
    <xdr:to>
      <xdr:col>13</xdr:col>
      <xdr:colOff>282388</xdr:colOff>
      <xdr:row>58</xdr:row>
      <xdr:rowOff>47064</xdr:rowOff>
    </xdr:to>
    <xdr:sp macro="" textlink="">
      <xdr:nvSpPr>
        <xdr:cNvPr id="3" name="5 Rectángulo">
          <a:extLst>
            <a:ext uri="{FF2B5EF4-FFF2-40B4-BE49-F238E27FC236}">
              <a16:creationId xmlns:a16="http://schemas.microsoft.com/office/drawing/2014/main" id="{995221C3-4B5C-443F-B8C8-15CD5DB06E3A}"/>
            </a:ext>
          </a:extLst>
        </xdr:cNvPr>
        <xdr:cNvSpPr/>
      </xdr:nvSpPr>
      <xdr:spPr>
        <a:xfrm>
          <a:off x="6882205" y="10346167"/>
          <a:ext cx="692523" cy="216497"/>
        </a:xfrm>
        <a:prstGeom prst="rect">
          <a:avLst/>
        </a:prstGeom>
        <a:solidFill>
          <a:srgbClr val="7030A0">
            <a:alpha val="20000"/>
          </a:srgb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8</xdr:col>
      <xdr:colOff>53915</xdr:colOff>
      <xdr:row>3</xdr:row>
      <xdr:rowOff>125802</xdr:rowOff>
    </xdr:from>
    <xdr:to>
      <xdr:col>12</xdr:col>
      <xdr:colOff>287547</xdr:colOff>
      <xdr:row>6</xdr:row>
      <xdr:rowOff>83641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9E1909-3FD6-1C18-34F4-82B4449DA6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1933" r="10132"/>
        <a:stretch/>
      </xdr:blipFill>
      <xdr:spPr>
        <a:xfrm>
          <a:off x="4115519" y="691910"/>
          <a:ext cx="3145047" cy="5239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152400</xdr:colOff>
      <xdr:row>8</xdr:row>
      <xdr:rowOff>0</xdr:rowOff>
    </xdr:from>
    <xdr:to>
      <xdr:col>10</xdr:col>
      <xdr:colOff>171449</xdr:colOff>
      <xdr:row>10</xdr:row>
      <xdr:rowOff>114369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A6530E8-0465-F258-EEED-A124F82F0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72300" y="1533525"/>
          <a:ext cx="3067049" cy="4953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1895475</xdr:colOff>
      <xdr:row>18</xdr:row>
      <xdr:rowOff>131111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2882CE3-B64E-E240-4149-65A4A4E99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057525"/>
          <a:ext cx="1895475" cy="5121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1792916</xdr:colOff>
      <xdr:row>22</xdr:row>
      <xdr:rowOff>161925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551F5F7-908A-8639-AE87-DDCA63542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819525"/>
          <a:ext cx="1792916" cy="542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1685925</xdr:colOff>
      <xdr:row>29</xdr:row>
      <xdr:rowOff>106279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5F50353-F5DA-A2AB-CBAD-FCB0A2B42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772025"/>
          <a:ext cx="1685925" cy="88732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104776</xdr:rowOff>
    </xdr:from>
    <xdr:to>
      <xdr:col>14</xdr:col>
      <xdr:colOff>620118</xdr:colOff>
      <xdr:row>22</xdr:row>
      <xdr:rowOff>158074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FD2CAB2-D051-A2A6-D667-05F18F71C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19900" y="2209801"/>
          <a:ext cx="6716118" cy="2148798"/>
        </a:xfrm>
        <a:prstGeom prst="rect">
          <a:avLst/>
        </a:prstGeom>
      </xdr:spPr>
    </xdr:pic>
    <xdr:clientData/>
  </xdr:twoCellAnchor>
  <xdr:twoCellAnchor editAs="oneCell">
    <xdr:from>
      <xdr:col>5</xdr:col>
      <xdr:colOff>419100</xdr:colOff>
      <xdr:row>26</xdr:row>
      <xdr:rowOff>66675</xdr:rowOff>
    </xdr:from>
    <xdr:to>
      <xdr:col>9</xdr:col>
      <xdr:colOff>192297</xdr:colOff>
      <xdr:row>29</xdr:row>
      <xdr:rowOff>9598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50D8A15-C2F7-4746-BF03-6D6AFD0A2ED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21933" r="10132"/>
        <a:stretch/>
      </xdr:blipFill>
      <xdr:spPr>
        <a:xfrm>
          <a:off x="6153150" y="5038725"/>
          <a:ext cx="3145047" cy="5239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CCBBF-FB2C-4143-B476-7D39CB4FD9CB}">
  <sheetPr codeName="Hoja7"/>
  <dimension ref="A1:U36"/>
  <sheetViews>
    <sheetView zoomScale="106" zoomScaleNormal="106" workbookViewId="0">
      <selection activeCell="K3" sqref="K3"/>
    </sheetView>
  </sheetViews>
  <sheetFormatPr baseColWidth="10" defaultColWidth="11.42578125" defaultRowHeight="15" x14ac:dyDescent="0.25"/>
  <cols>
    <col min="1" max="1" width="12.28515625" bestFit="1" customWidth="1"/>
    <col min="2" max="2" width="8.28515625" style="18" bestFit="1" customWidth="1"/>
    <col min="3" max="6" width="6.7109375" style="18" customWidth="1"/>
    <col min="8" max="8" width="2" bestFit="1" customWidth="1"/>
    <col min="9" max="9" width="19.7109375" bestFit="1" customWidth="1"/>
    <col min="10" max="10" width="6.7109375" customWidth="1"/>
    <col min="11" max="11" width="10.5703125" customWidth="1"/>
    <col min="12" max="13" width="6.7109375" customWidth="1"/>
  </cols>
  <sheetData>
    <row r="1" spans="1:14" x14ac:dyDescent="0.25">
      <c r="A1" s="17" t="s">
        <v>36</v>
      </c>
      <c r="B1" s="37">
        <v>1</v>
      </c>
      <c r="C1" s="18" t="s">
        <v>50</v>
      </c>
      <c r="D1" s="17" t="s">
        <v>37</v>
      </c>
      <c r="E1" s="32">
        <f>EXP(B2*(SQRT(B7)))</f>
        <v>1.1376901241657316</v>
      </c>
      <c r="I1" s="2" t="s">
        <v>18</v>
      </c>
    </row>
    <row r="2" spans="1:14" x14ac:dyDescent="0.25">
      <c r="A2" s="19" t="s">
        <v>38</v>
      </c>
      <c r="B2" s="20">
        <v>0.25800000000000001</v>
      </c>
      <c r="D2" s="17" t="s">
        <v>39</v>
      </c>
      <c r="E2" s="32">
        <f>EXP(-B2*(SQRT(B7)))</f>
        <v>0.87897396554558316</v>
      </c>
      <c r="I2" t="s">
        <v>54</v>
      </c>
      <c r="J2" s="1"/>
      <c r="K2" t="s">
        <v>55</v>
      </c>
    </row>
    <row r="3" spans="1:14" x14ac:dyDescent="0.25">
      <c r="A3" s="17" t="s">
        <v>40</v>
      </c>
      <c r="B3" s="20">
        <v>0.09</v>
      </c>
      <c r="D3" s="17" t="s">
        <v>41</v>
      </c>
      <c r="E3" s="33">
        <f>(EXP((B3-B4)*B7)-E2)/(E1-E2)</f>
        <v>0.51641338023734229</v>
      </c>
      <c r="I3" s="35">
        <f>B23+B6*EXP(-B3*B1)</f>
        <v>20.377735841216964</v>
      </c>
      <c r="J3" s="1" t="s">
        <v>19</v>
      </c>
      <c r="K3" s="35">
        <f>B31+B5*EXP(-B4*B1)</f>
        <v>20.37773584121696</v>
      </c>
    </row>
    <row r="4" spans="1:14" x14ac:dyDescent="0.25">
      <c r="A4" s="17" t="s">
        <v>42</v>
      </c>
      <c r="B4" s="20">
        <v>0.04</v>
      </c>
      <c r="D4" s="17" t="s">
        <v>43</v>
      </c>
      <c r="E4" s="34">
        <f>1-E3</f>
        <v>0.48358661976265771</v>
      </c>
    </row>
    <row r="5" spans="1:14" x14ac:dyDescent="0.25">
      <c r="A5" s="17" t="s">
        <v>44</v>
      </c>
      <c r="B5" s="21">
        <v>19.5</v>
      </c>
      <c r="D5" s="22"/>
      <c r="E5" s="6"/>
    </row>
    <row r="6" spans="1:14" x14ac:dyDescent="0.25">
      <c r="A6" s="17" t="s">
        <v>45</v>
      </c>
      <c r="B6" s="21">
        <v>20</v>
      </c>
      <c r="D6" s="22"/>
      <c r="E6" s="6"/>
    </row>
    <row r="7" spans="1:14" x14ac:dyDescent="0.25">
      <c r="A7" s="17" t="s">
        <v>49</v>
      </c>
      <c r="B7" s="37">
        <v>0.25</v>
      </c>
      <c r="D7" s="22"/>
      <c r="E7" s="6"/>
    </row>
    <row r="8" spans="1:14" x14ac:dyDescent="0.25">
      <c r="D8" s="22"/>
      <c r="E8" s="6"/>
    </row>
    <row r="9" spans="1:14" x14ac:dyDescent="0.25">
      <c r="B9" s="41" t="s">
        <v>46</v>
      </c>
      <c r="C9" s="41"/>
      <c r="D9" s="41"/>
      <c r="E9" s="41"/>
      <c r="F9" s="41"/>
      <c r="G9" s="23"/>
      <c r="N9" s="23"/>
    </row>
    <row r="10" spans="1:14" x14ac:dyDescent="0.25">
      <c r="B10" s="24">
        <v>0</v>
      </c>
      <c r="C10" s="24">
        <v>1</v>
      </c>
      <c r="D10" s="24">
        <v>2</v>
      </c>
      <c r="E10" s="24">
        <v>3</v>
      </c>
      <c r="F10" s="24">
        <v>4</v>
      </c>
      <c r="G10" s="25"/>
      <c r="N10" s="25"/>
    </row>
    <row r="11" spans="1:14" x14ac:dyDescent="0.25">
      <c r="A11" s="26">
        <v>4</v>
      </c>
      <c r="B11" s="38"/>
      <c r="C11" s="38"/>
      <c r="D11" s="38"/>
      <c r="E11" s="38"/>
      <c r="F11" s="38">
        <f>E12*$E$1</f>
        <v>32.668603059252952</v>
      </c>
      <c r="G11" s="25"/>
      <c r="N11" s="25"/>
    </row>
    <row r="12" spans="1:14" x14ac:dyDescent="0.25">
      <c r="A12" s="26">
        <v>3</v>
      </c>
      <c r="B12" s="38"/>
      <c r="C12" s="38"/>
      <c r="D12" s="38"/>
      <c r="E12" s="38">
        <f>D13*$E$1</f>
        <v>28.714851579826135</v>
      </c>
      <c r="F12" s="38">
        <f>E13*$E$1</f>
        <v>25.23960696317263</v>
      </c>
      <c r="G12" s="25"/>
      <c r="N12" s="25"/>
    </row>
    <row r="13" spans="1:14" x14ac:dyDescent="0.25">
      <c r="A13" s="26">
        <v>2</v>
      </c>
      <c r="B13" s="38"/>
      <c r="C13" s="38"/>
      <c r="D13" s="38">
        <f>C14*$E$1</f>
        <v>25.239606963172633</v>
      </c>
      <c r="E13" s="38">
        <f>D14*$E$1</f>
        <v>22.184957421231761</v>
      </c>
      <c r="F13" s="38">
        <f>E14*$E$1</f>
        <v>19.499999999999996</v>
      </c>
      <c r="G13" s="25"/>
      <c r="N13" s="25"/>
    </row>
    <row r="14" spans="1:14" x14ac:dyDescent="0.25">
      <c r="A14" s="26">
        <v>1</v>
      </c>
      <c r="B14" s="38"/>
      <c r="C14" s="38">
        <f>B15*$E$1</f>
        <v>22.184957421231765</v>
      </c>
      <c r="D14" s="38">
        <f>C15*$E$1</f>
        <v>19.499999999999996</v>
      </c>
      <c r="E14" s="38">
        <f>D15*$E$1</f>
        <v>17.13999232813887</v>
      </c>
      <c r="F14" s="38">
        <f>E15*$E$1</f>
        <v>15.065607026085095</v>
      </c>
      <c r="G14" s="25"/>
      <c r="N14" s="25"/>
    </row>
    <row r="15" spans="1:14" x14ac:dyDescent="0.25">
      <c r="A15" s="26">
        <v>0</v>
      </c>
      <c r="B15" s="38">
        <f>B5</f>
        <v>19.5</v>
      </c>
      <c r="C15" s="38">
        <f>B15*$E$2</f>
        <v>17.13999232813887</v>
      </c>
      <c r="D15" s="38">
        <f t="shared" ref="D15:F15" si="0">C15*$E$2</f>
        <v>15.065607026085095</v>
      </c>
      <c r="E15" s="38">
        <f t="shared" si="0"/>
        <v>13.242276351069416</v>
      </c>
      <c r="F15" s="38">
        <f t="shared" si="0"/>
        <v>11.639616157149979</v>
      </c>
      <c r="G15" s="25"/>
      <c r="N15" s="25"/>
    </row>
    <row r="16" spans="1:14" x14ac:dyDescent="0.25">
      <c r="A16" s="26"/>
      <c r="G16" s="23"/>
      <c r="H16" s="26"/>
      <c r="N16" s="23"/>
    </row>
    <row r="17" spans="1:21" x14ac:dyDescent="0.25">
      <c r="B17" s="42" t="s">
        <v>47</v>
      </c>
      <c r="C17" s="42"/>
      <c r="D17" s="42"/>
      <c r="E17" s="42"/>
      <c r="F17" s="42"/>
      <c r="G17" s="23"/>
      <c r="N17" s="23"/>
    </row>
    <row r="18" spans="1:21" x14ac:dyDescent="0.25">
      <c r="B18" s="3">
        <v>0</v>
      </c>
      <c r="C18" s="3">
        <v>1</v>
      </c>
      <c r="D18" s="3">
        <v>2</v>
      </c>
      <c r="E18" s="3">
        <v>3</v>
      </c>
      <c r="F18" s="3">
        <v>4</v>
      </c>
      <c r="G18" s="26"/>
    </row>
    <row r="19" spans="1:21" x14ac:dyDescent="0.25">
      <c r="A19" s="26">
        <v>4</v>
      </c>
      <c r="B19" s="39"/>
      <c r="C19" s="39"/>
      <c r="D19" s="39"/>
      <c r="E19" s="39"/>
      <c r="F19" s="39">
        <f>MAX(F11-$B$6,0)</f>
        <v>12.668603059252952</v>
      </c>
      <c r="G19" t="s">
        <v>51</v>
      </c>
    </row>
    <row r="20" spans="1:21" x14ac:dyDescent="0.25">
      <c r="A20" s="26">
        <v>3</v>
      </c>
      <c r="B20" s="39"/>
      <c r="C20" s="39"/>
      <c r="D20" s="39"/>
      <c r="E20" s="39">
        <f>(F19*$E$3+F20*$E$4)/(EXP($B$3*$B$7))</f>
        <v>8.8741092888721749</v>
      </c>
      <c r="F20" s="39">
        <f>MAX(F12-$B$6,0)</f>
        <v>5.2396069631726299</v>
      </c>
      <c r="G20" s="44" t="s">
        <v>52</v>
      </c>
    </row>
    <row r="21" spans="1:21" x14ac:dyDescent="0.25">
      <c r="A21" s="26">
        <v>2</v>
      </c>
      <c r="B21" s="39"/>
      <c r="C21" s="39"/>
      <c r="D21" s="39">
        <f>(E20*$E$3+E21*$E$4)/(EXP($B$3*$B$7))</f>
        <v>5.7316625059723583</v>
      </c>
      <c r="E21" s="39">
        <f t="shared" ref="E21:E23" si="1">(F20*$E$3+F21*$E$4)/(EXP($B$3*$B$7))</f>
        <v>2.6456023706376937</v>
      </c>
      <c r="F21" s="39">
        <f t="shared" ref="F21:F23" si="2">MAX(F13-$B$6,0)</f>
        <v>0</v>
      </c>
      <c r="G21" s="44"/>
    </row>
    <row r="22" spans="1:21" x14ac:dyDescent="0.25">
      <c r="A22" s="26">
        <v>1</v>
      </c>
      <c r="B22" s="39"/>
      <c r="C22" s="39">
        <f>(D21*$E$3+D22*$E$4)/(EXP($B$3*$B$7))</f>
        <v>3.5256688755584382</v>
      </c>
      <c r="D22" s="39">
        <f>(E21*$E$3+E22*$E$4)/(EXP($B$3*$B$7))</f>
        <v>1.3358276589673239</v>
      </c>
      <c r="E22" s="39">
        <f t="shared" si="1"/>
        <v>0</v>
      </c>
      <c r="F22" s="39">
        <f t="shared" si="2"/>
        <v>0</v>
      </c>
      <c r="G22" s="44"/>
    </row>
    <row r="23" spans="1:21" x14ac:dyDescent="0.25">
      <c r="A23" s="26">
        <v>0</v>
      </c>
      <c r="B23" s="39">
        <f>(C22*$E$3+C23*$E$4)/(EXP($B$3*$B$7))</f>
        <v>2.0991121357923999</v>
      </c>
      <c r="C23" s="39">
        <f>(D22*$E$3+D23*$E$4)/(EXP($B$3*$B$7))</f>
        <v>0.67449120633801152</v>
      </c>
      <c r="D23" s="39">
        <f t="shared" ref="D23" si="3">(E22*$E$3+E23*$E$4)/(EXP($B$3*$B$7))</f>
        <v>0</v>
      </c>
      <c r="E23" s="39">
        <f t="shared" si="1"/>
        <v>0</v>
      </c>
      <c r="F23" s="39">
        <f t="shared" si="2"/>
        <v>0</v>
      </c>
    </row>
    <row r="25" spans="1:21" x14ac:dyDescent="0.25">
      <c r="B25" s="43" t="s">
        <v>48</v>
      </c>
      <c r="C25" s="43"/>
      <c r="D25" s="43"/>
      <c r="E25" s="43"/>
      <c r="F25" s="43"/>
    </row>
    <row r="26" spans="1:21" x14ac:dyDescent="0.25">
      <c r="B26" s="3">
        <v>0</v>
      </c>
      <c r="C26" s="3">
        <v>1</v>
      </c>
      <c r="D26" s="3">
        <v>2</v>
      </c>
      <c r="E26" s="3">
        <v>3</v>
      </c>
      <c r="F26" s="3">
        <v>4</v>
      </c>
      <c r="O26" s="27"/>
      <c r="P26" s="27"/>
      <c r="Q26" s="27"/>
      <c r="R26" s="27"/>
      <c r="S26" s="27"/>
      <c r="T26" s="27"/>
      <c r="U26" s="27"/>
    </row>
    <row r="27" spans="1:21" x14ac:dyDescent="0.25">
      <c r="A27" s="26">
        <v>4</v>
      </c>
      <c r="B27" s="40"/>
      <c r="C27" s="40"/>
      <c r="D27" s="40"/>
      <c r="E27" s="40"/>
      <c r="F27" s="40">
        <f>MAX($B$6-F11,0)</f>
        <v>0</v>
      </c>
      <c r="G27" s="44" t="s">
        <v>53</v>
      </c>
      <c r="O27" s="27"/>
      <c r="P27" s="27"/>
      <c r="Q27" s="27"/>
      <c r="R27" s="27"/>
      <c r="S27" s="27"/>
      <c r="T27" s="27"/>
      <c r="U27" s="27"/>
    </row>
    <row r="28" spans="1:21" x14ac:dyDescent="0.25">
      <c r="A28" s="26">
        <v>3</v>
      </c>
      <c r="B28" s="40"/>
      <c r="C28" s="40"/>
      <c r="D28" s="40"/>
      <c r="E28" s="40">
        <f>(F27*$E$3+F28*$E$4)/(EXP($B$3*$B$7))</f>
        <v>0</v>
      </c>
      <c r="F28" s="40">
        <f t="shared" ref="F28:F31" si="4">MAX($B$6-F12,0)</f>
        <v>0</v>
      </c>
      <c r="G28" s="44"/>
      <c r="O28" s="26"/>
      <c r="P28" s="26"/>
      <c r="Q28" s="27"/>
      <c r="R28" s="27"/>
      <c r="S28" s="27"/>
      <c r="T28" s="27"/>
      <c r="U28" s="27"/>
    </row>
    <row r="29" spans="1:21" x14ac:dyDescent="0.25">
      <c r="A29" s="26">
        <v>2</v>
      </c>
      <c r="B29" s="40"/>
      <c r="C29" s="40"/>
      <c r="D29" s="40">
        <f>(E28*$E$3+E29*$E$4)/(EXP($B$3*$B$7))</f>
        <v>0.11178288254859803</v>
      </c>
      <c r="E29" s="40">
        <f>(F28*$E$3+F29*$E$4)/(EXP($B$3*$B$7))</f>
        <v>0.2364137078815427</v>
      </c>
      <c r="F29" s="40">
        <f t="shared" si="4"/>
        <v>0.50000000000000355</v>
      </c>
      <c r="O29" s="27"/>
      <c r="P29" s="27"/>
      <c r="Q29" s="27"/>
      <c r="R29" s="27"/>
      <c r="S29" s="27"/>
      <c r="T29" s="27"/>
      <c r="U29" s="27"/>
    </row>
    <row r="30" spans="1:21" ht="18.75" x14ac:dyDescent="0.3">
      <c r="A30" s="26">
        <v>1</v>
      </c>
      <c r="B30" s="40"/>
      <c r="C30" s="40">
        <f>(D29*$E$3+D30*$E$4)/(EXP($B$3*$B$7))</f>
        <v>0.69093044648079249</v>
      </c>
      <c r="D30" s="40">
        <f t="shared" ref="D30:D31" si="5">(E29*$E$3+E30*$E$4)/(EXP($B$3*$B$7))</f>
        <v>1.3419031661475951</v>
      </c>
      <c r="E30" s="40">
        <f>(F29*$E$3+F30*$E$4)/(EXP($B$3*$B$7))</f>
        <v>2.5855781889308225</v>
      </c>
      <c r="F30" s="40">
        <f t="shared" si="4"/>
        <v>4.9343929739149051</v>
      </c>
      <c r="O30" s="27"/>
      <c r="P30" s="28"/>
      <c r="Q30" s="27"/>
      <c r="R30" s="27"/>
      <c r="S30" s="27"/>
      <c r="T30" s="27"/>
      <c r="U30" s="27"/>
    </row>
    <row r="31" spans="1:21" ht="18.75" x14ac:dyDescent="0.3">
      <c r="A31" s="26">
        <v>0</v>
      </c>
      <c r="B31" s="40">
        <f>(C30*$E$3+C31*$E$4)/(EXP($B$3*$B$7))</f>
        <v>1.6423417777466598</v>
      </c>
      <c r="C31" s="40">
        <f>(D30*$E$3+D31*$E$4)/(EXP($B$3*$B$7))</f>
        <v>2.7356166187604973</v>
      </c>
      <c r="D31" s="40">
        <f t="shared" si="5"/>
        <v>4.3526616171324548</v>
      </c>
      <c r="E31" s="40">
        <f t="shared" ref="E31" si="6">(F30*$E$3+F31*$E$4)/(EXP($B$3*$B$7))</f>
        <v>6.4445112440299122</v>
      </c>
      <c r="F31" s="40">
        <f t="shared" si="4"/>
        <v>8.3603838428500215</v>
      </c>
      <c r="O31" s="29"/>
      <c r="P31" s="30"/>
      <c r="Q31" s="27"/>
      <c r="R31" s="27"/>
      <c r="S31" s="27"/>
      <c r="T31" s="27"/>
      <c r="U31" s="27"/>
    </row>
    <row r="32" spans="1:21" x14ac:dyDescent="0.25">
      <c r="O32" s="29"/>
      <c r="P32" s="29"/>
      <c r="Q32" s="27"/>
      <c r="R32" s="27"/>
      <c r="S32" s="27"/>
      <c r="T32" s="27"/>
      <c r="U32" s="27"/>
    </row>
    <row r="33" spans="15:21" x14ac:dyDescent="0.25">
      <c r="P33" s="26"/>
      <c r="Q33" s="27"/>
      <c r="R33" s="27"/>
      <c r="S33" s="27"/>
      <c r="T33" s="27"/>
      <c r="U33" s="27"/>
    </row>
    <row r="34" spans="15:21" x14ac:dyDescent="0.25">
      <c r="O34" s="27"/>
      <c r="P34" s="31"/>
      <c r="Q34" s="27"/>
      <c r="R34" s="27"/>
      <c r="S34" s="27"/>
      <c r="T34" s="27"/>
      <c r="U34" s="27"/>
    </row>
    <row r="35" spans="15:21" x14ac:dyDescent="0.25">
      <c r="O35" s="27"/>
      <c r="P35" s="27"/>
      <c r="Q35" s="27"/>
      <c r="R35" s="27"/>
      <c r="S35" s="27"/>
      <c r="T35" s="27"/>
      <c r="U35" s="27"/>
    </row>
    <row r="36" spans="15:21" x14ac:dyDescent="0.25">
      <c r="O36" s="27"/>
      <c r="P36" s="27"/>
      <c r="Q36" s="27"/>
      <c r="R36" s="27"/>
      <c r="S36" s="27"/>
      <c r="T36" s="27"/>
      <c r="U36" s="27"/>
    </row>
  </sheetData>
  <mergeCells count="5">
    <mergeCell ref="B9:F9"/>
    <mergeCell ref="B17:F17"/>
    <mergeCell ref="B25:F25"/>
    <mergeCell ref="G20:G22"/>
    <mergeCell ref="G27:G2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108B-31B8-49E2-81BB-38931882A7B8}">
  <sheetPr codeName="Hoja3"/>
  <dimension ref="A2:O28"/>
  <sheetViews>
    <sheetView workbookViewId="0">
      <selection activeCell="E20" sqref="E20"/>
    </sheetView>
  </sheetViews>
  <sheetFormatPr baseColWidth="10" defaultRowHeight="15" x14ac:dyDescent="0.25"/>
  <sheetData>
    <row r="2" spans="1:15" x14ac:dyDescent="0.25">
      <c r="A2" s="14" t="s">
        <v>27</v>
      </c>
      <c r="F2" s="14" t="s">
        <v>28</v>
      </c>
    </row>
    <row r="3" spans="1:15" x14ac:dyDescent="0.25">
      <c r="A3" s="3" t="s">
        <v>29</v>
      </c>
      <c r="B3" s="15" t="s">
        <v>30</v>
      </c>
      <c r="C3" s="3" t="s">
        <v>29</v>
      </c>
      <c r="D3" s="15" t="s">
        <v>31</v>
      </c>
      <c r="F3" s="3" t="s">
        <v>29</v>
      </c>
      <c r="G3" s="15" t="s">
        <v>30</v>
      </c>
      <c r="H3" s="3" t="s">
        <v>29</v>
      </c>
      <c r="I3" s="15" t="s">
        <v>31</v>
      </c>
      <c r="L3" s="3"/>
      <c r="M3" s="15"/>
      <c r="N3" s="3"/>
      <c r="O3" s="15"/>
    </row>
    <row r="4" spans="1:15" x14ac:dyDescent="0.25">
      <c r="A4">
        <v>1</v>
      </c>
      <c r="B4" s="13">
        <v>9.5000000000000001E-2</v>
      </c>
      <c r="C4">
        <f>+A5</f>
        <v>7</v>
      </c>
      <c r="D4" s="13">
        <f>+B5</f>
        <v>9.4890000000000002E-2</v>
      </c>
      <c r="F4">
        <f>+A4</f>
        <v>1</v>
      </c>
      <c r="G4" s="13">
        <v>4.3520000000000003E-2</v>
      </c>
      <c r="H4">
        <f>+C4</f>
        <v>7</v>
      </c>
      <c r="I4" s="13">
        <f>+G5</f>
        <v>4.342E-2</v>
      </c>
      <c r="M4" s="13"/>
      <c r="O4" s="13"/>
    </row>
    <row r="5" spans="1:15" x14ac:dyDescent="0.25">
      <c r="A5">
        <v>7</v>
      </c>
      <c r="B5" s="13">
        <v>9.4890000000000002E-2</v>
      </c>
      <c r="C5">
        <f t="shared" ref="C5:D27" si="0">+A6</f>
        <v>14</v>
      </c>
      <c r="D5" s="13">
        <f t="shared" si="0"/>
        <v>9.4829999999999998E-2</v>
      </c>
      <c r="F5">
        <f t="shared" ref="F5:F28" si="1">+A5</f>
        <v>7</v>
      </c>
      <c r="G5" s="13">
        <v>4.342E-2</v>
      </c>
      <c r="H5">
        <f t="shared" ref="H5:H28" si="2">+C5</f>
        <v>14</v>
      </c>
      <c r="I5" s="13">
        <f t="shared" ref="I5:I27" si="3">+G6</f>
        <v>4.3249999999999997E-2</v>
      </c>
      <c r="M5" s="13"/>
      <c r="O5" s="13"/>
    </row>
    <row r="6" spans="1:15" x14ac:dyDescent="0.25">
      <c r="A6">
        <v>14</v>
      </c>
      <c r="B6" s="13">
        <v>9.4829999999999998E-2</v>
      </c>
      <c r="C6">
        <f t="shared" si="0"/>
        <v>28</v>
      </c>
      <c r="D6" s="13">
        <f t="shared" si="0"/>
        <v>9.4600000000000004E-2</v>
      </c>
      <c r="F6">
        <f t="shared" si="1"/>
        <v>14</v>
      </c>
      <c r="G6" s="13">
        <v>4.3249999999999997E-2</v>
      </c>
      <c r="H6">
        <f t="shared" si="2"/>
        <v>28</v>
      </c>
      <c r="I6" s="13">
        <f t="shared" si="3"/>
        <v>4.2900000000000001E-2</v>
      </c>
      <c r="M6" s="13"/>
      <c r="O6" s="13"/>
    </row>
    <row r="7" spans="1:15" x14ac:dyDescent="0.25">
      <c r="A7">
        <v>28</v>
      </c>
      <c r="B7" s="13">
        <v>9.4600000000000004E-2</v>
      </c>
      <c r="C7">
        <f t="shared" si="0"/>
        <v>56</v>
      </c>
      <c r="D7" s="13">
        <f t="shared" si="0"/>
        <v>9.3400000000000011E-2</v>
      </c>
      <c r="F7">
        <f t="shared" si="1"/>
        <v>28</v>
      </c>
      <c r="G7" s="13">
        <v>4.2900000000000001E-2</v>
      </c>
      <c r="H7">
        <f t="shared" si="2"/>
        <v>56</v>
      </c>
      <c r="I7" s="13">
        <f t="shared" si="3"/>
        <v>4.299E-2</v>
      </c>
      <c r="M7" s="13"/>
      <c r="O7" s="13"/>
    </row>
    <row r="8" spans="1:15" x14ac:dyDescent="0.25">
      <c r="A8">
        <v>56</v>
      </c>
      <c r="B8" s="13">
        <v>9.3400000000000011E-2</v>
      </c>
      <c r="C8">
        <f t="shared" si="0"/>
        <v>91</v>
      </c>
      <c r="D8" s="13">
        <f t="shared" si="0"/>
        <v>9.2200000000000004E-2</v>
      </c>
      <c r="F8">
        <f t="shared" si="1"/>
        <v>56</v>
      </c>
      <c r="G8" s="13">
        <v>4.299E-2</v>
      </c>
      <c r="H8">
        <f t="shared" si="2"/>
        <v>91</v>
      </c>
      <c r="I8" s="13">
        <f t="shared" si="3"/>
        <v>4.292E-2</v>
      </c>
      <c r="M8" s="13"/>
      <c r="O8" s="13"/>
    </row>
    <row r="9" spans="1:15" x14ac:dyDescent="0.25">
      <c r="A9">
        <v>91</v>
      </c>
      <c r="B9" s="13">
        <v>9.2200000000000004E-2</v>
      </c>
      <c r="C9">
        <f t="shared" si="0"/>
        <v>182</v>
      </c>
      <c r="D9" s="13">
        <f t="shared" si="0"/>
        <v>9.11E-2</v>
      </c>
      <c r="F9">
        <f t="shared" si="1"/>
        <v>91</v>
      </c>
      <c r="G9" s="13">
        <v>4.292E-2</v>
      </c>
      <c r="H9">
        <f t="shared" si="2"/>
        <v>182</v>
      </c>
      <c r="I9" s="13">
        <f t="shared" si="3"/>
        <v>4.2290000000000001E-2</v>
      </c>
      <c r="M9" s="13"/>
      <c r="O9" s="13"/>
    </row>
    <row r="10" spans="1:15" x14ac:dyDescent="0.25">
      <c r="A10">
        <v>182</v>
      </c>
      <c r="B10" s="13">
        <v>9.11E-2</v>
      </c>
      <c r="C10">
        <f t="shared" si="0"/>
        <v>273</v>
      </c>
      <c r="D10" s="13">
        <f t="shared" si="0"/>
        <v>9.0700000000000003E-2</v>
      </c>
      <c r="F10">
        <f t="shared" si="1"/>
        <v>182</v>
      </c>
      <c r="G10" s="13">
        <v>4.2290000000000001E-2</v>
      </c>
      <c r="H10">
        <f t="shared" si="2"/>
        <v>273</v>
      </c>
      <c r="I10" s="13">
        <f t="shared" si="3"/>
        <v>4.1685E-2</v>
      </c>
      <c r="M10" s="13"/>
      <c r="O10" s="13"/>
    </row>
    <row r="11" spans="1:15" x14ac:dyDescent="0.25">
      <c r="A11">
        <v>273</v>
      </c>
      <c r="B11" s="13">
        <v>9.0700000000000003E-2</v>
      </c>
      <c r="C11">
        <f t="shared" si="0"/>
        <v>364</v>
      </c>
      <c r="D11" s="13">
        <f t="shared" si="0"/>
        <v>9.1300000000000006E-2</v>
      </c>
      <c r="F11">
        <f t="shared" si="1"/>
        <v>273</v>
      </c>
      <c r="G11" s="13">
        <v>4.1685E-2</v>
      </c>
      <c r="H11">
        <f t="shared" si="2"/>
        <v>364</v>
      </c>
      <c r="I11" s="13">
        <f t="shared" si="3"/>
        <v>4.1079999999999998E-2</v>
      </c>
      <c r="M11" s="13"/>
      <c r="O11" s="13"/>
    </row>
    <row r="12" spans="1:15" x14ac:dyDescent="0.25">
      <c r="A12">
        <v>364</v>
      </c>
      <c r="B12" s="13">
        <v>9.1300000000000006E-2</v>
      </c>
      <c r="C12">
        <f t="shared" si="0"/>
        <v>580</v>
      </c>
      <c r="D12" s="13">
        <f t="shared" si="0"/>
        <v>9.0800000000000006E-2</v>
      </c>
      <c r="F12">
        <f t="shared" si="1"/>
        <v>364</v>
      </c>
      <c r="G12" s="13">
        <v>4.1079999999999998E-2</v>
      </c>
      <c r="H12">
        <f t="shared" si="2"/>
        <v>580</v>
      </c>
      <c r="I12" s="13">
        <f t="shared" si="3"/>
        <v>4.0724999999999997E-2</v>
      </c>
      <c r="M12" s="13"/>
      <c r="O12" s="13"/>
    </row>
    <row r="13" spans="1:15" x14ac:dyDescent="0.25">
      <c r="A13">
        <v>580</v>
      </c>
      <c r="B13" s="13">
        <v>9.0800000000000006E-2</v>
      </c>
      <c r="C13">
        <f t="shared" si="0"/>
        <v>728</v>
      </c>
      <c r="D13" s="13">
        <f t="shared" si="0"/>
        <v>8.9870000000000005E-2</v>
      </c>
      <c r="F13">
        <f t="shared" si="1"/>
        <v>580</v>
      </c>
      <c r="G13" s="13">
        <v>4.0724999999999997E-2</v>
      </c>
      <c r="H13">
        <f t="shared" si="2"/>
        <v>728</v>
      </c>
      <c r="I13" s="13">
        <f t="shared" si="3"/>
        <v>4.0369999999999996E-2</v>
      </c>
      <c r="M13" s="13"/>
      <c r="O13" s="13"/>
    </row>
    <row r="14" spans="1:15" x14ac:dyDescent="0.25">
      <c r="A14">
        <v>728</v>
      </c>
      <c r="B14" s="13">
        <v>8.9870000000000005E-2</v>
      </c>
      <c r="C14">
        <f t="shared" si="0"/>
        <v>900</v>
      </c>
      <c r="D14" s="13">
        <f t="shared" si="0"/>
        <v>8.9429999999999996E-2</v>
      </c>
      <c r="F14">
        <f t="shared" si="1"/>
        <v>728</v>
      </c>
      <c r="G14" s="13">
        <v>4.0369999999999996E-2</v>
      </c>
      <c r="H14">
        <f t="shared" si="2"/>
        <v>900</v>
      </c>
      <c r="I14" s="13">
        <f t="shared" si="3"/>
        <v>4.0254999999999999E-2</v>
      </c>
      <c r="M14" s="13"/>
      <c r="O14" s="13"/>
    </row>
    <row r="15" spans="1:15" x14ac:dyDescent="0.25">
      <c r="A15">
        <v>900</v>
      </c>
      <c r="B15" s="13">
        <v>8.9429999999999996E-2</v>
      </c>
      <c r="C15">
        <f t="shared" si="0"/>
        <v>1092</v>
      </c>
      <c r="D15" s="13">
        <f t="shared" si="0"/>
        <v>8.8840000000000002E-2</v>
      </c>
      <c r="F15">
        <f t="shared" si="1"/>
        <v>900</v>
      </c>
      <c r="G15" s="13">
        <v>4.0254999999999999E-2</v>
      </c>
      <c r="H15">
        <f t="shared" si="2"/>
        <v>1092</v>
      </c>
      <c r="I15" s="13">
        <f t="shared" si="3"/>
        <v>4.0140000000000002E-2</v>
      </c>
      <c r="M15" s="13"/>
      <c r="O15" s="13"/>
    </row>
    <row r="16" spans="1:15" x14ac:dyDescent="0.25">
      <c r="A16" s="16">
        <v>1092</v>
      </c>
      <c r="B16" s="13">
        <v>8.8840000000000002E-2</v>
      </c>
      <c r="C16">
        <f t="shared" si="0"/>
        <v>1260</v>
      </c>
      <c r="D16" s="13">
        <f t="shared" si="0"/>
        <v>8.9130000000000001E-2</v>
      </c>
      <c r="F16">
        <f t="shared" si="1"/>
        <v>1092</v>
      </c>
      <c r="G16" s="13">
        <v>4.0140000000000002E-2</v>
      </c>
      <c r="H16">
        <f t="shared" si="2"/>
        <v>1260</v>
      </c>
      <c r="I16" s="13">
        <f t="shared" si="3"/>
        <v>4.0300000000000002E-2</v>
      </c>
      <c r="L16" s="16"/>
      <c r="M16" s="13"/>
      <c r="O16" s="13"/>
    </row>
    <row r="17" spans="1:15" x14ac:dyDescent="0.25">
      <c r="A17" s="16">
        <v>1260</v>
      </c>
      <c r="B17" s="13">
        <v>8.9130000000000001E-2</v>
      </c>
      <c r="C17">
        <f t="shared" si="0"/>
        <v>1440</v>
      </c>
      <c r="D17" s="13">
        <f t="shared" si="0"/>
        <v>8.9873999999999996E-2</v>
      </c>
      <c r="F17">
        <f t="shared" si="1"/>
        <v>1260</v>
      </c>
      <c r="G17" s="13">
        <v>4.0300000000000002E-2</v>
      </c>
      <c r="H17">
        <f t="shared" si="2"/>
        <v>1440</v>
      </c>
      <c r="I17" s="13">
        <f t="shared" si="3"/>
        <v>4.0500000000000001E-2</v>
      </c>
      <c r="L17" s="16"/>
      <c r="M17" s="13"/>
      <c r="O17" s="13"/>
    </row>
    <row r="18" spans="1:15" x14ac:dyDescent="0.25">
      <c r="A18" s="16">
        <v>1440</v>
      </c>
      <c r="B18" s="13">
        <v>8.9873999999999996E-2</v>
      </c>
      <c r="C18">
        <f t="shared" si="0"/>
        <v>1800</v>
      </c>
      <c r="D18" s="13">
        <f t="shared" si="0"/>
        <v>9.1440000000000007E-2</v>
      </c>
      <c r="F18">
        <f t="shared" si="1"/>
        <v>1440</v>
      </c>
      <c r="G18" s="13">
        <v>4.0500000000000001E-2</v>
      </c>
      <c r="H18">
        <f t="shared" si="2"/>
        <v>1800</v>
      </c>
      <c r="I18" s="13">
        <f t="shared" si="3"/>
        <v>4.0930000000000001E-2</v>
      </c>
      <c r="L18" s="16"/>
      <c r="M18" s="13"/>
      <c r="O18" s="13"/>
    </row>
    <row r="19" spans="1:15" x14ac:dyDescent="0.25">
      <c r="A19" s="16">
        <v>1800</v>
      </c>
      <c r="B19" s="13">
        <v>9.1440000000000007E-2</v>
      </c>
      <c r="C19">
        <f t="shared" si="0"/>
        <v>2160</v>
      </c>
      <c r="D19" s="13">
        <f t="shared" si="0"/>
        <v>9.1889999999999999E-2</v>
      </c>
      <c r="F19">
        <f t="shared" si="1"/>
        <v>1800</v>
      </c>
      <c r="G19" s="13">
        <v>4.0930000000000001E-2</v>
      </c>
      <c r="H19">
        <f t="shared" si="2"/>
        <v>2160</v>
      </c>
      <c r="I19" s="13">
        <f t="shared" si="3"/>
        <v>4.1535000000000002E-2</v>
      </c>
      <c r="L19" s="16"/>
      <c r="M19" s="13"/>
      <c r="O19" s="13"/>
    </row>
    <row r="20" spans="1:15" x14ac:dyDescent="0.25">
      <c r="A20" s="16">
        <v>2160</v>
      </c>
      <c r="B20" s="13">
        <v>9.1889999999999999E-2</v>
      </c>
      <c r="C20">
        <f t="shared" si="0"/>
        <v>2520</v>
      </c>
      <c r="D20" s="13">
        <f t="shared" si="0"/>
        <v>9.2340000000000005E-2</v>
      </c>
      <c r="F20">
        <f t="shared" si="1"/>
        <v>2160</v>
      </c>
      <c r="G20" s="13">
        <v>4.1535000000000002E-2</v>
      </c>
      <c r="H20">
        <f t="shared" si="2"/>
        <v>2520</v>
      </c>
      <c r="I20" s="13">
        <f t="shared" si="3"/>
        <v>4.2140000000000004E-2</v>
      </c>
      <c r="L20" s="16"/>
      <c r="M20" s="13"/>
      <c r="O20" s="13"/>
    </row>
    <row r="21" spans="1:15" x14ac:dyDescent="0.25">
      <c r="A21" s="16">
        <v>2520</v>
      </c>
      <c r="B21" s="13">
        <v>9.2340000000000005E-2</v>
      </c>
      <c r="C21">
        <f t="shared" si="0"/>
        <v>2880</v>
      </c>
      <c r="D21" s="13">
        <f t="shared" si="0"/>
        <v>9.2799999999999994E-2</v>
      </c>
      <c r="F21">
        <f t="shared" si="1"/>
        <v>2520</v>
      </c>
      <c r="G21" s="13">
        <v>4.2140000000000004E-2</v>
      </c>
      <c r="H21">
        <f t="shared" si="2"/>
        <v>2880</v>
      </c>
      <c r="I21" s="13">
        <f t="shared" si="3"/>
        <v>4.2500000000000003E-2</v>
      </c>
      <c r="L21" s="16"/>
      <c r="M21" s="13"/>
      <c r="O21" s="13"/>
    </row>
    <row r="22" spans="1:15" x14ac:dyDescent="0.25">
      <c r="A22" s="16">
        <v>2880</v>
      </c>
      <c r="B22" s="13">
        <v>9.2799999999999994E-2</v>
      </c>
      <c r="C22">
        <f t="shared" si="0"/>
        <v>3240</v>
      </c>
      <c r="D22" s="13">
        <f t="shared" si="0"/>
        <v>9.3299999999999994E-2</v>
      </c>
      <c r="F22">
        <f t="shared" si="1"/>
        <v>2880</v>
      </c>
      <c r="G22" s="13">
        <v>4.2500000000000003E-2</v>
      </c>
      <c r="H22">
        <f t="shared" si="2"/>
        <v>3240</v>
      </c>
      <c r="I22" s="13">
        <f t="shared" si="3"/>
        <v>4.2999999999999997E-2</v>
      </c>
      <c r="L22" s="16"/>
      <c r="M22" s="13"/>
      <c r="O22" s="13"/>
    </row>
    <row r="23" spans="1:15" x14ac:dyDescent="0.25">
      <c r="A23" s="16">
        <v>3240</v>
      </c>
      <c r="B23" s="13">
        <v>9.3299999999999994E-2</v>
      </c>
      <c r="C23">
        <f t="shared" si="0"/>
        <v>3600</v>
      </c>
      <c r="D23" s="13">
        <f t="shared" si="0"/>
        <v>9.444000000000001E-2</v>
      </c>
      <c r="F23">
        <f t="shared" si="1"/>
        <v>3240</v>
      </c>
      <c r="G23" s="13">
        <v>4.2999999999999997E-2</v>
      </c>
      <c r="H23">
        <f t="shared" si="2"/>
        <v>3600</v>
      </c>
      <c r="I23" s="13">
        <f t="shared" si="3"/>
        <v>4.3310000000000001E-2</v>
      </c>
      <c r="L23" s="16"/>
      <c r="M23" s="13"/>
      <c r="O23" s="13"/>
    </row>
    <row r="24" spans="1:15" x14ac:dyDescent="0.25">
      <c r="A24" s="16">
        <v>3600</v>
      </c>
      <c r="B24" s="13">
        <v>9.444000000000001E-2</v>
      </c>
      <c r="C24">
        <f t="shared" si="0"/>
        <v>5400</v>
      </c>
      <c r="D24" s="13">
        <f t="shared" si="0"/>
        <v>9.6940000000000012E-2</v>
      </c>
      <c r="F24">
        <f t="shared" si="1"/>
        <v>3600</v>
      </c>
      <c r="G24" s="13">
        <v>4.3310000000000001E-2</v>
      </c>
      <c r="H24">
        <f t="shared" si="2"/>
        <v>5400</v>
      </c>
      <c r="I24" s="13">
        <f t="shared" si="3"/>
        <v>4.5079999999999995E-2</v>
      </c>
      <c r="L24" s="16"/>
      <c r="M24" s="13"/>
      <c r="O24" s="13"/>
    </row>
    <row r="25" spans="1:15" x14ac:dyDescent="0.25">
      <c r="A25" s="16">
        <v>5400</v>
      </c>
      <c r="B25" s="13">
        <v>9.6940000000000012E-2</v>
      </c>
      <c r="C25">
        <f t="shared" si="0"/>
        <v>7200</v>
      </c>
      <c r="D25" s="13">
        <f t="shared" si="0"/>
        <v>9.9640000000000006E-2</v>
      </c>
      <c r="F25">
        <f t="shared" si="1"/>
        <v>5400</v>
      </c>
      <c r="G25" s="13">
        <v>4.5079999999999995E-2</v>
      </c>
      <c r="H25">
        <f t="shared" si="2"/>
        <v>7200</v>
      </c>
      <c r="I25" s="13">
        <f t="shared" si="3"/>
        <v>4.6849999999999996E-2</v>
      </c>
      <c r="L25" s="16"/>
      <c r="M25" s="13"/>
      <c r="O25" s="13"/>
    </row>
    <row r="26" spans="1:15" x14ac:dyDescent="0.25">
      <c r="A26" s="16">
        <v>7200</v>
      </c>
      <c r="B26" s="13">
        <v>9.9640000000000006E-2</v>
      </c>
      <c r="C26">
        <f t="shared" si="0"/>
        <v>9000</v>
      </c>
      <c r="D26" s="13">
        <f t="shared" si="0"/>
        <v>9.9820000000000006E-2</v>
      </c>
      <c r="F26">
        <f t="shared" si="1"/>
        <v>7200</v>
      </c>
      <c r="G26" s="13">
        <v>4.6849999999999996E-2</v>
      </c>
      <c r="H26">
        <f t="shared" si="2"/>
        <v>9000</v>
      </c>
      <c r="I26" s="13">
        <f t="shared" si="3"/>
        <v>4.6704999999999997E-2</v>
      </c>
      <c r="L26" s="16"/>
      <c r="M26" s="13"/>
      <c r="O26" s="13"/>
    </row>
    <row r="27" spans="1:15" x14ac:dyDescent="0.25">
      <c r="A27" s="16">
        <v>9000</v>
      </c>
      <c r="B27" s="13">
        <v>9.9820000000000006E-2</v>
      </c>
      <c r="C27">
        <f t="shared" si="0"/>
        <v>10800</v>
      </c>
      <c r="D27" s="13">
        <f t="shared" si="0"/>
        <v>0.10003999999999999</v>
      </c>
      <c r="F27">
        <f t="shared" si="1"/>
        <v>9000</v>
      </c>
      <c r="G27" s="13">
        <v>4.6704999999999997E-2</v>
      </c>
      <c r="H27">
        <f t="shared" si="2"/>
        <v>10800</v>
      </c>
      <c r="I27" s="13">
        <f t="shared" si="3"/>
        <v>4.6559999999999997E-2</v>
      </c>
      <c r="L27" s="16"/>
      <c r="M27" s="13"/>
      <c r="O27" s="13"/>
    </row>
    <row r="28" spans="1:15" x14ac:dyDescent="0.25">
      <c r="A28" s="16">
        <v>10800</v>
      </c>
      <c r="B28" s="13">
        <v>0.10003999999999999</v>
      </c>
      <c r="C28" s="16">
        <f>+A28</f>
        <v>10800</v>
      </c>
      <c r="D28" s="13">
        <f>+B28</f>
        <v>0.10003999999999999</v>
      </c>
      <c r="F28">
        <f t="shared" si="1"/>
        <v>10800</v>
      </c>
      <c r="G28" s="13">
        <v>4.6559999999999997E-2</v>
      </c>
      <c r="H28">
        <f t="shared" si="2"/>
        <v>10800</v>
      </c>
      <c r="I28" s="13">
        <f>+G28</f>
        <v>4.6559999999999997E-2</v>
      </c>
      <c r="L28" s="16"/>
      <c r="M28" s="13"/>
      <c r="O28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32FF-7420-4055-89EB-92DD1CE56DDD}">
  <sheetPr codeName="Hoja4"/>
  <dimension ref="A1:F328"/>
  <sheetViews>
    <sheetView workbookViewId="0">
      <pane xSplit="1" ySplit="2" topLeftCell="B22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5" x14ac:dyDescent="0.25"/>
  <sheetData>
    <row r="1" spans="1:6" x14ac:dyDescent="0.25">
      <c r="B1" s="36" t="s">
        <v>25</v>
      </c>
      <c r="C1" s="36" t="s">
        <v>26</v>
      </c>
    </row>
    <row r="2" spans="1:6" x14ac:dyDescent="0.25">
      <c r="A2" s="12" t="s">
        <v>23</v>
      </c>
      <c r="B2" s="12" t="s">
        <v>24</v>
      </c>
      <c r="C2" s="12" t="s">
        <v>24</v>
      </c>
    </row>
    <row r="3" spans="1:6" x14ac:dyDescent="0.25">
      <c r="A3" s="11">
        <v>45747</v>
      </c>
      <c r="B3">
        <v>20.45</v>
      </c>
      <c r="C3" s="13">
        <f t="shared" ref="C3:C66" si="0">+B3/B4-1</f>
        <v>5.1115698417378841E-3</v>
      </c>
      <c r="F3" s="11"/>
    </row>
    <row r="4" spans="1:6" x14ac:dyDescent="0.25">
      <c r="A4" s="11">
        <v>45744</v>
      </c>
      <c r="B4">
        <v>20.346</v>
      </c>
      <c r="C4" s="13">
        <f t="shared" si="0"/>
        <v>2.414149874365723E-3</v>
      </c>
      <c r="F4" s="11"/>
    </row>
    <row r="5" spans="1:6" x14ac:dyDescent="0.25">
      <c r="A5" s="11">
        <v>45743</v>
      </c>
      <c r="B5">
        <v>20.297000000000001</v>
      </c>
      <c r="C5" s="13">
        <f t="shared" si="0"/>
        <v>9.7859235931800903E-3</v>
      </c>
      <c r="F5" s="11"/>
    </row>
    <row r="6" spans="1:6" x14ac:dyDescent="0.25">
      <c r="A6" s="11">
        <v>45742</v>
      </c>
      <c r="B6">
        <v>20.100300000000001</v>
      </c>
      <c r="C6" s="13">
        <f t="shared" si="0"/>
        <v>2.7087698293923879E-3</v>
      </c>
      <c r="F6" s="11"/>
    </row>
    <row r="7" spans="1:6" x14ac:dyDescent="0.25">
      <c r="A7" s="11">
        <v>45741</v>
      </c>
      <c r="B7">
        <v>20.045999999999999</v>
      </c>
      <c r="C7" s="13">
        <f t="shared" si="0"/>
        <v>1.0986815821014684E-3</v>
      </c>
      <c r="F7" s="11"/>
    </row>
    <row r="8" spans="1:6" x14ac:dyDescent="0.25">
      <c r="A8" s="11">
        <v>45740</v>
      </c>
      <c r="B8">
        <v>20.024000000000001</v>
      </c>
      <c r="C8" s="13">
        <f t="shared" si="0"/>
        <v>-9.8402808683181187E-3</v>
      </c>
      <c r="F8" s="11"/>
    </row>
    <row r="9" spans="1:6" x14ac:dyDescent="0.25">
      <c r="A9" s="11">
        <v>45737</v>
      </c>
      <c r="B9">
        <v>20.222999999999999</v>
      </c>
      <c r="C9" s="13">
        <f t="shared" si="0"/>
        <v>4.4702726866339138E-3</v>
      </c>
      <c r="F9" s="11"/>
    </row>
    <row r="10" spans="1:6" x14ac:dyDescent="0.25">
      <c r="A10" s="11">
        <v>45736</v>
      </c>
      <c r="B10">
        <v>20.132999999999999</v>
      </c>
      <c r="C10" s="13">
        <f t="shared" si="0"/>
        <v>3.1889979570480786E-3</v>
      </c>
      <c r="F10" s="11"/>
    </row>
    <row r="11" spans="1:6" x14ac:dyDescent="0.25">
      <c r="A11" s="11">
        <v>45735</v>
      </c>
      <c r="B11">
        <v>20.068999999999999</v>
      </c>
      <c r="C11" s="13">
        <f t="shared" si="0"/>
        <v>8.3911164707064501E-3</v>
      </c>
      <c r="F11" s="11"/>
    </row>
    <row r="12" spans="1:6" x14ac:dyDescent="0.25">
      <c r="A12" s="11">
        <v>45734</v>
      </c>
      <c r="B12">
        <v>19.902000000000001</v>
      </c>
      <c r="C12" s="13">
        <f t="shared" si="0"/>
        <v>-1.2545792141315237E-3</v>
      </c>
      <c r="F12" s="11"/>
    </row>
    <row r="13" spans="1:6" x14ac:dyDescent="0.25">
      <c r="A13" s="11">
        <v>45733</v>
      </c>
      <c r="B13">
        <v>19.927</v>
      </c>
      <c r="C13" s="13">
        <f t="shared" si="0"/>
        <v>7.0305830362071831E-4</v>
      </c>
      <c r="F13" s="11"/>
    </row>
    <row r="14" spans="1:6" x14ac:dyDescent="0.25">
      <c r="A14" s="11">
        <v>45730</v>
      </c>
      <c r="B14">
        <v>19.913</v>
      </c>
      <c r="C14" s="13">
        <f t="shared" si="0"/>
        <v>-8.3068556459724441E-3</v>
      </c>
      <c r="F14" s="11"/>
    </row>
    <row r="15" spans="1:6" x14ac:dyDescent="0.25">
      <c r="A15" s="11">
        <v>45729</v>
      </c>
      <c r="B15">
        <v>20.079799999999999</v>
      </c>
      <c r="C15" s="13">
        <f t="shared" si="0"/>
        <v>-4.6200366826946171E-3</v>
      </c>
      <c r="F15" s="11"/>
    </row>
    <row r="16" spans="1:6" x14ac:dyDescent="0.25">
      <c r="A16" s="11">
        <v>45728</v>
      </c>
      <c r="B16">
        <v>20.172999999999998</v>
      </c>
      <c r="C16" s="13">
        <f t="shared" si="0"/>
        <v>-4.3236626753404561E-3</v>
      </c>
      <c r="F16" s="11"/>
    </row>
    <row r="17" spans="1:6" x14ac:dyDescent="0.25">
      <c r="A17" s="11">
        <v>45727</v>
      </c>
      <c r="B17">
        <v>20.2606</v>
      </c>
      <c r="C17" s="13">
        <f t="shared" si="0"/>
        <v>-4.5496531257984696E-3</v>
      </c>
      <c r="F17" s="11"/>
    </row>
    <row r="18" spans="1:6" x14ac:dyDescent="0.25">
      <c r="A18" s="11">
        <v>45726</v>
      </c>
      <c r="B18">
        <v>20.353200000000001</v>
      </c>
      <c r="C18" s="13">
        <f t="shared" si="0"/>
        <v>5.7916584305199859E-3</v>
      </c>
      <c r="F18" s="11"/>
    </row>
    <row r="19" spans="1:6" x14ac:dyDescent="0.25">
      <c r="A19" s="11">
        <v>45723</v>
      </c>
      <c r="B19">
        <v>20.236000000000001</v>
      </c>
      <c r="C19" s="13">
        <f t="shared" si="0"/>
        <v>-2.0712101785185233E-3</v>
      </c>
      <c r="F19" s="11"/>
    </row>
    <row r="20" spans="1:6" x14ac:dyDescent="0.25">
      <c r="A20" s="11">
        <v>45722</v>
      </c>
      <c r="B20">
        <v>20.277999999999999</v>
      </c>
      <c r="C20" s="13">
        <f t="shared" si="0"/>
        <v>-6.5160942628975649E-3</v>
      </c>
      <c r="F20" s="11"/>
    </row>
    <row r="21" spans="1:6" x14ac:dyDescent="0.25">
      <c r="A21" s="11">
        <v>45721</v>
      </c>
      <c r="B21">
        <v>20.411000000000001</v>
      </c>
      <c r="C21" s="13">
        <f t="shared" si="0"/>
        <v>-8.5009229573494993E-3</v>
      </c>
      <c r="F21" s="11"/>
    </row>
    <row r="22" spans="1:6" x14ac:dyDescent="0.25">
      <c r="A22" s="11">
        <v>45720</v>
      </c>
      <c r="B22">
        <v>20.585999999999999</v>
      </c>
      <c r="C22" s="13">
        <f t="shared" si="0"/>
        <v>-4.8341873731027052E-3</v>
      </c>
      <c r="F22" s="11"/>
    </row>
    <row r="23" spans="1:6" x14ac:dyDescent="0.25">
      <c r="A23" s="11">
        <v>45719</v>
      </c>
      <c r="B23">
        <v>20.686</v>
      </c>
      <c r="C23" s="13">
        <f t="shared" si="0"/>
        <v>7.5495592031562531E-3</v>
      </c>
      <c r="F23" s="11"/>
    </row>
    <row r="24" spans="1:6" x14ac:dyDescent="0.25">
      <c r="A24" s="11">
        <v>45716</v>
      </c>
      <c r="B24">
        <v>20.530999999999999</v>
      </c>
      <c r="C24" s="13">
        <f t="shared" si="0"/>
        <v>3.6173436965341033E-3</v>
      </c>
      <c r="F24" s="11"/>
    </row>
    <row r="25" spans="1:6" x14ac:dyDescent="0.25">
      <c r="A25" s="11">
        <v>45715</v>
      </c>
      <c r="B25">
        <v>20.457000000000001</v>
      </c>
      <c r="C25" s="13">
        <f t="shared" si="0"/>
        <v>2.2045855379189128E-3</v>
      </c>
      <c r="F25" s="11"/>
    </row>
    <row r="26" spans="1:6" x14ac:dyDescent="0.25">
      <c r="A26" s="11">
        <v>45714</v>
      </c>
      <c r="B26">
        <v>20.411999999999999</v>
      </c>
      <c r="C26" s="13">
        <f t="shared" si="0"/>
        <v>-2.5118015579034259E-3</v>
      </c>
      <c r="F26" s="11"/>
    </row>
    <row r="27" spans="1:6" x14ac:dyDescent="0.25">
      <c r="A27" s="11">
        <v>45713</v>
      </c>
      <c r="B27">
        <v>20.4634</v>
      </c>
      <c r="C27" s="13">
        <f t="shared" si="0"/>
        <v>-3.3707371167013278E-4</v>
      </c>
      <c r="F27" s="11"/>
    </row>
    <row r="28" spans="1:6" x14ac:dyDescent="0.25">
      <c r="A28" s="11">
        <v>45712</v>
      </c>
      <c r="B28">
        <v>20.470300000000002</v>
      </c>
      <c r="C28" s="13">
        <f t="shared" si="0"/>
        <v>2.9544341009311026E-3</v>
      </c>
      <c r="F28" s="11"/>
    </row>
    <row r="29" spans="1:6" x14ac:dyDescent="0.25">
      <c r="A29" s="11">
        <v>45709</v>
      </c>
      <c r="B29">
        <v>20.41</v>
      </c>
      <c r="C29" s="13">
        <f t="shared" si="0"/>
        <v>5.6664203005665215E-3</v>
      </c>
      <c r="F29" s="11"/>
    </row>
    <row r="30" spans="1:6" x14ac:dyDescent="0.25">
      <c r="A30" s="11">
        <v>45708</v>
      </c>
      <c r="B30">
        <v>20.295000000000002</v>
      </c>
      <c r="C30" s="13">
        <f t="shared" si="0"/>
        <v>-6.7051683633514436E-3</v>
      </c>
      <c r="F30" s="11"/>
    </row>
    <row r="31" spans="1:6" x14ac:dyDescent="0.25">
      <c r="A31" s="11">
        <v>45707</v>
      </c>
      <c r="B31">
        <v>20.431999999999999</v>
      </c>
      <c r="C31" s="13">
        <f t="shared" si="0"/>
        <v>9.4861660079050836E-3</v>
      </c>
      <c r="F31" s="11"/>
    </row>
    <row r="32" spans="1:6" x14ac:dyDescent="0.25">
      <c r="A32" s="11">
        <v>45706</v>
      </c>
      <c r="B32">
        <v>20.239999999999998</v>
      </c>
      <c r="C32" s="13">
        <f t="shared" si="0"/>
        <v>-2.2675736961452753E-3</v>
      </c>
      <c r="F32" s="11"/>
    </row>
    <row r="33" spans="1:6" x14ac:dyDescent="0.25">
      <c r="A33" s="11">
        <v>45705</v>
      </c>
      <c r="B33">
        <v>20.286000000000001</v>
      </c>
      <c r="C33" s="13">
        <f t="shared" si="0"/>
        <v>-1.9714144898952402E-4</v>
      </c>
      <c r="F33" s="11"/>
    </row>
    <row r="34" spans="1:6" x14ac:dyDescent="0.25">
      <c r="A34" s="11">
        <v>45702</v>
      </c>
      <c r="B34">
        <v>20.29</v>
      </c>
      <c r="C34" s="13">
        <f t="shared" si="0"/>
        <v>-5.6358735604019605E-3</v>
      </c>
      <c r="F34" s="11"/>
    </row>
    <row r="35" spans="1:6" x14ac:dyDescent="0.25">
      <c r="A35" s="11">
        <v>45701</v>
      </c>
      <c r="B35">
        <v>20.405000000000001</v>
      </c>
      <c r="C35" s="13">
        <f t="shared" si="0"/>
        <v>-5.313444476942486E-3</v>
      </c>
      <c r="F35" s="11"/>
    </row>
    <row r="36" spans="1:6" x14ac:dyDescent="0.25">
      <c r="A36" s="11">
        <v>45700</v>
      </c>
      <c r="B36">
        <v>20.513999999999999</v>
      </c>
      <c r="C36" s="13">
        <f t="shared" si="0"/>
        <v>-1.2658227848101333E-3</v>
      </c>
      <c r="F36" s="11"/>
    </row>
    <row r="37" spans="1:6" x14ac:dyDescent="0.25">
      <c r="A37" s="11">
        <v>45699</v>
      </c>
      <c r="B37">
        <v>20.54</v>
      </c>
      <c r="C37" s="13">
        <f t="shared" si="0"/>
        <v>-2.2345283202176436E-3</v>
      </c>
      <c r="F37" s="11"/>
    </row>
    <row r="38" spans="1:6" x14ac:dyDescent="0.25">
      <c r="A38" s="11">
        <v>45698</v>
      </c>
      <c r="B38">
        <v>20.585999999999999</v>
      </c>
      <c r="C38" s="13">
        <f t="shared" si="0"/>
        <v>9.4814382612495862E-4</v>
      </c>
      <c r="F38" s="11"/>
    </row>
    <row r="39" spans="1:6" x14ac:dyDescent="0.25">
      <c r="A39" s="11">
        <v>45695</v>
      </c>
      <c r="B39">
        <v>20.566500000000001</v>
      </c>
      <c r="C39" s="13">
        <f t="shared" si="0"/>
        <v>6.6320787039302331E-3</v>
      </c>
      <c r="F39" s="11"/>
    </row>
    <row r="40" spans="1:6" x14ac:dyDescent="0.25">
      <c r="A40" s="11">
        <v>45694</v>
      </c>
      <c r="B40">
        <v>20.431000000000001</v>
      </c>
      <c r="C40" s="13">
        <f t="shared" si="0"/>
        <v>-6.5642322279489962E-3</v>
      </c>
      <c r="F40" s="11"/>
    </row>
    <row r="41" spans="1:6" x14ac:dyDescent="0.25">
      <c r="A41" s="11">
        <v>45693</v>
      </c>
      <c r="B41">
        <v>20.565999999999999</v>
      </c>
      <c r="C41" s="13">
        <f t="shared" si="0"/>
        <v>3.7091264031234861E-3</v>
      </c>
      <c r="F41" s="11"/>
    </row>
    <row r="42" spans="1:6" x14ac:dyDescent="0.25">
      <c r="A42" s="11">
        <v>45692</v>
      </c>
      <c r="B42">
        <v>20.49</v>
      </c>
      <c r="C42" s="13">
        <f t="shared" si="0"/>
        <v>7.870142646335454E-3</v>
      </c>
      <c r="F42" s="11"/>
    </row>
    <row r="43" spans="1:6" x14ac:dyDescent="0.25">
      <c r="A43" s="11">
        <v>45691</v>
      </c>
      <c r="B43">
        <v>20.329999999999998</v>
      </c>
      <c r="C43" s="13">
        <f t="shared" si="0"/>
        <v>-1.6829480607408964E-2</v>
      </c>
      <c r="F43" s="11"/>
    </row>
    <row r="44" spans="1:6" x14ac:dyDescent="0.25">
      <c r="A44" s="11">
        <v>45688</v>
      </c>
      <c r="B44">
        <v>20.678000000000001</v>
      </c>
      <c r="C44" s="13">
        <f t="shared" si="0"/>
        <v>-1.5451472718494008E-3</v>
      </c>
      <c r="F44" s="11"/>
    </row>
    <row r="45" spans="1:6" x14ac:dyDescent="0.25">
      <c r="A45" s="11">
        <v>45687</v>
      </c>
      <c r="B45">
        <v>20.71</v>
      </c>
      <c r="C45" s="13">
        <f t="shared" si="0"/>
        <v>1.0539670147360347E-2</v>
      </c>
      <c r="F45" s="11"/>
    </row>
    <row r="46" spans="1:6" x14ac:dyDescent="0.25">
      <c r="A46" s="11">
        <v>45686</v>
      </c>
      <c r="B46">
        <v>20.494</v>
      </c>
      <c r="C46" s="13">
        <f t="shared" si="0"/>
        <v>-1.8993814834656897E-3</v>
      </c>
      <c r="F46" s="11"/>
    </row>
    <row r="47" spans="1:6" x14ac:dyDescent="0.25">
      <c r="A47" s="11">
        <v>45685</v>
      </c>
      <c r="B47">
        <v>20.533000000000001</v>
      </c>
      <c r="C47" s="13">
        <f t="shared" si="0"/>
        <v>-6.387611904185686E-3</v>
      </c>
      <c r="F47" s="11"/>
    </row>
    <row r="48" spans="1:6" x14ac:dyDescent="0.25">
      <c r="A48" s="11">
        <v>45684</v>
      </c>
      <c r="B48">
        <v>20.664999999999999</v>
      </c>
      <c r="C48" s="13">
        <f t="shared" si="0"/>
        <v>1.9939785795370479E-2</v>
      </c>
      <c r="F48" s="11"/>
    </row>
    <row r="49" spans="1:6" x14ac:dyDescent="0.25">
      <c r="A49" s="11">
        <v>45681</v>
      </c>
      <c r="B49">
        <v>20.260999999999999</v>
      </c>
      <c r="C49" s="13">
        <f t="shared" si="0"/>
        <v>-5.5462844802198763E-3</v>
      </c>
      <c r="F49" s="11"/>
    </row>
    <row r="50" spans="1:6" x14ac:dyDescent="0.25">
      <c r="A50" s="11">
        <v>45680</v>
      </c>
      <c r="B50">
        <v>20.373999999999999</v>
      </c>
      <c r="C50" s="13">
        <f t="shared" si="0"/>
        <v>-5.4671482963976059E-3</v>
      </c>
      <c r="F50" s="11"/>
    </row>
    <row r="51" spans="1:6" x14ac:dyDescent="0.25">
      <c r="A51" s="11">
        <v>45679</v>
      </c>
      <c r="B51">
        <v>20.486000000000001</v>
      </c>
      <c r="C51" s="13">
        <f t="shared" si="0"/>
        <v>-6.1129439161652366E-3</v>
      </c>
      <c r="F51" s="11"/>
    </row>
    <row r="52" spans="1:6" x14ac:dyDescent="0.25">
      <c r="A52" s="11">
        <v>45678</v>
      </c>
      <c r="B52">
        <v>20.611999999999998</v>
      </c>
      <c r="C52" s="13">
        <f t="shared" si="0"/>
        <v>6.6910866910865341E-3</v>
      </c>
      <c r="F52" s="11"/>
    </row>
    <row r="53" spans="1:6" x14ac:dyDescent="0.25">
      <c r="A53" s="11">
        <v>45677</v>
      </c>
      <c r="B53">
        <v>20.475000000000001</v>
      </c>
      <c r="C53" s="13">
        <f t="shared" si="0"/>
        <v>-1.4724989172801961E-2</v>
      </c>
      <c r="F53" s="11"/>
    </row>
    <row r="54" spans="1:6" x14ac:dyDescent="0.25">
      <c r="A54" s="11">
        <v>45674</v>
      </c>
      <c r="B54">
        <v>20.780999999999999</v>
      </c>
      <c r="C54" s="13">
        <f t="shared" si="0"/>
        <v>-2.3523763802207887E-3</v>
      </c>
      <c r="F54" s="11"/>
    </row>
    <row r="55" spans="1:6" x14ac:dyDescent="0.25">
      <c r="A55" s="11">
        <v>45673</v>
      </c>
      <c r="B55">
        <v>20.83</v>
      </c>
      <c r="C55" s="13">
        <f t="shared" si="0"/>
        <v>1.8586887955442277E-2</v>
      </c>
      <c r="F55" s="11"/>
    </row>
    <row r="56" spans="1:6" x14ac:dyDescent="0.25">
      <c r="A56" s="11">
        <v>45672</v>
      </c>
      <c r="B56">
        <v>20.4499</v>
      </c>
      <c r="C56" s="13">
        <f t="shared" si="0"/>
        <v>-2.7357846483956338E-3</v>
      </c>
      <c r="F56" s="11"/>
    </row>
    <row r="57" spans="1:6" x14ac:dyDescent="0.25">
      <c r="A57" s="11">
        <v>45671</v>
      </c>
      <c r="B57">
        <v>20.506</v>
      </c>
      <c r="C57" s="13">
        <f t="shared" si="0"/>
        <v>-6.9733656174333358E-3</v>
      </c>
      <c r="F57" s="11"/>
    </row>
    <row r="58" spans="1:6" x14ac:dyDescent="0.25">
      <c r="A58" s="11">
        <v>45670</v>
      </c>
      <c r="B58">
        <v>20.65</v>
      </c>
      <c r="C58" s="13">
        <f t="shared" si="0"/>
        <v>-2.5600154566971511E-3</v>
      </c>
      <c r="F58" s="11"/>
    </row>
    <row r="59" spans="1:6" x14ac:dyDescent="0.25">
      <c r="A59" s="11">
        <v>45667</v>
      </c>
      <c r="B59">
        <v>20.702999999999999</v>
      </c>
      <c r="C59" s="13">
        <f t="shared" si="0"/>
        <v>1.0888671874999867E-2</v>
      </c>
      <c r="F59" s="11"/>
    </row>
    <row r="60" spans="1:6" x14ac:dyDescent="0.25">
      <c r="A60" s="11">
        <v>45666</v>
      </c>
      <c r="B60">
        <v>20.48</v>
      </c>
      <c r="C60" s="13">
        <f t="shared" si="0"/>
        <v>5.4000981836033191E-3</v>
      </c>
      <c r="F60" s="11"/>
    </row>
    <row r="61" spans="1:6" x14ac:dyDescent="0.25">
      <c r="A61" s="11">
        <v>45665</v>
      </c>
      <c r="B61">
        <v>20.37</v>
      </c>
      <c r="C61" s="13">
        <f t="shared" si="0"/>
        <v>2.954209748892378E-3</v>
      </c>
      <c r="F61" s="11"/>
    </row>
    <row r="62" spans="1:6" x14ac:dyDescent="0.25">
      <c r="A62" s="11">
        <v>45664</v>
      </c>
      <c r="B62">
        <v>20.309999999999999</v>
      </c>
      <c r="C62" s="13">
        <f t="shared" si="0"/>
        <v>4.9261083743834533E-4</v>
      </c>
      <c r="F62" s="11"/>
    </row>
    <row r="63" spans="1:6" x14ac:dyDescent="0.25">
      <c r="A63" s="11">
        <v>45663</v>
      </c>
      <c r="B63">
        <v>20.3</v>
      </c>
      <c r="C63" s="13">
        <f t="shared" si="0"/>
        <v>-1.5471167369901506E-2</v>
      </c>
      <c r="F63" s="11"/>
    </row>
    <row r="64" spans="1:6" x14ac:dyDescent="0.25">
      <c r="A64" s="11">
        <v>45660</v>
      </c>
      <c r="B64">
        <v>20.619</v>
      </c>
      <c r="C64" s="13">
        <f t="shared" si="0"/>
        <v>1.8950437317784008E-3</v>
      </c>
      <c r="F64" s="11"/>
    </row>
    <row r="65" spans="1:6" x14ac:dyDescent="0.25">
      <c r="A65" s="11">
        <v>45659</v>
      </c>
      <c r="B65">
        <v>20.58</v>
      </c>
      <c r="C65" s="13">
        <f t="shared" si="0"/>
        <v>-1.2286427337300787E-2</v>
      </c>
      <c r="F65" s="11"/>
    </row>
    <row r="66" spans="1:6" x14ac:dyDescent="0.25">
      <c r="A66" s="11">
        <v>45658</v>
      </c>
      <c r="B66">
        <v>20.835999999999999</v>
      </c>
      <c r="C66" s="13">
        <f t="shared" si="0"/>
        <v>7.8291233783378544E-4</v>
      </c>
      <c r="F66" s="11"/>
    </row>
    <row r="67" spans="1:6" x14ac:dyDescent="0.25">
      <c r="A67" s="11">
        <v>45657</v>
      </c>
      <c r="B67">
        <v>20.819700000000001</v>
      </c>
      <c r="C67" s="13">
        <f t="shared" ref="C67:C130" si="1">+B67/B68-1</f>
        <v>8.8530309638028548E-3</v>
      </c>
      <c r="F67" s="11"/>
    </row>
    <row r="68" spans="1:6" x14ac:dyDescent="0.25">
      <c r="A68" s="11">
        <v>45656</v>
      </c>
      <c r="B68">
        <v>20.637</v>
      </c>
      <c r="C68" s="13">
        <f t="shared" si="1"/>
        <v>1.5950376606114425E-2</v>
      </c>
      <c r="F68" s="11"/>
    </row>
    <row r="69" spans="1:6" x14ac:dyDescent="0.25">
      <c r="A69" s="11">
        <v>45653</v>
      </c>
      <c r="B69">
        <v>20.312999999999999</v>
      </c>
      <c r="C69" s="13">
        <f t="shared" si="1"/>
        <v>3.8050998220990895E-3</v>
      </c>
      <c r="F69" s="11"/>
    </row>
    <row r="70" spans="1:6" x14ac:dyDescent="0.25">
      <c r="A70" s="11">
        <v>45652</v>
      </c>
      <c r="B70">
        <v>20.236000000000001</v>
      </c>
      <c r="C70" s="13">
        <f t="shared" si="1"/>
        <v>4.317832150478873E-3</v>
      </c>
      <c r="F70" s="11"/>
    </row>
    <row r="71" spans="1:6" x14ac:dyDescent="0.25">
      <c r="A71" s="11">
        <v>45651</v>
      </c>
      <c r="B71">
        <v>20.149000000000001</v>
      </c>
      <c r="C71" s="13">
        <f t="shared" si="1"/>
        <v>-4.9627791563144896E-5</v>
      </c>
      <c r="F71" s="11"/>
    </row>
    <row r="72" spans="1:6" x14ac:dyDescent="0.25">
      <c r="A72" s="11">
        <v>45650</v>
      </c>
      <c r="B72">
        <v>20.149999999999999</v>
      </c>
      <c r="C72" s="13">
        <f t="shared" si="1"/>
        <v>-8.8754902592735885E-4</v>
      </c>
      <c r="F72" s="11"/>
    </row>
    <row r="73" spans="1:6" x14ac:dyDescent="0.25">
      <c r="A73" s="11">
        <v>45649</v>
      </c>
      <c r="B73">
        <v>20.167899999999999</v>
      </c>
      <c r="C73" s="13">
        <f t="shared" si="1"/>
        <v>5.8301331604408979E-3</v>
      </c>
      <c r="F73" s="11"/>
    </row>
    <row r="74" spans="1:6" x14ac:dyDescent="0.25">
      <c r="A74" s="11">
        <v>45646</v>
      </c>
      <c r="B74">
        <v>20.050999999999998</v>
      </c>
      <c r="C74" s="13">
        <f t="shared" si="1"/>
        <v>-1.1779201577131637E-2</v>
      </c>
      <c r="F74" s="11"/>
    </row>
    <row r="75" spans="1:6" x14ac:dyDescent="0.25">
      <c r="A75" s="11">
        <v>45645</v>
      </c>
      <c r="B75">
        <v>20.29</v>
      </c>
      <c r="C75" s="13">
        <f t="shared" si="1"/>
        <v>-2.9484029484030394E-3</v>
      </c>
      <c r="F75" s="11"/>
    </row>
    <row r="76" spans="1:6" x14ac:dyDescent="0.25">
      <c r="A76" s="11">
        <v>45644</v>
      </c>
      <c r="B76">
        <v>20.350000000000001</v>
      </c>
      <c r="C76" s="13">
        <f t="shared" si="1"/>
        <v>9.0742301780135648E-3</v>
      </c>
      <c r="F76" s="11"/>
    </row>
    <row r="77" spans="1:6" x14ac:dyDescent="0.25">
      <c r="A77" s="11">
        <v>45643</v>
      </c>
      <c r="B77">
        <v>20.167000000000002</v>
      </c>
      <c r="C77" s="13">
        <f t="shared" si="1"/>
        <v>2.1865527008895214E-3</v>
      </c>
      <c r="F77" s="11"/>
    </row>
    <row r="78" spans="1:6" x14ac:dyDescent="0.25">
      <c r="A78" s="11">
        <v>45642</v>
      </c>
      <c r="B78">
        <v>20.123000000000001</v>
      </c>
      <c r="C78" s="13">
        <f t="shared" si="1"/>
        <v>6.9576972010265692E-5</v>
      </c>
      <c r="F78" s="11"/>
    </row>
    <row r="79" spans="1:6" x14ac:dyDescent="0.25">
      <c r="A79" s="11">
        <v>45639</v>
      </c>
      <c r="B79">
        <v>20.121600000000001</v>
      </c>
      <c r="C79" s="13">
        <f t="shared" si="1"/>
        <v>-4.1769771355042451E-3</v>
      </c>
      <c r="F79" s="11"/>
    </row>
    <row r="80" spans="1:6" x14ac:dyDescent="0.25">
      <c r="A80" s="11">
        <v>45638</v>
      </c>
      <c r="B80">
        <v>20.206</v>
      </c>
      <c r="C80" s="13">
        <f t="shared" si="1"/>
        <v>4.7737444057682765E-3</v>
      </c>
      <c r="F80" s="11"/>
    </row>
    <row r="81" spans="1:6" x14ac:dyDescent="0.25">
      <c r="A81" s="11">
        <v>45637</v>
      </c>
      <c r="B81">
        <v>20.11</v>
      </c>
      <c r="C81" s="13">
        <f t="shared" si="1"/>
        <v>-1.836501712413674E-3</v>
      </c>
      <c r="F81" s="11"/>
    </row>
    <row r="82" spans="1:6" x14ac:dyDescent="0.25">
      <c r="A82" s="11">
        <v>45636</v>
      </c>
      <c r="B82">
        <v>20.146999999999998</v>
      </c>
      <c r="C82" s="13">
        <f t="shared" si="1"/>
        <v>-3.8073575949367777E-3</v>
      </c>
      <c r="F82" s="11"/>
    </row>
    <row r="83" spans="1:6" x14ac:dyDescent="0.25">
      <c r="A83" s="11">
        <v>45635</v>
      </c>
      <c r="B83">
        <v>20.224</v>
      </c>
      <c r="C83" s="13">
        <f t="shared" si="1"/>
        <v>1.8328627334422976E-3</v>
      </c>
      <c r="F83" s="11"/>
    </row>
    <row r="84" spans="1:6" x14ac:dyDescent="0.25">
      <c r="A84" s="11">
        <v>45632</v>
      </c>
      <c r="B84">
        <v>20.187000000000001</v>
      </c>
      <c r="C84" s="13">
        <f t="shared" si="1"/>
        <v>3.4687809712585782E-4</v>
      </c>
      <c r="F84" s="11"/>
    </row>
    <row r="85" spans="1:6" x14ac:dyDescent="0.25">
      <c r="A85" s="11">
        <v>45631</v>
      </c>
      <c r="B85">
        <v>20.18</v>
      </c>
      <c r="C85" s="13">
        <f t="shared" si="1"/>
        <v>-4.7837451299502787E-3</v>
      </c>
      <c r="F85" s="11"/>
    </row>
    <row r="86" spans="1:6" x14ac:dyDescent="0.25">
      <c r="A86" s="11">
        <v>45630</v>
      </c>
      <c r="B86">
        <v>20.277000000000001</v>
      </c>
      <c r="C86" s="13">
        <f t="shared" si="1"/>
        <v>-1.1330049261083497E-3</v>
      </c>
      <c r="F86" s="11"/>
    </row>
    <row r="87" spans="1:6" x14ac:dyDescent="0.25">
      <c r="A87" s="11">
        <v>45629</v>
      </c>
      <c r="B87">
        <v>20.3</v>
      </c>
      <c r="C87" s="13">
        <f t="shared" si="1"/>
        <v>-3.7787701820679587E-3</v>
      </c>
      <c r="F87" s="11"/>
    </row>
    <row r="88" spans="1:6" x14ac:dyDescent="0.25">
      <c r="A88" s="11">
        <v>45628</v>
      </c>
      <c r="B88">
        <v>20.376999999999999</v>
      </c>
      <c r="C88" s="13">
        <f t="shared" si="1"/>
        <v>7.8581602082405944E-4</v>
      </c>
      <c r="F88" s="11"/>
    </row>
    <row r="89" spans="1:6" x14ac:dyDescent="0.25">
      <c r="A89" s="11">
        <v>45625</v>
      </c>
      <c r="B89">
        <v>20.361000000000001</v>
      </c>
      <c r="C89" s="13">
        <f t="shared" si="1"/>
        <v>-2.4007839294463151E-3</v>
      </c>
      <c r="F89" s="11"/>
    </row>
    <row r="90" spans="1:6" x14ac:dyDescent="0.25">
      <c r="A90" s="11">
        <v>45624</v>
      </c>
      <c r="B90">
        <v>20.41</v>
      </c>
      <c r="C90" s="13">
        <f t="shared" si="1"/>
        <v>-8.2604470359571858E-3</v>
      </c>
      <c r="F90" s="11"/>
    </row>
    <row r="91" spans="1:6" x14ac:dyDescent="0.25">
      <c r="A91" s="11">
        <v>45623</v>
      </c>
      <c r="B91">
        <v>20.58</v>
      </c>
      <c r="C91" s="13">
        <f t="shared" si="1"/>
        <v>-2.2301948996413801E-3</v>
      </c>
      <c r="F91" s="11"/>
    </row>
    <row r="92" spans="1:6" x14ac:dyDescent="0.25">
      <c r="A92" s="11">
        <v>45622</v>
      </c>
      <c r="B92">
        <v>20.626000000000001</v>
      </c>
      <c r="C92" s="13">
        <f t="shared" si="1"/>
        <v>1.7061143984220983E-2</v>
      </c>
      <c r="F92" s="11"/>
    </row>
    <row r="93" spans="1:6" x14ac:dyDescent="0.25">
      <c r="A93" s="11">
        <v>45621</v>
      </c>
      <c r="B93">
        <v>20.28</v>
      </c>
      <c r="C93" s="13">
        <f t="shared" si="1"/>
        <v>-5.931081809715133E-3</v>
      </c>
      <c r="F93" s="11"/>
    </row>
    <row r="94" spans="1:6" x14ac:dyDescent="0.25">
      <c r="A94" s="11">
        <v>45618</v>
      </c>
      <c r="B94">
        <v>20.401</v>
      </c>
      <c r="C94" s="13">
        <f t="shared" si="1"/>
        <v>-9.8024800274432167E-5</v>
      </c>
      <c r="F94" s="11"/>
    </row>
    <row r="95" spans="1:6" x14ac:dyDescent="0.25">
      <c r="A95" s="11">
        <v>45617</v>
      </c>
      <c r="B95">
        <v>20.402999999999999</v>
      </c>
      <c r="C95" s="13">
        <f t="shared" si="1"/>
        <v>7.3068378178227089E-3</v>
      </c>
      <c r="F95" s="11"/>
    </row>
    <row r="96" spans="1:6" x14ac:dyDescent="0.25">
      <c r="A96" s="11">
        <v>45616</v>
      </c>
      <c r="B96">
        <v>20.254999999999999</v>
      </c>
      <c r="C96" s="13">
        <f t="shared" si="1"/>
        <v>7.9621796466782246E-3</v>
      </c>
      <c r="F96" s="11"/>
    </row>
    <row r="97" spans="1:6" x14ac:dyDescent="0.25">
      <c r="A97" s="11">
        <v>45615</v>
      </c>
      <c r="B97">
        <v>20.094999999999999</v>
      </c>
      <c r="C97" s="13">
        <f t="shared" si="1"/>
        <v>-5.2965052965053827E-3</v>
      </c>
      <c r="F97" s="11"/>
    </row>
    <row r="98" spans="1:6" x14ac:dyDescent="0.25">
      <c r="A98" s="11">
        <v>45614</v>
      </c>
      <c r="B98">
        <v>20.202000000000002</v>
      </c>
      <c r="C98" s="13">
        <f t="shared" si="1"/>
        <v>-4.8766070636913073E-3</v>
      </c>
      <c r="F98" s="11"/>
    </row>
    <row r="99" spans="1:6" x14ac:dyDescent="0.25">
      <c r="A99" s="11">
        <v>45611</v>
      </c>
      <c r="B99">
        <v>20.300999999999998</v>
      </c>
      <c r="C99" s="13">
        <f t="shared" si="1"/>
        <v>-4.9504950495050659E-3</v>
      </c>
      <c r="F99" s="11"/>
    </row>
    <row r="100" spans="1:6" x14ac:dyDescent="0.25">
      <c r="A100" s="11">
        <v>45610</v>
      </c>
      <c r="B100">
        <v>20.402000000000001</v>
      </c>
      <c r="C100" s="13">
        <f t="shared" si="1"/>
        <v>-4.3919578372048074E-3</v>
      </c>
      <c r="F100" s="11"/>
    </row>
    <row r="101" spans="1:6" x14ac:dyDescent="0.25">
      <c r="A101" s="11">
        <v>45609</v>
      </c>
      <c r="B101">
        <v>20.492000000000001</v>
      </c>
      <c r="C101" s="13">
        <f t="shared" si="1"/>
        <v>-4.3243768524366955E-3</v>
      </c>
      <c r="F101" s="11"/>
    </row>
    <row r="102" spans="1:6" x14ac:dyDescent="0.25">
      <c r="A102" s="11">
        <v>45608</v>
      </c>
      <c r="B102">
        <v>20.581</v>
      </c>
      <c r="C102" s="13">
        <f t="shared" si="1"/>
        <v>1.2147142716632198E-2</v>
      </c>
      <c r="F102" s="11"/>
    </row>
    <row r="103" spans="1:6" x14ac:dyDescent="0.25">
      <c r="A103" s="11">
        <v>45607</v>
      </c>
      <c r="B103">
        <v>20.334</v>
      </c>
      <c r="C103" s="13">
        <f t="shared" si="1"/>
        <v>8.0759105849457224E-3</v>
      </c>
      <c r="F103" s="11"/>
    </row>
    <row r="104" spans="1:6" x14ac:dyDescent="0.25">
      <c r="A104" s="11">
        <v>45604</v>
      </c>
      <c r="B104">
        <v>20.171099999999999</v>
      </c>
      <c r="C104" s="13">
        <f t="shared" si="1"/>
        <v>1.899974741096222E-2</v>
      </c>
      <c r="F104" s="11"/>
    </row>
    <row r="105" spans="1:6" x14ac:dyDescent="0.25">
      <c r="A105" s="11">
        <v>45603</v>
      </c>
      <c r="B105">
        <v>19.795000000000002</v>
      </c>
      <c r="C105" s="13">
        <f t="shared" si="1"/>
        <v>-1.4193227091633287E-2</v>
      </c>
      <c r="F105" s="11"/>
    </row>
    <row r="106" spans="1:6" x14ac:dyDescent="0.25">
      <c r="A106" s="11">
        <v>45602</v>
      </c>
      <c r="B106">
        <v>20.079999999999998</v>
      </c>
      <c r="C106" s="13">
        <f t="shared" si="1"/>
        <v>-8.4589739762164218E-4</v>
      </c>
      <c r="F106" s="11"/>
    </row>
    <row r="107" spans="1:6" x14ac:dyDescent="0.25">
      <c r="A107" s="11">
        <v>45601</v>
      </c>
      <c r="B107">
        <v>20.097000000000001</v>
      </c>
      <c r="C107" s="13">
        <f t="shared" si="1"/>
        <v>2.9864118261913042E-4</v>
      </c>
      <c r="F107" s="11"/>
    </row>
    <row r="108" spans="1:6" x14ac:dyDescent="0.25">
      <c r="A108" s="11">
        <v>45600</v>
      </c>
      <c r="B108">
        <v>20.091000000000001</v>
      </c>
      <c r="C108" s="13">
        <f t="shared" si="1"/>
        <v>-8.6840676962549601E-3</v>
      </c>
      <c r="F108" s="11"/>
    </row>
    <row r="109" spans="1:6" x14ac:dyDescent="0.25">
      <c r="A109" s="11">
        <v>45597</v>
      </c>
      <c r="B109">
        <v>20.266999999999999</v>
      </c>
      <c r="C109" s="13">
        <f t="shared" si="1"/>
        <v>1.2742354587247595E-2</v>
      </c>
      <c r="F109" s="11"/>
    </row>
    <row r="110" spans="1:6" x14ac:dyDescent="0.25">
      <c r="A110" s="11">
        <v>45596</v>
      </c>
      <c r="B110">
        <v>20.012</v>
      </c>
      <c r="C110" s="13">
        <f t="shared" si="1"/>
        <v>-6.503499975177518E-3</v>
      </c>
      <c r="F110" s="11"/>
    </row>
    <row r="111" spans="1:6" x14ac:dyDescent="0.25">
      <c r="A111" s="11">
        <v>45595</v>
      </c>
      <c r="B111">
        <v>20.143000000000001</v>
      </c>
      <c r="C111" s="13">
        <f t="shared" si="1"/>
        <v>4.7386272944933694E-3</v>
      </c>
      <c r="F111" s="11"/>
    </row>
    <row r="112" spans="1:6" x14ac:dyDescent="0.25">
      <c r="A112" s="11">
        <v>45594</v>
      </c>
      <c r="B112">
        <v>20.047999999999998</v>
      </c>
      <c r="C112" s="13">
        <f t="shared" si="1"/>
        <v>1.2485641512260948E-3</v>
      </c>
      <c r="F112" s="11"/>
    </row>
    <row r="113" spans="1:6" x14ac:dyDescent="0.25">
      <c r="A113" s="11">
        <v>45593</v>
      </c>
      <c r="B113">
        <v>20.023</v>
      </c>
      <c r="C113" s="13">
        <f t="shared" si="1"/>
        <v>3.6591478696741397E-3</v>
      </c>
      <c r="F113" s="11"/>
    </row>
    <row r="114" spans="1:6" x14ac:dyDescent="0.25">
      <c r="A114" s="11">
        <v>45590</v>
      </c>
      <c r="B114">
        <v>19.95</v>
      </c>
      <c r="C114" s="13">
        <f t="shared" si="1"/>
        <v>7.9830234438156289E-3</v>
      </c>
      <c r="F114" s="11"/>
    </row>
    <row r="115" spans="1:6" x14ac:dyDescent="0.25">
      <c r="A115" s="11">
        <v>45589</v>
      </c>
      <c r="B115">
        <v>19.792000000000002</v>
      </c>
      <c r="C115" s="13">
        <f t="shared" si="1"/>
        <v>-1.7149198022797796E-3</v>
      </c>
      <c r="F115" s="11"/>
    </row>
    <row r="116" spans="1:6" x14ac:dyDescent="0.25">
      <c r="A116" s="11">
        <v>45588</v>
      </c>
      <c r="B116">
        <v>19.826000000000001</v>
      </c>
      <c r="C116" s="13">
        <f t="shared" si="1"/>
        <v>-6.1159013434930465E-3</v>
      </c>
      <c r="F116" s="11"/>
    </row>
    <row r="117" spans="1:6" x14ac:dyDescent="0.25">
      <c r="A117" s="11">
        <v>45587</v>
      </c>
      <c r="B117">
        <v>19.948</v>
      </c>
      <c r="C117" s="13">
        <f t="shared" si="1"/>
        <v>-9.515700906495006E-4</v>
      </c>
      <c r="F117" s="11"/>
    </row>
    <row r="118" spans="1:6" x14ac:dyDescent="0.25">
      <c r="A118" s="11">
        <v>45586</v>
      </c>
      <c r="B118">
        <v>19.966999999999999</v>
      </c>
      <c r="C118" s="13">
        <f t="shared" si="1"/>
        <v>5.9448838732429898E-3</v>
      </c>
      <c r="F118" s="11"/>
    </row>
    <row r="119" spans="1:6" x14ac:dyDescent="0.25">
      <c r="A119" s="11">
        <v>45583</v>
      </c>
      <c r="B119">
        <v>19.849</v>
      </c>
      <c r="C119" s="13">
        <f t="shared" si="1"/>
        <v>8.0673624766802732E-4</v>
      </c>
      <c r="F119" s="11"/>
    </row>
    <row r="120" spans="1:6" x14ac:dyDescent="0.25">
      <c r="A120" s="11">
        <v>45582</v>
      </c>
      <c r="B120">
        <v>19.832999999999998</v>
      </c>
      <c r="C120" s="13">
        <f t="shared" si="1"/>
        <v>-8.564231738036332E-4</v>
      </c>
      <c r="F120" s="11"/>
    </row>
    <row r="121" spans="1:6" x14ac:dyDescent="0.25">
      <c r="A121" s="11">
        <v>45581</v>
      </c>
      <c r="B121">
        <v>19.850000000000001</v>
      </c>
      <c r="C121" s="13">
        <f t="shared" si="1"/>
        <v>8.4332452753506093E-3</v>
      </c>
      <c r="F121" s="11"/>
    </row>
    <row r="122" spans="1:6" x14ac:dyDescent="0.25">
      <c r="A122" s="11">
        <v>45580</v>
      </c>
      <c r="B122">
        <v>19.684000000000001</v>
      </c>
      <c r="C122" s="13">
        <f t="shared" si="1"/>
        <v>1.6630513376717504E-2</v>
      </c>
      <c r="F122" s="11"/>
    </row>
    <row r="123" spans="1:6" x14ac:dyDescent="0.25">
      <c r="A123" s="11">
        <v>45579</v>
      </c>
      <c r="B123">
        <v>19.361999999999998</v>
      </c>
      <c r="C123" s="13">
        <f t="shared" si="1"/>
        <v>5.5047777316159507E-3</v>
      </c>
      <c r="F123" s="11"/>
    </row>
    <row r="124" spans="1:6" x14ac:dyDescent="0.25">
      <c r="A124" s="11">
        <v>45576</v>
      </c>
      <c r="B124">
        <v>19.256</v>
      </c>
      <c r="C124" s="13">
        <f t="shared" si="1"/>
        <v>-9.9742930591258938E-3</v>
      </c>
      <c r="F124" s="11"/>
    </row>
    <row r="125" spans="1:6" x14ac:dyDescent="0.25">
      <c r="A125" s="11">
        <v>45575</v>
      </c>
      <c r="B125">
        <v>19.45</v>
      </c>
      <c r="C125" s="13">
        <f t="shared" si="1"/>
        <v>-2.0523345305284435E-3</v>
      </c>
      <c r="F125" s="11"/>
    </row>
    <row r="126" spans="1:6" x14ac:dyDescent="0.25">
      <c r="A126" s="11">
        <v>45574</v>
      </c>
      <c r="B126">
        <v>19.489999999999998</v>
      </c>
      <c r="C126" s="13">
        <f t="shared" si="1"/>
        <v>8.2251306192127061E-3</v>
      </c>
      <c r="F126" s="11"/>
    </row>
    <row r="127" spans="1:6" x14ac:dyDescent="0.25">
      <c r="A127" s="11">
        <v>45573</v>
      </c>
      <c r="B127">
        <v>19.331</v>
      </c>
      <c r="C127" s="13">
        <f t="shared" si="1"/>
        <v>3.1655422937209021E-3</v>
      </c>
      <c r="F127" s="11"/>
    </row>
    <row r="128" spans="1:6" x14ac:dyDescent="0.25">
      <c r="A128" s="11">
        <v>45572</v>
      </c>
      <c r="B128">
        <v>19.27</v>
      </c>
      <c r="C128" s="13">
        <f t="shared" si="1"/>
        <v>6.7507919198206423E-4</v>
      </c>
      <c r="F128" s="11"/>
    </row>
    <row r="129" spans="1:6" x14ac:dyDescent="0.25">
      <c r="A129" s="11">
        <v>45569</v>
      </c>
      <c r="B129">
        <v>19.257000000000001</v>
      </c>
      <c r="C129" s="13">
        <f t="shared" si="1"/>
        <v>-4.2916235780764422E-3</v>
      </c>
      <c r="F129" s="11"/>
    </row>
    <row r="130" spans="1:6" x14ac:dyDescent="0.25">
      <c r="A130" s="11">
        <v>45568</v>
      </c>
      <c r="B130">
        <v>19.34</v>
      </c>
      <c r="C130" s="13">
        <f t="shared" si="1"/>
        <v>-3.0927835051546282E-3</v>
      </c>
      <c r="F130" s="11"/>
    </row>
    <row r="131" spans="1:6" x14ac:dyDescent="0.25">
      <c r="A131" s="11">
        <v>45567</v>
      </c>
      <c r="B131">
        <v>19.399999999999999</v>
      </c>
      <c r="C131" s="13">
        <f t="shared" ref="C131:C194" si="2">+B131/B132-1</f>
        <v>-1.0456516194848331E-2</v>
      </c>
      <c r="F131" s="11"/>
    </row>
    <row r="132" spans="1:6" x14ac:dyDescent="0.25">
      <c r="A132" s="11">
        <v>45566</v>
      </c>
      <c r="B132">
        <v>19.605</v>
      </c>
      <c r="C132" s="13">
        <f t="shared" si="2"/>
        <v>-3.7097265982315442E-3</v>
      </c>
      <c r="F132" s="11"/>
    </row>
    <row r="133" spans="1:6" x14ac:dyDescent="0.25">
      <c r="A133" s="11">
        <v>45565</v>
      </c>
      <c r="B133">
        <v>19.678000000000001</v>
      </c>
      <c r="C133" s="13">
        <f t="shared" si="2"/>
        <v>-1.2181504415795796E-3</v>
      </c>
      <c r="F133" s="11"/>
    </row>
    <row r="134" spans="1:6" x14ac:dyDescent="0.25">
      <c r="A134" s="11">
        <v>45562</v>
      </c>
      <c r="B134">
        <v>19.702000000000002</v>
      </c>
      <c r="C134" s="13">
        <f t="shared" si="2"/>
        <v>4.6402529192799413E-3</v>
      </c>
      <c r="F134" s="11"/>
    </row>
    <row r="135" spans="1:6" x14ac:dyDescent="0.25">
      <c r="A135" s="11">
        <v>45561</v>
      </c>
      <c r="B135">
        <v>19.611000000000001</v>
      </c>
      <c r="C135" s="13">
        <f t="shared" si="2"/>
        <v>-6.624541377903137E-4</v>
      </c>
      <c r="F135" s="11"/>
    </row>
    <row r="136" spans="1:6" x14ac:dyDescent="0.25">
      <c r="A136" s="11">
        <v>45560</v>
      </c>
      <c r="B136">
        <v>19.623999999999999</v>
      </c>
      <c r="C136" s="13">
        <f t="shared" si="2"/>
        <v>1.6471563244587095E-2</v>
      </c>
      <c r="F136" s="11"/>
    </row>
    <row r="137" spans="1:6" x14ac:dyDescent="0.25">
      <c r="A137" s="11">
        <v>45559</v>
      </c>
      <c r="B137">
        <v>19.306000000000001</v>
      </c>
      <c r="C137" s="13">
        <f t="shared" si="2"/>
        <v>-5.6142158125159769E-3</v>
      </c>
      <c r="F137" s="11"/>
    </row>
    <row r="138" spans="1:6" x14ac:dyDescent="0.25">
      <c r="A138" s="11">
        <v>45558</v>
      </c>
      <c r="B138">
        <v>19.414999999999999</v>
      </c>
      <c r="C138" s="13">
        <f t="shared" si="2"/>
        <v>5.6689342403615228E-4</v>
      </c>
      <c r="F138" s="11"/>
    </row>
    <row r="139" spans="1:6" x14ac:dyDescent="0.25">
      <c r="A139" s="11">
        <v>45555</v>
      </c>
      <c r="B139">
        <v>19.404</v>
      </c>
      <c r="C139" s="13">
        <f t="shared" si="2"/>
        <v>5.3886010362693693E-3</v>
      </c>
      <c r="F139" s="11"/>
    </row>
    <row r="140" spans="1:6" x14ac:dyDescent="0.25">
      <c r="A140" s="11">
        <v>45554</v>
      </c>
      <c r="B140">
        <v>19.3</v>
      </c>
      <c r="C140" s="13">
        <f t="shared" si="2"/>
        <v>8.816055593008354E-4</v>
      </c>
      <c r="F140" s="11"/>
    </row>
    <row r="141" spans="1:6" x14ac:dyDescent="0.25">
      <c r="A141" s="11">
        <v>45553</v>
      </c>
      <c r="B141">
        <v>19.283000000000001</v>
      </c>
      <c r="C141" s="13">
        <f t="shared" si="2"/>
        <v>1.0004190236748478E-2</v>
      </c>
      <c r="F141" s="11"/>
    </row>
    <row r="142" spans="1:6" x14ac:dyDescent="0.25">
      <c r="A142" s="11">
        <v>45552</v>
      </c>
      <c r="B142">
        <v>19.091999999999999</v>
      </c>
      <c r="C142" s="13">
        <f t="shared" si="2"/>
        <v>-5.9874004269278025E-3</v>
      </c>
      <c r="F142" s="11"/>
    </row>
    <row r="143" spans="1:6" x14ac:dyDescent="0.25">
      <c r="A143" s="11">
        <v>45551</v>
      </c>
      <c r="B143">
        <v>19.207000000000001</v>
      </c>
      <c r="C143" s="13">
        <f t="shared" si="2"/>
        <v>1.0423724396726453E-3</v>
      </c>
      <c r="F143" s="11"/>
    </row>
    <row r="144" spans="1:6" x14ac:dyDescent="0.25">
      <c r="A144" s="11">
        <v>45548</v>
      </c>
      <c r="B144">
        <v>19.187000000000001</v>
      </c>
      <c r="C144" s="13">
        <f t="shared" si="2"/>
        <v>-1.6555612506407025E-2</v>
      </c>
      <c r="F144" s="11"/>
    </row>
    <row r="145" spans="1:6" x14ac:dyDescent="0.25">
      <c r="A145" s="11">
        <v>45547</v>
      </c>
      <c r="B145">
        <v>19.510000000000002</v>
      </c>
      <c r="C145" s="13">
        <f t="shared" si="2"/>
        <v>-1.3949257050439701E-2</v>
      </c>
      <c r="F145" s="11"/>
    </row>
    <row r="146" spans="1:6" x14ac:dyDescent="0.25">
      <c r="A146" s="11">
        <v>45546</v>
      </c>
      <c r="B146">
        <v>19.786000000000001</v>
      </c>
      <c r="C146" s="13">
        <f t="shared" si="2"/>
        <v>-1.5352459628256376E-2</v>
      </c>
      <c r="F146" s="11"/>
    </row>
    <row r="147" spans="1:6" x14ac:dyDescent="0.25">
      <c r="A147" s="11">
        <v>45545</v>
      </c>
      <c r="B147">
        <v>20.0945</v>
      </c>
      <c r="C147" s="13">
        <f t="shared" si="2"/>
        <v>1.0738896433780898E-2</v>
      </c>
      <c r="F147" s="11"/>
    </row>
    <row r="148" spans="1:6" x14ac:dyDescent="0.25">
      <c r="A148" s="11">
        <v>45544</v>
      </c>
      <c r="B148">
        <v>19.881</v>
      </c>
      <c r="C148" s="13">
        <f t="shared" si="2"/>
        <v>-4.4068305874105373E-3</v>
      </c>
      <c r="F148" s="11"/>
    </row>
    <row r="149" spans="1:6" x14ac:dyDescent="0.25">
      <c r="A149" s="11">
        <v>45541</v>
      </c>
      <c r="B149">
        <v>19.969000000000001</v>
      </c>
      <c r="C149" s="13">
        <f t="shared" si="2"/>
        <v>5.437792658979923E-3</v>
      </c>
      <c r="F149" s="11"/>
    </row>
    <row r="150" spans="1:6" x14ac:dyDescent="0.25">
      <c r="A150" s="11">
        <v>45540</v>
      </c>
      <c r="B150">
        <v>19.861000000000001</v>
      </c>
      <c r="C150" s="13">
        <f t="shared" si="2"/>
        <v>-3.2120451693852248E-3</v>
      </c>
      <c r="F150" s="11"/>
    </row>
    <row r="151" spans="1:6" x14ac:dyDescent="0.25">
      <c r="A151" s="11">
        <v>45539</v>
      </c>
      <c r="B151">
        <v>19.925000000000001</v>
      </c>
      <c r="C151" s="13">
        <f t="shared" si="2"/>
        <v>7.1473341555632341E-3</v>
      </c>
      <c r="F151" s="11"/>
    </row>
    <row r="152" spans="1:6" x14ac:dyDescent="0.25">
      <c r="A152" s="11">
        <v>45538</v>
      </c>
      <c r="B152">
        <v>19.7836</v>
      </c>
      <c r="C152" s="13">
        <f t="shared" si="2"/>
        <v>-1.4334746618211991E-3</v>
      </c>
      <c r="F152" s="11"/>
    </row>
    <row r="153" spans="1:6" x14ac:dyDescent="0.25">
      <c r="A153" s="11">
        <v>45537</v>
      </c>
      <c r="B153">
        <v>19.812000000000001</v>
      </c>
      <c r="C153" s="13">
        <f t="shared" si="2"/>
        <v>5.1750380517503469E-3</v>
      </c>
      <c r="F153" s="11"/>
    </row>
    <row r="154" spans="1:6" x14ac:dyDescent="0.25">
      <c r="A154" s="11">
        <v>45534</v>
      </c>
      <c r="B154">
        <v>19.71</v>
      </c>
      <c r="C154" s="13">
        <f t="shared" si="2"/>
        <v>-6.3019914292916646E-3</v>
      </c>
      <c r="F154" s="11"/>
    </row>
    <row r="155" spans="1:6" x14ac:dyDescent="0.25">
      <c r="A155" s="11">
        <v>45533</v>
      </c>
      <c r="B155">
        <v>19.835000000000001</v>
      </c>
      <c r="C155" s="13">
        <f t="shared" si="2"/>
        <v>9.8670142353827206E-3</v>
      </c>
      <c r="F155" s="11"/>
    </row>
    <row r="156" spans="1:6" x14ac:dyDescent="0.25">
      <c r="A156" s="11">
        <v>45532</v>
      </c>
      <c r="B156">
        <v>19.641200000000001</v>
      </c>
      <c r="C156" s="13">
        <f t="shared" si="2"/>
        <v>-5.508860759493639E-3</v>
      </c>
      <c r="F156" s="11"/>
    </row>
    <row r="157" spans="1:6" x14ac:dyDescent="0.25">
      <c r="A157" s="11">
        <v>45531</v>
      </c>
      <c r="B157">
        <v>19.75</v>
      </c>
      <c r="C157" s="13">
        <f t="shared" si="2"/>
        <v>1.8303686517143536E-2</v>
      </c>
      <c r="F157" s="11"/>
    </row>
    <row r="158" spans="1:6" x14ac:dyDescent="0.25">
      <c r="A158" s="11">
        <v>45530</v>
      </c>
      <c r="B158">
        <v>19.395</v>
      </c>
      <c r="C158" s="13">
        <f t="shared" si="2"/>
        <v>1.5764114381481065E-2</v>
      </c>
      <c r="F158" s="11"/>
    </row>
    <row r="159" spans="1:6" x14ac:dyDescent="0.25">
      <c r="A159" s="11">
        <v>45527</v>
      </c>
      <c r="B159">
        <v>19.094000000000001</v>
      </c>
      <c r="C159" s="13">
        <f t="shared" si="2"/>
        <v>-2.1623283459725195E-2</v>
      </c>
      <c r="F159" s="11"/>
    </row>
    <row r="160" spans="1:6" x14ac:dyDescent="0.25">
      <c r="A160" s="11">
        <v>45526</v>
      </c>
      <c r="B160">
        <v>19.515999999999998</v>
      </c>
      <c r="C160" s="13">
        <f t="shared" si="2"/>
        <v>1.2765957446808418E-2</v>
      </c>
      <c r="F160" s="11"/>
    </row>
    <row r="161" spans="1:6" x14ac:dyDescent="0.25">
      <c r="A161" s="11">
        <v>45525</v>
      </c>
      <c r="B161">
        <v>19.27</v>
      </c>
      <c r="C161" s="13">
        <f t="shared" si="2"/>
        <v>1.5172268464861416E-2</v>
      </c>
      <c r="F161" s="11"/>
    </row>
    <row r="162" spans="1:6" x14ac:dyDescent="0.25">
      <c r="A162" s="11">
        <v>45524</v>
      </c>
      <c r="B162">
        <v>18.981999999999999</v>
      </c>
      <c r="C162" s="13">
        <f t="shared" si="2"/>
        <v>1.7474271012006826E-2</v>
      </c>
      <c r="F162" s="11"/>
    </row>
    <row r="163" spans="1:6" x14ac:dyDescent="0.25">
      <c r="A163" s="11">
        <v>45523</v>
      </c>
      <c r="B163">
        <v>18.655999999999999</v>
      </c>
      <c r="C163" s="13">
        <f t="shared" si="2"/>
        <v>1.2881064834691092E-3</v>
      </c>
      <c r="F163" s="11"/>
    </row>
    <row r="164" spans="1:6" x14ac:dyDescent="0.25">
      <c r="A164" s="11">
        <v>45520</v>
      </c>
      <c r="B164">
        <v>18.632000000000001</v>
      </c>
      <c r="C164" s="13">
        <f t="shared" si="2"/>
        <v>-2.7901186873557915E-4</v>
      </c>
      <c r="F164" s="11"/>
    </row>
    <row r="165" spans="1:6" x14ac:dyDescent="0.25">
      <c r="A165" s="11">
        <v>45519</v>
      </c>
      <c r="B165">
        <v>18.6372</v>
      </c>
      <c r="C165" s="13">
        <f t="shared" si="2"/>
        <v>-7.6038338658147575E-3</v>
      </c>
      <c r="F165" s="11"/>
    </row>
    <row r="166" spans="1:6" x14ac:dyDescent="0.25">
      <c r="A166" s="11">
        <v>45518</v>
      </c>
      <c r="B166">
        <v>18.78</v>
      </c>
      <c r="C166" s="13">
        <f t="shared" si="2"/>
        <v>-1.1422856240458912E-2</v>
      </c>
      <c r="F166" s="11"/>
    </row>
    <row r="167" spans="1:6" x14ac:dyDescent="0.25">
      <c r="A167" s="11">
        <v>45517</v>
      </c>
      <c r="B167">
        <v>18.997</v>
      </c>
      <c r="C167" s="13">
        <f t="shared" si="2"/>
        <v>-3.253056298861523E-3</v>
      </c>
      <c r="F167" s="11"/>
    </row>
    <row r="168" spans="1:6" x14ac:dyDescent="0.25">
      <c r="A168" s="11">
        <v>45516</v>
      </c>
      <c r="B168">
        <v>19.059000000000001</v>
      </c>
      <c r="C168" s="13">
        <f t="shared" si="2"/>
        <v>1.2484062898427517E-2</v>
      </c>
      <c r="F168" s="11"/>
    </row>
    <row r="169" spans="1:6" x14ac:dyDescent="0.25">
      <c r="A169" s="11">
        <v>45513</v>
      </c>
      <c r="B169">
        <v>18.824000000000002</v>
      </c>
      <c r="C169" s="13">
        <f t="shared" si="2"/>
        <v>-1.908801696712481E-3</v>
      </c>
      <c r="F169" s="11"/>
    </row>
    <row r="170" spans="1:6" x14ac:dyDescent="0.25">
      <c r="A170" s="11">
        <v>45512</v>
      </c>
      <c r="B170">
        <v>18.86</v>
      </c>
      <c r="C170" s="13">
        <f t="shared" si="2"/>
        <v>-2.1124202003425574E-2</v>
      </c>
      <c r="F170" s="11"/>
    </row>
    <row r="171" spans="1:6" x14ac:dyDescent="0.25">
      <c r="A171" s="11">
        <v>45511</v>
      </c>
      <c r="B171">
        <v>19.266999999999999</v>
      </c>
      <c r="C171" s="13">
        <f t="shared" si="2"/>
        <v>-1.5180944592107948E-2</v>
      </c>
      <c r="F171" s="11"/>
    </row>
    <row r="172" spans="1:6" x14ac:dyDescent="0.25">
      <c r="A172" s="11">
        <v>45510</v>
      </c>
      <c r="B172">
        <v>19.564</v>
      </c>
      <c r="C172" s="13">
        <f t="shared" si="2"/>
        <v>1.2000827643285694E-2</v>
      </c>
      <c r="F172" s="11"/>
    </row>
    <row r="173" spans="1:6" x14ac:dyDescent="0.25">
      <c r="A173" s="11">
        <v>45509</v>
      </c>
      <c r="B173">
        <v>19.332000000000001</v>
      </c>
      <c r="C173" s="13">
        <f t="shared" si="2"/>
        <v>8.8717252896357568E-3</v>
      </c>
      <c r="F173" s="11"/>
    </row>
    <row r="174" spans="1:6" x14ac:dyDescent="0.25">
      <c r="A174" s="11">
        <v>45506</v>
      </c>
      <c r="B174">
        <v>19.161999999999999</v>
      </c>
      <c r="C174" s="13">
        <f t="shared" si="2"/>
        <v>1.6821438047227355E-2</v>
      </c>
      <c r="F174" s="11"/>
    </row>
    <row r="175" spans="1:6" x14ac:dyDescent="0.25">
      <c r="A175" s="11">
        <v>45505</v>
      </c>
      <c r="B175">
        <v>18.844999999999999</v>
      </c>
      <c r="C175" s="13">
        <f t="shared" si="2"/>
        <v>1.3172043010752477E-2</v>
      </c>
      <c r="F175" s="11"/>
    </row>
    <row r="176" spans="1:6" x14ac:dyDescent="0.25">
      <c r="A176" s="11">
        <v>45504</v>
      </c>
      <c r="B176">
        <v>18.600000000000001</v>
      </c>
      <c r="C176" s="13">
        <f t="shared" si="2"/>
        <v>-8.0529038451282453E-3</v>
      </c>
      <c r="F176" s="11"/>
    </row>
    <row r="177" spans="1:6" x14ac:dyDescent="0.25">
      <c r="A177" s="11">
        <v>45503</v>
      </c>
      <c r="B177">
        <v>18.751000000000001</v>
      </c>
      <c r="C177" s="13">
        <f t="shared" si="2"/>
        <v>6.6515990143394266E-3</v>
      </c>
      <c r="F177" s="11"/>
    </row>
    <row r="178" spans="1:6" x14ac:dyDescent="0.25">
      <c r="A178" s="11">
        <v>45502</v>
      </c>
      <c r="B178">
        <v>18.627099999999999</v>
      </c>
      <c r="C178" s="13">
        <f t="shared" si="2"/>
        <v>9.5989159891598508E-3</v>
      </c>
      <c r="F178" s="11"/>
    </row>
    <row r="179" spans="1:6" x14ac:dyDescent="0.25">
      <c r="A179" s="11">
        <v>45499</v>
      </c>
      <c r="B179">
        <v>18.45</v>
      </c>
      <c r="C179" s="13">
        <f t="shared" si="2"/>
        <v>1.3551971811875951E-4</v>
      </c>
      <c r="F179" s="11"/>
    </row>
    <row r="180" spans="1:6" x14ac:dyDescent="0.25">
      <c r="A180" s="11">
        <v>45498</v>
      </c>
      <c r="B180">
        <v>18.447500000000002</v>
      </c>
      <c r="C180" s="13">
        <f t="shared" si="2"/>
        <v>5.094257382586953E-3</v>
      </c>
      <c r="F180" s="11"/>
    </row>
    <row r="181" spans="1:6" x14ac:dyDescent="0.25">
      <c r="A181" s="11">
        <v>45497</v>
      </c>
      <c r="B181">
        <v>18.353999999999999</v>
      </c>
      <c r="C181" s="13">
        <f t="shared" si="2"/>
        <v>1.1813866822494301E-2</v>
      </c>
      <c r="F181" s="11"/>
    </row>
    <row r="182" spans="1:6" x14ac:dyDescent="0.25">
      <c r="A182" s="11">
        <v>45496</v>
      </c>
      <c r="B182">
        <v>18.139700000000001</v>
      </c>
      <c r="C182" s="13">
        <f t="shared" si="2"/>
        <v>1.1977684797768617E-2</v>
      </c>
      <c r="F182" s="11"/>
    </row>
    <row r="183" spans="1:6" x14ac:dyDescent="0.25">
      <c r="A183" s="11">
        <v>45495</v>
      </c>
      <c r="B183">
        <v>17.925000000000001</v>
      </c>
      <c r="C183" s="13">
        <f t="shared" si="2"/>
        <v>-6.0992514555031629E-3</v>
      </c>
      <c r="F183" s="11"/>
    </row>
    <row r="184" spans="1:6" x14ac:dyDescent="0.25">
      <c r="A184" s="11">
        <v>45492</v>
      </c>
      <c r="B184">
        <v>18.035</v>
      </c>
      <c r="C184" s="13">
        <f t="shared" si="2"/>
        <v>4.847336750612774E-3</v>
      </c>
      <c r="F184" s="11"/>
    </row>
    <row r="185" spans="1:6" x14ac:dyDescent="0.25">
      <c r="A185" s="11">
        <v>45491</v>
      </c>
      <c r="B185">
        <v>17.948</v>
      </c>
      <c r="C185" s="13">
        <f t="shared" si="2"/>
        <v>1.4469816866380381E-2</v>
      </c>
      <c r="F185" s="11"/>
    </row>
    <row r="186" spans="1:6" x14ac:dyDescent="0.25">
      <c r="A186" s="11">
        <v>45490</v>
      </c>
      <c r="B186">
        <v>17.692</v>
      </c>
      <c r="C186" s="13">
        <f t="shared" si="2"/>
        <v>1.6985618842713102E-3</v>
      </c>
      <c r="F186" s="11"/>
    </row>
    <row r="187" spans="1:6" x14ac:dyDescent="0.25">
      <c r="A187" s="11">
        <v>45489</v>
      </c>
      <c r="B187">
        <v>17.661999999999999</v>
      </c>
      <c r="C187" s="13">
        <f t="shared" si="2"/>
        <v>-3.5543018335685295E-3</v>
      </c>
      <c r="F187" s="11"/>
    </row>
    <row r="188" spans="1:6" x14ac:dyDescent="0.25">
      <c r="A188" s="11">
        <v>45488</v>
      </c>
      <c r="B188">
        <v>17.725000000000001</v>
      </c>
      <c r="C188" s="13">
        <f t="shared" si="2"/>
        <v>6.7590594115642944E-3</v>
      </c>
      <c r="F188" s="11"/>
    </row>
    <row r="189" spans="1:6" x14ac:dyDescent="0.25">
      <c r="A189" s="11">
        <v>45485</v>
      </c>
      <c r="B189">
        <v>17.606000000000002</v>
      </c>
      <c r="C189" s="13">
        <f t="shared" si="2"/>
        <v>-9.0059664527747385E-3</v>
      </c>
      <c r="F189" s="11"/>
    </row>
    <row r="190" spans="1:6" x14ac:dyDescent="0.25">
      <c r="A190" s="11">
        <v>45484</v>
      </c>
      <c r="B190">
        <v>17.765999999999998</v>
      </c>
      <c r="C190" s="13">
        <f t="shared" si="2"/>
        <v>-2.7840768764454404E-3</v>
      </c>
      <c r="F190" s="11"/>
    </row>
    <row r="191" spans="1:6" x14ac:dyDescent="0.25">
      <c r="A191" s="11">
        <v>45483</v>
      </c>
      <c r="B191">
        <v>17.8156</v>
      </c>
      <c r="C191" s="13">
        <f t="shared" si="2"/>
        <v>-5.7149235405736798E-3</v>
      </c>
      <c r="F191" s="11"/>
    </row>
    <row r="192" spans="1:6" x14ac:dyDescent="0.25">
      <c r="A192" s="11">
        <v>45482</v>
      </c>
      <c r="B192">
        <v>17.917999999999999</v>
      </c>
      <c r="C192" s="13">
        <f t="shared" si="2"/>
        <v>-4.3342965103355668E-3</v>
      </c>
      <c r="F192" s="11"/>
    </row>
    <row r="193" spans="1:6" x14ac:dyDescent="0.25">
      <c r="A193" s="11">
        <v>45481</v>
      </c>
      <c r="B193">
        <v>17.995999999999999</v>
      </c>
      <c r="C193" s="13">
        <f t="shared" si="2"/>
        <v>-5.3337018101424771E-3</v>
      </c>
      <c r="F193" s="11"/>
    </row>
    <row r="194" spans="1:6" x14ac:dyDescent="0.25">
      <c r="A194" s="11">
        <v>45478</v>
      </c>
      <c r="B194">
        <v>18.092500000000001</v>
      </c>
      <c r="C194" s="13">
        <f t="shared" si="2"/>
        <v>8.5744315981628461E-4</v>
      </c>
      <c r="F194" s="11"/>
    </row>
    <row r="195" spans="1:6" x14ac:dyDescent="0.25">
      <c r="A195" s="11">
        <v>45477</v>
      </c>
      <c r="B195">
        <v>18.077000000000002</v>
      </c>
      <c r="C195" s="13">
        <f t="shared" ref="C195:C254" si="3">+B195/B196-1</f>
        <v>-4.5266311291244365E-3</v>
      </c>
      <c r="F195" s="11"/>
    </row>
    <row r="196" spans="1:6" x14ac:dyDescent="0.25">
      <c r="A196" s="11">
        <v>45476</v>
      </c>
      <c r="B196">
        <v>18.159199999999998</v>
      </c>
      <c r="C196" s="13">
        <f t="shared" si="3"/>
        <v>-4.8662867163525858E-3</v>
      </c>
      <c r="F196" s="11"/>
    </row>
    <row r="197" spans="1:6" x14ac:dyDescent="0.25">
      <c r="A197" s="11">
        <v>45475</v>
      </c>
      <c r="B197">
        <v>18.248000000000001</v>
      </c>
      <c r="C197" s="13">
        <f t="shared" si="3"/>
        <v>-4.853574739597466E-3</v>
      </c>
      <c r="F197" s="11"/>
    </row>
    <row r="198" spans="1:6" x14ac:dyDescent="0.25">
      <c r="A198" s="11">
        <v>45474</v>
      </c>
      <c r="B198">
        <v>18.337</v>
      </c>
      <c r="C198" s="13">
        <f t="shared" si="3"/>
        <v>3.8188761593027643E-4</v>
      </c>
      <c r="F198" s="11"/>
    </row>
    <row r="199" spans="1:6" x14ac:dyDescent="0.25">
      <c r="A199" s="11">
        <v>45471</v>
      </c>
      <c r="B199">
        <v>18.329999999999998</v>
      </c>
      <c r="C199" s="13">
        <f t="shared" si="3"/>
        <v>-4.8319669906076168E-3</v>
      </c>
      <c r="F199" s="11"/>
    </row>
    <row r="200" spans="1:6" x14ac:dyDescent="0.25">
      <c r="A200" s="11">
        <v>45470</v>
      </c>
      <c r="B200">
        <v>18.419</v>
      </c>
      <c r="C200" s="13">
        <f t="shared" si="3"/>
        <v>5.1296043656208212E-3</v>
      </c>
      <c r="F200" s="11"/>
    </row>
    <row r="201" spans="1:6" x14ac:dyDescent="0.25">
      <c r="A201" s="11">
        <v>45469</v>
      </c>
      <c r="B201">
        <v>18.324999999999999</v>
      </c>
      <c r="C201" s="13">
        <f t="shared" si="3"/>
        <v>1.2811442973050591E-2</v>
      </c>
      <c r="F201" s="11"/>
    </row>
    <row r="202" spans="1:6" x14ac:dyDescent="0.25">
      <c r="A202" s="11">
        <v>45468</v>
      </c>
      <c r="B202">
        <v>18.0932</v>
      </c>
      <c r="C202" s="13">
        <f t="shared" si="3"/>
        <v>8.6520236369718173E-3</v>
      </c>
      <c r="F202" s="11"/>
    </row>
    <row r="203" spans="1:6" x14ac:dyDescent="0.25">
      <c r="A203" s="11">
        <v>45467</v>
      </c>
      <c r="B203">
        <v>17.937999999999999</v>
      </c>
      <c r="C203" s="13">
        <f t="shared" si="3"/>
        <v>-8.9502762430940797E-3</v>
      </c>
      <c r="F203" s="11"/>
    </row>
    <row r="204" spans="1:6" x14ac:dyDescent="0.25">
      <c r="A204" s="11">
        <v>45464</v>
      </c>
      <c r="B204">
        <v>18.100000000000001</v>
      </c>
      <c r="C204" s="13">
        <f t="shared" si="3"/>
        <v>-1.3376650277453717E-2</v>
      </c>
      <c r="F204" s="11"/>
    </row>
    <row r="205" spans="1:6" x14ac:dyDescent="0.25">
      <c r="A205" s="11">
        <v>45463</v>
      </c>
      <c r="B205">
        <v>18.345400000000001</v>
      </c>
      <c r="C205" s="13">
        <f t="shared" si="3"/>
        <v>-3.400695349847882E-3</v>
      </c>
      <c r="F205" s="11"/>
    </row>
    <row r="206" spans="1:6" x14ac:dyDescent="0.25">
      <c r="A206" s="11">
        <v>45462</v>
      </c>
      <c r="B206">
        <v>18.408000000000001</v>
      </c>
      <c r="C206" s="13">
        <f t="shared" si="3"/>
        <v>7.0671378091891057E-4</v>
      </c>
      <c r="F206" s="11"/>
    </row>
    <row r="207" spans="1:6" x14ac:dyDescent="0.25">
      <c r="A207" s="11">
        <v>45461</v>
      </c>
      <c r="B207">
        <v>18.395</v>
      </c>
      <c r="C207" s="13">
        <f t="shared" si="3"/>
        <v>-6.1054679057704897E-3</v>
      </c>
      <c r="F207" s="11"/>
    </row>
    <row r="208" spans="1:6" x14ac:dyDescent="0.25">
      <c r="A208" s="11">
        <v>45460</v>
      </c>
      <c r="B208">
        <v>18.507999999999999</v>
      </c>
      <c r="C208" s="13">
        <f t="shared" si="3"/>
        <v>2.9261948629022427E-3</v>
      </c>
      <c r="F208" s="11"/>
    </row>
    <row r="209" spans="1:6" x14ac:dyDescent="0.25">
      <c r="A209" s="11">
        <v>45457</v>
      </c>
      <c r="B209">
        <v>18.454000000000001</v>
      </c>
      <c r="C209" s="13">
        <f t="shared" si="3"/>
        <v>5.3936257150639655E-3</v>
      </c>
      <c r="F209" s="11"/>
    </row>
    <row r="210" spans="1:6" x14ac:dyDescent="0.25">
      <c r="A210" s="11">
        <v>45456</v>
      </c>
      <c r="B210">
        <v>18.355</v>
      </c>
      <c r="C210" s="13">
        <f t="shared" si="3"/>
        <v>-2.002135611318745E-2</v>
      </c>
      <c r="F210" s="11"/>
    </row>
    <row r="211" spans="1:6" x14ac:dyDescent="0.25">
      <c r="A211" s="11">
        <v>45455</v>
      </c>
      <c r="B211">
        <v>18.73</v>
      </c>
      <c r="C211" s="13">
        <f t="shared" si="3"/>
        <v>8.5834598774408022E-3</v>
      </c>
      <c r="F211" s="11"/>
    </row>
    <row r="212" spans="1:6" x14ac:dyDescent="0.25">
      <c r="A212" s="11">
        <v>45454</v>
      </c>
      <c r="B212">
        <v>18.570599999999999</v>
      </c>
      <c r="C212" s="13">
        <f t="shared" si="3"/>
        <v>1.9802306425040994E-2</v>
      </c>
      <c r="F212" s="11"/>
    </row>
    <row r="213" spans="1:6" x14ac:dyDescent="0.25">
      <c r="A213" s="11">
        <v>45453</v>
      </c>
      <c r="B213">
        <v>18.21</v>
      </c>
      <c r="C213" s="13">
        <f t="shared" si="3"/>
        <v>-9.2491838955385264E-3</v>
      </c>
      <c r="F213" s="11"/>
    </row>
    <row r="214" spans="1:6" x14ac:dyDescent="0.25">
      <c r="A214" s="11">
        <v>45450</v>
      </c>
      <c r="B214">
        <v>18.38</v>
      </c>
      <c r="C214" s="13">
        <f t="shared" si="3"/>
        <v>2.2815804117974459E-2</v>
      </c>
      <c r="F214" s="11"/>
    </row>
    <row r="215" spans="1:6" x14ac:dyDescent="0.25">
      <c r="A215" s="11">
        <v>45449</v>
      </c>
      <c r="B215">
        <v>17.97</v>
      </c>
      <c r="C215" s="13">
        <f t="shared" si="3"/>
        <v>2.7268050077173811E-2</v>
      </c>
      <c r="F215" s="11"/>
    </row>
    <row r="216" spans="1:6" x14ac:dyDescent="0.25">
      <c r="A216" s="11">
        <v>45448</v>
      </c>
      <c r="B216">
        <v>17.492999999999999</v>
      </c>
      <c r="C216" s="13">
        <f t="shared" si="3"/>
        <v>-2.0164678205343844E-2</v>
      </c>
      <c r="F216" s="11"/>
    </row>
    <row r="217" spans="1:6" x14ac:dyDescent="0.25">
      <c r="A217" s="11">
        <v>45447</v>
      </c>
      <c r="B217">
        <v>17.853000000000002</v>
      </c>
      <c r="C217" s="13">
        <f t="shared" si="3"/>
        <v>1.0299360534208768E-2</v>
      </c>
      <c r="F217" s="11"/>
    </row>
    <row r="218" spans="1:6" x14ac:dyDescent="0.25">
      <c r="A218" s="11">
        <v>45446</v>
      </c>
      <c r="B218">
        <v>17.670999999999999</v>
      </c>
      <c r="C218" s="13">
        <f t="shared" si="3"/>
        <v>3.989878185135054E-2</v>
      </c>
      <c r="F218" s="11"/>
    </row>
    <row r="219" spans="1:6" x14ac:dyDescent="0.25">
      <c r="A219" s="11">
        <v>45443</v>
      </c>
      <c r="B219">
        <v>16.992999999999999</v>
      </c>
      <c r="C219" s="13">
        <f t="shared" si="3"/>
        <v>-1.3986178364910895E-3</v>
      </c>
      <c r="F219" s="11"/>
    </row>
    <row r="220" spans="1:6" x14ac:dyDescent="0.25">
      <c r="A220" s="11">
        <v>45442</v>
      </c>
      <c r="B220">
        <v>17.0168</v>
      </c>
      <c r="C220" s="13">
        <f t="shared" si="3"/>
        <v>4.0594760443710687E-3</v>
      </c>
      <c r="F220" s="11"/>
    </row>
    <row r="221" spans="1:6" x14ac:dyDescent="0.25">
      <c r="A221" s="11">
        <v>45441</v>
      </c>
      <c r="B221">
        <v>16.948</v>
      </c>
      <c r="C221" s="13">
        <f t="shared" si="3"/>
        <v>1.001793812835583E-2</v>
      </c>
      <c r="F221" s="11"/>
    </row>
    <row r="222" spans="1:6" x14ac:dyDescent="0.25">
      <c r="A222" s="11">
        <v>45440</v>
      </c>
      <c r="B222">
        <v>16.779900000000001</v>
      </c>
      <c r="C222" s="13">
        <f t="shared" si="3"/>
        <v>8.104535896665821E-3</v>
      </c>
      <c r="F222" s="11"/>
    </row>
    <row r="223" spans="1:6" x14ac:dyDescent="0.25">
      <c r="A223" s="11">
        <v>45439</v>
      </c>
      <c r="B223">
        <v>16.645</v>
      </c>
      <c r="C223" s="13">
        <f t="shared" si="3"/>
        <v>-2.2179594772808731E-3</v>
      </c>
      <c r="F223" s="11"/>
    </row>
    <row r="224" spans="1:6" x14ac:dyDescent="0.25">
      <c r="A224" s="11">
        <v>45436</v>
      </c>
      <c r="B224">
        <v>16.681999999999999</v>
      </c>
      <c r="C224" s="13">
        <f t="shared" si="3"/>
        <v>-1.9921867989207698E-3</v>
      </c>
      <c r="F224" s="11"/>
    </row>
    <row r="225" spans="1:6" x14ac:dyDescent="0.25">
      <c r="A225" s="11">
        <v>45435</v>
      </c>
      <c r="B225">
        <v>16.715299999999999</v>
      </c>
      <c r="C225" s="13">
        <f t="shared" si="3"/>
        <v>3.3193277310923364E-3</v>
      </c>
      <c r="F225" s="11"/>
    </row>
    <row r="226" spans="1:6" x14ac:dyDescent="0.25">
      <c r="A226" s="11">
        <v>45434</v>
      </c>
      <c r="B226">
        <v>16.66</v>
      </c>
      <c r="C226" s="13">
        <f t="shared" si="3"/>
        <v>2.4067388688326918E-3</v>
      </c>
      <c r="F226" s="11"/>
    </row>
    <row r="227" spans="1:6" x14ac:dyDescent="0.25">
      <c r="A227" s="11">
        <v>45433</v>
      </c>
      <c r="B227">
        <v>16.62</v>
      </c>
      <c r="C227" s="13">
        <f t="shared" si="3"/>
        <v>4.0112120626329961E-3</v>
      </c>
      <c r="F227" s="11"/>
    </row>
    <row r="228" spans="1:6" x14ac:dyDescent="0.25">
      <c r="A228" s="11">
        <v>45432</v>
      </c>
      <c r="B228">
        <v>16.553599999999999</v>
      </c>
      <c r="C228" s="13">
        <f t="shared" si="3"/>
        <v>-2.1940928270042237E-3</v>
      </c>
      <c r="F228" s="11"/>
    </row>
    <row r="229" spans="1:6" x14ac:dyDescent="0.25">
      <c r="A229" s="11">
        <v>45429</v>
      </c>
      <c r="B229">
        <v>16.59</v>
      </c>
      <c r="C229" s="13">
        <f t="shared" si="3"/>
        <v>-4.7990401919617565E-3</v>
      </c>
      <c r="F229" s="11"/>
    </row>
    <row r="230" spans="1:6" x14ac:dyDescent="0.25">
      <c r="A230" s="11">
        <v>45428</v>
      </c>
      <c r="B230">
        <v>16.670000000000002</v>
      </c>
      <c r="C230" s="13">
        <f t="shared" si="3"/>
        <v>-5.9352873818174778E-4</v>
      </c>
      <c r="F230" s="11"/>
    </row>
    <row r="231" spans="1:6" x14ac:dyDescent="0.25">
      <c r="A231" s="11">
        <v>45427</v>
      </c>
      <c r="B231">
        <v>16.6799</v>
      </c>
      <c r="C231" s="13">
        <f t="shared" si="3"/>
        <v>-9.0952296085070605E-3</v>
      </c>
      <c r="F231" s="11"/>
    </row>
    <row r="232" spans="1:6" x14ac:dyDescent="0.25">
      <c r="A232" s="11">
        <v>45426</v>
      </c>
      <c r="B232">
        <v>16.832999999999998</v>
      </c>
      <c r="C232" s="13">
        <f t="shared" si="3"/>
        <v>2.0179652481382426E-3</v>
      </c>
      <c r="F232" s="11"/>
    </row>
    <row r="233" spans="1:6" x14ac:dyDescent="0.25">
      <c r="A233" s="11">
        <v>45425</v>
      </c>
      <c r="B233">
        <v>16.799099999999999</v>
      </c>
      <c r="C233" s="13">
        <f t="shared" si="3"/>
        <v>2.9313432835820219E-3</v>
      </c>
      <c r="F233" s="11"/>
    </row>
    <row r="234" spans="1:6" x14ac:dyDescent="0.25">
      <c r="A234" s="11">
        <v>45422</v>
      </c>
      <c r="B234">
        <v>16.75</v>
      </c>
      <c r="C234" s="13">
        <f t="shared" si="3"/>
        <v>-5.9697928481927676E-5</v>
      </c>
      <c r="F234" s="11"/>
    </row>
    <row r="235" spans="1:6" x14ac:dyDescent="0.25">
      <c r="A235" s="11">
        <v>45421</v>
      </c>
      <c r="B235">
        <v>16.751000000000001</v>
      </c>
      <c r="C235" s="13">
        <f t="shared" si="3"/>
        <v>-8.5232317253624013E-3</v>
      </c>
      <c r="F235" s="11"/>
    </row>
    <row r="236" spans="1:6" x14ac:dyDescent="0.25">
      <c r="A236" s="11">
        <v>45420</v>
      </c>
      <c r="B236">
        <v>16.895</v>
      </c>
      <c r="C236" s="13">
        <f t="shared" si="3"/>
        <v>1.1258592083431829E-3</v>
      </c>
      <c r="F236" s="11"/>
    </row>
    <row r="237" spans="1:6" x14ac:dyDescent="0.25">
      <c r="A237" s="11">
        <v>45419</v>
      </c>
      <c r="B237">
        <v>16.876000000000001</v>
      </c>
      <c r="C237" s="13">
        <f t="shared" si="3"/>
        <v>9.4899169632278735E-4</v>
      </c>
      <c r="F237" s="11"/>
    </row>
    <row r="238" spans="1:6" x14ac:dyDescent="0.25">
      <c r="A238" s="11">
        <v>45418</v>
      </c>
      <c r="B238">
        <v>16.86</v>
      </c>
      <c r="C238" s="13">
        <f t="shared" si="3"/>
        <v>-5.8962264150944632E-3</v>
      </c>
      <c r="F238" s="11"/>
    </row>
    <row r="239" spans="1:6" x14ac:dyDescent="0.25">
      <c r="A239" s="11">
        <v>45415</v>
      </c>
      <c r="B239">
        <v>16.96</v>
      </c>
      <c r="C239" s="13">
        <f t="shared" si="3"/>
        <v>-3.1240237425789186E-4</v>
      </c>
      <c r="F239" s="11"/>
    </row>
    <row r="240" spans="1:6" x14ac:dyDescent="0.25">
      <c r="A240" s="11">
        <v>45414</v>
      </c>
      <c r="B240">
        <v>16.965299999999999</v>
      </c>
      <c r="C240" s="13">
        <f t="shared" si="3"/>
        <v>-1.1598469237562581E-3</v>
      </c>
      <c r="F240" s="11"/>
    </row>
    <row r="241" spans="1:6" x14ac:dyDescent="0.25">
      <c r="A241" s="11">
        <v>45413</v>
      </c>
      <c r="B241">
        <v>16.984999999999999</v>
      </c>
      <c r="C241" s="13">
        <f t="shared" si="3"/>
        <v>-8.7829360100376563E-3</v>
      </c>
      <c r="F241" s="11"/>
    </row>
    <row r="242" spans="1:6" x14ac:dyDescent="0.25">
      <c r="A242" s="11">
        <v>45412</v>
      </c>
      <c r="B242">
        <v>17.1355</v>
      </c>
      <c r="C242" s="13">
        <f t="shared" si="3"/>
        <v>7.875729343120641E-3</v>
      </c>
      <c r="F242" s="11"/>
    </row>
    <row r="243" spans="1:6" x14ac:dyDescent="0.25">
      <c r="A243" s="11">
        <v>45411</v>
      </c>
      <c r="B243">
        <v>17.0016</v>
      </c>
      <c r="C243" s="13">
        <f t="shared" si="3"/>
        <v>-8.0168037808506787E-3</v>
      </c>
      <c r="F243" s="11"/>
    </row>
    <row r="244" spans="1:6" x14ac:dyDescent="0.25">
      <c r="A244" s="11">
        <v>45408</v>
      </c>
      <c r="B244">
        <v>17.138999999999999</v>
      </c>
      <c r="C244" s="13">
        <f t="shared" si="3"/>
        <v>-3.2567606862460297E-3</v>
      </c>
      <c r="F244" s="11"/>
    </row>
    <row r="245" spans="1:6" x14ac:dyDescent="0.25">
      <c r="A245" s="11">
        <v>45407</v>
      </c>
      <c r="B245">
        <v>17.195</v>
      </c>
      <c r="C245" s="13">
        <f t="shared" si="3"/>
        <v>8.1732686038604729E-3</v>
      </c>
      <c r="F245" s="11"/>
    </row>
    <row r="246" spans="1:6" x14ac:dyDescent="0.25">
      <c r="A246" s="11">
        <v>45406</v>
      </c>
      <c r="B246">
        <v>17.055599999999998</v>
      </c>
      <c r="C246" s="13">
        <f t="shared" si="3"/>
        <v>6.8835232304149674E-3</v>
      </c>
      <c r="F246" s="11"/>
    </row>
    <row r="247" spans="1:6" x14ac:dyDescent="0.25">
      <c r="A247" s="11">
        <v>45405</v>
      </c>
      <c r="B247">
        <v>16.939</v>
      </c>
      <c r="C247" s="13">
        <f t="shared" si="3"/>
        <v>-1.124815400689938E-2</v>
      </c>
      <c r="F247" s="11"/>
    </row>
    <row r="248" spans="1:6" x14ac:dyDescent="0.25">
      <c r="A248" s="11">
        <v>45404</v>
      </c>
      <c r="B248">
        <v>17.131699999999999</v>
      </c>
      <c r="C248" s="13">
        <f t="shared" si="3"/>
        <v>2.9094953752486497E-3</v>
      </c>
      <c r="F248" s="11"/>
    </row>
    <row r="249" spans="1:6" x14ac:dyDescent="0.25">
      <c r="A249" s="11">
        <v>45401</v>
      </c>
      <c r="B249">
        <v>17.082000000000001</v>
      </c>
      <c r="C249" s="13">
        <f t="shared" si="3"/>
        <v>4.0995607613480978E-4</v>
      </c>
      <c r="F249" s="11"/>
    </row>
    <row r="250" spans="1:6" x14ac:dyDescent="0.25">
      <c r="A250" s="11">
        <v>45400</v>
      </c>
      <c r="B250">
        <v>17.074999999999999</v>
      </c>
      <c r="C250" s="13">
        <f t="shared" si="3"/>
        <v>6.9587780857462977E-3</v>
      </c>
      <c r="F250" s="11"/>
    </row>
    <row r="251" spans="1:6" x14ac:dyDescent="0.25">
      <c r="A251" s="11">
        <v>45399</v>
      </c>
      <c r="B251">
        <v>16.957000000000001</v>
      </c>
      <c r="C251" s="13">
        <f t="shared" si="3"/>
        <v>-5.6295080044567181E-3</v>
      </c>
      <c r="F251" s="11"/>
    </row>
    <row r="252" spans="1:6" x14ac:dyDescent="0.25">
      <c r="A252" s="11">
        <v>45398</v>
      </c>
      <c r="B252">
        <v>17.053000000000001</v>
      </c>
      <c r="C252" s="13">
        <f t="shared" si="3"/>
        <v>1.973330144112917E-2</v>
      </c>
      <c r="F252" s="11"/>
    </row>
    <row r="253" spans="1:6" x14ac:dyDescent="0.25">
      <c r="A253" s="11">
        <v>45397</v>
      </c>
      <c r="B253">
        <v>16.722999999999999</v>
      </c>
      <c r="C253" s="13">
        <f t="shared" si="3"/>
        <v>6.197352587244076E-3</v>
      </c>
      <c r="F253" s="11"/>
    </row>
    <row r="254" spans="1:6" x14ac:dyDescent="0.25">
      <c r="A254" s="11">
        <v>45394</v>
      </c>
      <c r="B254">
        <v>16.62</v>
      </c>
      <c r="C254" s="13">
        <f t="shared" si="3"/>
        <v>1.1299538161041234E-2</v>
      </c>
      <c r="F254" s="11"/>
    </row>
    <row r="255" spans="1:6" x14ac:dyDescent="0.25">
      <c r="A255" s="11">
        <v>45393</v>
      </c>
      <c r="B255">
        <v>16.4343</v>
      </c>
      <c r="C255" s="13"/>
      <c r="F255" s="11"/>
    </row>
    <row r="256" spans="1:6" x14ac:dyDescent="0.25">
      <c r="F256" s="11"/>
    </row>
    <row r="257" spans="6:6" x14ac:dyDescent="0.25">
      <c r="F257" s="11"/>
    </row>
    <row r="258" spans="6:6" x14ac:dyDescent="0.25">
      <c r="F258" s="11"/>
    </row>
    <row r="259" spans="6:6" x14ac:dyDescent="0.25">
      <c r="F259" s="11"/>
    </row>
    <row r="260" spans="6:6" x14ac:dyDescent="0.25">
      <c r="F260" s="11"/>
    </row>
    <row r="261" spans="6:6" x14ac:dyDescent="0.25">
      <c r="F261" s="11"/>
    </row>
    <row r="262" spans="6:6" x14ac:dyDescent="0.25">
      <c r="F262" s="11"/>
    </row>
    <row r="263" spans="6:6" x14ac:dyDescent="0.25">
      <c r="F263" s="11"/>
    </row>
    <row r="264" spans="6:6" x14ac:dyDescent="0.25">
      <c r="F264" s="11"/>
    </row>
    <row r="265" spans="6:6" x14ac:dyDescent="0.25">
      <c r="F265" s="11"/>
    </row>
    <row r="266" spans="6:6" x14ac:dyDescent="0.25">
      <c r="F266" s="11"/>
    </row>
    <row r="267" spans="6:6" x14ac:dyDescent="0.25">
      <c r="F267" s="11"/>
    </row>
    <row r="268" spans="6:6" x14ac:dyDescent="0.25">
      <c r="F268" s="11"/>
    </row>
    <row r="269" spans="6:6" x14ac:dyDescent="0.25">
      <c r="F269" s="11"/>
    </row>
    <row r="270" spans="6:6" x14ac:dyDescent="0.25">
      <c r="F270" s="11"/>
    </row>
    <row r="271" spans="6:6" x14ac:dyDescent="0.25">
      <c r="F271" s="11"/>
    </row>
    <row r="272" spans="6:6" x14ac:dyDescent="0.25">
      <c r="F272" s="11"/>
    </row>
    <row r="273" spans="6:6" x14ac:dyDescent="0.25">
      <c r="F273" s="11"/>
    </row>
    <row r="274" spans="6:6" x14ac:dyDescent="0.25">
      <c r="F274" s="11"/>
    </row>
    <row r="275" spans="6:6" x14ac:dyDescent="0.25">
      <c r="F275" s="11"/>
    </row>
    <row r="276" spans="6:6" x14ac:dyDescent="0.25">
      <c r="F276" s="11"/>
    </row>
    <row r="277" spans="6:6" x14ac:dyDescent="0.25">
      <c r="F277" s="11"/>
    </row>
    <row r="278" spans="6:6" x14ac:dyDescent="0.25">
      <c r="F278" s="11"/>
    </row>
    <row r="279" spans="6:6" x14ac:dyDescent="0.25">
      <c r="F279" s="11"/>
    </row>
    <row r="280" spans="6:6" x14ac:dyDescent="0.25">
      <c r="F280" s="11"/>
    </row>
    <row r="281" spans="6:6" x14ac:dyDescent="0.25">
      <c r="F281" s="11"/>
    </row>
    <row r="282" spans="6:6" x14ac:dyDescent="0.25">
      <c r="F282" s="11"/>
    </row>
    <row r="283" spans="6:6" x14ac:dyDescent="0.25">
      <c r="F283" s="11"/>
    </row>
    <row r="284" spans="6:6" x14ac:dyDescent="0.25">
      <c r="F284" s="11"/>
    </row>
    <row r="285" spans="6:6" x14ac:dyDescent="0.25">
      <c r="F285" s="11"/>
    </row>
    <row r="286" spans="6:6" x14ac:dyDescent="0.25">
      <c r="F286" s="11"/>
    </row>
    <row r="287" spans="6:6" x14ac:dyDescent="0.25">
      <c r="F287" s="11"/>
    </row>
    <row r="288" spans="6:6" x14ac:dyDescent="0.25">
      <c r="F288" s="11"/>
    </row>
    <row r="289" spans="6:6" x14ac:dyDescent="0.25">
      <c r="F289" s="11"/>
    </row>
    <row r="290" spans="6:6" x14ac:dyDescent="0.25">
      <c r="F290" s="11"/>
    </row>
    <row r="291" spans="6:6" x14ac:dyDescent="0.25">
      <c r="F291" s="11"/>
    </row>
    <row r="292" spans="6:6" x14ac:dyDescent="0.25">
      <c r="F292" s="11"/>
    </row>
    <row r="293" spans="6:6" x14ac:dyDescent="0.25">
      <c r="F293" s="11"/>
    </row>
    <row r="294" spans="6:6" x14ac:dyDescent="0.25">
      <c r="F294" s="11"/>
    </row>
    <row r="295" spans="6:6" x14ac:dyDescent="0.25">
      <c r="F295" s="11"/>
    </row>
    <row r="296" spans="6:6" x14ac:dyDescent="0.25">
      <c r="F296" s="11"/>
    </row>
    <row r="297" spans="6:6" x14ac:dyDescent="0.25">
      <c r="F297" s="11"/>
    </row>
    <row r="298" spans="6:6" x14ac:dyDescent="0.25">
      <c r="F298" s="11"/>
    </row>
    <row r="299" spans="6:6" x14ac:dyDescent="0.25">
      <c r="F299" s="11"/>
    </row>
    <row r="300" spans="6:6" x14ac:dyDescent="0.25">
      <c r="F300" s="11"/>
    </row>
    <row r="301" spans="6:6" x14ac:dyDescent="0.25">
      <c r="F301" s="11"/>
    </row>
    <row r="302" spans="6:6" x14ac:dyDescent="0.25">
      <c r="F302" s="11"/>
    </row>
    <row r="303" spans="6:6" x14ac:dyDescent="0.25">
      <c r="F303" s="11"/>
    </row>
    <row r="304" spans="6:6" x14ac:dyDescent="0.25">
      <c r="F304" s="11"/>
    </row>
    <row r="305" spans="6:6" x14ac:dyDescent="0.25">
      <c r="F305" s="11"/>
    </row>
    <row r="306" spans="6:6" x14ac:dyDescent="0.25">
      <c r="F306" s="11"/>
    </row>
    <row r="307" spans="6:6" x14ac:dyDescent="0.25">
      <c r="F307" s="11"/>
    </row>
    <row r="308" spans="6:6" x14ac:dyDescent="0.25">
      <c r="F308" s="11"/>
    </row>
    <row r="309" spans="6:6" x14ac:dyDescent="0.25">
      <c r="F309" s="11"/>
    </row>
    <row r="310" spans="6:6" x14ac:dyDescent="0.25">
      <c r="F310" s="11"/>
    </row>
    <row r="311" spans="6:6" x14ac:dyDescent="0.25">
      <c r="F311" s="11"/>
    </row>
    <row r="312" spans="6:6" x14ac:dyDescent="0.25">
      <c r="F312" s="11"/>
    </row>
    <row r="313" spans="6:6" x14ac:dyDescent="0.25">
      <c r="F313" s="11"/>
    </row>
    <row r="314" spans="6:6" x14ac:dyDescent="0.25">
      <c r="F314" s="11"/>
    </row>
    <row r="315" spans="6:6" x14ac:dyDescent="0.25">
      <c r="F315" s="11"/>
    </row>
    <row r="316" spans="6:6" x14ac:dyDescent="0.25">
      <c r="F316" s="11"/>
    </row>
    <row r="317" spans="6:6" x14ac:dyDescent="0.25">
      <c r="F317" s="11"/>
    </row>
    <row r="318" spans="6:6" x14ac:dyDescent="0.25">
      <c r="F318" s="11"/>
    </row>
    <row r="319" spans="6:6" x14ac:dyDescent="0.25">
      <c r="F319" s="11"/>
    </row>
    <row r="320" spans="6:6" x14ac:dyDescent="0.25">
      <c r="F320" s="11"/>
    </row>
    <row r="321" spans="6:6" x14ac:dyDescent="0.25">
      <c r="F321" s="11"/>
    </row>
    <row r="322" spans="6:6" x14ac:dyDescent="0.25">
      <c r="F322" s="11"/>
    </row>
    <row r="323" spans="6:6" x14ac:dyDescent="0.25">
      <c r="F323" s="11"/>
    </row>
    <row r="324" spans="6:6" x14ac:dyDescent="0.25">
      <c r="F324" s="11"/>
    </row>
    <row r="325" spans="6:6" x14ac:dyDescent="0.25">
      <c r="F325" s="11"/>
    </row>
    <row r="326" spans="6:6" x14ac:dyDescent="0.25">
      <c r="F326" s="11"/>
    </row>
    <row r="327" spans="6:6" x14ac:dyDescent="0.25">
      <c r="F327" s="11"/>
    </row>
    <row r="328" spans="6:6" x14ac:dyDescent="0.25">
      <c r="F328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94C3A-396C-43BE-B824-BCB60863A3DB}">
  <sheetPr codeName="Hoja2"/>
  <dimension ref="A1:I45"/>
  <sheetViews>
    <sheetView tabSelected="1" topLeftCell="A4" zoomScaleNormal="100" workbookViewId="0">
      <selection activeCell="F25" sqref="F25"/>
    </sheetView>
  </sheetViews>
  <sheetFormatPr baseColWidth="10" defaultRowHeight="15" x14ac:dyDescent="0.25"/>
  <cols>
    <col min="1" max="1" width="29.7109375" customWidth="1"/>
    <col min="2" max="2" width="18.28515625" bestFit="1" customWidth="1"/>
    <col min="3" max="3" width="16.28515625" customWidth="1"/>
    <col min="4" max="4" width="5.42578125" customWidth="1"/>
    <col min="5" max="6" width="16.28515625" customWidth="1"/>
  </cols>
  <sheetData>
    <row r="1" spans="1:9" x14ac:dyDescent="0.25">
      <c r="B1" s="2" t="s">
        <v>0</v>
      </c>
    </row>
    <row r="2" spans="1:9" ht="14.65" customHeight="1" x14ac:dyDescent="0.25">
      <c r="B2" s="50" t="s">
        <v>56</v>
      </c>
      <c r="C2" s="50"/>
      <c r="D2" s="50"/>
      <c r="E2" s="50"/>
      <c r="F2" s="50"/>
      <c r="G2" s="50"/>
      <c r="H2" s="50"/>
      <c r="I2" s="50"/>
    </row>
    <row r="3" spans="1:9" x14ac:dyDescent="0.25">
      <c r="B3" s="50"/>
      <c r="C3" s="50"/>
      <c r="D3" s="50"/>
      <c r="E3" s="50"/>
      <c r="F3" s="50"/>
      <c r="G3" s="50"/>
      <c r="H3" s="50"/>
      <c r="I3" s="50"/>
    </row>
    <row r="4" spans="1:9" x14ac:dyDescent="0.25">
      <c r="B4" s="50"/>
      <c r="C4" s="50"/>
      <c r="D4" s="50"/>
      <c r="E4" s="50"/>
      <c r="F4" s="50"/>
      <c r="G4" s="50"/>
      <c r="H4" s="50"/>
      <c r="I4" s="50"/>
    </row>
    <row r="6" spans="1:9" ht="15.75" thickBot="1" x14ac:dyDescent="0.3"/>
    <row r="7" spans="1:9" ht="15.75" thickBot="1" x14ac:dyDescent="0.3">
      <c r="B7" s="45" t="s">
        <v>1</v>
      </c>
      <c r="C7" s="46"/>
      <c r="E7" s="45" t="s">
        <v>12</v>
      </c>
      <c r="F7" s="46"/>
    </row>
    <row r="9" spans="1:9" x14ac:dyDescent="0.25">
      <c r="B9" s="3" t="s">
        <v>32</v>
      </c>
      <c r="C9" s="1">
        <v>90</v>
      </c>
      <c r="E9" s="3" t="s">
        <v>32</v>
      </c>
      <c r="F9" s="1">
        <v>90</v>
      </c>
    </row>
    <row r="10" spans="1:9" x14ac:dyDescent="0.25">
      <c r="A10" t="s">
        <v>57</v>
      </c>
      <c r="B10" s="3" t="s">
        <v>2</v>
      </c>
      <c r="C10" s="4" cm="1">
        <f t="array" ref="C10">InterpolacionTasa(C9,Curvas!$A$4:$D$28)</f>
        <v>9.2234285714285713E-2</v>
      </c>
      <c r="E10" s="3" t="s">
        <v>2</v>
      </c>
      <c r="F10" s="4" cm="1">
        <f t="array" ref="F10">InterpolacionTasa(C9,Curvas!$A$4:$D$28)</f>
        <v>9.2234285714285713E-2</v>
      </c>
    </row>
    <row r="11" spans="1:9" x14ac:dyDescent="0.25">
      <c r="A11" t="s">
        <v>58</v>
      </c>
      <c r="B11" s="3" t="s">
        <v>20</v>
      </c>
      <c r="C11" s="4" cm="1">
        <f t="array" ref="C11">InterpolacionTasa(C9,Curvas!$F$4:$I$28)</f>
        <v>4.2922000000000002E-2</v>
      </c>
      <c r="E11" s="3" t="s">
        <v>20</v>
      </c>
      <c r="F11" s="4" cm="1">
        <f t="array" ref="F11">InterpolacionTasa(C9,Curvas!$F$4:$I$28)</f>
        <v>4.2922000000000002E-2</v>
      </c>
    </row>
    <row r="12" spans="1:9" x14ac:dyDescent="0.25">
      <c r="B12" s="3" t="s">
        <v>3</v>
      </c>
      <c r="C12" s="5">
        <v>20.45</v>
      </c>
      <c r="E12" s="3" t="s">
        <v>3</v>
      </c>
      <c r="F12" s="5">
        <v>20.45</v>
      </c>
    </row>
    <row r="13" spans="1:9" x14ac:dyDescent="0.25">
      <c r="B13" s="3" t="s">
        <v>4</v>
      </c>
      <c r="C13" s="5">
        <v>20</v>
      </c>
      <c r="E13" s="3" t="s">
        <v>4</v>
      </c>
      <c r="F13" s="5">
        <v>20</v>
      </c>
    </row>
    <row r="14" spans="1:9" x14ac:dyDescent="0.25">
      <c r="B14" s="3" t="s">
        <v>5</v>
      </c>
      <c r="C14" s="4" cm="1">
        <f t="array" ref="C14">Vol_Dinamica(Datos!$C$3:$C$254)</f>
        <v>9.6468957709791942E-2</v>
      </c>
      <c r="E14" s="3" t="s">
        <v>5</v>
      </c>
      <c r="F14" s="4" cm="1">
        <f t="array" ref="F14">Vol_Dinamica(Datos!$C$3:$C$254)</f>
        <v>9.6468957709791942E-2</v>
      </c>
    </row>
    <row r="15" spans="1:9" x14ac:dyDescent="0.25">
      <c r="B15" s="3" t="s">
        <v>6</v>
      </c>
      <c r="C15" s="1">
        <f>C9/360</f>
        <v>0.25</v>
      </c>
      <c r="E15" s="3" t="s">
        <v>6</v>
      </c>
      <c r="F15" s="1">
        <f>F9/360</f>
        <v>0.25</v>
      </c>
    </row>
    <row r="17" spans="2:9" x14ac:dyDescent="0.25">
      <c r="B17" s="3" t="s">
        <v>7</v>
      </c>
      <c r="C17" s="7">
        <f>(LN(C12/C13)+(C10-C11+((C14)^2/2))*(C15))/(C14*SQRT(C15))</f>
        <v>0.74100443680786066</v>
      </c>
      <c r="E17" s="9" t="s">
        <v>13</v>
      </c>
      <c r="F17" s="7">
        <f>-(LN(F12/F13)+(F10-F11+F14^2/2)*(F15))/(F14*SQRT(F15))</f>
        <v>-0.74100443680786066</v>
      </c>
    </row>
    <row r="18" spans="2:9" x14ac:dyDescent="0.25">
      <c r="B18" s="3" t="s">
        <v>8</v>
      </c>
      <c r="C18" s="7">
        <f>(LN(C12/C13)+(C10-C11-C14^2/2)*(C15))/(C14*SQRT(C15))</f>
        <v>0.69276995795296481</v>
      </c>
      <c r="E18" s="9" t="s">
        <v>14</v>
      </c>
      <c r="F18" s="7">
        <f>-(LN(F12/F13)+(F10-F11-F14^2/2)*(F15))/(F14*SQRT(F15))</f>
        <v>-0.69276995795296481</v>
      </c>
    </row>
    <row r="20" spans="2:9" x14ac:dyDescent="0.25">
      <c r="B20" s="3" t="s">
        <v>9</v>
      </c>
      <c r="C20" s="7">
        <f>NORMSDIST(C17)</f>
        <v>0.77065462492342274</v>
      </c>
      <c r="E20" s="3" t="s">
        <v>15</v>
      </c>
      <c r="F20" s="7">
        <f>NORMSDIST(F17)</f>
        <v>0.22934537507657726</v>
      </c>
      <c r="I20" s="6"/>
    </row>
    <row r="21" spans="2:9" x14ac:dyDescent="0.25">
      <c r="B21" s="3" t="s">
        <v>10</v>
      </c>
      <c r="C21" s="7">
        <f>NORMSDIST(C18)</f>
        <v>0.7557730358899295</v>
      </c>
      <c r="E21" s="3" t="s">
        <v>16</v>
      </c>
      <c r="F21" s="7">
        <f>NORMSDIST(F18)</f>
        <v>0.24422696411007055</v>
      </c>
    </row>
    <row r="23" spans="2:9" x14ac:dyDescent="0.25">
      <c r="B23" s="3" t="s">
        <v>11</v>
      </c>
      <c r="C23" s="8">
        <f>C12*EXP(-C11*(C15))*C20-C13*EXP(-C10*(C15))*C21</f>
        <v>0.82077219405459267</v>
      </c>
      <c r="E23" s="3" t="s">
        <v>17</v>
      </c>
      <c r="F23" s="8">
        <f>F13*EXP(-F10*(F15))*F21-F12*EXP(-F11*F15)*F20</f>
        <v>0.13314269112011967</v>
      </c>
    </row>
    <row r="25" spans="2:9" x14ac:dyDescent="0.25">
      <c r="B25" s="3" t="s">
        <v>21</v>
      </c>
      <c r="C25" s="8" cm="1">
        <f t="array" ref="C25">Prima_Call(C12,C13,C14,C9,C10,C11)</f>
        <v>0.82077219405459445</v>
      </c>
      <c r="E25" s="3" t="s">
        <v>22</v>
      </c>
      <c r="F25" s="8" cm="1">
        <f t="array" ref="F25">Prima_Put(F12,F13,F14,F9,F10,F11)</f>
        <v>0.13314269112012145</v>
      </c>
    </row>
    <row r="26" spans="2:9" ht="15.75" thickBot="1" x14ac:dyDescent="0.3"/>
    <row r="27" spans="2:9" ht="15.75" thickBot="1" x14ac:dyDescent="0.3">
      <c r="C27" s="47" t="s">
        <v>18</v>
      </c>
      <c r="D27" s="48"/>
      <c r="E27" s="49"/>
    </row>
    <row r="29" spans="2:9" x14ac:dyDescent="0.25">
      <c r="C29" s="10">
        <f>C23+C13*EXP(-C10*C15)</f>
        <v>20.364877109850291</v>
      </c>
      <c r="D29" s="3" t="s">
        <v>19</v>
      </c>
      <c r="E29" s="10">
        <f>F23+F12*EXP(-F11*F15)</f>
        <v>20.364877109850291</v>
      </c>
    </row>
    <row r="30" spans="2:9" ht="15.75" thickBot="1" x14ac:dyDescent="0.3"/>
    <row r="31" spans="2:9" ht="15.75" thickBot="1" x14ac:dyDescent="0.3">
      <c r="C31" s="47" t="s">
        <v>33</v>
      </c>
      <c r="D31" s="48"/>
      <c r="E31" s="49"/>
    </row>
    <row r="32" spans="2:9" x14ac:dyDescent="0.25">
      <c r="B32" s="3" t="s">
        <v>34</v>
      </c>
      <c r="C32" s="3" t="s">
        <v>35</v>
      </c>
      <c r="E32" s="3" t="s">
        <v>34</v>
      </c>
      <c r="F32" s="3" t="s">
        <v>35</v>
      </c>
    </row>
    <row r="33" spans="1:6" x14ac:dyDescent="0.25">
      <c r="B33" s="10">
        <f>MAX(C12-C13,0)</f>
        <v>0.44999999999999929</v>
      </c>
      <c r="C33" s="10">
        <f>C23-B33</f>
        <v>0.37077219405459338</v>
      </c>
      <c r="E33" s="10">
        <f>MAX(F13-F12,0)</f>
        <v>0</v>
      </c>
      <c r="F33" s="10">
        <f>F23-MAX(F13-F12,0)</f>
        <v>0.13314269112011967</v>
      </c>
    </row>
    <row r="44" spans="1:6" x14ac:dyDescent="0.25">
      <c r="A44" s="1"/>
    </row>
    <row r="45" spans="1:6" x14ac:dyDescent="0.25">
      <c r="A45" s="1"/>
    </row>
  </sheetData>
  <mergeCells count="5">
    <mergeCell ref="B7:C7"/>
    <mergeCell ref="E7:F7"/>
    <mergeCell ref="C27:E27"/>
    <mergeCell ref="B2:I4"/>
    <mergeCell ref="C31:E3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P1 - Árboles Binomiales</vt:lpstr>
      <vt:lpstr>Curvas</vt:lpstr>
      <vt:lpstr>Datos</vt:lpstr>
      <vt:lpstr>P2 - Opciones B&amp;S Divisas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Torres Ferrer Luis Noe</dc:creator>
  <cp:lastModifiedBy>Luis Noe Torres Ferrer</cp:lastModifiedBy>
  <dcterms:created xsi:type="dcterms:W3CDTF">2023-04-21T00:17:49Z</dcterms:created>
  <dcterms:modified xsi:type="dcterms:W3CDTF">2025-05-04T23:36:28Z</dcterms:modified>
</cp:coreProperties>
</file>